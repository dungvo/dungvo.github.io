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omy" sheetId="1" state="visible" r:id="rId1"/>
    <sheet xmlns:r="http://schemas.openxmlformats.org/officeDocument/2006/relationships" name="README" sheetId="2" state="visible" r:id="rId2"/>
    <sheet xmlns:r="http://schemas.openxmlformats.org/officeDocument/2006/relationships" name="90-Day Plan" sheetId="3" state="visible" r:id="rId3"/>
    <sheet xmlns:r="http://schemas.openxmlformats.org/officeDocument/2006/relationships" name="Quote Library" sheetId="4" state="visible" r:id="rId4"/>
    <sheet xmlns:r="http://schemas.openxmlformats.org/officeDocument/2006/relationships" name="Story Library" sheetId="5" state="visible" r:id="rId5"/>
    <sheet xmlns:r="http://schemas.openxmlformats.org/officeDocument/2006/relationships" name="Principle Library" sheetId="6" state="visible" r:id="rId6"/>
    <sheet xmlns:r="http://schemas.openxmlformats.org/officeDocument/2006/relationships" name="Source Registry" sheetId="7" state="visible" r:id="rId7"/>
    <sheet xmlns:r="http://schemas.openxmlformats.org/officeDocument/2006/relationships" name="Coverage Map" sheetId="8" state="visible" r:id="rId8"/>
    <sheet xmlns:r="http://schemas.openxmlformats.org/officeDocument/2006/relationships" name="Dashboard" sheetId="9" state="visible" r:id="rId9"/>
    <sheet xmlns:r="http://schemas.openxmlformats.org/officeDocument/2006/relationships" name="AI Collection Guide" sheetId="10" state="visible" r:id="rId10"/>
    <sheet xmlns:r="http://schemas.openxmlformats.org/officeDocument/2006/relationships" name="Daily Log" sheetId="11" state="visible" r:id="rId11"/>
    <sheet xmlns:r="http://schemas.openxmlformats.org/officeDocument/2006/relationships" name="Human Experience Map" sheetId="12" state="visible" r:id="rId12"/>
    <sheet xmlns:r="http://schemas.openxmlformats.org/officeDocument/2006/relationships" name="Taxonomy VN" sheetId="13" state="visible" r:id="rId13"/>
    <sheet xmlns:r="http://schemas.openxmlformats.org/officeDocument/2006/relationships" name="Quote Library v2" sheetId="14" state="visible" r:id="rId14"/>
    <sheet xmlns:r="http://schemas.openxmlformats.org/officeDocument/2006/relationships" name="Coverage Matrix" sheetId="15" state="visible" r:id="rId15"/>
    <sheet xmlns:r="http://schemas.openxmlformats.org/officeDocument/2006/relationships" name="Diversity Dashboard" sheetId="16" state="visible" r:id="rId16"/>
    <sheet xmlns:r="http://schemas.openxmlformats.org/officeDocument/2006/relationships" name="Day 1 Audit" sheetId="17" state="visible" r:id="rId17"/>
    <sheet xmlns:r="http://schemas.openxmlformats.org/officeDocument/2006/relationships" name="Day 2 Audit" sheetId="18" state="visible" r:id="rId18"/>
  </sheets>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color rgb="FFFFFFFF"/>
      <sz val="16"/>
    </font>
    <font>
      <name val="Carlito"/>
      <b val="1"/>
      <color rgb="FF375623"/>
      <sz val="11"/>
    </font>
    <font>
      <name val="Carlito"/>
      <b val="1"/>
      <color rgb="FF17365D"/>
      <sz val="11"/>
    </font>
    <font>
      <name val="Carlito"/>
      <b val="1"/>
      <sz val="11"/>
    </font>
    <font>
      <name val="Carlito"/>
      <b val="1"/>
      <color rgb="FFFFFFFF"/>
      <sz val="15"/>
    </font>
  </fonts>
  <fills count="13">
    <fill>
      <patternFill/>
    </fill>
    <fill>
      <patternFill patternType="gray125"/>
    </fill>
    <fill>
      <patternFill patternType="solid">
        <fgColor rgb="FF4472C4"/>
      </patternFill>
    </fill>
    <fill>
      <patternFill patternType="solid">
        <fgColor rgb="FF17365D"/>
      </patternFill>
    </fill>
    <fill>
      <patternFill patternType="solid">
        <fgColor rgb="FFE2F0D9"/>
      </patternFill>
    </fill>
    <fill>
      <patternFill patternType="solid">
        <fgColor rgb="FFD9EAF7"/>
      </patternFill>
    </fill>
    <fill>
      <patternFill patternType="solid">
        <fgColor rgb="FF17365D"/>
      </patternFill>
    </fill>
    <fill>
      <patternFill patternType="solid">
        <fgColor rgb="FF4472C4"/>
      </patternFill>
    </fill>
    <fill>
      <patternFill patternType="solid">
        <fgColor rgb="FFD9EAF7"/>
      </patternFill>
    </fill>
    <fill>
      <patternFill patternType="solid">
        <fgColor rgb="FFF2F2F2"/>
      </patternFill>
    </fill>
    <fill>
      <patternFill patternType="solid">
        <fgColor rgb="FF17365D"/>
      </patternFill>
    </fill>
    <fill>
      <patternFill patternType="solid">
        <fgColor rgb="FF4472C4"/>
      </patternFill>
    </fill>
    <fill>
      <patternFill patternType="solid">
        <fgColor rgb="FFD9EAF7"/>
      </patternFill>
    </fill>
  </fills>
  <borders count="2">
    <border/>
    <border/>
  </borders>
  <cellStyleXfs count="1">
    <xf numFmtId="0" fontId="0" fillId="0" borderId="1"/>
  </cellStyleXfs>
  <cellXfs count="7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9" fontId="0" fillId="0" borderId="0" pivotButton="0" quotePrefix="0" xfId="0"/>
    <xf numFmtId="9" fontId="0" fillId="0" borderId="1" pivotButton="0" quotePrefix="0" xfId="0"/>
    <xf numFmtId="9" fontId="0" fillId="0" borderId="0" applyAlignment="1" pivotButton="0" quotePrefix="0" xfId="0">
      <alignment wrapText="1"/>
    </xf>
    <xf numFmtId="9"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5" borderId="1" pivotButton="0" quotePrefix="0" xfId="0"/>
    <xf numFmtId="0" fontId="4" fillId="5" borderId="1" pivotButton="0" quotePrefix="0" xfId="0"/>
    <xf numFmtId="0" fontId="4" fillId="5" borderId="1" applyAlignment="1" pivotButton="0" quotePrefix="0" xfId="0">
      <alignment vertical="center"/>
    </xf>
    <xf numFmtId="0" fontId="0" fillId="0" borderId="0" pivotButton="0" quotePrefix="0" xfId="0"/>
    <xf numFmtId="0" fontId="0" fillId="6" borderId="0" pivotButton="0" quotePrefix="0" xfId="0"/>
    <xf numFmtId="0" fontId="2" fillId="6" borderId="0" pivotButton="0" quotePrefix="0" xfId="0"/>
    <xf numFmtId="0" fontId="2" fillId="6" borderId="0" applyAlignment="1" pivotButton="0" quotePrefix="0" xfId="0">
      <alignment vertic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2" fillId="6" borderId="0" applyAlignment="1" pivotButton="0" quotePrefix="0" xfId="0">
      <alignment vertical="center" wrapText="1"/>
    </xf>
    <xf numFmtId="0" fontId="0" fillId="8" borderId="0" pivotButton="0" quotePrefix="0" xfId="0"/>
    <xf numFmtId="0" fontId="4" fillId="8" borderId="0" pivotButton="0" quotePrefix="0" xfId="0"/>
    <xf numFmtId="0" fontId="4" fillId="8" borderId="0" applyAlignment="1" pivotButton="0" quotePrefix="0" xfId="0">
      <alignment vertical="center"/>
    </xf>
    <xf numFmtId="0" fontId="0" fillId="9" borderId="0" pivotButton="0" quotePrefix="0" xfId="0"/>
    <xf numFmtId="0" fontId="5" fillId="9" borderId="0" pivotButton="0" quotePrefix="0" xfId="0"/>
    <xf numFmtId="0" fontId="0" fillId="10" borderId="0" pivotButton="0" quotePrefix="0" xfId="0"/>
    <xf numFmtId="0" fontId="6" fillId="10" borderId="0" pivotButton="0" quotePrefix="0" xfId="0"/>
    <xf numFmtId="0" fontId="0" fillId="11" borderId="0" pivotButton="0" quotePrefix="0" xfId="0"/>
    <xf numFmtId="0" fontId="1" fillId="11" borderId="0" pivotButton="0" quotePrefix="0" xfId="0"/>
    <xf numFmtId="0" fontId="6" fillId="10" borderId="0" applyAlignment="1" pivotButton="0" quotePrefix="0" xfId="0">
      <alignment wrapText="1"/>
    </xf>
    <xf numFmtId="0" fontId="1" fillId="11" borderId="0" applyAlignment="1" pivotButton="0" quotePrefix="0" xfId="0">
      <alignment wrapText="1"/>
    </xf>
    <xf numFmtId="0" fontId="0" fillId="12" borderId="0" pivotButton="0" quotePrefix="0" xfId="0"/>
    <xf numFmtId="0" fontId="4" fillId="12" borderId="0" pivotButton="0" quotePrefix="0" xfId="0"/>
    <xf numFmtId="0" fontId="4" fillId="8" borderId="1" applyAlignment="1" pivotButton="0" quotePrefix="0" xfId="0">
      <alignment vertical="center"/>
    </xf>
    <xf numFmtId="9" fontId="0" fillId="0" borderId="0" applyAlignment="1" pivotButton="0" quotePrefix="0" xfId="0">
      <alignment wrapText="1"/>
    </xf>
    <xf numFmtId="9" fontId="0" fillId="0" borderId="0" pivotButton="0" quotePrefix="0" xfId="0"/>
    <xf numFmtId="0" fontId="4" fillId="12" borderId="1" pivotButton="0" quotePrefix="0" xfId="0"/>
    <xf numFmtId="0" fontId="2" fillId="6" borderId="1" applyAlignment="1" pivotButton="0" quotePrefix="0" xfId="0">
      <alignment vertical="center" wrapText="1"/>
    </xf>
    <xf numFmtId="0" fontId="2" fillId="6" borderId="1" applyAlignment="1" pivotButton="0" quotePrefix="0" xfId="0">
      <alignment vertical="center"/>
    </xf>
    <xf numFmtId="0" fontId="6" fillId="10" borderId="1" applyAlignment="1" pivotButton="0" quotePrefix="0" xfId="0">
      <alignment wrapText="1"/>
    </xf>
  </cellXfs>
  <cellStyles count="1">
    <cellStyle name="Normal" xfId="0"/>
  </cellStyles>
  <dxfs count="8">
    <dxf>
      <fill>
        <patternFill>
          <bgColor rgb="FFC6E0B4"/>
        </patternFill>
      </fill>
    </dxf>
    <dxf>
      <fill>
        <patternFill>
          <bgColor rgb="FFF4CCCC"/>
        </patternFill>
      </fill>
    </dxf>
    <dxf>
      <fill>
        <patternFill>
          <bgColor rgb="FFC6E0B4"/>
        </patternFill>
      </fill>
    </dxf>
    <dxf>
      <fill>
        <patternFill>
          <bgColor rgb="FFF4CCCC"/>
        </patternFill>
      </fill>
    </dxf>
    <dxf>
      <fill>
        <patternFill>
          <bgColor rgb="FFF4CCCC"/>
        </patternFill>
      </fill>
    </dxf>
    <dxf>
      <fill>
        <patternFill>
          <bgColor rgb="FFFCE5CD"/>
        </patternFill>
      </fill>
    </dxf>
    <dxf>
      <fill>
        <patternFill>
          <bgColor rgb="FFFFF2CC"/>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Quote Coverage by Cluster</a:t>
            </a:r>
          </a:p>
        </rich>
      </tx>
    </title>
    <plotArea>
      <barChart>
        <barDir val="col"/>
        <grouping val="clustered"/>
        <varyColors val="0"/>
        <ser>
          <idx val="0"/>
          <order val="0"/>
          <tx>
            <v>Quote Count</v>
          </tx>
          <spPr>
            <a:ln xmlns:a="http://schemas.openxmlformats.org/drawingml/2006/main">
              <a:prstDash val="solid"/>
            </a:ln>
          </spPr>
          <cat>
            <strRef>
              <f>'Dashboard'!$A$17:$A$28</f>
              <strCache>
                <ptCount val="0"/>
              </strCache>
            </strRef>
          </cat>
          <val>
            <numRef>
              <f>'Dashboard'!$B$17:$B$28</f>
              <numCache>
                <formatCode>General</formatCode>
                <ptCount val="0"/>
              </numCache>
            </numRef>
          </val>
        </ser>
        <ser>
          <idx val="1"/>
          <order val="1"/>
          <tx>
            <v>Target</v>
          </tx>
          <spPr>
            <a:ln xmlns:a="http://schemas.openxmlformats.org/drawingml/2006/main">
              <a:prstDash val="solid"/>
            </a:ln>
          </spPr>
          <cat>
            <strRef>
              <f>'Dashboard'!$A$17:$A$28</f>
              <strCache>
                <ptCount val="0"/>
              </strCache>
            </strRef>
          </cat>
          <val>
            <numRef>
              <f>'Dashboard'!$C$17:$C$28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row>
      <rowOff>0</rowOff>
    </from>
    <to>
      <col>14</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lan90Days" displayName="Plan90Days" ref="A1:N91" headerRowCount="1" totalsRowCount="0" totalsRowShown="0">
  <tableColumns count="14">
    <tableColumn id="1" name="Day"/>
    <tableColumn id="2" name="Phase"/>
    <tableColumn id="3" name="Collection Focus"/>
    <tableColumn id="4" name="Primary Sources / Traditions"/>
    <tableColumn id="5" name="What to Collect"/>
    <tableColumn id="6" name="Quote Target"/>
    <tableColumn id="7" name="Story Target"/>
    <tableColumn id="8" name="Principle Target"/>
    <tableColumn id="9" name="Quote Actual"/>
    <tableColumn id="10" name="Story Actual"/>
    <tableColumn id="11" name="Principle Actual"/>
    <tableColumn id="12" name="Status"/>
    <tableColumn id="13" name="Progress %"/>
    <tableColumn id="14" name="Notes"/>
  </tableColumns>
  <tableStyleInfo name="TableStyleMedium2" showFirstColumn="0" showLastColumn="0" showRowStripes="1" showColumnStripes="0"/>
</table>
</file>

<file path=xl/tables/table2.xml><?xml version="1.0" encoding="utf-8"?>
<table xmlns="http://schemas.openxmlformats.org/spreadsheetml/2006/main" id="2" name="QuoteMaster" displayName="QuoteMaster" ref="A1:AI500" headerRowCount="1" totalsRowCount="0" totalsRowShown="0">
  <tableColumns count="35">
    <tableColumn id="1" name="Quote ID"/>
    <tableColumn id="2" name="Status"/>
    <tableColumn id="3" name="Cluster Primary"/>
    <tableColumn id="4" name="Cluster Secondary"/>
    <tableColumn id="5" name="Human Experience"/>
    <tableColumn id="6" name="Editorial Role Primary"/>
    <tableColumn id="7" name="Editorial Role Secondary"/>
    <tableColumn id="8" name="Quote Text - Original"/>
    <tableColumn id="9" name="Language"/>
    <tableColumn id="10" name="Quote Text - Working VI"/>
    <tableColumn id="11" name="Author / Attribution"/>
    <tableColumn id="12" name="Tradition / Region"/>
    <tableColumn id="13" name="Source Title"/>
    <tableColumn id="14" name="Work / Chapter / Location"/>
    <tableColumn id="15" name="Source URL"/>
    <tableColumn id="16" name="Source Type"/>
    <tableColumn id="17" name="Quote Type"/>
    <tableColumn id="18" name="Verification Grade"/>
    <tableColumn id="19" name="Verification Notes"/>
    <tableColumn id="20" name="Rights Status"/>
    <tableColumn id="21" name="Copyright / Usage Notes"/>
    <tableColumn id="22" name="Selflo Fit"/>
    <tableColumn id="23" name="Selflo Fit Notes"/>
    <tableColumn id="24" name="Directive Risk"/>
    <tableColumn id="25" name="Overlap / Duplicate Risk"/>
    <tableColumn id="26" name="Related Principle ID(s)"/>
    <tableColumn id="27" name="Related Story ID(s)"/>
    <tableColumn id="28" name="Story Dependency Gate"/>
    <tableColumn id="29" name="Owner Review"/>
    <tableColumn id="30" name="Release Readiness"/>
    <tableColumn id="31" name="Current Library Location"/>
    <tableColumn id="32" name="Collected Day"/>
    <tableColumn id="33" name="Collected By"/>
    <tableColumn id="34" name="Date Collected"/>
    <tableColumn id="35" name="Notes"/>
  </tableColumns>
  <tableStyleInfo name="TableStyleMedium2" showFirstColumn="0" showLastColumn="0" showRowStripes="1" showColumnStripes="0"/>
</table>
</file>

<file path=xl/tables/table3.xml><?xml version="1.0" encoding="utf-8"?>
<table xmlns="http://schemas.openxmlformats.org/spreadsheetml/2006/main" id="3" name="StoryMaster" displayName="StoryMaster" ref="A1:AF300" headerRowCount="1" totalsRowCount="0" totalsRowShown="0">
  <tableColumns count="32">
    <tableColumn id="1" name="Story ID"/>
    <tableColumn id="2" name="Status"/>
    <tableColumn id="3" name="Title"/>
    <tableColumn id="4" name="Original / Local Title"/>
    <tableColumn id="5" name="Story Type"/>
    <tableColumn id="6" name="Tradition / Region"/>
    <tableColumn id="7" name="Cluster Primary"/>
    <tableColumn id="8" name="Cluster Secondary"/>
    <tableColumn id="9" name="Human Experience"/>
    <tableColumn id="10" name="Summary (research only)"/>
    <tableColumn id="11" name="Primary Source / Work"/>
    <tableColumn id="12" name="Source Location"/>
    <tableColumn id="13" name="Source URL"/>
    <tableColumn id="14" name="Secondary Verification URL"/>
    <tableColumn id="15" name="Verification Grade"/>
    <tableColumn id="16" name="Verification Notes"/>
    <tableColumn id="17" name="Rights Status"/>
    <tableColumn id="18" name="Copyright / Adaptation Notes"/>
    <tableColumn id="19" name="Historical / Traditional Context"/>
    <tableColumn id="20" name="Key Principle ID(s)"/>
    <tableColumn id="21" name="Related Quote ID(s)"/>
    <tableColumn id="22" name="Selflo Fit"/>
    <tableColumn id="23" name="Selflo Fit Notes"/>
    <tableColumn id="24" name="Adaptation Allowed?"/>
    <tableColumn id="25" name="Human Edited?"/>
    <tableColumn id="26" name="Rights Verified?"/>
    <tableColumn id="27" name="Story Gate Status"/>
    <tableColumn id="28" name="Current Library Location"/>
    <tableColumn id="29" name="Collected Day"/>
    <tableColumn id="30" name="Collected By"/>
    <tableColumn id="31" name="Date Collected"/>
    <tableColumn id="32" name="Notes"/>
  </tableColumns>
  <tableStyleInfo name="TableStyleMedium2" showFirstColumn="0" showLastColumn="0" showRowStripes="1" showColumnStripes="0"/>
</table>
</file>

<file path=xl/tables/table4.xml><?xml version="1.0" encoding="utf-8"?>
<table xmlns="http://schemas.openxmlformats.org/spreadsheetml/2006/main" id="4" name="PrincipleMaster" displayName="PrincipleMaster" ref="A1:V300" headerRowCount="1" totalsRowCount="0" totalsRowShown="0">
  <tableColumns count="22">
    <tableColumn id="1" name="Principle ID"/>
    <tableColumn id="2" name="Status"/>
    <tableColumn id="3" name="Principle Name"/>
    <tableColumn id="4" name="Domain"/>
    <tableColumn id="5" name="Definition / Claim"/>
    <tableColumn id="6" name="Source Title"/>
    <tableColumn id="7" name="Source Author / Institution"/>
    <tableColumn id="8" name="Source URL"/>
    <tableColumn id="9" name="Source Type"/>
    <tableColumn id="10" name="Evidence / Basis"/>
    <tableColumn id="11" name="Limitations / Counterpoints"/>
    <tableColumn id="12" name="Verification Grade"/>
    <tableColumn id="13" name="Related AI-doc Principle"/>
    <tableColumn id="14" name="Human Experience Link"/>
    <tableColumn id="15" name="Cluster Primary"/>
    <tableColumn id="16" name="Editorial Relevance"/>
    <tableColumn id="17" name="Related Quote ID(s)"/>
    <tableColumn id="18" name="Related Story ID(s)"/>
    <tableColumn id="19" name="Selflo Use"/>
    <tableColumn id="20" name="Selflo Original Seed Allowed?"/>
    <tableColumn id="21" name="Collected Day"/>
    <tableColumn id="22" name="Notes"/>
  </tableColumns>
  <tableStyleInfo name="TableStyleMedium2" showFirstColumn="0" showLastColumn="0" showRowStripes="1" showColumnStripes="0"/>
</table>
</file>

<file path=xl/tables/table5.xml><?xml version="1.0" encoding="utf-8"?>
<table xmlns="http://schemas.openxmlformats.org/spreadsheetml/2006/main" id="5" name="SourceMaster" displayName="SourceMaster" ref="A1:Q300" headerRowCount="1" totalsRowCount="0" totalsRowShown="0">
  <tableColumns count="17">
    <tableColumn id="1" name="Source ID"/>
    <tableColumn id="2" name="Author / Tradition"/>
    <tableColumn id="3" name="Culture / Region"/>
    <tableColumn id="4" name="Source Title"/>
    <tableColumn id="5" name="Source Type"/>
    <tableColumn id="6" name="Original Language"/>
    <tableColumn id="7" name="Approx. Date / Era"/>
    <tableColumn id="8" name="Primary URL"/>
    <tableColumn id="9" name="Secondary Verification URL"/>
    <tableColumn id="10" name="Reliability Tier"/>
    <tableColumn id="11" name="Public Domain?"/>
    <tableColumn id="12" name="Rights Notes"/>
    <tableColumn id="13" name="Used for Quote IDs"/>
    <tableColumn id="14" name="Used for Story IDs"/>
    <tableColumn id="15" name="Used for Principle IDs"/>
    <tableColumn id="16" name="First Collected Day"/>
    <tableColumn id="17" name="Verification Notes"/>
  </tableColumns>
  <tableStyleInfo name="TableStyleMedium2" showFirstColumn="0" showLastColumn="0" showRowStripes="1" showColumnStripes="0"/>
</table>
</file>

<file path=xl/tables/table6.xml><?xml version="1.0" encoding="utf-8"?>
<table xmlns="http://schemas.openxmlformats.org/spreadsheetml/2006/main" id="6" name="DailyLog" displayName="DailyLog" ref="A1:M100" headerRowCount="1" totalsRowCount="0" totalsRowShown="0">
  <tableColumns count="13">
    <tableColumn id="1" name="Date"/>
    <tableColumn id="2" name="Day"/>
    <tableColumn id="3" name="Phase"/>
    <tableColumn id="4" name="Focus"/>
    <tableColumn id="5" name="Quotes Added"/>
    <tableColumn id="6" name="Stories Added"/>
    <tableColumn id="7" name="Principles Added"/>
    <tableColumn id="8" name="Sources Added"/>
    <tableColumn id="9" name="Verification A/B"/>
    <tableColumn id="10" name="Rejected / Disputed"/>
    <tableColumn id="11" name="Key Discoveries"/>
    <tableColumn id="12" name="Coverage Gaps Found"/>
    <tableColumn id="13" name="Next Action"/>
  </tableColumns>
  <tableStyleInfo name="TableStyleMedium2" showFirstColumn="0" showLastColumn="0" showRowStripes="1" showColumnStripes="0"/>
</table>
</file>

<file path=xl/tables/table7.xml><?xml version="1.0" encoding="utf-8"?>
<table xmlns="http://schemas.openxmlformats.org/spreadsheetml/2006/main" id="7" name="ExperienceMap" displayName="ExperienceMap" ref="A1:K200" headerRowCount="1" totalsRowCount="0" totalsRowShown="0">
  <tableColumns count="11">
    <tableColumn id="1" name="Experience ID"/>
    <tableColumn id="2" name="Cluster"/>
    <tableColumn id="3" name="Human Experience / Tension"/>
    <tableColumn id="4" name="User-like Example"/>
    <tableColumn id="5" name="Needed Editorial Job"/>
    <tableColumn id="6" name="Quote Target"/>
    <tableColumn id="7" name="Quote Actual"/>
    <tableColumn id="8" name="Story Actual"/>
    <tableColumn id="9" name="Principle Actual"/>
    <tableColumn id="10" name="Coverage 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QuoteMasterV2" displayName="QuoteMasterV2" ref="A1:AQ500" headerRowCount="1" totalsRowCount="0" totalsRowShown="0">
  <tableColumns count="43">
    <tableColumn id="1" name="Quote ID"/>
    <tableColumn id="2" name="Trạng thái"/>
    <tableColumn id="3" name="Lĩnh vực cuộc sống (Life Area)"/>
    <tableColumn id="4" name="Cluster chính"/>
    <tableColumn id="5" name="Cluster phụ"/>
    <tableColumn id="6" name="Trải nghiệm con người (Human Experience)"/>
    <tableColumn id="7" name="Chủ đề chính (Theme)"/>
    <tableColumn id="8" name="Chủ đề phụ"/>
    <tableColumn id="9" name="Cảm xúc / trạng thái chính"/>
    <tableColumn id="10" name="Cảm xúc / trạng thái phụ"/>
    <tableColumn id="11" name="Vai trò biên tập chính"/>
    <tableColumn id="12" name="Vai trò biên tập phụ"/>
    <tableColumn id="13" name="Hình thức nội dung (Content Form)"/>
    <tableColumn id="14" name="Nguyên văn"/>
    <tableColumn id="15" name="Ngôn ngữ"/>
    <tableColumn id="16" name="Bản dịch / bản làm việc tiếng Việt"/>
    <tableColumn id="17" name="Tác giả / Attribution"/>
    <tableColumn id="18" name="Truyền thống / khu vực"/>
    <tableColumn id="19" name="Tên nguồn / tác phẩm"/>
    <tableColumn id="20" name="Chương / vị trí"/>
    <tableColumn id="21" name="Source URL"/>
    <tableColumn id="22" name="Loại nguồn"/>
    <tableColumn id="23" name="Loại quote"/>
    <tableColumn id="24" name="Mức xác minh"/>
    <tableColumn id="25" name="Ghi chú xác minh"/>
    <tableColumn id="26" name="Quyền sử dụng"/>
    <tableColumn id="27" name="Ghi chú copyright / usage"/>
    <tableColumn id="28" name="Mức phù hợp Selflo"/>
    <tableColumn id="29" name="Ghi chú Selflo Fit"/>
    <tableColumn id="30" name="Rủi ro giáo điều / directive"/>
    <tableColumn id="31" name="Rủi ro trùng ý"/>
    <tableColumn id="32" name="Principle ID liên quan"/>
    <tableColumn id="33" name="Story ID liên quan"/>
    <tableColumn id="34" name="Story dependency gate"/>
    <tableColumn id="35" name="Owner review"/>
    <tableColumn id="36" name="Release readiness"/>
    <tableColumn id="37" name="Vị trí library hiện tại"/>
    <tableColumn id="38" name="Ngày trong plan"/>
    <tableColumn id="39" name="Người thu thập"/>
    <tableColumn id="40" name="Ngày thu thập"/>
    <tableColumn id="41" name="Ghi chú"/>
    <tableColumn id="42" name="Column42"/>
    <tableColumn id="43" name="Column4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4.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34" customWidth="1" style="42" min="1" max="1"/>
    <col width="20" customWidth="1" style="42" min="2" max="2"/>
    <col width="20" customWidth="1" style="42" min="3" max="3"/>
    <col width="30" customWidth="1" style="42" min="4" max="4"/>
    <col width="26" customWidth="1" style="42" min="5" max="5"/>
    <col width="16" customWidth="1" style="42" min="6" max="6"/>
    <col width="24" customWidth="1" style="42" min="7" max="7"/>
    <col width="32" customWidth="1" style="42" min="8" max="8"/>
    <col width="26" customWidth="1" style="42" min="9" max="9"/>
    <col width="28" customWidth="1" style="42" min="10" max="10"/>
    <col width="28" customWidth="1" style="42" min="11" max="11"/>
    <col width="34" customWidth="1" style="42" min="12" max="12"/>
    <col width="24" customWidth="1" style="42" min="13" max="13"/>
    <col width="28" customWidth="1" style="42" min="14" max="14"/>
    <col width="34" customWidth="1" style="42" min="15" max="15"/>
    <col width="18" customWidth="1" style="42" min="16" max="16"/>
  </cols>
  <sheetData>
    <row r="1">
      <c r="A1" s="6" t="inlineStr">
        <is>
          <t>Cluster</t>
        </is>
      </c>
      <c r="B1" s="6" t="inlineStr">
        <is>
          <t>Editorial Role</t>
        </is>
      </c>
      <c r="C1" s="6" t="inlineStr">
        <is>
          <t>Item Status</t>
        </is>
      </c>
      <c r="D1" s="6" t="inlineStr">
        <is>
          <t>Verification Grade</t>
        </is>
      </c>
      <c r="E1" s="6" t="inlineStr">
        <is>
          <t>Rights Status</t>
        </is>
      </c>
      <c r="F1" s="6" t="inlineStr">
        <is>
          <t>Selflo Fit</t>
        </is>
      </c>
      <c r="G1" s="6" t="inlineStr">
        <is>
          <t>Source Type</t>
        </is>
      </c>
      <c r="H1" s="6" t="inlineStr">
        <is>
          <t>Quote Type</t>
        </is>
      </c>
      <c r="I1" s="6" t="inlineStr">
        <is>
          <t>Story Type</t>
        </is>
      </c>
      <c r="J1" s="6" t="inlineStr">
        <is>
          <t>Tradition / Region</t>
        </is>
      </c>
      <c r="K1" s="6" t="inlineStr">
        <is>
          <t>Release Readiness</t>
        </is>
      </c>
      <c r="L1" s="50" t="inlineStr">
        <is>
          <t>Lĩnh vực cuộc sống (Life Area)</t>
        </is>
      </c>
      <c r="M1" s="50" t="inlineStr">
        <is>
          <t>Chủ đề (Theme)</t>
        </is>
      </c>
      <c r="N1" s="50" t="inlineStr">
        <is>
          <t>Cảm xúc / trạng thái (Emotion / State)</t>
        </is>
      </c>
      <c r="O1" s="50" t="inlineStr">
        <is>
          <t>Hình thức nội dung (Content Form)</t>
        </is>
      </c>
      <c r="P1" s="50" t="inlineStr">
        <is>
          <t>Mức Coverage</t>
        </is>
      </c>
    </row>
    <row r="2">
      <c r="A2" t="inlineStr">
        <is>
          <t>Exhaustion / Recovery / Work carryover</t>
        </is>
      </c>
      <c r="B2" t="inlineStr">
        <is>
          <t>Recognize</t>
        </is>
      </c>
      <c r="C2" t="inlineStr">
        <is>
          <t>Planned</t>
        </is>
      </c>
      <c r="D2" t="inlineStr">
        <is>
          <t>A - Primary source</t>
        </is>
      </c>
      <c r="E2" t="inlineStr">
        <is>
          <t>Public domain / likely</t>
        </is>
      </c>
      <c r="F2" t="inlineStr">
        <is>
          <t>High</t>
        </is>
      </c>
      <c r="G2" t="inlineStr">
        <is>
          <t>Primary text</t>
        </is>
      </c>
      <c r="H2" t="inlineStr">
        <is>
          <t>Verbatim</t>
        </is>
      </c>
      <c r="I2" t="inlineStr">
        <is>
          <t>Parable</t>
        </is>
      </c>
      <c r="J2" t="inlineStr">
        <is>
          <t>Taoism</t>
        </is>
      </c>
      <c r="K2" t="inlineStr">
        <is>
          <t>Not reviewed</t>
        </is>
      </c>
      <c r="L2" t="inlineStr">
        <is>
          <t>Nội tâm &amp; hiểu mình</t>
        </is>
      </c>
      <c r="M2" t="inlineStr">
        <is>
          <t>Acceptance</t>
        </is>
      </c>
      <c r="N2" t="inlineStr">
        <is>
          <t>Mệt mỏi</t>
        </is>
      </c>
      <c r="O2" t="inlineStr">
        <is>
          <t>Quan sát trực tiếp</t>
        </is>
      </c>
      <c r="P2" t="inlineStr">
        <is>
          <t>Missing</t>
        </is>
      </c>
    </row>
    <row r="3">
      <c r="A3" t="inlineStr">
        <is>
          <t>Self-compassion / Self-blame</t>
        </is>
      </c>
      <c r="B3" t="inlineStr">
        <is>
          <t>Name</t>
        </is>
      </c>
      <c r="C3" t="inlineStr">
        <is>
          <t>Collected</t>
        </is>
      </c>
      <c r="D3" t="inlineStr">
        <is>
          <t>B - Authoritative secondary</t>
        </is>
      </c>
      <c r="E3" t="inlineStr">
        <is>
          <t>Copyrighted / research only</t>
        </is>
      </c>
      <c r="F3" t="inlineStr">
        <is>
          <t>Medium</t>
        </is>
      </c>
      <c r="G3" t="inlineStr">
        <is>
          <t>Book</t>
        </is>
      </c>
      <c r="H3" t="inlineStr">
        <is>
          <t>Working translation</t>
        </is>
      </c>
      <c r="I3" t="inlineStr">
        <is>
          <t>Folktale</t>
        </is>
      </c>
      <c r="J3" t="inlineStr">
        <is>
          <t>Stoicism</t>
        </is>
      </c>
      <c r="K3" t="inlineStr">
        <is>
          <t>Research only</t>
        </is>
      </c>
      <c r="L3" t="inlineStr">
        <is>
          <t>Cảm xúc</t>
        </is>
      </c>
      <c r="M3" t="inlineStr">
        <is>
          <t>Agency</t>
        </is>
      </c>
      <c r="N3" t="inlineStr">
        <is>
          <t>Cạn năng lượng</t>
        </is>
      </c>
      <c r="O3" t="inlineStr">
        <is>
          <t>Ẩn dụ</t>
        </is>
      </c>
      <c r="P3" t="inlineStr">
        <is>
          <t>Thin</t>
        </is>
      </c>
    </row>
    <row r="4">
      <c r="A4" t="inlineStr">
        <is>
          <t>Uncertainty / Choice / Agency</t>
        </is>
      </c>
      <c r="B4" t="inlineStr">
        <is>
          <t>Permit</t>
        </is>
      </c>
      <c r="C4" t="inlineStr">
        <is>
          <t>Needs Verification</t>
        </is>
      </c>
      <c r="D4" t="inlineStr">
        <is>
          <t>C - Plausible / needs primary</t>
        </is>
      </c>
      <c r="E4" t="inlineStr">
        <is>
          <t>Permission needed</t>
        </is>
      </c>
      <c r="F4" t="inlineStr">
        <is>
          <t>Low</t>
        </is>
      </c>
      <c r="G4" t="inlineStr">
        <is>
          <t>Speech</t>
        </is>
      </c>
      <c r="H4" t="inlineStr">
        <is>
          <t>Published translation</t>
        </is>
      </c>
      <c r="I4" t="inlineStr">
        <is>
          <t>Historical episode</t>
        </is>
      </c>
      <c r="J4" t="inlineStr">
        <is>
          <t>Early Buddhism</t>
        </is>
      </c>
      <c r="K4" t="inlineStr">
        <is>
          <t>Blocked - source</t>
        </is>
      </c>
      <c r="L4" t="inlineStr">
        <is>
          <t>Công việc &amp; mục đích</t>
        </is>
      </c>
      <c r="M4" t="inlineStr">
        <is>
          <t>Attention</t>
        </is>
      </c>
      <c r="N4" t="inlineStr">
        <is>
          <t>Lo lắng</t>
        </is>
      </c>
      <c r="O4" t="inlineStr">
        <is>
          <t>Câu hỏi</t>
        </is>
      </c>
      <c r="P4" t="inlineStr">
        <is>
          <t>Covered</t>
        </is>
      </c>
    </row>
    <row r="5">
      <c r="A5" t="inlineStr">
        <is>
          <t>Comparison / External standards / Values</t>
        </is>
      </c>
      <c r="B5" t="inlineStr">
        <is>
          <t>Reframe</t>
        </is>
      </c>
      <c r="C5" t="inlineStr">
        <is>
          <t>Verified</t>
        </is>
      </c>
      <c r="D5" t="inlineStr">
        <is>
          <t>D - Disputed / internet-only</t>
        </is>
      </c>
      <c r="E5" t="inlineStr">
        <is>
          <t>Selflo owned</t>
        </is>
      </c>
      <c r="F5" t="inlineStr">
        <is>
          <t>Not reviewed</t>
        </is>
      </c>
      <c r="G5" t="inlineStr">
        <is>
          <t>Letter</t>
        </is>
      </c>
      <c r="H5" t="inlineStr">
        <is>
          <t>Paraphrase</t>
        </is>
      </c>
      <c r="I5" t="inlineStr">
        <is>
          <t>Biography episode</t>
        </is>
      </c>
      <c r="J5" t="inlineStr">
        <is>
          <t>Greek philosophy</t>
        </is>
      </c>
      <c r="K5" t="inlineStr">
        <is>
          <t>Blocked - rights</t>
        </is>
      </c>
      <c r="L5" t="inlineStr">
        <is>
          <t>Quan hệ</t>
        </is>
      </c>
      <c r="M5" t="inlineStr">
        <is>
          <t>Boundaries</t>
        </is>
      </c>
      <c r="N5" t="inlineStr">
        <is>
          <t>Sợ hãi</t>
        </is>
      </c>
      <c r="O5" t="inlineStr">
        <is>
          <t>Nghịch lý</t>
        </is>
      </c>
      <c r="P5" t="inlineStr">
        <is>
          <t>Rich</t>
        </is>
      </c>
    </row>
    <row r="6">
      <c r="A6" t="inlineStr">
        <is>
          <t>Attention / Noise / Deep focus</t>
        </is>
      </c>
      <c r="B6" t="inlineStr">
        <is>
          <t>Distinguish</t>
        </is>
      </c>
      <c r="C6" t="inlineStr">
        <is>
          <t>Needs Edit</t>
        </is>
      </c>
      <c r="D6" t="inlineStr">
        <is>
          <t>N/A - Selflo Original</t>
        </is>
      </c>
      <c r="E6" t="inlineStr">
        <is>
          <t>Unknown / verify</t>
        </is>
      </c>
      <c r="G6" t="inlineStr">
        <is>
          <t>Poem</t>
        </is>
      </c>
      <c r="H6" t="inlineStr">
        <is>
          <t>Proverb / traditional</t>
        </is>
      </c>
      <c r="I6" t="inlineStr">
        <is>
          <t>Research case</t>
        </is>
      </c>
      <c r="J6" t="inlineStr">
        <is>
          <t>Indian philosophy</t>
        </is>
      </c>
      <c r="K6" t="inlineStr">
        <is>
          <t>Blocked - story dependency</t>
        </is>
      </c>
      <c r="L6" t="inlineStr">
        <is>
          <t>Gia đình</t>
        </is>
      </c>
      <c r="M6" t="inlineStr">
        <is>
          <t>Change</t>
        </is>
      </c>
      <c r="N6" t="inlineStr">
        <is>
          <t>Bối rối</t>
        </is>
      </c>
      <c r="O6" t="inlineStr">
        <is>
          <t>Tục ngữ / ca dao / thành ngữ</t>
        </is>
      </c>
    </row>
    <row r="7">
      <c r="A7" t="inlineStr">
        <is>
          <t>Learning / Failure / Quiet growth</t>
        </is>
      </c>
      <c r="B7" t="inlineStr">
        <is>
          <t>Return agency</t>
        </is>
      </c>
      <c r="C7" t="inlineStr">
        <is>
          <t>Shortlisted</t>
        </is>
      </c>
      <c r="G7" t="inlineStr">
        <is>
          <t>Proverb</t>
        </is>
      </c>
      <c r="H7" t="inlineStr">
        <is>
          <t>Selflo Original - AI-assisted draft</t>
        </is>
      </c>
      <c r="I7" t="inlineStr">
        <is>
          <t>Journalism case</t>
        </is>
      </c>
      <c r="J7" t="inlineStr">
        <is>
          <t>Vietnamese wisdom</t>
        </is>
      </c>
      <c r="K7" t="inlineStr">
        <is>
          <t>Needs owner review</t>
        </is>
      </c>
      <c r="L7" t="inlineStr">
        <is>
          <t>Lựa chọn &amp; định hướng</t>
        </is>
      </c>
      <c r="M7" t="inlineStr">
        <is>
          <t>Choice</t>
        </is>
      </c>
      <c r="N7" t="inlineStr">
        <is>
          <t>Không chắc chắn</t>
        </is>
      </c>
      <c r="O7" t="inlineStr">
        <is>
          <t>Thơ / văn vần</t>
        </is>
      </c>
    </row>
    <row r="8">
      <c r="A8" t="inlineStr">
        <is>
          <t>Change / Impermanence / Recovery</t>
        </is>
      </c>
      <c r="C8" t="inlineStr">
        <is>
          <t>Release</t>
        </is>
      </c>
      <c r="G8" t="inlineStr">
        <is>
          <t>Folk tradition</t>
        </is>
      </c>
      <c r="H8" t="inlineStr">
        <is>
          <t>Selflo Original - owner edited</t>
        </is>
      </c>
      <c r="I8" t="inlineStr">
        <is>
          <t>Documented personal account</t>
        </is>
      </c>
      <c r="J8" t="inlineStr">
        <is>
          <t>Chinese classics</t>
        </is>
      </c>
      <c r="K8" t="inlineStr">
        <is>
          <t>Ready candidate</t>
        </is>
      </c>
      <c r="L8" t="inlineStr">
        <is>
          <t>Học hỏi &amp; phát triển</t>
        </is>
      </c>
      <c r="M8" t="inlineStr">
        <is>
          <t>Comparison</t>
        </is>
      </c>
      <c r="N8" t="inlineStr">
        <is>
          <t>Tội lỗi</t>
        </is>
      </c>
      <c r="O8" t="inlineStr">
        <is>
          <t>Đối thoại</t>
        </is>
      </c>
    </row>
    <row r="9">
      <c r="A9" t="inlineStr">
        <is>
          <t>Mixed emotions / Emotional memory</t>
        </is>
      </c>
      <c r="C9" t="inlineStr">
        <is>
          <t>Hold</t>
        </is>
      </c>
      <c r="G9" t="inlineStr">
        <is>
          <t>Parable</t>
        </is>
      </c>
      <c r="I9" t="inlineStr">
        <is>
          <t>Literary episode</t>
        </is>
      </c>
      <c r="J9" t="inlineStr">
        <is>
          <t>Japanese wisdom / Zen</t>
        </is>
      </c>
      <c r="K9" t="inlineStr">
        <is>
          <t>Released</t>
        </is>
      </c>
      <c r="L9" t="inlineStr">
        <is>
          <t>Nghỉ ngơi &amp; sức khỏe tinh thần</t>
        </is>
      </c>
      <c r="M9" t="inlineStr">
        <is>
          <t>Compassion</t>
        </is>
      </c>
      <c r="N9" t="inlineStr">
        <is>
          <t>Xấu hổ</t>
        </is>
      </c>
      <c r="O9" t="inlineStr">
        <is>
          <t>Trích đoạn triết học</t>
        </is>
      </c>
    </row>
    <row r="10">
      <c r="A10" t="inlineStr">
        <is>
          <t>Meaning / Identity / Work</t>
        </is>
      </c>
      <c r="C10" t="inlineStr">
        <is>
          <t>Rejected</t>
        </is>
      </c>
      <c r="G10" t="inlineStr">
        <is>
          <t>Historical case</t>
        </is>
      </c>
      <c r="J10" t="inlineStr">
        <is>
          <t>Persian</t>
        </is>
      </c>
      <c r="L10" t="inlineStr">
        <is>
          <t>Ý nghĩa &amp; bản sắc</t>
        </is>
      </c>
      <c r="M10" t="inlineStr">
        <is>
          <t>Control</t>
        </is>
      </c>
      <c r="N10" t="inlineStr">
        <is>
          <t>Tức giận</t>
        </is>
      </c>
      <c r="O10" t="inlineStr">
        <is>
          <t>Research-informed observation</t>
        </is>
      </c>
    </row>
    <row r="11">
      <c r="A11" t="inlineStr">
        <is>
          <t>AI-age Human Judgment</t>
        </is>
      </c>
      <c r="G11" t="inlineStr">
        <is>
          <t>Biography</t>
        </is>
      </c>
      <c r="J11" t="inlineStr">
        <is>
          <t>Middle Eastern / Arabic</t>
        </is>
      </c>
      <c r="L11" t="inlineStr">
        <is>
          <t>Thay đổi / mất mát / chuyển tiếp</t>
        </is>
      </c>
      <c r="M11" t="inlineStr">
        <is>
          <t>Enoughness</t>
        </is>
      </c>
      <c r="N11" t="inlineStr">
        <is>
          <t>Buồn</t>
        </is>
      </c>
      <c r="O11" t="inlineStr">
        <is>
          <t>Story-derived insight</t>
        </is>
      </c>
    </row>
    <row r="12">
      <c r="A12" t="inlineStr">
        <is>
          <t>Relationships / Boundaries / Connection</t>
        </is>
      </c>
      <c r="G12" t="inlineStr">
        <is>
          <t>Research paper</t>
        </is>
      </c>
      <c r="J12" t="inlineStr">
        <is>
          <t>African traditions</t>
        </is>
      </c>
      <c r="L12" t="inlineStr">
        <is>
          <t>Xã hội &amp; văn hóa</t>
        </is>
      </c>
      <c r="M12" t="inlineStr">
        <is>
          <t>Failure</t>
        </is>
      </c>
      <c r="N12" t="inlineStr">
        <is>
          <t>Cô đơn</t>
        </is>
      </c>
      <c r="O12" t="inlineStr">
        <is>
          <t>Traditional wisdom</t>
        </is>
      </c>
    </row>
    <row r="13">
      <c r="A13" t="inlineStr">
        <is>
          <t>Rest / Limits / Wellbeing</t>
        </is>
      </c>
      <c r="G13" t="inlineStr">
        <is>
          <t>Institutional source</t>
        </is>
      </c>
      <c r="J13" t="inlineStr">
        <is>
          <t>Jewish wisdom</t>
        </is>
      </c>
      <c r="L13" t="inlineStr">
        <is>
          <t>AI &amp; tương lai</t>
        </is>
      </c>
      <c r="M13" t="inlineStr">
        <is>
          <t>Fear</t>
        </is>
      </c>
      <c r="N13" t="inlineStr">
        <is>
          <t>Trống rỗng</t>
        </is>
      </c>
      <c r="O13" t="inlineStr">
        <is>
          <t>Selflo Original</t>
        </is>
      </c>
    </row>
    <row r="14">
      <c r="G14" t="inlineStr">
        <is>
          <t>Journalism</t>
        </is>
      </c>
      <c r="J14" t="inlineStr">
        <is>
          <t>European folk</t>
        </is>
      </c>
      <c r="M14" t="inlineStr">
        <is>
          <t>Grief</t>
        </is>
      </c>
      <c r="N14" t="inlineStr">
        <is>
          <t>Tê liệt</t>
        </is>
      </c>
    </row>
    <row r="15">
      <c r="G15" t="inlineStr">
        <is>
          <t>Secondary scholarship</t>
        </is>
      </c>
      <c r="J15" t="inlineStr">
        <is>
          <t>World literature</t>
        </is>
      </c>
      <c r="M15" t="inlineStr">
        <is>
          <t>Identity</t>
        </is>
      </c>
      <c r="N15" t="inlineStr">
        <is>
          <t>Tiếc nuối</t>
        </is>
      </c>
    </row>
    <row r="16">
      <c r="G16" t="inlineStr">
        <is>
          <t>Selflo Original</t>
        </is>
      </c>
      <c r="J16" t="inlineStr">
        <is>
          <t>Modern philosophy</t>
        </is>
      </c>
      <c r="M16" t="inlineStr">
        <is>
          <t>Impermanence</t>
        </is>
      </c>
      <c r="N16" t="inlineStr">
        <is>
          <t>Nhẹ nhõm</t>
        </is>
      </c>
    </row>
    <row r="17">
      <c r="J17" t="inlineStr">
        <is>
          <t>Psychology</t>
        </is>
      </c>
      <c r="M17" t="inlineStr">
        <is>
          <t>Judgment</t>
        </is>
      </c>
      <c r="N17" t="inlineStr">
        <is>
          <t>Hy vọng</t>
        </is>
      </c>
    </row>
    <row r="18">
      <c r="J18" t="inlineStr">
        <is>
          <t>Human sciences</t>
        </is>
      </c>
      <c r="M18" t="inlineStr">
        <is>
          <t>Meaning</t>
        </is>
      </c>
      <c r="N18" t="inlineStr">
        <is>
          <t>Biết ơn</t>
        </is>
      </c>
    </row>
    <row r="19">
      <c r="J19" t="inlineStr">
        <is>
          <t>Modern work</t>
        </is>
      </c>
      <c r="M19" t="inlineStr">
        <is>
          <t>Patience</t>
        </is>
      </c>
      <c r="N19" t="inlineStr">
        <is>
          <t>Áp lực</t>
        </is>
      </c>
    </row>
    <row r="20">
      <c r="J20" t="inlineStr">
        <is>
          <t>AI-era research</t>
        </is>
      </c>
      <c r="M20" t="inlineStr">
        <is>
          <t>Recovery</t>
        </is>
      </c>
      <c r="N20" t="inlineStr">
        <is>
          <t>Quá tải</t>
        </is>
      </c>
    </row>
    <row r="21">
      <c r="J21" t="inlineStr">
        <is>
          <t>Other</t>
        </is>
      </c>
      <c r="M21" t="inlineStr">
        <is>
          <t>Responsibility</t>
        </is>
      </c>
      <c r="N21" t="inlineStr">
        <is>
          <t>Bình yên</t>
        </is>
      </c>
    </row>
    <row r="22">
      <c r="M22" t="inlineStr">
        <is>
          <t>Rest</t>
        </is>
      </c>
      <c r="N22" t="inlineStr">
        <is>
          <t>Mixed / contradictory</t>
        </is>
      </c>
    </row>
    <row r="23">
      <c r="M23" t="inlineStr">
        <is>
          <t>Self-worth</t>
        </is>
      </c>
      <c r="N23" t="inlineStr">
        <is>
          <t>Lingering emotion</t>
        </is>
      </c>
    </row>
    <row r="24">
      <c r="M24" t="inlineStr">
        <is>
          <t>Simplicity</t>
        </is>
      </c>
      <c r="N24" t="inlineStr">
        <is>
          <t>Không gọi tên được</t>
        </is>
      </c>
    </row>
    <row r="25">
      <c r="M25" t="inlineStr">
        <is>
          <t>Trust</t>
        </is>
      </c>
    </row>
    <row r="26">
      <c r="M26" t="inlineStr">
        <is>
          <t>Uncertainty</t>
        </is>
      </c>
    </row>
    <row r="27">
      <c r="M27" t="inlineStr">
        <is>
          <t>Values</t>
        </is>
      </c>
    </row>
    <row r="28">
      <c r="M28" t="inlineStr">
        <is>
          <t>Connection</t>
        </is>
      </c>
    </row>
    <row r="29">
      <c r="M29" t="inlineStr">
        <is>
          <t>Learning</t>
        </is>
      </c>
    </row>
    <row r="30">
      <c r="M30" t="inlineStr">
        <is>
          <t>Hope</t>
        </is>
      </c>
    </row>
    <row r="31">
      <c r="M31" t="inlineStr">
        <is>
          <t>Mortality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style="42" min="1" max="1"/>
    <col width="100" customWidth="1" style="42" min="2" max="2"/>
    <col width="24" customWidth="1" style="42" min="4" max="4"/>
    <col width="22" customWidth="1" style="42" min="5" max="5"/>
    <col width="22" customWidth="1" style="42" min="6" max="6"/>
    <col width="22" customWidth="1" style="42" min="7" max="7"/>
    <col width="22" customWidth="1" style="42" min="8" max="8"/>
  </cols>
  <sheetData>
    <row r="1">
      <c r="A1" s="17" t="inlineStr">
        <is>
          <t>SELFLO — Wisdom, Quote &amp; Story Research Library</t>
        </is>
      </c>
      <c r="B1" s="1" t="n"/>
      <c r="C1" s="1" t="n"/>
      <c r="D1" s="1" t="n"/>
      <c r="E1" s="1" t="n"/>
      <c r="F1" s="1" t="n"/>
      <c r="G1" s="1" t="n"/>
      <c r="H1" s="1" t="n"/>
    </row>
    <row r="3">
      <c r="A3" s="6" t="inlineStr">
        <is>
          <t>Mục</t>
        </is>
      </c>
      <c r="B3" s="6" t="inlineStr">
        <is>
          <t>Giải thích</t>
        </is>
      </c>
      <c r="D3" s="65" t="inlineStr">
        <is>
          <t>V2 — CÁCH HIỂU TAXONOMY</t>
        </is>
      </c>
      <c r="E3" s="1" t="n"/>
      <c r="F3" s="1" t="n"/>
      <c r="G3" s="1" t="n"/>
      <c r="H3" s="1" t="n"/>
    </row>
    <row r="4">
      <c r="A4" s="18" t="inlineStr">
        <is>
          <t>Mục tiêu</t>
        </is>
      </c>
      <c r="B4" s="18" t="inlineStr">
        <is>
          <t>Xây kho nguyên liệu lớn cho Selflo trước khi curate Release. Thu thập rộng, xác minh nguồn, chuẩn hóa, phân loại; KHÔNG mặc định nội dung thu thập sẽ được Release.</t>
        </is>
      </c>
      <c r="D4" s="56" t="inlineStr">
        <is>
          <t>Life Area</t>
        </is>
      </c>
      <c r="E4" s="1" t="inlineStr">
        <is>
          <t>Vùng đời sống rộng: Công việc, Quan hệ, Nội tâm...</t>
        </is>
      </c>
      <c r="F4" s="1" t="n"/>
      <c r="G4" s="1" t="n"/>
      <c r="H4" s="1" t="n"/>
    </row>
    <row r="5">
      <c r="A5" s="18" t="inlineStr">
        <is>
          <t>Pipeline</t>
        </is>
      </c>
      <c r="B5" s="18" t="inlineStr">
        <is>
          <t>Collect → Verify &amp; Normalize → Classify → Selflo Fit Review → Release Curation → Story Selection/Adaptation.</t>
        </is>
      </c>
      <c r="D5" s="56" t="inlineStr">
        <is>
          <t>Human Experience</t>
        </is>
      </c>
      <c r="E5" s="1" t="inlineStr">
        <is>
          <t>Trải nghiệm cụ thể. Đây là đơn vị coverage chính.</t>
        </is>
      </c>
      <c r="F5" s="1" t="n"/>
      <c r="G5" s="1" t="n"/>
      <c r="H5" s="1" t="n"/>
    </row>
    <row r="6">
      <c r="A6" s="18" t="inlineStr">
        <is>
          <t>Ưu tiên nguồn</t>
        </is>
      </c>
      <c r="B6" s="18" t="inlineStr">
        <is>
          <t>Primary/authoritative source trước. Tránh Pinterest/quote-card/random quote aggregators nếu không truy được nguồn gốc.</t>
        </is>
      </c>
      <c r="D6" s="56" t="inlineStr">
        <is>
          <t>Theme</t>
        </is>
      </c>
      <c r="E6" s="1" t="inlineStr">
        <is>
          <t>Ý tưởng/khái niệm được content chạm tới.</t>
        </is>
      </c>
      <c r="F6" s="1" t="n"/>
      <c r="G6" s="1" t="n"/>
      <c r="H6" s="1" t="n"/>
    </row>
    <row r="7">
      <c r="A7" s="18" t="inlineStr">
        <is>
          <t>Quote hiện đại</t>
        </is>
      </c>
      <c r="B7" s="18" t="inlineStr">
        <is>
          <t>Đặc biệt kiểm tra fake attribution. Một câu hay nhưng nguồn yếu vẫn có thể giữ Research Pool với Verification C/D, không được tự động Release.</t>
        </is>
      </c>
      <c r="D7" s="56" t="inlineStr">
        <is>
          <t>Emotion / State</t>
        </is>
      </c>
      <c r="E7" s="1" t="inlineStr">
        <is>
          <t>Cảm xúc/trạng thái biên tập; không phải chẩn đoán.</t>
        </is>
      </c>
      <c r="F7" s="1" t="n"/>
      <c r="G7" s="1" t="n"/>
      <c r="H7" s="1" t="n"/>
    </row>
    <row r="8">
      <c r="A8" s="18" t="inlineStr">
        <is>
          <t>Selflo Original</t>
        </is>
      </c>
      <c r="B8" s="18" t="inlineStr">
        <is>
          <t>Chỉ tạo khi external source không phủ tốt. Phải ghi rõ Selflo Original / AI-assisted draft; không gán cho tác giả khác và không paraphrase để né copyright.</t>
        </is>
      </c>
      <c r="D8" s="56" t="inlineStr">
        <is>
          <t>Editorial Role</t>
        </is>
      </c>
      <c r="E8" s="1" t="inlineStr">
        <is>
          <t>Quote làm gì: nhận ra, gọi tên, cho phép, đổi góc nhìn, phân biệt, trả quyền lựa chọn.</t>
        </is>
      </c>
      <c r="F8" s="1" t="n"/>
      <c r="G8" s="1" t="n"/>
      <c r="H8" s="1" t="n"/>
    </row>
    <row r="9">
      <c r="A9" s="18" t="inlineStr">
        <is>
          <t>Story</t>
        </is>
      </c>
      <c r="B9" s="18" t="inlineStr">
        <is>
          <t>Chỉ lưu story/parables/historical/research/journalism có provenance rõ. Không tự bịa story để lấp coverage.</t>
        </is>
      </c>
      <c r="D9" s="56" t="inlineStr">
        <is>
          <t>Content Form</t>
        </is>
      </c>
      <c r="E9" s="1" t="inlineStr">
        <is>
          <t>Cách thể hiện: quan sát, ẩn dụ, câu hỏi, tục ngữ, thơ...</t>
        </is>
      </c>
      <c r="F9" s="1" t="n"/>
      <c r="G9" s="1" t="n"/>
      <c r="H9" s="1" t="n"/>
    </row>
    <row r="10">
      <c r="A10" s="18" t="inlineStr">
        <is>
          <t>Principle Library</t>
        </is>
      </c>
      <c r="B10" s="18" t="inlineStr">
        <is>
          <t>Lưu nguyên lý từ philosophy, psychology, human sciences và tài liệu AI. Principle là research seed; không mặc định là quote cho user.</t>
        </is>
      </c>
      <c r="D10" s="56" t="inlineStr">
        <is>
          <t>Principle</t>
        </is>
      </c>
      <c r="E10" s="1" t="inlineStr">
        <is>
          <t>Triết lý/research đứng phía sau.</t>
        </is>
      </c>
      <c r="F10" s="1" t="n"/>
      <c r="G10" s="1" t="n"/>
      <c r="H10" s="1" t="n"/>
    </row>
    <row r="11">
      <c r="A11" s="18" t="inlineStr">
        <is>
          <t>Coverage</t>
        </is>
      </c>
      <c r="B11" s="18" t="inlineStr">
        <is>
          <t>Theo dõi cả cluster và human experience. Mục tiêu 50 item/cluster là target research pool, không phải quota Release.</t>
        </is>
      </c>
      <c r="D11" s="56" t="inlineStr">
        <is>
          <t>Coverage</t>
        </is>
      </c>
      <c r="E11" s="1" t="inlineStr">
        <is>
          <t>Không phải chỉ đếm quote. Xem breadth + role diversity + source diversity + form diversity + quality.</t>
        </is>
      </c>
      <c r="F11" s="1" t="n"/>
      <c r="G11" s="1" t="n"/>
      <c r="H11" s="1" t="n"/>
    </row>
    <row r="12">
      <c r="A12" s="18" t="inlineStr">
        <is>
          <t>Editorial roles</t>
        </is>
      </c>
      <c r="B12" s="18" t="inlineStr">
        <is>
          <t>Recognize / Name / Permit / Reframe / Distinguish / Return agency. Một item có thể có Primary Role + Secondary Role.</t>
        </is>
      </c>
    </row>
    <row r="13">
      <c r="A13" s="18" t="inlineStr">
        <is>
          <t>Verification</t>
        </is>
      </c>
      <c r="B13" s="18" t="inlineStr">
        <is>
          <t>A = primary source; B = authoritative secondary; C = plausible nhưng chưa có primary; D = disputed/internet-only; N/A = Selflo Original.</t>
        </is>
      </c>
    </row>
    <row r="14">
      <c r="A14" s="18" t="inlineStr">
        <is>
          <t>Rights</t>
        </is>
      </c>
      <c r="B14" s="18" t="inlineStr">
        <is>
          <t>Tách quality khỏi rights. Nội dung copyrighted vẫn có thể lưu Research Pool nhưng phải đánh dấu research-only/permission needed.</t>
        </is>
      </c>
    </row>
    <row r="15">
      <c r="A15" s="18" t="inlineStr">
        <is>
          <t>Cách dùng với AI</t>
        </is>
      </c>
      <c r="B15" s="18" t="inlineStr">
        <is>
          <t>Chọn một dòng trong 90-Day Plan, giao AI thực hiện theo AI Collection Guide, sau đó nhập kết quả vào Quote/Story/Principle/Source Library và cập nhật Actual.</t>
        </is>
      </c>
    </row>
    <row r="16">
      <c r="A16" s="18" t="inlineStr">
        <is>
          <t>Quy tắc không bịa</t>
        </is>
      </c>
      <c r="B16" s="18" t="inlineStr">
        <is>
          <t>Nếu không tìm được source URL/work/chapter đáng tin: để trống hoặc đánh dấu Needs Verification. Không tự tạo URL, tác giả, tác phẩm, câu chuyện hay provenance.</t>
        </is>
      </c>
    </row>
    <row r="17">
      <c r="A17" s="18" t="n"/>
      <c r="B17" s="18" t="n"/>
    </row>
    <row r="18">
      <c r="A18" s="18" t="n"/>
      <c r="B18" s="18" t="n"/>
    </row>
    <row r="19">
      <c r="A19" s="18" t="n"/>
      <c r="B19" s="18" t="n"/>
    </row>
    <row r="20">
      <c r="A20" s="18" t="n"/>
      <c r="B20" s="18" t="n"/>
    </row>
    <row r="21">
      <c r="A21" s="18" t="n"/>
      <c r="B21" s="18" t="n"/>
    </row>
    <row r="22">
      <c r="A22" s="18" t="n"/>
      <c r="B22" s="18" t="n"/>
    </row>
    <row r="23">
      <c r="A23" s="18" t="n"/>
      <c r="B23" s="18" t="n"/>
    </row>
    <row r="24">
      <c r="A24" s="18" t="n"/>
      <c r="B24" s="18" t="n"/>
    </row>
    <row r="25">
      <c r="A25" s="18" t="n"/>
      <c r="B25" s="18" t="n"/>
    </row>
    <row r="26">
      <c r="A26" s="18" t="n"/>
      <c r="B26" s="18" t="n"/>
    </row>
    <row r="27">
      <c r="A27" s="18" t="n"/>
      <c r="B27" s="18" t="n"/>
    </row>
    <row r="28">
      <c r="A28" s="18" t="n"/>
      <c r="B28" s="18" t="n"/>
    </row>
    <row r="29">
      <c r="A29" s="18" t="n"/>
      <c r="B29" s="18" t="n"/>
    </row>
    <row r="30">
      <c r="A30" s="18" t="n"/>
      <c r="B30" s="18" t="n"/>
    </row>
  </sheetData>
  <mergeCells count="10">
    <mergeCell ref="E9:H9"/>
    <mergeCell ref="E8:H8"/>
    <mergeCell ref="E4:H4"/>
    <mergeCell ref="E6:H6"/>
    <mergeCell ref="E7:H7"/>
    <mergeCell ref="A1:H1"/>
    <mergeCell ref="E11:H11"/>
    <mergeCell ref="E10:H10"/>
    <mergeCell ref="E5:H5"/>
    <mergeCell ref="D3:H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cols>
    <col width="7" customWidth="1" style="42" min="1" max="1"/>
    <col width="26" customWidth="1" style="42" min="2" max="2"/>
    <col width="28" customWidth="1" style="42" min="3" max="3"/>
    <col width="42" customWidth="1" style="42" min="4" max="4"/>
    <col width="58" customWidth="1" style="42" min="5" max="5"/>
    <col width="12" customWidth="1" style="42" min="6" max="6"/>
    <col width="12" customWidth="1" style="42" min="7" max="7"/>
    <col width="14" customWidth="1" style="42" min="8" max="8"/>
    <col width="12" customWidth="1" style="42" min="9" max="9"/>
    <col width="12" customWidth="1" style="42" min="10" max="10"/>
    <col width="14" customWidth="1" style="42" min="11" max="11"/>
    <col width="15" customWidth="1" style="42" min="12" max="12"/>
    <col width="12" customWidth="1" style="42" min="13" max="13"/>
    <col width="36" customWidth="1" style="42" min="14" max="14"/>
  </cols>
  <sheetData>
    <row r="1">
      <c r="A1" s="6" t="inlineStr">
        <is>
          <t>Day</t>
        </is>
      </c>
      <c r="B1" s="6" t="inlineStr">
        <is>
          <t>Phase</t>
        </is>
      </c>
      <c r="C1" s="6" t="inlineStr">
        <is>
          <t>Collection Focus</t>
        </is>
      </c>
      <c r="D1" s="6" t="inlineStr">
        <is>
          <t>Primary Sources / Traditions</t>
        </is>
      </c>
      <c r="E1" s="6" t="inlineStr">
        <is>
          <t>What to Collect</t>
        </is>
      </c>
      <c r="F1" s="6" t="inlineStr">
        <is>
          <t>Quote Target</t>
        </is>
      </c>
      <c r="G1" s="6" t="inlineStr">
        <is>
          <t>Story Target</t>
        </is>
      </c>
      <c r="H1" s="6" t="inlineStr">
        <is>
          <t>Principle Target</t>
        </is>
      </c>
      <c r="I1" s="6" t="inlineStr">
        <is>
          <t>Quote Actual</t>
        </is>
      </c>
      <c r="J1" s="6" t="inlineStr">
        <is>
          <t>Story Actual</t>
        </is>
      </c>
      <c r="K1" s="6" t="inlineStr">
        <is>
          <t>Principle Actual</t>
        </is>
      </c>
      <c r="L1" s="6" t="inlineStr">
        <is>
          <t>Status</t>
        </is>
      </c>
      <c r="M1" s="6" t="inlineStr">
        <is>
          <t>Progress %</t>
        </is>
      </c>
      <c r="N1" s="6" t="inlineStr">
        <is>
          <t>Notes</t>
        </is>
      </c>
    </row>
    <row r="2">
      <c r="A2" s="18" t="n">
        <v>1</v>
      </c>
      <c r="B2" s="18" t="inlineStr">
        <is>
          <t>A. Ancient Foundations</t>
        </is>
      </c>
      <c r="C2" s="18" t="inlineStr">
        <is>
          <t>Laozi I</t>
        </is>
      </c>
      <c r="D2" s="18" t="inlineStr">
        <is>
          <t>Tao Te Ching ch. 1–20</t>
        </is>
      </c>
      <c r="E2" s="18" t="inlineStr">
        <is>
          <t>Passages on opposites, desire, knowing, simplicity; original Chinese + chapter + working VI</t>
        </is>
      </c>
      <c r="F2" s="18" t="n">
        <v>20</v>
      </c>
      <c r="G2" s="18" t="n">
        <v>1</v>
      </c>
      <c r="H2" s="18" t="n">
        <v>4</v>
      </c>
      <c r="I2" s="18" t="n">
        <v>63</v>
      </c>
      <c r="J2" s="18" t="n">
        <v>0</v>
      </c>
      <c r="K2" s="18" t="n">
        <v>10</v>
      </c>
      <c r="L2" s="18" t="inlineStr">
        <is>
          <t>Done</t>
        </is>
      </c>
      <c r="M2" s="66">
        <f>1</f>
        <v/>
      </c>
      <c r="N2" s="18" t="inlineStr">
        <is>
          <t>FULL SCOPE AUDIT complete. 63 candidate passages; 0 true stories; 10 principle seeds. Original Classical Chinese retained; Vietnamese is working translation.</t>
        </is>
      </c>
    </row>
    <row r="3">
      <c r="A3" s="18" t="n">
        <v>2</v>
      </c>
      <c r="B3" s="18" t="inlineStr">
        <is>
          <t>A. Ancient Foundations</t>
        </is>
      </c>
      <c r="C3" s="18" t="inlineStr">
        <is>
          <t>Laozi II</t>
        </is>
      </c>
      <c r="D3" s="18" t="inlineStr">
        <is>
          <t>Tao Te Ching ch. 21–50</t>
        </is>
      </c>
      <c r="E3" s="18" t="inlineStr">
        <is>
          <t>Non-action, softness, enoughness, humility, change</t>
        </is>
      </c>
      <c r="F3" s="18" t="n">
        <v>20</v>
      </c>
      <c r="G3" s="18" t="n">
        <v>1</v>
      </c>
      <c r="H3" s="18" t="n">
        <v>4</v>
      </c>
      <c r="I3" s="18" t="n">
        <v>118</v>
      </c>
      <c r="J3" s="18" t="n">
        <v>0</v>
      </c>
      <c r="K3" s="18" t="n">
        <v>12</v>
      </c>
      <c r="L3" s="18" t="inlineStr">
        <is>
          <t>Done</t>
        </is>
      </c>
      <c r="M3" s="66" t="n">
        <v>1</v>
      </c>
      <c r="N3" s="18" t="inlineStr">
        <is>
          <t>FULL SCOPE AUDIT complete for Laozi chapters 21–50. 118 candidates; 0 true stories; 12 principle seeds. Original Chinese retained; Vietnamese is working translation.</t>
        </is>
      </c>
    </row>
    <row r="4">
      <c r="A4" s="18" t="n">
        <v>3</v>
      </c>
      <c r="B4" s="18" t="inlineStr">
        <is>
          <t>A. Ancient Foundations</t>
        </is>
      </c>
      <c r="C4" s="18" t="inlineStr">
        <is>
          <t>Laozi III</t>
        </is>
      </c>
      <c r="D4" s="18" t="inlineStr">
        <is>
          <t>Tao Te Ching ch. 51–81</t>
        </is>
      </c>
      <c r="E4" s="18" t="inlineStr">
        <is>
          <t>Loss/gain, control, contentment, strength/softness; deduplicate Laozi</t>
        </is>
      </c>
      <c r="F4" s="18" t="n">
        <v>20</v>
      </c>
      <c r="G4" s="18" t="n">
        <v>1</v>
      </c>
      <c r="H4" s="18" t="n">
        <v>4</v>
      </c>
      <c r="I4" s="18" t="str"/>
      <c r="J4" s="18" t="str"/>
      <c r="K4" s="18" t="str"/>
      <c r="L4" s="18" t="inlineStr">
        <is>
          <t>Planned</t>
        </is>
      </c>
      <c r="M4" s="66">
        <f>IFERROR((I4+J4+K4)/(F4+G4+H4),0)</f>
        <v/>
      </c>
      <c r="N4" s="18" t="str"/>
    </row>
    <row r="5">
      <c r="A5" s="18" t="n">
        <v>4</v>
      </c>
      <c r="B5" s="18" t="inlineStr">
        <is>
          <t>A. Ancient Foundations</t>
        </is>
      </c>
      <c r="C5" s="18" t="inlineStr">
        <is>
          <t>Zhuangzi</t>
        </is>
      </c>
      <c r="D5" s="18" t="inlineStr">
        <is>
          <t>Zhuangzi primary text</t>
        </is>
      </c>
      <c r="E5" s="18" t="inlineStr">
        <is>
          <t>Passages + parables: Butterfly Dream, Empty Boat, Useless Tree, Cook Ding, etc.</t>
        </is>
      </c>
      <c r="F5" s="18" t="n">
        <v>20</v>
      </c>
      <c r="G5" s="18" t="n">
        <v>7</v>
      </c>
      <c r="H5" s="18" t="n">
        <v>5</v>
      </c>
      <c r="I5" s="18" t="str"/>
      <c r="J5" s="18" t="str"/>
      <c r="K5" s="18" t="str"/>
      <c r="L5" s="18" t="inlineStr">
        <is>
          <t>Planned</t>
        </is>
      </c>
      <c r="M5" s="66">
        <f>IFERROR((I5+J5+K5)/(F5+G5+H5),0)</f>
        <v/>
      </c>
      <c r="N5" s="18" t="str"/>
    </row>
    <row r="6">
      <c r="A6" s="18" t="n">
        <v>5</v>
      </c>
      <c r="B6" s="18" t="inlineStr">
        <is>
          <t>A. Ancient Foundations</t>
        </is>
      </c>
      <c r="C6" s="18" t="inlineStr">
        <is>
          <t>Liezi</t>
        </is>
      </c>
      <c r="D6" s="18" t="inlineStr">
        <is>
          <t>Liezi</t>
        </is>
      </c>
      <c r="E6" s="18" t="inlineStr">
        <is>
          <t>Passages + traceable stories</t>
        </is>
      </c>
      <c r="F6" s="18" t="n">
        <v>20</v>
      </c>
      <c r="G6" s="18" t="n">
        <v>4</v>
      </c>
      <c r="H6" s="18" t="n">
        <v>4</v>
      </c>
      <c r="I6" s="18" t="str"/>
      <c r="J6" s="18" t="str"/>
      <c r="K6" s="18" t="str"/>
      <c r="L6" s="18" t="inlineStr">
        <is>
          <t>Planned</t>
        </is>
      </c>
      <c r="M6" s="66">
        <f>IFERROR((I6+J6+K6)/(F6+G6+H6),0)</f>
        <v/>
      </c>
      <c r="N6" s="18" t="str"/>
    </row>
    <row r="7">
      <c r="A7" s="18" t="n">
        <v>6</v>
      </c>
      <c r="B7" s="18" t="inlineStr">
        <is>
          <t>A. Ancient Foundations</t>
        </is>
      </c>
      <c r="C7" s="18" t="inlineStr">
        <is>
          <t>Huainanzi</t>
        </is>
      </c>
      <c r="D7" s="18" t="inlineStr">
        <is>
          <t>Huainanzi</t>
        </is>
      </c>
      <c r="E7" s="18" t="inlineStr">
        <is>
          <t>Passages + parables including Sai Weng; change/judgment/fortune</t>
        </is>
      </c>
      <c r="F7" s="18" t="n">
        <v>20</v>
      </c>
      <c r="G7" s="18" t="n">
        <v>5</v>
      </c>
      <c r="H7" s="18" t="n">
        <v>4</v>
      </c>
      <c r="I7" s="18" t="str"/>
      <c r="J7" s="18" t="str"/>
      <c r="K7" s="18" t="str"/>
      <c r="L7" s="18" t="inlineStr">
        <is>
          <t>Planned</t>
        </is>
      </c>
      <c r="M7" s="66">
        <f>IFERROR((I7+J7+K7)/(F7+G7+H7),0)</f>
        <v/>
      </c>
      <c r="N7" s="18" t="str"/>
    </row>
    <row r="8">
      <c r="A8" s="18" t="n">
        <v>7</v>
      </c>
      <c r="B8" s="18" t="inlineStr">
        <is>
          <t>A. Ancient Foundations</t>
        </is>
      </c>
      <c r="C8" s="18" t="inlineStr">
        <is>
          <t>Epictetus</t>
        </is>
      </c>
      <c r="D8" s="18" t="inlineStr">
        <is>
          <t>Enchiridion / Discourses</t>
        </is>
      </c>
      <c r="E8" s="18" t="inlineStr">
        <is>
          <t>Control, judgment, desire, externals, agency</t>
        </is>
      </c>
      <c r="F8" s="18" t="n">
        <v>22</v>
      </c>
      <c r="G8" s="18" t="n">
        <v>2</v>
      </c>
      <c r="H8" s="18" t="n">
        <v>4</v>
      </c>
      <c r="I8" s="18" t="str"/>
      <c r="J8" s="18" t="str"/>
      <c r="K8" s="18" t="str"/>
      <c r="L8" s="18" t="inlineStr">
        <is>
          <t>Planned</t>
        </is>
      </c>
      <c r="M8" s="66">
        <f>IFERROR((I8+J8+K8)/(F8+G8+H8),0)</f>
        <v/>
      </c>
      <c r="N8" s="18" t="str"/>
    </row>
    <row r="9">
      <c r="A9" s="18" t="n">
        <v>8</v>
      </c>
      <c r="B9" s="18" t="inlineStr">
        <is>
          <t>A. Ancient Foundations</t>
        </is>
      </c>
      <c r="C9" s="18" t="inlineStr">
        <is>
          <t>Marcus Aurelius</t>
        </is>
      </c>
      <c r="D9" s="18" t="inlineStr">
        <is>
          <t>Meditations</t>
        </is>
      </c>
      <c r="E9" s="18" t="inlineStr">
        <is>
          <t>Time, judgment, change, mortality, social life</t>
        </is>
      </c>
      <c r="F9" s="18" t="n">
        <v>22</v>
      </c>
      <c r="G9" s="18" t="n">
        <v>1</v>
      </c>
      <c r="H9" s="18" t="n">
        <v>4</v>
      </c>
      <c r="I9" s="18" t="str"/>
      <c r="J9" s="18" t="str"/>
      <c r="K9" s="18" t="str"/>
      <c r="L9" s="18" t="inlineStr">
        <is>
          <t>Planned</t>
        </is>
      </c>
      <c r="M9" s="66">
        <f>IFERROR((I9+J9+K9)/(F9+G9+H9),0)</f>
        <v/>
      </c>
      <c r="N9" s="18" t="str"/>
    </row>
    <row r="10">
      <c r="A10" s="18" t="n">
        <v>9</v>
      </c>
      <c r="B10" s="18" t="inlineStr">
        <is>
          <t>A. Ancient Foundations</t>
        </is>
      </c>
      <c r="C10" s="18" t="inlineStr">
        <is>
          <t>Seneca</t>
        </is>
      </c>
      <c r="D10" s="18" t="inlineStr">
        <is>
          <t>Letters / Essays</t>
        </is>
      </c>
      <c r="E10" s="18" t="inlineStr">
        <is>
          <t>Time, adversity, wealth, anger, friendship, mortality</t>
        </is>
      </c>
      <c r="F10" s="18" t="n">
        <v>22</v>
      </c>
      <c r="G10" s="18" t="n">
        <v>2</v>
      </c>
      <c r="H10" s="18" t="n">
        <v>4</v>
      </c>
      <c r="I10" s="18" t="str"/>
      <c r="J10" s="18" t="str"/>
      <c r="K10" s="18" t="str"/>
      <c r="L10" s="18" t="inlineStr">
        <is>
          <t>Planned</t>
        </is>
      </c>
      <c r="M10" s="66">
        <f>IFERROR((I10+J10+K10)/(F10+G10+H10),0)</f>
        <v/>
      </c>
      <c r="N10" s="18" t="str"/>
    </row>
    <row r="11">
      <c r="A11" s="18" t="n">
        <v>10</v>
      </c>
      <c r="B11" s="18" t="inlineStr">
        <is>
          <t>A. Ancient Foundations</t>
        </is>
      </c>
      <c r="C11" s="18" t="inlineStr">
        <is>
          <t>Musonius Rufus + Stoic fragments</t>
        </is>
      </c>
      <c r="D11" s="18" t="inlineStr">
        <is>
          <t>Lectures / fragments</t>
        </is>
      </c>
      <c r="E11" s="18" t="inlineStr">
        <is>
          <t>Practice, simplicity, character; disputed attribution review</t>
        </is>
      </c>
      <c r="F11" s="18" t="n">
        <v>18</v>
      </c>
      <c r="G11" s="18" t="n">
        <v>1</v>
      </c>
      <c r="H11" s="18" t="n">
        <v>3</v>
      </c>
      <c r="I11" s="18" t="str"/>
      <c r="J11" s="18" t="str"/>
      <c r="K11" s="18" t="str"/>
      <c r="L11" s="18" t="inlineStr">
        <is>
          <t>Planned</t>
        </is>
      </c>
      <c r="M11" s="66">
        <f>IFERROR((I11+J11+K11)/(F11+G11+H11),0)</f>
        <v/>
      </c>
      <c r="N11" s="18" t="str"/>
    </row>
    <row r="12">
      <c r="A12" s="18" t="n">
        <v>11</v>
      </c>
      <c r="B12" s="18" t="inlineStr">
        <is>
          <t>A. Ancient Foundations</t>
        </is>
      </c>
      <c r="C12" s="18" t="inlineStr">
        <is>
          <t>Dhammapada</t>
        </is>
      </c>
      <c r="D12" s="18" t="inlineStr">
        <is>
          <t>Dhammapada</t>
        </is>
      </c>
      <c r="E12" s="18" t="inlineStr">
        <is>
          <t>Mind, attention, impermanence, conduct, suffering</t>
        </is>
      </c>
      <c r="F12" s="18" t="n">
        <v>22</v>
      </c>
      <c r="G12" s="18" t="n">
        <v>1</v>
      </c>
      <c r="H12" s="18" t="n">
        <v>4</v>
      </c>
      <c r="I12" s="18" t="str"/>
      <c r="J12" s="18" t="str"/>
      <c r="K12" s="18" t="str"/>
      <c r="L12" s="18" t="inlineStr">
        <is>
          <t>Planned</t>
        </is>
      </c>
      <c r="M12" s="66">
        <f>IFERROR((I12+J12+K12)/(F12+G12+H12),0)</f>
        <v/>
      </c>
      <c r="N12" s="18" t="str"/>
    </row>
    <row r="13">
      <c r="A13" s="18" t="n">
        <v>12</v>
      </c>
      <c r="B13" s="18" t="inlineStr">
        <is>
          <t>A. Ancient Foundations</t>
        </is>
      </c>
      <c r="C13" s="18" t="inlineStr">
        <is>
          <t>Majjhima Nikaya</t>
        </is>
      </c>
      <c r="D13" s="18" t="inlineStr">
        <is>
          <t>Selected suttas</t>
        </is>
      </c>
      <c r="E13" s="18" t="inlineStr">
        <is>
          <t>Passages + metaphors/parables such as raft where sourced</t>
        </is>
      </c>
      <c r="F13" s="18" t="n">
        <v>18</v>
      </c>
      <c r="G13" s="18" t="n">
        <v>4</v>
      </c>
      <c r="H13" s="18" t="n">
        <v>4</v>
      </c>
      <c r="I13" s="18" t="str"/>
      <c r="J13" s="18" t="str"/>
      <c r="K13" s="18" t="str"/>
      <c r="L13" s="18" t="inlineStr">
        <is>
          <t>Planned</t>
        </is>
      </c>
      <c r="M13" s="66">
        <f>IFERROR((I13+J13+K13)/(F13+G13+H13),0)</f>
        <v/>
      </c>
      <c r="N13" s="18" t="str"/>
    </row>
    <row r="14">
      <c r="A14" s="18" t="n">
        <v>13</v>
      </c>
      <c r="B14" s="18" t="inlineStr">
        <is>
          <t>A. Ancient Foundations</t>
        </is>
      </c>
      <c r="C14" s="18" t="inlineStr">
        <is>
          <t>Samyutta / Anguttara Nikaya</t>
        </is>
      </c>
      <c r="D14" s="18" t="inlineStr">
        <is>
          <t>Selected suttas</t>
        </is>
      </c>
      <c r="E14" s="18" t="inlineStr">
        <is>
          <t>Impermanence, attachment, perception, compassion, attention</t>
        </is>
      </c>
      <c r="F14" s="18" t="n">
        <v>20</v>
      </c>
      <c r="G14" s="18" t="n">
        <v>3</v>
      </c>
      <c r="H14" s="18" t="n">
        <v>4</v>
      </c>
      <c r="I14" s="18" t="str"/>
      <c r="J14" s="18" t="str"/>
      <c r="K14" s="18" t="str"/>
      <c r="L14" s="18" t="inlineStr">
        <is>
          <t>Planned</t>
        </is>
      </c>
      <c r="M14" s="66">
        <f>IFERROR((I14+J14+K14)/(F14+G14+H14),0)</f>
        <v/>
      </c>
      <c r="N14" s="18" t="str"/>
    </row>
    <row r="15">
      <c r="A15" s="18" t="n">
        <v>14</v>
      </c>
      <c r="B15" s="18" t="inlineStr">
        <is>
          <t>A. Ancient Foundations</t>
        </is>
      </c>
      <c r="C15" s="18" t="inlineStr">
        <is>
          <t>Early Buddhist parables</t>
        </is>
      </c>
      <c r="D15" s="18" t="inlineStr">
        <is>
          <t>Early canonical / reputable collections</t>
        </is>
      </c>
      <c r="E15" s="18" t="inlineStr">
        <is>
          <t>Traceable parables and metaphors; provenance first</t>
        </is>
      </c>
      <c r="F15" s="18" t="n">
        <v>16</v>
      </c>
      <c r="G15" s="18" t="n">
        <v>7</v>
      </c>
      <c r="H15" s="18" t="n">
        <v>4</v>
      </c>
      <c r="I15" s="18" t="str"/>
      <c r="J15" s="18" t="str"/>
      <c r="K15" s="18" t="str"/>
      <c r="L15" s="18" t="inlineStr">
        <is>
          <t>Planned</t>
        </is>
      </c>
      <c r="M15" s="66">
        <f>IFERROR((I15+J15+K15)/(F15+G15+H15),0)</f>
        <v/>
      </c>
      <c r="N15" s="18" t="str"/>
    </row>
    <row r="16">
      <c r="A16" s="18" t="n">
        <v>15</v>
      </c>
      <c r="B16" s="18" t="inlineStr">
        <is>
          <t>A. Ancient Foundations</t>
        </is>
      </c>
      <c r="C16" s="18" t="inlineStr">
        <is>
          <t>Socrates / Plato</t>
        </is>
      </c>
      <c r="D16" s="18" t="inlineStr">
        <is>
          <t>Plato dialogues</t>
        </is>
      </c>
      <c r="E16" s="18" t="inlineStr">
        <is>
          <t>Knowing/not knowing, virtue, examined life, friendship</t>
        </is>
      </c>
      <c r="F16" s="18" t="n">
        <v>20</v>
      </c>
      <c r="G16" s="18" t="n">
        <v>1</v>
      </c>
      <c r="H16" s="18" t="n">
        <v>4</v>
      </c>
      <c r="I16" s="18" t="str"/>
      <c r="J16" s="18" t="str"/>
      <c r="K16" s="18" t="str"/>
      <c r="L16" s="18" t="inlineStr">
        <is>
          <t>Planned</t>
        </is>
      </c>
      <c r="M16" s="66">
        <f>IFERROR((I16+J16+K16)/(F16+G16+H16),0)</f>
        <v/>
      </c>
      <c r="N16" s="18" t="str"/>
    </row>
    <row r="17">
      <c r="A17" s="18" t="n">
        <v>16</v>
      </c>
      <c r="B17" s="18" t="inlineStr">
        <is>
          <t>A. Ancient Foundations</t>
        </is>
      </c>
      <c r="C17" s="18" t="inlineStr">
        <is>
          <t>Aristotle</t>
        </is>
      </c>
      <c r="D17" s="18" t="inlineStr">
        <is>
          <t>Nicomachean Ethics + selected works</t>
        </is>
      </c>
      <c r="E17" s="18" t="inlineStr">
        <is>
          <t>Flourishing, habit, friendship, virtue, choice</t>
        </is>
      </c>
      <c r="F17" s="18" t="n">
        <v>20</v>
      </c>
      <c r="G17" s="18" t="n">
        <v>1</v>
      </c>
      <c r="H17" s="18" t="n">
        <v>4</v>
      </c>
      <c r="I17" s="18" t="str"/>
      <c r="J17" s="18" t="str"/>
      <c r="K17" s="18" t="str"/>
      <c r="L17" s="18" t="inlineStr">
        <is>
          <t>Planned</t>
        </is>
      </c>
      <c r="M17" s="66">
        <f>IFERROR((I17+J17+K17)/(F17+G17+H17),0)</f>
        <v/>
      </c>
      <c r="N17" s="18" t="str"/>
    </row>
    <row r="18">
      <c r="A18" s="18" t="n">
        <v>17</v>
      </c>
      <c r="B18" s="18" t="inlineStr">
        <is>
          <t>A. Ancient Foundations</t>
        </is>
      </c>
      <c r="C18" s="18" t="inlineStr">
        <is>
          <t>Epicurus</t>
        </is>
      </c>
      <c r="D18" s="18" t="inlineStr">
        <is>
          <t>Letters / Principal Doctrines / fragments</t>
        </is>
      </c>
      <c r="E18" s="18" t="inlineStr">
        <is>
          <t>Desire, enoughness, friendship, mortality</t>
        </is>
      </c>
      <c r="F18" s="18" t="n">
        <v>20</v>
      </c>
      <c r="G18" s="18" t="n">
        <v>1</v>
      </c>
      <c r="H18" s="18" t="n">
        <v>4</v>
      </c>
      <c r="I18" s="18" t="str"/>
      <c r="J18" s="18" t="str"/>
      <c r="K18" s="18" t="str"/>
      <c r="L18" s="18" t="inlineStr">
        <is>
          <t>Planned</t>
        </is>
      </c>
      <c r="M18" s="66">
        <f>IFERROR((I18+J18+K18)/(F18+G18+H18),0)</f>
        <v/>
      </c>
      <c r="N18" s="18" t="str"/>
    </row>
    <row r="19">
      <c r="A19" s="18" t="n">
        <v>18</v>
      </c>
      <c r="B19" s="18" t="inlineStr">
        <is>
          <t>A. Ancient Foundations</t>
        </is>
      </c>
      <c r="C19" s="18" t="inlineStr">
        <is>
          <t>Bhagavad Gita</t>
        </is>
      </c>
      <c r="D19" s="18" t="inlineStr">
        <is>
          <t>Bhagavad Gita</t>
        </is>
      </c>
      <c r="E19" s="18" t="inlineStr">
        <is>
          <t>Action, attachment, duty, equanimity; retain original location</t>
        </is>
      </c>
      <c r="F19" s="18" t="n">
        <v>20</v>
      </c>
      <c r="G19" s="18" t="n">
        <v>1</v>
      </c>
      <c r="H19" s="18" t="n">
        <v>4</v>
      </c>
      <c r="I19" s="18" t="str"/>
      <c r="J19" s="18" t="str"/>
      <c r="K19" s="18" t="str"/>
      <c r="L19" s="18" t="inlineStr">
        <is>
          <t>Planned</t>
        </is>
      </c>
      <c r="M19" s="66">
        <f>IFERROR((I19+J19+K19)/(F19+G19+H19),0)</f>
        <v/>
      </c>
      <c r="N19" s="18" t="str"/>
    </row>
    <row r="20">
      <c r="A20" s="18" t="n">
        <v>19</v>
      </c>
      <c r="B20" s="18" t="inlineStr">
        <is>
          <t>A. Ancient Foundations</t>
        </is>
      </c>
      <c r="C20" s="18" t="inlineStr">
        <is>
          <t>Upanishads</t>
        </is>
      </c>
      <c r="D20" s="18" t="inlineStr">
        <is>
          <t>Selected Upanishads</t>
        </is>
      </c>
      <c r="E20" s="18" t="inlineStr">
        <is>
          <t>Self, change, knowledge, mortality; careful translation provenance</t>
        </is>
      </c>
      <c r="F20" s="18" t="n">
        <v>20</v>
      </c>
      <c r="G20" s="18" t="n">
        <v>1</v>
      </c>
      <c r="H20" s="18" t="n">
        <v>4</v>
      </c>
      <c r="I20" s="18" t="str"/>
      <c r="J20" s="18" t="str"/>
      <c r="K20" s="18" t="str"/>
      <c r="L20" s="18" t="inlineStr">
        <is>
          <t>Planned</t>
        </is>
      </c>
      <c r="M20" s="66">
        <f>IFERROR((I20+J20+K20)/(F20+G20+H20),0)</f>
        <v/>
      </c>
      <c r="N20" s="18" t="str"/>
    </row>
    <row r="21">
      <c r="A21" s="18" t="n">
        <v>20</v>
      </c>
      <c r="B21" s="18" t="inlineStr">
        <is>
          <t>A. Ancient Foundations</t>
        </is>
      </c>
      <c r="C21" s="18" t="inlineStr">
        <is>
          <t>Panchatantra</t>
        </is>
      </c>
      <c r="D21" s="18" t="inlineStr">
        <is>
          <t>Panchatantra</t>
        </is>
      </c>
      <c r="E21" s="18" t="inlineStr">
        <is>
          <t>Wisdom passages + traceable animal/human stories</t>
        </is>
      </c>
      <c r="F21" s="18" t="n">
        <v>18</v>
      </c>
      <c r="G21" s="18" t="n">
        <v>7</v>
      </c>
      <c r="H21" s="18" t="n">
        <v>4</v>
      </c>
      <c r="I21" s="18" t="str"/>
      <c r="J21" s="18" t="str"/>
      <c r="K21" s="18" t="str"/>
      <c r="L21" s="18" t="inlineStr">
        <is>
          <t>Planned</t>
        </is>
      </c>
      <c r="M21" s="66">
        <f>IFERROR((I21+J21+K21)/(F21+G21+H21),0)</f>
        <v/>
      </c>
      <c r="N21" s="18" t="str"/>
    </row>
    <row r="22">
      <c r="A22" s="18" t="n">
        <v>21</v>
      </c>
      <c r="B22" s="18" t="inlineStr">
        <is>
          <t>B. World Wisdom</t>
        </is>
      </c>
      <c r="C22" s="18" t="inlineStr">
        <is>
          <t>Vietnamese ca dao</t>
        </is>
      </c>
      <c r="D22" s="18" t="inlineStr">
        <is>
          <t>Authoritative Vietnamese collections</t>
        </is>
      </c>
      <c r="E22" s="18" t="inlineStr">
        <is>
          <t>Ca dao on life, family, work, endurance, relationships</t>
        </is>
      </c>
      <c r="F22" s="18" t="n">
        <v>25</v>
      </c>
      <c r="G22" s="18" t="n">
        <v>2</v>
      </c>
      <c r="H22" s="18" t="n">
        <v>2</v>
      </c>
      <c r="I22" s="18" t="str"/>
      <c r="J22" s="18" t="str"/>
      <c r="K22" s="18" t="str"/>
      <c r="L22" s="18" t="inlineStr">
        <is>
          <t>Planned</t>
        </is>
      </c>
      <c r="M22" s="66">
        <f>IFERROR((I22+J22+K22)/(F22+G22+H22),0)</f>
        <v/>
      </c>
      <c r="N22" s="18" t="str"/>
    </row>
    <row r="23">
      <c r="A23" s="18" t="n">
        <v>22</v>
      </c>
      <c r="B23" s="18" t="inlineStr">
        <is>
          <t>B. World Wisdom</t>
        </is>
      </c>
      <c r="C23" s="18" t="inlineStr">
        <is>
          <t>Vietnamese proverbs</t>
        </is>
      </c>
      <c r="D23" s="18" t="inlineStr">
        <is>
          <t>Authoritative proverb dictionaries/collections</t>
        </is>
      </c>
      <c r="E23" s="18" t="inlineStr">
        <is>
          <t>Proverbs; source collection and variant tracking</t>
        </is>
      </c>
      <c r="F23" s="18" t="n">
        <v>25</v>
      </c>
      <c r="G23" s="18" t="n">
        <v>2</v>
      </c>
      <c r="H23" s="18" t="n">
        <v>3</v>
      </c>
      <c r="I23" s="18" t="str"/>
      <c r="J23" s="18" t="str"/>
      <c r="K23" s="18" t="str"/>
      <c r="L23" s="18" t="inlineStr">
        <is>
          <t>Planned</t>
        </is>
      </c>
      <c r="M23" s="66">
        <f>IFERROR((I23+J23+K23)/(F23+G23+H23),0)</f>
        <v/>
      </c>
      <c r="N23" s="18" t="str"/>
    </row>
    <row r="24">
      <c r="A24" s="18" t="n">
        <v>23</v>
      </c>
      <c r="B24" s="18" t="inlineStr">
        <is>
          <t>B. World Wisdom</t>
        </is>
      </c>
      <c r="C24" s="18" t="inlineStr">
        <is>
          <t>Nguyễn Trãi + Nguyễn Bỉnh Khiêm</t>
        </is>
      </c>
      <c r="D24" s="18" t="inlineStr">
        <is>
          <t>Primary/critical editions</t>
        </is>
      </c>
      <c r="E24" s="18" t="inlineStr">
        <is>
          <t>Passages on life, change, enoughness, public/private life</t>
        </is>
      </c>
      <c r="F24" s="18" t="n">
        <v>20</v>
      </c>
      <c r="G24" s="18" t="n">
        <v>1</v>
      </c>
      <c r="H24" s="18" t="n">
        <v>3</v>
      </c>
      <c r="I24" s="18" t="str"/>
      <c r="J24" s="18" t="str"/>
      <c r="K24" s="18" t="str"/>
      <c r="L24" s="18" t="inlineStr">
        <is>
          <t>Planned</t>
        </is>
      </c>
      <c r="M24" s="66">
        <f>IFERROR((I24+J24+K24)/(F24+G24+H24),0)</f>
        <v/>
      </c>
      <c r="N24" s="18" t="str"/>
    </row>
    <row r="25">
      <c r="A25" s="18" t="n">
        <v>24</v>
      </c>
      <c r="B25" s="18" t="inlineStr">
        <is>
          <t>B. World Wisdom</t>
        </is>
      </c>
      <c r="C25" s="18" t="inlineStr">
        <is>
          <t>Nguyễn Du + classical Vietnamese literature</t>
        </is>
      </c>
      <c r="D25" s="18" t="inlineStr">
        <is>
          <t>Primary/critical editions</t>
        </is>
      </c>
      <c r="E25" s="18" t="inlineStr">
        <is>
          <t>Human experience, fate, compassion, contradiction, impermanence</t>
        </is>
      </c>
      <c r="F25" s="18" t="n">
        <v>20</v>
      </c>
      <c r="G25" s="18" t="n">
        <v>2</v>
      </c>
      <c r="H25" s="18" t="n">
        <v>3</v>
      </c>
      <c r="I25" s="18" t="str"/>
      <c r="J25" s="18" t="str"/>
      <c r="K25" s="18" t="str"/>
      <c r="L25" s="18" t="inlineStr">
        <is>
          <t>Planned</t>
        </is>
      </c>
      <c r="M25" s="66">
        <f>IFERROR((I25+J25+K25)/(F25+G25+H25),0)</f>
        <v/>
      </c>
      <c r="N25" s="18" t="str"/>
    </row>
    <row r="26">
      <c r="A26" s="18" t="n">
        <v>25</v>
      </c>
      <c r="B26" s="18" t="inlineStr">
        <is>
          <t>B. World Wisdom</t>
        </is>
      </c>
      <c r="C26" s="18" t="inlineStr">
        <is>
          <t>Confucius</t>
        </is>
      </c>
      <c r="D26" s="18" t="inlineStr">
        <is>
          <t>Analects</t>
        </is>
      </c>
      <c r="E26" s="18" t="inlineStr">
        <is>
          <t>Learning, relationships, self-cultivation, judgment</t>
        </is>
      </c>
      <c r="F26" s="18" t="n">
        <v>20</v>
      </c>
      <c r="G26" s="18" t="n">
        <v>1</v>
      </c>
      <c r="H26" s="18" t="n">
        <v>4</v>
      </c>
      <c r="I26" s="18" t="str"/>
      <c r="J26" s="18" t="str"/>
      <c r="K26" s="18" t="str"/>
      <c r="L26" s="18" t="inlineStr">
        <is>
          <t>Planned</t>
        </is>
      </c>
      <c r="M26" s="66">
        <f>IFERROR((I26+J26+K26)/(F26+G26+H26),0)</f>
        <v/>
      </c>
      <c r="N26" s="18" t="str"/>
    </row>
    <row r="27">
      <c r="A27" s="18" t="n">
        <v>26</v>
      </c>
      <c r="B27" s="18" t="inlineStr">
        <is>
          <t>B. World Wisdom</t>
        </is>
      </c>
      <c r="C27" s="18" t="inlineStr">
        <is>
          <t>Mencius</t>
        </is>
      </c>
      <c r="D27" s="18" t="inlineStr">
        <is>
          <t>Mencius</t>
        </is>
      </c>
      <c r="E27" s="18" t="inlineStr">
        <is>
          <t>Human nature, courage, values, social responsibility</t>
        </is>
      </c>
      <c r="F27" s="18" t="n">
        <v>20</v>
      </c>
      <c r="G27" s="18" t="n">
        <v>1</v>
      </c>
      <c r="H27" s="18" t="n">
        <v>4</v>
      </c>
      <c r="I27" s="18" t="str"/>
      <c r="J27" s="18" t="str"/>
      <c r="K27" s="18" t="str"/>
      <c r="L27" s="18" t="inlineStr">
        <is>
          <t>Planned</t>
        </is>
      </c>
      <c r="M27" s="66">
        <f>IFERROR((I27+J27+K27)/(F27+G27+H27),0)</f>
        <v/>
      </c>
      <c r="N27" s="18" t="str"/>
    </row>
    <row r="28">
      <c r="A28" s="18" t="n">
        <v>27</v>
      </c>
      <c r="B28" s="18" t="inlineStr">
        <is>
          <t>B. World Wisdom</t>
        </is>
      </c>
      <c r="C28" s="18" t="inlineStr">
        <is>
          <t>Chinese idioms/proverbs</t>
        </is>
      </c>
      <c r="D28" s="18" t="inlineStr">
        <is>
          <t>Authoritative dictionaries/classical sources</t>
        </is>
      </c>
      <c r="E28" s="18" t="inlineStr">
        <is>
          <t>Traceable idioms/proverbs; avoid unsourced internet variants</t>
        </is>
      </c>
      <c r="F28" s="18" t="n">
        <v>22</v>
      </c>
      <c r="G28" s="18" t="n">
        <v>3</v>
      </c>
      <c r="H28" s="18" t="n">
        <v>3</v>
      </c>
      <c r="I28" s="18" t="str"/>
      <c r="J28" s="18" t="str"/>
      <c r="K28" s="18" t="str"/>
      <c r="L28" s="18" t="inlineStr">
        <is>
          <t>Planned</t>
        </is>
      </c>
      <c r="M28" s="66">
        <f>IFERROR((I28+J28+K28)/(F28+G28+H28),0)</f>
        <v/>
      </c>
      <c r="N28" s="18" t="str"/>
    </row>
    <row r="29">
      <c r="A29" s="18" t="n">
        <v>28</v>
      </c>
      <c r="B29" s="18" t="inlineStr">
        <is>
          <t>B. World Wisdom</t>
        </is>
      </c>
      <c r="C29" s="18" t="inlineStr">
        <is>
          <t>Japanese proverbs</t>
        </is>
      </c>
      <c r="D29" s="18" t="inlineStr">
        <is>
          <t>Authoritative Japanese collections</t>
        </is>
      </c>
      <c r="E29" s="18" t="inlineStr">
        <is>
          <t>Traditional wisdom with Japanese original and provenance</t>
        </is>
      </c>
      <c r="F29" s="18" t="n">
        <v>22</v>
      </c>
      <c r="G29" s="18" t="n">
        <v>2</v>
      </c>
      <c r="H29" s="18" t="n">
        <v>3</v>
      </c>
      <c r="I29" s="18" t="str"/>
      <c r="J29" s="18" t="str"/>
      <c r="K29" s="18" t="str"/>
      <c r="L29" s="18" t="inlineStr">
        <is>
          <t>Planned</t>
        </is>
      </c>
      <c r="M29" s="66">
        <f>IFERROR((I29+J29+K29)/(F29+G29+H29),0)</f>
        <v/>
      </c>
      <c r="N29" s="18" t="str"/>
    </row>
    <row r="30">
      <c r="A30" s="18" t="n">
        <v>29</v>
      </c>
      <c r="B30" s="18" t="inlineStr">
        <is>
          <t>B. World Wisdom</t>
        </is>
      </c>
      <c r="C30" s="18" t="inlineStr">
        <is>
          <t>Dōgen / Zen sources</t>
        </is>
      </c>
      <c r="D30" s="18" t="inlineStr">
        <is>
          <t>Primary Zen texts / reputable translations</t>
        </is>
      </c>
      <c r="E30" s="18" t="inlineStr">
        <is>
          <t>Practice, presence, impermanence; separate later anecdotes</t>
        </is>
      </c>
      <c r="F30" s="18" t="n">
        <v>18</v>
      </c>
      <c r="G30" s="18" t="n">
        <v>3</v>
      </c>
      <c r="H30" s="18" t="n">
        <v>4</v>
      </c>
      <c r="I30" s="18" t="str"/>
      <c r="J30" s="18" t="str"/>
      <c r="K30" s="18" t="str"/>
      <c r="L30" s="18" t="inlineStr">
        <is>
          <t>Planned</t>
        </is>
      </c>
      <c r="M30" s="66">
        <f>IFERROR((I30+J30+K30)/(F30+G30+H30),0)</f>
        <v/>
      </c>
      <c r="N30" s="18" t="str"/>
    </row>
    <row r="31">
      <c r="A31" s="18" t="n">
        <v>30</v>
      </c>
      <c r="B31" s="18" t="inlineStr">
        <is>
          <t>B. World Wisdom</t>
        </is>
      </c>
      <c r="C31" s="18" t="inlineStr">
        <is>
          <t>Bashō + Ryōkan</t>
        </is>
      </c>
      <c r="D31" s="18" t="inlineStr">
        <is>
          <t>Primary/critical editions</t>
        </is>
      </c>
      <c r="E31" s="18" t="inlineStr">
        <is>
          <t>Short passages/poems usable as research; copyright/public-domain notes</t>
        </is>
      </c>
      <c r="F31" s="18" t="n">
        <v>18</v>
      </c>
      <c r="G31" s="18" t="n">
        <v>2</v>
      </c>
      <c r="H31" s="18" t="n">
        <v>3</v>
      </c>
      <c r="I31" s="18" t="str"/>
      <c r="J31" s="18" t="str"/>
      <c r="K31" s="18" t="str"/>
      <c r="L31" s="18" t="inlineStr">
        <is>
          <t>Planned</t>
        </is>
      </c>
      <c r="M31" s="66">
        <f>IFERROR((I31+J31+K31)/(F31+G31+H31),0)</f>
        <v/>
      </c>
      <c r="N31" s="18" t="str"/>
    </row>
    <row r="32">
      <c r="A32" s="18" t="n">
        <v>31</v>
      </c>
      <c r="B32" s="18" t="inlineStr">
        <is>
          <t>B. World Wisdom</t>
        </is>
      </c>
      <c r="C32" s="18" t="inlineStr">
        <is>
          <t>Saadi</t>
        </is>
      </c>
      <c r="D32" s="18" t="inlineStr">
        <is>
          <t>Gulistan / Bustan</t>
        </is>
      </c>
      <c r="E32" s="18" t="inlineStr">
        <is>
          <t>Human conduct, humility, relationships, fortune</t>
        </is>
      </c>
      <c r="F32" s="18" t="n">
        <v>20</v>
      </c>
      <c r="G32" s="18" t="n">
        <v>4</v>
      </c>
      <c r="H32" s="18" t="n">
        <v>3</v>
      </c>
      <c r="I32" s="18" t="str"/>
      <c r="J32" s="18" t="str"/>
      <c r="K32" s="18" t="str"/>
      <c r="L32" s="18" t="inlineStr">
        <is>
          <t>Planned</t>
        </is>
      </c>
      <c r="M32" s="66">
        <f>IFERROR((I32+J32+K32)/(F32+G32+H32),0)</f>
        <v/>
      </c>
      <c r="N32" s="18" t="str"/>
    </row>
    <row r="33">
      <c r="A33" s="18" t="n">
        <v>32</v>
      </c>
      <c r="B33" s="18" t="inlineStr">
        <is>
          <t>B. World Wisdom</t>
        </is>
      </c>
      <c r="C33" s="18" t="inlineStr">
        <is>
          <t>Rumi + Hafez</t>
        </is>
      </c>
      <c r="D33" s="18" t="inlineStr">
        <is>
          <t>Primary texts / scholarly translations</t>
        </is>
      </c>
      <c r="E33" s="18" t="inlineStr">
        <is>
          <t>Love, loss, longing, change; aggressive fake-quote checking</t>
        </is>
      </c>
      <c r="F33" s="18" t="n">
        <v>18</v>
      </c>
      <c r="G33" s="18" t="n">
        <v>2</v>
      </c>
      <c r="H33" s="18" t="n">
        <v>3</v>
      </c>
      <c r="I33" s="18" t="str"/>
      <c r="J33" s="18" t="str"/>
      <c r="K33" s="18" t="str"/>
      <c r="L33" s="18" t="inlineStr">
        <is>
          <t>Planned</t>
        </is>
      </c>
      <c r="M33" s="66">
        <f>IFERROR((I33+J33+K33)/(F33+G33+H33),0)</f>
        <v/>
      </c>
      <c r="N33" s="18" t="str"/>
    </row>
    <row r="34">
      <c r="A34" s="18" t="n">
        <v>33</v>
      </c>
      <c r="B34" s="18" t="inlineStr">
        <is>
          <t>B. World Wisdom</t>
        </is>
      </c>
      <c r="C34" s="18" t="inlineStr">
        <is>
          <t>Arabic / Middle Eastern proverbs</t>
        </is>
      </c>
      <c r="D34" s="18" t="inlineStr">
        <is>
          <t>Authoritative regional collections</t>
        </is>
      </c>
      <c r="E34" s="18" t="inlineStr">
        <is>
          <t>Region-specific proverbs; avoid generic attribution</t>
        </is>
      </c>
      <c r="F34" s="18" t="n">
        <v>22</v>
      </c>
      <c r="G34" s="18" t="n">
        <v>3</v>
      </c>
      <c r="H34" s="18" t="n">
        <v>3</v>
      </c>
      <c r="I34" s="18" t="str"/>
      <c r="J34" s="18" t="str"/>
      <c r="K34" s="18" t="str"/>
      <c r="L34" s="18" t="inlineStr">
        <is>
          <t>Planned</t>
        </is>
      </c>
      <c r="M34" s="66">
        <f>IFERROR((I34+J34+K34)/(F34+G34+H34),0)</f>
        <v/>
      </c>
      <c r="N34" s="18" t="str"/>
    </row>
    <row r="35">
      <c r="A35" s="18" t="n">
        <v>34</v>
      </c>
      <c r="B35" s="18" t="inlineStr">
        <is>
          <t>B. World Wisdom</t>
        </is>
      </c>
      <c r="C35" s="18" t="inlineStr">
        <is>
          <t>Middle Eastern wisdom stories</t>
        </is>
      </c>
      <c r="D35" s="18" t="inlineStr">
        <is>
          <t>Primary/reputable collections</t>
        </is>
      </c>
      <c r="E35" s="18" t="inlineStr">
        <is>
          <t>Parables, historical wisdom episodes, traceable folk material</t>
        </is>
      </c>
      <c r="F35" s="18" t="n">
        <v>15</v>
      </c>
      <c r="G35" s="18" t="n">
        <v>7</v>
      </c>
      <c r="H35" s="18" t="n">
        <v>3</v>
      </c>
      <c r="I35" s="18" t="str"/>
      <c r="J35" s="18" t="str"/>
      <c r="K35" s="18" t="str"/>
      <c r="L35" s="18" t="inlineStr">
        <is>
          <t>Planned</t>
        </is>
      </c>
      <c r="M35" s="66">
        <f>IFERROR((I35+J35+K35)/(F35+G35+H35),0)</f>
        <v/>
      </c>
      <c r="N35" s="18" t="str"/>
    </row>
    <row r="36">
      <c r="A36" s="18" t="n">
        <v>35</v>
      </c>
      <c r="B36" s="18" t="inlineStr">
        <is>
          <t>B. World Wisdom</t>
        </is>
      </c>
      <c r="C36" s="18" t="inlineStr">
        <is>
          <t>African traditions I</t>
        </is>
      </c>
      <c r="D36" s="18" t="inlineStr">
        <is>
          <t>Akan / Yoruba sources</t>
        </is>
      </c>
      <c r="E36" s="18" t="inlineStr">
        <is>
          <t>Culture-specific proverbs + stories with provenance</t>
        </is>
      </c>
      <c r="F36" s="18" t="n">
        <v>22</v>
      </c>
      <c r="G36" s="18" t="n">
        <v>3</v>
      </c>
      <c r="H36" s="18" t="n">
        <v>3</v>
      </c>
      <c r="I36" s="18" t="str"/>
      <c r="J36" s="18" t="str"/>
      <c r="K36" s="18" t="str"/>
      <c r="L36" s="18" t="inlineStr">
        <is>
          <t>Planned</t>
        </is>
      </c>
      <c r="M36" s="66">
        <f>IFERROR((I36+J36+K36)/(F36+G36+H36),0)</f>
        <v/>
      </c>
      <c r="N36" s="18" t="str"/>
    </row>
    <row r="37">
      <c r="A37" s="18" t="n">
        <v>36</v>
      </c>
      <c r="B37" s="18" t="inlineStr">
        <is>
          <t>B. World Wisdom</t>
        </is>
      </c>
      <c r="C37" s="18" t="inlineStr">
        <is>
          <t>African traditions II</t>
        </is>
      </c>
      <c r="D37" s="18" t="inlineStr">
        <is>
          <t>Igbo / Swahili sources</t>
        </is>
      </c>
      <c r="E37" s="18" t="inlineStr">
        <is>
          <t>Culture-specific proverbs + stories with provenance</t>
        </is>
      </c>
      <c r="F37" s="18" t="n">
        <v>22</v>
      </c>
      <c r="G37" s="18" t="n">
        <v>3</v>
      </c>
      <c r="H37" s="18" t="n">
        <v>3</v>
      </c>
      <c r="I37" s="18" t="str"/>
      <c r="J37" s="18" t="str"/>
      <c r="K37" s="18" t="str"/>
      <c r="L37" s="18" t="inlineStr">
        <is>
          <t>Planned</t>
        </is>
      </c>
      <c r="M37" s="66">
        <f>IFERROR((I37+J37+K37)/(F37+G37+H37),0)</f>
        <v/>
      </c>
      <c r="N37" s="18" t="str"/>
    </row>
    <row r="38">
      <c r="A38" s="18" t="n">
        <v>37</v>
      </c>
      <c r="B38" s="18" t="inlineStr">
        <is>
          <t>B. World Wisdom</t>
        </is>
      </c>
      <c r="C38" s="18" t="inlineStr">
        <is>
          <t>African traditions III</t>
        </is>
      </c>
      <c r="D38" s="18" t="inlineStr">
        <is>
          <t>Ethiopian / other well-sourced traditions</t>
        </is>
      </c>
      <c r="E38" s="18" t="inlineStr">
        <is>
          <t>Fill cultural gaps; reject generic 'African proverb' when unsourced</t>
        </is>
      </c>
      <c r="F38" s="18" t="n">
        <v>20</v>
      </c>
      <c r="G38" s="18" t="n">
        <v>3</v>
      </c>
      <c r="H38" s="18" t="n">
        <v>3</v>
      </c>
      <c r="I38" s="18" t="str"/>
      <c r="J38" s="18" t="str"/>
      <c r="K38" s="18" t="str"/>
      <c r="L38" s="18" t="inlineStr">
        <is>
          <t>Planned</t>
        </is>
      </c>
      <c r="M38" s="66">
        <f>IFERROR((I38+J38+K38)/(F38+G38+H38),0)</f>
        <v/>
      </c>
      <c r="N38" s="18" t="str"/>
    </row>
    <row r="39">
      <c r="A39" s="18" t="n">
        <v>38</v>
      </c>
      <c r="B39" s="18" t="inlineStr">
        <is>
          <t>B. World Wisdom</t>
        </is>
      </c>
      <c r="C39" s="18" t="inlineStr">
        <is>
          <t>Jewish wisdom traditions</t>
        </is>
      </c>
      <c r="D39" s="18" t="inlineStr">
        <is>
          <t>Primary/reputable texts</t>
        </is>
      </c>
      <c r="E39" s="18" t="inlineStr">
        <is>
          <t>Wisdom passages, stories, human dilemmas</t>
        </is>
      </c>
      <c r="F39" s="18" t="n">
        <v>20</v>
      </c>
      <c r="G39" s="18" t="n">
        <v>3</v>
      </c>
      <c r="H39" s="18" t="n">
        <v>3</v>
      </c>
      <c r="I39" s="18" t="str"/>
      <c r="J39" s="18" t="str"/>
      <c r="K39" s="18" t="str"/>
      <c r="L39" s="18" t="inlineStr">
        <is>
          <t>Planned</t>
        </is>
      </c>
      <c r="M39" s="66">
        <f>IFERROR((I39+J39+K39)/(F39+G39+H39),0)</f>
        <v/>
      </c>
      <c r="N39" s="18" t="str"/>
    </row>
    <row r="40">
      <c r="A40" s="18" t="n">
        <v>39</v>
      </c>
      <c r="B40" s="18" t="inlineStr">
        <is>
          <t>B. World Wisdom</t>
        </is>
      </c>
      <c r="C40" s="18" t="inlineStr">
        <is>
          <t>European folk proverbs</t>
        </is>
      </c>
      <c r="D40" s="18" t="inlineStr">
        <is>
          <t>English/French/German/Italian/Spanish collections</t>
        </is>
      </c>
      <c r="E40" s="18" t="inlineStr">
        <is>
          <t>Traceable proverbs; variants and earliest source if feasible</t>
        </is>
      </c>
      <c r="F40" s="18" t="n">
        <v>25</v>
      </c>
      <c r="G40" s="18" t="n">
        <v>3</v>
      </c>
      <c r="H40" s="18" t="n">
        <v>2</v>
      </c>
      <c r="I40" s="18" t="str"/>
      <c r="J40" s="18" t="str"/>
      <c r="K40" s="18" t="str"/>
      <c r="L40" s="18" t="inlineStr">
        <is>
          <t>Planned</t>
        </is>
      </c>
      <c r="M40" s="66">
        <f>IFERROR((I40+J40+K40)/(F40+G40+H40),0)</f>
        <v/>
      </c>
      <c r="N40" s="18" t="str"/>
    </row>
    <row r="41">
      <c r="A41" s="18" t="n">
        <v>40</v>
      </c>
      <c r="B41" s="18" t="inlineStr">
        <is>
          <t>B. World Wisdom</t>
        </is>
      </c>
      <c r="C41" s="18" t="inlineStr">
        <is>
          <t>Cross-cultural review</t>
        </is>
      </c>
      <c r="D41" s="18" t="inlineStr">
        <is>
          <t>All Phase B sources</t>
        </is>
      </c>
      <c r="E41" s="18" t="inlineStr">
        <is>
          <t>Deduplicate, provenance audit, cultural balance, gap report</t>
        </is>
      </c>
      <c r="F41" s="18" t="n">
        <v>5</v>
      </c>
      <c r="G41" s="18" t="n">
        <v>0</v>
      </c>
      <c r="H41" s="18" t="n">
        <v>5</v>
      </c>
      <c r="I41" s="18" t="str"/>
      <c r="J41" s="18" t="str"/>
      <c r="K41" s="18" t="str"/>
      <c r="L41" s="18" t="inlineStr">
        <is>
          <t>Planned</t>
        </is>
      </c>
      <c r="M41" s="66">
        <f>IFERROR((I41+J41+K41)/(F41+G41+H41),0)</f>
        <v/>
      </c>
      <c r="N41" s="18" t="str"/>
    </row>
    <row r="42">
      <c r="A42" s="18" t="n">
        <v>41</v>
      </c>
      <c r="B42" s="18" t="inlineStr">
        <is>
          <t>C. Literature &amp; Modern Thought</t>
        </is>
      </c>
      <c r="C42" s="18" t="inlineStr">
        <is>
          <t>Tolstoy</t>
        </is>
      </c>
      <c r="D42" s="18" t="inlineStr">
        <is>
          <t>Primary/critical editions; reputable archives</t>
        </is>
      </c>
      <c r="E42" s="18" t="inlineStr">
        <is>
          <t>Passages on lived human experience; record work/chapter/page; flag copyright</t>
        </is>
      </c>
      <c r="F42" s="18" t="n">
        <v>20</v>
      </c>
      <c r="G42" s="18" t="n">
        <v>2</v>
      </c>
      <c r="H42" s="18" t="n">
        <v>3</v>
      </c>
      <c r="I42" s="18" t="str"/>
      <c r="J42" s="18" t="str"/>
      <c r="K42" s="18" t="str"/>
      <c r="L42" s="18" t="inlineStr">
        <is>
          <t>Planned</t>
        </is>
      </c>
      <c r="M42" s="66">
        <f>IFERROR((I42+J42+K42)/(F42+G42+H42),0)</f>
        <v/>
      </c>
      <c r="N42" s="18" t="str"/>
    </row>
    <row r="43">
      <c r="A43" s="18" t="n">
        <v>42</v>
      </c>
      <c r="B43" s="18" t="inlineStr">
        <is>
          <t>C. Literature &amp; Modern Thought</t>
        </is>
      </c>
      <c r="C43" s="18" t="inlineStr">
        <is>
          <t>Dostoevsky</t>
        </is>
      </c>
      <c r="D43" s="18" t="inlineStr">
        <is>
          <t>Primary/critical editions; reputable archives</t>
        </is>
      </c>
      <c r="E43" s="18" t="inlineStr">
        <is>
          <t>Passages on lived human experience; record work/chapter/page; flag copyright</t>
        </is>
      </c>
      <c r="F43" s="18" t="n">
        <v>20</v>
      </c>
      <c r="G43" s="18" t="n">
        <v>2</v>
      </c>
      <c r="H43" s="18" t="n">
        <v>3</v>
      </c>
      <c r="I43" s="18" t="str"/>
      <c r="J43" s="18" t="str"/>
      <c r="K43" s="18" t="str"/>
      <c r="L43" s="18" t="inlineStr">
        <is>
          <t>Planned</t>
        </is>
      </c>
      <c r="M43" s="66">
        <f>IFERROR((I43+J43+K43)/(F43+G43+H43),0)</f>
        <v/>
      </c>
      <c r="N43" s="18" t="str"/>
    </row>
    <row r="44">
      <c r="A44" s="18" t="n">
        <v>43</v>
      </c>
      <c r="B44" s="18" t="inlineStr">
        <is>
          <t>C. Literature &amp; Modern Thought</t>
        </is>
      </c>
      <c r="C44" s="18" t="inlineStr">
        <is>
          <t>Chekhov</t>
        </is>
      </c>
      <c r="D44" s="18" t="inlineStr">
        <is>
          <t>Primary/critical editions; reputable archives</t>
        </is>
      </c>
      <c r="E44" s="18" t="inlineStr">
        <is>
          <t>Passages on lived human experience; record work/chapter/page; flag copyright</t>
        </is>
      </c>
      <c r="F44" s="18" t="n">
        <v>20</v>
      </c>
      <c r="G44" s="18" t="n">
        <v>2</v>
      </c>
      <c r="H44" s="18" t="n">
        <v>3</v>
      </c>
      <c r="I44" s="18" t="str"/>
      <c r="J44" s="18" t="str"/>
      <c r="K44" s="18" t="str"/>
      <c r="L44" s="18" t="inlineStr">
        <is>
          <t>Planned</t>
        </is>
      </c>
      <c r="M44" s="66">
        <f>IFERROR((I44+J44+K44)/(F44+G44+H44),0)</f>
        <v/>
      </c>
      <c r="N44" s="18" t="str"/>
    </row>
    <row r="45">
      <c r="A45" s="18" t="n">
        <v>44</v>
      </c>
      <c r="B45" s="18" t="inlineStr">
        <is>
          <t>C. Literature &amp; Modern Thought</t>
        </is>
      </c>
      <c r="C45" s="18" t="inlineStr">
        <is>
          <t>Hermann Hesse</t>
        </is>
      </c>
      <c r="D45" s="18" t="inlineStr">
        <is>
          <t>Primary/critical editions; reputable archives</t>
        </is>
      </c>
      <c r="E45" s="18" t="inlineStr">
        <is>
          <t>Passages on lived human experience; record work/chapter/page; flag copyright</t>
        </is>
      </c>
      <c r="F45" s="18" t="n">
        <v>20</v>
      </c>
      <c r="G45" s="18" t="n">
        <v>2</v>
      </c>
      <c r="H45" s="18" t="n">
        <v>3</v>
      </c>
      <c r="I45" s="18" t="str"/>
      <c r="J45" s="18" t="str"/>
      <c r="K45" s="18" t="str"/>
      <c r="L45" s="18" t="inlineStr">
        <is>
          <t>Planned</t>
        </is>
      </c>
      <c r="M45" s="66">
        <f>IFERROR((I45+J45+K45)/(F45+G45+H45),0)</f>
        <v/>
      </c>
      <c r="N45" s="18" t="str"/>
    </row>
    <row r="46">
      <c r="A46" s="18" t="n">
        <v>45</v>
      </c>
      <c r="B46" s="18" t="inlineStr">
        <is>
          <t>C. Literature &amp; Modern Thought</t>
        </is>
      </c>
      <c r="C46" s="18" t="inlineStr">
        <is>
          <t>Kafka</t>
        </is>
      </c>
      <c r="D46" s="18" t="inlineStr">
        <is>
          <t>Primary/critical editions; reputable archives</t>
        </is>
      </c>
      <c r="E46" s="18" t="inlineStr">
        <is>
          <t>Passages on lived human experience; record work/chapter/page; flag copyright</t>
        </is>
      </c>
      <c r="F46" s="18" t="n">
        <v>20</v>
      </c>
      <c r="G46" s="18" t="n">
        <v>2</v>
      </c>
      <c r="H46" s="18" t="n">
        <v>3</v>
      </c>
      <c r="I46" s="18" t="str"/>
      <c r="J46" s="18" t="str"/>
      <c r="K46" s="18" t="str"/>
      <c r="L46" s="18" t="inlineStr">
        <is>
          <t>Planned</t>
        </is>
      </c>
      <c r="M46" s="66">
        <f>IFERROR((I46+J46+K46)/(F46+G46+H46),0)</f>
        <v/>
      </c>
      <c r="N46" s="18" t="str"/>
    </row>
    <row r="47">
      <c r="A47" s="18" t="n">
        <v>46</v>
      </c>
      <c r="B47" s="18" t="inlineStr">
        <is>
          <t>C. Literature &amp; Modern Thought</t>
        </is>
      </c>
      <c r="C47" s="18" t="inlineStr">
        <is>
          <t>Camus</t>
        </is>
      </c>
      <c r="D47" s="18" t="inlineStr">
        <is>
          <t>Primary/critical editions; reputable archives</t>
        </is>
      </c>
      <c r="E47" s="18" t="inlineStr">
        <is>
          <t>Passages on lived human experience; record work/chapter/page; flag copyright</t>
        </is>
      </c>
      <c r="F47" s="18" t="n">
        <v>20</v>
      </c>
      <c r="G47" s="18" t="n">
        <v>2</v>
      </c>
      <c r="H47" s="18" t="n">
        <v>3</v>
      </c>
      <c r="I47" s="18" t="str"/>
      <c r="J47" s="18" t="str"/>
      <c r="K47" s="18" t="str"/>
      <c r="L47" s="18" t="inlineStr">
        <is>
          <t>Planned</t>
        </is>
      </c>
      <c r="M47" s="66">
        <f>IFERROR((I47+J47+K47)/(F47+G47+H47),0)</f>
        <v/>
      </c>
      <c r="N47" s="18" t="str"/>
    </row>
    <row r="48">
      <c r="A48" s="18" t="n">
        <v>47</v>
      </c>
      <c r="B48" s="18" t="inlineStr">
        <is>
          <t>C. Literature &amp; Modern Thought</t>
        </is>
      </c>
      <c r="C48" s="18" t="inlineStr">
        <is>
          <t>Virginia Woolf</t>
        </is>
      </c>
      <c r="D48" s="18" t="inlineStr">
        <is>
          <t>Primary/critical editions; reputable archives</t>
        </is>
      </c>
      <c r="E48" s="18" t="inlineStr">
        <is>
          <t>Passages on lived human experience; record work/chapter/page; flag copyright</t>
        </is>
      </c>
      <c r="F48" s="18" t="n">
        <v>20</v>
      </c>
      <c r="G48" s="18" t="n">
        <v>2</v>
      </c>
      <c r="H48" s="18" t="n">
        <v>3</v>
      </c>
      <c r="I48" s="18" t="str"/>
      <c r="J48" s="18" t="str"/>
      <c r="K48" s="18" t="str"/>
      <c r="L48" s="18" t="inlineStr">
        <is>
          <t>Planned</t>
        </is>
      </c>
      <c r="M48" s="66">
        <f>IFERROR((I48+J48+K48)/(F48+G48+H48),0)</f>
        <v/>
      </c>
      <c r="N48" s="18" t="str"/>
    </row>
    <row r="49">
      <c r="A49" s="18" t="n">
        <v>48</v>
      </c>
      <c r="B49" s="18" t="inlineStr">
        <is>
          <t>C. Literature &amp; Modern Thought</t>
        </is>
      </c>
      <c r="C49" s="18" t="inlineStr">
        <is>
          <t>Rilke</t>
        </is>
      </c>
      <c r="D49" s="18" t="inlineStr">
        <is>
          <t>Primary/critical editions; reputable archives</t>
        </is>
      </c>
      <c r="E49" s="18" t="inlineStr">
        <is>
          <t>Passages on lived human experience; record work/chapter/page; flag copyright</t>
        </is>
      </c>
      <c r="F49" s="18" t="n">
        <v>20</v>
      </c>
      <c r="G49" s="18" t="n">
        <v>2</v>
      </c>
      <c r="H49" s="18" t="n">
        <v>3</v>
      </c>
      <c r="I49" s="18" t="str"/>
      <c r="J49" s="18" t="str"/>
      <c r="K49" s="18" t="str"/>
      <c r="L49" s="18" t="inlineStr">
        <is>
          <t>Planned</t>
        </is>
      </c>
      <c r="M49" s="66">
        <f>IFERROR((I49+J49+K49)/(F49+G49+H49),0)</f>
        <v/>
      </c>
      <c r="N49" s="18" t="str"/>
    </row>
    <row r="50">
      <c r="A50" s="18" t="n">
        <v>49</v>
      </c>
      <c r="B50" s="18" t="inlineStr">
        <is>
          <t>C. Literature &amp; Modern Thought</t>
        </is>
      </c>
      <c r="C50" s="18" t="inlineStr">
        <is>
          <t>Montaigne</t>
        </is>
      </c>
      <c r="D50" s="18" t="inlineStr">
        <is>
          <t>Primary/critical editions; reputable archives</t>
        </is>
      </c>
      <c r="E50" s="18" t="inlineStr">
        <is>
          <t>Passages on lived human experience; record work/chapter/page; flag copyright</t>
        </is>
      </c>
      <c r="F50" s="18" t="n">
        <v>20</v>
      </c>
      <c r="G50" s="18" t="n">
        <v>2</v>
      </c>
      <c r="H50" s="18" t="n">
        <v>3</v>
      </c>
      <c r="I50" s="18" t="str"/>
      <c r="J50" s="18" t="str"/>
      <c r="K50" s="18" t="str"/>
      <c r="L50" s="18" t="inlineStr">
        <is>
          <t>Planned</t>
        </is>
      </c>
      <c r="M50" s="66">
        <f>IFERROR((I50+J50+K50)/(F50+G50+H50),0)</f>
        <v/>
      </c>
      <c r="N50" s="18" t="str"/>
    </row>
    <row r="51">
      <c r="A51" s="18" t="n">
        <v>50</v>
      </c>
      <c r="B51" s="18" t="inlineStr">
        <is>
          <t>C. Literature &amp; Modern Thought</t>
        </is>
      </c>
      <c r="C51" s="18" t="inlineStr">
        <is>
          <t>Kierkegaard</t>
        </is>
      </c>
      <c r="D51" s="18" t="inlineStr">
        <is>
          <t>Primary/critical editions; reputable archives</t>
        </is>
      </c>
      <c r="E51" s="18" t="inlineStr">
        <is>
          <t>Passages on lived human experience; record work/chapter/page; flag copyright</t>
        </is>
      </c>
      <c r="F51" s="18" t="n">
        <v>20</v>
      </c>
      <c r="G51" s="18" t="n">
        <v>2</v>
      </c>
      <c r="H51" s="18" t="n">
        <v>3</v>
      </c>
      <c r="I51" s="18" t="str"/>
      <c r="J51" s="18" t="str"/>
      <c r="K51" s="18" t="str"/>
      <c r="L51" s="18" t="inlineStr">
        <is>
          <t>Planned</t>
        </is>
      </c>
      <c r="M51" s="66">
        <f>IFERROR((I51+J51+K51)/(F51+G51+H51),0)</f>
        <v/>
      </c>
      <c r="N51" s="18" t="str"/>
    </row>
    <row r="52">
      <c r="A52" s="18" t="n">
        <v>51</v>
      </c>
      <c r="B52" s="18" t="inlineStr">
        <is>
          <t>C. Literature &amp; Modern Thought</t>
        </is>
      </c>
      <c r="C52" s="18" t="inlineStr">
        <is>
          <t>Simone Weil</t>
        </is>
      </c>
      <c r="D52" s="18" t="inlineStr">
        <is>
          <t>Primary/critical editions; reputable archives</t>
        </is>
      </c>
      <c r="E52" s="18" t="inlineStr">
        <is>
          <t>Passages on lived human experience; record work/chapter/page; flag copyright</t>
        </is>
      </c>
      <c r="F52" s="18" t="n">
        <v>20</v>
      </c>
      <c r="G52" s="18" t="n">
        <v>2</v>
      </c>
      <c r="H52" s="18" t="n">
        <v>3</v>
      </c>
      <c r="I52" s="18" t="str"/>
      <c r="J52" s="18" t="str"/>
      <c r="K52" s="18" t="str"/>
      <c r="L52" s="18" t="inlineStr">
        <is>
          <t>Planned</t>
        </is>
      </c>
      <c r="M52" s="66">
        <f>IFERROR((I52+J52+K52)/(F52+G52+H52),0)</f>
        <v/>
      </c>
      <c r="N52" s="18" t="str"/>
    </row>
    <row r="53">
      <c r="A53" s="18" t="n">
        <v>52</v>
      </c>
      <c r="B53" s="18" t="inlineStr">
        <is>
          <t>C. Literature &amp; Modern Thought</t>
        </is>
      </c>
      <c r="C53" s="18" t="inlineStr">
        <is>
          <t>Hannah Arendt</t>
        </is>
      </c>
      <c r="D53" s="18" t="inlineStr">
        <is>
          <t>Primary/critical editions; reputable archives</t>
        </is>
      </c>
      <c r="E53" s="18" t="inlineStr">
        <is>
          <t>Passages on lived human experience; record work/chapter/page; flag copyright</t>
        </is>
      </c>
      <c r="F53" s="18" t="n">
        <v>20</v>
      </c>
      <c r="G53" s="18" t="n">
        <v>2</v>
      </c>
      <c r="H53" s="18" t="n">
        <v>3</v>
      </c>
      <c r="I53" s="18" t="str"/>
      <c r="J53" s="18" t="str"/>
      <c r="K53" s="18" t="str"/>
      <c r="L53" s="18" t="inlineStr">
        <is>
          <t>Planned</t>
        </is>
      </c>
      <c r="M53" s="66">
        <f>IFERROR((I53+J53+K53)/(F53+G53+H53),0)</f>
        <v/>
      </c>
      <c r="N53" s="18" t="str"/>
    </row>
    <row r="54">
      <c r="A54" s="18" t="n">
        <v>53</v>
      </c>
      <c r="B54" s="18" t="inlineStr">
        <is>
          <t>C. Literature &amp; Modern Thought</t>
        </is>
      </c>
      <c r="C54" s="18" t="inlineStr">
        <is>
          <t>Tagore</t>
        </is>
      </c>
      <c r="D54" s="18" t="inlineStr">
        <is>
          <t>Primary/critical editions; reputable archives</t>
        </is>
      </c>
      <c r="E54" s="18" t="inlineStr">
        <is>
          <t>Passages on lived human experience; record work/chapter/page; flag copyright</t>
        </is>
      </c>
      <c r="F54" s="18" t="n">
        <v>20</v>
      </c>
      <c r="G54" s="18" t="n">
        <v>2</v>
      </c>
      <c r="H54" s="18" t="n">
        <v>3</v>
      </c>
      <c r="I54" s="18" t="str"/>
      <c r="J54" s="18" t="str"/>
      <c r="K54" s="18" t="str"/>
      <c r="L54" s="18" t="inlineStr">
        <is>
          <t>Planned</t>
        </is>
      </c>
      <c r="M54" s="66">
        <f>IFERROR((I54+J54+K54)/(F54+G54+H54),0)</f>
        <v/>
      </c>
      <c r="N54" s="18" t="str"/>
    </row>
    <row r="55">
      <c r="A55" s="18" t="n">
        <v>54</v>
      </c>
      <c r="B55" s="18" t="inlineStr">
        <is>
          <t>C. Literature &amp; Modern Thought</t>
        </is>
      </c>
      <c r="C55" s="18" t="inlineStr">
        <is>
          <t>Modern Asian literature / thought</t>
        </is>
      </c>
      <c r="D55" s="18" t="inlineStr">
        <is>
          <t>Primary/critical editions; reputable archives</t>
        </is>
      </c>
      <c r="E55" s="18" t="inlineStr">
        <is>
          <t>Passages on lived human experience; record work/chapter/page; flag copyright</t>
        </is>
      </c>
      <c r="F55" s="18" t="n">
        <v>20</v>
      </c>
      <c r="G55" s="18" t="n">
        <v>2</v>
      </c>
      <c r="H55" s="18" t="n">
        <v>3</v>
      </c>
      <c r="I55" s="18" t="str"/>
      <c r="J55" s="18" t="str"/>
      <c r="K55" s="18" t="str"/>
      <c r="L55" s="18" t="inlineStr">
        <is>
          <t>Planned</t>
        </is>
      </c>
      <c r="M55" s="66">
        <f>IFERROR((I55+J55+K55)/(F55+G55+H55),0)</f>
        <v/>
      </c>
      <c r="N55" s="18" t="str"/>
    </row>
    <row r="56">
      <c r="A56" s="18" t="n">
        <v>55</v>
      </c>
      <c r="B56" s="18" t="inlineStr">
        <is>
          <t>C. Literature &amp; Modern Thought</t>
        </is>
      </c>
      <c r="C56" s="18" t="inlineStr">
        <is>
          <t>Literature coverage review</t>
        </is>
      </c>
      <c r="D56" s="18" t="inlineStr">
        <is>
          <t>Phase C corpus</t>
        </is>
      </c>
      <c r="E56" s="18" t="inlineStr">
        <is>
          <t>Deduplicate; map loneliness, uncertainty, identity, grief, meaning, ordinary life, contradiction, work, love, choice</t>
        </is>
      </c>
      <c r="F56" s="18" t="n">
        <v>5</v>
      </c>
      <c r="G56" s="18" t="n">
        <v>0</v>
      </c>
      <c r="H56" s="18" t="n">
        <v>5</v>
      </c>
      <c r="I56" s="18" t="str"/>
      <c r="J56" s="18" t="str"/>
      <c r="K56" s="18" t="str"/>
      <c r="L56" s="18" t="inlineStr">
        <is>
          <t>Planned</t>
        </is>
      </c>
      <c r="M56" s="66">
        <f>IFERROR((I56+J56+K56)/(F56+G56+H56),0)</f>
        <v/>
      </c>
      <c r="N56" s="18" t="str"/>
    </row>
    <row r="57">
      <c r="A57" s="18" t="n">
        <v>56</v>
      </c>
      <c r="B57" s="18" t="inlineStr">
        <is>
          <t>D. Psychology &amp; Human Science</t>
        </is>
      </c>
      <c r="C57" s="18" t="inlineStr">
        <is>
          <t>William James</t>
        </is>
      </c>
      <c r="D57" s="18" t="inlineStr">
        <is>
          <t>Primary works / archives</t>
        </is>
      </c>
      <c r="E57" s="18" t="inlineStr">
        <is>
          <t>Attention, habit, experience, choice; extract finding + limitation + Selflo principle seed</t>
        </is>
      </c>
      <c r="F57" s="18" t="n">
        <v>8</v>
      </c>
      <c r="G57" s="18" t="n">
        <v>1</v>
      </c>
      <c r="H57" s="18" t="n">
        <v>8</v>
      </c>
      <c r="I57" s="18" t="str"/>
      <c r="J57" s="18" t="str"/>
      <c r="K57" s="18" t="str"/>
      <c r="L57" s="18" t="inlineStr">
        <is>
          <t>Planned</t>
        </is>
      </c>
      <c r="M57" s="66">
        <f>IFERROR((I57+J57+K57)/(F57+G57+H57),0)</f>
        <v/>
      </c>
      <c r="N57" s="18" t="str"/>
    </row>
    <row r="58">
      <c r="A58" s="18" t="n">
        <v>57</v>
      </c>
      <c r="B58" s="18" t="inlineStr">
        <is>
          <t>D. Psychology &amp; Human Science</t>
        </is>
      </c>
      <c r="C58" s="18" t="inlineStr">
        <is>
          <t>Carl Rogers</t>
        </is>
      </c>
      <c r="D58" s="18" t="inlineStr">
        <is>
          <t>Primary works / reputable archives</t>
        </is>
      </c>
      <c r="E58" s="18" t="inlineStr">
        <is>
          <t>Acceptance, congruence, listening, self; extract finding + limitation + Selflo principle seed</t>
        </is>
      </c>
      <c r="F58" s="18" t="n">
        <v>8</v>
      </c>
      <c r="G58" s="18" t="n">
        <v>1</v>
      </c>
      <c r="H58" s="18" t="n">
        <v>8</v>
      </c>
      <c r="I58" s="18" t="str"/>
      <c r="J58" s="18" t="str"/>
      <c r="K58" s="18" t="str"/>
      <c r="L58" s="18" t="inlineStr">
        <is>
          <t>Planned</t>
        </is>
      </c>
      <c r="M58" s="66">
        <f>IFERROR((I58+J58+K58)/(F58+G58+H58),0)</f>
        <v/>
      </c>
      <c r="N58" s="18" t="str"/>
    </row>
    <row r="59">
      <c r="A59" s="18" t="n">
        <v>58</v>
      </c>
      <c r="B59" s="18" t="inlineStr">
        <is>
          <t>D. Psychology &amp; Human Science</t>
        </is>
      </c>
      <c r="C59" s="18" t="inlineStr">
        <is>
          <t>Viktor Frankl</t>
        </is>
      </c>
      <c r="D59" s="18" t="inlineStr">
        <is>
          <t>Primary works / Frankl Institute</t>
        </is>
      </c>
      <c r="E59" s="18" t="inlineStr">
        <is>
          <t>Meaning, freedom, responsibility; fake attribution audit; extract finding + limitation + Selflo principle seed</t>
        </is>
      </c>
      <c r="F59" s="18" t="n">
        <v>8</v>
      </c>
      <c r="G59" s="18" t="n">
        <v>1</v>
      </c>
      <c r="H59" s="18" t="n">
        <v>8</v>
      </c>
      <c r="I59" s="18" t="str"/>
      <c r="J59" s="18" t="str"/>
      <c r="K59" s="18" t="str"/>
      <c r="L59" s="18" t="inlineStr">
        <is>
          <t>Planned</t>
        </is>
      </c>
      <c r="M59" s="66">
        <f>IFERROR((I59+J59+K59)/(F59+G59+H59),0)</f>
        <v/>
      </c>
      <c r="N59" s="18" t="str"/>
    </row>
    <row r="60">
      <c r="A60" s="18" t="n">
        <v>59</v>
      </c>
      <c r="B60" s="18" t="inlineStr">
        <is>
          <t>D. Psychology &amp; Human Science</t>
        </is>
      </c>
      <c r="C60" s="18" t="inlineStr">
        <is>
          <t>Self-compassion research</t>
        </is>
      </c>
      <c r="D60" s="18" t="inlineStr">
        <is>
          <t>Peer-reviewed research / institutional sources</t>
        </is>
      </c>
      <c r="E60" s="18" t="inlineStr">
        <is>
          <t>Self-kindness, common humanity, self-criticism; extract finding + limitation + Selflo principle seed</t>
        </is>
      </c>
      <c r="F60" s="18" t="n">
        <v>8</v>
      </c>
      <c r="G60" s="18" t="n">
        <v>1</v>
      </c>
      <c r="H60" s="18" t="n">
        <v>8</v>
      </c>
      <c r="I60" s="18" t="str"/>
      <c r="J60" s="18" t="str"/>
      <c r="K60" s="18" t="str"/>
      <c r="L60" s="18" t="inlineStr">
        <is>
          <t>Planned</t>
        </is>
      </c>
      <c r="M60" s="66">
        <f>IFERROR((I60+J60+K60)/(F60+G60+H60),0)</f>
        <v/>
      </c>
      <c r="N60" s="18" t="str"/>
    </row>
    <row r="61">
      <c r="A61" s="18" t="n">
        <v>60</v>
      </c>
      <c r="B61" s="18" t="inlineStr">
        <is>
          <t>D. Psychology &amp; Human Science</t>
        </is>
      </c>
      <c r="C61" s="18" t="inlineStr">
        <is>
          <t>Psychological flexibility / ACT</t>
        </is>
      </c>
      <c r="D61" s="18" t="inlineStr">
        <is>
          <t>Peer-reviewed research</t>
        </is>
      </c>
      <c r="E61" s="18" t="inlineStr">
        <is>
          <t>Values, acceptance, flexibility, action; extract finding + limitation + Selflo principle seed</t>
        </is>
      </c>
      <c r="F61" s="18" t="n">
        <v>8</v>
      </c>
      <c r="G61" s="18" t="n">
        <v>1</v>
      </c>
      <c r="H61" s="18" t="n">
        <v>8</v>
      </c>
      <c r="I61" s="18" t="str"/>
      <c r="J61" s="18" t="str"/>
      <c r="K61" s="18" t="str"/>
      <c r="L61" s="18" t="inlineStr">
        <is>
          <t>Planned</t>
        </is>
      </c>
      <c r="M61" s="66">
        <f>IFERROR((I61+J61+K61)/(F61+G61+H61),0)</f>
        <v/>
      </c>
      <c r="N61" s="18" t="str"/>
    </row>
    <row r="62">
      <c r="A62" s="18" t="n">
        <v>61</v>
      </c>
      <c r="B62" s="18" t="inlineStr">
        <is>
          <t>D. Psychology &amp; Human Science</t>
        </is>
      </c>
      <c r="C62" s="18" t="inlineStr">
        <is>
          <t>Affect labeling</t>
        </is>
      </c>
      <c r="D62" s="18" t="inlineStr">
        <is>
          <t>Peer-reviewed research</t>
        </is>
      </c>
      <c r="E62" s="18" t="inlineStr">
        <is>
          <t>Naming emotions; effects and limitations; extract finding + limitation + Selflo principle seed</t>
        </is>
      </c>
      <c r="F62" s="18" t="n">
        <v>8</v>
      </c>
      <c r="G62" s="18" t="n">
        <v>1</v>
      </c>
      <c r="H62" s="18" t="n">
        <v>8</v>
      </c>
      <c r="I62" s="18" t="str"/>
      <c r="J62" s="18" t="str"/>
      <c r="K62" s="18" t="str"/>
      <c r="L62" s="18" t="inlineStr">
        <is>
          <t>Planned</t>
        </is>
      </c>
      <c r="M62" s="66">
        <f>IFERROR((I62+J62+K62)/(F62+G62+H62),0)</f>
        <v/>
      </c>
      <c r="N62" s="18" t="str"/>
    </row>
    <row r="63">
      <c r="A63" s="18" t="n">
        <v>62</v>
      </c>
      <c r="B63" s="18" t="inlineStr">
        <is>
          <t>D. Psychology &amp; Human Science</t>
        </is>
      </c>
      <c r="C63" s="18" t="inlineStr">
        <is>
          <t>Mixed emotions</t>
        </is>
      </c>
      <c r="D63" s="18" t="inlineStr">
        <is>
          <t>Peer-reviewed research</t>
        </is>
      </c>
      <c r="E63" s="18" t="inlineStr">
        <is>
          <t>Co-occurring positive/negative emotions; bittersweet states; extract finding + limitation + Selflo principle seed</t>
        </is>
      </c>
      <c r="F63" s="18" t="n">
        <v>8</v>
      </c>
      <c r="G63" s="18" t="n">
        <v>1</v>
      </c>
      <c r="H63" s="18" t="n">
        <v>8</v>
      </c>
      <c r="I63" s="18" t="str"/>
      <c r="J63" s="18" t="str"/>
      <c r="K63" s="18" t="str"/>
      <c r="L63" s="18" t="inlineStr">
        <is>
          <t>Planned</t>
        </is>
      </c>
      <c r="M63" s="66">
        <f>IFERROR((I63+J63+K63)/(F63+G63+H63),0)</f>
        <v/>
      </c>
      <c r="N63" s="18" t="str"/>
    </row>
    <row r="64">
      <c r="A64" s="18" t="n">
        <v>63</v>
      </c>
      <c r="B64" s="18" t="inlineStr">
        <is>
          <t>D. Psychology &amp; Human Science</t>
        </is>
      </c>
      <c r="C64" s="18" t="inlineStr">
        <is>
          <t>Rumination</t>
        </is>
      </c>
      <c r="D64" s="18" t="inlineStr">
        <is>
          <t>Peer-reviewed research</t>
        </is>
      </c>
      <c r="E64" s="18" t="inlineStr">
        <is>
          <t>Repetitive thought, mood, attention; limitations; extract finding + limitation + Selflo principle seed</t>
        </is>
      </c>
      <c r="F64" s="18" t="n">
        <v>8</v>
      </c>
      <c r="G64" s="18" t="n">
        <v>1</v>
      </c>
      <c r="H64" s="18" t="n">
        <v>8</v>
      </c>
      <c r="I64" s="18" t="str"/>
      <c r="J64" s="18" t="str"/>
      <c r="K64" s="18" t="str"/>
      <c r="L64" s="18" t="inlineStr">
        <is>
          <t>Planned</t>
        </is>
      </c>
      <c r="M64" s="66">
        <f>IFERROR((I64+J64+K64)/(F64+G64+H64),0)</f>
        <v/>
      </c>
      <c r="N64" s="18" t="str"/>
    </row>
    <row r="65">
      <c r="A65" s="18" t="n">
        <v>64</v>
      </c>
      <c r="B65" s="18" t="inlineStr">
        <is>
          <t>D. Psychology &amp; Human Science</t>
        </is>
      </c>
      <c r="C65" s="18" t="inlineStr">
        <is>
          <t>Psychological detachment from work</t>
        </is>
      </c>
      <c r="D65" s="18" t="inlineStr">
        <is>
          <t>Peer-reviewed research</t>
        </is>
      </c>
      <c r="E65" s="18" t="inlineStr">
        <is>
          <t>Work carryover, recovery, switching off; extract finding + limitation + Selflo principle seed</t>
        </is>
      </c>
      <c r="F65" s="18" t="n">
        <v>8</v>
      </c>
      <c r="G65" s="18" t="n">
        <v>1</v>
      </c>
      <c r="H65" s="18" t="n">
        <v>8</v>
      </c>
      <c r="I65" s="18" t="str"/>
      <c r="J65" s="18" t="str"/>
      <c r="K65" s="18" t="str"/>
      <c r="L65" s="18" t="inlineStr">
        <is>
          <t>Planned</t>
        </is>
      </c>
      <c r="M65" s="66">
        <f>IFERROR((I65+J65+K65)/(F65+G65+H65),0)</f>
        <v/>
      </c>
      <c r="N65" s="18" t="str"/>
    </row>
    <row r="66">
      <c r="A66" s="18" t="n">
        <v>65</v>
      </c>
      <c r="B66" s="18" t="inlineStr">
        <is>
          <t>D. Psychology &amp; Human Science</t>
        </is>
      </c>
      <c r="C66" s="18" t="inlineStr">
        <is>
          <t>Recovery / fatigue / burnout</t>
        </is>
      </c>
      <c r="D66" s="18" t="inlineStr">
        <is>
          <t>Peer-reviewed research / WHO where relevant</t>
        </is>
      </c>
      <c r="E66" s="18" t="inlineStr">
        <is>
          <t>Recovery, workload, fatigue; avoid diagnosis creep; extract finding + limitation + Selflo principle seed</t>
        </is>
      </c>
      <c r="F66" s="18" t="n">
        <v>8</v>
      </c>
      <c r="G66" s="18" t="n">
        <v>1</v>
      </c>
      <c r="H66" s="18" t="n">
        <v>8</v>
      </c>
      <c r="I66" s="18" t="str"/>
      <c r="J66" s="18" t="str"/>
      <c r="K66" s="18" t="str"/>
      <c r="L66" s="18" t="inlineStr">
        <is>
          <t>Planned</t>
        </is>
      </c>
      <c r="M66" s="66">
        <f>IFERROR((I66+J66+K66)/(F66+G66+H66),0)</f>
        <v/>
      </c>
      <c r="N66" s="18" t="str"/>
    </row>
    <row r="67">
      <c r="A67" s="18" t="n">
        <v>66</v>
      </c>
      <c r="B67" s="18" t="inlineStr">
        <is>
          <t>D. Psychology &amp; Human Science</t>
        </is>
      </c>
      <c r="C67" s="18" t="inlineStr">
        <is>
          <t>Uncertainty tolerance</t>
        </is>
      </c>
      <c r="D67" s="18" t="inlineStr">
        <is>
          <t>Peer-reviewed research</t>
        </is>
      </c>
      <c r="E67" s="18" t="inlineStr">
        <is>
          <t>Ambiguity, intolerance of uncertainty, waiting; extract finding + limitation + Selflo principle seed</t>
        </is>
      </c>
      <c r="F67" s="18" t="n">
        <v>8</v>
      </c>
      <c r="G67" s="18" t="n">
        <v>1</v>
      </c>
      <c r="H67" s="18" t="n">
        <v>8</v>
      </c>
      <c r="I67" s="18" t="str"/>
      <c r="J67" s="18" t="str"/>
      <c r="K67" s="18" t="str"/>
      <c r="L67" s="18" t="inlineStr">
        <is>
          <t>Planned</t>
        </is>
      </c>
      <c r="M67" s="66">
        <f>IFERROR((I67+J67+K67)/(F67+G67+H67),0)</f>
        <v/>
      </c>
      <c r="N67" s="18" t="str"/>
    </row>
    <row r="68">
      <c r="A68" s="18" t="n">
        <v>67</v>
      </c>
      <c r="B68" s="18" t="inlineStr">
        <is>
          <t>D. Psychology &amp; Human Science</t>
        </is>
      </c>
      <c r="C68" s="18" t="inlineStr">
        <is>
          <t>Decision making</t>
        </is>
      </c>
      <c r="D68" s="18" t="inlineStr">
        <is>
          <t>Decision science research</t>
        </is>
      </c>
      <c r="E68" s="18" t="inlineStr">
        <is>
          <t>Trade-offs, judgment, irreversible/reversible decisions; extract finding + limitation + Selflo principle seed</t>
        </is>
      </c>
      <c r="F68" s="18" t="n">
        <v>8</v>
      </c>
      <c r="G68" s="18" t="n">
        <v>1</v>
      </c>
      <c r="H68" s="18" t="n">
        <v>8</v>
      </c>
      <c r="I68" s="18" t="str"/>
      <c r="J68" s="18" t="str"/>
      <c r="K68" s="18" t="str"/>
      <c r="L68" s="18" t="inlineStr">
        <is>
          <t>Planned</t>
        </is>
      </c>
      <c r="M68" s="66">
        <f>IFERROR((I68+J68+K68)/(F68+G68+H68),0)</f>
        <v/>
      </c>
      <c r="N68" s="18" t="str"/>
    </row>
    <row r="69">
      <c r="A69" s="18" t="n">
        <v>68</v>
      </c>
      <c r="B69" s="18" t="inlineStr">
        <is>
          <t>D. Psychology &amp; Human Science</t>
        </is>
      </c>
      <c r="C69" s="18" t="inlineStr">
        <is>
          <t>Choice / choice overload</t>
        </is>
      </c>
      <c r="D69" s="18" t="inlineStr">
        <is>
          <t>Peer-reviewed research</t>
        </is>
      </c>
      <c r="E69" s="18" t="inlineStr">
        <is>
          <t>Choice set, moderators, judgment bottlenecks; extract finding + limitation + Selflo principle seed</t>
        </is>
      </c>
      <c r="F69" s="18" t="n">
        <v>8</v>
      </c>
      <c r="G69" s="18" t="n">
        <v>1</v>
      </c>
      <c r="H69" s="18" t="n">
        <v>8</v>
      </c>
      <c r="I69" s="18" t="str"/>
      <c r="J69" s="18" t="str"/>
      <c r="K69" s="18" t="str"/>
      <c r="L69" s="18" t="inlineStr">
        <is>
          <t>Planned</t>
        </is>
      </c>
      <c r="M69" s="66">
        <f>IFERROR((I69+J69+K69)/(F69+G69+H69),0)</f>
        <v/>
      </c>
      <c r="N69" s="18" t="str"/>
    </row>
    <row r="70">
      <c r="A70" s="18" t="n">
        <v>69</v>
      </c>
      <c r="B70" s="18" t="inlineStr">
        <is>
          <t>D. Psychology &amp; Human Science</t>
        </is>
      </c>
      <c r="C70" s="18" t="inlineStr">
        <is>
          <t>Comparison / self-evaluation</t>
        </is>
      </c>
      <c r="D70" s="18" t="inlineStr">
        <is>
          <t>Peer-reviewed research</t>
        </is>
      </c>
      <c r="E70" s="18" t="inlineStr">
        <is>
          <t>Social comparison, standards, self-worth; extract finding + limitation + Selflo principle seed</t>
        </is>
      </c>
      <c r="F70" s="18" t="n">
        <v>8</v>
      </c>
      <c r="G70" s="18" t="n">
        <v>1</v>
      </c>
      <c r="H70" s="18" t="n">
        <v>8</v>
      </c>
      <c r="I70" s="18" t="str"/>
      <c r="J70" s="18" t="str"/>
      <c r="K70" s="18" t="str"/>
      <c r="L70" s="18" t="inlineStr">
        <is>
          <t>Planned</t>
        </is>
      </c>
      <c r="M70" s="66">
        <f>IFERROR((I70+J70+K70)/(F70+G70+H70),0)</f>
        <v/>
      </c>
      <c r="N70" s="18" t="str"/>
    </row>
    <row r="71">
      <c r="A71" s="18" t="n">
        <v>70</v>
      </c>
      <c r="B71" s="18" t="inlineStr">
        <is>
          <t>D. Psychology &amp; Human Science</t>
        </is>
      </c>
      <c r="C71" s="18" t="inlineStr">
        <is>
          <t>Meaning / identity / values</t>
        </is>
      </c>
      <c r="D71" s="18" t="inlineStr">
        <is>
          <t>Peer-reviewed research</t>
        </is>
      </c>
      <c r="E71" s="18" t="inlineStr">
        <is>
          <t>Meaning-making, identity, values, work identity; extract finding + limitation + Selflo principle seed</t>
        </is>
      </c>
      <c r="F71" s="18" t="n">
        <v>8</v>
      </c>
      <c r="G71" s="18" t="n">
        <v>1</v>
      </c>
      <c r="H71" s="18" t="n">
        <v>8</v>
      </c>
      <c r="I71" s="18" t="str"/>
      <c r="J71" s="18" t="str"/>
      <c r="K71" s="18" t="str"/>
      <c r="L71" s="18" t="inlineStr">
        <is>
          <t>Planned</t>
        </is>
      </c>
      <c r="M71" s="66">
        <f>IFERROR((I71+J71+K71)/(F71+G71+H71),0)</f>
        <v/>
      </c>
      <c r="N71" s="18" t="str"/>
    </row>
    <row r="72">
      <c r="A72" s="18" t="n">
        <v>71</v>
      </c>
      <c r="B72" s="18" t="inlineStr">
        <is>
          <t>E. Modern Life &amp; AI Age</t>
        </is>
      </c>
      <c r="C72" s="18" t="inlineStr">
        <is>
          <t>Abundance → scarcity migration</t>
        </is>
      </c>
      <c r="D72" s="18" t="inlineStr">
        <is>
          <t>AI-era docs + economics/history/psychology/human factors sources</t>
        </is>
      </c>
      <c r="E72" s="18" t="inlineStr">
        <is>
          <t>Find historical analogies, research findings, external wisdom; create Selflo Original seeds only after source-backed research</t>
        </is>
      </c>
      <c r="F72" s="18" t="n">
        <v>12</v>
      </c>
      <c r="G72" s="18" t="n">
        <v>2</v>
      </c>
      <c r="H72" s="18" t="n">
        <v>8</v>
      </c>
      <c r="I72" s="18" t="str"/>
      <c r="J72" s="18" t="str"/>
      <c r="K72" s="18" t="str"/>
      <c r="L72" s="18" t="inlineStr">
        <is>
          <t>Planned</t>
        </is>
      </c>
      <c r="M72" s="66">
        <f>IFERROR((I72+J72+K72)/(F72+G72+H72),0)</f>
        <v/>
      </c>
      <c r="N72" s="18" t="str"/>
    </row>
    <row r="73">
      <c r="A73" s="18" t="n">
        <v>72</v>
      </c>
      <c r="B73" s="18" t="inlineStr">
        <is>
          <t>E. Modern Life &amp; AI Age</t>
        </is>
      </c>
      <c r="C73" s="18" t="inlineStr">
        <is>
          <t>Attention scarcity</t>
        </is>
      </c>
      <c r="D73" s="18" t="inlineStr">
        <is>
          <t>AI-era docs + economics/history/psychology/human factors sources</t>
        </is>
      </c>
      <c r="E73" s="18" t="inlineStr">
        <is>
          <t>Find historical analogies, research findings, external wisdom; create Selflo Original seeds only after source-backed research</t>
        </is>
      </c>
      <c r="F73" s="18" t="n">
        <v>12</v>
      </c>
      <c r="G73" s="18" t="n">
        <v>2</v>
      </c>
      <c r="H73" s="18" t="n">
        <v>8</v>
      </c>
      <c r="I73" s="18" t="str"/>
      <c r="J73" s="18" t="str"/>
      <c r="K73" s="18" t="str"/>
      <c r="L73" s="18" t="inlineStr">
        <is>
          <t>Planned</t>
        </is>
      </c>
      <c r="M73" s="66">
        <f>IFERROR((I73+J73+K73)/(F73+G73+H73),0)</f>
        <v/>
      </c>
      <c r="N73" s="18" t="str"/>
    </row>
    <row r="74">
      <c r="A74" s="18" t="n">
        <v>73</v>
      </c>
      <c r="B74" s="18" t="inlineStr">
        <is>
          <t>E. Modern Life &amp; AI Age</t>
        </is>
      </c>
      <c r="C74" s="18" t="inlineStr">
        <is>
          <t>Information abundance / noise</t>
        </is>
      </c>
      <c r="D74" s="18" t="inlineStr">
        <is>
          <t>AI-era docs + economics/history/psychology/human factors sources</t>
        </is>
      </c>
      <c r="E74" s="18" t="inlineStr">
        <is>
          <t>Find historical analogies, research findings, external wisdom; create Selflo Original seeds only after source-backed research</t>
        </is>
      </c>
      <c r="F74" s="18" t="n">
        <v>12</v>
      </c>
      <c r="G74" s="18" t="n">
        <v>2</v>
      </c>
      <c r="H74" s="18" t="n">
        <v>8</v>
      </c>
      <c r="I74" s="18" t="str"/>
      <c r="J74" s="18" t="str"/>
      <c r="K74" s="18" t="str"/>
      <c r="L74" s="18" t="inlineStr">
        <is>
          <t>Planned</t>
        </is>
      </c>
      <c r="M74" s="66">
        <f>IFERROR((I74+J74+K74)/(F74+G74+H74),0)</f>
        <v/>
      </c>
      <c r="N74" s="18" t="str"/>
    </row>
    <row r="75">
      <c r="A75" s="18" t="n">
        <v>74</v>
      </c>
      <c r="B75" s="18" t="inlineStr">
        <is>
          <t>E. Modern Life &amp; AI Age</t>
        </is>
      </c>
      <c r="C75" s="18" t="inlineStr">
        <is>
          <t>Choice → judgment bottleneck</t>
        </is>
      </c>
      <c r="D75" s="18" t="inlineStr">
        <is>
          <t>AI-era docs + economics/history/psychology/human factors sources</t>
        </is>
      </c>
      <c r="E75" s="18" t="inlineStr">
        <is>
          <t>Find historical analogies, research findings, external wisdom; create Selflo Original seeds only after source-backed research</t>
        </is>
      </c>
      <c r="F75" s="18" t="n">
        <v>12</v>
      </c>
      <c r="G75" s="18" t="n">
        <v>2</v>
      </c>
      <c r="H75" s="18" t="n">
        <v>8</v>
      </c>
      <c r="I75" s="18" t="str"/>
      <c r="J75" s="18" t="str"/>
      <c r="K75" s="18" t="str"/>
      <c r="L75" s="18" t="inlineStr">
        <is>
          <t>Planned</t>
        </is>
      </c>
      <c r="M75" s="66">
        <f>IFERROR((I75+J75+K75)/(F75+G75+H75),0)</f>
        <v/>
      </c>
      <c r="N75" s="18" t="str"/>
    </row>
    <row r="76">
      <c r="A76" s="18" t="n">
        <v>75</v>
      </c>
      <c r="B76" s="18" t="inlineStr">
        <is>
          <t>E. Modern Life &amp; AI Age</t>
        </is>
      </c>
      <c r="C76" s="18" t="inlineStr">
        <is>
          <t>Trust / verification</t>
        </is>
      </c>
      <c r="D76" s="18" t="inlineStr">
        <is>
          <t>AI-era docs + economics/history/psychology/human factors sources</t>
        </is>
      </c>
      <c r="E76" s="18" t="inlineStr">
        <is>
          <t>Find historical analogies, research findings, external wisdom; create Selflo Original seeds only after source-backed research</t>
        </is>
      </c>
      <c r="F76" s="18" t="n">
        <v>12</v>
      </c>
      <c r="G76" s="18" t="n">
        <v>2</v>
      </c>
      <c r="H76" s="18" t="n">
        <v>8</v>
      </c>
      <c r="I76" s="18" t="str"/>
      <c r="J76" s="18" t="str"/>
      <c r="K76" s="18" t="str"/>
      <c r="L76" s="18" t="inlineStr">
        <is>
          <t>Planned</t>
        </is>
      </c>
      <c r="M76" s="66">
        <f>IFERROR((I76+J76+K76)/(F76+G76+H76),0)</f>
        <v/>
      </c>
      <c r="N76" s="18" t="str"/>
    </row>
    <row r="77">
      <c r="A77" s="18" t="n">
        <v>76</v>
      </c>
      <c r="B77" s="18" t="inlineStr">
        <is>
          <t>E. Modern Life &amp; AI Age</t>
        </is>
      </c>
      <c r="C77" s="18" t="inlineStr">
        <is>
          <t>Fast execution / slow cognition</t>
        </is>
      </c>
      <c r="D77" s="18" t="inlineStr">
        <is>
          <t>AI-era docs + economics/history/psychology/human factors sources</t>
        </is>
      </c>
      <c r="E77" s="18" t="inlineStr">
        <is>
          <t>Find historical analogies, research findings, external wisdom; create Selflo Original seeds only after source-backed research</t>
        </is>
      </c>
      <c r="F77" s="18" t="n">
        <v>12</v>
      </c>
      <c r="G77" s="18" t="n">
        <v>2</v>
      </c>
      <c r="H77" s="18" t="n">
        <v>8</v>
      </c>
      <c r="I77" s="18" t="str"/>
      <c r="J77" s="18" t="str"/>
      <c r="K77" s="18" t="str"/>
      <c r="L77" s="18" t="inlineStr">
        <is>
          <t>Planned</t>
        </is>
      </c>
      <c r="M77" s="66">
        <f>IFERROR((I77+J77+K77)/(F77+G77+H77),0)</f>
        <v/>
      </c>
      <c r="N77" s="18" t="str"/>
    </row>
    <row r="78">
      <c r="A78" s="18" t="n">
        <v>77</v>
      </c>
      <c r="B78" s="18" t="inlineStr">
        <is>
          <t>E. Modern Life &amp; AI Age</t>
        </is>
      </c>
      <c r="C78" s="18" t="inlineStr">
        <is>
          <t>Learning-by-doing</t>
        </is>
      </c>
      <c r="D78" s="18" t="inlineStr">
        <is>
          <t>AI-era docs + economics/history/psychology/human factors sources</t>
        </is>
      </c>
      <c r="E78" s="18" t="inlineStr">
        <is>
          <t>Find historical analogies, research findings, external wisdom; create Selflo Original seeds only after source-backed research</t>
        </is>
      </c>
      <c r="F78" s="18" t="n">
        <v>12</v>
      </c>
      <c r="G78" s="18" t="n">
        <v>2</v>
      </c>
      <c r="H78" s="18" t="n">
        <v>8</v>
      </c>
      <c r="I78" s="18" t="str"/>
      <c r="J78" s="18" t="str"/>
      <c r="K78" s="18" t="str"/>
      <c r="L78" s="18" t="inlineStr">
        <is>
          <t>Planned</t>
        </is>
      </c>
      <c r="M78" s="66">
        <f>IFERROR((I78+J78+K78)/(F78+G78+H78),0)</f>
        <v/>
      </c>
      <c r="N78" s="18" t="str"/>
    </row>
    <row r="79">
      <c r="A79" s="18" t="n">
        <v>78</v>
      </c>
      <c r="B79" s="18" t="inlineStr">
        <is>
          <t>E. Modern Life &amp; AI Age</t>
        </is>
      </c>
      <c r="C79" s="18" t="inlineStr">
        <is>
          <t>Skill atrophy / cognitive offloading</t>
        </is>
      </c>
      <c r="D79" s="18" t="inlineStr">
        <is>
          <t>AI-era docs + economics/history/psychology/human factors sources</t>
        </is>
      </c>
      <c r="E79" s="18" t="inlineStr">
        <is>
          <t>Find historical analogies, research findings, external wisdom; create Selflo Original seeds only after source-backed research</t>
        </is>
      </c>
      <c r="F79" s="18" t="n">
        <v>12</v>
      </c>
      <c r="G79" s="18" t="n">
        <v>2</v>
      </c>
      <c r="H79" s="18" t="n">
        <v>8</v>
      </c>
      <c r="I79" s="18" t="str"/>
      <c r="J79" s="18" t="str"/>
      <c r="K79" s="18" t="str"/>
      <c r="L79" s="18" t="inlineStr">
        <is>
          <t>Planned</t>
        </is>
      </c>
      <c r="M79" s="66">
        <f>IFERROR((I79+J79+K79)/(F79+G79+H79),0)</f>
        <v/>
      </c>
      <c r="N79" s="18" t="str"/>
    </row>
    <row r="80">
      <c r="A80" s="18" t="n">
        <v>79</v>
      </c>
      <c r="B80" s="18" t="inlineStr">
        <is>
          <t>E. Modern Life &amp; AI Age</t>
        </is>
      </c>
      <c r="C80" s="18" t="inlineStr">
        <is>
          <t>Competition → baseline</t>
        </is>
      </c>
      <c r="D80" s="18" t="inlineStr">
        <is>
          <t>AI-era docs + economics/history/psychology/human factors sources</t>
        </is>
      </c>
      <c r="E80" s="18" t="inlineStr">
        <is>
          <t>Find historical analogies, research findings, external wisdom; create Selflo Original seeds only after source-backed research</t>
        </is>
      </c>
      <c r="F80" s="18" t="n">
        <v>12</v>
      </c>
      <c r="G80" s="18" t="n">
        <v>2</v>
      </c>
      <c r="H80" s="18" t="n">
        <v>8</v>
      </c>
      <c r="I80" s="18" t="str"/>
      <c r="J80" s="18" t="str"/>
      <c r="K80" s="18" t="str"/>
      <c r="L80" s="18" t="inlineStr">
        <is>
          <t>Planned</t>
        </is>
      </c>
      <c r="M80" s="66">
        <f>IFERROR((I80+J80+K80)/(F80+G80+H80),0)</f>
        <v/>
      </c>
      <c r="N80" s="18" t="str"/>
    </row>
    <row r="81">
      <c r="A81" s="18" t="n">
        <v>80</v>
      </c>
      <c r="B81" s="18" t="inlineStr">
        <is>
          <t>E. Modern Life &amp; AI Age</t>
        </is>
      </c>
      <c r="C81" s="18" t="inlineStr">
        <is>
          <t>Productivity ≠ leisure</t>
        </is>
      </c>
      <c r="D81" s="18" t="inlineStr">
        <is>
          <t>AI-era docs + economics/history/psychology/human factors sources</t>
        </is>
      </c>
      <c r="E81" s="18" t="inlineStr">
        <is>
          <t>Find historical analogies, research findings, external wisdom; create Selflo Original seeds only after source-backed research</t>
        </is>
      </c>
      <c r="F81" s="18" t="n">
        <v>12</v>
      </c>
      <c r="G81" s="18" t="n">
        <v>2</v>
      </c>
      <c r="H81" s="18" t="n">
        <v>8</v>
      </c>
      <c r="I81" s="18" t="str"/>
      <c r="J81" s="18" t="str"/>
      <c r="K81" s="18" t="str"/>
      <c r="L81" s="18" t="inlineStr">
        <is>
          <t>Planned</t>
        </is>
      </c>
      <c r="M81" s="66">
        <f>IFERROR((I81+J81+K81)/(F81+G81+H81),0)</f>
        <v/>
      </c>
      <c r="N81" s="18" t="str"/>
    </row>
    <row r="82">
      <c r="A82" s="18" t="n">
        <v>81</v>
      </c>
      <c r="B82" s="18" t="inlineStr">
        <is>
          <t>E. Modern Life &amp; AI Age</t>
        </is>
      </c>
      <c r="C82" s="18" t="inlineStr">
        <is>
          <t>Path dependence</t>
        </is>
      </c>
      <c r="D82" s="18" t="inlineStr">
        <is>
          <t>AI-era docs + economics/history/psychology/human factors sources</t>
        </is>
      </c>
      <c r="E82" s="18" t="inlineStr">
        <is>
          <t>Find historical analogies, research findings, external wisdom; create Selflo Original seeds only after source-backed research</t>
        </is>
      </c>
      <c r="F82" s="18" t="n">
        <v>12</v>
      </c>
      <c r="G82" s="18" t="n">
        <v>2</v>
      </c>
      <c r="H82" s="18" t="n">
        <v>8</v>
      </c>
      <c r="I82" s="18" t="str"/>
      <c r="J82" s="18" t="str"/>
      <c r="K82" s="18" t="str"/>
      <c r="L82" s="18" t="inlineStr">
        <is>
          <t>Planned</t>
        </is>
      </c>
      <c r="M82" s="66">
        <f>IFERROR((I82+J82+K82)/(F82+G82+H82),0)</f>
        <v/>
      </c>
      <c r="N82" s="18" t="str"/>
    </row>
    <row r="83">
      <c r="A83" s="18" t="n">
        <v>82</v>
      </c>
      <c r="B83" s="18" t="inlineStr">
        <is>
          <t>E. Modern Life &amp; AI Age</t>
        </is>
      </c>
      <c r="C83" s="18" t="inlineStr">
        <is>
          <t>Human agency in AI-rich environments</t>
        </is>
      </c>
      <c r="D83" s="18" t="inlineStr">
        <is>
          <t>AI-era docs + economics/history/psychology/human factors sources</t>
        </is>
      </c>
      <c r="E83" s="18" t="inlineStr">
        <is>
          <t>Find historical analogies, research findings, external wisdom; create Selflo Original seeds only after source-backed research</t>
        </is>
      </c>
      <c r="F83" s="18" t="n">
        <v>12</v>
      </c>
      <c r="G83" s="18" t="n">
        <v>2</v>
      </c>
      <c r="H83" s="18" t="n">
        <v>8</v>
      </c>
      <c r="I83" s="18" t="str"/>
      <c r="J83" s="18" t="str"/>
      <c r="K83" s="18" t="str"/>
      <c r="L83" s="18" t="inlineStr">
        <is>
          <t>Planned</t>
        </is>
      </c>
      <c r="M83" s="66">
        <f>IFERROR((I83+J83+K83)/(F83+G83+H83),0)</f>
        <v/>
      </c>
      <c r="N83" s="18" t="str"/>
    </row>
    <row r="84">
      <c r="A84" s="18" t="n">
        <v>83</v>
      </c>
      <c r="B84" s="18" t="inlineStr">
        <is>
          <t>F. Coverage Gap Filling</t>
        </is>
      </c>
      <c r="C84" s="18" t="inlineStr">
        <is>
          <t>Exhaustion / Recovery / Rest</t>
        </is>
      </c>
      <c r="D84" s="18" t="inlineStr">
        <is>
          <t>Whole collected library + targeted authoritative sources</t>
        </is>
      </c>
      <c r="E84" s="18" t="inlineStr">
        <is>
          <t>Fill under-covered human experiences only; prefer sources/traditions not yet overrepresented; final day produces coverage audit</t>
        </is>
      </c>
      <c r="F84" s="18" t="n">
        <v>20</v>
      </c>
      <c r="G84" s="18" t="n">
        <v>3</v>
      </c>
      <c r="H84" s="18" t="n">
        <v>4</v>
      </c>
      <c r="I84" s="18" t="str"/>
      <c r="J84" s="18" t="str"/>
      <c r="K84" s="18" t="str"/>
      <c r="L84" s="18" t="inlineStr">
        <is>
          <t>Planned</t>
        </is>
      </c>
      <c r="M84" s="66">
        <f>IFERROR((I84+J84+K84)/(F84+G84+H84),0)</f>
        <v/>
      </c>
      <c r="N84" s="18" t="str"/>
    </row>
    <row r="85">
      <c r="A85" s="18" t="n">
        <v>84</v>
      </c>
      <c r="B85" s="18" t="inlineStr">
        <is>
          <t>F. Coverage Gap Filling</t>
        </is>
      </c>
      <c r="C85" s="18" t="inlineStr">
        <is>
          <t>Self-compassion / Self-blame</t>
        </is>
      </c>
      <c r="D85" s="18" t="inlineStr">
        <is>
          <t>Whole collected library + targeted authoritative sources</t>
        </is>
      </c>
      <c r="E85" s="18" t="inlineStr">
        <is>
          <t>Fill under-covered human experiences only; prefer sources/traditions not yet overrepresented; final day produces coverage audit</t>
        </is>
      </c>
      <c r="F85" s="18" t="n">
        <v>20</v>
      </c>
      <c r="G85" s="18" t="n">
        <v>3</v>
      </c>
      <c r="H85" s="18" t="n">
        <v>4</v>
      </c>
      <c r="I85" s="18" t="str"/>
      <c r="J85" s="18" t="str"/>
      <c r="K85" s="18" t="str"/>
      <c r="L85" s="18" t="inlineStr">
        <is>
          <t>Planned</t>
        </is>
      </c>
      <c r="M85" s="66">
        <f>IFERROR((I85+J85+K85)/(F85+G85+H85),0)</f>
        <v/>
      </c>
      <c r="N85" s="18" t="str"/>
    </row>
    <row r="86">
      <c r="A86" s="18" t="n">
        <v>85</v>
      </c>
      <c r="B86" s="18" t="inlineStr">
        <is>
          <t>F. Coverage Gap Filling</t>
        </is>
      </c>
      <c r="C86" s="18" t="inlineStr">
        <is>
          <t>Uncertainty / Choice / Agency</t>
        </is>
      </c>
      <c r="D86" s="18" t="inlineStr">
        <is>
          <t>Whole collected library + targeted authoritative sources</t>
        </is>
      </c>
      <c r="E86" s="18" t="inlineStr">
        <is>
          <t>Fill under-covered human experiences only; prefer sources/traditions not yet overrepresented; final day produces coverage audit</t>
        </is>
      </c>
      <c r="F86" s="18" t="n">
        <v>20</v>
      </c>
      <c r="G86" s="18" t="n">
        <v>3</v>
      </c>
      <c r="H86" s="18" t="n">
        <v>4</v>
      </c>
      <c r="I86" s="18" t="str"/>
      <c r="J86" s="18" t="str"/>
      <c r="K86" s="18" t="str"/>
      <c r="L86" s="18" t="inlineStr">
        <is>
          <t>Planned</t>
        </is>
      </c>
      <c r="M86" s="66">
        <f>IFERROR((I86+J86+K86)/(F86+G86+H86),0)</f>
        <v/>
      </c>
      <c r="N86" s="18" t="str"/>
    </row>
    <row r="87">
      <c r="A87" s="18" t="n">
        <v>86</v>
      </c>
      <c r="B87" s="18" t="inlineStr">
        <is>
          <t>F. Coverage Gap Filling</t>
        </is>
      </c>
      <c r="C87" s="18" t="inlineStr">
        <is>
          <t>Comparison / External standards / Values</t>
        </is>
      </c>
      <c r="D87" s="18" t="inlineStr">
        <is>
          <t>Whole collected library + targeted authoritative sources</t>
        </is>
      </c>
      <c r="E87" s="18" t="inlineStr">
        <is>
          <t>Fill under-covered human experiences only; prefer sources/traditions not yet overrepresented; final day produces coverage audit</t>
        </is>
      </c>
      <c r="F87" s="18" t="n">
        <v>20</v>
      </c>
      <c r="G87" s="18" t="n">
        <v>3</v>
      </c>
      <c r="H87" s="18" t="n">
        <v>4</v>
      </c>
      <c r="I87" s="18" t="str"/>
      <c r="J87" s="18" t="str"/>
      <c r="K87" s="18" t="str"/>
      <c r="L87" s="18" t="inlineStr">
        <is>
          <t>Planned</t>
        </is>
      </c>
      <c r="M87" s="66">
        <f>IFERROR((I87+J87+K87)/(F87+G87+H87),0)</f>
        <v/>
      </c>
      <c r="N87" s="18" t="str"/>
    </row>
    <row r="88">
      <c r="A88" s="18" t="n">
        <v>87</v>
      </c>
      <c r="B88" s="18" t="inlineStr">
        <is>
          <t>F. Coverage Gap Filling</t>
        </is>
      </c>
      <c r="C88" s="18" t="inlineStr">
        <is>
          <t>Attention / Silence / Presence</t>
        </is>
      </c>
      <c r="D88" s="18" t="inlineStr">
        <is>
          <t>Whole collected library + targeted authoritative sources</t>
        </is>
      </c>
      <c r="E88" s="18" t="inlineStr">
        <is>
          <t>Fill under-covered human experiences only; prefer sources/traditions not yet overrepresented; final day produces coverage audit</t>
        </is>
      </c>
      <c r="F88" s="18" t="n">
        <v>20</v>
      </c>
      <c r="G88" s="18" t="n">
        <v>3</v>
      </c>
      <c r="H88" s="18" t="n">
        <v>4</v>
      </c>
      <c r="I88" s="18" t="str"/>
      <c r="J88" s="18" t="str"/>
      <c r="K88" s="18" t="str"/>
      <c r="L88" s="18" t="inlineStr">
        <is>
          <t>Planned</t>
        </is>
      </c>
      <c r="M88" s="66">
        <f>IFERROR((I88+J88+K88)/(F88+G88+H88),0)</f>
        <v/>
      </c>
      <c r="N88" s="18" t="str"/>
    </row>
    <row r="89">
      <c r="A89" s="18" t="n">
        <v>88</v>
      </c>
      <c r="B89" s="18" t="inlineStr">
        <is>
          <t>F. Coverage Gap Filling</t>
        </is>
      </c>
      <c r="C89" s="18" t="inlineStr">
        <is>
          <t>Learning / Failure / Quiet growth</t>
        </is>
      </c>
      <c r="D89" s="18" t="inlineStr">
        <is>
          <t>Whole collected library + targeted authoritative sources</t>
        </is>
      </c>
      <c r="E89" s="18" t="inlineStr">
        <is>
          <t>Fill under-covered human experiences only; prefer sources/traditions not yet overrepresented; final day produces coverage audit</t>
        </is>
      </c>
      <c r="F89" s="18" t="n">
        <v>20</v>
      </c>
      <c r="G89" s="18" t="n">
        <v>3</v>
      </c>
      <c r="H89" s="18" t="n">
        <v>4</v>
      </c>
      <c r="I89" s="18" t="str"/>
      <c r="J89" s="18" t="str"/>
      <c r="K89" s="18" t="str"/>
      <c r="L89" s="18" t="inlineStr">
        <is>
          <t>Planned</t>
        </is>
      </c>
      <c r="M89" s="66">
        <f>IFERROR((I89+J89+K89)/(F89+G89+H89),0)</f>
        <v/>
      </c>
      <c r="N89" s="18" t="str"/>
    </row>
    <row r="90">
      <c r="A90" s="18" t="n">
        <v>89</v>
      </c>
      <c r="B90" s="18" t="inlineStr">
        <is>
          <t>F. Coverage Gap Filling</t>
        </is>
      </c>
      <c r="C90" s="18" t="inlineStr">
        <is>
          <t>Identity / Meaning / Work / Change</t>
        </is>
      </c>
      <c r="D90" s="18" t="inlineStr">
        <is>
          <t>Whole collected library + targeted authoritative sources</t>
        </is>
      </c>
      <c r="E90" s="18" t="inlineStr">
        <is>
          <t>Fill under-covered human experiences only; prefer sources/traditions not yet overrepresented; final day produces coverage audit</t>
        </is>
      </c>
      <c r="F90" s="18" t="n">
        <v>20</v>
      </c>
      <c r="G90" s="18" t="n">
        <v>3</v>
      </c>
      <c r="H90" s="18" t="n">
        <v>4</v>
      </c>
      <c r="I90" s="18" t="str"/>
      <c r="J90" s="18" t="str"/>
      <c r="K90" s="18" t="str"/>
      <c r="L90" s="18" t="inlineStr">
        <is>
          <t>Planned</t>
        </is>
      </c>
      <c r="M90" s="66">
        <f>IFERROR((I90+J90+K90)/(F90+G90+H90),0)</f>
        <v/>
      </c>
      <c r="N90" s="18" t="str"/>
    </row>
    <row r="91">
      <c r="A91" s="18" t="n">
        <v>90</v>
      </c>
      <c r="B91" s="18" t="inlineStr">
        <is>
          <t>F. Coverage Gap Filling</t>
        </is>
      </c>
      <c r="C91" s="18" t="inlineStr">
        <is>
          <t>Mixed emotions / Emotional memory + final audit</t>
        </is>
      </c>
      <c r="D91" s="18" t="inlineStr">
        <is>
          <t>Whole collected library + targeted authoritative sources</t>
        </is>
      </c>
      <c r="E91" s="18" t="inlineStr">
        <is>
          <t>Fill under-covered human experiences only; prefer sources/traditions not yet overrepresented; final day produces coverage audit</t>
        </is>
      </c>
      <c r="F91" s="18" t="n">
        <v>20</v>
      </c>
      <c r="G91" s="18" t="n">
        <v>3</v>
      </c>
      <c r="H91" s="18" t="n">
        <v>4</v>
      </c>
      <c r="I91" s="18" t="str"/>
      <c r="J91" s="18" t="str"/>
      <c r="K91" s="18" t="str"/>
      <c r="L91" s="18" t="inlineStr">
        <is>
          <t>Planned</t>
        </is>
      </c>
      <c r="M91" s="66">
        <f>IFERROR((I91+J91+K91)/(F91+G91+H91),0)</f>
        <v/>
      </c>
      <c r="N91" s="18" t="str"/>
    </row>
  </sheetData>
  <conditionalFormatting sqref="M2:M91">
    <cfRule type="dataBar" priority="1">
      <dataBar>
        <cfvo type="min"/>
        <cfvo type="max"/>
        <color rgb="FFA02B93"/>
      </dataBar>
    </cfRule>
  </conditionalFormatting>
  <dataValidations count="1">
    <dataValidation sqref="L2:L91" showDropDown="0" showInputMessage="0" showErrorMessage="0" allowBlank="0" type="list">
      <formula1>"Planned,In progress,Done,Blocked,Skipped"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I501"/>
  <sheetViews>
    <sheetView workbookViewId="0">
      <selection activeCell="A1" sqref="A1"/>
    </sheetView>
  </sheetViews>
  <sheetFormatPr baseColWidth="8" defaultRowHeight="15"/>
  <cols>
    <col width="20" customWidth="1" style="42" min="1" max="1"/>
    <col width="18" customWidth="1" style="42" min="2" max="2"/>
    <col width="34" customWidth="1" style="42" min="3" max="3"/>
    <col width="30" customWidth="1" style="42" min="4" max="4"/>
    <col width="40" customWidth="1" style="42" min="5" max="5"/>
    <col width="22" customWidth="1" style="42" min="6" max="6"/>
    <col width="22" customWidth="1" style="42" min="7" max="7"/>
    <col width="58" customWidth="1" style="42" min="8" max="8"/>
    <col width="12" customWidth="1" style="42" min="9" max="9"/>
    <col width="58" customWidth="1" style="42" min="10" max="10"/>
    <col width="26" customWidth="1" style="42" min="11" max="11"/>
    <col width="26" customWidth="1" style="42" min="12" max="12"/>
    <col width="34" customWidth="1" style="42" min="13" max="13"/>
    <col width="32" customWidth="1" style="42" min="14" max="14"/>
    <col width="45" customWidth="1" style="42" min="15" max="15"/>
    <col width="24" customWidth="1" style="42" min="16" max="16"/>
    <col width="30" customWidth="1" style="42" min="17" max="17"/>
    <col width="30" customWidth="1" style="42" min="18" max="18"/>
    <col width="40" customWidth="1" style="42" min="19" max="19"/>
    <col width="28" customWidth="1" style="42" min="20" max="20"/>
    <col width="42" customWidth="1" style="42" min="21" max="21"/>
    <col width="14" customWidth="1" style="42" min="22" max="22"/>
    <col width="50" customWidth="1" style="42" min="23" max="23"/>
    <col width="18" customWidth="1" style="42" min="24" max="24"/>
    <col width="24" customWidth="1" style="42" min="25" max="25"/>
    <col width="32" customWidth="1" style="42" min="26" max="26"/>
    <col width="30" customWidth="1" style="42" min="27" max="27"/>
    <col width="26" customWidth="1" style="42" min="28" max="28"/>
    <col width="20" customWidth="1" style="42" min="29" max="29"/>
    <col width="28" customWidth="1" style="42" min="30" max="30"/>
    <col width="24" customWidth="1" style="42" min="31" max="31"/>
    <col width="12" customWidth="1" style="42" min="32" max="32"/>
    <col width="18" customWidth="1" style="42" min="33" max="33"/>
    <col width="16" customWidth="1" style="42" min="34" max="34"/>
    <col width="40" customWidth="1" style="42" min="35" max="35"/>
  </cols>
  <sheetData>
    <row r="1">
      <c r="A1" s="6" t="inlineStr">
        <is>
          <t>Quote ID</t>
        </is>
      </c>
      <c r="B1" s="6" t="inlineStr">
        <is>
          <t>Status</t>
        </is>
      </c>
      <c r="C1" s="6" t="inlineStr">
        <is>
          <t>Cluster Primary</t>
        </is>
      </c>
      <c r="D1" s="6" t="inlineStr">
        <is>
          <t>Cluster Secondary</t>
        </is>
      </c>
      <c r="E1" s="6" t="inlineStr">
        <is>
          <t>Human Experience</t>
        </is>
      </c>
      <c r="F1" s="6" t="inlineStr">
        <is>
          <t>Editorial Role Primary</t>
        </is>
      </c>
      <c r="G1" s="6" t="inlineStr">
        <is>
          <t>Editorial Role Secondary</t>
        </is>
      </c>
      <c r="H1" s="6" t="inlineStr">
        <is>
          <t>Quote Text - Original</t>
        </is>
      </c>
      <c r="I1" s="6" t="inlineStr">
        <is>
          <t>Language</t>
        </is>
      </c>
      <c r="J1" s="6" t="inlineStr">
        <is>
          <t>Quote Text - Working VI</t>
        </is>
      </c>
      <c r="K1" s="6" t="inlineStr">
        <is>
          <t>Author / Attribution</t>
        </is>
      </c>
      <c r="L1" s="6" t="inlineStr">
        <is>
          <t>Tradition / Region</t>
        </is>
      </c>
      <c r="M1" s="6" t="inlineStr">
        <is>
          <t>Source Title</t>
        </is>
      </c>
      <c r="N1" s="6" t="inlineStr">
        <is>
          <t>Work / Chapter / Location</t>
        </is>
      </c>
      <c r="O1" s="6" t="inlineStr">
        <is>
          <t>Source URL</t>
        </is>
      </c>
      <c r="P1" s="6" t="inlineStr">
        <is>
          <t>Source Type</t>
        </is>
      </c>
      <c r="Q1" s="6" t="inlineStr">
        <is>
          <t>Quote Type</t>
        </is>
      </c>
      <c r="R1" s="6" t="inlineStr">
        <is>
          <t>Verification Grade</t>
        </is>
      </c>
      <c r="S1" s="6" t="inlineStr">
        <is>
          <t>Verification Notes</t>
        </is>
      </c>
      <c r="T1" s="6" t="inlineStr">
        <is>
          <t>Rights Status</t>
        </is>
      </c>
      <c r="U1" s="6" t="inlineStr">
        <is>
          <t>Copyright / Usage Notes</t>
        </is>
      </c>
      <c r="V1" s="6" t="inlineStr">
        <is>
          <t>Selflo Fit</t>
        </is>
      </c>
      <c r="W1" s="6" t="inlineStr">
        <is>
          <t>Selflo Fit Notes</t>
        </is>
      </c>
      <c r="X1" s="6" t="inlineStr">
        <is>
          <t>Directive Risk</t>
        </is>
      </c>
      <c r="Y1" s="6" t="inlineStr">
        <is>
          <t>Overlap / Duplicate Risk</t>
        </is>
      </c>
      <c r="Z1" s="6" t="inlineStr">
        <is>
          <t>Related Principle ID(s)</t>
        </is>
      </c>
      <c r="AA1" s="6" t="inlineStr">
        <is>
          <t>Related Story ID(s)</t>
        </is>
      </c>
      <c r="AB1" s="6" t="inlineStr">
        <is>
          <t>Story Dependency Gate</t>
        </is>
      </c>
      <c r="AC1" s="6" t="inlineStr">
        <is>
          <t>Owner Review</t>
        </is>
      </c>
      <c r="AD1" s="6" t="inlineStr">
        <is>
          <t>Release Readiness</t>
        </is>
      </c>
      <c r="AE1" s="6" t="inlineStr">
        <is>
          <t>Current Library Location</t>
        </is>
      </c>
      <c r="AF1" s="6" t="inlineStr">
        <is>
          <t>Collected Day</t>
        </is>
      </c>
      <c r="AG1" s="6" t="inlineStr">
        <is>
          <t>Collected By</t>
        </is>
      </c>
      <c r="AH1" s="6" t="inlineStr">
        <is>
          <t>Date Collected</t>
        </is>
      </c>
      <c r="AI1" s="6" t="inlineStr">
        <is>
          <t>Notes</t>
        </is>
      </c>
    </row>
    <row r="2">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c r="AA2" s="18" t="n"/>
      <c r="AB2" s="18" t="n"/>
      <c r="AC2" s="18" t="n"/>
      <c r="AD2" s="18" t="n"/>
      <c r="AE2" s="18" t="n"/>
      <c r="AF2" s="18" t="n"/>
      <c r="AG2" s="18" t="n"/>
      <c r="AH2" s="18" t="n"/>
      <c r="AI2" s="18" t="n"/>
    </row>
    <row r="3">
      <c r="A3" s="18" t="n"/>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n"/>
      <c r="AF3" s="18" t="n"/>
      <c r="AG3" s="18" t="n"/>
      <c r="AH3" s="18" t="n"/>
      <c r="AI3" s="18" t="n"/>
    </row>
    <row r="4">
      <c r="A4" s="18" t="n"/>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18" t="n"/>
      <c r="AE4" s="18" t="n"/>
      <c r="AF4" s="18" t="n"/>
      <c r="AG4" s="18" t="n"/>
      <c r="AH4" s="18" t="n"/>
      <c r="AI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c r="AA5" s="18" t="n"/>
      <c r="AB5" s="18" t="n"/>
      <c r="AC5" s="18" t="n"/>
      <c r="AD5" s="18" t="n"/>
      <c r="AE5" s="18" t="n"/>
      <c r="AF5" s="18" t="n"/>
      <c r="AG5" s="18" t="n"/>
      <c r="AH5" s="18" t="n"/>
      <c r="AI5" s="18" t="n"/>
    </row>
    <row r="6">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c r="AG6" s="18" t="n"/>
      <c r="AH6" s="18" t="n"/>
      <c r="AI6" s="18" t="n"/>
    </row>
    <row r="7">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c r="AH10" s="18" t="n"/>
      <c r="AI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c r="AH11" s="18" t="n"/>
      <c r="AI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c r="AG12" s="18" t="n"/>
      <c r="AH12" s="18" t="n"/>
      <c r="AI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c r="AF13" s="18" t="n"/>
      <c r="AG13" s="18" t="n"/>
      <c r="AH13" s="18" t="n"/>
      <c r="AI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c r="AH16" s="18" t="n"/>
      <c r="AI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c r="AH17" s="18" t="n"/>
      <c r="AI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c r="AH28" s="18" t="n"/>
      <c r="AI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c r="AH30" s="18" t="n"/>
      <c r="AI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c r="AH31" s="18" t="n"/>
      <c r="AI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c r="AH32" s="18" t="n"/>
      <c r="AI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c r="AH34" s="18" t="n"/>
      <c r="AI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c r="AH35" s="18" t="n"/>
      <c r="AI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c r="AH36" s="18" t="n"/>
      <c r="AI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c r="AH37" s="18" t="n"/>
      <c r="AI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c r="AH38" s="18" t="n"/>
      <c r="AI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c r="AH39" s="18" t="n"/>
      <c r="AI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c r="AH40" s="18" t="n"/>
      <c r="AI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c r="AH42" s="18" t="n"/>
      <c r="AI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c r="AH46" s="18" t="n"/>
      <c r="AI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c r="AH47" s="18" t="n"/>
      <c r="AI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c r="AH48" s="18" t="n"/>
      <c r="AI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c r="AH50" s="18" t="n"/>
      <c r="AI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c r="AH51" s="18" t="n"/>
      <c r="AI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c r="AH52" s="18" t="n"/>
      <c r="AI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c r="AH95" s="18" t="n"/>
      <c r="AI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c r="AH99" s="18" t="n"/>
      <c r="AI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row>
  </sheetData>
  <conditionalFormatting sqref="AD2:AD500">
    <cfRule type="expression" priority="1" dxfId="0">
      <formula>AD2="Released"</formula>
    </cfRule>
    <cfRule type="expression" priority="2" dxfId="1">
      <formula>LEFT(AD2,7)="Blocked"</formula>
    </cfRule>
  </conditionalFormatting>
  <dataValidations count="14">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F2:F500" showDropDown="0" showInputMessage="0" showErrorMessage="0" allowBlank="0" type="list">
      <formula1>"Recognize,Name,Permit,Reframe,Distinguish,Return agency"</formula1>
    </dataValidation>
    <dataValidation sqref="G2:G500" showDropDown="0" showInputMessage="0" showErrorMessage="0" allowBlank="0" type="list">
      <formula1>"Recognize,Name,Permit,Reframe,Distinguish,Return agency"</formula1>
    </dataValidation>
    <dataValidation sqref="L2:L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P2:P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Q2:Q500" showDropDown="0" showInputMessage="0" showErrorMessage="0" allowBlank="0" type="list">
      <formula1>"Verbatim,Working translation,Published translation,Paraphrase,Proverb / traditional,Selflo Original - AI-assisted draft,Selflo Original - owner edited"</formula1>
    </dataValidation>
    <dataValidation sqref="R2:R500" showDropDown="0" showInputMessage="0" showErrorMessage="0" allowBlank="0" type="list">
      <formula1>"A - Primary source,B - Authoritative secondary,C - Plausible / needs primary,D - Disputed / internet-only,N/A - Selflo Original"</formula1>
    </dataValidation>
    <dataValidation sqref="T2:T500" showDropDown="0" showInputMessage="0" showErrorMessage="0" allowBlank="0" type="list">
      <formula1>"Public domain / likely,Copyrighted / research only,Permission needed,Selflo owned,Unknown / verify"</formula1>
    </dataValidation>
    <dataValidation sqref="V2:V500" showDropDown="0" showInputMessage="0" showErrorMessage="0" allowBlank="0" type="list">
      <formula1>"High,Medium,Low,Not reviewed"</formula1>
    </dataValidation>
    <dataValidation sqref="AB2:AB500" showDropDown="0" showInputMessage="0" showErrorMessage="0" allowBlank="0" type="list">
      <formula1>"No,Yes - story must pass gate,Unknown"</formula1>
    </dataValidation>
    <dataValidation sqref="AC2:AC500" showDropDown="0" showInputMessage="0" showErrorMessage="0" allowBlank="0" type="list">
      <formula1>"Not reviewed,Needs owner review,Approved,Rejected"</formula1>
    </dataValidation>
    <dataValidation sqref="AD2:AD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301"/>
  <sheetViews>
    <sheetView workbookViewId="0">
      <selection activeCell="A1" sqref="A1"/>
    </sheetView>
  </sheetViews>
  <sheetFormatPr baseColWidth="8" defaultRowHeight="15"/>
  <cols>
    <col width="22" customWidth="1" style="42" min="1" max="1"/>
    <col width="22" customWidth="1" style="42" min="2" max="2"/>
    <col width="34" customWidth="1" style="42" min="3" max="3"/>
    <col width="22" customWidth="1" style="42" min="4" max="4"/>
    <col width="22" customWidth="1" style="42" min="5" max="5"/>
    <col width="22" customWidth="1" style="42" min="6" max="6"/>
    <col width="22" customWidth="1" style="42" min="7" max="7"/>
    <col width="22" customWidth="1" style="42" min="8" max="8"/>
    <col width="22" customWidth="1" style="42" min="9" max="9"/>
    <col width="60" customWidth="1" style="42" min="10" max="10"/>
    <col width="38" customWidth="1" style="42" min="11" max="11"/>
    <col width="38" customWidth="1" style="42" min="12" max="12"/>
    <col width="38" customWidth="1" style="42" min="13" max="13"/>
    <col width="38" customWidth="1" style="42" min="14" max="14"/>
    <col width="22" customWidth="1" style="42" min="15" max="15"/>
    <col width="22" customWidth="1" style="42" min="16" max="16"/>
    <col width="22" customWidth="1" style="42" min="17" max="17"/>
    <col width="22" customWidth="1" style="42" min="18" max="18"/>
    <col width="22" customWidth="1" style="42" min="19" max="19"/>
    <col width="22" customWidth="1" style="42" min="20" max="20"/>
    <col width="22" customWidth="1" style="42" min="21" max="21"/>
    <col width="22" customWidth="1" style="42" min="22" max="22"/>
    <col width="48" customWidth="1" style="42" min="23" max="23"/>
    <col width="22" customWidth="1" style="42" min="24" max="24"/>
    <col width="22" customWidth="1" style="42" min="25" max="25"/>
    <col width="22" customWidth="1" style="42" min="26" max="26"/>
    <col width="22" customWidth="1" style="42" min="27" max="27"/>
    <col width="22" customWidth="1" style="42" min="28" max="28"/>
    <col width="22" customWidth="1" style="42" min="29" max="29"/>
    <col width="22" customWidth="1" style="42" min="30" max="30"/>
    <col width="22" customWidth="1" style="42" min="31" max="31"/>
    <col width="22" customWidth="1" style="42" min="32" max="32"/>
  </cols>
  <sheetData>
    <row r="1">
      <c r="A1" s="6" t="inlineStr">
        <is>
          <t>Story ID</t>
        </is>
      </c>
      <c r="B1" s="6" t="inlineStr">
        <is>
          <t>Status</t>
        </is>
      </c>
      <c r="C1" s="6" t="inlineStr">
        <is>
          <t>Title</t>
        </is>
      </c>
      <c r="D1" s="6" t="inlineStr">
        <is>
          <t>Original / Local Title</t>
        </is>
      </c>
      <c r="E1" s="6" t="inlineStr">
        <is>
          <t>Story Type</t>
        </is>
      </c>
      <c r="F1" s="6" t="inlineStr">
        <is>
          <t>Tradition / Region</t>
        </is>
      </c>
      <c r="G1" s="6" t="inlineStr">
        <is>
          <t>Cluster Primary</t>
        </is>
      </c>
      <c r="H1" s="6" t="inlineStr">
        <is>
          <t>Cluster Secondary</t>
        </is>
      </c>
      <c r="I1" s="6" t="inlineStr">
        <is>
          <t>Human Experience</t>
        </is>
      </c>
      <c r="J1" s="6" t="inlineStr">
        <is>
          <t>Summary (research only)</t>
        </is>
      </c>
      <c r="K1" s="6" t="inlineStr">
        <is>
          <t>Primary Source / Work</t>
        </is>
      </c>
      <c r="L1" s="6" t="inlineStr">
        <is>
          <t>Source Location</t>
        </is>
      </c>
      <c r="M1" s="6" t="inlineStr">
        <is>
          <t>Source URL</t>
        </is>
      </c>
      <c r="N1" s="6" t="inlineStr">
        <is>
          <t>Secondary Verification URL</t>
        </is>
      </c>
      <c r="O1" s="6" t="inlineStr">
        <is>
          <t>Verification Grade</t>
        </is>
      </c>
      <c r="P1" s="6" t="inlineStr">
        <is>
          <t>Verification Notes</t>
        </is>
      </c>
      <c r="Q1" s="6" t="inlineStr">
        <is>
          <t>Rights Status</t>
        </is>
      </c>
      <c r="R1" s="6" t="inlineStr">
        <is>
          <t>Copyright / Adaptation Notes</t>
        </is>
      </c>
      <c r="S1" s="6" t="inlineStr">
        <is>
          <t>Historical / Traditional Context</t>
        </is>
      </c>
      <c r="T1" s="6" t="inlineStr">
        <is>
          <t>Key Principle ID(s)</t>
        </is>
      </c>
      <c r="U1" s="6" t="inlineStr">
        <is>
          <t>Related Quote ID(s)</t>
        </is>
      </c>
      <c r="V1" s="6" t="inlineStr">
        <is>
          <t>Selflo Fit</t>
        </is>
      </c>
      <c r="W1" s="6" t="inlineStr">
        <is>
          <t>Selflo Fit Notes</t>
        </is>
      </c>
      <c r="X1" s="6" t="inlineStr">
        <is>
          <t>Adaptation Allowed?</t>
        </is>
      </c>
      <c r="Y1" s="6" t="inlineStr">
        <is>
          <t>Human Edited?</t>
        </is>
      </c>
      <c r="Z1" s="6" t="inlineStr">
        <is>
          <t>Rights Verified?</t>
        </is>
      </c>
      <c r="AA1" s="6" t="inlineStr">
        <is>
          <t>Story Gate Status</t>
        </is>
      </c>
      <c r="AB1" s="6" t="inlineStr">
        <is>
          <t>Current Library Location</t>
        </is>
      </c>
      <c r="AC1" s="6" t="inlineStr">
        <is>
          <t>Collected Day</t>
        </is>
      </c>
      <c r="AD1" s="6" t="inlineStr">
        <is>
          <t>Collected By</t>
        </is>
      </c>
      <c r="AE1" s="6" t="inlineStr">
        <is>
          <t>Date Collected</t>
        </is>
      </c>
      <c r="AF1" s="6" t="inlineStr">
        <is>
          <t>Notes</t>
        </is>
      </c>
    </row>
    <row r="2">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c r="AA2" s="18" t="n"/>
      <c r="AB2" s="18" t="n"/>
      <c r="AC2" s="18" t="n"/>
      <c r="AD2" s="18" t="n"/>
      <c r="AE2" s="18" t="n"/>
      <c r="AF2" s="18" t="n"/>
    </row>
    <row r="3">
      <c r="A3" s="18" t="n"/>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n"/>
      <c r="AF3" s="18" t="n"/>
    </row>
    <row r="4">
      <c r="A4" s="18" t="n"/>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18" t="n"/>
      <c r="AE4" s="18" t="n"/>
      <c r="AF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c r="AA5" s="18" t="n"/>
      <c r="AB5" s="18" t="n"/>
      <c r="AC5" s="18" t="n"/>
      <c r="AD5" s="18" t="n"/>
      <c r="AE5" s="18" t="n"/>
      <c r="AF5" s="18" t="n"/>
    </row>
    <row r="6">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row>
    <row r="7">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c r="AF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n"/>
      <c r="AF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c r="AB34" s="18" t="n"/>
      <c r="AC34" s="18" t="n"/>
      <c r="AD34" s="18" t="n"/>
      <c r="AE34" s="18" t="n"/>
      <c r="AF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c r="AB38" s="18" t="n"/>
      <c r="AC38" s="18" t="n"/>
      <c r="AD38" s="18" t="n"/>
      <c r="AE38" s="18" t="n"/>
      <c r="AF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n"/>
      <c r="AF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c r="AB40" s="18" t="n"/>
      <c r="AC40" s="18" t="n"/>
      <c r="AD40" s="18" t="n"/>
      <c r="AE40" s="18" t="n"/>
      <c r="AF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n"/>
      <c r="AF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n"/>
      <c r="AF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c r="AA45" s="18" t="n"/>
      <c r="AB45" s="18" t="n"/>
      <c r="AC45" s="18" t="n"/>
      <c r="AD45" s="18" t="n"/>
      <c r="AE45" s="18" t="n"/>
      <c r="AF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n"/>
      <c r="AF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c r="AB48" s="18" t="n"/>
      <c r="AC48" s="18" t="n"/>
      <c r="AD48" s="18" t="n"/>
      <c r="AE48" s="18" t="n"/>
      <c r="AF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c r="AB49" s="18" t="n"/>
      <c r="AC49" s="18" t="n"/>
      <c r="AD49" s="18" t="n"/>
      <c r="AE49" s="18" t="n"/>
      <c r="AF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n"/>
      <c r="AF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c r="AB55" s="18" t="n"/>
      <c r="AC55" s="18" t="n"/>
      <c r="AD55" s="18" t="n"/>
      <c r="AE55" s="18" t="n"/>
      <c r="AF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c r="AB56" s="18" t="n"/>
      <c r="AC56" s="18" t="n"/>
      <c r="AD56" s="18" t="n"/>
      <c r="AE56" s="18" t="n"/>
      <c r="AF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8" t="n"/>
      <c r="AC57" s="18" t="n"/>
      <c r="AD57" s="18" t="n"/>
      <c r="AE57" s="18" t="n"/>
      <c r="AF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n"/>
      <c r="AF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c r="AB68" s="18" t="n"/>
      <c r="AC68" s="18" t="n"/>
      <c r="AD68" s="18" t="n"/>
      <c r="AE68" s="18" t="n"/>
      <c r="AF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c r="AB69" s="18" t="n"/>
      <c r="AC69" s="18" t="n"/>
      <c r="AD69" s="18" t="n"/>
      <c r="AE69" s="18" t="n"/>
      <c r="AF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c r="AB70" s="18" t="n"/>
      <c r="AC70" s="18" t="n"/>
      <c r="AD70" s="18" t="n"/>
      <c r="AE70" s="18" t="n"/>
      <c r="AF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c r="AD76" s="18" t="n"/>
      <c r="AE76" s="18" t="n"/>
      <c r="AF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n"/>
      <c r="AF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c r="AB79" s="18" t="n"/>
      <c r="AC79" s="18" t="n"/>
      <c r="AD79" s="18" t="n"/>
      <c r="AE79" s="18" t="n"/>
      <c r="AF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n"/>
      <c r="AF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row>
  </sheetData>
  <conditionalFormatting sqref="AA2:AA300">
    <cfRule type="expression" priority="1" dxfId="0">
      <formula>AA2="Passed"</formula>
    </cfRule>
    <cfRule type="expression" priority="2" dxfId="1">
      <formula>LEFT(AA2,7)="Blocked"</formula>
    </cfRule>
  </conditionalFormatting>
  <dataValidations count="12">
    <dataValidation sqref="B2:B300" showDropDown="0" showInputMessage="0" showErrorMessage="0" allowBlank="0" type="list">
      <formula1>"Planned,Collected,Needs Verification,Verified,Needs Edit,Shortlisted,Release,Hold,Rejected"</formula1>
    </dataValidation>
    <dataValidation sqref="E2:E300" showDropDown="0" showInputMessage="0" showErrorMessage="0" allowBlank="0" type="list">
      <formula1>"Parable,Folktale,Historical episode,Biography episode,Research case,Journalism case,Documented personal account,Literary episode"</formula1>
    </dataValidation>
    <dataValidation sqref="F2:F3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G2:G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H2:H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O2:O300" showDropDown="0" showInputMessage="0" showErrorMessage="0" allowBlank="0" type="list">
      <formula1>"A - Primary source,B - Authoritative secondary,C - Plausible / needs primary,D - Disputed / internet-only,N/A - Selflo Original"</formula1>
    </dataValidation>
    <dataValidation sqref="Q2:Q300" showDropDown="0" showInputMessage="0" showErrorMessage="0" allowBlank="0" type="list">
      <formula1>"Public domain / likely,Copyrighted / research only,Permission needed,Selflo owned,Unknown / verify"</formula1>
    </dataValidation>
    <dataValidation sqref="V2:V300" showDropDown="0" showInputMessage="0" showErrorMessage="0" allowBlank="0" type="list">
      <formula1>"High,Medium,Low,Not reviewed"</formula1>
    </dataValidation>
    <dataValidation sqref="X2:X300" showDropDown="0" showInputMessage="0" showErrorMessage="0" allowBlank="0" type="list">
      <formula1>"Yes,No,Needs rights review"</formula1>
    </dataValidation>
    <dataValidation sqref="Y2:Y300" showDropDown="0" showInputMessage="0" showErrorMessage="0" allowBlank="0" type="list">
      <formula1>"Yes,No"</formula1>
    </dataValidation>
    <dataValidation sqref="Z2:Z300" showDropDown="0" showInputMessage="0" showErrorMessage="0" allowBlank="0" type="list">
      <formula1>"Yes,No,Unknown"</formula1>
    </dataValidation>
    <dataValidation sqref="AA2:AA300" showDropDown="0" showInputMessage="0" showErrorMessage="0" allowBlank="0" type="list">
      <formula1>"Open,Blocked - human edit,Blocked - rights,Blocked - source,Passed"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313"/>
  <sheetViews>
    <sheetView workbookViewId="0">
      <selection activeCell="A1" sqref="A1"/>
    </sheetView>
  </sheetViews>
  <sheetFormatPr baseColWidth="8" defaultRowHeight="15"/>
  <cols>
    <col width="24" customWidth="1" style="42" min="1" max="1"/>
    <col width="24" customWidth="1" style="42" min="2" max="2"/>
    <col width="24" customWidth="1" style="42" min="3" max="3"/>
    <col width="24" customWidth="1" style="42" min="4" max="4"/>
    <col width="55" customWidth="1" style="42" min="5" max="5"/>
    <col width="24" customWidth="1" style="42" min="6" max="6"/>
    <col width="24" customWidth="1" style="42" min="7" max="7"/>
    <col width="24" customWidth="1" style="42" min="8" max="8"/>
    <col width="24" customWidth="1" style="42" min="9" max="9"/>
    <col width="50" customWidth="1" style="42" min="10" max="10"/>
    <col width="50" customWidth="1" style="42" min="11" max="11"/>
    <col width="24" customWidth="1" style="42" min="12" max="12"/>
    <col width="24" customWidth="1" style="42" min="13" max="13"/>
    <col width="24" customWidth="1" style="42" min="14" max="14"/>
    <col width="24" customWidth="1" style="42" min="15" max="15"/>
    <col width="24" customWidth="1" style="42" min="16" max="16"/>
    <col width="24" customWidth="1" style="42" min="17" max="17"/>
    <col width="24" customWidth="1" style="42" min="18" max="18"/>
    <col width="24" customWidth="1" style="42" min="19" max="19"/>
    <col width="24" customWidth="1" style="42" min="20" max="20"/>
    <col width="24" customWidth="1" style="42" min="21" max="21"/>
    <col width="40" customWidth="1" style="42" min="22" max="22"/>
  </cols>
  <sheetData>
    <row r="1">
      <c r="A1" s="6" t="inlineStr">
        <is>
          <t>Principle ID</t>
        </is>
      </c>
      <c r="B1" s="6" t="inlineStr">
        <is>
          <t>Status</t>
        </is>
      </c>
      <c r="C1" s="6" t="inlineStr">
        <is>
          <t>Principle Name</t>
        </is>
      </c>
      <c r="D1" s="6" t="inlineStr">
        <is>
          <t>Domain</t>
        </is>
      </c>
      <c r="E1" s="6" t="inlineStr">
        <is>
          <t>Definition / Claim</t>
        </is>
      </c>
      <c r="F1" s="6" t="inlineStr">
        <is>
          <t>Source Title</t>
        </is>
      </c>
      <c r="G1" s="6" t="inlineStr">
        <is>
          <t>Source Author / Institution</t>
        </is>
      </c>
      <c r="H1" s="6" t="inlineStr">
        <is>
          <t>Source URL</t>
        </is>
      </c>
      <c r="I1" s="6" t="inlineStr">
        <is>
          <t>Source Type</t>
        </is>
      </c>
      <c r="J1" s="6" t="inlineStr">
        <is>
          <t>Evidence / Basis</t>
        </is>
      </c>
      <c r="K1" s="6" t="inlineStr">
        <is>
          <t>Limitations / Counterpoints</t>
        </is>
      </c>
      <c r="L1" s="6" t="inlineStr">
        <is>
          <t>Verification Grade</t>
        </is>
      </c>
      <c r="M1" s="6" t="inlineStr">
        <is>
          <t>Related AI-doc Principle</t>
        </is>
      </c>
      <c r="N1" s="6" t="inlineStr">
        <is>
          <t>Human Experience Link</t>
        </is>
      </c>
      <c r="O1" s="6" t="inlineStr">
        <is>
          <t>Cluster Primary</t>
        </is>
      </c>
      <c r="P1" s="6" t="inlineStr">
        <is>
          <t>Editorial Relevance</t>
        </is>
      </c>
      <c r="Q1" s="6" t="inlineStr">
        <is>
          <t>Related Quote ID(s)</t>
        </is>
      </c>
      <c r="R1" s="6" t="inlineStr">
        <is>
          <t>Related Story ID(s)</t>
        </is>
      </c>
      <c r="S1" s="6" t="inlineStr">
        <is>
          <t>Selflo Use</t>
        </is>
      </c>
      <c r="T1" s="6" t="inlineStr">
        <is>
          <t>Selflo Original Seed Allowed?</t>
        </is>
      </c>
      <c r="U1" s="6" t="inlineStr">
        <is>
          <t>Collected Day</t>
        </is>
      </c>
      <c r="V1" s="6" t="inlineStr">
        <is>
          <t>Notes</t>
        </is>
      </c>
    </row>
    <row r="2">
      <c r="A2" s="18" t="inlineStr">
        <is>
          <t>principle.laozi.naming_not_reality</t>
        </is>
      </c>
      <c r="B2" s="18" t="inlineStr">
        <is>
          <t>Collected</t>
        </is>
      </c>
      <c r="C2" s="18" t="inlineStr">
        <is>
          <t>Tên gọi không phải toàn bộ thực tại</t>
        </is>
      </c>
      <c r="D2" s="18" t="inlineStr">
        <is>
          <t>Philosophy / judgment</t>
        </is>
      </c>
      <c r="E2" s="18" t="inlineStr">
        <is>
          <t>Một nhãn hoặc mô tả giúp ta thấy một khía cạnh nhưng không đồng nhất với toàn bộ điều được mô tả.</t>
        </is>
      </c>
      <c r="F2" s="18" t="inlineStr">
        <is>
          <t>道德經 / Tao Te Ching</t>
        </is>
      </c>
      <c r="G2" s="18" t="inlineStr">
        <is>
          <t>Laozi / 老子</t>
        </is>
      </c>
      <c r="H2" s="18" t="inlineStr">
        <is>
          <t>https://zh.wikisource.org/zh-hans/%E9%81%93%E5%BE%B7%E7%B6%93_(%E7%8E%8B%E5%BC%BC%E6%9C%AC)</t>
        </is>
      </c>
      <c r="I2" s="18" t="inlineStr">
        <is>
          <t>Primary text</t>
        </is>
      </c>
      <c r="J2" s="18" t="inlineStr">
        <is>
          <t>Ch.1: distinction between what can be named/spoken and the enduring Dao.</t>
        </is>
      </c>
      <c r="K2" s="18" t="inlineStr">
        <is>
          <t>Không biến thành chủ nghĩa tương đối.</t>
        </is>
      </c>
      <c r="L2" s="18" t="inlineStr">
        <is>
          <t>A - Primary source</t>
        </is>
      </c>
      <c r="M2" s="18" t="inlineStr">
        <is>
          <t>Human judgment</t>
        </is>
      </c>
      <c r="N2" s="18" t="inlineStr">
        <is>
          <t>Tên gọi không chứa trọn trải nghiệm</t>
        </is>
      </c>
      <c r="O2" s="18" t="inlineStr">
        <is>
          <t>AI-age Human Judgment</t>
        </is>
      </c>
      <c r="P2" s="18" t="inlineStr">
        <is>
          <t>Distinguish</t>
        </is>
      </c>
      <c r="Q2" s="18" t="inlineStr">
        <is>
          <t>research.laozi.ch01.001</t>
        </is>
      </c>
      <c r="R2" s="18" t="str"/>
      <c r="S2" s="18" t="inlineStr">
        <is>
          <t>Editorial lens</t>
        </is>
      </c>
      <c r="T2" s="18" t="inlineStr">
        <is>
          <t>Yes</t>
        </is>
      </c>
      <c r="U2" s="18" t="n">
        <v>1</v>
      </c>
      <c r="V2" s="18" t="inlineStr">
        <is>
          <t>Day 1 seed.</t>
        </is>
      </c>
    </row>
    <row r="3">
      <c r="A3" s="18" t="inlineStr">
        <is>
          <t>principle.laozi.relational_opposites</t>
        </is>
      </c>
      <c r="B3" s="18" t="inlineStr">
        <is>
          <t>Collected</t>
        </is>
      </c>
      <c r="C3" s="18" t="inlineStr">
        <is>
          <t>Các đối cực làm rõ lẫn nhau</t>
        </is>
      </c>
      <c r="D3" s="18" t="inlineStr">
        <is>
          <t>Philosophy</t>
        </is>
      </c>
      <c r="E3" s="18" t="inlineStr">
        <is>
          <t>Một số khái niệm trở nên rõ trong quan hệ/đối chiếu với phía kia.</t>
        </is>
      </c>
      <c r="F3" s="18" t="inlineStr">
        <is>
          <t>道德經 / Tao Te Ching</t>
        </is>
      </c>
      <c r="G3" s="18" t="inlineStr">
        <is>
          <t>Laozi / 老子</t>
        </is>
      </c>
      <c r="H3" s="18" t="inlineStr">
        <is>
          <t>https://zh.wikisource.org/zh-hans/%E9%81%93%E5%BE%B7%E7%B6%93_(%E7%8E%8B%E5%BC%BC%E6%9C%AC)</t>
        </is>
      </c>
      <c r="I3" s="18" t="inlineStr">
        <is>
          <t>Primary text</t>
        </is>
      </c>
      <c r="J3" s="18" t="inlineStr">
        <is>
          <t>Ch.2 relational pairs.</t>
        </is>
      </c>
      <c r="K3" s="18" t="inlineStr">
        <is>
          <t>Không suy rộng thành mọi đối lập đều tốt.</t>
        </is>
      </c>
      <c r="L3" s="18" t="inlineStr">
        <is>
          <t>A - Primary source</t>
        </is>
      </c>
      <c r="M3" s="18" t="inlineStr">
        <is>
          <t>Interdependence</t>
        </is>
      </c>
      <c r="N3" s="18" t="inlineStr">
        <is>
          <t>Hai mặt cùng tồn tại</t>
        </is>
      </c>
      <c r="O3" s="18" t="inlineStr">
        <is>
          <t>Mixed emotions / Emotional memory</t>
        </is>
      </c>
      <c r="P3" s="18" t="inlineStr">
        <is>
          <t>Distinguish</t>
        </is>
      </c>
      <c r="Q3" s="18" t="inlineStr">
        <is>
          <t>research.laozi.ch02.006</t>
        </is>
      </c>
      <c r="R3" s="18" t="str"/>
      <c r="S3" s="18" t="inlineStr">
        <is>
          <t>Editorial lens</t>
        </is>
      </c>
      <c r="T3" s="18" t="inlineStr">
        <is>
          <t>Yes</t>
        </is>
      </c>
      <c r="U3" s="18" t="n">
        <v>1</v>
      </c>
      <c r="V3" s="18" t="inlineStr">
        <is>
          <t>Day 1 seed.</t>
        </is>
      </c>
    </row>
    <row r="4">
      <c r="A4" s="18" t="inlineStr">
        <is>
          <t>principle.laozi.non_attachment_to_achievement</t>
        </is>
      </c>
      <c r="B4" s="18" t="inlineStr">
        <is>
          <t>Collected</t>
        </is>
      </c>
      <c r="C4" s="18" t="inlineStr">
        <is>
          <t>Thành tựu không cần trở thành bản sắc</t>
        </is>
      </c>
      <c r="D4" s="18" t="inlineStr">
        <is>
          <t>Philosophy / work</t>
        </is>
      </c>
      <c r="E4" s="18" t="inlineStr">
        <is>
          <t>Làm xong một việc không nhất thiết phải bám vào công trạng hay biến thành tự định nghĩa.</t>
        </is>
      </c>
      <c r="F4" s="18" t="inlineStr">
        <is>
          <t>道德經 / Tao Te Ching</t>
        </is>
      </c>
      <c r="G4" s="18" t="inlineStr">
        <is>
          <t>Laozi / 老子</t>
        </is>
      </c>
      <c r="H4" s="18" t="inlineStr">
        <is>
          <t>https://zh.wikisource.org/zh-hans/%E9%81%93%E5%BE%B7%E7%B6%93_(%E7%8E%8B%E5%BC%BC%E6%9C%AC)</t>
        </is>
      </c>
      <c r="I4" s="18" t="inlineStr">
        <is>
          <t>Primary text</t>
        </is>
      </c>
      <c r="J4" s="18" t="inlineStr">
        <is>
          <t>Ch.2 and Ch.9.</t>
        </is>
      </c>
      <c r="K4" s="18" t="inlineStr">
        <is>
          <t>Không phủ nhận thành tựu/trách nhiệm.</t>
        </is>
      </c>
      <c r="L4" s="18" t="inlineStr">
        <is>
          <t>A - Primary source</t>
        </is>
      </c>
      <c r="M4" s="18" t="inlineStr">
        <is>
          <t>Identity in abundance</t>
        </is>
      </c>
      <c r="N4" s="18" t="inlineStr">
        <is>
          <t>Thành tựu và bản sắc</t>
        </is>
      </c>
      <c r="O4" s="18" t="inlineStr">
        <is>
          <t>Meaning / Identity / Work</t>
        </is>
      </c>
      <c r="P4" s="18" t="inlineStr">
        <is>
          <t>Distinguish</t>
        </is>
      </c>
      <c r="Q4" s="18" t="inlineStr">
        <is>
          <t>research.laozi.ch02.008; research.laozi.ch09.026</t>
        </is>
      </c>
      <c r="R4" s="18" t="str"/>
      <c r="S4" s="18" t="inlineStr">
        <is>
          <t>Editorial lens</t>
        </is>
      </c>
      <c r="T4" s="18" t="inlineStr">
        <is>
          <t>Yes</t>
        </is>
      </c>
      <c r="U4" s="18" t="n">
        <v>1</v>
      </c>
      <c r="V4" s="18" t="inlineStr">
        <is>
          <t>Day 1 seed.</t>
        </is>
      </c>
    </row>
    <row r="5">
      <c r="A5" s="18" t="inlineStr">
        <is>
          <t>principle.laozi.functional_emptiness</t>
        </is>
      </c>
      <c r="B5" s="18" t="inlineStr">
        <is>
          <t>Collected</t>
        </is>
      </c>
      <c r="C5" s="18" t="inlineStr">
        <is>
          <t>Khoảng trống có chức năng</t>
        </is>
      </c>
      <c r="D5" s="18" t="inlineStr">
        <is>
          <t>Philosophy / attention</t>
        </is>
      </c>
      <c r="E5" s="18" t="inlineStr">
        <is>
          <t>Giá trị không chỉ đến từ thứ được thêm vào; khoảng trống có thể là điều kiện để một vật hay trải nghiệm có công dụng.</t>
        </is>
      </c>
      <c r="F5" s="18" t="inlineStr">
        <is>
          <t>道德經 / Tao Te Ching</t>
        </is>
      </c>
      <c r="G5" s="18" t="inlineStr">
        <is>
          <t>Laozi / 老子</t>
        </is>
      </c>
      <c r="H5" s="18" t="inlineStr">
        <is>
          <t>https://zh.wikisource.org/zh-hans/%E9%81%93%E5%BE%B7%E7%B6%93_(%E7%8E%8B%E5%BC%BC%E6%9C%AC)</t>
        </is>
      </c>
      <c r="I5" s="18" t="inlineStr">
        <is>
          <t>Primary text</t>
        </is>
      </c>
      <c r="J5" s="18" t="inlineStr">
        <is>
          <t>Ch.11 wheel, vessel, room.</t>
        </is>
      </c>
      <c r="K5" s="18" t="inlineStr">
        <is>
          <t>Không biến thành 'ít luôn tốt hơn'.</t>
        </is>
      </c>
      <c r="L5" s="18" t="inlineStr">
        <is>
          <t>A - Primary source</t>
        </is>
      </c>
      <c r="M5" s="18" t="inlineStr">
        <is>
          <t>Attention scarcity</t>
        </is>
      </c>
      <c r="N5" s="18" t="inlineStr">
        <is>
          <t>Quá nhiều đầu vào, thiếu khoảng trống</t>
        </is>
      </c>
      <c r="O5" s="18" t="inlineStr">
        <is>
          <t>Attention / Noise / Deep focus</t>
        </is>
      </c>
      <c r="P5" s="18" t="inlineStr">
        <is>
          <t>Reframe</t>
        </is>
      </c>
      <c r="Q5" s="18" t="inlineStr">
        <is>
          <t>research.laozi.ch11.*</t>
        </is>
      </c>
      <c r="R5" s="18" t="str"/>
      <c r="S5" s="18" t="inlineStr">
        <is>
          <t>Product philosophy</t>
        </is>
      </c>
      <c r="T5" s="18" t="inlineStr">
        <is>
          <t>Yes</t>
        </is>
      </c>
      <c r="U5" s="18" t="n">
        <v>1</v>
      </c>
      <c r="V5" s="18" t="inlineStr">
        <is>
          <t>Core Selflo/AI-age principle.</t>
        </is>
      </c>
    </row>
    <row r="6">
      <c r="A6" s="18" t="inlineStr">
        <is>
          <t>principle.laozi.enoughness_limits</t>
        </is>
      </c>
      <c r="B6" s="18" t="inlineStr">
        <is>
          <t>Collected</t>
        </is>
      </c>
      <c r="C6" s="18" t="inlineStr">
        <is>
          <t>Biết đủ và giới hạn</t>
        </is>
      </c>
      <c r="D6" s="18" t="inlineStr">
        <is>
          <t>Philosophy / wellbeing</t>
        </is>
      </c>
      <c r="E6" s="18" t="inlineStr">
        <is>
          <t>Tiếp tục làm đầy hoặc tối ưu không phải lúc nào cũng tạo thêm giá trị; có ngưỡng làm giảm tính bền vững.</t>
        </is>
      </c>
      <c r="F6" s="18" t="inlineStr">
        <is>
          <t>道德經 / Tao Te Ching</t>
        </is>
      </c>
      <c r="G6" s="18" t="inlineStr">
        <is>
          <t>Laozi / 老子</t>
        </is>
      </c>
      <c r="H6" s="18" t="inlineStr">
        <is>
          <t>https://zh.wikisource.org/zh-hans/%E9%81%93%E5%BE%B7%E7%B6%93_(%E7%8E%8B%E5%BC%BC%E6%9C%AC)</t>
        </is>
      </c>
      <c r="I6" s="18" t="inlineStr">
        <is>
          <t>Primary text</t>
        </is>
      </c>
      <c r="J6" s="18" t="inlineStr">
        <is>
          <t>Ch.9 and Ch.15.</t>
        </is>
      </c>
      <c r="K6" s="18" t="inlineStr">
        <is>
          <t>Không dùng để chống tham vọng.</t>
        </is>
      </c>
      <c r="L6" s="18" t="inlineStr">
        <is>
          <t>A - Primary source</t>
        </is>
      </c>
      <c r="M6" s="18" t="inlineStr">
        <is>
          <t>Productivity ≠ leisure</t>
        </is>
      </c>
      <c r="N6" s="18" t="inlineStr">
        <is>
          <t>Cạn năng lượng / over-optimization</t>
        </is>
      </c>
      <c r="O6" s="18" t="inlineStr">
        <is>
          <t>Rest / Limits / Wellbeing</t>
        </is>
      </c>
      <c r="P6" s="18" t="inlineStr">
        <is>
          <t>Distinguish</t>
        </is>
      </c>
      <c r="Q6" s="18" t="inlineStr">
        <is>
          <t>research.laozi.ch09.*; research.laozi.ch15.*</t>
        </is>
      </c>
      <c r="R6" s="18" t="str"/>
      <c r="S6" s="18" t="inlineStr">
        <is>
          <t>Editorial lens</t>
        </is>
      </c>
      <c r="T6" s="18" t="inlineStr">
        <is>
          <t>Yes</t>
        </is>
      </c>
      <c r="U6" s="18" t="n">
        <v>1</v>
      </c>
      <c r="V6" s="18" t="inlineStr">
        <is>
          <t>Day 1 seed.</t>
        </is>
      </c>
    </row>
    <row r="7">
      <c r="A7" s="18" t="inlineStr">
        <is>
          <t>principle.laozi.stimulus_overload</t>
        </is>
      </c>
      <c r="B7" s="18" t="inlineStr">
        <is>
          <t>Collected</t>
        </is>
      </c>
      <c r="C7" s="18" t="inlineStr">
        <is>
          <t>Quá nhiều kích thích có thể làm giảm khả năng cảm nhận</t>
        </is>
      </c>
      <c r="D7" s="18" t="inlineStr">
        <is>
          <t>Philosophy / attention</t>
        </is>
      </c>
      <c r="E7" s="18" t="inlineStr">
        <is>
          <t>Khi đầu vào tăng quá mức, khả năng phân biệt và chú ý có thể giảm thay vì tăng.</t>
        </is>
      </c>
      <c r="F7" s="18" t="inlineStr">
        <is>
          <t>道德經 / Tao Te Ching</t>
        </is>
      </c>
      <c r="G7" s="18" t="inlineStr">
        <is>
          <t>Laozi / 老子</t>
        </is>
      </c>
      <c r="H7" s="18" t="inlineStr">
        <is>
          <t>https://zh.wikisource.org/zh-hans/%E9%81%93%E5%BE%B7%E7%B6%93_(%E7%8E%8B%E5%BC%BC%E6%9C%AC)</t>
        </is>
      </c>
      <c r="I7" s="18" t="inlineStr">
        <is>
          <t>Primary text</t>
        </is>
      </c>
      <c r="J7" s="18" t="inlineStr">
        <is>
          <t>Ch.12.</t>
        </is>
      </c>
      <c r="K7" s="18" t="inlineStr">
        <is>
          <t>Đây là ẩn dụ triết học cổ, không phải bằng chứng khoa học hiện đại.</t>
        </is>
      </c>
      <c r="L7" s="18" t="inlineStr">
        <is>
          <t>A - Primary source</t>
        </is>
      </c>
      <c r="M7" s="18" t="inlineStr">
        <is>
          <t>Information abundance / noise</t>
        </is>
      </c>
      <c r="N7" s="18" t="inlineStr">
        <is>
          <t>Quá tải thông tin</t>
        </is>
      </c>
      <c r="O7" s="18" t="inlineStr">
        <is>
          <t>Attention / Noise / Deep focus</t>
        </is>
      </c>
      <c r="P7" s="18" t="inlineStr">
        <is>
          <t>Recognize</t>
        </is>
      </c>
      <c r="Q7" s="18" t="inlineStr">
        <is>
          <t>research.laozi.ch12.*</t>
        </is>
      </c>
      <c r="R7" s="18" t="str"/>
      <c r="S7" s="18" t="inlineStr">
        <is>
          <t>Quote seed</t>
        </is>
      </c>
      <c r="T7" s="18" t="inlineStr">
        <is>
          <t>Yes</t>
        </is>
      </c>
      <c r="U7" s="18" t="n">
        <v>1</v>
      </c>
      <c r="V7" s="18" t="inlineStr">
        <is>
          <t>Connect to modern research later.</t>
        </is>
      </c>
    </row>
    <row r="8">
      <c r="A8" s="18" t="inlineStr">
        <is>
          <t>principle.laozi.clarity_not_forced</t>
        </is>
      </c>
      <c r="B8" s="18" t="inlineStr">
        <is>
          <t>Collected</t>
        </is>
      </c>
      <c r="C8" s="18" t="inlineStr">
        <is>
          <t>Sáng rõ không phải lúc nào cũng cần bị ép ra ngay</t>
        </is>
      </c>
      <c r="D8" s="18" t="inlineStr">
        <is>
          <t>Philosophy / reflection</t>
        </is>
      </c>
      <c r="E8" s="18" t="inlineStr">
        <is>
          <t>Khi trải nghiệm còn đục/rối, không tiếp tục khuấy động có thể tạo điều kiện cho sáng rõ xuất hiện dần.</t>
        </is>
      </c>
      <c r="F8" s="18" t="inlineStr">
        <is>
          <t>道德經 / Tao Te Ching</t>
        </is>
      </c>
      <c r="G8" s="18" t="inlineStr">
        <is>
          <t>Laozi / 老子</t>
        </is>
      </c>
      <c r="H8" s="18" t="inlineStr">
        <is>
          <t>https://zh.wikisource.org/zh-hans/%E9%81%93%E5%BE%B7%E7%B6%93_(%E7%8E%8B%E5%BC%BC%E6%9C%AC)</t>
        </is>
      </c>
      <c r="I8" s="18" t="inlineStr">
        <is>
          <t>Primary text</t>
        </is>
      </c>
      <c r="J8" s="18" t="inlineStr">
        <is>
          <t>Ch.15 muddy water.</t>
        </is>
      </c>
      <c r="K8" s="18" t="inlineStr">
        <is>
          <t>Không hứa chờ đợi sẽ tự giải quyết vấn đề.</t>
        </is>
      </c>
      <c r="L8" s="18" t="inlineStr">
        <is>
          <t>A - Primary source</t>
        </is>
      </c>
      <c r="M8" s="18" t="inlineStr">
        <is>
          <t>Fast execution / slow cognition</t>
        </is>
      </c>
      <c r="N8" s="18" t="inlineStr">
        <is>
          <t>Chưa gọi tên được / chưa rõ lựa chọn</t>
        </is>
      </c>
      <c r="O8" s="18" t="inlineStr">
        <is>
          <t>Uncertainty / Choice / Agency</t>
        </is>
      </c>
      <c r="P8" s="18" t="inlineStr">
        <is>
          <t>Permit</t>
        </is>
      </c>
      <c r="Q8" s="18" t="inlineStr">
        <is>
          <t>research.laozi.ch15.*</t>
        </is>
      </c>
      <c r="R8" s="18" t="str"/>
      <c r="S8" s="18" t="inlineStr">
        <is>
          <t>Editorial lens</t>
        </is>
      </c>
      <c r="T8" s="18" t="inlineStr">
        <is>
          <t>Yes</t>
        </is>
      </c>
      <c r="U8" s="18" t="n">
        <v>1</v>
      </c>
      <c r="V8" s="18" t="inlineStr">
        <is>
          <t>Strong Selflo principle.</t>
        </is>
      </c>
    </row>
    <row r="9">
      <c r="A9" s="18" t="inlineStr">
        <is>
          <t>principle.laozi.enduring_principles</t>
        </is>
      </c>
      <c r="B9" s="18" t="inlineStr">
        <is>
          <t>Collected</t>
        </is>
      </c>
      <c r="C9" s="18" t="inlineStr">
        <is>
          <t>Nguyên lý bền để soi hoàn cảnh mới</t>
        </is>
      </c>
      <c r="D9" s="18" t="inlineStr">
        <is>
          <t>Philosophy / judgment</t>
        </is>
      </c>
      <c r="E9" s="18" t="inlineStr">
        <is>
          <t>Một số nguyên lý có thể tồn tại lâu hơn bối cảnh cụ thể và giúp soi tình huống mới.</t>
        </is>
      </c>
      <c r="F9" s="18" t="inlineStr">
        <is>
          <t>道德經 / Tao Te Ching</t>
        </is>
      </c>
      <c r="G9" s="18" t="inlineStr">
        <is>
          <t>Laozi / 老子</t>
        </is>
      </c>
      <c r="H9" s="18" t="inlineStr">
        <is>
          <t>https://zh.wikisource.org/zh-hans/%E9%81%93%E5%BE%B7%E7%B6%93_(%E7%8E%8B%E5%BC%BC%E6%9C%AC)</t>
        </is>
      </c>
      <c r="I9" s="18" t="inlineStr">
        <is>
          <t>Primary text</t>
        </is>
      </c>
      <c r="J9" s="18" t="inlineStr">
        <is>
          <t>Ch.14 and Ch.16.</t>
        </is>
      </c>
      <c r="K9" s="18" t="inlineStr">
        <is>
          <t>Không giả định mọi nguyên lý cổ đều đúng cho hiện đại.</t>
        </is>
      </c>
      <c r="L9" s="18" t="inlineStr">
        <is>
          <t>A - Primary source</t>
        </is>
      </c>
      <c r="M9" s="18" t="inlineStr">
        <is>
          <t>Enduring principles</t>
        </is>
      </c>
      <c r="N9" s="18" t="inlineStr">
        <is>
          <t>Bối cảnh AI thay đổi nhanh</t>
        </is>
      </c>
      <c r="O9" s="18" t="inlineStr">
        <is>
          <t>AI-age Human Judgment</t>
        </is>
      </c>
      <c r="P9" s="18" t="inlineStr">
        <is>
          <t>Distinguish</t>
        </is>
      </c>
      <c r="Q9" s="18" t="inlineStr">
        <is>
          <t>research.laozi.ch14.*; research.laozi.ch16.*</t>
        </is>
      </c>
      <c r="R9" s="18" t="str"/>
      <c r="S9" s="18" t="inlineStr">
        <is>
          <t>Product philosophy</t>
        </is>
      </c>
      <c r="T9" s="18" t="inlineStr">
        <is>
          <t>Yes</t>
        </is>
      </c>
      <c r="U9" s="18" t="n">
        <v>1</v>
      </c>
      <c r="V9" s="18" t="inlineStr">
        <is>
          <t>Directly relevant to AI-era docs.</t>
        </is>
      </c>
    </row>
    <row r="10">
      <c r="A10" s="18" t="inlineStr">
        <is>
          <t>principle.laozi.return_agency</t>
        </is>
      </c>
      <c r="B10" s="18" t="inlineStr">
        <is>
          <t>Collected</t>
        </is>
      </c>
      <c r="C10" s="18" t="inlineStr">
        <is>
          <t>Hỗ trợ tốt có thể giữ lại cảm giác chủ thể</t>
        </is>
      </c>
      <c r="D10" s="18" t="inlineStr">
        <is>
          <t>Philosophy / leadership</t>
        </is>
      </c>
      <c r="E10" s="18" t="inlineStr">
        <is>
          <t>Một dạng hỗ trợ tốt không nhất thiết khiến người nhận cảm thấy bị điều khiển; họ vẫn thấy mình là người thực hiện.</t>
        </is>
      </c>
      <c r="F10" s="18" t="inlineStr">
        <is>
          <t>道德經 / Tao Te Ching</t>
        </is>
      </c>
      <c r="G10" s="18" t="inlineStr">
        <is>
          <t>Laozi / 老子</t>
        </is>
      </c>
      <c r="H10" s="18" t="inlineStr">
        <is>
          <t>https://zh.wikisource.org/zh-hans/%E9%81%93%E5%BE%B7%E7%B6%93_(%E7%8E%8B%E5%BC%BC%E6%9C%AC)</t>
        </is>
      </c>
      <c r="I10" s="18" t="inlineStr">
        <is>
          <t>Primary text</t>
        </is>
      </c>
      <c r="J10" s="18" t="inlineStr">
        <is>
          <t>Ch.17.</t>
        </is>
      </c>
      <c r="K10" s="18" t="inlineStr">
        <is>
          <t>Đây là diễn giải editorial, không phải kết luận duy nhất.</t>
        </is>
      </c>
      <c r="L10" s="18" t="inlineStr">
        <is>
          <t>A - Primary source</t>
        </is>
      </c>
      <c r="M10" s="18" t="inlineStr">
        <is>
          <t>Human agency</t>
        </is>
      </c>
      <c r="N10" s="18" t="inlineStr">
        <is>
          <t>Người dùng vẫn là chủ thể</t>
        </is>
      </c>
      <c r="O10" s="18" t="inlineStr">
        <is>
          <t>AI-age Human Judgment</t>
        </is>
      </c>
      <c r="P10" s="18" t="inlineStr">
        <is>
          <t>Return agency</t>
        </is>
      </c>
      <c r="Q10" s="18" t="inlineStr">
        <is>
          <t>research.laozi.ch17.*</t>
        </is>
      </c>
      <c r="R10" s="18" t="str"/>
      <c r="S10" s="18" t="inlineStr">
        <is>
          <t>Product philosophy</t>
        </is>
      </c>
      <c r="T10" s="18" t="inlineStr">
        <is>
          <t>Yes</t>
        </is>
      </c>
      <c r="U10" s="18" t="n">
        <v>1</v>
      </c>
      <c r="V10" s="18" t="inlineStr">
        <is>
          <t>Core Selflo philosophy.</t>
        </is>
      </c>
    </row>
    <row r="11">
      <c r="A11" s="18" t="inlineStr">
        <is>
          <t>principle.laozi.social_comparison_uncertainty</t>
        </is>
      </c>
      <c r="B11" s="18" t="inlineStr">
        <is>
          <t>Collected</t>
        </is>
      </c>
      <c r="C11" s="18" t="inlineStr">
        <is>
          <t>Sự chắc chắn của số đông không quyết định trải nghiệm của mình</t>
        </is>
      </c>
      <c r="D11" s="18" t="inlineStr">
        <is>
          <t>Philosophy / self-understanding</t>
        </is>
      </c>
      <c r="E11" s="18" t="inlineStr">
        <is>
          <t>Cảm giác người khác đều đủ, rõ và có hướng đi có thể cùng tồn tại với việc mình chưa rõ.</t>
        </is>
      </c>
      <c r="F11" s="18" t="inlineStr">
        <is>
          <t>道德經 / Tao Te Ching</t>
        </is>
      </c>
      <c r="G11" s="18" t="inlineStr">
        <is>
          <t>Laozi / 老子</t>
        </is>
      </c>
      <c r="H11" s="18" t="inlineStr">
        <is>
          <t>https://zh.wikisource.org/zh-hans/%E9%81%93%E5%BE%B7%E7%B6%93_(%E7%8E%8B%E5%BC%BC%E6%9C%AC)</t>
        </is>
      </c>
      <c r="I11" s="18" t="inlineStr">
        <is>
          <t>Primary text</t>
        </is>
      </c>
      <c r="J11" s="18" t="inlineStr">
        <is>
          <t>Ch.20.</t>
        </is>
      </c>
      <c r="K11" s="18" t="inlineStr">
        <is>
          <t>Không lãng mạn hóa cô lập hoặc khác biệt.</t>
        </is>
      </c>
      <c r="L11" s="18" t="inlineStr">
        <is>
          <t>A - Primary source</t>
        </is>
      </c>
      <c r="M11" s="18" t="inlineStr">
        <is>
          <t>Human judgment</t>
        </is>
      </c>
      <c r="N11" s="18" t="inlineStr">
        <is>
          <t>Mọi người có vẻ biết còn mình chưa biết</t>
        </is>
      </c>
      <c r="O11" s="18" t="inlineStr">
        <is>
          <t>Comparison / External standards / Values</t>
        </is>
      </c>
      <c r="P11" s="18" t="inlineStr">
        <is>
          <t>Recognize</t>
        </is>
      </c>
      <c r="Q11" s="18" t="inlineStr">
        <is>
          <t>research.laozi.ch20.*</t>
        </is>
      </c>
      <c r="R11" s="18" t="str"/>
      <c r="S11" s="18" t="inlineStr">
        <is>
          <t>Editorial lens</t>
        </is>
      </c>
      <c r="T11" s="18" t="inlineStr">
        <is>
          <t>Yes</t>
        </is>
      </c>
      <c r="U11" s="18" t="n">
        <v>1</v>
      </c>
      <c r="V11" s="18" t="inlineStr">
        <is>
          <t>Strong recognition/permission seed.</t>
        </is>
      </c>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row>
    <row r="302">
      <c r="A302" s="18" t="inlineStr">
        <is>
          <t>principle.laozi.day2.progress_can_look_backward</t>
        </is>
      </c>
      <c r="B302" s="18" t="n"/>
      <c r="C302" s="18" t="n"/>
      <c r="D302" s="18" t="n"/>
      <c r="E302" s="18" t="n"/>
      <c r="F302" s="18" t="n"/>
      <c r="G302" s="18" t="n"/>
      <c r="H302" s="18" t="inlineStr">
        <is>
          <t>https://zh.wikisource.org/zh-hant/%E9%81%93%E5%BE%B7%E7%B6%93_%28%E7%8E%8B%E5%BC%BC%E6%9C%AC%29</t>
        </is>
      </c>
      <c r="I302" s="18" t="n"/>
      <c r="J302" s="18" t="n"/>
      <c r="K302" s="18" t="n"/>
      <c r="L302" s="18" t="n"/>
      <c r="M302" s="18" t="n"/>
      <c r="N302" s="18" t="n"/>
      <c r="O302" s="18" t="n"/>
      <c r="P302" s="18" t="n"/>
      <c r="Q302" s="18" t="n"/>
      <c r="R302" s="18" t="n"/>
      <c r="S302" s="18" t="n"/>
      <c r="T302" s="18" t="n"/>
      <c r="U302" s="18" t="n"/>
      <c r="V302" s="18" t="n"/>
    </row>
    <row r="303">
      <c r="A303" s="18" t="inlineStr">
        <is>
          <t>principle.laozi.day2.soft_strength</t>
        </is>
      </c>
      <c r="B303" s="18" t="n"/>
      <c r="C303" s="18" t="n"/>
      <c r="D303" s="18" t="n"/>
      <c r="E303" s="18" t="n"/>
      <c r="F303" s="18" t="n"/>
      <c r="G303" s="18" t="n"/>
      <c r="H303" s="18" t="inlineStr">
        <is>
          <t>https://zh.wikisource.org/zh-hant/%E9%81%93%E5%BE%B7%E7%B6%93_%28%E7%8E%8B%E5%BC%BC%E6%9C%AC%29</t>
        </is>
      </c>
      <c r="I303" s="18" t="n"/>
      <c r="J303" s="18" t="n"/>
      <c r="K303" s="18" t="n"/>
      <c r="L303" s="18" t="n"/>
      <c r="M303" s="18" t="n"/>
      <c r="N303" s="18" t="n"/>
      <c r="O303" s="18" t="n"/>
      <c r="P303" s="18" t="n"/>
      <c r="Q303" s="18" t="n"/>
      <c r="R303" s="18" t="n"/>
      <c r="S303" s="18" t="n"/>
      <c r="T303" s="18" t="n"/>
      <c r="U303" s="18" t="n"/>
      <c r="V303" s="18" t="n"/>
    </row>
    <row r="304">
      <c r="A304" s="18" t="inlineStr">
        <is>
          <t>principle.laozi.day2.self_knowledge</t>
        </is>
      </c>
      <c r="B304" s="18" t="n"/>
      <c r="C304" s="18" t="n"/>
      <c r="D304" s="18" t="n"/>
      <c r="E304" s="18" t="n"/>
      <c r="F304" s="18" t="n"/>
      <c r="G304" s="18" t="n"/>
      <c r="H304" s="18" t="inlineStr">
        <is>
          <t>https://zh.wikisource.org/zh-hant/%E9%81%93%E5%BE%B7%E7%B6%93_%28%E7%8E%8B%E5%BC%BC%E6%9C%AC%29</t>
        </is>
      </c>
      <c r="I304" s="18" t="n"/>
      <c r="J304" s="18" t="n"/>
      <c r="K304" s="18" t="n"/>
      <c r="L304" s="18" t="n"/>
      <c r="M304" s="18" t="n"/>
      <c r="N304" s="18" t="n"/>
      <c r="O304" s="18" t="n"/>
      <c r="P304" s="18" t="n"/>
      <c r="Q304" s="18" t="n"/>
      <c r="R304" s="18" t="n"/>
      <c r="S304" s="18" t="n"/>
      <c r="T304" s="18" t="n"/>
      <c r="U304" s="18" t="n"/>
      <c r="V304" s="18" t="n"/>
    </row>
    <row r="305">
      <c r="A305" s="18" t="inlineStr">
        <is>
          <t>principle.laozi.day2.enough_and_stop</t>
        </is>
      </c>
      <c r="B305" s="18" t="n"/>
      <c r="C305" s="18" t="n"/>
      <c r="D305" s="18" t="n"/>
      <c r="E305" s="18" t="n"/>
      <c r="F305" s="18" t="n"/>
      <c r="G305" s="18" t="n"/>
      <c r="H305" s="18" t="inlineStr">
        <is>
          <t>https://zh.wikisource.org/zh-hant/%E9%81%93%E5%BE%B7%E7%B6%93_%28%E7%8E%8B%E5%BC%BC%E6%9C%AC%29</t>
        </is>
      </c>
      <c r="I305" s="18" t="n"/>
      <c r="J305" s="18" t="n"/>
      <c r="K305" s="18" t="n"/>
      <c r="L305" s="18" t="n"/>
      <c r="M305" s="18" t="n"/>
      <c r="N305" s="18" t="n"/>
      <c r="O305" s="18" t="n"/>
      <c r="P305" s="18" t="n"/>
      <c r="Q305" s="18" t="n"/>
      <c r="R305" s="18" t="n"/>
      <c r="S305" s="18" t="n"/>
      <c r="T305" s="18" t="n"/>
      <c r="U305" s="18" t="n"/>
      <c r="V305" s="18" t="n"/>
    </row>
    <row r="306">
      <c r="A306" s="18" t="inlineStr">
        <is>
          <t>principle.laozi.day2.context_over_force</t>
        </is>
      </c>
      <c r="B306" s="18" t="n"/>
      <c r="C306" s="18" t="n"/>
      <c r="D306" s="18" t="n"/>
      <c r="E306" s="18" t="n"/>
      <c r="F306" s="18" t="n"/>
      <c r="G306" s="18" t="n"/>
      <c r="H306" s="18" t="inlineStr">
        <is>
          <t>https://zh.wikisource.org/zh-hant/%E9%81%93%E5%BE%B7%E7%B6%93_%28%E7%8E%8B%E5%BC%BC%E6%9C%AC%29</t>
        </is>
      </c>
      <c r="I306" s="18" t="n"/>
      <c r="J306" s="18" t="n"/>
      <c r="K306" s="18" t="n"/>
      <c r="L306" s="18" t="n"/>
      <c r="M306" s="18" t="n"/>
      <c r="N306" s="18" t="n"/>
      <c r="O306" s="18" t="n"/>
      <c r="P306" s="18" t="n"/>
      <c r="Q306" s="18" t="n"/>
      <c r="R306" s="18" t="n"/>
      <c r="S306" s="18" t="n"/>
      <c r="T306" s="18" t="n"/>
      <c r="U306" s="18" t="n"/>
      <c r="V306" s="18" t="n"/>
    </row>
    <row r="307">
      <c r="A307" s="18" t="inlineStr">
        <is>
          <t>principle.laozi.day2.value_not_attention</t>
        </is>
      </c>
      <c r="B307" s="18" t="n"/>
      <c r="C307" s="18" t="n"/>
      <c r="D307" s="18" t="n"/>
      <c r="E307" s="18" t="n"/>
      <c r="F307" s="18" t="n"/>
      <c r="G307" s="18" t="n"/>
      <c r="H307" s="18" t="inlineStr">
        <is>
          <t>https://zh.wikisource.org/zh-hant/%E9%81%93%E5%BE%B7%E7%B6%93_%28%E7%8E%8B%E5%BC%BC%E6%9C%AC%29</t>
        </is>
      </c>
      <c r="I307" s="18" t="n"/>
      <c r="J307" s="18" t="n"/>
      <c r="K307" s="18" t="n"/>
      <c r="L307" s="18" t="n"/>
      <c r="M307" s="18" t="n"/>
      <c r="N307" s="18" t="n"/>
      <c r="O307" s="18" t="n"/>
      <c r="P307" s="18" t="n"/>
      <c r="Q307" s="18" t="n"/>
      <c r="R307" s="18" t="n"/>
      <c r="S307" s="18" t="n"/>
      <c r="T307" s="18" t="n"/>
      <c r="U307" s="18" t="n"/>
      <c r="V307" s="18" t="n"/>
    </row>
    <row r="308">
      <c r="A308" s="18" t="inlineStr">
        <is>
          <t>principle.laozi.day2.whole_not_parts</t>
        </is>
      </c>
      <c r="B308" s="18" t="n"/>
      <c r="C308" s="18" t="n"/>
      <c r="D308" s="18" t="n"/>
      <c r="E308" s="18" t="n"/>
      <c r="F308" s="18" t="n"/>
      <c r="G308" s="18" t="n"/>
      <c r="H308" s="18" t="inlineStr">
        <is>
          <t>https://zh.wikisource.org/zh-hant/%E9%81%93%E5%BE%B7%E7%B6%93_%28%E7%8E%8B%E5%BC%BC%E6%9C%AC%29</t>
        </is>
      </c>
      <c r="I308" s="18" t="n"/>
      <c r="J308" s="18" t="n"/>
      <c r="K308" s="18" t="n"/>
      <c r="L308" s="18" t="n"/>
      <c r="M308" s="18" t="n"/>
      <c r="N308" s="18" t="n"/>
      <c r="O308" s="18" t="n"/>
      <c r="P308" s="18" t="n"/>
      <c r="Q308" s="18" t="n"/>
      <c r="R308" s="18" t="n"/>
      <c r="S308" s="18" t="n"/>
      <c r="T308" s="18" t="n"/>
      <c r="U308" s="18" t="n"/>
      <c r="V308" s="18" t="n"/>
    </row>
    <row r="309">
      <c r="A309" s="18" t="inlineStr">
        <is>
          <t>principle.laozi.day2.addition_and_subtraction</t>
        </is>
      </c>
      <c r="B309" s="18" t="n"/>
      <c r="C309" s="18" t="n"/>
      <c r="D309" s="18" t="n"/>
      <c r="E309" s="18" t="n"/>
      <c r="F309" s="18" t="n"/>
      <c r="G309" s="18" t="n"/>
      <c r="H309" s="18" t="inlineStr">
        <is>
          <t>https://zh.wikisource.org/zh-hant/%E9%81%93%E5%BE%B7%E7%B6%93_%28%E7%8E%8B%E5%BC%BC%E6%9C%AC%29</t>
        </is>
      </c>
      <c r="I309" s="18" t="n"/>
      <c r="J309" s="18" t="n"/>
      <c r="K309" s="18" t="n"/>
      <c r="L309" s="18" t="n"/>
      <c r="M309" s="18" t="n"/>
      <c r="N309" s="18" t="n"/>
      <c r="O309" s="18" t="n"/>
      <c r="P309" s="18" t="n"/>
      <c r="Q309" s="18" t="n"/>
      <c r="R309" s="18" t="n"/>
      <c r="S309" s="18" t="n"/>
      <c r="T309" s="18" t="n"/>
      <c r="U309" s="18" t="n"/>
      <c r="V309" s="18" t="n"/>
    </row>
    <row r="310">
      <c r="A310" s="18" t="inlineStr">
        <is>
          <t>principle.laozi.day2.nonfixed_response</t>
        </is>
      </c>
      <c r="B310" s="18" t="n"/>
      <c r="C310" s="18" t="n"/>
      <c r="D310" s="18" t="n"/>
      <c r="E310" s="18" t="n"/>
      <c r="F310" s="18" t="n"/>
      <c r="G310" s="18" t="n"/>
      <c r="H310" s="18" t="inlineStr">
        <is>
          <t>https://zh.wikisource.org/zh-hant/%E9%81%93%E5%BE%B7%E7%B6%93_%28%E7%8E%8B%E5%BC%BC%E6%9C%AC%29</t>
        </is>
      </c>
      <c r="I310" s="18" t="n"/>
      <c r="J310" s="18" t="n"/>
      <c r="K310" s="18" t="n"/>
      <c r="L310" s="18" t="n"/>
      <c r="M310" s="18" t="n"/>
      <c r="N310" s="18" t="n"/>
      <c r="O310" s="18" t="n"/>
      <c r="P310" s="18" t="n"/>
      <c r="Q310" s="18" t="n"/>
      <c r="R310" s="18" t="n"/>
      <c r="S310" s="18" t="n"/>
      <c r="T310" s="18" t="n"/>
      <c r="U310" s="18" t="n"/>
      <c r="V310" s="18" t="n"/>
    </row>
    <row r="311">
      <c r="A311" s="18" t="inlineStr">
        <is>
          <t>principle.laozi.day2.return_agency</t>
        </is>
      </c>
      <c r="B311" s="18" t="n"/>
      <c r="C311" s="18" t="n"/>
      <c r="D311" s="18" t="n"/>
      <c r="E311" s="18" t="n"/>
      <c r="F311" s="18" t="n"/>
      <c r="G311" s="18" t="n"/>
      <c r="H311" s="18" t="inlineStr">
        <is>
          <t>https://zh.wikisource.org/zh-hant/%E9%81%93%E5%BE%B7%E7%B6%93_%28%E7%8E%8B%E5%BC%BC%E6%9C%AC%29</t>
        </is>
      </c>
      <c r="I311" s="18" t="n"/>
      <c r="J311" s="18" t="n"/>
      <c r="K311" s="18" t="n"/>
      <c r="L311" s="18" t="n"/>
      <c r="M311" s="18" t="n"/>
      <c r="N311" s="18" t="n"/>
      <c r="O311" s="18" t="n"/>
      <c r="P311" s="18" t="n"/>
      <c r="Q311" s="18" t="n"/>
      <c r="R311" s="18" t="n"/>
      <c r="S311" s="18" t="n"/>
      <c r="T311" s="18" t="n"/>
      <c r="U311" s="18" t="n"/>
      <c r="V311" s="18" t="n"/>
    </row>
    <row r="312">
      <c r="A312" s="18" t="inlineStr">
        <is>
          <t>principle.laozi.day2.form_not_substance</t>
        </is>
      </c>
      <c r="B312" s="18" t="n"/>
      <c r="C312" s="18" t="n"/>
      <c r="D312" s="18" t="n"/>
      <c r="E312" s="18" t="n"/>
      <c r="F312" s="18" t="n"/>
      <c r="G312" s="18" t="n"/>
      <c r="H312" s="18" t="inlineStr">
        <is>
          <t>https://zh.wikisource.org/zh-hant/%E9%81%93%E5%BE%B7%E7%B6%93_%28%E7%8E%8B%E5%BC%BC%E6%9C%AC%29</t>
        </is>
      </c>
      <c r="I312" s="18" t="n"/>
      <c r="J312" s="18" t="n"/>
      <c r="K312" s="18" t="n"/>
      <c r="L312" s="18" t="n"/>
      <c r="M312" s="18" t="n"/>
      <c r="N312" s="18" t="n"/>
      <c r="O312" s="18" t="n"/>
      <c r="P312" s="18" t="n"/>
      <c r="Q312" s="18" t="n"/>
      <c r="R312" s="18" t="n"/>
      <c r="S312" s="18" t="n"/>
      <c r="T312" s="18" t="n"/>
      <c r="U312" s="18" t="n"/>
      <c r="V312" s="18" t="n"/>
    </row>
    <row r="313">
      <c r="A313" s="18" t="inlineStr">
        <is>
          <t>principle.laozi.day2.human_judgment_limits</t>
        </is>
      </c>
      <c r="B313" s="18" t="n"/>
      <c r="C313" s="18" t="n"/>
      <c r="D313" s="18" t="n"/>
      <c r="E313" s="18" t="n"/>
      <c r="F313" s="18" t="n"/>
      <c r="G313" s="18" t="n"/>
      <c r="H313" s="18" t="inlineStr">
        <is>
          <t>https://zh.wikisource.org/zh-hant/%E9%81%93%E5%BE%B7%E7%B6%93_%28%E7%8E%8B%E5%BC%BC%E6%9C%AC%29</t>
        </is>
      </c>
      <c r="I313" s="18" t="n"/>
      <c r="J313" s="18" t="n"/>
      <c r="K313" s="18" t="n"/>
      <c r="L313" s="18" t="n"/>
      <c r="M313" s="18" t="n"/>
      <c r="N313" s="18" t="n"/>
      <c r="O313" s="18" t="n"/>
      <c r="P313" s="18" t="n"/>
      <c r="Q313" s="18" t="n"/>
      <c r="R313" s="18" t="n"/>
      <c r="S313" s="18" t="n"/>
      <c r="T313" s="18" t="n"/>
      <c r="U313" s="18" t="n"/>
      <c r="V313" s="18" t="n"/>
    </row>
  </sheetData>
  <dataValidations count="6">
    <dataValidation sqref="B2:B300" showDropDown="0" showInputMessage="0" showErrorMessage="0" allowBlank="0" type="list">
      <formula1>"Planned,Collected,Needs Verification,Verified,Needs Edit,Shortlisted,Release,Hold,Rejected"</formula1>
    </dataValidation>
    <dataValidation sqref="I2:I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L2:L300" showDropDown="0" showInputMessage="0" showErrorMessage="0" allowBlank="0" type="list">
      <formula1>"A - Primary source,B - Authoritative secondary,C - Plausible / needs primary,D - Disputed / internet-only,N/A - Selflo Original"</formula1>
    </dataValidation>
    <dataValidation sqref="O2:O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T2:T300" showDropDown="0" showInputMessage="0" showErrorMessage="0" allowBlank="0" type="list">
      <formula1>"Research only,Editorial lens,Story seed,Quote seed,Product philosophy"</formula1>
    </dataValidation>
    <dataValidation sqref="U2:U300" showDropDown="0" showInputMessage="0" showErrorMessage="0" allowBlank="0" type="list">
      <formula1>"Yes,No,Needs review"</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cols>
    <col width="24" customWidth="1" style="42" min="1" max="1"/>
    <col width="24" customWidth="1" style="42" min="2" max="2"/>
    <col width="24" customWidth="1" style="42" min="3" max="3"/>
    <col width="38" customWidth="1" style="42" min="4" max="4"/>
    <col width="24" customWidth="1" style="42" min="5" max="5"/>
    <col width="24" customWidth="1" style="42" min="6" max="6"/>
    <col width="24" customWidth="1" style="42" min="7" max="7"/>
    <col width="48" customWidth="1" style="42" min="8" max="8"/>
    <col width="48" customWidth="1" style="42" min="9" max="9"/>
    <col width="24" customWidth="1" style="42" min="10" max="10"/>
    <col width="24" customWidth="1" style="42" min="11" max="11"/>
    <col width="42" customWidth="1" style="42" min="12" max="12"/>
    <col width="24" customWidth="1" style="42" min="13" max="13"/>
    <col width="24" customWidth="1" style="42" min="14" max="14"/>
    <col width="24" customWidth="1" style="42" min="15" max="15"/>
    <col width="24" customWidth="1" style="42" min="16" max="16"/>
    <col width="24" customWidth="1" style="42" min="17" max="17"/>
  </cols>
  <sheetData>
    <row r="1">
      <c r="A1" s="6" t="inlineStr">
        <is>
          <t>Source ID</t>
        </is>
      </c>
      <c r="B1" s="6" t="inlineStr">
        <is>
          <t>Author / Tradition</t>
        </is>
      </c>
      <c r="C1" s="6" t="inlineStr">
        <is>
          <t>Culture / Region</t>
        </is>
      </c>
      <c r="D1" s="6" t="inlineStr">
        <is>
          <t>Source Title</t>
        </is>
      </c>
      <c r="E1" s="6" t="inlineStr">
        <is>
          <t>Source Type</t>
        </is>
      </c>
      <c r="F1" s="6" t="inlineStr">
        <is>
          <t>Original Language</t>
        </is>
      </c>
      <c r="G1" s="6" t="inlineStr">
        <is>
          <t>Approx. Date / Era</t>
        </is>
      </c>
      <c r="H1" s="6" t="inlineStr">
        <is>
          <t>Primary URL</t>
        </is>
      </c>
      <c r="I1" s="6" t="inlineStr">
        <is>
          <t>Secondary Verification URL</t>
        </is>
      </c>
      <c r="J1" s="6" t="inlineStr">
        <is>
          <t>Reliability Tier</t>
        </is>
      </c>
      <c r="K1" s="6" t="inlineStr">
        <is>
          <t>Public Domain?</t>
        </is>
      </c>
      <c r="L1" s="6" t="inlineStr">
        <is>
          <t>Rights Notes</t>
        </is>
      </c>
      <c r="M1" s="6" t="inlineStr">
        <is>
          <t>Used for Quote IDs</t>
        </is>
      </c>
      <c r="N1" s="6" t="inlineStr">
        <is>
          <t>Used for Story IDs</t>
        </is>
      </c>
      <c r="O1" s="6" t="inlineStr">
        <is>
          <t>Used for Principle IDs</t>
        </is>
      </c>
      <c r="P1" s="6" t="inlineStr">
        <is>
          <t>First Collected Day</t>
        </is>
      </c>
      <c r="Q1" s="6" t="inlineStr">
        <is>
          <t>Verification Notes</t>
        </is>
      </c>
    </row>
    <row r="2">
      <c r="A2" s="18" t="inlineStr">
        <is>
          <t>SRC-LAOZI-WB</t>
        </is>
      </c>
      <c r="B2" s="18" t="inlineStr">
        <is>
          <t>Laozi / 王弼 recension</t>
        </is>
      </c>
      <c r="C2" s="18" t="inlineStr">
        <is>
          <t>China</t>
        </is>
      </c>
      <c r="D2" s="18" t="inlineStr">
        <is>
          <t>道德經 (王弼本)</t>
        </is>
      </c>
      <c r="E2" s="18" t="inlineStr">
        <is>
          <t>Primary text</t>
        </is>
      </c>
      <c r="F2" s="18" t="inlineStr">
        <is>
          <t>Classical Chinese</t>
        </is>
      </c>
      <c r="G2" s="18" t="inlineStr">
        <is>
          <t>Ancient text; Wang Bi commentary 3rd c. CE</t>
        </is>
      </c>
      <c r="H2" s="18" t="inlineStr">
        <is>
          <t>https://zh.wikisource.org/zh-hans/%E9%81%93%E5%BE%B7%E7%B6%93_(%E7%8E%8B%E5%BC%BC%E6%9C%AC)</t>
        </is>
      </c>
      <c r="I2" s="18" t="inlineStr">
        <is>
          <t>https://ctext.org/dao-de-jing/zh</t>
        </is>
      </c>
      <c r="J2" s="18" t="inlineStr">
        <is>
          <t>Tier 1 - Primary/Institutional</t>
        </is>
      </c>
      <c r="K2" s="18" t="inlineStr">
        <is>
          <t>Yes</t>
        </is>
      </c>
      <c r="L2" s="18" t="inlineStr">
        <is>
          <t>Ancient source text; verify edition choice for scholarly publication.</t>
        </is>
      </c>
      <c r="M2" s="18" t="inlineStr">
        <is>
          <t>Day 1 Laozi ch.1–20</t>
        </is>
      </c>
      <c r="N2" s="18" t="str"/>
      <c r="O2" s="18" t="inlineStr">
        <is>
          <t>principle.laozi.*</t>
        </is>
      </c>
      <c r="P2" s="18" t="n">
        <v>1</v>
      </c>
      <c r="Q2" s="18" t="inlineStr">
        <is>
          <t>Primary Chinese text used for exact original wording.</t>
        </is>
      </c>
    </row>
    <row r="3">
      <c r="A3" s="18" t="inlineStr">
        <is>
          <t>SRC-CTEXT-LAOZI</t>
        </is>
      </c>
      <c r="B3" s="18" t="inlineStr">
        <is>
          <t>Laozi / Chinese Text Project</t>
        </is>
      </c>
      <c r="C3" s="18" t="inlineStr">
        <is>
          <t>China</t>
        </is>
      </c>
      <c r="D3" s="18" t="inlineStr">
        <is>
          <t>Dao De Jing</t>
        </is>
      </c>
      <c r="E3" s="18" t="inlineStr">
        <is>
          <t>Institutional source</t>
        </is>
      </c>
      <c r="F3" s="18" t="inlineStr">
        <is>
          <t>Classical Chinese / English</t>
        </is>
      </c>
      <c r="G3" s="18" t="inlineStr">
        <is>
          <t>Digital scholarly corpus</t>
        </is>
      </c>
      <c r="H3" s="18" t="inlineStr">
        <is>
          <t>https://ctext.org/dao-de-jing/zh</t>
        </is>
      </c>
      <c r="I3" s="18" t="inlineStr">
        <is>
          <t>https://zh.wikisource.org/zh-hans/%E9%81%93%E5%BE%B7%E7%B6%93_(%E7%8E%8B%E5%BC%BC%E6%9C%AC)</t>
        </is>
      </c>
      <c r="J3" s="18" t="inlineStr">
        <is>
          <t>Tier 1 - Primary/Institutional</t>
        </is>
      </c>
      <c r="K3" s="18" t="inlineStr">
        <is>
          <t>Yes</t>
        </is>
      </c>
      <c r="L3" s="18" t="inlineStr">
        <is>
          <t>Cross-check source.</t>
        </is>
      </c>
      <c r="M3" s="18" t="inlineStr">
        <is>
          <t>Day 1 cross-check</t>
        </is>
      </c>
      <c r="N3" s="18" t="str"/>
      <c r="O3" s="18" t="inlineStr">
        <is>
          <t>principle.laozi.*</t>
        </is>
      </c>
      <c r="P3" s="18" t="n">
        <v>1</v>
      </c>
      <c r="Q3" s="18" t="inlineStr">
        <is>
          <t>Chinese text + Legge translation cross-check.</t>
        </is>
      </c>
    </row>
    <row r="4">
      <c r="A4" s="18" t="inlineStr">
        <is>
          <t>SRC-LEGGE-1891</t>
        </is>
      </c>
      <c r="B4" s="18" t="inlineStr">
        <is>
          <t>Laozi; trans. James Legge</t>
        </is>
      </c>
      <c r="C4" s="18" t="inlineStr">
        <is>
          <t>UK / China</t>
        </is>
      </c>
      <c r="D4" s="18" t="inlineStr">
        <is>
          <t>The Tao Teh King, or the Tao and its Characteristics</t>
        </is>
      </c>
      <c r="E4" s="18" t="inlineStr">
        <is>
          <t>Book</t>
        </is>
      </c>
      <c r="F4" s="18" t="inlineStr">
        <is>
          <t>English</t>
        </is>
      </c>
      <c r="G4" s="18" t="inlineStr">
        <is>
          <t>1891</t>
        </is>
      </c>
      <c r="H4" s="18" t="inlineStr">
        <is>
          <t>https://www.gutenberg.org/ebooks/216</t>
        </is>
      </c>
      <c r="I4" s="18" t="inlineStr">
        <is>
          <t>https://ctext.org/dao-de-jing/zh</t>
        </is>
      </c>
      <c r="J4" s="18" t="inlineStr">
        <is>
          <t>Tier 2 - Scholarly/Authoritative</t>
        </is>
      </c>
      <c r="K4" s="18" t="inlineStr">
        <is>
          <t>Yes</t>
        </is>
      </c>
      <c r="L4" s="18" t="inlineStr">
        <is>
          <t>Project Gutenberg marks this edition public domain in the USA.</t>
        </is>
      </c>
      <c r="M4" s="18" t="inlineStr">
        <is>
          <t>Translation comparison</t>
        </is>
      </c>
      <c r="N4" s="18" t="str"/>
      <c r="O4" s="18" t="inlineStr">
        <is>
          <t>principle.laozi.*</t>
        </is>
      </c>
      <c r="P4" s="18" t="n">
        <v>1</v>
      </c>
      <c r="Q4" s="18" t="inlineStr">
        <is>
          <t>Public-domain English comparison; not used as Vietnamese text.</t>
        </is>
      </c>
    </row>
    <row r="5">
      <c r="A5" s="18" t="n"/>
      <c r="B5" s="18" t="n"/>
      <c r="C5" s="18" t="n"/>
      <c r="D5" s="18" t="n"/>
      <c r="E5" s="18" t="n"/>
      <c r="F5" s="18" t="n"/>
      <c r="G5" s="18" t="n"/>
      <c r="H5" s="18" t="n"/>
      <c r="I5" s="18" t="n"/>
      <c r="J5" s="18" t="n"/>
      <c r="K5" s="18" t="n"/>
      <c r="L5" s="18" t="n"/>
      <c r="M5" s="18" t="n"/>
      <c r="N5" s="18" t="n"/>
      <c r="O5" s="18" t="n"/>
      <c r="P5" s="18" t="n"/>
      <c r="Q5" s="18" t="n"/>
    </row>
    <row r="6">
      <c r="A6" s="18" t="n"/>
      <c r="B6" s="18" t="n"/>
      <c r="C6" s="18" t="n"/>
      <c r="D6" s="18" t="n"/>
      <c r="E6" s="18" t="n"/>
      <c r="F6" s="18" t="n"/>
      <c r="G6" s="18" t="n"/>
      <c r="H6" s="18" t="n"/>
      <c r="I6" s="18" t="n"/>
      <c r="J6" s="18" t="n"/>
      <c r="K6" s="18" t="n"/>
      <c r="L6" s="18" t="n"/>
      <c r="M6" s="18" t="n"/>
      <c r="N6" s="18" t="n"/>
      <c r="O6" s="18" t="n"/>
      <c r="P6" s="18" t="n"/>
      <c r="Q6" s="18" t="n"/>
    </row>
    <row r="7">
      <c r="A7" s="18" t="n"/>
      <c r="B7" s="18" t="n"/>
      <c r="C7" s="18" t="n"/>
      <c r="D7" s="18" t="n"/>
      <c r="E7" s="18" t="n"/>
      <c r="F7" s="18" t="n"/>
      <c r="G7" s="18" t="n"/>
      <c r="H7" s="18" t="n"/>
      <c r="I7" s="18" t="n"/>
      <c r="J7" s="18" t="n"/>
      <c r="K7" s="18" t="n"/>
      <c r="L7" s="18" t="n"/>
      <c r="M7" s="18" t="n"/>
      <c r="N7" s="18" t="n"/>
      <c r="O7" s="18" t="n"/>
      <c r="P7" s="18" t="n"/>
      <c r="Q7" s="18" t="n"/>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1">
      <c r="A21" s="18" t="n"/>
      <c r="B21" s="18" t="n"/>
      <c r="C21" s="18" t="n"/>
      <c r="D21" s="18" t="n"/>
      <c r="E21" s="18" t="n"/>
      <c r="F21" s="18" t="n"/>
      <c r="G21" s="18" t="n"/>
      <c r="H21" s="18" t="n"/>
      <c r="I21" s="18" t="n"/>
      <c r="J21" s="18" t="n"/>
      <c r="K21" s="18" t="n"/>
      <c r="L21" s="18" t="n"/>
      <c r="M21" s="18" t="n"/>
      <c r="N21" s="18" t="n"/>
      <c r="O21" s="18" t="n"/>
      <c r="P21" s="18" t="n"/>
      <c r="Q21" s="18" t="n"/>
    </row>
    <row r="22">
      <c r="A22" s="18" t="n"/>
      <c r="B22" s="18" t="n"/>
      <c r="C22" s="18" t="n"/>
      <c r="D22" s="18" t="n"/>
      <c r="E22" s="18" t="n"/>
      <c r="F22" s="18" t="n"/>
      <c r="G22" s="18" t="n"/>
      <c r="H22" s="18" t="n"/>
      <c r="I22" s="18" t="n"/>
      <c r="J22" s="18" t="n"/>
      <c r="K22" s="18" t="n"/>
      <c r="L22" s="18" t="n"/>
      <c r="M22" s="18" t="n"/>
      <c r="N22" s="18" t="n"/>
      <c r="O22" s="18" t="n"/>
      <c r="P22" s="18" t="n"/>
      <c r="Q22" s="18" t="n"/>
    </row>
    <row r="23">
      <c r="A23" s="18" t="n"/>
      <c r="B23" s="18" t="n"/>
      <c r="C23" s="18" t="n"/>
      <c r="D23" s="18" t="n"/>
      <c r="E23" s="18" t="n"/>
      <c r="F23" s="18" t="n"/>
      <c r="G23" s="18" t="n"/>
      <c r="H23" s="18" t="n"/>
      <c r="I23" s="18" t="n"/>
      <c r="J23" s="18" t="n"/>
      <c r="K23" s="18" t="n"/>
      <c r="L23" s="18" t="n"/>
      <c r="M23" s="18" t="n"/>
      <c r="N23" s="18" t="n"/>
      <c r="O23" s="18" t="n"/>
      <c r="P23" s="18" t="n"/>
      <c r="Q23" s="18" t="n"/>
    </row>
    <row r="24">
      <c r="A24" s="18" t="n"/>
      <c r="B24" s="18" t="n"/>
      <c r="C24" s="18" t="n"/>
      <c r="D24" s="18" t="n"/>
      <c r="E24" s="18" t="n"/>
      <c r="F24" s="18" t="n"/>
      <c r="G24" s="18" t="n"/>
      <c r="H24" s="18" t="n"/>
      <c r="I24" s="18" t="n"/>
      <c r="J24" s="18" t="n"/>
      <c r="K24" s="18" t="n"/>
      <c r="L24" s="18" t="n"/>
      <c r="M24" s="18" t="n"/>
      <c r="N24" s="18" t="n"/>
      <c r="O24" s="18" t="n"/>
      <c r="P24" s="18" t="n"/>
      <c r="Q24" s="18" t="n"/>
    </row>
    <row r="25">
      <c r="A25" s="18" t="n"/>
      <c r="B25" s="18" t="n"/>
      <c r="C25" s="18" t="n"/>
      <c r="D25" s="18" t="n"/>
      <c r="E25" s="18" t="n"/>
      <c r="F25" s="18" t="n"/>
      <c r="G25" s="18" t="n"/>
      <c r="H25" s="18" t="n"/>
      <c r="I25" s="18" t="n"/>
      <c r="J25" s="18" t="n"/>
      <c r="K25" s="18" t="n"/>
      <c r="L25" s="18" t="n"/>
      <c r="M25" s="18" t="n"/>
      <c r="N25" s="18" t="n"/>
      <c r="O25" s="18" t="n"/>
      <c r="P25" s="18" t="n"/>
      <c r="Q25" s="18" t="n"/>
    </row>
    <row r="26">
      <c r="A26" s="18" t="n"/>
      <c r="B26" s="18" t="n"/>
      <c r="C26" s="18" t="n"/>
      <c r="D26" s="18" t="n"/>
      <c r="E26" s="18" t="n"/>
      <c r="F26" s="18" t="n"/>
      <c r="G26" s="18" t="n"/>
      <c r="H26" s="18" t="n"/>
      <c r="I26" s="18" t="n"/>
      <c r="J26" s="18" t="n"/>
      <c r="K26" s="18" t="n"/>
      <c r="L26" s="18" t="n"/>
      <c r="M26" s="18" t="n"/>
      <c r="N26" s="18" t="n"/>
      <c r="O26" s="18" t="n"/>
      <c r="P26" s="18" t="n"/>
      <c r="Q26" s="18" t="n"/>
    </row>
    <row r="27">
      <c r="A27" s="18" t="n"/>
      <c r="B27" s="18" t="n"/>
      <c r="C27" s="18" t="n"/>
      <c r="D27" s="18" t="n"/>
      <c r="E27" s="18" t="n"/>
      <c r="F27" s="18" t="n"/>
      <c r="G27" s="18" t="n"/>
      <c r="H27" s="18" t="n"/>
      <c r="I27" s="18" t="n"/>
      <c r="J27" s="18" t="n"/>
      <c r="K27" s="18" t="n"/>
      <c r="L27" s="18" t="n"/>
      <c r="M27" s="18" t="n"/>
      <c r="N27" s="18" t="n"/>
      <c r="O27" s="18" t="n"/>
      <c r="P27" s="18" t="n"/>
      <c r="Q27" s="18" t="n"/>
    </row>
    <row r="28">
      <c r="A28" s="18" t="n"/>
      <c r="B28" s="18" t="n"/>
      <c r="C28" s="18" t="n"/>
      <c r="D28" s="18" t="n"/>
      <c r="E28" s="18" t="n"/>
      <c r="F28" s="18" t="n"/>
      <c r="G28" s="18" t="n"/>
      <c r="H28" s="18" t="n"/>
      <c r="I28" s="18" t="n"/>
      <c r="J28" s="18" t="n"/>
      <c r="K28" s="18" t="n"/>
      <c r="L28" s="18" t="n"/>
      <c r="M28" s="18" t="n"/>
      <c r="N28" s="18" t="n"/>
      <c r="O28" s="18" t="n"/>
      <c r="P28" s="18" t="n"/>
      <c r="Q28" s="18" t="n"/>
    </row>
    <row r="29">
      <c r="A29" s="18" t="n"/>
      <c r="B29" s="18" t="n"/>
      <c r="C29" s="18" t="n"/>
      <c r="D29" s="18" t="n"/>
      <c r="E29" s="18" t="n"/>
      <c r="F29" s="18" t="n"/>
      <c r="G29" s="18" t="n"/>
      <c r="H29" s="18" t="n"/>
      <c r="I29" s="18" t="n"/>
      <c r="J29" s="18" t="n"/>
      <c r="K29" s="18" t="n"/>
      <c r="L29" s="18" t="n"/>
      <c r="M29" s="18" t="n"/>
      <c r="N29" s="18" t="n"/>
      <c r="O29" s="18" t="n"/>
      <c r="P29" s="18" t="n"/>
      <c r="Q29" s="18" t="n"/>
    </row>
    <row r="30">
      <c r="A30" s="18" t="n"/>
      <c r="B30" s="18" t="n"/>
      <c r="C30" s="18" t="n"/>
      <c r="D30" s="18" t="n"/>
      <c r="E30" s="18" t="n"/>
      <c r="F30" s="18" t="n"/>
      <c r="G30" s="18" t="n"/>
      <c r="H30" s="18" t="n"/>
      <c r="I30" s="18" t="n"/>
      <c r="J30" s="18" t="n"/>
      <c r="K30" s="18" t="n"/>
      <c r="L30" s="18" t="n"/>
      <c r="M30" s="18" t="n"/>
      <c r="N30" s="18" t="n"/>
      <c r="O30" s="18" t="n"/>
      <c r="P30" s="18" t="n"/>
      <c r="Q30" s="18" t="n"/>
    </row>
    <row r="31">
      <c r="A31" s="18" t="n"/>
      <c r="B31" s="18" t="n"/>
      <c r="C31" s="18" t="n"/>
      <c r="D31" s="18" t="n"/>
      <c r="E31" s="18" t="n"/>
      <c r="F31" s="18" t="n"/>
      <c r="G31" s="18" t="n"/>
      <c r="H31" s="18" t="n"/>
      <c r="I31" s="18" t="n"/>
      <c r="J31" s="18" t="n"/>
      <c r="K31" s="18" t="n"/>
      <c r="L31" s="18" t="n"/>
      <c r="M31" s="18" t="n"/>
      <c r="N31" s="18" t="n"/>
      <c r="O31" s="18" t="n"/>
      <c r="P31" s="18" t="n"/>
      <c r="Q31" s="18" t="n"/>
    </row>
    <row r="32">
      <c r="A32" s="18" t="n"/>
      <c r="B32" s="18" t="n"/>
      <c r="C32" s="18" t="n"/>
      <c r="D32" s="18" t="n"/>
      <c r="E32" s="18" t="n"/>
      <c r="F32" s="18" t="n"/>
      <c r="G32" s="18" t="n"/>
      <c r="H32" s="18" t="n"/>
      <c r="I32" s="18" t="n"/>
      <c r="J32" s="18" t="n"/>
      <c r="K32" s="18" t="n"/>
      <c r="L32" s="18" t="n"/>
      <c r="M32" s="18" t="n"/>
      <c r="N32" s="18" t="n"/>
      <c r="O32" s="18" t="n"/>
      <c r="P32" s="18" t="n"/>
      <c r="Q32" s="18" t="n"/>
    </row>
    <row r="33">
      <c r="A33" s="18" t="n"/>
      <c r="B33" s="18" t="n"/>
      <c r="C33" s="18" t="n"/>
      <c r="D33" s="18" t="n"/>
      <c r="E33" s="18" t="n"/>
      <c r="F33" s="18" t="n"/>
      <c r="G33" s="18" t="n"/>
      <c r="H33" s="18" t="n"/>
      <c r="I33" s="18" t="n"/>
      <c r="J33" s="18" t="n"/>
      <c r="K33" s="18" t="n"/>
      <c r="L33" s="18" t="n"/>
      <c r="M33" s="18" t="n"/>
      <c r="N33" s="18" t="n"/>
      <c r="O33" s="18" t="n"/>
      <c r="P33" s="18" t="n"/>
      <c r="Q33" s="18" t="n"/>
    </row>
    <row r="34">
      <c r="A34" s="18" t="n"/>
      <c r="B34" s="18" t="n"/>
      <c r="C34" s="18" t="n"/>
      <c r="D34" s="18" t="n"/>
      <c r="E34" s="18" t="n"/>
      <c r="F34" s="18" t="n"/>
      <c r="G34" s="18" t="n"/>
      <c r="H34" s="18" t="n"/>
      <c r="I34" s="18" t="n"/>
      <c r="J34" s="18" t="n"/>
      <c r="K34" s="18" t="n"/>
      <c r="L34" s="18" t="n"/>
      <c r="M34" s="18" t="n"/>
      <c r="N34" s="18" t="n"/>
      <c r="O34" s="18" t="n"/>
      <c r="P34" s="18" t="n"/>
      <c r="Q34" s="18" t="n"/>
    </row>
    <row r="35">
      <c r="A35" s="18" t="n"/>
      <c r="B35" s="18" t="n"/>
      <c r="C35" s="18" t="n"/>
      <c r="D35" s="18" t="n"/>
      <c r="E35" s="18" t="n"/>
      <c r="F35" s="18" t="n"/>
      <c r="G35" s="18" t="n"/>
      <c r="H35" s="18" t="n"/>
      <c r="I35" s="18" t="n"/>
      <c r="J35" s="18" t="n"/>
      <c r="K35" s="18" t="n"/>
      <c r="L35" s="18" t="n"/>
      <c r="M35" s="18" t="n"/>
      <c r="N35" s="18" t="n"/>
      <c r="O35" s="18" t="n"/>
      <c r="P35" s="18" t="n"/>
      <c r="Q35" s="18" t="n"/>
    </row>
    <row r="36">
      <c r="A36" s="18" t="n"/>
      <c r="B36" s="18" t="n"/>
      <c r="C36" s="18" t="n"/>
      <c r="D36" s="18" t="n"/>
      <c r="E36" s="18" t="n"/>
      <c r="F36" s="18" t="n"/>
      <c r="G36" s="18" t="n"/>
      <c r="H36" s="18" t="n"/>
      <c r="I36" s="18" t="n"/>
      <c r="J36" s="18" t="n"/>
      <c r="K36" s="18" t="n"/>
      <c r="L36" s="18" t="n"/>
      <c r="M36" s="18" t="n"/>
      <c r="N36" s="18" t="n"/>
      <c r="O36" s="18" t="n"/>
      <c r="P36" s="18" t="n"/>
      <c r="Q36" s="18" t="n"/>
    </row>
    <row r="37">
      <c r="A37" s="18" t="n"/>
      <c r="B37" s="18" t="n"/>
      <c r="C37" s="18" t="n"/>
      <c r="D37" s="18" t="n"/>
      <c r="E37" s="18" t="n"/>
      <c r="F37" s="18" t="n"/>
      <c r="G37" s="18" t="n"/>
      <c r="H37" s="18" t="n"/>
      <c r="I37" s="18" t="n"/>
      <c r="J37" s="18" t="n"/>
      <c r="K37" s="18" t="n"/>
      <c r="L37" s="18" t="n"/>
      <c r="M37" s="18" t="n"/>
      <c r="N37" s="18" t="n"/>
      <c r="O37" s="18" t="n"/>
      <c r="P37" s="18" t="n"/>
      <c r="Q37" s="18" t="n"/>
    </row>
    <row r="38">
      <c r="A38" s="18" t="n"/>
      <c r="B38" s="18" t="n"/>
      <c r="C38" s="18" t="n"/>
      <c r="D38" s="18" t="n"/>
      <c r="E38" s="18" t="n"/>
      <c r="F38" s="18" t="n"/>
      <c r="G38" s="18" t="n"/>
      <c r="H38" s="18" t="n"/>
      <c r="I38" s="18" t="n"/>
      <c r="J38" s="18" t="n"/>
      <c r="K38" s="18" t="n"/>
      <c r="L38" s="18" t="n"/>
      <c r="M38" s="18" t="n"/>
      <c r="N38" s="18" t="n"/>
      <c r="O38" s="18" t="n"/>
      <c r="P38" s="18" t="n"/>
      <c r="Q38" s="18" t="n"/>
    </row>
    <row r="39">
      <c r="A39" s="18" t="n"/>
      <c r="B39" s="18" t="n"/>
      <c r="C39" s="18" t="n"/>
      <c r="D39" s="18" t="n"/>
      <c r="E39" s="18" t="n"/>
      <c r="F39" s="18" t="n"/>
      <c r="G39" s="18" t="n"/>
      <c r="H39" s="18" t="n"/>
      <c r="I39" s="18" t="n"/>
      <c r="J39" s="18" t="n"/>
      <c r="K39" s="18" t="n"/>
      <c r="L39" s="18" t="n"/>
      <c r="M39" s="18" t="n"/>
      <c r="N39" s="18" t="n"/>
      <c r="O39" s="18" t="n"/>
      <c r="P39" s="18" t="n"/>
      <c r="Q39" s="18" t="n"/>
    </row>
    <row r="40">
      <c r="A40" s="18" t="n"/>
      <c r="B40" s="18" t="n"/>
      <c r="C40" s="18" t="n"/>
      <c r="D40" s="18" t="n"/>
      <c r="E40" s="18" t="n"/>
      <c r="F40" s="18" t="n"/>
      <c r="G40" s="18" t="n"/>
      <c r="H40" s="18" t="n"/>
      <c r="I40" s="18" t="n"/>
      <c r="J40" s="18" t="n"/>
      <c r="K40" s="18" t="n"/>
      <c r="L40" s="18" t="n"/>
      <c r="M40" s="18" t="n"/>
      <c r="N40" s="18" t="n"/>
      <c r="O40" s="18" t="n"/>
      <c r="P40" s="18" t="n"/>
      <c r="Q40" s="18" t="n"/>
    </row>
    <row r="41">
      <c r="A41" s="18" t="n"/>
      <c r="B41" s="18" t="n"/>
      <c r="C41" s="18" t="n"/>
      <c r="D41" s="18" t="n"/>
      <c r="E41" s="18" t="n"/>
      <c r="F41" s="18" t="n"/>
      <c r="G41" s="18" t="n"/>
      <c r="H41" s="18" t="n"/>
      <c r="I41" s="18" t="n"/>
      <c r="J41" s="18" t="n"/>
      <c r="K41" s="18" t="n"/>
      <c r="L41" s="18" t="n"/>
      <c r="M41" s="18" t="n"/>
      <c r="N41" s="18" t="n"/>
      <c r="O41" s="18" t="n"/>
      <c r="P41" s="18" t="n"/>
      <c r="Q41" s="18" t="n"/>
    </row>
    <row r="42">
      <c r="A42" s="18" t="n"/>
      <c r="B42" s="18" t="n"/>
      <c r="C42" s="18" t="n"/>
      <c r="D42" s="18" t="n"/>
      <c r="E42" s="18" t="n"/>
      <c r="F42" s="18" t="n"/>
      <c r="G42" s="18" t="n"/>
      <c r="H42" s="18" t="n"/>
      <c r="I42" s="18" t="n"/>
      <c r="J42" s="18" t="n"/>
      <c r="K42" s="18" t="n"/>
      <c r="L42" s="18" t="n"/>
      <c r="M42" s="18" t="n"/>
      <c r="N42" s="18" t="n"/>
      <c r="O42" s="18" t="n"/>
      <c r="P42" s="18" t="n"/>
      <c r="Q42" s="18" t="n"/>
    </row>
    <row r="43">
      <c r="A43" s="18" t="n"/>
      <c r="B43" s="18" t="n"/>
      <c r="C43" s="18" t="n"/>
      <c r="D43" s="18" t="n"/>
      <c r="E43" s="18" t="n"/>
      <c r="F43" s="18" t="n"/>
      <c r="G43" s="18" t="n"/>
      <c r="H43" s="18" t="n"/>
      <c r="I43" s="18" t="n"/>
      <c r="J43" s="18" t="n"/>
      <c r="K43" s="18" t="n"/>
      <c r="L43" s="18" t="n"/>
      <c r="M43" s="18" t="n"/>
      <c r="N43" s="18" t="n"/>
      <c r="O43" s="18" t="n"/>
      <c r="P43" s="18" t="n"/>
      <c r="Q43" s="18" t="n"/>
    </row>
    <row r="44">
      <c r="A44" s="18" t="n"/>
      <c r="B44" s="18" t="n"/>
      <c r="C44" s="18" t="n"/>
      <c r="D44" s="18" t="n"/>
      <c r="E44" s="18" t="n"/>
      <c r="F44" s="18" t="n"/>
      <c r="G44" s="18" t="n"/>
      <c r="H44" s="18" t="n"/>
      <c r="I44" s="18" t="n"/>
      <c r="J44" s="18" t="n"/>
      <c r="K44" s="18" t="n"/>
      <c r="L44" s="18" t="n"/>
      <c r="M44" s="18" t="n"/>
      <c r="N44" s="18" t="n"/>
      <c r="O44" s="18" t="n"/>
      <c r="P44" s="18" t="n"/>
      <c r="Q44" s="18" t="n"/>
    </row>
    <row r="45">
      <c r="A45" s="18" t="n"/>
      <c r="B45" s="18" t="n"/>
      <c r="C45" s="18" t="n"/>
      <c r="D45" s="18" t="n"/>
      <c r="E45" s="18" t="n"/>
      <c r="F45" s="18" t="n"/>
      <c r="G45" s="18" t="n"/>
      <c r="H45" s="18" t="n"/>
      <c r="I45" s="18" t="n"/>
      <c r="J45" s="18" t="n"/>
      <c r="K45" s="18" t="n"/>
      <c r="L45" s="18" t="n"/>
      <c r="M45" s="18" t="n"/>
      <c r="N45" s="18" t="n"/>
      <c r="O45" s="18" t="n"/>
      <c r="P45" s="18" t="n"/>
      <c r="Q45" s="18" t="n"/>
    </row>
    <row r="46">
      <c r="A46" s="18" t="n"/>
      <c r="B46" s="18" t="n"/>
      <c r="C46" s="18" t="n"/>
      <c r="D46" s="18" t="n"/>
      <c r="E46" s="18" t="n"/>
      <c r="F46" s="18" t="n"/>
      <c r="G46" s="18" t="n"/>
      <c r="H46" s="18" t="n"/>
      <c r="I46" s="18" t="n"/>
      <c r="J46" s="18" t="n"/>
      <c r="K46" s="18" t="n"/>
      <c r="L46" s="18" t="n"/>
      <c r="M46" s="18" t="n"/>
      <c r="N46" s="18" t="n"/>
      <c r="O46" s="18" t="n"/>
      <c r="P46" s="18" t="n"/>
      <c r="Q46" s="18" t="n"/>
    </row>
    <row r="47">
      <c r="A47" s="18" t="n"/>
      <c r="B47" s="18" t="n"/>
      <c r="C47" s="18" t="n"/>
      <c r="D47" s="18" t="n"/>
      <c r="E47" s="18" t="n"/>
      <c r="F47" s="18" t="n"/>
      <c r="G47" s="18" t="n"/>
      <c r="H47" s="18" t="n"/>
      <c r="I47" s="18" t="n"/>
      <c r="J47" s="18" t="n"/>
      <c r="K47" s="18" t="n"/>
      <c r="L47" s="18" t="n"/>
      <c r="M47" s="18" t="n"/>
      <c r="N47" s="18" t="n"/>
      <c r="O47" s="18" t="n"/>
      <c r="P47" s="18" t="n"/>
      <c r="Q47" s="18" t="n"/>
    </row>
    <row r="48">
      <c r="A48" s="18" t="n"/>
      <c r="B48" s="18" t="n"/>
      <c r="C48" s="18" t="n"/>
      <c r="D48" s="18" t="n"/>
      <c r="E48" s="18" t="n"/>
      <c r="F48" s="18" t="n"/>
      <c r="G48" s="18" t="n"/>
      <c r="H48" s="18" t="n"/>
      <c r="I48" s="18" t="n"/>
      <c r="J48" s="18" t="n"/>
      <c r="K48" s="18" t="n"/>
      <c r="L48" s="18" t="n"/>
      <c r="M48" s="18" t="n"/>
      <c r="N48" s="18" t="n"/>
      <c r="O48" s="18" t="n"/>
      <c r="P48" s="18" t="n"/>
      <c r="Q48" s="18" t="n"/>
    </row>
    <row r="49">
      <c r="A49" s="18" t="n"/>
      <c r="B49" s="18" t="n"/>
      <c r="C49" s="18" t="n"/>
      <c r="D49" s="18" t="n"/>
      <c r="E49" s="18" t="n"/>
      <c r="F49" s="18" t="n"/>
      <c r="G49" s="18" t="n"/>
      <c r="H49" s="18" t="n"/>
      <c r="I49" s="18" t="n"/>
      <c r="J49" s="18" t="n"/>
      <c r="K49" s="18" t="n"/>
      <c r="L49" s="18" t="n"/>
      <c r="M49" s="18" t="n"/>
      <c r="N49" s="18" t="n"/>
      <c r="O49" s="18" t="n"/>
      <c r="P49" s="18" t="n"/>
      <c r="Q49" s="18" t="n"/>
    </row>
    <row r="50">
      <c r="A50" s="18" t="n"/>
      <c r="B50" s="18" t="n"/>
      <c r="C50" s="18" t="n"/>
      <c r="D50" s="18" t="n"/>
      <c r="E50" s="18" t="n"/>
      <c r="F50" s="18" t="n"/>
      <c r="G50" s="18" t="n"/>
      <c r="H50" s="18" t="n"/>
      <c r="I50" s="18" t="n"/>
      <c r="J50" s="18" t="n"/>
      <c r="K50" s="18" t="n"/>
      <c r="L50" s="18" t="n"/>
      <c r="M50" s="18" t="n"/>
      <c r="N50" s="18" t="n"/>
      <c r="O50" s="18" t="n"/>
      <c r="P50" s="18" t="n"/>
      <c r="Q50" s="18" t="n"/>
    </row>
    <row r="51">
      <c r="A51" s="18" t="n"/>
      <c r="B51" s="18" t="n"/>
      <c r="C51" s="18" t="n"/>
      <c r="D51" s="18" t="n"/>
      <c r="E51" s="18" t="n"/>
      <c r="F51" s="18" t="n"/>
      <c r="G51" s="18" t="n"/>
      <c r="H51" s="18" t="n"/>
      <c r="I51" s="18" t="n"/>
      <c r="J51" s="18" t="n"/>
      <c r="K51" s="18" t="n"/>
      <c r="L51" s="18" t="n"/>
      <c r="M51" s="18" t="n"/>
      <c r="N51" s="18" t="n"/>
      <c r="O51" s="18" t="n"/>
      <c r="P51" s="18" t="n"/>
      <c r="Q51" s="18" t="n"/>
    </row>
    <row r="52">
      <c r="A52" s="18" t="n"/>
      <c r="B52" s="18" t="n"/>
      <c r="C52" s="18" t="n"/>
      <c r="D52" s="18" t="n"/>
      <c r="E52" s="18" t="n"/>
      <c r="F52" s="18" t="n"/>
      <c r="G52" s="18" t="n"/>
      <c r="H52" s="18" t="n"/>
      <c r="I52" s="18" t="n"/>
      <c r="J52" s="18" t="n"/>
      <c r="K52" s="18" t="n"/>
      <c r="L52" s="18" t="n"/>
      <c r="M52" s="18" t="n"/>
      <c r="N52" s="18" t="n"/>
      <c r="O52" s="18" t="n"/>
      <c r="P52" s="18" t="n"/>
      <c r="Q52" s="18" t="n"/>
    </row>
    <row r="53">
      <c r="A53" s="18" t="n"/>
      <c r="B53" s="18" t="n"/>
      <c r="C53" s="18" t="n"/>
      <c r="D53" s="18" t="n"/>
      <c r="E53" s="18" t="n"/>
      <c r="F53" s="18" t="n"/>
      <c r="G53" s="18" t="n"/>
      <c r="H53" s="18" t="n"/>
      <c r="I53" s="18" t="n"/>
      <c r="J53" s="18" t="n"/>
      <c r="K53" s="18" t="n"/>
      <c r="L53" s="18" t="n"/>
      <c r="M53" s="18" t="n"/>
      <c r="N53" s="18" t="n"/>
      <c r="O53" s="18" t="n"/>
      <c r="P53" s="18" t="n"/>
      <c r="Q53" s="18" t="n"/>
    </row>
    <row r="54">
      <c r="A54" s="18" t="n"/>
      <c r="B54" s="18" t="n"/>
      <c r="C54" s="18" t="n"/>
      <c r="D54" s="18" t="n"/>
      <c r="E54" s="18" t="n"/>
      <c r="F54" s="18" t="n"/>
      <c r="G54" s="18" t="n"/>
      <c r="H54" s="18" t="n"/>
      <c r="I54" s="18" t="n"/>
      <c r="J54" s="18" t="n"/>
      <c r="K54" s="18" t="n"/>
      <c r="L54" s="18" t="n"/>
      <c r="M54" s="18" t="n"/>
      <c r="N54" s="18" t="n"/>
      <c r="O54" s="18" t="n"/>
      <c r="P54" s="18" t="n"/>
      <c r="Q54" s="18" t="n"/>
    </row>
    <row r="55">
      <c r="A55" s="18" t="n"/>
      <c r="B55" s="18" t="n"/>
      <c r="C55" s="18" t="n"/>
      <c r="D55" s="18" t="n"/>
      <c r="E55" s="18" t="n"/>
      <c r="F55" s="18" t="n"/>
      <c r="G55" s="18" t="n"/>
      <c r="H55" s="18" t="n"/>
      <c r="I55" s="18" t="n"/>
      <c r="J55" s="18" t="n"/>
      <c r="K55" s="18" t="n"/>
      <c r="L55" s="18" t="n"/>
      <c r="M55" s="18" t="n"/>
      <c r="N55" s="18" t="n"/>
      <c r="O55" s="18" t="n"/>
      <c r="P55" s="18" t="n"/>
      <c r="Q55" s="18" t="n"/>
    </row>
    <row r="56">
      <c r="A56" s="18" t="n"/>
      <c r="B56" s="18" t="n"/>
      <c r="C56" s="18" t="n"/>
      <c r="D56" s="18" t="n"/>
      <c r="E56" s="18" t="n"/>
      <c r="F56" s="18" t="n"/>
      <c r="G56" s="18" t="n"/>
      <c r="H56" s="18" t="n"/>
      <c r="I56" s="18" t="n"/>
      <c r="J56" s="18" t="n"/>
      <c r="K56" s="18" t="n"/>
      <c r="L56" s="18" t="n"/>
      <c r="M56" s="18" t="n"/>
      <c r="N56" s="18" t="n"/>
      <c r="O56" s="18" t="n"/>
      <c r="P56" s="18" t="n"/>
      <c r="Q56" s="18" t="n"/>
    </row>
    <row r="57">
      <c r="A57" s="18" t="n"/>
      <c r="B57" s="18" t="n"/>
      <c r="C57" s="18" t="n"/>
      <c r="D57" s="18" t="n"/>
      <c r="E57" s="18" t="n"/>
      <c r="F57" s="18" t="n"/>
      <c r="G57" s="18" t="n"/>
      <c r="H57" s="18" t="n"/>
      <c r="I57" s="18" t="n"/>
      <c r="J57" s="18" t="n"/>
      <c r="K57" s="18" t="n"/>
      <c r="L57" s="18" t="n"/>
      <c r="M57" s="18" t="n"/>
      <c r="N57" s="18" t="n"/>
      <c r="O57" s="18" t="n"/>
      <c r="P57" s="18" t="n"/>
      <c r="Q57" s="18" t="n"/>
    </row>
    <row r="58">
      <c r="A58" s="18" t="n"/>
      <c r="B58" s="18" t="n"/>
      <c r="C58" s="18" t="n"/>
      <c r="D58" s="18" t="n"/>
      <c r="E58" s="18" t="n"/>
      <c r="F58" s="18" t="n"/>
      <c r="G58" s="18" t="n"/>
      <c r="H58" s="18" t="n"/>
      <c r="I58" s="18" t="n"/>
      <c r="J58" s="18" t="n"/>
      <c r="K58" s="18" t="n"/>
      <c r="L58" s="18" t="n"/>
      <c r="M58" s="18" t="n"/>
      <c r="N58" s="18" t="n"/>
      <c r="O58" s="18" t="n"/>
      <c r="P58" s="18" t="n"/>
      <c r="Q58" s="18" t="n"/>
    </row>
    <row r="59">
      <c r="A59" s="18" t="n"/>
      <c r="B59" s="18" t="n"/>
      <c r="C59" s="18" t="n"/>
      <c r="D59" s="18" t="n"/>
      <c r="E59" s="18" t="n"/>
      <c r="F59" s="18" t="n"/>
      <c r="G59" s="18" t="n"/>
      <c r="H59" s="18" t="n"/>
      <c r="I59" s="18" t="n"/>
      <c r="J59" s="18" t="n"/>
      <c r="K59" s="18" t="n"/>
      <c r="L59" s="18" t="n"/>
      <c r="M59" s="18" t="n"/>
      <c r="N59" s="18" t="n"/>
      <c r="O59" s="18" t="n"/>
      <c r="P59" s="18" t="n"/>
      <c r="Q59" s="18" t="n"/>
    </row>
    <row r="60">
      <c r="A60" s="18" t="n"/>
      <c r="B60" s="18" t="n"/>
      <c r="C60" s="18" t="n"/>
      <c r="D60" s="18" t="n"/>
      <c r="E60" s="18" t="n"/>
      <c r="F60" s="18" t="n"/>
      <c r="G60" s="18" t="n"/>
      <c r="H60" s="18" t="n"/>
      <c r="I60" s="18" t="n"/>
      <c r="J60" s="18" t="n"/>
      <c r="K60" s="18" t="n"/>
      <c r="L60" s="18" t="n"/>
      <c r="M60" s="18" t="n"/>
      <c r="N60" s="18" t="n"/>
      <c r="O60" s="18" t="n"/>
      <c r="P60" s="18" t="n"/>
      <c r="Q60" s="18" t="n"/>
    </row>
    <row r="61">
      <c r="A61" s="18" t="n"/>
      <c r="B61" s="18" t="n"/>
      <c r="C61" s="18" t="n"/>
      <c r="D61" s="18" t="n"/>
      <c r="E61" s="18" t="n"/>
      <c r="F61" s="18" t="n"/>
      <c r="G61" s="18" t="n"/>
      <c r="H61" s="18" t="n"/>
      <c r="I61" s="18" t="n"/>
      <c r="J61" s="18" t="n"/>
      <c r="K61" s="18" t="n"/>
      <c r="L61" s="18" t="n"/>
      <c r="M61" s="18" t="n"/>
      <c r="N61" s="18" t="n"/>
      <c r="O61" s="18" t="n"/>
      <c r="P61" s="18" t="n"/>
      <c r="Q61" s="18" t="n"/>
    </row>
    <row r="62">
      <c r="A62" s="18" t="n"/>
      <c r="B62" s="18" t="n"/>
      <c r="C62" s="18" t="n"/>
      <c r="D62" s="18" t="n"/>
      <c r="E62" s="18" t="n"/>
      <c r="F62" s="18" t="n"/>
      <c r="G62" s="18" t="n"/>
      <c r="H62" s="18" t="n"/>
      <c r="I62" s="18" t="n"/>
      <c r="J62" s="18" t="n"/>
      <c r="K62" s="18" t="n"/>
      <c r="L62" s="18" t="n"/>
      <c r="M62" s="18" t="n"/>
      <c r="N62" s="18" t="n"/>
      <c r="O62" s="18" t="n"/>
      <c r="P62" s="18" t="n"/>
      <c r="Q62" s="18" t="n"/>
    </row>
    <row r="63">
      <c r="A63" s="18" t="n"/>
      <c r="B63" s="18" t="n"/>
      <c r="C63" s="18" t="n"/>
      <c r="D63" s="18" t="n"/>
      <c r="E63" s="18" t="n"/>
      <c r="F63" s="18" t="n"/>
      <c r="G63" s="18" t="n"/>
      <c r="H63" s="18" t="n"/>
      <c r="I63" s="18" t="n"/>
      <c r="J63" s="18" t="n"/>
      <c r="K63" s="18" t="n"/>
      <c r="L63" s="18" t="n"/>
      <c r="M63" s="18" t="n"/>
      <c r="N63" s="18" t="n"/>
      <c r="O63" s="18" t="n"/>
      <c r="P63" s="18" t="n"/>
      <c r="Q63" s="18" t="n"/>
    </row>
    <row r="64">
      <c r="A64" s="18" t="n"/>
      <c r="B64" s="18" t="n"/>
      <c r="C64" s="18" t="n"/>
      <c r="D64" s="18" t="n"/>
      <c r="E64" s="18" t="n"/>
      <c r="F64" s="18" t="n"/>
      <c r="G64" s="18" t="n"/>
      <c r="H64" s="18" t="n"/>
      <c r="I64" s="18" t="n"/>
      <c r="J64" s="18" t="n"/>
      <c r="K64" s="18" t="n"/>
      <c r="L64" s="18" t="n"/>
      <c r="M64" s="18" t="n"/>
      <c r="N64" s="18" t="n"/>
      <c r="O64" s="18" t="n"/>
      <c r="P64" s="18" t="n"/>
      <c r="Q64" s="18" t="n"/>
    </row>
    <row r="65">
      <c r="A65" s="18" t="n"/>
      <c r="B65" s="18" t="n"/>
      <c r="C65" s="18" t="n"/>
      <c r="D65" s="18" t="n"/>
      <c r="E65" s="18" t="n"/>
      <c r="F65" s="18" t="n"/>
      <c r="G65" s="18" t="n"/>
      <c r="H65" s="18" t="n"/>
      <c r="I65" s="18" t="n"/>
      <c r="J65" s="18" t="n"/>
      <c r="K65" s="18" t="n"/>
      <c r="L65" s="18" t="n"/>
      <c r="M65" s="18" t="n"/>
      <c r="N65" s="18" t="n"/>
      <c r="O65" s="18" t="n"/>
      <c r="P65" s="18" t="n"/>
      <c r="Q65" s="18" t="n"/>
    </row>
    <row r="66">
      <c r="A66" s="18" t="n"/>
      <c r="B66" s="18" t="n"/>
      <c r="C66" s="18" t="n"/>
      <c r="D66" s="18" t="n"/>
      <c r="E66" s="18" t="n"/>
      <c r="F66" s="18" t="n"/>
      <c r="G66" s="18" t="n"/>
      <c r="H66" s="18" t="n"/>
      <c r="I66" s="18" t="n"/>
      <c r="J66" s="18" t="n"/>
      <c r="K66" s="18" t="n"/>
      <c r="L66" s="18" t="n"/>
      <c r="M66" s="18" t="n"/>
      <c r="N66" s="18" t="n"/>
      <c r="O66" s="18" t="n"/>
      <c r="P66" s="18" t="n"/>
      <c r="Q66" s="18" t="n"/>
    </row>
    <row r="67">
      <c r="A67" s="18" t="n"/>
      <c r="B67" s="18" t="n"/>
      <c r="C67" s="18" t="n"/>
      <c r="D67" s="18" t="n"/>
      <c r="E67" s="18" t="n"/>
      <c r="F67" s="18" t="n"/>
      <c r="G67" s="18" t="n"/>
      <c r="H67" s="18" t="n"/>
      <c r="I67" s="18" t="n"/>
      <c r="J67" s="18" t="n"/>
      <c r="K67" s="18" t="n"/>
      <c r="L67" s="18" t="n"/>
      <c r="M67" s="18" t="n"/>
      <c r="N67" s="18" t="n"/>
      <c r="O67" s="18" t="n"/>
      <c r="P67" s="18" t="n"/>
      <c r="Q67" s="18" t="n"/>
    </row>
    <row r="68">
      <c r="A68" s="18" t="n"/>
      <c r="B68" s="18" t="n"/>
      <c r="C68" s="18" t="n"/>
      <c r="D68" s="18" t="n"/>
      <c r="E68" s="18" t="n"/>
      <c r="F68" s="18" t="n"/>
      <c r="G68" s="18" t="n"/>
      <c r="H68" s="18" t="n"/>
      <c r="I68" s="18" t="n"/>
      <c r="J68" s="18" t="n"/>
      <c r="K68" s="18" t="n"/>
      <c r="L68" s="18" t="n"/>
      <c r="M68" s="18" t="n"/>
      <c r="N68" s="18" t="n"/>
      <c r="O68" s="18" t="n"/>
      <c r="P68" s="18" t="n"/>
      <c r="Q68" s="18" t="n"/>
    </row>
    <row r="69">
      <c r="A69" s="18" t="n"/>
      <c r="B69" s="18" t="n"/>
      <c r="C69" s="18" t="n"/>
      <c r="D69" s="18" t="n"/>
      <c r="E69" s="18" t="n"/>
      <c r="F69" s="18" t="n"/>
      <c r="G69" s="18" t="n"/>
      <c r="H69" s="18" t="n"/>
      <c r="I69" s="18" t="n"/>
      <c r="J69" s="18" t="n"/>
      <c r="K69" s="18" t="n"/>
      <c r="L69" s="18" t="n"/>
      <c r="M69" s="18" t="n"/>
      <c r="N69" s="18" t="n"/>
      <c r="O69" s="18" t="n"/>
      <c r="P69" s="18" t="n"/>
      <c r="Q69" s="18" t="n"/>
    </row>
    <row r="70">
      <c r="A70" s="18" t="n"/>
      <c r="B70" s="18" t="n"/>
      <c r="C70" s="18" t="n"/>
      <c r="D70" s="18" t="n"/>
      <c r="E70" s="18" t="n"/>
      <c r="F70" s="18" t="n"/>
      <c r="G70" s="18" t="n"/>
      <c r="H70" s="18" t="n"/>
      <c r="I70" s="18" t="n"/>
      <c r="J70" s="18" t="n"/>
      <c r="K70" s="18" t="n"/>
      <c r="L70" s="18" t="n"/>
      <c r="M70" s="18" t="n"/>
      <c r="N70" s="18" t="n"/>
      <c r="O70" s="18" t="n"/>
      <c r="P70" s="18" t="n"/>
      <c r="Q70" s="18" t="n"/>
    </row>
    <row r="71">
      <c r="A71" s="18" t="n"/>
      <c r="B71" s="18" t="n"/>
      <c r="C71" s="18" t="n"/>
      <c r="D71" s="18" t="n"/>
      <c r="E71" s="18" t="n"/>
      <c r="F71" s="18" t="n"/>
      <c r="G71" s="18" t="n"/>
      <c r="H71" s="18" t="n"/>
      <c r="I71" s="18" t="n"/>
      <c r="J71" s="18" t="n"/>
      <c r="K71" s="18" t="n"/>
      <c r="L71" s="18" t="n"/>
      <c r="M71" s="18" t="n"/>
      <c r="N71" s="18" t="n"/>
      <c r="O71" s="18" t="n"/>
      <c r="P71" s="18" t="n"/>
      <c r="Q71" s="18" t="n"/>
    </row>
    <row r="72">
      <c r="A72" s="18" t="n"/>
      <c r="B72" s="18" t="n"/>
      <c r="C72" s="18" t="n"/>
      <c r="D72" s="18" t="n"/>
      <c r="E72" s="18" t="n"/>
      <c r="F72" s="18" t="n"/>
      <c r="G72" s="18" t="n"/>
      <c r="H72" s="18" t="n"/>
      <c r="I72" s="18" t="n"/>
      <c r="J72" s="18" t="n"/>
      <c r="K72" s="18" t="n"/>
      <c r="L72" s="18" t="n"/>
      <c r="M72" s="18" t="n"/>
      <c r="N72" s="18" t="n"/>
      <c r="O72" s="18" t="n"/>
      <c r="P72" s="18" t="n"/>
      <c r="Q72" s="18" t="n"/>
    </row>
    <row r="73">
      <c r="A73" s="18" t="n"/>
      <c r="B73" s="18" t="n"/>
      <c r="C73" s="18" t="n"/>
      <c r="D73" s="18" t="n"/>
      <c r="E73" s="18" t="n"/>
      <c r="F73" s="18" t="n"/>
      <c r="G73" s="18" t="n"/>
      <c r="H73" s="18" t="n"/>
      <c r="I73" s="18" t="n"/>
      <c r="J73" s="18" t="n"/>
      <c r="K73" s="18" t="n"/>
      <c r="L73" s="18" t="n"/>
      <c r="M73" s="18" t="n"/>
      <c r="N73" s="18" t="n"/>
      <c r="O73" s="18" t="n"/>
      <c r="P73" s="18" t="n"/>
      <c r="Q73" s="18" t="n"/>
    </row>
    <row r="74">
      <c r="A74" s="18" t="n"/>
      <c r="B74" s="18" t="n"/>
      <c r="C74" s="18" t="n"/>
      <c r="D74" s="18" t="n"/>
      <c r="E74" s="18" t="n"/>
      <c r="F74" s="18" t="n"/>
      <c r="G74" s="18" t="n"/>
      <c r="H74" s="18" t="n"/>
      <c r="I74" s="18" t="n"/>
      <c r="J74" s="18" t="n"/>
      <c r="K74" s="18" t="n"/>
      <c r="L74" s="18" t="n"/>
      <c r="M74" s="18" t="n"/>
      <c r="N74" s="18" t="n"/>
      <c r="O74" s="18" t="n"/>
      <c r="P74" s="18" t="n"/>
      <c r="Q74" s="18" t="n"/>
    </row>
    <row r="75">
      <c r="A75" s="18" t="n"/>
      <c r="B75" s="18" t="n"/>
      <c r="C75" s="18" t="n"/>
      <c r="D75" s="18" t="n"/>
      <c r="E75" s="18" t="n"/>
      <c r="F75" s="18" t="n"/>
      <c r="G75" s="18" t="n"/>
      <c r="H75" s="18" t="n"/>
      <c r="I75" s="18" t="n"/>
      <c r="J75" s="18" t="n"/>
      <c r="K75" s="18" t="n"/>
      <c r="L75" s="18" t="n"/>
      <c r="M75" s="18" t="n"/>
      <c r="N75" s="18" t="n"/>
      <c r="O75" s="18" t="n"/>
      <c r="P75" s="18" t="n"/>
      <c r="Q75" s="18" t="n"/>
    </row>
    <row r="76">
      <c r="A76" s="18" t="n"/>
      <c r="B76" s="18" t="n"/>
      <c r="C76" s="18" t="n"/>
      <c r="D76" s="18" t="n"/>
      <c r="E76" s="18" t="n"/>
      <c r="F76" s="18" t="n"/>
      <c r="G76" s="18" t="n"/>
      <c r="H76" s="18" t="n"/>
      <c r="I76" s="18" t="n"/>
      <c r="J76" s="18" t="n"/>
      <c r="K76" s="18" t="n"/>
      <c r="L76" s="18" t="n"/>
      <c r="M76" s="18" t="n"/>
      <c r="N76" s="18" t="n"/>
      <c r="O76" s="18" t="n"/>
      <c r="P76" s="18" t="n"/>
      <c r="Q76" s="18" t="n"/>
    </row>
    <row r="77">
      <c r="A77" s="18" t="n"/>
      <c r="B77" s="18" t="n"/>
      <c r="C77" s="18" t="n"/>
      <c r="D77" s="18" t="n"/>
      <c r="E77" s="18" t="n"/>
      <c r="F77" s="18" t="n"/>
      <c r="G77" s="18" t="n"/>
      <c r="H77" s="18" t="n"/>
      <c r="I77" s="18" t="n"/>
      <c r="J77" s="18" t="n"/>
      <c r="K77" s="18" t="n"/>
      <c r="L77" s="18" t="n"/>
      <c r="M77" s="18" t="n"/>
      <c r="N77" s="18" t="n"/>
      <c r="O77" s="18" t="n"/>
      <c r="P77" s="18" t="n"/>
      <c r="Q77" s="18" t="n"/>
    </row>
    <row r="78">
      <c r="A78" s="18" t="n"/>
      <c r="B78" s="18" t="n"/>
      <c r="C78" s="18" t="n"/>
      <c r="D78" s="18" t="n"/>
      <c r="E78" s="18" t="n"/>
      <c r="F78" s="18" t="n"/>
      <c r="G78" s="18" t="n"/>
      <c r="H78" s="18" t="n"/>
      <c r="I78" s="18" t="n"/>
      <c r="J78" s="18" t="n"/>
      <c r="K78" s="18" t="n"/>
      <c r="L78" s="18" t="n"/>
      <c r="M78" s="18" t="n"/>
      <c r="N78" s="18" t="n"/>
      <c r="O78" s="18" t="n"/>
      <c r="P78" s="18" t="n"/>
      <c r="Q78" s="18" t="n"/>
    </row>
    <row r="79">
      <c r="A79" s="18" t="n"/>
      <c r="B79" s="18" t="n"/>
      <c r="C79" s="18" t="n"/>
      <c r="D79" s="18" t="n"/>
      <c r="E79" s="18" t="n"/>
      <c r="F79" s="18" t="n"/>
      <c r="G79" s="18" t="n"/>
      <c r="H79" s="18" t="n"/>
      <c r="I79" s="18" t="n"/>
      <c r="J79" s="18" t="n"/>
      <c r="K79" s="18" t="n"/>
      <c r="L79" s="18" t="n"/>
      <c r="M79" s="18" t="n"/>
      <c r="N79" s="18" t="n"/>
      <c r="O79" s="18" t="n"/>
      <c r="P79" s="18" t="n"/>
      <c r="Q79" s="18" t="n"/>
    </row>
    <row r="80">
      <c r="A80" s="18" t="n"/>
      <c r="B80" s="18" t="n"/>
      <c r="C80" s="18" t="n"/>
      <c r="D80" s="18" t="n"/>
      <c r="E80" s="18" t="n"/>
      <c r="F80" s="18" t="n"/>
      <c r="G80" s="18" t="n"/>
      <c r="H80" s="18" t="n"/>
      <c r="I80" s="18" t="n"/>
      <c r="J80" s="18" t="n"/>
      <c r="K80" s="18" t="n"/>
      <c r="L80" s="18" t="n"/>
      <c r="M80" s="18" t="n"/>
      <c r="N80" s="18" t="n"/>
      <c r="O80" s="18" t="n"/>
      <c r="P80" s="18" t="n"/>
      <c r="Q80" s="18" t="n"/>
    </row>
    <row r="81">
      <c r="A81" s="18" t="n"/>
      <c r="B81" s="18" t="n"/>
      <c r="C81" s="18" t="n"/>
      <c r="D81" s="18" t="n"/>
      <c r="E81" s="18" t="n"/>
      <c r="F81" s="18" t="n"/>
      <c r="G81" s="18" t="n"/>
      <c r="H81" s="18" t="n"/>
      <c r="I81" s="18" t="n"/>
      <c r="J81" s="18" t="n"/>
      <c r="K81" s="18" t="n"/>
      <c r="L81" s="18" t="n"/>
      <c r="M81" s="18" t="n"/>
      <c r="N81" s="18" t="n"/>
      <c r="O81" s="18" t="n"/>
      <c r="P81" s="18" t="n"/>
      <c r="Q81" s="18" t="n"/>
    </row>
    <row r="82">
      <c r="A82" s="18" t="n"/>
      <c r="B82" s="18" t="n"/>
      <c r="C82" s="18" t="n"/>
      <c r="D82" s="18" t="n"/>
      <c r="E82" s="18" t="n"/>
      <c r="F82" s="18" t="n"/>
      <c r="G82" s="18" t="n"/>
      <c r="H82" s="18" t="n"/>
      <c r="I82" s="18" t="n"/>
      <c r="J82" s="18" t="n"/>
      <c r="K82" s="18" t="n"/>
      <c r="L82" s="18" t="n"/>
      <c r="M82" s="18" t="n"/>
      <c r="N82" s="18" t="n"/>
      <c r="O82" s="18" t="n"/>
      <c r="P82" s="18" t="n"/>
      <c r="Q82" s="18" t="n"/>
    </row>
    <row r="83">
      <c r="A83" s="18" t="n"/>
      <c r="B83" s="18" t="n"/>
      <c r="C83" s="18" t="n"/>
      <c r="D83" s="18" t="n"/>
      <c r="E83" s="18" t="n"/>
      <c r="F83" s="18" t="n"/>
      <c r="G83" s="18" t="n"/>
      <c r="H83" s="18" t="n"/>
      <c r="I83" s="18" t="n"/>
      <c r="J83" s="18" t="n"/>
      <c r="K83" s="18" t="n"/>
      <c r="L83" s="18" t="n"/>
      <c r="M83" s="18" t="n"/>
      <c r="N83" s="18" t="n"/>
      <c r="O83" s="18" t="n"/>
      <c r="P83" s="18" t="n"/>
      <c r="Q83" s="18" t="n"/>
    </row>
    <row r="84">
      <c r="A84" s="18" t="n"/>
      <c r="B84" s="18" t="n"/>
      <c r="C84" s="18" t="n"/>
      <c r="D84" s="18" t="n"/>
      <c r="E84" s="18" t="n"/>
      <c r="F84" s="18" t="n"/>
      <c r="G84" s="18" t="n"/>
      <c r="H84" s="18" t="n"/>
      <c r="I84" s="18" t="n"/>
      <c r="J84" s="18" t="n"/>
      <c r="K84" s="18" t="n"/>
      <c r="L84" s="18" t="n"/>
      <c r="M84" s="18" t="n"/>
      <c r="N84" s="18" t="n"/>
      <c r="O84" s="18" t="n"/>
      <c r="P84" s="18" t="n"/>
      <c r="Q84" s="18" t="n"/>
    </row>
    <row r="85">
      <c r="A85" s="18" t="n"/>
      <c r="B85" s="18" t="n"/>
      <c r="C85" s="18" t="n"/>
      <c r="D85" s="18" t="n"/>
      <c r="E85" s="18" t="n"/>
      <c r="F85" s="18" t="n"/>
      <c r="G85" s="18" t="n"/>
      <c r="H85" s="18" t="n"/>
      <c r="I85" s="18" t="n"/>
      <c r="J85" s="18" t="n"/>
      <c r="K85" s="18" t="n"/>
      <c r="L85" s="18" t="n"/>
      <c r="M85" s="18" t="n"/>
      <c r="N85" s="18" t="n"/>
      <c r="O85" s="18" t="n"/>
      <c r="P85" s="18" t="n"/>
      <c r="Q85" s="18" t="n"/>
    </row>
    <row r="86">
      <c r="A86" s="18" t="n"/>
      <c r="B86" s="18" t="n"/>
      <c r="C86" s="18" t="n"/>
      <c r="D86" s="18" t="n"/>
      <c r="E86" s="18" t="n"/>
      <c r="F86" s="18" t="n"/>
      <c r="G86" s="18" t="n"/>
      <c r="H86" s="18" t="n"/>
      <c r="I86" s="18" t="n"/>
      <c r="J86" s="18" t="n"/>
      <c r="K86" s="18" t="n"/>
      <c r="L86" s="18" t="n"/>
      <c r="M86" s="18" t="n"/>
      <c r="N86" s="18" t="n"/>
      <c r="O86" s="18" t="n"/>
      <c r="P86" s="18" t="n"/>
      <c r="Q86" s="18" t="n"/>
    </row>
    <row r="87">
      <c r="A87" s="18" t="n"/>
      <c r="B87" s="18" t="n"/>
      <c r="C87" s="18" t="n"/>
      <c r="D87" s="18" t="n"/>
      <c r="E87" s="18" t="n"/>
      <c r="F87" s="18" t="n"/>
      <c r="G87" s="18" t="n"/>
      <c r="H87" s="18" t="n"/>
      <c r="I87" s="18" t="n"/>
      <c r="J87" s="18" t="n"/>
      <c r="K87" s="18" t="n"/>
      <c r="L87" s="18" t="n"/>
      <c r="M87" s="18" t="n"/>
      <c r="N87" s="18" t="n"/>
      <c r="O87" s="18" t="n"/>
      <c r="P87" s="18" t="n"/>
      <c r="Q87" s="18" t="n"/>
    </row>
    <row r="88">
      <c r="A88" s="18" t="n"/>
      <c r="B88" s="18" t="n"/>
      <c r="C88" s="18" t="n"/>
      <c r="D88" s="18" t="n"/>
      <c r="E88" s="18" t="n"/>
      <c r="F88" s="18" t="n"/>
      <c r="G88" s="18" t="n"/>
      <c r="H88" s="18" t="n"/>
      <c r="I88" s="18" t="n"/>
      <c r="J88" s="18" t="n"/>
      <c r="K88" s="18" t="n"/>
      <c r="L88" s="18" t="n"/>
      <c r="M88" s="18" t="n"/>
      <c r="N88" s="18" t="n"/>
      <c r="O88" s="18" t="n"/>
      <c r="P88" s="18" t="n"/>
      <c r="Q88" s="18" t="n"/>
    </row>
    <row r="89">
      <c r="A89" s="18" t="n"/>
      <c r="B89" s="18" t="n"/>
      <c r="C89" s="18" t="n"/>
      <c r="D89" s="18" t="n"/>
      <c r="E89" s="18" t="n"/>
      <c r="F89" s="18" t="n"/>
      <c r="G89" s="18" t="n"/>
      <c r="H89" s="18" t="n"/>
      <c r="I89" s="18" t="n"/>
      <c r="J89" s="18" t="n"/>
      <c r="K89" s="18" t="n"/>
      <c r="L89" s="18" t="n"/>
      <c r="M89" s="18" t="n"/>
      <c r="N89" s="18" t="n"/>
      <c r="O89" s="18" t="n"/>
      <c r="P89" s="18" t="n"/>
      <c r="Q89" s="18" t="n"/>
    </row>
    <row r="90">
      <c r="A90" s="18" t="n"/>
      <c r="B90" s="18" t="n"/>
      <c r="C90" s="18" t="n"/>
      <c r="D90" s="18" t="n"/>
      <c r="E90" s="18" t="n"/>
      <c r="F90" s="18" t="n"/>
      <c r="G90" s="18" t="n"/>
      <c r="H90" s="18" t="n"/>
      <c r="I90" s="18" t="n"/>
      <c r="J90" s="18" t="n"/>
      <c r="K90" s="18" t="n"/>
      <c r="L90" s="18" t="n"/>
      <c r="M90" s="18" t="n"/>
      <c r="N90" s="18" t="n"/>
      <c r="O90" s="18" t="n"/>
      <c r="P90" s="18" t="n"/>
      <c r="Q90" s="18" t="n"/>
    </row>
    <row r="91">
      <c r="A91" s="18" t="n"/>
      <c r="B91" s="18" t="n"/>
      <c r="C91" s="18" t="n"/>
      <c r="D91" s="18" t="n"/>
      <c r="E91" s="18" t="n"/>
      <c r="F91" s="18" t="n"/>
      <c r="G91" s="18" t="n"/>
      <c r="H91" s="18" t="n"/>
      <c r="I91" s="18" t="n"/>
      <c r="J91" s="18" t="n"/>
      <c r="K91" s="18" t="n"/>
      <c r="L91" s="18" t="n"/>
      <c r="M91" s="18" t="n"/>
      <c r="N91" s="18" t="n"/>
      <c r="O91" s="18" t="n"/>
      <c r="P91" s="18" t="n"/>
      <c r="Q91" s="18" t="n"/>
    </row>
    <row r="92">
      <c r="A92" s="18" t="n"/>
      <c r="B92" s="18" t="n"/>
      <c r="C92" s="18" t="n"/>
      <c r="D92" s="18" t="n"/>
      <c r="E92" s="18" t="n"/>
      <c r="F92" s="18" t="n"/>
      <c r="G92" s="18" t="n"/>
      <c r="H92" s="18" t="n"/>
      <c r="I92" s="18" t="n"/>
      <c r="J92" s="18" t="n"/>
      <c r="K92" s="18" t="n"/>
      <c r="L92" s="18" t="n"/>
      <c r="M92" s="18" t="n"/>
      <c r="N92" s="18" t="n"/>
      <c r="O92" s="18" t="n"/>
      <c r="P92" s="18" t="n"/>
      <c r="Q92" s="18" t="n"/>
    </row>
    <row r="93">
      <c r="A93" s="18" t="n"/>
      <c r="B93" s="18" t="n"/>
      <c r="C93" s="18" t="n"/>
      <c r="D93" s="18" t="n"/>
      <c r="E93" s="18" t="n"/>
      <c r="F93" s="18" t="n"/>
      <c r="G93" s="18" t="n"/>
      <c r="H93" s="18" t="n"/>
      <c r="I93" s="18" t="n"/>
      <c r="J93" s="18" t="n"/>
      <c r="K93" s="18" t="n"/>
      <c r="L93" s="18" t="n"/>
      <c r="M93" s="18" t="n"/>
      <c r="N93" s="18" t="n"/>
      <c r="O93" s="18" t="n"/>
      <c r="P93" s="18" t="n"/>
      <c r="Q93" s="18" t="n"/>
    </row>
    <row r="94">
      <c r="A94" s="18" t="n"/>
      <c r="B94" s="18" t="n"/>
      <c r="C94" s="18" t="n"/>
      <c r="D94" s="18" t="n"/>
      <c r="E94" s="18" t="n"/>
      <c r="F94" s="18" t="n"/>
      <c r="G94" s="18" t="n"/>
      <c r="H94" s="18" t="n"/>
      <c r="I94" s="18" t="n"/>
      <c r="J94" s="18" t="n"/>
      <c r="K94" s="18" t="n"/>
      <c r="L94" s="18" t="n"/>
      <c r="M94" s="18" t="n"/>
      <c r="N94" s="18" t="n"/>
      <c r="O94" s="18" t="n"/>
      <c r="P94" s="18" t="n"/>
      <c r="Q94" s="18" t="n"/>
    </row>
    <row r="95">
      <c r="A95" s="18" t="n"/>
      <c r="B95" s="18" t="n"/>
      <c r="C95" s="18" t="n"/>
      <c r="D95" s="18" t="n"/>
      <c r="E95" s="18" t="n"/>
      <c r="F95" s="18" t="n"/>
      <c r="G95" s="18" t="n"/>
      <c r="H95" s="18" t="n"/>
      <c r="I95" s="18" t="n"/>
      <c r="J95" s="18" t="n"/>
      <c r="K95" s="18" t="n"/>
      <c r="L95" s="18" t="n"/>
      <c r="M95" s="18" t="n"/>
      <c r="N95" s="18" t="n"/>
      <c r="O95" s="18" t="n"/>
      <c r="P95" s="18" t="n"/>
      <c r="Q95" s="18" t="n"/>
    </row>
    <row r="96">
      <c r="A96" s="18" t="n"/>
      <c r="B96" s="18" t="n"/>
      <c r="C96" s="18" t="n"/>
      <c r="D96" s="18" t="n"/>
      <c r="E96" s="18" t="n"/>
      <c r="F96" s="18" t="n"/>
      <c r="G96" s="18" t="n"/>
      <c r="H96" s="18" t="n"/>
      <c r="I96" s="18" t="n"/>
      <c r="J96" s="18" t="n"/>
      <c r="K96" s="18" t="n"/>
      <c r="L96" s="18" t="n"/>
      <c r="M96" s="18" t="n"/>
      <c r="N96" s="18" t="n"/>
      <c r="O96" s="18" t="n"/>
      <c r="P96" s="18" t="n"/>
      <c r="Q96" s="18" t="n"/>
    </row>
    <row r="97">
      <c r="A97" s="18" t="n"/>
      <c r="B97" s="18" t="n"/>
      <c r="C97" s="18" t="n"/>
      <c r="D97" s="18" t="n"/>
      <c r="E97" s="18" t="n"/>
      <c r="F97" s="18" t="n"/>
      <c r="G97" s="18" t="n"/>
      <c r="H97" s="18" t="n"/>
      <c r="I97" s="18" t="n"/>
      <c r="J97" s="18" t="n"/>
      <c r="K97" s="18" t="n"/>
      <c r="L97" s="18" t="n"/>
      <c r="M97" s="18" t="n"/>
      <c r="N97" s="18" t="n"/>
      <c r="O97" s="18" t="n"/>
      <c r="P97" s="18" t="n"/>
      <c r="Q97" s="18" t="n"/>
    </row>
    <row r="98">
      <c r="A98" s="18" t="n"/>
      <c r="B98" s="18" t="n"/>
      <c r="C98" s="18" t="n"/>
      <c r="D98" s="18" t="n"/>
      <c r="E98" s="18" t="n"/>
      <c r="F98" s="18" t="n"/>
      <c r="G98" s="18" t="n"/>
      <c r="H98" s="18" t="n"/>
      <c r="I98" s="18" t="n"/>
      <c r="J98" s="18" t="n"/>
      <c r="K98" s="18" t="n"/>
      <c r="L98" s="18" t="n"/>
      <c r="M98" s="18" t="n"/>
      <c r="N98" s="18" t="n"/>
      <c r="O98" s="18" t="n"/>
      <c r="P98" s="18" t="n"/>
      <c r="Q98" s="18" t="n"/>
    </row>
    <row r="99">
      <c r="A99" s="18" t="n"/>
      <c r="B99" s="18" t="n"/>
      <c r="C99" s="18" t="n"/>
      <c r="D99" s="18" t="n"/>
      <c r="E99" s="18" t="n"/>
      <c r="F99" s="18" t="n"/>
      <c r="G99" s="18" t="n"/>
      <c r="H99" s="18" t="n"/>
      <c r="I99" s="18" t="n"/>
      <c r="J99" s="18" t="n"/>
      <c r="K99" s="18" t="n"/>
      <c r="L99" s="18" t="n"/>
      <c r="M99" s="18" t="n"/>
      <c r="N99" s="18" t="n"/>
      <c r="O99" s="18" t="n"/>
      <c r="P99" s="18" t="n"/>
      <c r="Q99" s="18" t="n"/>
    </row>
    <row r="100">
      <c r="A100" s="18" t="n"/>
      <c r="B100" s="18" t="n"/>
      <c r="C100" s="18" t="n"/>
      <c r="D100" s="18" t="n"/>
      <c r="E100" s="18" t="n"/>
      <c r="F100" s="18" t="n"/>
      <c r="G100" s="18" t="n"/>
      <c r="H100" s="18" t="n"/>
      <c r="I100" s="18" t="n"/>
      <c r="J100" s="18" t="n"/>
      <c r="K100" s="18" t="n"/>
      <c r="L100" s="18" t="n"/>
      <c r="M100" s="18" t="n"/>
      <c r="N100" s="18" t="n"/>
      <c r="O100" s="18" t="n"/>
      <c r="P100" s="18" t="n"/>
      <c r="Q100" s="18" t="n"/>
    </row>
    <row r="101">
      <c r="A101" s="18" t="n"/>
      <c r="B101" s="18" t="n"/>
      <c r="C101" s="18" t="n"/>
      <c r="D101" s="18" t="n"/>
      <c r="E101" s="18" t="n"/>
      <c r="F101" s="18" t="n"/>
      <c r="G101" s="18" t="n"/>
      <c r="H101" s="18" t="n"/>
      <c r="I101" s="18" t="n"/>
      <c r="J101" s="18" t="n"/>
      <c r="K101" s="18" t="n"/>
      <c r="L101" s="18" t="n"/>
      <c r="M101" s="18" t="n"/>
      <c r="N101" s="18" t="n"/>
      <c r="O101" s="18" t="n"/>
      <c r="P101" s="18" t="n"/>
      <c r="Q101" s="18" t="n"/>
    </row>
    <row r="102">
      <c r="A102" s="18" t="n"/>
      <c r="B102" s="18" t="n"/>
      <c r="C102" s="18" t="n"/>
      <c r="D102" s="18" t="n"/>
      <c r="E102" s="18" t="n"/>
      <c r="F102" s="18" t="n"/>
      <c r="G102" s="18" t="n"/>
      <c r="H102" s="18" t="n"/>
      <c r="I102" s="18" t="n"/>
      <c r="J102" s="18" t="n"/>
      <c r="K102" s="18" t="n"/>
      <c r="L102" s="18" t="n"/>
      <c r="M102" s="18" t="n"/>
      <c r="N102" s="18" t="n"/>
      <c r="O102" s="18" t="n"/>
      <c r="P102" s="18" t="n"/>
      <c r="Q102" s="18" t="n"/>
    </row>
    <row r="103">
      <c r="A103" s="18" t="n"/>
      <c r="B103" s="18" t="n"/>
      <c r="C103" s="18" t="n"/>
      <c r="D103" s="18" t="n"/>
      <c r="E103" s="18" t="n"/>
      <c r="F103" s="18" t="n"/>
      <c r="G103" s="18" t="n"/>
      <c r="H103" s="18" t="n"/>
      <c r="I103" s="18" t="n"/>
      <c r="J103" s="18" t="n"/>
      <c r="K103" s="18" t="n"/>
      <c r="L103" s="18" t="n"/>
      <c r="M103" s="18" t="n"/>
      <c r="N103" s="18" t="n"/>
      <c r="O103" s="18" t="n"/>
      <c r="P103" s="18" t="n"/>
      <c r="Q103" s="18" t="n"/>
    </row>
    <row r="104">
      <c r="A104" s="18" t="n"/>
      <c r="B104" s="18" t="n"/>
      <c r="C104" s="18" t="n"/>
      <c r="D104" s="18" t="n"/>
      <c r="E104" s="18" t="n"/>
      <c r="F104" s="18" t="n"/>
      <c r="G104" s="18" t="n"/>
      <c r="H104" s="18" t="n"/>
      <c r="I104" s="18" t="n"/>
      <c r="J104" s="18" t="n"/>
      <c r="K104" s="18" t="n"/>
      <c r="L104" s="18" t="n"/>
      <c r="M104" s="18" t="n"/>
      <c r="N104" s="18" t="n"/>
      <c r="O104" s="18" t="n"/>
      <c r="P104" s="18" t="n"/>
      <c r="Q104" s="18" t="n"/>
    </row>
    <row r="105">
      <c r="A105" s="18" t="n"/>
      <c r="B105" s="18" t="n"/>
      <c r="C105" s="18" t="n"/>
      <c r="D105" s="18" t="n"/>
      <c r="E105" s="18" t="n"/>
      <c r="F105" s="18" t="n"/>
      <c r="G105" s="18" t="n"/>
      <c r="H105" s="18" t="n"/>
      <c r="I105" s="18" t="n"/>
      <c r="J105" s="18" t="n"/>
      <c r="K105" s="18" t="n"/>
      <c r="L105" s="18" t="n"/>
      <c r="M105" s="18" t="n"/>
      <c r="N105" s="18" t="n"/>
      <c r="O105" s="18" t="n"/>
      <c r="P105" s="18" t="n"/>
      <c r="Q105" s="18" t="n"/>
    </row>
    <row r="106">
      <c r="A106" s="18" t="n"/>
      <c r="B106" s="18" t="n"/>
      <c r="C106" s="18" t="n"/>
      <c r="D106" s="18" t="n"/>
      <c r="E106" s="18" t="n"/>
      <c r="F106" s="18" t="n"/>
      <c r="G106" s="18" t="n"/>
      <c r="H106" s="18" t="n"/>
      <c r="I106" s="18" t="n"/>
      <c r="J106" s="18" t="n"/>
      <c r="K106" s="18" t="n"/>
      <c r="L106" s="18" t="n"/>
      <c r="M106" s="18" t="n"/>
      <c r="N106" s="18" t="n"/>
      <c r="O106" s="18" t="n"/>
      <c r="P106" s="18" t="n"/>
      <c r="Q106" s="18" t="n"/>
    </row>
    <row r="107">
      <c r="A107" s="18" t="n"/>
      <c r="B107" s="18" t="n"/>
      <c r="C107" s="18" t="n"/>
      <c r="D107" s="18" t="n"/>
      <c r="E107" s="18" t="n"/>
      <c r="F107" s="18" t="n"/>
      <c r="G107" s="18" t="n"/>
      <c r="H107" s="18" t="n"/>
      <c r="I107" s="18" t="n"/>
      <c r="J107" s="18" t="n"/>
      <c r="K107" s="18" t="n"/>
      <c r="L107" s="18" t="n"/>
      <c r="M107" s="18" t="n"/>
      <c r="N107" s="18" t="n"/>
      <c r="O107" s="18" t="n"/>
      <c r="P107" s="18" t="n"/>
      <c r="Q107" s="18" t="n"/>
    </row>
    <row r="108">
      <c r="A108" s="18" t="n"/>
      <c r="B108" s="18" t="n"/>
      <c r="C108" s="18" t="n"/>
      <c r="D108" s="18" t="n"/>
      <c r="E108" s="18" t="n"/>
      <c r="F108" s="18" t="n"/>
      <c r="G108" s="18" t="n"/>
      <c r="H108" s="18" t="n"/>
      <c r="I108" s="18" t="n"/>
      <c r="J108" s="18" t="n"/>
      <c r="K108" s="18" t="n"/>
      <c r="L108" s="18" t="n"/>
      <c r="M108" s="18" t="n"/>
      <c r="N108" s="18" t="n"/>
      <c r="O108" s="18" t="n"/>
      <c r="P108" s="18" t="n"/>
      <c r="Q108" s="18" t="n"/>
    </row>
    <row r="109">
      <c r="A109" s="18" t="n"/>
      <c r="B109" s="18" t="n"/>
      <c r="C109" s="18" t="n"/>
      <c r="D109" s="18" t="n"/>
      <c r="E109" s="18" t="n"/>
      <c r="F109" s="18" t="n"/>
      <c r="G109" s="18" t="n"/>
      <c r="H109" s="18" t="n"/>
      <c r="I109" s="18" t="n"/>
      <c r="J109" s="18" t="n"/>
      <c r="K109" s="18" t="n"/>
      <c r="L109" s="18" t="n"/>
      <c r="M109" s="18" t="n"/>
      <c r="N109" s="18" t="n"/>
      <c r="O109" s="18" t="n"/>
      <c r="P109" s="18" t="n"/>
      <c r="Q109" s="18" t="n"/>
    </row>
    <row r="110">
      <c r="A110" s="18" t="n"/>
      <c r="B110" s="18" t="n"/>
      <c r="C110" s="18" t="n"/>
      <c r="D110" s="18" t="n"/>
      <c r="E110" s="18" t="n"/>
      <c r="F110" s="18" t="n"/>
      <c r="G110" s="18" t="n"/>
      <c r="H110" s="18" t="n"/>
      <c r="I110" s="18" t="n"/>
      <c r="J110" s="18" t="n"/>
      <c r="K110" s="18" t="n"/>
      <c r="L110" s="18" t="n"/>
      <c r="M110" s="18" t="n"/>
      <c r="N110" s="18" t="n"/>
      <c r="O110" s="18" t="n"/>
      <c r="P110" s="18" t="n"/>
      <c r="Q110" s="18" t="n"/>
    </row>
    <row r="111">
      <c r="A111" s="18" t="n"/>
      <c r="B111" s="18" t="n"/>
      <c r="C111" s="18" t="n"/>
      <c r="D111" s="18" t="n"/>
      <c r="E111" s="18" t="n"/>
      <c r="F111" s="18" t="n"/>
      <c r="G111" s="18" t="n"/>
      <c r="H111" s="18" t="n"/>
      <c r="I111" s="18" t="n"/>
      <c r="J111" s="18" t="n"/>
      <c r="K111" s="18" t="n"/>
      <c r="L111" s="18" t="n"/>
      <c r="M111" s="18" t="n"/>
      <c r="N111" s="18" t="n"/>
      <c r="O111" s="18" t="n"/>
      <c r="P111" s="18" t="n"/>
      <c r="Q111" s="18" t="n"/>
    </row>
    <row r="112">
      <c r="A112" s="18" t="n"/>
      <c r="B112" s="18" t="n"/>
      <c r="C112" s="18" t="n"/>
      <c r="D112" s="18" t="n"/>
      <c r="E112" s="18" t="n"/>
      <c r="F112" s="18" t="n"/>
      <c r="G112" s="18" t="n"/>
      <c r="H112" s="18" t="n"/>
      <c r="I112" s="18" t="n"/>
      <c r="J112" s="18" t="n"/>
      <c r="K112" s="18" t="n"/>
      <c r="L112" s="18" t="n"/>
      <c r="M112" s="18" t="n"/>
      <c r="N112" s="18" t="n"/>
      <c r="O112" s="18" t="n"/>
      <c r="P112" s="18" t="n"/>
      <c r="Q112" s="18" t="n"/>
    </row>
    <row r="113">
      <c r="A113" s="18" t="n"/>
      <c r="B113" s="18" t="n"/>
      <c r="C113" s="18" t="n"/>
      <c r="D113" s="18" t="n"/>
      <c r="E113" s="18" t="n"/>
      <c r="F113" s="18" t="n"/>
      <c r="G113" s="18" t="n"/>
      <c r="H113" s="18" t="n"/>
      <c r="I113" s="18" t="n"/>
      <c r="J113" s="18" t="n"/>
      <c r="K113" s="18" t="n"/>
      <c r="L113" s="18" t="n"/>
      <c r="M113" s="18" t="n"/>
      <c r="N113" s="18" t="n"/>
      <c r="O113" s="18" t="n"/>
      <c r="P113" s="18" t="n"/>
      <c r="Q113" s="18" t="n"/>
    </row>
    <row r="114">
      <c r="A114" s="18" t="n"/>
      <c r="B114" s="18" t="n"/>
      <c r="C114" s="18" t="n"/>
      <c r="D114" s="18" t="n"/>
      <c r="E114" s="18" t="n"/>
      <c r="F114" s="18" t="n"/>
      <c r="G114" s="18" t="n"/>
      <c r="H114" s="18" t="n"/>
      <c r="I114" s="18" t="n"/>
      <c r="J114" s="18" t="n"/>
      <c r="K114" s="18" t="n"/>
      <c r="L114" s="18" t="n"/>
      <c r="M114" s="18" t="n"/>
      <c r="N114" s="18" t="n"/>
      <c r="O114" s="18" t="n"/>
      <c r="P114" s="18" t="n"/>
      <c r="Q114" s="18" t="n"/>
    </row>
    <row r="115">
      <c r="A115" s="18" t="n"/>
      <c r="B115" s="18" t="n"/>
      <c r="C115" s="18" t="n"/>
      <c r="D115" s="18" t="n"/>
      <c r="E115" s="18" t="n"/>
      <c r="F115" s="18" t="n"/>
      <c r="G115" s="18" t="n"/>
      <c r="H115" s="18" t="n"/>
      <c r="I115" s="18" t="n"/>
      <c r="J115" s="18" t="n"/>
      <c r="K115" s="18" t="n"/>
      <c r="L115" s="18" t="n"/>
      <c r="M115" s="18" t="n"/>
      <c r="N115" s="18" t="n"/>
      <c r="O115" s="18" t="n"/>
      <c r="P115" s="18" t="n"/>
      <c r="Q115" s="18" t="n"/>
    </row>
    <row r="116">
      <c r="A116" s="18" t="n"/>
      <c r="B116" s="18" t="n"/>
      <c r="C116" s="18" t="n"/>
      <c r="D116" s="18" t="n"/>
      <c r="E116" s="18" t="n"/>
      <c r="F116" s="18" t="n"/>
      <c r="G116" s="18" t="n"/>
      <c r="H116" s="18" t="n"/>
      <c r="I116" s="18" t="n"/>
      <c r="J116" s="18" t="n"/>
      <c r="K116" s="18" t="n"/>
      <c r="L116" s="18" t="n"/>
      <c r="M116" s="18" t="n"/>
      <c r="N116" s="18" t="n"/>
      <c r="O116" s="18" t="n"/>
      <c r="P116" s="18" t="n"/>
      <c r="Q116" s="18" t="n"/>
    </row>
    <row r="117">
      <c r="A117" s="18" t="n"/>
      <c r="B117" s="18" t="n"/>
      <c r="C117" s="18" t="n"/>
      <c r="D117" s="18" t="n"/>
      <c r="E117" s="18" t="n"/>
      <c r="F117" s="18" t="n"/>
      <c r="G117" s="18" t="n"/>
      <c r="H117" s="18" t="n"/>
      <c r="I117" s="18" t="n"/>
      <c r="J117" s="18" t="n"/>
      <c r="K117" s="18" t="n"/>
      <c r="L117" s="18" t="n"/>
      <c r="M117" s="18" t="n"/>
      <c r="N117" s="18" t="n"/>
      <c r="O117" s="18" t="n"/>
      <c r="P117" s="18" t="n"/>
      <c r="Q117" s="18" t="n"/>
    </row>
    <row r="118">
      <c r="A118" s="18" t="n"/>
      <c r="B118" s="18" t="n"/>
      <c r="C118" s="18" t="n"/>
      <c r="D118" s="18" t="n"/>
      <c r="E118" s="18" t="n"/>
      <c r="F118" s="18" t="n"/>
      <c r="G118" s="18" t="n"/>
      <c r="H118" s="18" t="n"/>
      <c r="I118" s="18" t="n"/>
      <c r="J118" s="18" t="n"/>
      <c r="K118" s="18" t="n"/>
      <c r="L118" s="18" t="n"/>
      <c r="M118" s="18" t="n"/>
      <c r="N118" s="18" t="n"/>
      <c r="O118" s="18" t="n"/>
      <c r="P118" s="18" t="n"/>
      <c r="Q118" s="18" t="n"/>
    </row>
    <row r="119">
      <c r="A119" s="18" t="n"/>
      <c r="B119" s="18" t="n"/>
      <c r="C119" s="18" t="n"/>
      <c r="D119" s="18" t="n"/>
      <c r="E119" s="18" t="n"/>
      <c r="F119" s="18" t="n"/>
      <c r="G119" s="18" t="n"/>
      <c r="H119" s="18" t="n"/>
      <c r="I119" s="18" t="n"/>
      <c r="J119" s="18" t="n"/>
      <c r="K119" s="18" t="n"/>
      <c r="L119" s="18" t="n"/>
      <c r="M119" s="18" t="n"/>
      <c r="N119" s="18" t="n"/>
      <c r="O119" s="18" t="n"/>
      <c r="P119" s="18" t="n"/>
      <c r="Q119" s="18" t="n"/>
    </row>
    <row r="120">
      <c r="A120" s="18" t="n"/>
      <c r="B120" s="18" t="n"/>
      <c r="C120" s="18" t="n"/>
      <c r="D120" s="18" t="n"/>
      <c r="E120" s="18" t="n"/>
      <c r="F120" s="18" t="n"/>
      <c r="G120" s="18" t="n"/>
      <c r="H120" s="18" t="n"/>
      <c r="I120" s="18" t="n"/>
      <c r="J120" s="18" t="n"/>
      <c r="K120" s="18" t="n"/>
      <c r="L120" s="18" t="n"/>
      <c r="M120" s="18" t="n"/>
      <c r="N120" s="18" t="n"/>
      <c r="O120" s="18" t="n"/>
      <c r="P120" s="18" t="n"/>
      <c r="Q120" s="18" t="n"/>
    </row>
    <row r="121">
      <c r="A121" s="18" t="n"/>
      <c r="B121" s="18" t="n"/>
      <c r="C121" s="18" t="n"/>
      <c r="D121" s="18" t="n"/>
      <c r="E121" s="18" t="n"/>
      <c r="F121" s="18" t="n"/>
      <c r="G121" s="18" t="n"/>
      <c r="H121" s="18" t="n"/>
      <c r="I121" s="18" t="n"/>
      <c r="J121" s="18" t="n"/>
      <c r="K121" s="18" t="n"/>
      <c r="L121" s="18" t="n"/>
      <c r="M121" s="18" t="n"/>
      <c r="N121" s="18" t="n"/>
      <c r="O121" s="18" t="n"/>
      <c r="P121" s="18" t="n"/>
      <c r="Q121" s="18" t="n"/>
    </row>
    <row r="122">
      <c r="A122" s="18" t="n"/>
      <c r="B122" s="18" t="n"/>
      <c r="C122" s="18" t="n"/>
      <c r="D122" s="18" t="n"/>
      <c r="E122" s="18" t="n"/>
      <c r="F122" s="18" t="n"/>
      <c r="G122" s="18" t="n"/>
      <c r="H122" s="18" t="n"/>
      <c r="I122" s="18" t="n"/>
      <c r="J122" s="18" t="n"/>
      <c r="K122" s="18" t="n"/>
      <c r="L122" s="18" t="n"/>
      <c r="M122" s="18" t="n"/>
      <c r="N122" s="18" t="n"/>
      <c r="O122" s="18" t="n"/>
      <c r="P122" s="18" t="n"/>
      <c r="Q122" s="18" t="n"/>
    </row>
    <row r="123">
      <c r="A123" s="18" t="n"/>
      <c r="B123" s="18" t="n"/>
      <c r="C123" s="18" t="n"/>
      <c r="D123" s="18" t="n"/>
      <c r="E123" s="18" t="n"/>
      <c r="F123" s="18" t="n"/>
      <c r="G123" s="18" t="n"/>
      <c r="H123" s="18" t="n"/>
      <c r="I123" s="18" t="n"/>
      <c r="J123" s="18" t="n"/>
      <c r="K123" s="18" t="n"/>
      <c r="L123" s="18" t="n"/>
      <c r="M123" s="18" t="n"/>
      <c r="N123" s="18" t="n"/>
      <c r="O123" s="18" t="n"/>
      <c r="P123" s="18" t="n"/>
      <c r="Q123" s="18" t="n"/>
    </row>
    <row r="124">
      <c r="A124" s="18" t="n"/>
      <c r="B124" s="18" t="n"/>
      <c r="C124" s="18" t="n"/>
      <c r="D124" s="18" t="n"/>
      <c r="E124" s="18" t="n"/>
      <c r="F124" s="18" t="n"/>
      <c r="G124" s="18" t="n"/>
      <c r="H124" s="18" t="n"/>
      <c r="I124" s="18" t="n"/>
      <c r="J124" s="18" t="n"/>
      <c r="K124" s="18" t="n"/>
      <c r="L124" s="18" t="n"/>
      <c r="M124" s="18" t="n"/>
      <c r="N124" s="18" t="n"/>
      <c r="O124" s="18" t="n"/>
      <c r="P124" s="18" t="n"/>
      <c r="Q124" s="18" t="n"/>
    </row>
    <row r="125">
      <c r="A125" s="18" t="n"/>
      <c r="B125" s="18" t="n"/>
      <c r="C125" s="18" t="n"/>
      <c r="D125" s="18" t="n"/>
      <c r="E125" s="18" t="n"/>
      <c r="F125" s="18" t="n"/>
      <c r="G125" s="18" t="n"/>
      <c r="H125" s="18" t="n"/>
      <c r="I125" s="18" t="n"/>
      <c r="J125" s="18" t="n"/>
      <c r="K125" s="18" t="n"/>
      <c r="L125" s="18" t="n"/>
      <c r="M125" s="18" t="n"/>
      <c r="N125" s="18" t="n"/>
      <c r="O125" s="18" t="n"/>
      <c r="P125" s="18" t="n"/>
      <c r="Q125" s="18" t="n"/>
    </row>
    <row r="126">
      <c r="A126" s="18" t="n"/>
      <c r="B126" s="18" t="n"/>
      <c r="C126" s="18" t="n"/>
      <c r="D126" s="18" t="n"/>
      <c r="E126" s="18" t="n"/>
      <c r="F126" s="18" t="n"/>
      <c r="G126" s="18" t="n"/>
      <c r="H126" s="18" t="n"/>
      <c r="I126" s="18" t="n"/>
      <c r="J126" s="18" t="n"/>
      <c r="K126" s="18" t="n"/>
      <c r="L126" s="18" t="n"/>
      <c r="M126" s="18" t="n"/>
      <c r="N126" s="18" t="n"/>
      <c r="O126" s="18" t="n"/>
      <c r="P126" s="18" t="n"/>
      <c r="Q126" s="18" t="n"/>
    </row>
    <row r="127">
      <c r="A127" s="18" t="n"/>
      <c r="B127" s="18" t="n"/>
      <c r="C127" s="18" t="n"/>
      <c r="D127" s="18" t="n"/>
      <c r="E127" s="18" t="n"/>
      <c r="F127" s="18" t="n"/>
      <c r="G127" s="18" t="n"/>
      <c r="H127" s="18" t="n"/>
      <c r="I127" s="18" t="n"/>
      <c r="J127" s="18" t="n"/>
      <c r="K127" s="18" t="n"/>
      <c r="L127" s="18" t="n"/>
      <c r="M127" s="18" t="n"/>
      <c r="N127" s="18" t="n"/>
      <c r="O127" s="18" t="n"/>
      <c r="P127" s="18" t="n"/>
      <c r="Q127" s="18" t="n"/>
    </row>
    <row r="128">
      <c r="A128" s="18" t="n"/>
      <c r="B128" s="18" t="n"/>
      <c r="C128" s="18" t="n"/>
      <c r="D128" s="18" t="n"/>
      <c r="E128" s="18" t="n"/>
      <c r="F128" s="18" t="n"/>
      <c r="G128" s="18" t="n"/>
      <c r="H128" s="18" t="n"/>
      <c r="I128" s="18" t="n"/>
      <c r="J128" s="18" t="n"/>
      <c r="K128" s="18" t="n"/>
      <c r="L128" s="18" t="n"/>
      <c r="M128" s="18" t="n"/>
      <c r="N128" s="18" t="n"/>
      <c r="O128" s="18" t="n"/>
      <c r="P128" s="18" t="n"/>
      <c r="Q128" s="18" t="n"/>
    </row>
    <row r="129">
      <c r="A129" s="18" t="n"/>
      <c r="B129" s="18" t="n"/>
      <c r="C129" s="18" t="n"/>
      <c r="D129" s="18" t="n"/>
      <c r="E129" s="18" t="n"/>
      <c r="F129" s="18" t="n"/>
      <c r="G129" s="18" t="n"/>
      <c r="H129" s="18" t="n"/>
      <c r="I129" s="18" t="n"/>
      <c r="J129" s="18" t="n"/>
      <c r="K129" s="18" t="n"/>
      <c r="L129" s="18" t="n"/>
      <c r="M129" s="18" t="n"/>
      <c r="N129" s="18" t="n"/>
      <c r="O129" s="18" t="n"/>
      <c r="P129" s="18" t="n"/>
      <c r="Q129" s="18" t="n"/>
    </row>
    <row r="130">
      <c r="A130" s="18" t="n"/>
      <c r="B130" s="18" t="n"/>
      <c r="C130" s="18" t="n"/>
      <c r="D130" s="18" t="n"/>
      <c r="E130" s="18" t="n"/>
      <c r="F130" s="18" t="n"/>
      <c r="G130" s="18" t="n"/>
      <c r="H130" s="18" t="n"/>
      <c r="I130" s="18" t="n"/>
      <c r="J130" s="18" t="n"/>
      <c r="K130" s="18" t="n"/>
      <c r="L130" s="18" t="n"/>
      <c r="M130" s="18" t="n"/>
      <c r="N130" s="18" t="n"/>
      <c r="O130" s="18" t="n"/>
      <c r="P130" s="18" t="n"/>
      <c r="Q130" s="18" t="n"/>
    </row>
    <row r="131">
      <c r="A131" s="18" t="n"/>
      <c r="B131" s="18" t="n"/>
      <c r="C131" s="18" t="n"/>
      <c r="D131" s="18" t="n"/>
      <c r="E131" s="18" t="n"/>
      <c r="F131" s="18" t="n"/>
      <c r="G131" s="18" t="n"/>
      <c r="H131" s="18" t="n"/>
      <c r="I131" s="18" t="n"/>
      <c r="J131" s="18" t="n"/>
      <c r="K131" s="18" t="n"/>
      <c r="L131" s="18" t="n"/>
      <c r="M131" s="18" t="n"/>
      <c r="N131" s="18" t="n"/>
      <c r="O131" s="18" t="n"/>
      <c r="P131" s="18" t="n"/>
      <c r="Q131" s="18" t="n"/>
    </row>
    <row r="132">
      <c r="A132" s="18" t="n"/>
      <c r="B132" s="18" t="n"/>
      <c r="C132" s="18" t="n"/>
      <c r="D132" s="18" t="n"/>
      <c r="E132" s="18" t="n"/>
      <c r="F132" s="18" t="n"/>
      <c r="G132" s="18" t="n"/>
      <c r="H132" s="18" t="n"/>
      <c r="I132" s="18" t="n"/>
      <c r="J132" s="18" t="n"/>
      <c r="K132" s="18" t="n"/>
      <c r="L132" s="18" t="n"/>
      <c r="M132" s="18" t="n"/>
      <c r="N132" s="18" t="n"/>
      <c r="O132" s="18" t="n"/>
      <c r="P132" s="18" t="n"/>
      <c r="Q132" s="18" t="n"/>
    </row>
    <row r="133">
      <c r="A133" s="18" t="n"/>
      <c r="B133" s="18" t="n"/>
      <c r="C133" s="18" t="n"/>
      <c r="D133" s="18" t="n"/>
      <c r="E133" s="18" t="n"/>
      <c r="F133" s="18" t="n"/>
      <c r="G133" s="18" t="n"/>
      <c r="H133" s="18" t="n"/>
      <c r="I133" s="18" t="n"/>
      <c r="J133" s="18" t="n"/>
      <c r="K133" s="18" t="n"/>
      <c r="L133" s="18" t="n"/>
      <c r="M133" s="18" t="n"/>
      <c r="N133" s="18" t="n"/>
      <c r="O133" s="18" t="n"/>
      <c r="P133" s="18" t="n"/>
      <c r="Q133" s="18" t="n"/>
    </row>
    <row r="134">
      <c r="A134" s="18" t="n"/>
      <c r="B134" s="18" t="n"/>
      <c r="C134" s="18" t="n"/>
      <c r="D134" s="18" t="n"/>
      <c r="E134" s="18" t="n"/>
      <c r="F134" s="18" t="n"/>
      <c r="G134" s="18" t="n"/>
      <c r="H134" s="18" t="n"/>
      <c r="I134" s="18" t="n"/>
      <c r="J134" s="18" t="n"/>
      <c r="K134" s="18" t="n"/>
      <c r="L134" s="18" t="n"/>
      <c r="M134" s="18" t="n"/>
      <c r="N134" s="18" t="n"/>
      <c r="O134" s="18" t="n"/>
      <c r="P134" s="18" t="n"/>
      <c r="Q134" s="18" t="n"/>
    </row>
    <row r="135">
      <c r="A135" s="18" t="n"/>
      <c r="B135" s="18" t="n"/>
      <c r="C135" s="18" t="n"/>
      <c r="D135" s="18" t="n"/>
      <c r="E135" s="18" t="n"/>
      <c r="F135" s="18" t="n"/>
      <c r="G135" s="18" t="n"/>
      <c r="H135" s="18" t="n"/>
      <c r="I135" s="18" t="n"/>
      <c r="J135" s="18" t="n"/>
      <c r="K135" s="18" t="n"/>
      <c r="L135" s="18" t="n"/>
      <c r="M135" s="18" t="n"/>
      <c r="N135" s="18" t="n"/>
      <c r="O135" s="18" t="n"/>
      <c r="P135" s="18" t="n"/>
      <c r="Q135" s="18" t="n"/>
    </row>
    <row r="136">
      <c r="A136" s="18" t="n"/>
      <c r="B136" s="18" t="n"/>
      <c r="C136" s="18" t="n"/>
      <c r="D136" s="18" t="n"/>
      <c r="E136" s="18" t="n"/>
      <c r="F136" s="18" t="n"/>
      <c r="G136" s="18" t="n"/>
      <c r="H136" s="18" t="n"/>
      <c r="I136" s="18" t="n"/>
      <c r="J136" s="18" t="n"/>
      <c r="K136" s="18" t="n"/>
      <c r="L136" s="18" t="n"/>
      <c r="M136" s="18" t="n"/>
      <c r="N136" s="18" t="n"/>
      <c r="O136" s="18" t="n"/>
      <c r="P136" s="18" t="n"/>
      <c r="Q136" s="18" t="n"/>
    </row>
    <row r="137">
      <c r="A137" s="18" t="n"/>
      <c r="B137" s="18" t="n"/>
      <c r="C137" s="18" t="n"/>
      <c r="D137" s="18" t="n"/>
      <c r="E137" s="18" t="n"/>
      <c r="F137" s="18" t="n"/>
      <c r="G137" s="18" t="n"/>
      <c r="H137" s="18" t="n"/>
      <c r="I137" s="18" t="n"/>
      <c r="J137" s="18" t="n"/>
      <c r="K137" s="18" t="n"/>
      <c r="L137" s="18" t="n"/>
      <c r="M137" s="18" t="n"/>
      <c r="N137" s="18" t="n"/>
      <c r="O137" s="18" t="n"/>
      <c r="P137" s="18" t="n"/>
      <c r="Q137" s="18" t="n"/>
    </row>
    <row r="138">
      <c r="A138" s="18" t="n"/>
      <c r="B138" s="18" t="n"/>
      <c r="C138" s="18" t="n"/>
      <c r="D138" s="18" t="n"/>
      <c r="E138" s="18" t="n"/>
      <c r="F138" s="18" t="n"/>
      <c r="G138" s="18" t="n"/>
      <c r="H138" s="18" t="n"/>
      <c r="I138" s="18" t="n"/>
      <c r="J138" s="18" t="n"/>
      <c r="K138" s="18" t="n"/>
      <c r="L138" s="18" t="n"/>
      <c r="M138" s="18" t="n"/>
      <c r="N138" s="18" t="n"/>
      <c r="O138" s="18" t="n"/>
      <c r="P138" s="18" t="n"/>
      <c r="Q138" s="18" t="n"/>
    </row>
    <row r="139">
      <c r="A139" s="18" t="n"/>
      <c r="B139" s="18" t="n"/>
      <c r="C139" s="18" t="n"/>
      <c r="D139" s="18" t="n"/>
      <c r="E139" s="18" t="n"/>
      <c r="F139" s="18" t="n"/>
      <c r="G139" s="18" t="n"/>
      <c r="H139" s="18" t="n"/>
      <c r="I139" s="18" t="n"/>
      <c r="J139" s="18" t="n"/>
      <c r="K139" s="18" t="n"/>
      <c r="L139" s="18" t="n"/>
      <c r="M139" s="18" t="n"/>
      <c r="N139" s="18" t="n"/>
      <c r="O139" s="18" t="n"/>
      <c r="P139" s="18" t="n"/>
      <c r="Q139" s="18" t="n"/>
    </row>
    <row r="140">
      <c r="A140" s="18" t="n"/>
      <c r="B140" s="18" t="n"/>
      <c r="C140" s="18" t="n"/>
      <c r="D140" s="18" t="n"/>
      <c r="E140" s="18" t="n"/>
      <c r="F140" s="18" t="n"/>
      <c r="G140" s="18" t="n"/>
      <c r="H140" s="18" t="n"/>
      <c r="I140" s="18" t="n"/>
      <c r="J140" s="18" t="n"/>
      <c r="K140" s="18" t="n"/>
      <c r="L140" s="18" t="n"/>
      <c r="M140" s="18" t="n"/>
      <c r="N140" s="18" t="n"/>
      <c r="O140" s="18" t="n"/>
      <c r="P140" s="18" t="n"/>
      <c r="Q140" s="18" t="n"/>
    </row>
    <row r="141">
      <c r="A141" s="18" t="n"/>
      <c r="B141" s="18" t="n"/>
      <c r="C141" s="18" t="n"/>
      <c r="D141" s="18" t="n"/>
      <c r="E141" s="18" t="n"/>
      <c r="F141" s="18" t="n"/>
      <c r="G141" s="18" t="n"/>
      <c r="H141" s="18" t="n"/>
      <c r="I141" s="18" t="n"/>
      <c r="J141" s="18" t="n"/>
      <c r="K141" s="18" t="n"/>
      <c r="L141" s="18" t="n"/>
      <c r="M141" s="18" t="n"/>
      <c r="N141" s="18" t="n"/>
      <c r="O141" s="18" t="n"/>
      <c r="P141" s="18" t="n"/>
      <c r="Q141" s="18" t="n"/>
    </row>
    <row r="142">
      <c r="A142" s="18" t="n"/>
      <c r="B142" s="18" t="n"/>
      <c r="C142" s="18" t="n"/>
      <c r="D142" s="18" t="n"/>
      <c r="E142" s="18" t="n"/>
      <c r="F142" s="18" t="n"/>
      <c r="G142" s="18" t="n"/>
      <c r="H142" s="18" t="n"/>
      <c r="I142" s="18" t="n"/>
      <c r="J142" s="18" t="n"/>
      <c r="K142" s="18" t="n"/>
      <c r="L142" s="18" t="n"/>
      <c r="M142" s="18" t="n"/>
      <c r="N142" s="18" t="n"/>
      <c r="O142" s="18" t="n"/>
      <c r="P142" s="18" t="n"/>
      <c r="Q142" s="18" t="n"/>
    </row>
    <row r="143">
      <c r="A143" s="18" t="n"/>
      <c r="B143" s="18" t="n"/>
      <c r="C143" s="18" t="n"/>
      <c r="D143" s="18" t="n"/>
      <c r="E143" s="18" t="n"/>
      <c r="F143" s="18" t="n"/>
      <c r="G143" s="18" t="n"/>
      <c r="H143" s="18" t="n"/>
      <c r="I143" s="18" t="n"/>
      <c r="J143" s="18" t="n"/>
      <c r="K143" s="18" t="n"/>
      <c r="L143" s="18" t="n"/>
      <c r="M143" s="18" t="n"/>
      <c r="N143" s="18" t="n"/>
      <c r="O143" s="18" t="n"/>
      <c r="P143" s="18" t="n"/>
      <c r="Q143" s="18" t="n"/>
    </row>
    <row r="144">
      <c r="A144" s="18" t="n"/>
      <c r="B144" s="18" t="n"/>
      <c r="C144" s="18" t="n"/>
      <c r="D144" s="18" t="n"/>
      <c r="E144" s="18" t="n"/>
      <c r="F144" s="18" t="n"/>
      <c r="G144" s="18" t="n"/>
      <c r="H144" s="18" t="n"/>
      <c r="I144" s="18" t="n"/>
      <c r="J144" s="18" t="n"/>
      <c r="K144" s="18" t="n"/>
      <c r="L144" s="18" t="n"/>
      <c r="M144" s="18" t="n"/>
      <c r="N144" s="18" t="n"/>
      <c r="O144" s="18" t="n"/>
      <c r="P144" s="18" t="n"/>
      <c r="Q144" s="18" t="n"/>
    </row>
    <row r="145">
      <c r="A145" s="18" t="n"/>
      <c r="B145" s="18" t="n"/>
      <c r="C145" s="18" t="n"/>
      <c r="D145" s="18" t="n"/>
      <c r="E145" s="18" t="n"/>
      <c r="F145" s="18" t="n"/>
      <c r="G145" s="18" t="n"/>
      <c r="H145" s="18" t="n"/>
      <c r="I145" s="18" t="n"/>
      <c r="J145" s="18" t="n"/>
      <c r="K145" s="18" t="n"/>
      <c r="L145" s="18" t="n"/>
      <c r="M145" s="18" t="n"/>
      <c r="N145" s="18" t="n"/>
      <c r="O145" s="18" t="n"/>
      <c r="P145" s="18" t="n"/>
      <c r="Q145" s="18" t="n"/>
    </row>
    <row r="146">
      <c r="A146" s="18" t="n"/>
      <c r="B146" s="18" t="n"/>
      <c r="C146" s="18" t="n"/>
      <c r="D146" s="18" t="n"/>
      <c r="E146" s="18" t="n"/>
      <c r="F146" s="18" t="n"/>
      <c r="G146" s="18" t="n"/>
      <c r="H146" s="18" t="n"/>
      <c r="I146" s="18" t="n"/>
      <c r="J146" s="18" t="n"/>
      <c r="K146" s="18" t="n"/>
      <c r="L146" s="18" t="n"/>
      <c r="M146" s="18" t="n"/>
      <c r="N146" s="18" t="n"/>
      <c r="O146" s="18" t="n"/>
      <c r="P146" s="18" t="n"/>
      <c r="Q146" s="18" t="n"/>
    </row>
    <row r="147">
      <c r="A147" s="18" t="n"/>
      <c r="B147" s="18" t="n"/>
      <c r="C147" s="18" t="n"/>
      <c r="D147" s="18" t="n"/>
      <c r="E147" s="18" t="n"/>
      <c r="F147" s="18" t="n"/>
      <c r="G147" s="18" t="n"/>
      <c r="H147" s="18" t="n"/>
      <c r="I147" s="18" t="n"/>
      <c r="J147" s="18" t="n"/>
      <c r="K147" s="18" t="n"/>
      <c r="L147" s="18" t="n"/>
      <c r="M147" s="18" t="n"/>
      <c r="N147" s="18" t="n"/>
      <c r="O147" s="18" t="n"/>
      <c r="P147" s="18" t="n"/>
      <c r="Q147" s="18" t="n"/>
    </row>
    <row r="148">
      <c r="A148" s="18" t="n"/>
      <c r="B148" s="18" t="n"/>
      <c r="C148" s="18" t="n"/>
      <c r="D148" s="18" t="n"/>
      <c r="E148" s="18" t="n"/>
      <c r="F148" s="18" t="n"/>
      <c r="G148" s="18" t="n"/>
      <c r="H148" s="18" t="n"/>
      <c r="I148" s="18" t="n"/>
      <c r="J148" s="18" t="n"/>
      <c r="K148" s="18" t="n"/>
      <c r="L148" s="18" t="n"/>
      <c r="M148" s="18" t="n"/>
      <c r="N148" s="18" t="n"/>
      <c r="O148" s="18" t="n"/>
      <c r="P148" s="18" t="n"/>
      <c r="Q148" s="18" t="n"/>
    </row>
    <row r="149">
      <c r="A149" s="18" t="n"/>
      <c r="B149" s="18" t="n"/>
      <c r="C149" s="18" t="n"/>
      <c r="D149" s="18" t="n"/>
      <c r="E149" s="18" t="n"/>
      <c r="F149" s="18" t="n"/>
      <c r="G149" s="18" t="n"/>
      <c r="H149" s="18" t="n"/>
      <c r="I149" s="18" t="n"/>
      <c r="J149" s="18" t="n"/>
      <c r="K149" s="18" t="n"/>
      <c r="L149" s="18" t="n"/>
      <c r="M149" s="18" t="n"/>
      <c r="N149" s="18" t="n"/>
      <c r="O149" s="18" t="n"/>
      <c r="P149" s="18" t="n"/>
      <c r="Q149" s="18" t="n"/>
    </row>
    <row r="150">
      <c r="A150" s="18" t="n"/>
      <c r="B150" s="18" t="n"/>
      <c r="C150" s="18" t="n"/>
      <c r="D150" s="18" t="n"/>
      <c r="E150" s="18" t="n"/>
      <c r="F150" s="18" t="n"/>
      <c r="G150" s="18" t="n"/>
      <c r="H150" s="18" t="n"/>
      <c r="I150" s="18" t="n"/>
      <c r="J150" s="18" t="n"/>
      <c r="K150" s="18" t="n"/>
      <c r="L150" s="18" t="n"/>
      <c r="M150" s="18" t="n"/>
      <c r="N150" s="18" t="n"/>
      <c r="O150" s="18" t="n"/>
      <c r="P150" s="18" t="n"/>
      <c r="Q150" s="18" t="n"/>
    </row>
    <row r="151">
      <c r="A151" s="18" t="n"/>
      <c r="B151" s="18" t="n"/>
      <c r="C151" s="18" t="n"/>
      <c r="D151" s="18" t="n"/>
      <c r="E151" s="18" t="n"/>
      <c r="F151" s="18" t="n"/>
      <c r="G151" s="18" t="n"/>
      <c r="H151" s="18" t="n"/>
      <c r="I151" s="18" t="n"/>
      <c r="J151" s="18" t="n"/>
      <c r="K151" s="18" t="n"/>
      <c r="L151" s="18" t="n"/>
      <c r="M151" s="18" t="n"/>
      <c r="N151" s="18" t="n"/>
      <c r="O151" s="18" t="n"/>
      <c r="P151" s="18" t="n"/>
      <c r="Q151" s="18" t="n"/>
    </row>
    <row r="152">
      <c r="A152" s="18" t="n"/>
      <c r="B152" s="18" t="n"/>
      <c r="C152" s="18" t="n"/>
      <c r="D152" s="18" t="n"/>
      <c r="E152" s="18" t="n"/>
      <c r="F152" s="18" t="n"/>
      <c r="G152" s="18" t="n"/>
      <c r="H152" s="18" t="n"/>
      <c r="I152" s="18" t="n"/>
      <c r="J152" s="18" t="n"/>
      <c r="K152" s="18" t="n"/>
      <c r="L152" s="18" t="n"/>
      <c r="M152" s="18" t="n"/>
      <c r="N152" s="18" t="n"/>
      <c r="O152" s="18" t="n"/>
      <c r="P152" s="18" t="n"/>
      <c r="Q152" s="18" t="n"/>
    </row>
    <row r="153">
      <c r="A153" s="18" t="n"/>
      <c r="B153" s="18" t="n"/>
      <c r="C153" s="18" t="n"/>
      <c r="D153" s="18" t="n"/>
      <c r="E153" s="18" t="n"/>
      <c r="F153" s="18" t="n"/>
      <c r="G153" s="18" t="n"/>
      <c r="H153" s="18" t="n"/>
      <c r="I153" s="18" t="n"/>
      <c r="J153" s="18" t="n"/>
      <c r="K153" s="18" t="n"/>
      <c r="L153" s="18" t="n"/>
      <c r="M153" s="18" t="n"/>
      <c r="N153" s="18" t="n"/>
      <c r="O153" s="18" t="n"/>
      <c r="P153" s="18" t="n"/>
      <c r="Q153" s="18" t="n"/>
    </row>
    <row r="154">
      <c r="A154" s="18" t="n"/>
      <c r="B154" s="18" t="n"/>
      <c r="C154" s="18" t="n"/>
      <c r="D154" s="18" t="n"/>
      <c r="E154" s="18" t="n"/>
      <c r="F154" s="18" t="n"/>
      <c r="G154" s="18" t="n"/>
      <c r="H154" s="18" t="n"/>
      <c r="I154" s="18" t="n"/>
      <c r="J154" s="18" t="n"/>
      <c r="K154" s="18" t="n"/>
      <c r="L154" s="18" t="n"/>
      <c r="M154" s="18" t="n"/>
      <c r="N154" s="18" t="n"/>
      <c r="O154" s="18" t="n"/>
      <c r="P154" s="18" t="n"/>
      <c r="Q154" s="18" t="n"/>
    </row>
    <row r="155">
      <c r="A155" s="18" t="n"/>
      <c r="B155" s="18" t="n"/>
      <c r="C155" s="18" t="n"/>
      <c r="D155" s="18" t="n"/>
      <c r="E155" s="18" t="n"/>
      <c r="F155" s="18" t="n"/>
      <c r="G155" s="18" t="n"/>
      <c r="H155" s="18" t="n"/>
      <c r="I155" s="18" t="n"/>
      <c r="J155" s="18" t="n"/>
      <c r="K155" s="18" t="n"/>
      <c r="L155" s="18" t="n"/>
      <c r="M155" s="18" t="n"/>
      <c r="N155" s="18" t="n"/>
      <c r="O155" s="18" t="n"/>
      <c r="P155" s="18" t="n"/>
      <c r="Q155" s="18" t="n"/>
    </row>
    <row r="156">
      <c r="A156" s="18" t="n"/>
      <c r="B156" s="18" t="n"/>
      <c r="C156" s="18" t="n"/>
      <c r="D156" s="18" t="n"/>
      <c r="E156" s="18" t="n"/>
      <c r="F156" s="18" t="n"/>
      <c r="G156" s="18" t="n"/>
      <c r="H156" s="18" t="n"/>
      <c r="I156" s="18" t="n"/>
      <c r="J156" s="18" t="n"/>
      <c r="K156" s="18" t="n"/>
      <c r="L156" s="18" t="n"/>
      <c r="M156" s="18" t="n"/>
      <c r="N156" s="18" t="n"/>
      <c r="O156" s="18" t="n"/>
      <c r="P156" s="18" t="n"/>
      <c r="Q156" s="18" t="n"/>
    </row>
    <row r="157">
      <c r="A157" s="18" t="n"/>
      <c r="B157" s="18" t="n"/>
      <c r="C157" s="18" t="n"/>
      <c r="D157" s="18" t="n"/>
      <c r="E157" s="18" t="n"/>
      <c r="F157" s="18" t="n"/>
      <c r="G157" s="18" t="n"/>
      <c r="H157" s="18" t="n"/>
      <c r="I157" s="18" t="n"/>
      <c r="J157" s="18" t="n"/>
      <c r="K157" s="18" t="n"/>
      <c r="L157" s="18" t="n"/>
      <c r="M157" s="18" t="n"/>
      <c r="N157" s="18" t="n"/>
      <c r="O157" s="18" t="n"/>
      <c r="P157" s="18" t="n"/>
      <c r="Q157" s="18" t="n"/>
    </row>
    <row r="158">
      <c r="A158" s="18" t="n"/>
      <c r="B158" s="18" t="n"/>
      <c r="C158" s="18" t="n"/>
      <c r="D158" s="18" t="n"/>
      <c r="E158" s="18" t="n"/>
      <c r="F158" s="18" t="n"/>
      <c r="G158" s="18" t="n"/>
      <c r="H158" s="18" t="n"/>
      <c r="I158" s="18" t="n"/>
      <c r="J158" s="18" t="n"/>
      <c r="K158" s="18" t="n"/>
      <c r="L158" s="18" t="n"/>
      <c r="M158" s="18" t="n"/>
      <c r="N158" s="18" t="n"/>
      <c r="O158" s="18" t="n"/>
      <c r="P158" s="18" t="n"/>
      <c r="Q158" s="18" t="n"/>
    </row>
    <row r="159">
      <c r="A159" s="18" t="n"/>
      <c r="B159" s="18" t="n"/>
      <c r="C159" s="18" t="n"/>
      <c r="D159" s="18" t="n"/>
      <c r="E159" s="18" t="n"/>
      <c r="F159" s="18" t="n"/>
      <c r="G159" s="18" t="n"/>
      <c r="H159" s="18" t="n"/>
      <c r="I159" s="18" t="n"/>
      <c r="J159" s="18" t="n"/>
      <c r="K159" s="18" t="n"/>
      <c r="L159" s="18" t="n"/>
      <c r="M159" s="18" t="n"/>
      <c r="N159" s="18" t="n"/>
      <c r="O159" s="18" t="n"/>
      <c r="P159" s="18" t="n"/>
      <c r="Q159" s="18" t="n"/>
    </row>
    <row r="160">
      <c r="A160" s="18" t="n"/>
      <c r="B160" s="18" t="n"/>
      <c r="C160" s="18" t="n"/>
      <c r="D160" s="18" t="n"/>
      <c r="E160" s="18" t="n"/>
      <c r="F160" s="18" t="n"/>
      <c r="G160" s="18" t="n"/>
      <c r="H160" s="18" t="n"/>
      <c r="I160" s="18" t="n"/>
      <c r="J160" s="18" t="n"/>
      <c r="K160" s="18" t="n"/>
      <c r="L160" s="18" t="n"/>
      <c r="M160" s="18" t="n"/>
      <c r="N160" s="18" t="n"/>
      <c r="O160" s="18" t="n"/>
      <c r="P160" s="18" t="n"/>
      <c r="Q160" s="18" t="n"/>
    </row>
    <row r="161">
      <c r="A161" s="18" t="n"/>
      <c r="B161" s="18" t="n"/>
      <c r="C161" s="18" t="n"/>
      <c r="D161" s="18" t="n"/>
      <c r="E161" s="18" t="n"/>
      <c r="F161" s="18" t="n"/>
      <c r="G161" s="18" t="n"/>
      <c r="H161" s="18" t="n"/>
      <c r="I161" s="18" t="n"/>
      <c r="J161" s="18" t="n"/>
      <c r="K161" s="18" t="n"/>
      <c r="L161" s="18" t="n"/>
      <c r="M161" s="18" t="n"/>
      <c r="N161" s="18" t="n"/>
      <c r="O161" s="18" t="n"/>
      <c r="P161" s="18" t="n"/>
      <c r="Q161" s="18" t="n"/>
    </row>
    <row r="162">
      <c r="A162" s="18" t="n"/>
      <c r="B162" s="18" t="n"/>
      <c r="C162" s="18" t="n"/>
      <c r="D162" s="18" t="n"/>
      <c r="E162" s="18" t="n"/>
      <c r="F162" s="18" t="n"/>
      <c r="G162" s="18" t="n"/>
      <c r="H162" s="18" t="n"/>
      <c r="I162" s="18" t="n"/>
      <c r="J162" s="18" t="n"/>
      <c r="K162" s="18" t="n"/>
      <c r="L162" s="18" t="n"/>
      <c r="M162" s="18" t="n"/>
      <c r="N162" s="18" t="n"/>
      <c r="O162" s="18" t="n"/>
      <c r="P162" s="18" t="n"/>
      <c r="Q162" s="18" t="n"/>
    </row>
    <row r="163">
      <c r="A163" s="18" t="n"/>
      <c r="B163" s="18" t="n"/>
      <c r="C163" s="18" t="n"/>
      <c r="D163" s="18" t="n"/>
      <c r="E163" s="18" t="n"/>
      <c r="F163" s="18" t="n"/>
      <c r="G163" s="18" t="n"/>
      <c r="H163" s="18" t="n"/>
      <c r="I163" s="18" t="n"/>
      <c r="J163" s="18" t="n"/>
      <c r="K163" s="18" t="n"/>
      <c r="L163" s="18" t="n"/>
      <c r="M163" s="18" t="n"/>
      <c r="N163" s="18" t="n"/>
      <c r="O163" s="18" t="n"/>
      <c r="P163" s="18" t="n"/>
      <c r="Q163" s="18" t="n"/>
    </row>
    <row r="164">
      <c r="A164" s="18" t="n"/>
      <c r="B164" s="18" t="n"/>
      <c r="C164" s="18" t="n"/>
      <c r="D164" s="18" t="n"/>
      <c r="E164" s="18" t="n"/>
      <c r="F164" s="18" t="n"/>
      <c r="G164" s="18" t="n"/>
      <c r="H164" s="18" t="n"/>
      <c r="I164" s="18" t="n"/>
      <c r="J164" s="18" t="n"/>
      <c r="K164" s="18" t="n"/>
      <c r="L164" s="18" t="n"/>
      <c r="M164" s="18" t="n"/>
      <c r="N164" s="18" t="n"/>
      <c r="O164" s="18" t="n"/>
      <c r="P164" s="18" t="n"/>
      <c r="Q164" s="18" t="n"/>
    </row>
    <row r="165">
      <c r="A165" s="18" t="n"/>
      <c r="B165" s="18" t="n"/>
      <c r="C165" s="18" t="n"/>
      <c r="D165" s="18" t="n"/>
      <c r="E165" s="18" t="n"/>
      <c r="F165" s="18" t="n"/>
      <c r="G165" s="18" t="n"/>
      <c r="H165" s="18" t="n"/>
      <c r="I165" s="18" t="n"/>
      <c r="J165" s="18" t="n"/>
      <c r="K165" s="18" t="n"/>
      <c r="L165" s="18" t="n"/>
      <c r="M165" s="18" t="n"/>
      <c r="N165" s="18" t="n"/>
      <c r="O165" s="18" t="n"/>
      <c r="P165" s="18" t="n"/>
      <c r="Q165" s="18" t="n"/>
    </row>
    <row r="166">
      <c r="A166" s="18" t="n"/>
      <c r="B166" s="18" t="n"/>
      <c r="C166" s="18" t="n"/>
      <c r="D166" s="18" t="n"/>
      <c r="E166" s="18" t="n"/>
      <c r="F166" s="18" t="n"/>
      <c r="G166" s="18" t="n"/>
      <c r="H166" s="18" t="n"/>
      <c r="I166" s="18" t="n"/>
      <c r="J166" s="18" t="n"/>
      <c r="K166" s="18" t="n"/>
      <c r="L166" s="18" t="n"/>
      <c r="M166" s="18" t="n"/>
      <c r="N166" s="18" t="n"/>
      <c r="O166" s="18" t="n"/>
      <c r="P166" s="18" t="n"/>
      <c r="Q166" s="18" t="n"/>
    </row>
    <row r="167">
      <c r="A167" s="18" t="n"/>
      <c r="B167" s="18" t="n"/>
      <c r="C167" s="18" t="n"/>
      <c r="D167" s="18" t="n"/>
      <c r="E167" s="18" t="n"/>
      <c r="F167" s="18" t="n"/>
      <c r="G167" s="18" t="n"/>
      <c r="H167" s="18" t="n"/>
      <c r="I167" s="18" t="n"/>
      <c r="J167" s="18" t="n"/>
      <c r="K167" s="18" t="n"/>
      <c r="L167" s="18" t="n"/>
      <c r="M167" s="18" t="n"/>
      <c r="N167" s="18" t="n"/>
      <c r="O167" s="18" t="n"/>
      <c r="P167" s="18" t="n"/>
      <c r="Q167" s="18" t="n"/>
    </row>
    <row r="168">
      <c r="A168" s="18" t="n"/>
      <c r="B168" s="18" t="n"/>
      <c r="C168" s="18" t="n"/>
      <c r="D168" s="18" t="n"/>
      <c r="E168" s="18" t="n"/>
      <c r="F168" s="18" t="n"/>
      <c r="G168" s="18" t="n"/>
      <c r="H168" s="18" t="n"/>
      <c r="I168" s="18" t="n"/>
      <c r="J168" s="18" t="n"/>
      <c r="K168" s="18" t="n"/>
      <c r="L168" s="18" t="n"/>
      <c r="M168" s="18" t="n"/>
      <c r="N168" s="18" t="n"/>
      <c r="O168" s="18" t="n"/>
      <c r="P168" s="18" t="n"/>
      <c r="Q168" s="18" t="n"/>
    </row>
    <row r="169">
      <c r="A169" s="18" t="n"/>
      <c r="B169" s="18" t="n"/>
      <c r="C169" s="18" t="n"/>
      <c r="D169" s="18" t="n"/>
      <c r="E169" s="18" t="n"/>
      <c r="F169" s="18" t="n"/>
      <c r="G169" s="18" t="n"/>
      <c r="H169" s="18" t="n"/>
      <c r="I169" s="18" t="n"/>
      <c r="J169" s="18" t="n"/>
      <c r="K169" s="18" t="n"/>
      <c r="L169" s="18" t="n"/>
      <c r="M169" s="18" t="n"/>
      <c r="N169" s="18" t="n"/>
      <c r="O169" s="18" t="n"/>
      <c r="P169" s="18" t="n"/>
      <c r="Q169" s="18" t="n"/>
    </row>
    <row r="170">
      <c r="A170" s="18" t="n"/>
      <c r="B170" s="18" t="n"/>
      <c r="C170" s="18" t="n"/>
      <c r="D170" s="18" t="n"/>
      <c r="E170" s="18" t="n"/>
      <c r="F170" s="18" t="n"/>
      <c r="G170" s="18" t="n"/>
      <c r="H170" s="18" t="n"/>
      <c r="I170" s="18" t="n"/>
      <c r="J170" s="18" t="n"/>
      <c r="K170" s="18" t="n"/>
      <c r="L170" s="18" t="n"/>
      <c r="M170" s="18" t="n"/>
      <c r="N170" s="18" t="n"/>
      <c r="O170" s="18" t="n"/>
      <c r="P170" s="18" t="n"/>
      <c r="Q170" s="18" t="n"/>
    </row>
    <row r="171">
      <c r="A171" s="18" t="n"/>
      <c r="B171" s="18" t="n"/>
      <c r="C171" s="18" t="n"/>
      <c r="D171" s="18" t="n"/>
      <c r="E171" s="18" t="n"/>
      <c r="F171" s="18" t="n"/>
      <c r="G171" s="18" t="n"/>
      <c r="H171" s="18" t="n"/>
      <c r="I171" s="18" t="n"/>
      <c r="J171" s="18" t="n"/>
      <c r="K171" s="18" t="n"/>
      <c r="L171" s="18" t="n"/>
      <c r="M171" s="18" t="n"/>
      <c r="N171" s="18" t="n"/>
      <c r="O171" s="18" t="n"/>
      <c r="P171" s="18" t="n"/>
      <c r="Q171" s="18" t="n"/>
    </row>
    <row r="172">
      <c r="A172" s="18" t="n"/>
      <c r="B172" s="18" t="n"/>
      <c r="C172" s="18" t="n"/>
      <c r="D172" s="18" t="n"/>
      <c r="E172" s="18" t="n"/>
      <c r="F172" s="18" t="n"/>
      <c r="G172" s="18" t="n"/>
      <c r="H172" s="18" t="n"/>
      <c r="I172" s="18" t="n"/>
      <c r="J172" s="18" t="n"/>
      <c r="K172" s="18" t="n"/>
      <c r="L172" s="18" t="n"/>
      <c r="M172" s="18" t="n"/>
      <c r="N172" s="18" t="n"/>
      <c r="O172" s="18" t="n"/>
      <c r="P172" s="18" t="n"/>
      <c r="Q172" s="18" t="n"/>
    </row>
    <row r="173">
      <c r="A173" s="18" t="n"/>
      <c r="B173" s="18" t="n"/>
      <c r="C173" s="18" t="n"/>
      <c r="D173" s="18" t="n"/>
      <c r="E173" s="18" t="n"/>
      <c r="F173" s="18" t="n"/>
      <c r="G173" s="18" t="n"/>
      <c r="H173" s="18" t="n"/>
      <c r="I173" s="18" t="n"/>
      <c r="J173" s="18" t="n"/>
      <c r="K173" s="18" t="n"/>
      <c r="L173" s="18" t="n"/>
      <c r="M173" s="18" t="n"/>
      <c r="N173" s="18" t="n"/>
      <c r="O173" s="18" t="n"/>
      <c r="P173" s="18" t="n"/>
      <c r="Q173" s="18" t="n"/>
    </row>
    <row r="174">
      <c r="A174" s="18" t="n"/>
      <c r="B174" s="18" t="n"/>
      <c r="C174" s="18" t="n"/>
      <c r="D174" s="18" t="n"/>
      <c r="E174" s="18" t="n"/>
      <c r="F174" s="18" t="n"/>
      <c r="G174" s="18" t="n"/>
      <c r="H174" s="18" t="n"/>
      <c r="I174" s="18" t="n"/>
      <c r="J174" s="18" t="n"/>
      <c r="K174" s="18" t="n"/>
      <c r="L174" s="18" t="n"/>
      <c r="M174" s="18" t="n"/>
      <c r="N174" s="18" t="n"/>
      <c r="O174" s="18" t="n"/>
      <c r="P174" s="18" t="n"/>
      <c r="Q174" s="18" t="n"/>
    </row>
    <row r="175">
      <c r="A175" s="18" t="n"/>
      <c r="B175" s="18" t="n"/>
      <c r="C175" s="18" t="n"/>
      <c r="D175" s="18" t="n"/>
      <c r="E175" s="18" t="n"/>
      <c r="F175" s="18" t="n"/>
      <c r="G175" s="18" t="n"/>
      <c r="H175" s="18" t="n"/>
      <c r="I175" s="18" t="n"/>
      <c r="J175" s="18" t="n"/>
      <c r="K175" s="18" t="n"/>
      <c r="L175" s="18" t="n"/>
      <c r="M175" s="18" t="n"/>
      <c r="N175" s="18" t="n"/>
      <c r="O175" s="18" t="n"/>
      <c r="P175" s="18" t="n"/>
      <c r="Q175" s="18" t="n"/>
    </row>
    <row r="176">
      <c r="A176" s="18" t="n"/>
      <c r="B176" s="18" t="n"/>
      <c r="C176" s="18" t="n"/>
      <c r="D176" s="18" t="n"/>
      <c r="E176" s="18" t="n"/>
      <c r="F176" s="18" t="n"/>
      <c r="G176" s="18" t="n"/>
      <c r="H176" s="18" t="n"/>
      <c r="I176" s="18" t="n"/>
      <c r="J176" s="18" t="n"/>
      <c r="K176" s="18" t="n"/>
      <c r="L176" s="18" t="n"/>
      <c r="M176" s="18" t="n"/>
      <c r="N176" s="18" t="n"/>
      <c r="O176" s="18" t="n"/>
      <c r="P176" s="18" t="n"/>
      <c r="Q176" s="18" t="n"/>
    </row>
    <row r="177">
      <c r="A177" s="18" t="n"/>
      <c r="B177" s="18" t="n"/>
      <c r="C177" s="18" t="n"/>
      <c r="D177" s="18" t="n"/>
      <c r="E177" s="18" t="n"/>
      <c r="F177" s="18" t="n"/>
      <c r="G177" s="18" t="n"/>
      <c r="H177" s="18" t="n"/>
      <c r="I177" s="18" t="n"/>
      <c r="J177" s="18" t="n"/>
      <c r="K177" s="18" t="n"/>
      <c r="L177" s="18" t="n"/>
      <c r="M177" s="18" t="n"/>
      <c r="N177" s="18" t="n"/>
      <c r="O177" s="18" t="n"/>
      <c r="P177" s="18" t="n"/>
      <c r="Q177" s="18" t="n"/>
    </row>
    <row r="178">
      <c r="A178" s="18" t="n"/>
      <c r="B178" s="18" t="n"/>
      <c r="C178" s="18" t="n"/>
      <c r="D178" s="18" t="n"/>
      <c r="E178" s="18" t="n"/>
      <c r="F178" s="18" t="n"/>
      <c r="G178" s="18" t="n"/>
      <c r="H178" s="18" t="n"/>
      <c r="I178" s="18" t="n"/>
      <c r="J178" s="18" t="n"/>
      <c r="K178" s="18" t="n"/>
      <c r="L178" s="18" t="n"/>
      <c r="M178" s="18" t="n"/>
      <c r="N178" s="18" t="n"/>
      <c r="O178" s="18" t="n"/>
      <c r="P178" s="18" t="n"/>
      <c r="Q178" s="18" t="n"/>
    </row>
    <row r="179">
      <c r="A179" s="18" t="n"/>
      <c r="B179" s="18" t="n"/>
      <c r="C179" s="18" t="n"/>
      <c r="D179" s="18" t="n"/>
      <c r="E179" s="18" t="n"/>
      <c r="F179" s="18" t="n"/>
      <c r="G179" s="18" t="n"/>
      <c r="H179" s="18" t="n"/>
      <c r="I179" s="18" t="n"/>
      <c r="J179" s="18" t="n"/>
      <c r="K179" s="18" t="n"/>
      <c r="L179" s="18" t="n"/>
      <c r="M179" s="18" t="n"/>
      <c r="N179" s="18" t="n"/>
      <c r="O179" s="18" t="n"/>
      <c r="P179" s="18" t="n"/>
      <c r="Q179" s="18" t="n"/>
    </row>
    <row r="180">
      <c r="A180" s="18" t="n"/>
      <c r="B180" s="18" t="n"/>
      <c r="C180" s="18" t="n"/>
      <c r="D180" s="18" t="n"/>
      <c r="E180" s="18" t="n"/>
      <c r="F180" s="18" t="n"/>
      <c r="G180" s="18" t="n"/>
      <c r="H180" s="18" t="n"/>
      <c r="I180" s="18" t="n"/>
      <c r="J180" s="18" t="n"/>
      <c r="K180" s="18" t="n"/>
      <c r="L180" s="18" t="n"/>
      <c r="M180" s="18" t="n"/>
      <c r="N180" s="18" t="n"/>
      <c r="O180" s="18" t="n"/>
      <c r="P180" s="18" t="n"/>
      <c r="Q180" s="18" t="n"/>
    </row>
    <row r="181">
      <c r="A181" s="18" t="n"/>
      <c r="B181" s="18" t="n"/>
      <c r="C181" s="18" t="n"/>
      <c r="D181" s="18" t="n"/>
      <c r="E181" s="18" t="n"/>
      <c r="F181" s="18" t="n"/>
      <c r="G181" s="18" t="n"/>
      <c r="H181" s="18" t="n"/>
      <c r="I181" s="18" t="n"/>
      <c r="J181" s="18" t="n"/>
      <c r="K181" s="18" t="n"/>
      <c r="L181" s="18" t="n"/>
      <c r="M181" s="18" t="n"/>
      <c r="N181" s="18" t="n"/>
      <c r="O181" s="18" t="n"/>
      <c r="P181" s="18" t="n"/>
      <c r="Q181" s="18" t="n"/>
    </row>
    <row r="182">
      <c r="A182" s="18" t="n"/>
      <c r="B182" s="18" t="n"/>
      <c r="C182" s="18" t="n"/>
      <c r="D182" s="18" t="n"/>
      <c r="E182" s="18" t="n"/>
      <c r="F182" s="18" t="n"/>
      <c r="G182" s="18" t="n"/>
      <c r="H182" s="18" t="n"/>
      <c r="I182" s="18" t="n"/>
      <c r="J182" s="18" t="n"/>
      <c r="K182" s="18" t="n"/>
      <c r="L182" s="18" t="n"/>
      <c r="M182" s="18" t="n"/>
      <c r="N182" s="18" t="n"/>
      <c r="O182" s="18" t="n"/>
      <c r="P182" s="18" t="n"/>
      <c r="Q182" s="18" t="n"/>
    </row>
    <row r="183">
      <c r="A183" s="18" t="n"/>
      <c r="B183" s="18" t="n"/>
      <c r="C183" s="18" t="n"/>
      <c r="D183" s="18" t="n"/>
      <c r="E183" s="18" t="n"/>
      <c r="F183" s="18" t="n"/>
      <c r="G183" s="18" t="n"/>
      <c r="H183" s="18" t="n"/>
      <c r="I183" s="18" t="n"/>
      <c r="J183" s="18" t="n"/>
      <c r="K183" s="18" t="n"/>
      <c r="L183" s="18" t="n"/>
      <c r="M183" s="18" t="n"/>
      <c r="N183" s="18" t="n"/>
      <c r="O183" s="18" t="n"/>
      <c r="P183" s="18" t="n"/>
      <c r="Q183" s="18" t="n"/>
    </row>
    <row r="184">
      <c r="A184" s="18" t="n"/>
      <c r="B184" s="18" t="n"/>
      <c r="C184" s="18" t="n"/>
      <c r="D184" s="18" t="n"/>
      <c r="E184" s="18" t="n"/>
      <c r="F184" s="18" t="n"/>
      <c r="G184" s="18" t="n"/>
      <c r="H184" s="18" t="n"/>
      <c r="I184" s="18" t="n"/>
      <c r="J184" s="18" t="n"/>
      <c r="K184" s="18" t="n"/>
      <c r="L184" s="18" t="n"/>
      <c r="M184" s="18" t="n"/>
      <c r="N184" s="18" t="n"/>
      <c r="O184" s="18" t="n"/>
      <c r="P184" s="18" t="n"/>
      <c r="Q184" s="18" t="n"/>
    </row>
    <row r="185">
      <c r="A185" s="18" t="n"/>
      <c r="B185" s="18" t="n"/>
      <c r="C185" s="18" t="n"/>
      <c r="D185" s="18" t="n"/>
      <c r="E185" s="18" t="n"/>
      <c r="F185" s="18" t="n"/>
      <c r="G185" s="18" t="n"/>
      <c r="H185" s="18" t="n"/>
      <c r="I185" s="18" t="n"/>
      <c r="J185" s="18" t="n"/>
      <c r="K185" s="18" t="n"/>
      <c r="L185" s="18" t="n"/>
      <c r="M185" s="18" t="n"/>
      <c r="N185" s="18" t="n"/>
      <c r="O185" s="18" t="n"/>
      <c r="P185" s="18" t="n"/>
      <c r="Q185" s="18" t="n"/>
    </row>
    <row r="186">
      <c r="A186" s="18" t="n"/>
      <c r="B186" s="18" t="n"/>
      <c r="C186" s="18" t="n"/>
      <c r="D186" s="18" t="n"/>
      <c r="E186" s="18" t="n"/>
      <c r="F186" s="18" t="n"/>
      <c r="G186" s="18" t="n"/>
      <c r="H186" s="18" t="n"/>
      <c r="I186" s="18" t="n"/>
      <c r="J186" s="18" t="n"/>
      <c r="K186" s="18" t="n"/>
      <c r="L186" s="18" t="n"/>
      <c r="M186" s="18" t="n"/>
      <c r="N186" s="18" t="n"/>
      <c r="O186" s="18" t="n"/>
      <c r="P186" s="18" t="n"/>
      <c r="Q186" s="18" t="n"/>
    </row>
    <row r="187">
      <c r="A187" s="18" t="n"/>
      <c r="B187" s="18" t="n"/>
      <c r="C187" s="18" t="n"/>
      <c r="D187" s="18" t="n"/>
      <c r="E187" s="18" t="n"/>
      <c r="F187" s="18" t="n"/>
      <c r="G187" s="18" t="n"/>
      <c r="H187" s="18" t="n"/>
      <c r="I187" s="18" t="n"/>
      <c r="J187" s="18" t="n"/>
      <c r="K187" s="18" t="n"/>
      <c r="L187" s="18" t="n"/>
      <c r="M187" s="18" t="n"/>
      <c r="N187" s="18" t="n"/>
      <c r="O187" s="18" t="n"/>
      <c r="P187" s="18" t="n"/>
      <c r="Q187" s="18" t="n"/>
    </row>
    <row r="188">
      <c r="A188" s="18" t="n"/>
      <c r="B188" s="18" t="n"/>
      <c r="C188" s="18" t="n"/>
      <c r="D188" s="18" t="n"/>
      <c r="E188" s="18" t="n"/>
      <c r="F188" s="18" t="n"/>
      <c r="G188" s="18" t="n"/>
      <c r="H188" s="18" t="n"/>
      <c r="I188" s="18" t="n"/>
      <c r="J188" s="18" t="n"/>
      <c r="K188" s="18" t="n"/>
      <c r="L188" s="18" t="n"/>
      <c r="M188" s="18" t="n"/>
      <c r="N188" s="18" t="n"/>
      <c r="O188" s="18" t="n"/>
      <c r="P188" s="18" t="n"/>
      <c r="Q188" s="18" t="n"/>
    </row>
    <row r="189">
      <c r="A189" s="18" t="n"/>
      <c r="B189" s="18" t="n"/>
      <c r="C189" s="18" t="n"/>
      <c r="D189" s="18" t="n"/>
      <c r="E189" s="18" t="n"/>
      <c r="F189" s="18" t="n"/>
      <c r="G189" s="18" t="n"/>
      <c r="H189" s="18" t="n"/>
      <c r="I189" s="18" t="n"/>
      <c r="J189" s="18" t="n"/>
      <c r="K189" s="18" t="n"/>
      <c r="L189" s="18" t="n"/>
      <c r="M189" s="18" t="n"/>
      <c r="N189" s="18" t="n"/>
      <c r="O189" s="18" t="n"/>
      <c r="P189" s="18" t="n"/>
      <c r="Q189" s="18" t="n"/>
    </row>
    <row r="190">
      <c r="A190" s="18" t="n"/>
      <c r="B190" s="18" t="n"/>
      <c r="C190" s="18" t="n"/>
      <c r="D190" s="18" t="n"/>
      <c r="E190" s="18" t="n"/>
      <c r="F190" s="18" t="n"/>
      <c r="G190" s="18" t="n"/>
      <c r="H190" s="18" t="n"/>
      <c r="I190" s="18" t="n"/>
      <c r="J190" s="18" t="n"/>
      <c r="K190" s="18" t="n"/>
      <c r="L190" s="18" t="n"/>
      <c r="M190" s="18" t="n"/>
      <c r="N190" s="18" t="n"/>
      <c r="O190" s="18" t="n"/>
      <c r="P190" s="18" t="n"/>
      <c r="Q190" s="18" t="n"/>
    </row>
    <row r="191">
      <c r="A191" s="18" t="n"/>
      <c r="B191" s="18" t="n"/>
      <c r="C191" s="18" t="n"/>
      <c r="D191" s="18" t="n"/>
      <c r="E191" s="18" t="n"/>
      <c r="F191" s="18" t="n"/>
      <c r="G191" s="18" t="n"/>
      <c r="H191" s="18" t="n"/>
      <c r="I191" s="18" t="n"/>
      <c r="J191" s="18" t="n"/>
      <c r="K191" s="18" t="n"/>
      <c r="L191" s="18" t="n"/>
      <c r="M191" s="18" t="n"/>
      <c r="N191" s="18" t="n"/>
      <c r="O191" s="18" t="n"/>
      <c r="P191" s="18" t="n"/>
      <c r="Q191" s="18" t="n"/>
    </row>
    <row r="192">
      <c r="A192" s="18" t="n"/>
      <c r="B192" s="18" t="n"/>
      <c r="C192" s="18" t="n"/>
      <c r="D192" s="18" t="n"/>
      <c r="E192" s="18" t="n"/>
      <c r="F192" s="18" t="n"/>
      <c r="G192" s="18" t="n"/>
      <c r="H192" s="18" t="n"/>
      <c r="I192" s="18" t="n"/>
      <c r="J192" s="18" t="n"/>
      <c r="K192" s="18" t="n"/>
      <c r="L192" s="18" t="n"/>
      <c r="M192" s="18" t="n"/>
      <c r="N192" s="18" t="n"/>
      <c r="O192" s="18" t="n"/>
      <c r="P192" s="18" t="n"/>
      <c r="Q192" s="18" t="n"/>
    </row>
    <row r="193">
      <c r="A193" s="18" t="n"/>
      <c r="B193" s="18" t="n"/>
      <c r="C193" s="18" t="n"/>
      <c r="D193" s="18" t="n"/>
      <c r="E193" s="18" t="n"/>
      <c r="F193" s="18" t="n"/>
      <c r="G193" s="18" t="n"/>
      <c r="H193" s="18" t="n"/>
      <c r="I193" s="18" t="n"/>
      <c r="J193" s="18" t="n"/>
      <c r="K193" s="18" t="n"/>
      <c r="L193" s="18" t="n"/>
      <c r="M193" s="18" t="n"/>
      <c r="N193" s="18" t="n"/>
      <c r="O193" s="18" t="n"/>
      <c r="P193" s="18" t="n"/>
      <c r="Q193" s="18" t="n"/>
    </row>
    <row r="194">
      <c r="A194" s="18" t="n"/>
      <c r="B194" s="18" t="n"/>
      <c r="C194" s="18" t="n"/>
      <c r="D194" s="18" t="n"/>
      <c r="E194" s="18" t="n"/>
      <c r="F194" s="18" t="n"/>
      <c r="G194" s="18" t="n"/>
      <c r="H194" s="18" t="n"/>
      <c r="I194" s="18" t="n"/>
      <c r="J194" s="18" t="n"/>
      <c r="K194" s="18" t="n"/>
      <c r="L194" s="18" t="n"/>
      <c r="M194" s="18" t="n"/>
      <c r="N194" s="18" t="n"/>
      <c r="O194" s="18" t="n"/>
      <c r="P194" s="18" t="n"/>
      <c r="Q194" s="18" t="n"/>
    </row>
    <row r="195">
      <c r="A195" s="18" t="n"/>
      <c r="B195" s="18" t="n"/>
      <c r="C195" s="18" t="n"/>
      <c r="D195" s="18" t="n"/>
      <c r="E195" s="18" t="n"/>
      <c r="F195" s="18" t="n"/>
      <c r="G195" s="18" t="n"/>
      <c r="H195" s="18" t="n"/>
      <c r="I195" s="18" t="n"/>
      <c r="J195" s="18" t="n"/>
      <c r="K195" s="18" t="n"/>
      <c r="L195" s="18" t="n"/>
      <c r="M195" s="18" t="n"/>
      <c r="N195" s="18" t="n"/>
      <c r="O195" s="18" t="n"/>
      <c r="P195" s="18" t="n"/>
      <c r="Q195" s="18" t="n"/>
    </row>
    <row r="196">
      <c r="A196" s="18" t="n"/>
      <c r="B196" s="18" t="n"/>
      <c r="C196" s="18" t="n"/>
      <c r="D196" s="18" t="n"/>
      <c r="E196" s="18" t="n"/>
      <c r="F196" s="18" t="n"/>
      <c r="G196" s="18" t="n"/>
      <c r="H196" s="18" t="n"/>
      <c r="I196" s="18" t="n"/>
      <c r="J196" s="18" t="n"/>
      <c r="K196" s="18" t="n"/>
      <c r="L196" s="18" t="n"/>
      <c r="M196" s="18" t="n"/>
      <c r="N196" s="18" t="n"/>
      <c r="O196" s="18" t="n"/>
      <c r="P196" s="18" t="n"/>
      <c r="Q196" s="18" t="n"/>
    </row>
    <row r="197">
      <c r="A197" s="18" t="n"/>
      <c r="B197" s="18" t="n"/>
      <c r="C197" s="18" t="n"/>
      <c r="D197" s="18" t="n"/>
      <c r="E197" s="18" t="n"/>
      <c r="F197" s="18" t="n"/>
      <c r="G197" s="18" t="n"/>
      <c r="H197" s="18" t="n"/>
      <c r="I197" s="18" t="n"/>
      <c r="J197" s="18" t="n"/>
      <c r="K197" s="18" t="n"/>
      <c r="L197" s="18" t="n"/>
      <c r="M197" s="18" t="n"/>
      <c r="N197" s="18" t="n"/>
      <c r="O197" s="18" t="n"/>
      <c r="P197" s="18" t="n"/>
      <c r="Q197" s="18" t="n"/>
    </row>
    <row r="198">
      <c r="A198" s="18" t="n"/>
      <c r="B198" s="18" t="n"/>
      <c r="C198" s="18" t="n"/>
      <c r="D198" s="18" t="n"/>
      <c r="E198" s="18" t="n"/>
      <c r="F198" s="18" t="n"/>
      <c r="G198" s="18" t="n"/>
      <c r="H198" s="18" t="n"/>
      <c r="I198" s="18" t="n"/>
      <c r="J198" s="18" t="n"/>
      <c r="K198" s="18" t="n"/>
      <c r="L198" s="18" t="n"/>
      <c r="M198" s="18" t="n"/>
      <c r="N198" s="18" t="n"/>
      <c r="O198" s="18" t="n"/>
      <c r="P198" s="18" t="n"/>
      <c r="Q198" s="18" t="n"/>
    </row>
    <row r="199">
      <c r="A199" s="18" t="n"/>
      <c r="B199" s="18" t="n"/>
      <c r="C199" s="18" t="n"/>
      <c r="D199" s="18" t="n"/>
      <c r="E199" s="18" t="n"/>
      <c r="F199" s="18" t="n"/>
      <c r="G199" s="18" t="n"/>
      <c r="H199" s="18" t="n"/>
      <c r="I199" s="18" t="n"/>
      <c r="J199" s="18" t="n"/>
      <c r="K199" s="18" t="n"/>
      <c r="L199" s="18" t="n"/>
      <c r="M199" s="18" t="n"/>
      <c r="N199" s="18" t="n"/>
      <c r="O199" s="18" t="n"/>
      <c r="P199" s="18" t="n"/>
      <c r="Q199" s="18" t="n"/>
    </row>
    <row r="200">
      <c r="A200" s="18" t="n"/>
      <c r="B200" s="18" t="n"/>
      <c r="C200" s="18" t="n"/>
      <c r="D200" s="18" t="n"/>
      <c r="E200" s="18" t="n"/>
      <c r="F200" s="18" t="n"/>
      <c r="G200" s="18" t="n"/>
      <c r="H200" s="18" t="n"/>
      <c r="I200" s="18" t="n"/>
      <c r="J200" s="18" t="n"/>
      <c r="K200" s="18" t="n"/>
      <c r="L200" s="18" t="n"/>
      <c r="M200" s="18" t="n"/>
      <c r="N200" s="18" t="n"/>
      <c r="O200" s="18" t="n"/>
      <c r="P200" s="18" t="n"/>
      <c r="Q200" s="18" t="n"/>
    </row>
    <row r="201">
      <c r="A201" s="18" t="n"/>
      <c r="B201" s="18" t="n"/>
      <c r="C201" s="18" t="n"/>
      <c r="D201" s="18" t="n"/>
      <c r="E201" s="18" t="n"/>
      <c r="F201" s="18" t="n"/>
      <c r="G201" s="18" t="n"/>
      <c r="H201" s="18" t="n"/>
      <c r="I201" s="18" t="n"/>
      <c r="J201" s="18" t="n"/>
      <c r="K201" s="18" t="n"/>
      <c r="L201" s="18" t="n"/>
      <c r="M201" s="18" t="n"/>
      <c r="N201" s="18" t="n"/>
      <c r="O201" s="18" t="n"/>
      <c r="P201" s="18" t="n"/>
      <c r="Q201" s="18" t="n"/>
    </row>
    <row r="202">
      <c r="A202" s="18" t="n"/>
      <c r="B202" s="18" t="n"/>
      <c r="C202" s="18" t="n"/>
      <c r="D202" s="18" t="n"/>
      <c r="E202" s="18" t="n"/>
      <c r="F202" s="18" t="n"/>
      <c r="G202" s="18" t="n"/>
      <c r="H202" s="18" t="n"/>
      <c r="I202" s="18" t="n"/>
      <c r="J202" s="18" t="n"/>
      <c r="K202" s="18" t="n"/>
      <c r="L202" s="18" t="n"/>
      <c r="M202" s="18" t="n"/>
      <c r="N202" s="18" t="n"/>
      <c r="O202" s="18" t="n"/>
      <c r="P202" s="18" t="n"/>
      <c r="Q202" s="18" t="n"/>
    </row>
    <row r="203">
      <c r="A203" s="18" t="n"/>
      <c r="B203" s="18" t="n"/>
      <c r="C203" s="18" t="n"/>
      <c r="D203" s="18" t="n"/>
      <c r="E203" s="18" t="n"/>
      <c r="F203" s="18" t="n"/>
      <c r="G203" s="18" t="n"/>
      <c r="H203" s="18" t="n"/>
      <c r="I203" s="18" t="n"/>
      <c r="J203" s="18" t="n"/>
      <c r="K203" s="18" t="n"/>
      <c r="L203" s="18" t="n"/>
      <c r="M203" s="18" t="n"/>
      <c r="N203" s="18" t="n"/>
      <c r="O203" s="18" t="n"/>
      <c r="P203" s="18" t="n"/>
      <c r="Q203" s="18" t="n"/>
    </row>
    <row r="204">
      <c r="A204" s="18" t="n"/>
      <c r="B204" s="18" t="n"/>
      <c r="C204" s="18" t="n"/>
      <c r="D204" s="18" t="n"/>
      <c r="E204" s="18" t="n"/>
      <c r="F204" s="18" t="n"/>
      <c r="G204" s="18" t="n"/>
      <c r="H204" s="18" t="n"/>
      <c r="I204" s="18" t="n"/>
      <c r="J204" s="18" t="n"/>
      <c r="K204" s="18" t="n"/>
      <c r="L204" s="18" t="n"/>
      <c r="M204" s="18" t="n"/>
      <c r="N204" s="18" t="n"/>
      <c r="O204" s="18" t="n"/>
      <c r="P204" s="18" t="n"/>
      <c r="Q204" s="18" t="n"/>
    </row>
    <row r="205">
      <c r="A205" s="18" t="n"/>
      <c r="B205" s="18" t="n"/>
      <c r="C205" s="18" t="n"/>
      <c r="D205" s="18" t="n"/>
      <c r="E205" s="18" t="n"/>
      <c r="F205" s="18" t="n"/>
      <c r="G205" s="18" t="n"/>
      <c r="H205" s="18" t="n"/>
      <c r="I205" s="18" t="n"/>
      <c r="J205" s="18" t="n"/>
      <c r="K205" s="18" t="n"/>
      <c r="L205" s="18" t="n"/>
      <c r="M205" s="18" t="n"/>
      <c r="N205" s="18" t="n"/>
      <c r="O205" s="18" t="n"/>
      <c r="P205" s="18" t="n"/>
      <c r="Q205" s="18" t="n"/>
    </row>
    <row r="206">
      <c r="A206" s="18" t="n"/>
      <c r="B206" s="18" t="n"/>
      <c r="C206" s="18" t="n"/>
      <c r="D206" s="18" t="n"/>
      <c r="E206" s="18" t="n"/>
      <c r="F206" s="18" t="n"/>
      <c r="G206" s="18" t="n"/>
      <c r="H206" s="18" t="n"/>
      <c r="I206" s="18" t="n"/>
      <c r="J206" s="18" t="n"/>
      <c r="K206" s="18" t="n"/>
      <c r="L206" s="18" t="n"/>
      <c r="M206" s="18" t="n"/>
      <c r="N206" s="18" t="n"/>
      <c r="O206" s="18" t="n"/>
      <c r="P206" s="18" t="n"/>
      <c r="Q206" s="18" t="n"/>
    </row>
    <row r="207">
      <c r="A207" s="18" t="n"/>
      <c r="B207" s="18" t="n"/>
      <c r="C207" s="18" t="n"/>
      <c r="D207" s="18" t="n"/>
      <c r="E207" s="18" t="n"/>
      <c r="F207" s="18" t="n"/>
      <c r="G207" s="18" t="n"/>
      <c r="H207" s="18" t="n"/>
      <c r="I207" s="18" t="n"/>
      <c r="J207" s="18" t="n"/>
      <c r="K207" s="18" t="n"/>
      <c r="L207" s="18" t="n"/>
      <c r="M207" s="18" t="n"/>
      <c r="N207" s="18" t="n"/>
      <c r="O207" s="18" t="n"/>
      <c r="P207" s="18" t="n"/>
      <c r="Q207" s="18" t="n"/>
    </row>
    <row r="208">
      <c r="A208" s="18" t="n"/>
      <c r="B208" s="18" t="n"/>
      <c r="C208" s="18" t="n"/>
      <c r="D208" s="18" t="n"/>
      <c r="E208" s="18" t="n"/>
      <c r="F208" s="18" t="n"/>
      <c r="G208" s="18" t="n"/>
      <c r="H208" s="18" t="n"/>
      <c r="I208" s="18" t="n"/>
      <c r="J208" s="18" t="n"/>
      <c r="K208" s="18" t="n"/>
      <c r="L208" s="18" t="n"/>
      <c r="M208" s="18" t="n"/>
      <c r="N208" s="18" t="n"/>
      <c r="O208" s="18" t="n"/>
      <c r="P208" s="18" t="n"/>
      <c r="Q208" s="18" t="n"/>
    </row>
    <row r="209">
      <c r="A209" s="18" t="n"/>
      <c r="B209" s="18" t="n"/>
      <c r="C209" s="18" t="n"/>
      <c r="D209" s="18" t="n"/>
      <c r="E209" s="18" t="n"/>
      <c r="F209" s="18" t="n"/>
      <c r="G209" s="18" t="n"/>
      <c r="H209" s="18" t="n"/>
      <c r="I209" s="18" t="n"/>
      <c r="J209" s="18" t="n"/>
      <c r="K209" s="18" t="n"/>
      <c r="L209" s="18" t="n"/>
      <c r="M209" s="18" t="n"/>
      <c r="N209" s="18" t="n"/>
      <c r="O209" s="18" t="n"/>
      <c r="P209" s="18" t="n"/>
      <c r="Q209" s="18" t="n"/>
    </row>
    <row r="210">
      <c r="A210" s="18" t="n"/>
      <c r="B210" s="18" t="n"/>
      <c r="C210" s="18" t="n"/>
      <c r="D210" s="18" t="n"/>
      <c r="E210" s="18" t="n"/>
      <c r="F210" s="18" t="n"/>
      <c r="G210" s="18" t="n"/>
      <c r="H210" s="18" t="n"/>
      <c r="I210" s="18" t="n"/>
      <c r="J210" s="18" t="n"/>
      <c r="K210" s="18" t="n"/>
      <c r="L210" s="18" t="n"/>
      <c r="M210" s="18" t="n"/>
      <c r="N210" s="18" t="n"/>
      <c r="O210" s="18" t="n"/>
      <c r="P210" s="18" t="n"/>
      <c r="Q210" s="18" t="n"/>
    </row>
    <row r="211">
      <c r="A211" s="18" t="n"/>
      <c r="B211" s="18" t="n"/>
      <c r="C211" s="18" t="n"/>
      <c r="D211" s="18" t="n"/>
      <c r="E211" s="18" t="n"/>
      <c r="F211" s="18" t="n"/>
      <c r="G211" s="18" t="n"/>
      <c r="H211" s="18" t="n"/>
      <c r="I211" s="18" t="n"/>
      <c r="J211" s="18" t="n"/>
      <c r="K211" s="18" t="n"/>
      <c r="L211" s="18" t="n"/>
      <c r="M211" s="18" t="n"/>
      <c r="N211" s="18" t="n"/>
      <c r="O211" s="18" t="n"/>
      <c r="P211" s="18" t="n"/>
      <c r="Q211" s="18" t="n"/>
    </row>
    <row r="212">
      <c r="A212" s="18" t="n"/>
      <c r="B212" s="18" t="n"/>
      <c r="C212" s="18" t="n"/>
      <c r="D212" s="18" t="n"/>
      <c r="E212" s="18" t="n"/>
      <c r="F212" s="18" t="n"/>
      <c r="G212" s="18" t="n"/>
      <c r="H212" s="18" t="n"/>
      <c r="I212" s="18" t="n"/>
      <c r="J212" s="18" t="n"/>
      <c r="K212" s="18" t="n"/>
      <c r="L212" s="18" t="n"/>
      <c r="M212" s="18" t="n"/>
      <c r="N212" s="18" t="n"/>
      <c r="O212" s="18" t="n"/>
      <c r="P212" s="18" t="n"/>
      <c r="Q212" s="18" t="n"/>
    </row>
    <row r="213">
      <c r="A213" s="18" t="n"/>
      <c r="B213" s="18" t="n"/>
      <c r="C213" s="18" t="n"/>
      <c r="D213" s="18" t="n"/>
      <c r="E213" s="18" t="n"/>
      <c r="F213" s="18" t="n"/>
      <c r="G213" s="18" t="n"/>
      <c r="H213" s="18" t="n"/>
      <c r="I213" s="18" t="n"/>
      <c r="J213" s="18" t="n"/>
      <c r="K213" s="18" t="n"/>
      <c r="L213" s="18" t="n"/>
      <c r="M213" s="18" t="n"/>
      <c r="N213" s="18" t="n"/>
      <c r="O213" s="18" t="n"/>
      <c r="P213" s="18" t="n"/>
      <c r="Q213" s="18" t="n"/>
    </row>
    <row r="214">
      <c r="A214" s="18" t="n"/>
      <c r="B214" s="18" t="n"/>
      <c r="C214" s="18" t="n"/>
      <c r="D214" s="18" t="n"/>
      <c r="E214" s="18" t="n"/>
      <c r="F214" s="18" t="n"/>
      <c r="G214" s="18" t="n"/>
      <c r="H214" s="18" t="n"/>
      <c r="I214" s="18" t="n"/>
      <c r="J214" s="18" t="n"/>
      <c r="K214" s="18" t="n"/>
      <c r="L214" s="18" t="n"/>
      <c r="M214" s="18" t="n"/>
      <c r="N214" s="18" t="n"/>
      <c r="O214" s="18" t="n"/>
      <c r="P214" s="18" t="n"/>
      <c r="Q214" s="18" t="n"/>
    </row>
    <row r="215">
      <c r="A215" s="18" t="n"/>
      <c r="B215" s="18" t="n"/>
      <c r="C215" s="18" t="n"/>
      <c r="D215" s="18" t="n"/>
      <c r="E215" s="18" t="n"/>
      <c r="F215" s="18" t="n"/>
      <c r="G215" s="18" t="n"/>
      <c r="H215" s="18" t="n"/>
      <c r="I215" s="18" t="n"/>
      <c r="J215" s="18" t="n"/>
      <c r="K215" s="18" t="n"/>
      <c r="L215" s="18" t="n"/>
      <c r="M215" s="18" t="n"/>
      <c r="N215" s="18" t="n"/>
      <c r="O215" s="18" t="n"/>
      <c r="P215" s="18" t="n"/>
      <c r="Q215" s="18" t="n"/>
    </row>
    <row r="216">
      <c r="A216" s="18" t="n"/>
      <c r="B216" s="18" t="n"/>
      <c r="C216" s="18" t="n"/>
      <c r="D216" s="18" t="n"/>
      <c r="E216" s="18" t="n"/>
      <c r="F216" s="18" t="n"/>
      <c r="G216" s="18" t="n"/>
      <c r="H216" s="18" t="n"/>
      <c r="I216" s="18" t="n"/>
      <c r="J216" s="18" t="n"/>
      <c r="K216" s="18" t="n"/>
      <c r="L216" s="18" t="n"/>
      <c r="M216" s="18" t="n"/>
      <c r="N216" s="18" t="n"/>
      <c r="O216" s="18" t="n"/>
      <c r="P216" s="18" t="n"/>
      <c r="Q216" s="18" t="n"/>
    </row>
    <row r="217">
      <c r="A217" s="18" t="n"/>
      <c r="B217" s="18" t="n"/>
      <c r="C217" s="18" t="n"/>
      <c r="D217" s="18" t="n"/>
      <c r="E217" s="18" t="n"/>
      <c r="F217" s="18" t="n"/>
      <c r="G217" s="18" t="n"/>
      <c r="H217" s="18" t="n"/>
      <c r="I217" s="18" t="n"/>
      <c r="J217" s="18" t="n"/>
      <c r="K217" s="18" t="n"/>
      <c r="L217" s="18" t="n"/>
      <c r="M217" s="18" t="n"/>
      <c r="N217" s="18" t="n"/>
      <c r="O217" s="18" t="n"/>
      <c r="P217" s="18" t="n"/>
      <c r="Q217" s="18" t="n"/>
    </row>
    <row r="218">
      <c r="A218" s="18" t="n"/>
      <c r="B218" s="18" t="n"/>
      <c r="C218" s="18" t="n"/>
      <c r="D218" s="18" t="n"/>
      <c r="E218" s="18" t="n"/>
      <c r="F218" s="18" t="n"/>
      <c r="G218" s="18" t="n"/>
      <c r="H218" s="18" t="n"/>
      <c r="I218" s="18" t="n"/>
      <c r="J218" s="18" t="n"/>
      <c r="K218" s="18" t="n"/>
      <c r="L218" s="18" t="n"/>
      <c r="M218" s="18" t="n"/>
      <c r="N218" s="18" t="n"/>
      <c r="O218" s="18" t="n"/>
      <c r="P218" s="18" t="n"/>
      <c r="Q218" s="18" t="n"/>
    </row>
    <row r="219">
      <c r="A219" s="18" t="n"/>
      <c r="B219" s="18" t="n"/>
      <c r="C219" s="18" t="n"/>
      <c r="D219" s="18" t="n"/>
      <c r="E219" s="18" t="n"/>
      <c r="F219" s="18" t="n"/>
      <c r="G219" s="18" t="n"/>
      <c r="H219" s="18" t="n"/>
      <c r="I219" s="18" t="n"/>
      <c r="J219" s="18" t="n"/>
      <c r="K219" s="18" t="n"/>
      <c r="L219" s="18" t="n"/>
      <c r="M219" s="18" t="n"/>
      <c r="N219" s="18" t="n"/>
      <c r="O219" s="18" t="n"/>
      <c r="P219" s="18" t="n"/>
      <c r="Q219" s="18" t="n"/>
    </row>
    <row r="220">
      <c r="A220" s="18" t="n"/>
      <c r="B220" s="18" t="n"/>
      <c r="C220" s="18" t="n"/>
      <c r="D220" s="18" t="n"/>
      <c r="E220" s="18" t="n"/>
      <c r="F220" s="18" t="n"/>
      <c r="G220" s="18" t="n"/>
      <c r="H220" s="18" t="n"/>
      <c r="I220" s="18" t="n"/>
      <c r="J220" s="18" t="n"/>
      <c r="K220" s="18" t="n"/>
      <c r="L220" s="18" t="n"/>
      <c r="M220" s="18" t="n"/>
      <c r="N220" s="18" t="n"/>
      <c r="O220" s="18" t="n"/>
      <c r="P220" s="18" t="n"/>
      <c r="Q220" s="18" t="n"/>
    </row>
    <row r="221">
      <c r="A221" s="18" t="n"/>
      <c r="B221" s="18" t="n"/>
      <c r="C221" s="18" t="n"/>
      <c r="D221" s="18" t="n"/>
      <c r="E221" s="18" t="n"/>
      <c r="F221" s="18" t="n"/>
      <c r="G221" s="18" t="n"/>
      <c r="H221" s="18" t="n"/>
      <c r="I221" s="18" t="n"/>
      <c r="J221" s="18" t="n"/>
      <c r="K221" s="18" t="n"/>
      <c r="L221" s="18" t="n"/>
      <c r="M221" s="18" t="n"/>
      <c r="N221" s="18" t="n"/>
      <c r="O221" s="18" t="n"/>
      <c r="P221" s="18" t="n"/>
      <c r="Q221" s="18" t="n"/>
    </row>
    <row r="222">
      <c r="A222" s="18" t="n"/>
      <c r="B222" s="18" t="n"/>
      <c r="C222" s="18" t="n"/>
      <c r="D222" s="18" t="n"/>
      <c r="E222" s="18" t="n"/>
      <c r="F222" s="18" t="n"/>
      <c r="G222" s="18" t="n"/>
      <c r="H222" s="18" t="n"/>
      <c r="I222" s="18" t="n"/>
      <c r="J222" s="18" t="n"/>
      <c r="K222" s="18" t="n"/>
      <c r="L222" s="18" t="n"/>
      <c r="M222" s="18" t="n"/>
      <c r="N222" s="18" t="n"/>
      <c r="O222" s="18" t="n"/>
      <c r="P222" s="18" t="n"/>
      <c r="Q222" s="18" t="n"/>
    </row>
    <row r="223">
      <c r="A223" s="18" t="n"/>
      <c r="B223" s="18" t="n"/>
      <c r="C223" s="18" t="n"/>
      <c r="D223" s="18" t="n"/>
      <c r="E223" s="18" t="n"/>
      <c r="F223" s="18" t="n"/>
      <c r="G223" s="18" t="n"/>
      <c r="H223" s="18" t="n"/>
      <c r="I223" s="18" t="n"/>
      <c r="J223" s="18" t="n"/>
      <c r="K223" s="18" t="n"/>
      <c r="L223" s="18" t="n"/>
      <c r="M223" s="18" t="n"/>
      <c r="N223" s="18" t="n"/>
      <c r="O223" s="18" t="n"/>
      <c r="P223" s="18" t="n"/>
      <c r="Q223" s="18" t="n"/>
    </row>
    <row r="224">
      <c r="A224" s="18" t="n"/>
      <c r="B224" s="18" t="n"/>
      <c r="C224" s="18" t="n"/>
      <c r="D224" s="18" t="n"/>
      <c r="E224" s="18" t="n"/>
      <c r="F224" s="18" t="n"/>
      <c r="G224" s="18" t="n"/>
      <c r="H224" s="18" t="n"/>
      <c r="I224" s="18" t="n"/>
      <c r="J224" s="18" t="n"/>
      <c r="K224" s="18" t="n"/>
      <c r="L224" s="18" t="n"/>
      <c r="M224" s="18" t="n"/>
      <c r="N224" s="18" t="n"/>
      <c r="O224" s="18" t="n"/>
      <c r="P224" s="18" t="n"/>
      <c r="Q224" s="18" t="n"/>
    </row>
    <row r="225">
      <c r="A225" s="18" t="n"/>
      <c r="B225" s="18" t="n"/>
      <c r="C225" s="18" t="n"/>
      <c r="D225" s="18" t="n"/>
      <c r="E225" s="18" t="n"/>
      <c r="F225" s="18" t="n"/>
      <c r="G225" s="18" t="n"/>
      <c r="H225" s="18" t="n"/>
      <c r="I225" s="18" t="n"/>
      <c r="J225" s="18" t="n"/>
      <c r="K225" s="18" t="n"/>
      <c r="L225" s="18" t="n"/>
      <c r="M225" s="18" t="n"/>
      <c r="N225" s="18" t="n"/>
      <c r="O225" s="18" t="n"/>
      <c r="P225" s="18" t="n"/>
      <c r="Q225" s="18" t="n"/>
    </row>
    <row r="226">
      <c r="A226" s="18" t="n"/>
      <c r="B226" s="18" t="n"/>
      <c r="C226" s="18" t="n"/>
      <c r="D226" s="18" t="n"/>
      <c r="E226" s="18" t="n"/>
      <c r="F226" s="18" t="n"/>
      <c r="G226" s="18" t="n"/>
      <c r="H226" s="18" t="n"/>
      <c r="I226" s="18" t="n"/>
      <c r="J226" s="18" t="n"/>
      <c r="K226" s="18" t="n"/>
      <c r="L226" s="18" t="n"/>
      <c r="M226" s="18" t="n"/>
      <c r="N226" s="18" t="n"/>
      <c r="O226" s="18" t="n"/>
      <c r="P226" s="18" t="n"/>
      <c r="Q226" s="18" t="n"/>
    </row>
    <row r="227">
      <c r="A227" s="18" t="n"/>
      <c r="B227" s="18" t="n"/>
      <c r="C227" s="18" t="n"/>
      <c r="D227" s="18" t="n"/>
      <c r="E227" s="18" t="n"/>
      <c r="F227" s="18" t="n"/>
      <c r="G227" s="18" t="n"/>
      <c r="H227" s="18" t="n"/>
      <c r="I227" s="18" t="n"/>
      <c r="J227" s="18" t="n"/>
      <c r="K227" s="18" t="n"/>
      <c r="L227" s="18" t="n"/>
      <c r="M227" s="18" t="n"/>
      <c r="N227" s="18" t="n"/>
      <c r="O227" s="18" t="n"/>
      <c r="P227" s="18" t="n"/>
      <c r="Q227" s="18" t="n"/>
    </row>
    <row r="228">
      <c r="A228" s="18" t="n"/>
      <c r="B228" s="18" t="n"/>
      <c r="C228" s="18" t="n"/>
      <c r="D228" s="18" t="n"/>
      <c r="E228" s="18" t="n"/>
      <c r="F228" s="18" t="n"/>
      <c r="G228" s="18" t="n"/>
      <c r="H228" s="18" t="n"/>
      <c r="I228" s="18" t="n"/>
      <c r="J228" s="18" t="n"/>
      <c r="K228" s="18" t="n"/>
      <c r="L228" s="18" t="n"/>
      <c r="M228" s="18" t="n"/>
      <c r="N228" s="18" t="n"/>
      <c r="O228" s="18" t="n"/>
      <c r="P228" s="18" t="n"/>
      <c r="Q228" s="18" t="n"/>
    </row>
    <row r="229">
      <c r="A229" s="18" t="n"/>
      <c r="B229" s="18" t="n"/>
      <c r="C229" s="18" t="n"/>
      <c r="D229" s="18" t="n"/>
      <c r="E229" s="18" t="n"/>
      <c r="F229" s="18" t="n"/>
      <c r="G229" s="18" t="n"/>
      <c r="H229" s="18" t="n"/>
      <c r="I229" s="18" t="n"/>
      <c r="J229" s="18" t="n"/>
      <c r="K229" s="18" t="n"/>
      <c r="L229" s="18" t="n"/>
      <c r="M229" s="18" t="n"/>
      <c r="N229" s="18" t="n"/>
      <c r="O229" s="18" t="n"/>
      <c r="P229" s="18" t="n"/>
      <c r="Q229" s="18" t="n"/>
    </row>
    <row r="230">
      <c r="A230" s="18" t="n"/>
      <c r="B230" s="18" t="n"/>
      <c r="C230" s="18" t="n"/>
      <c r="D230" s="18" t="n"/>
      <c r="E230" s="18" t="n"/>
      <c r="F230" s="18" t="n"/>
      <c r="G230" s="18" t="n"/>
      <c r="H230" s="18" t="n"/>
      <c r="I230" s="18" t="n"/>
      <c r="J230" s="18" t="n"/>
      <c r="K230" s="18" t="n"/>
      <c r="L230" s="18" t="n"/>
      <c r="M230" s="18" t="n"/>
      <c r="N230" s="18" t="n"/>
      <c r="O230" s="18" t="n"/>
      <c r="P230" s="18" t="n"/>
      <c r="Q230" s="18" t="n"/>
    </row>
    <row r="231">
      <c r="A231" s="18" t="n"/>
      <c r="B231" s="18" t="n"/>
      <c r="C231" s="18" t="n"/>
      <c r="D231" s="18" t="n"/>
      <c r="E231" s="18" t="n"/>
      <c r="F231" s="18" t="n"/>
      <c r="G231" s="18" t="n"/>
      <c r="H231" s="18" t="n"/>
      <c r="I231" s="18" t="n"/>
      <c r="J231" s="18" t="n"/>
      <c r="K231" s="18" t="n"/>
      <c r="L231" s="18" t="n"/>
      <c r="M231" s="18" t="n"/>
      <c r="N231" s="18" t="n"/>
      <c r="O231" s="18" t="n"/>
      <c r="P231" s="18" t="n"/>
      <c r="Q231" s="18" t="n"/>
    </row>
    <row r="232">
      <c r="A232" s="18" t="n"/>
      <c r="B232" s="18" t="n"/>
      <c r="C232" s="18" t="n"/>
      <c r="D232" s="18" t="n"/>
      <c r="E232" s="18" t="n"/>
      <c r="F232" s="18" t="n"/>
      <c r="G232" s="18" t="n"/>
      <c r="H232" s="18" t="n"/>
      <c r="I232" s="18" t="n"/>
      <c r="J232" s="18" t="n"/>
      <c r="K232" s="18" t="n"/>
      <c r="L232" s="18" t="n"/>
      <c r="M232" s="18" t="n"/>
      <c r="N232" s="18" t="n"/>
      <c r="O232" s="18" t="n"/>
      <c r="P232" s="18" t="n"/>
      <c r="Q232" s="18" t="n"/>
    </row>
    <row r="233">
      <c r="A233" s="18" t="n"/>
      <c r="B233" s="18" t="n"/>
      <c r="C233" s="18" t="n"/>
      <c r="D233" s="18" t="n"/>
      <c r="E233" s="18" t="n"/>
      <c r="F233" s="18" t="n"/>
      <c r="G233" s="18" t="n"/>
      <c r="H233" s="18" t="n"/>
      <c r="I233" s="18" t="n"/>
      <c r="J233" s="18" t="n"/>
      <c r="K233" s="18" t="n"/>
      <c r="L233" s="18" t="n"/>
      <c r="M233" s="18" t="n"/>
      <c r="N233" s="18" t="n"/>
      <c r="O233" s="18" t="n"/>
      <c r="P233" s="18" t="n"/>
      <c r="Q233" s="18" t="n"/>
    </row>
    <row r="234">
      <c r="A234" s="18" t="n"/>
      <c r="B234" s="18" t="n"/>
      <c r="C234" s="18" t="n"/>
      <c r="D234" s="18" t="n"/>
      <c r="E234" s="18" t="n"/>
      <c r="F234" s="18" t="n"/>
      <c r="G234" s="18" t="n"/>
      <c r="H234" s="18" t="n"/>
      <c r="I234" s="18" t="n"/>
      <c r="J234" s="18" t="n"/>
      <c r="K234" s="18" t="n"/>
      <c r="L234" s="18" t="n"/>
      <c r="M234" s="18" t="n"/>
      <c r="N234" s="18" t="n"/>
      <c r="O234" s="18" t="n"/>
      <c r="P234" s="18" t="n"/>
      <c r="Q234" s="18" t="n"/>
    </row>
    <row r="235">
      <c r="A235" s="18" t="n"/>
      <c r="B235" s="18" t="n"/>
      <c r="C235" s="18" t="n"/>
      <c r="D235" s="18" t="n"/>
      <c r="E235" s="18" t="n"/>
      <c r="F235" s="18" t="n"/>
      <c r="G235" s="18" t="n"/>
      <c r="H235" s="18" t="n"/>
      <c r="I235" s="18" t="n"/>
      <c r="J235" s="18" t="n"/>
      <c r="K235" s="18" t="n"/>
      <c r="L235" s="18" t="n"/>
      <c r="M235" s="18" t="n"/>
      <c r="N235" s="18" t="n"/>
      <c r="O235" s="18" t="n"/>
      <c r="P235" s="18" t="n"/>
      <c r="Q235" s="18" t="n"/>
    </row>
    <row r="236">
      <c r="A236" s="18" t="n"/>
      <c r="B236" s="18" t="n"/>
      <c r="C236" s="18" t="n"/>
      <c r="D236" s="18" t="n"/>
      <c r="E236" s="18" t="n"/>
      <c r="F236" s="18" t="n"/>
      <c r="G236" s="18" t="n"/>
      <c r="H236" s="18" t="n"/>
      <c r="I236" s="18" t="n"/>
      <c r="J236" s="18" t="n"/>
      <c r="K236" s="18" t="n"/>
      <c r="L236" s="18" t="n"/>
      <c r="M236" s="18" t="n"/>
      <c r="N236" s="18" t="n"/>
      <c r="O236" s="18" t="n"/>
      <c r="P236" s="18" t="n"/>
      <c r="Q236" s="18" t="n"/>
    </row>
    <row r="237">
      <c r="A237" s="18" t="n"/>
      <c r="B237" s="18" t="n"/>
      <c r="C237" s="18" t="n"/>
      <c r="D237" s="18" t="n"/>
      <c r="E237" s="18" t="n"/>
      <c r="F237" s="18" t="n"/>
      <c r="G237" s="18" t="n"/>
      <c r="H237" s="18" t="n"/>
      <c r="I237" s="18" t="n"/>
      <c r="J237" s="18" t="n"/>
      <c r="K237" s="18" t="n"/>
      <c r="L237" s="18" t="n"/>
      <c r="M237" s="18" t="n"/>
      <c r="N237" s="18" t="n"/>
      <c r="O237" s="18" t="n"/>
      <c r="P237" s="18" t="n"/>
      <c r="Q237" s="18" t="n"/>
    </row>
    <row r="238">
      <c r="A238" s="18" t="n"/>
      <c r="B238" s="18" t="n"/>
      <c r="C238" s="18" t="n"/>
      <c r="D238" s="18" t="n"/>
      <c r="E238" s="18" t="n"/>
      <c r="F238" s="18" t="n"/>
      <c r="G238" s="18" t="n"/>
      <c r="H238" s="18" t="n"/>
      <c r="I238" s="18" t="n"/>
      <c r="J238" s="18" t="n"/>
      <c r="K238" s="18" t="n"/>
      <c r="L238" s="18" t="n"/>
      <c r="M238" s="18" t="n"/>
      <c r="N238" s="18" t="n"/>
      <c r="O238" s="18" t="n"/>
      <c r="P238" s="18" t="n"/>
      <c r="Q238" s="18" t="n"/>
    </row>
    <row r="239">
      <c r="A239" s="18" t="n"/>
      <c r="B239" s="18" t="n"/>
      <c r="C239" s="18" t="n"/>
      <c r="D239" s="18" t="n"/>
      <c r="E239" s="18" t="n"/>
      <c r="F239" s="18" t="n"/>
      <c r="G239" s="18" t="n"/>
      <c r="H239" s="18" t="n"/>
      <c r="I239" s="18" t="n"/>
      <c r="J239" s="18" t="n"/>
      <c r="K239" s="18" t="n"/>
      <c r="L239" s="18" t="n"/>
      <c r="M239" s="18" t="n"/>
      <c r="N239" s="18" t="n"/>
      <c r="O239" s="18" t="n"/>
      <c r="P239" s="18" t="n"/>
      <c r="Q239" s="18" t="n"/>
    </row>
    <row r="240">
      <c r="A240" s="18" t="n"/>
      <c r="B240" s="18" t="n"/>
      <c r="C240" s="18" t="n"/>
      <c r="D240" s="18" t="n"/>
      <c r="E240" s="18" t="n"/>
      <c r="F240" s="18" t="n"/>
      <c r="G240" s="18" t="n"/>
      <c r="H240" s="18" t="n"/>
      <c r="I240" s="18" t="n"/>
      <c r="J240" s="18" t="n"/>
      <c r="K240" s="18" t="n"/>
      <c r="L240" s="18" t="n"/>
      <c r="M240" s="18" t="n"/>
      <c r="N240" s="18" t="n"/>
      <c r="O240" s="18" t="n"/>
      <c r="P240" s="18" t="n"/>
      <c r="Q240" s="18" t="n"/>
    </row>
    <row r="241">
      <c r="A241" s="18" t="n"/>
      <c r="B241" s="18" t="n"/>
      <c r="C241" s="18" t="n"/>
      <c r="D241" s="18" t="n"/>
      <c r="E241" s="18" t="n"/>
      <c r="F241" s="18" t="n"/>
      <c r="G241" s="18" t="n"/>
      <c r="H241" s="18" t="n"/>
      <c r="I241" s="18" t="n"/>
      <c r="J241" s="18" t="n"/>
      <c r="K241" s="18" t="n"/>
      <c r="L241" s="18" t="n"/>
      <c r="M241" s="18" t="n"/>
      <c r="N241" s="18" t="n"/>
      <c r="O241" s="18" t="n"/>
      <c r="P241" s="18" t="n"/>
      <c r="Q241" s="18" t="n"/>
    </row>
    <row r="242">
      <c r="A242" s="18" t="n"/>
      <c r="B242" s="18" t="n"/>
      <c r="C242" s="18" t="n"/>
      <c r="D242" s="18" t="n"/>
      <c r="E242" s="18" t="n"/>
      <c r="F242" s="18" t="n"/>
      <c r="G242" s="18" t="n"/>
      <c r="H242" s="18" t="n"/>
      <c r="I242" s="18" t="n"/>
      <c r="J242" s="18" t="n"/>
      <c r="K242" s="18" t="n"/>
      <c r="L242" s="18" t="n"/>
      <c r="M242" s="18" t="n"/>
      <c r="N242" s="18" t="n"/>
      <c r="O242" s="18" t="n"/>
      <c r="P242" s="18" t="n"/>
      <c r="Q242" s="18" t="n"/>
    </row>
    <row r="243">
      <c r="A243" s="18" t="n"/>
      <c r="B243" s="18" t="n"/>
      <c r="C243" s="18" t="n"/>
      <c r="D243" s="18" t="n"/>
      <c r="E243" s="18" t="n"/>
      <c r="F243" s="18" t="n"/>
      <c r="G243" s="18" t="n"/>
      <c r="H243" s="18" t="n"/>
      <c r="I243" s="18" t="n"/>
      <c r="J243" s="18" t="n"/>
      <c r="K243" s="18" t="n"/>
      <c r="L243" s="18" t="n"/>
      <c r="M243" s="18" t="n"/>
      <c r="N243" s="18" t="n"/>
      <c r="O243" s="18" t="n"/>
      <c r="P243" s="18" t="n"/>
      <c r="Q243" s="18" t="n"/>
    </row>
    <row r="244">
      <c r="A244" s="18" t="n"/>
      <c r="B244" s="18" t="n"/>
      <c r="C244" s="18" t="n"/>
      <c r="D244" s="18" t="n"/>
      <c r="E244" s="18" t="n"/>
      <c r="F244" s="18" t="n"/>
      <c r="G244" s="18" t="n"/>
      <c r="H244" s="18" t="n"/>
      <c r="I244" s="18" t="n"/>
      <c r="J244" s="18" t="n"/>
      <c r="K244" s="18" t="n"/>
      <c r="L244" s="18" t="n"/>
      <c r="M244" s="18" t="n"/>
      <c r="N244" s="18" t="n"/>
      <c r="O244" s="18" t="n"/>
      <c r="P244" s="18" t="n"/>
      <c r="Q244" s="18" t="n"/>
    </row>
    <row r="245">
      <c r="A245" s="18" t="n"/>
      <c r="B245" s="18" t="n"/>
      <c r="C245" s="18" t="n"/>
      <c r="D245" s="18" t="n"/>
      <c r="E245" s="18" t="n"/>
      <c r="F245" s="18" t="n"/>
      <c r="G245" s="18" t="n"/>
      <c r="H245" s="18" t="n"/>
      <c r="I245" s="18" t="n"/>
      <c r="J245" s="18" t="n"/>
      <c r="K245" s="18" t="n"/>
      <c r="L245" s="18" t="n"/>
      <c r="M245" s="18" t="n"/>
      <c r="N245" s="18" t="n"/>
      <c r="O245" s="18" t="n"/>
      <c r="P245" s="18" t="n"/>
      <c r="Q245" s="18" t="n"/>
    </row>
    <row r="246">
      <c r="A246" s="18" t="n"/>
      <c r="B246" s="18" t="n"/>
      <c r="C246" s="18" t="n"/>
      <c r="D246" s="18" t="n"/>
      <c r="E246" s="18" t="n"/>
      <c r="F246" s="18" t="n"/>
      <c r="G246" s="18" t="n"/>
      <c r="H246" s="18" t="n"/>
      <c r="I246" s="18" t="n"/>
      <c r="J246" s="18" t="n"/>
      <c r="K246" s="18" t="n"/>
      <c r="L246" s="18" t="n"/>
      <c r="M246" s="18" t="n"/>
      <c r="N246" s="18" t="n"/>
      <c r="O246" s="18" t="n"/>
      <c r="P246" s="18" t="n"/>
      <c r="Q246" s="18" t="n"/>
    </row>
    <row r="247">
      <c r="A247" s="18" t="n"/>
      <c r="B247" s="18" t="n"/>
      <c r="C247" s="18" t="n"/>
      <c r="D247" s="18" t="n"/>
      <c r="E247" s="18" t="n"/>
      <c r="F247" s="18" t="n"/>
      <c r="G247" s="18" t="n"/>
      <c r="H247" s="18" t="n"/>
      <c r="I247" s="18" t="n"/>
      <c r="J247" s="18" t="n"/>
      <c r="K247" s="18" t="n"/>
      <c r="L247" s="18" t="n"/>
      <c r="M247" s="18" t="n"/>
      <c r="N247" s="18" t="n"/>
      <c r="O247" s="18" t="n"/>
      <c r="P247" s="18" t="n"/>
      <c r="Q247" s="18" t="n"/>
    </row>
    <row r="248">
      <c r="A248" s="18" t="n"/>
      <c r="B248" s="18" t="n"/>
      <c r="C248" s="18" t="n"/>
      <c r="D248" s="18" t="n"/>
      <c r="E248" s="18" t="n"/>
      <c r="F248" s="18" t="n"/>
      <c r="G248" s="18" t="n"/>
      <c r="H248" s="18" t="n"/>
      <c r="I248" s="18" t="n"/>
      <c r="J248" s="18" t="n"/>
      <c r="K248" s="18" t="n"/>
      <c r="L248" s="18" t="n"/>
      <c r="M248" s="18" t="n"/>
      <c r="N248" s="18" t="n"/>
      <c r="O248" s="18" t="n"/>
      <c r="P248" s="18" t="n"/>
      <c r="Q248" s="18" t="n"/>
    </row>
    <row r="249">
      <c r="A249" s="18" t="n"/>
      <c r="B249" s="18" t="n"/>
      <c r="C249" s="18" t="n"/>
      <c r="D249" s="18" t="n"/>
      <c r="E249" s="18" t="n"/>
      <c r="F249" s="18" t="n"/>
      <c r="G249" s="18" t="n"/>
      <c r="H249" s="18" t="n"/>
      <c r="I249" s="18" t="n"/>
      <c r="J249" s="18" t="n"/>
      <c r="K249" s="18" t="n"/>
      <c r="L249" s="18" t="n"/>
      <c r="M249" s="18" t="n"/>
      <c r="N249" s="18" t="n"/>
      <c r="O249" s="18" t="n"/>
      <c r="P249" s="18" t="n"/>
      <c r="Q249" s="18" t="n"/>
    </row>
    <row r="250">
      <c r="A250" s="18" t="n"/>
      <c r="B250" s="18" t="n"/>
      <c r="C250" s="18" t="n"/>
      <c r="D250" s="18" t="n"/>
      <c r="E250" s="18" t="n"/>
      <c r="F250" s="18" t="n"/>
      <c r="G250" s="18" t="n"/>
      <c r="H250" s="18" t="n"/>
      <c r="I250" s="18" t="n"/>
      <c r="J250" s="18" t="n"/>
      <c r="K250" s="18" t="n"/>
      <c r="L250" s="18" t="n"/>
      <c r="M250" s="18" t="n"/>
      <c r="N250" s="18" t="n"/>
      <c r="O250" s="18" t="n"/>
      <c r="P250" s="18" t="n"/>
      <c r="Q250" s="18" t="n"/>
    </row>
    <row r="251">
      <c r="A251" s="18" t="n"/>
      <c r="B251" s="18" t="n"/>
      <c r="C251" s="18" t="n"/>
      <c r="D251" s="18" t="n"/>
      <c r="E251" s="18" t="n"/>
      <c r="F251" s="18" t="n"/>
      <c r="G251" s="18" t="n"/>
      <c r="H251" s="18" t="n"/>
      <c r="I251" s="18" t="n"/>
      <c r="J251" s="18" t="n"/>
      <c r="K251" s="18" t="n"/>
      <c r="L251" s="18" t="n"/>
      <c r="M251" s="18" t="n"/>
      <c r="N251" s="18" t="n"/>
      <c r="O251" s="18" t="n"/>
      <c r="P251" s="18" t="n"/>
      <c r="Q251" s="18" t="n"/>
    </row>
    <row r="252">
      <c r="A252" s="18" t="n"/>
      <c r="B252" s="18" t="n"/>
      <c r="C252" s="18" t="n"/>
      <c r="D252" s="18" t="n"/>
      <c r="E252" s="18" t="n"/>
      <c r="F252" s="18" t="n"/>
      <c r="G252" s="18" t="n"/>
      <c r="H252" s="18" t="n"/>
      <c r="I252" s="18" t="n"/>
      <c r="J252" s="18" t="n"/>
      <c r="K252" s="18" t="n"/>
      <c r="L252" s="18" t="n"/>
      <c r="M252" s="18" t="n"/>
      <c r="N252" s="18" t="n"/>
      <c r="O252" s="18" t="n"/>
      <c r="P252" s="18" t="n"/>
      <c r="Q252" s="18" t="n"/>
    </row>
    <row r="253">
      <c r="A253" s="18" t="n"/>
      <c r="B253" s="18" t="n"/>
      <c r="C253" s="18" t="n"/>
      <c r="D253" s="18" t="n"/>
      <c r="E253" s="18" t="n"/>
      <c r="F253" s="18" t="n"/>
      <c r="G253" s="18" t="n"/>
      <c r="H253" s="18" t="n"/>
      <c r="I253" s="18" t="n"/>
      <c r="J253" s="18" t="n"/>
      <c r="K253" s="18" t="n"/>
      <c r="L253" s="18" t="n"/>
      <c r="M253" s="18" t="n"/>
      <c r="N253" s="18" t="n"/>
      <c r="O253" s="18" t="n"/>
      <c r="P253" s="18" t="n"/>
      <c r="Q253" s="18" t="n"/>
    </row>
    <row r="254">
      <c r="A254" s="18" t="n"/>
      <c r="B254" s="18" t="n"/>
      <c r="C254" s="18" t="n"/>
      <c r="D254" s="18" t="n"/>
      <c r="E254" s="18" t="n"/>
      <c r="F254" s="18" t="n"/>
      <c r="G254" s="18" t="n"/>
      <c r="H254" s="18" t="n"/>
      <c r="I254" s="18" t="n"/>
      <c r="J254" s="18" t="n"/>
      <c r="K254" s="18" t="n"/>
      <c r="L254" s="18" t="n"/>
      <c r="M254" s="18" t="n"/>
      <c r="N254" s="18" t="n"/>
      <c r="O254" s="18" t="n"/>
      <c r="P254" s="18" t="n"/>
      <c r="Q254" s="18" t="n"/>
    </row>
    <row r="255">
      <c r="A255" s="18" t="n"/>
      <c r="B255" s="18" t="n"/>
      <c r="C255" s="18" t="n"/>
      <c r="D255" s="18" t="n"/>
      <c r="E255" s="18" t="n"/>
      <c r="F255" s="18" t="n"/>
      <c r="G255" s="18" t="n"/>
      <c r="H255" s="18" t="n"/>
      <c r="I255" s="18" t="n"/>
      <c r="J255" s="18" t="n"/>
      <c r="K255" s="18" t="n"/>
      <c r="L255" s="18" t="n"/>
      <c r="M255" s="18" t="n"/>
      <c r="N255" s="18" t="n"/>
      <c r="O255" s="18" t="n"/>
      <c r="P255" s="18" t="n"/>
      <c r="Q255" s="18" t="n"/>
    </row>
    <row r="256">
      <c r="A256" s="18" t="n"/>
      <c r="B256" s="18" t="n"/>
      <c r="C256" s="18" t="n"/>
      <c r="D256" s="18" t="n"/>
      <c r="E256" s="18" t="n"/>
      <c r="F256" s="18" t="n"/>
      <c r="G256" s="18" t="n"/>
      <c r="H256" s="18" t="n"/>
      <c r="I256" s="18" t="n"/>
      <c r="J256" s="18" t="n"/>
      <c r="K256" s="18" t="n"/>
      <c r="L256" s="18" t="n"/>
      <c r="M256" s="18" t="n"/>
      <c r="N256" s="18" t="n"/>
      <c r="O256" s="18" t="n"/>
      <c r="P256" s="18" t="n"/>
      <c r="Q256" s="18" t="n"/>
    </row>
    <row r="257">
      <c r="A257" s="18" t="n"/>
      <c r="B257" s="18" t="n"/>
      <c r="C257" s="18" t="n"/>
      <c r="D257" s="18" t="n"/>
      <c r="E257" s="18" t="n"/>
      <c r="F257" s="18" t="n"/>
      <c r="G257" s="18" t="n"/>
      <c r="H257" s="18" t="n"/>
      <c r="I257" s="18" t="n"/>
      <c r="J257" s="18" t="n"/>
      <c r="K257" s="18" t="n"/>
      <c r="L257" s="18" t="n"/>
      <c r="M257" s="18" t="n"/>
      <c r="N257" s="18" t="n"/>
      <c r="O257" s="18" t="n"/>
      <c r="P257" s="18" t="n"/>
      <c r="Q257" s="18" t="n"/>
    </row>
    <row r="258">
      <c r="A258" s="18" t="n"/>
      <c r="B258" s="18" t="n"/>
      <c r="C258" s="18" t="n"/>
      <c r="D258" s="18" t="n"/>
      <c r="E258" s="18" t="n"/>
      <c r="F258" s="18" t="n"/>
      <c r="G258" s="18" t="n"/>
      <c r="H258" s="18" t="n"/>
      <c r="I258" s="18" t="n"/>
      <c r="J258" s="18" t="n"/>
      <c r="K258" s="18" t="n"/>
      <c r="L258" s="18" t="n"/>
      <c r="M258" s="18" t="n"/>
      <c r="N258" s="18" t="n"/>
      <c r="O258" s="18" t="n"/>
      <c r="P258" s="18" t="n"/>
      <c r="Q258" s="18" t="n"/>
    </row>
    <row r="259">
      <c r="A259" s="18" t="n"/>
      <c r="B259" s="18" t="n"/>
      <c r="C259" s="18" t="n"/>
      <c r="D259" s="18" t="n"/>
      <c r="E259" s="18" t="n"/>
      <c r="F259" s="18" t="n"/>
      <c r="G259" s="18" t="n"/>
      <c r="H259" s="18" t="n"/>
      <c r="I259" s="18" t="n"/>
      <c r="J259" s="18" t="n"/>
      <c r="K259" s="18" t="n"/>
      <c r="L259" s="18" t="n"/>
      <c r="M259" s="18" t="n"/>
      <c r="N259" s="18" t="n"/>
      <c r="O259" s="18" t="n"/>
      <c r="P259" s="18" t="n"/>
      <c r="Q259" s="18" t="n"/>
    </row>
    <row r="260">
      <c r="A260" s="18" t="n"/>
      <c r="B260" s="18" t="n"/>
      <c r="C260" s="18" t="n"/>
      <c r="D260" s="18" t="n"/>
      <c r="E260" s="18" t="n"/>
      <c r="F260" s="18" t="n"/>
      <c r="G260" s="18" t="n"/>
      <c r="H260" s="18" t="n"/>
      <c r="I260" s="18" t="n"/>
      <c r="J260" s="18" t="n"/>
      <c r="K260" s="18" t="n"/>
      <c r="L260" s="18" t="n"/>
      <c r="M260" s="18" t="n"/>
      <c r="N260" s="18" t="n"/>
      <c r="O260" s="18" t="n"/>
      <c r="P260" s="18" t="n"/>
      <c r="Q260" s="18" t="n"/>
    </row>
    <row r="261">
      <c r="A261" s="18" t="n"/>
      <c r="B261" s="18" t="n"/>
      <c r="C261" s="18" t="n"/>
      <c r="D261" s="18" t="n"/>
      <c r="E261" s="18" t="n"/>
      <c r="F261" s="18" t="n"/>
      <c r="G261" s="18" t="n"/>
      <c r="H261" s="18" t="n"/>
      <c r="I261" s="18" t="n"/>
      <c r="J261" s="18" t="n"/>
      <c r="K261" s="18" t="n"/>
      <c r="L261" s="18" t="n"/>
      <c r="M261" s="18" t="n"/>
      <c r="N261" s="18" t="n"/>
      <c r="O261" s="18" t="n"/>
      <c r="P261" s="18" t="n"/>
      <c r="Q261" s="18" t="n"/>
    </row>
    <row r="262">
      <c r="A262" s="18" t="n"/>
      <c r="B262" s="18" t="n"/>
      <c r="C262" s="18" t="n"/>
      <c r="D262" s="18" t="n"/>
      <c r="E262" s="18" t="n"/>
      <c r="F262" s="18" t="n"/>
      <c r="G262" s="18" t="n"/>
      <c r="H262" s="18" t="n"/>
      <c r="I262" s="18" t="n"/>
      <c r="J262" s="18" t="n"/>
      <c r="K262" s="18" t="n"/>
      <c r="L262" s="18" t="n"/>
      <c r="M262" s="18" t="n"/>
      <c r="N262" s="18" t="n"/>
      <c r="O262" s="18" t="n"/>
      <c r="P262" s="18" t="n"/>
      <c r="Q262" s="18" t="n"/>
    </row>
    <row r="263">
      <c r="A263" s="18" t="n"/>
      <c r="B263" s="18" t="n"/>
      <c r="C263" s="18" t="n"/>
      <c r="D263" s="18" t="n"/>
      <c r="E263" s="18" t="n"/>
      <c r="F263" s="18" t="n"/>
      <c r="G263" s="18" t="n"/>
      <c r="H263" s="18" t="n"/>
      <c r="I263" s="18" t="n"/>
      <c r="J263" s="18" t="n"/>
      <c r="K263" s="18" t="n"/>
      <c r="L263" s="18" t="n"/>
      <c r="M263" s="18" t="n"/>
      <c r="N263" s="18" t="n"/>
      <c r="O263" s="18" t="n"/>
      <c r="P263" s="18" t="n"/>
      <c r="Q263" s="18" t="n"/>
    </row>
    <row r="264">
      <c r="A264" s="18" t="n"/>
      <c r="B264" s="18" t="n"/>
      <c r="C264" s="18" t="n"/>
      <c r="D264" s="18" t="n"/>
      <c r="E264" s="18" t="n"/>
      <c r="F264" s="18" t="n"/>
      <c r="G264" s="18" t="n"/>
      <c r="H264" s="18" t="n"/>
      <c r="I264" s="18" t="n"/>
      <c r="J264" s="18" t="n"/>
      <c r="K264" s="18" t="n"/>
      <c r="L264" s="18" t="n"/>
      <c r="M264" s="18" t="n"/>
      <c r="N264" s="18" t="n"/>
      <c r="O264" s="18" t="n"/>
      <c r="P264" s="18" t="n"/>
      <c r="Q264" s="18" t="n"/>
    </row>
    <row r="265">
      <c r="A265" s="18" t="n"/>
      <c r="B265" s="18" t="n"/>
      <c r="C265" s="18" t="n"/>
      <c r="D265" s="18" t="n"/>
      <c r="E265" s="18" t="n"/>
      <c r="F265" s="18" t="n"/>
      <c r="G265" s="18" t="n"/>
      <c r="H265" s="18" t="n"/>
      <c r="I265" s="18" t="n"/>
      <c r="J265" s="18" t="n"/>
      <c r="K265" s="18" t="n"/>
      <c r="L265" s="18" t="n"/>
      <c r="M265" s="18" t="n"/>
      <c r="N265" s="18" t="n"/>
      <c r="O265" s="18" t="n"/>
      <c r="P265" s="18" t="n"/>
      <c r="Q265" s="18" t="n"/>
    </row>
    <row r="266">
      <c r="A266" s="18" t="n"/>
      <c r="B266" s="18" t="n"/>
      <c r="C266" s="18" t="n"/>
      <c r="D266" s="18" t="n"/>
      <c r="E266" s="18" t="n"/>
      <c r="F266" s="18" t="n"/>
      <c r="G266" s="18" t="n"/>
      <c r="H266" s="18" t="n"/>
      <c r="I266" s="18" t="n"/>
      <c r="J266" s="18" t="n"/>
      <c r="K266" s="18" t="n"/>
      <c r="L266" s="18" t="n"/>
      <c r="M266" s="18" t="n"/>
      <c r="N266" s="18" t="n"/>
      <c r="O266" s="18" t="n"/>
      <c r="P266" s="18" t="n"/>
      <c r="Q266" s="18" t="n"/>
    </row>
    <row r="267">
      <c r="A267" s="18" t="n"/>
      <c r="B267" s="18" t="n"/>
      <c r="C267" s="18" t="n"/>
      <c r="D267" s="18" t="n"/>
      <c r="E267" s="18" t="n"/>
      <c r="F267" s="18" t="n"/>
      <c r="G267" s="18" t="n"/>
      <c r="H267" s="18" t="n"/>
      <c r="I267" s="18" t="n"/>
      <c r="J267" s="18" t="n"/>
      <c r="K267" s="18" t="n"/>
      <c r="L267" s="18" t="n"/>
      <c r="M267" s="18" t="n"/>
      <c r="N267" s="18" t="n"/>
      <c r="O267" s="18" t="n"/>
      <c r="P267" s="18" t="n"/>
      <c r="Q267" s="18" t="n"/>
    </row>
    <row r="268">
      <c r="A268" s="18" t="n"/>
      <c r="B268" s="18" t="n"/>
      <c r="C268" s="18" t="n"/>
      <c r="D268" s="18" t="n"/>
      <c r="E268" s="18" t="n"/>
      <c r="F268" s="18" t="n"/>
      <c r="G268" s="18" t="n"/>
      <c r="H268" s="18" t="n"/>
      <c r="I268" s="18" t="n"/>
      <c r="J268" s="18" t="n"/>
      <c r="K268" s="18" t="n"/>
      <c r="L268" s="18" t="n"/>
      <c r="M268" s="18" t="n"/>
      <c r="N268" s="18" t="n"/>
      <c r="O268" s="18" t="n"/>
      <c r="P268" s="18" t="n"/>
      <c r="Q268" s="18" t="n"/>
    </row>
    <row r="269">
      <c r="A269" s="18" t="n"/>
      <c r="B269" s="18" t="n"/>
      <c r="C269" s="18" t="n"/>
      <c r="D269" s="18" t="n"/>
      <c r="E269" s="18" t="n"/>
      <c r="F269" s="18" t="n"/>
      <c r="G269" s="18" t="n"/>
      <c r="H269" s="18" t="n"/>
      <c r="I269" s="18" t="n"/>
      <c r="J269" s="18" t="n"/>
      <c r="K269" s="18" t="n"/>
      <c r="L269" s="18" t="n"/>
      <c r="M269" s="18" t="n"/>
      <c r="N269" s="18" t="n"/>
      <c r="O269" s="18" t="n"/>
      <c r="P269" s="18" t="n"/>
      <c r="Q269" s="18" t="n"/>
    </row>
    <row r="270">
      <c r="A270" s="18" t="n"/>
      <c r="B270" s="18" t="n"/>
      <c r="C270" s="18" t="n"/>
      <c r="D270" s="18" t="n"/>
      <c r="E270" s="18" t="n"/>
      <c r="F270" s="18" t="n"/>
      <c r="G270" s="18" t="n"/>
      <c r="H270" s="18" t="n"/>
      <c r="I270" s="18" t="n"/>
      <c r="J270" s="18" t="n"/>
      <c r="K270" s="18" t="n"/>
      <c r="L270" s="18" t="n"/>
      <c r="M270" s="18" t="n"/>
      <c r="N270" s="18" t="n"/>
      <c r="O270" s="18" t="n"/>
      <c r="P270" s="18" t="n"/>
      <c r="Q270" s="18" t="n"/>
    </row>
    <row r="271">
      <c r="A271" s="18" t="n"/>
      <c r="B271" s="18" t="n"/>
      <c r="C271" s="18" t="n"/>
      <c r="D271" s="18" t="n"/>
      <c r="E271" s="18" t="n"/>
      <c r="F271" s="18" t="n"/>
      <c r="G271" s="18" t="n"/>
      <c r="H271" s="18" t="n"/>
      <c r="I271" s="18" t="n"/>
      <c r="J271" s="18" t="n"/>
      <c r="K271" s="18" t="n"/>
      <c r="L271" s="18" t="n"/>
      <c r="M271" s="18" t="n"/>
      <c r="N271" s="18" t="n"/>
      <c r="O271" s="18" t="n"/>
      <c r="P271" s="18" t="n"/>
      <c r="Q271" s="18" t="n"/>
    </row>
    <row r="272">
      <c r="A272" s="18" t="n"/>
      <c r="B272" s="18" t="n"/>
      <c r="C272" s="18" t="n"/>
      <c r="D272" s="18" t="n"/>
      <c r="E272" s="18" t="n"/>
      <c r="F272" s="18" t="n"/>
      <c r="G272" s="18" t="n"/>
      <c r="H272" s="18" t="n"/>
      <c r="I272" s="18" t="n"/>
      <c r="J272" s="18" t="n"/>
      <c r="K272" s="18" t="n"/>
      <c r="L272" s="18" t="n"/>
      <c r="M272" s="18" t="n"/>
      <c r="N272" s="18" t="n"/>
      <c r="O272" s="18" t="n"/>
      <c r="P272" s="18" t="n"/>
      <c r="Q272" s="18" t="n"/>
    </row>
    <row r="273">
      <c r="A273" s="18" t="n"/>
      <c r="B273" s="18" t="n"/>
      <c r="C273" s="18" t="n"/>
      <c r="D273" s="18" t="n"/>
      <c r="E273" s="18" t="n"/>
      <c r="F273" s="18" t="n"/>
      <c r="G273" s="18" t="n"/>
      <c r="H273" s="18" t="n"/>
      <c r="I273" s="18" t="n"/>
      <c r="J273" s="18" t="n"/>
      <c r="K273" s="18" t="n"/>
      <c r="L273" s="18" t="n"/>
      <c r="M273" s="18" t="n"/>
      <c r="N273" s="18" t="n"/>
      <c r="O273" s="18" t="n"/>
      <c r="P273" s="18" t="n"/>
      <c r="Q273" s="18" t="n"/>
    </row>
    <row r="274">
      <c r="A274" s="18" t="n"/>
      <c r="B274" s="18" t="n"/>
      <c r="C274" s="18" t="n"/>
      <c r="D274" s="18" t="n"/>
      <c r="E274" s="18" t="n"/>
      <c r="F274" s="18" t="n"/>
      <c r="G274" s="18" t="n"/>
      <c r="H274" s="18" t="n"/>
      <c r="I274" s="18" t="n"/>
      <c r="J274" s="18" t="n"/>
      <c r="K274" s="18" t="n"/>
      <c r="L274" s="18" t="n"/>
      <c r="M274" s="18" t="n"/>
      <c r="N274" s="18" t="n"/>
      <c r="O274" s="18" t="n"/>
      <c r="P274" s="18" t="n"/>
      <c r="Q274" s="18" t="n"/>
    </row>
    <row r="275">
      <c r="A275" s="18" t="n"/>
      <c r="B275" s="18" t="n"/>
      <c r="C275" s="18" t="n"/>
      <c r="D275" s="18" t="n"/>
      <c r="E275" s="18" t="n"/>
      <c r="F275" s="18" t="n"/>
      <c r="G275" s="18" t="n"/>
      <c r="H275" s="18" t="n"/>
      <c r="I275" s="18" t="n"/>
      <c r="J275" s="18" t="n"/>
      <c r="K275" s="18" t="n"/>
      <c r="L275" s="18" t="n"/>
      <c r="M275" s="18" t="n"/>
      <c r="N275" s="18" t="n"/>
      <c r="O275" s="18" t="n"/>
      <c r="P275" s="18" t="n"/>
      <c r="Q275" s="18" t="n"/>
    </row>
    <row r="276">
      <c r="A276" s="18" t="n"/>
      <c r="B276" s="18" t="n"/>
      <c r="C276" s="18" t="n"/>
      <c r="D276" s="18" t="n"/>
      <c r="E276" s="18" t="n"/>
      <c r="F276" s="18" t="n"/>
      <c r="G276" s="18" t="n"/>
      <c r="H276" s="18" t="n"/>
      <c r="I276" s="18" t="n"/>
      <c r="J276" s="18" t="n"/>
      <c r="K276" s="18" t="n"/>
      <c r="L276" s="18" t="n"/>
      <c r="M276" s="18" t="n"/>
      <c r="N276" s="18" t="n"/>
      <c r="O276" s="18" t="n"/>
      <c r="P276" s="18" t="n"/>
      <c r="Q276" s="18" t="n"/>
    </row>
    <row r="277">
      <c r="A277" s="18" t="n"/>
      <c r="B277" s="18" t="n"/>
      <c r="C277" s="18" t="n"/>
      <c r="D277" s="18" t="n"/>
      <c r="E277" s="18" t="n"/>
      <c r="F277" s="18" t="n"/>
      <c r="G277" s="18" t="n"/>
      <c r="H277" s="18" t="n"/>
      <c r="I277" s="18" t="n"/>
      <c r="J277" s="18" t="n"/>
      <c r="K277" s="18" t="n"/>
      <c r="L277" s="18" t="n"/>
      <c r="M277" s="18" t="n"/>
      <c r="N277" s="18" t="n"/>
      <c r="O277" s="18" t="n"/>
      <c r="P277" s="18" t="n"/>
      <c r="Q277" s="18" t="n"/>
    </row>
    <row r="278">
      <c r="A278" s="18" t="n"/>
      <c r="B278" s="18" t="n"/>
      <c r="C278" s="18" t="n"/>
      <c r="D278" s="18" t="n"/>
      <c r="E278" s="18" t="n"/>
      <c r="F278" s="18" t="n"/>
      <c r="G278" s="18" t="n"/>
      <c r="H278" s="18" t="n"/>
      <c r="I278" s="18" t="n"/>
      <c r="J278" s="18" t="n"/>
      <c r="K278" s="18" t="n"/>
      <c r="L278" s="18" t="n"/>
      <c r="M278" s="18" t="n"/>
      <c r="N278" s="18" t="n"/>
      <c r="O278" s="18" t="n"/>
      <c r="P278" s="18" t="n"/>
      <c r="Q278" s="18" t="n"/>
    </row>
    <row r="279">
      <c r="A279" s="18" t="n"/>
      <c r="B279" s="18" t="n"/>
      <c r="C279" s="18" t="n"/>
      <c r="D279" s="18" t="n"/>
      <c r="E279" s="18" t="n"/>
      <c r="F279" s="18" t="n"/>
      <c r="G279" s="18" t="n"/>
      <c r="H279" s="18" t="n"/>
      <c r="I279" s="18" t="n"/>
      <c r="J279" s="18" t="n"/>
      <c r="K279" s="18" t="n"/>
      <c r="L279" s="18" t="n"/>
      <c r="M279" s="18" t="n"/>
      <c r="N279" s="18" t="n"/>
      <c r="O279" s="18" t="n"/>
      <c r="P279" s="18" t="n"/>
      <c r="Q279" s="18" t="n"/>
    </row>
    <row r="280">
      <c r="A280" s="18" t="n"/>
      <c r="B280" s="18" t="n"/>
      <c r="C280" s="18" t="n"/>
      <c r="D280" s="18" t="n"/>
      <c r="E280" s="18" t="n"/>
      <c r="F280" s="18" t="n"/>
      <c r="G280" s="18" t="n"/>
      <c r="H280" s="18" t="n"/>
      <c r="I280" s="18" t="n"/>
      <c r="J280" s="18" t="n"/>
      <c r="K280" s="18" t="n"/>
      <c r="L280" s="18" t="n"/>
      <c r="M280" s="18" t="n"/>
      <c r="N280" s="18" t="n"/>
      <c r="O280" s="18" t="n"/>
      <c r="P280" s="18" t="n"/>
      <c r="Q280" s="18" t="n"/>
    </row>
    <row r="281">
      <c r="A281" s="18" t="n"/>
      <c r="B281" s="18" t="n"/>
      <c r="C281" s="18" t="n"/>
      <c r="D281" s="18" t="n"/>
      <c r="E281" s="18" t="n"/>
      <c r="F281" s="18" t="n"/>
      <c r="G281" s="18" t="n"/>
      <c r="H281" s="18" t="n"/>
      <c r="I281" s="18" t="n"/>
      <c r="J281" s="18" t="n"/>
      <c r="K281" s="18" t="n"/>
      <c r="L281" s="18" t="n"/>
      <c r="M281" s="18" t="n"/>
      <c r="N281" s="18" t="n"/>
      <c r="O281" s="18" t="n"/>
      <c r="P281" s="18" t="n"/>
      <c r="Q281" s="18" t="n"/>
    </row>
    <row r="282">
      <c r="A282" s="18" t="n"/>
      <c r="B282" s="18" t="n"/>
      <c r="C282" s="18" t="n"/>
      <c r="D282" s="18" t="n"/>
      <c r="E282" s="18" t="n"/>
      <c r="F282" s="18" t="n"/>
      <c r="G282" s="18" t="n"/>
      <c r="H282" s="18" t="n"/>
      <c r="I282" s="18" t="n"/>
      <c r="J282" s="18" t="n"/>
      <c r="K282" s="18" t="n"/>
      <c r="L282" s="18" t="n"/>
      <c r="M282" s="18" t="n"/>
      <c r="N282" s="18" t="n"/>
      <c r="O282" s="18" t="n"/>
      <c r="P282" s="18" t="n"/>
      <c r="Q282" s="18" t="n"/>
    </row>
    <row r="283">
      <c r="A283" s="18" t="n"/>
      <c r="B283" s="18" t="n"/>
      <c r="C283" s="18" t="n"/>
      <c r="D283" s="18" t="n"/>
      <c r="E283" s="18" t="n"/>
      <c r="F283" s="18" t="n"/>
      <c r="G283" s="18" t="n"/>
      <c r="H283" s="18" t="n"/>
      <c r="I283" s="18" t="n"/>
      <c r="J283" s="18" t="n"/>
      <c r="K283" s="18" t="n"/>
      <c r="L283" s="18" t="n"/>
      <c r="M283" s="18" t="n"/>
      <c r="N283" s="18" t="n"/>
      <c r="O283" s="18" t="n"/>
      <c r="P283" s="18" t="n"/>
      <c r="Q283" s="18" t="n"/>
    </row>
    <row r="284">
      <c r="A284" s="18" t="n"/>
      <c r="B284" s="18" t="n"/>
      <c r="C284" s="18" t="n"/>
      <c r="D284" s="18" t="n"/>
      <c r="E284" s="18" t="n"/>
      <c r="F284" s="18" t="n"/>
      <c r="G284" s="18" t="n"/>
      <c r="H284" s="18" t="n"/>
      <c r="I284" s="18" t="n"/>
      <c r="J284" s="18" t="n"/>
      <c r="K284" s="18" t="n"/>
      <c r="L284" s="18" t="n"/>
      <c r="M284" s="18" t="n"/>
      <c r="N284" s="18" t="n"/>
      <c r="O284" s="18" t="n"/>
      <c r="P284" s="18" t="n"/>
      <c r="Q284" s="18" t="n"/>
    </row>
    <row r="285">
      <c r="A285" s="18" t="n"/>
      <c r="B285" s="18" t="n"/>
      <c r="C285" s="18" t="n"/>
      <c r="D285" s="18" t="n"/>
      <c r="E285" s="18" t="n"/>
      <c r="F285" s="18" t="n"/>
      <c r="G285" s="18" t="n"/>
      <c r="H285" s="18" t="n"/>
      <c r="I285" s="18" t="n"/>
      <c r="J285" s="18" t="n"/>
      <c r="K285" s="18" t="n"/>
      <c r="L285" s="18" t="n"/>
      <c r="M285" s="18" t="n"/>
      <c r="N285" s="18" t="n"/>
      <c r="O285" s="18" t="n"/>
      <c r="P285" s="18" t="n"/>
      <c r="Q285" s="18" t="n"/>
    </row>
    <row r="286">
      <c r="A286" s="18" t="n"/>
      <c r="B286" s="18" t="n"/>
      <c r="C286" s="18" t="n"/>
      <c r="D286" s="18" t="n"/>
      <c r="E286" s="18" t="n"/>
      <c r="F286" s="18" t="n"/>
      <c r="G286" s="18" t="n"/>
      <c r="H286" s="18" t="n"/>
      <c r="I286" s="18" t="n"/>
      <c r="J286" s="18" t="n"/>
      <c r="K286" s="18" t="n"/>
      <c r="L286" s="18" t="n"/>
      <c r="M286" s="18" t="n"/>
      <c r="N286" s="18" t="n"/>
      <c r="O286" s="18" t="n"/>
      <c r="P286" s="18" t="n"/>
      <c r="Q286" s="18" t="n"/>
    </row>
    <row r="287">
      <c r="A287" s="18" t="n"/>
      <c r="B287" s="18" t="n"/>
      <c r="C287" s="18" t="n"/>
      <c r="D287" s="18" t="n"/>
      <c r="E287" s="18" t="n"/>
      <c r="F287" s="18" t="n"/>
      <c r="G287" s="18" t="n"/>
      <c r="H287" s="18" t="n"/>
      <c r="I287" s="18" t="n"/>
      <c r="J287" s="18" t="n"/>
      <c r="K287" s="18" t="n"/>
      <c r="L287" s="18" t="n"/>
      <c r="M287" s="18" t="n"/>
      <c r="N287" s="18" t="n"/>
      <c r="O287" s="18" t="n"/>
      <c r="P287" s="18" t="n"/>
      <c r="Q287" s="18" t="n"/>
    </row>
    <row r="288">
      <c r="A288" s="18" t="n"/>
      <c r="B288" s="18" t="n"/>
      <c r="C288" s="18" t="n"/>
      <c r="D288" s="18" t="n"/>
      <c r="E288" s="18" t="n"/>
      <c r="F288" s="18" t="n"/>
      <c r="G288" s="18" t="n"/>
      <c r="H288" s="18" t="n"/>
      <c r="I288" s="18" t="n"/>
      <c r="J288" s="18" t="n"/>
      <c r="K288" s="18" t="n"/>
      <c r="L288" s="18" t="n"/>
      <c r="M288" s="18" t="n"/>
      <c r="N288" s="18" t="n"/>
      <c r="O288" s="18" t="n"/>
      <c r="P288" s="18" t="n"/>
      <c r="Q288" s="18" t="n"/>
    </row>
    <row r="289">
      <c r="A289" s="18" t="n"/>
      <c r="B289" s="18" t="n"/>
      <c r="C289" s="18" t="n"/>
      <c r="D289" s="18" t="n"/>
      <c r="E289" s="18" t="n"/>
      <c r="F289" s="18" t="n"/>
      <c r="G289" s="18" t="n"/>
      <c r="H289" s="18" t="n"/>
      <c r="I289" s="18" t="n"/>
      <c r="J289" s="18" t="n"/>
      <c r="K289" s="18" t="n"/>
      <c r="L289" s="18" t="n"/>
      <c r="M289" s="18" t="n"/>
      <c r="N289" s="18" t="n"/>
      <c r="O289" s="18" t="n"/>
      <c r="P289" s="18" t="n"/>
      <c r="Q289" s="18" t="n"/>
    </row>
    <row r="290">
      <c r="A290" s="18" t="n"/>
      <c r="B290" s="18" t="n"/>
      <c r="C290" s="18" t="n"/>
      <c r="D290" s="18" t="n"/>
      <c r="E290" s="18" t="n"/>
      <c r="F290" s="18" t="n"/>
      <c r="G290" s="18" t="n"/>
      <c r="H290" s="18" t="n"/>
      <c r="I290" s="18" t="n"/>
      <c r="J290" s="18" t="n"/>
      <c r="K290" s="18" t="n"/>
      <c r="L290" s="18" t="n"/>
      <c r="M290" s="18" t="n"/>
      <c r="N290" s="18" t="n"/>
      <c r="O290" s="18" t="n"/>
      <c r="P290" s="18" t="n"/>
      <c r="Q290" s="18" t="n"/>
    </row>
    <row r="291">
      <c r="A291" s="18" t="n"/>
      <c r="B291" s="18" t="n"/>
      <c r="C291" s="18" t="n"/>
      <c r="D291" s="18" t="n"/>
      <c r="E291" s="18" t="n"/>
      <c r="F291" s="18" t="n"/>
      <c r="G291" s="18" t="n"/>
      <c r="H291" s="18" t="n"/>
      <c r="I291" s="18" t="n"/>
      <c r="J291" s="18" t="n"/>
      <c r="K291" s="18" t="n"/>
      <c r="L291" s="18" t="n"/>
      <c r="M291" s="18" t="n"/>
      <c r="N291" s="18" t="n"/>
      <c r="O291" s="18" t="n"/>
      <c r="P291" s="18" t="n"/>
      <c r="Q291" s="18" t="n"/>
    </row>
    <row r="292">
      <c r="A292" s="18" t="n"/>
      <c r="B292" s="18" t="n"/>
      <c r="C292" s="18" t="n"/>
      <c r="D292" s="18" t="n"/>
      <c r="E292" s="18" t="n"/>
      <c r="F292" s="18" t="n"/>
      <c r="G292" s="18" t="n"/>
      <c r="H292" s="18" t="n"/>
      <c r="I292" s="18" t="n"/>
      <c r="J292" s="18" t="n"/>
      <c r="K292" s="18" t="n"/>
      <c r="L292" s="18" t="n"/>
      <c r="M292" s="18" t="n"/>
      <c r="N292" s="18" t="n"/>
      <c r="O292" s="18" t="n"/>
      <c r="P292" s="18" t="n"/>
      <c r="Q292" s="18" t="n"/>
    </row>
    <row r="293">
      <c r="A293" s="18" t="n"/>
      <c r="B293" s="18" t="n"/>
      <c r="C293" s="18" t="n"/>
      <c r="D293" s="18" t="n"/>
      <c r="E293" s="18" t="n"/>
      <c r="F293" s="18" t="n"/>
      <c r="G293" s="18" t="n"/>
      <c r="H293" s="18" t="n"/>
      <c r="I293" s="18" t="n"/>
      <c r="J293" s="18" t="n"/>
      <c r="K293" s="18" t="n"/>
      <c r="L293" s="18" t="n"/>
      <c r="M293" s="18" t="n"/>
      <c r="N293" s="18" t="n"/>
      <c r="O293" s="18" t="n"/>
      <c r="P293" s="18" t="n"/>
      <c r="Q293" s="18" t="n"/>
    </row>
    <row r="294">
      <c r="A294" s="18" t="n"/>
      <c r="B294" s="18" t="n"/>
      <c r="C294" s="18" t="n"/>
      <c r="D294" s="18" t="n"/>
      <c r="E294" s="18" t="n"/>
      <c r="F294" s="18" t="n"/>
      <c r="G294" s="18" t="n"/>
      <c r="H294" s="18" t="n"/>
      <c r="I294" s="18" t="n"/>
      <c r="J294" s="18" t="n"/>
      <c r="K294" s="18" t="n"/>
      <c r="L294" s="18" t="n"/>
      <c r="M294" s="18" t="n"/>
      <c r="N294" s="18" t="n"/>
      <c r="O294" s="18" t="n"/>
      <c r="P294" s="18" t="n"/>
      <c r="Q294" s="18" t="n"/>
    </row>
    <row r="295">
      <c r="A295" s="18" t="n"/>
      <c r="B295" s="18" t="n"/>
      <c r="C295" s="18" t="n"/>
      <c r="D295" s="18" t="n"/>
      <c r="E295" s="18" t="n"/>
      <c r="F295" s="18" t="n"/>
      <c r="G295" s="18" t="n"/>
      <c r="H295" s="18" t="n"/>
      <c r="I295" s="18" t="n"/>
      <c r="J295" s="18" t="n"/>
      <c r="K295" s="18" t="n"/>
      <c r="L295" s="18" t="n"/>
      <c r="M295" s="18" t="n"/>
      <c r="N295" s="18" t="n"/>
      <c r="O295" s="18" t="n"/>
      <c r="P295" s="18" t="n"/>
      <c r="Q295" s="18" t="n"/>
    </row>
    <row r="296">
      <c r="A296" s="18" t="n"/>
      <c r="B296" s="18" t="n"/>
      <c r="C296" s="18" t="n"/>
      <c r="D296" s="18" t="n"/>
      <c r="E296" s="18" t="n"/>
      <c r="F296" s="18" t="n"/>
      <c r="G296" s="18" t="n"/>
      <c r="H296" s="18" t="n"/>
      <c r="I296" s="18" t="n"/>
      <c r="J296" s="18" t="n"/>
      <c r="K296" s="18" t="n"/>
      <c r="L296" s="18" t="n"/>
      <c r="M296" s="18" t="n"/>
      <c r="N296" s="18" t="n"/>
      <c r="O296" s="18" t="n"/>
      <c r="P296" s="18" t="n"/>
      <c r="Q296" s="18" t="n"/>
    </row>
    <row r="297">
      <c r="A297" s="18" t="n"/>
      <c r="B297" s="18" t="n"/>
      <c r="C297" s="18" t="n"/>
      <c r="D297" s="18" t="n"/>
      <c r="E297" s="18" t="n"/>
      <c r="F297" s="18" t="n"/>
      <c r="G297" s="18" t="n"/>
      <c r="H297" s="18" t="n"/>
      <c r="I297" s="18" t="n"/>
      <c r="J297" s="18" t="n"/>
      <c r="K297" s="18" t="n"/>
      <c r="L297" s="18" t="n"/>
      <c r="M297" s="18" t="n"/>
      <c r="N297" s="18" t="n"/>
      <c r="O297" s="18" t="n"/>
      <c r="P297" s="18" t="n"/>
      <c r="Q297" s="18" t="n"/>
    </row>
    <row r="298">
      <c r="A298" s="18" t="n"/>
      <c r="B298" s="18" t="n"/>
      <c r="C298" s="18" t="n"/>
      <c r="D298" s="18" t="n"/>
      <c r="E298" s="18" t="n"/>
      <c r="F298" s="18" t="n"/>
      <c r="G298" s="18" t="n"/>
      <c r="H298" s="18" t="n"/>
      <c r="I298" s="18" t="n"/>
      <c r="J298" s="18" t="n"/>
      <c r="K298" s="18" t="n"/>
      <c r="L298" s="18" t="n"/>
      <c r="M298" s="18" t="n"/>
      <c r="N298" s="18" t="n"/>
      <c r="O298" s="18" t="n"/>
      <c r="P298" s="18" t="n"/>
      <c r="Q298" s="18" t="n"/>
    </row>
    <row r="299">
      <c r="A299" s="18" t="n"/>
      <c r="B299" s="18" t="n"/>
      <c r="C299" s="18" t="n"/>
      <c r="D299" s="18" t="n"/>
      <c r="E299" s="18" t="n"/>
      <c r="F299" s="18" t="n"/>
      <c r="G299" s="18" t="n"/>
      <c r="H299" s="18" t="n"/>
      <c r="I299" s="18" t="n"/>
      <c r="J299" s="18" t="n"/>
      <c r="K299" s="18" t="n"/>
      <c r="L299" s="18" t="n"/>
      <c r="M299" s="18" t="n"/>
      <c r="N299" s="18" t="n"/>
      <c r="O299" s="18" t="n"/>
      <c r="P299" s="18" t="n"/>
      <c r="Q299" s="18" t="n"/>
    </row>
    <row r="300">
      <c r="A300" s="18" t="n"/>
      <c r="B300" s="18" t="n"/>
      <c r="C300" s="18" t="n"/>
      <c r="D300" s="18" t="n"/>
      <c r="E300" s="18" t="n"/>
      <c r="F300" s="18" t="n"/>
      <c r="G300" s="18" t="n"/>
      <c r="H300" s="18" t="n"/>
      <c r="I300" s="18" t="n"/>
      <c r="J300" s="18" t="n"/>
      <c r="K300" s="18" t="n"/>
      <c r="L300" s="18" t="n"/>
      <c r="M300" s="18" t="n"/>
      <c r="N300" s="18" t="n"/>
      <c r="O300" s="18" t="n"/>
      <c r="P300" s="18" t="n"/>
      <c r="Q300" s="18" t="n"/>
    </row>
    <row r="301">
      <c r="A301" s="18" t="n"/>
      <c r="B301" s="18" t="n"/>
      <c r="C301" s="18" t="n"/>
      <c r="D301" s="18" t="n"/>
      <c r="E301" s="18" t="n"/>
      <c r="F301" s="18" t="n"/>
      <c r="G301" s="18" t="n"/>
      <c r="H301" s="18" t="n"/>
      <c r="I301" s="18" t="n"/>
      <c r="J301" s="18" t="n"/>
      <c r="K301" s="18" t="n"/>
      <c r="L301" s="18" t="n"/>
      <c r="M301" s="18" t="n"/>
      <c r="N301" s="18" t="n"/>
      <c r="O301" s="18" t="n"/>
      <c r="P301" s="18" t="n"/>
      <c r="Q301" s="18" t="n"/>
    </row>
  </sheetData>
  <dataValidations count="3">
    <dataValidation sqref="E2:E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J2:J300" showDropDown="0" showInputMessage="0" showErrorMessage="0" allowBlank="0" type="list">
      <formula1>"Tier 1 - Primary/Institutional,Tier 2 - Scholarly/Authoritative,Tier 3 - Reputable secondary,Tier 4 - Discovery only"</formula1>
    </dataValidation>
    <dataValidation sqref="K2:K300" showDropDown="0" showInputMessage="0" showErrorMessage="0" allowBlank="0" type="list">
      <formula1>"Yes,No,Unknown / verify"</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style="42" min="1" max="1"/>
    <col width="12" customWidth="1" style="42" min="2" max="2"/>
    <col width="13" customWidth="1" style="42" min="3" max="3"/>
    <col width="12" customWidth="1" style="42" min="4" max="4"/>
    <col width="14" customWidth="1" style="42" min="5" max="5"/>
    <col width="18" customWidth="1" style="42" min="6" max="6"/>
    <col width="15" customWidth="1" style="42" min="7" max="7"/>
    <col width="15" customWidth="1" style="42" min="8" max="8"/>
    <col width="10" customWidth="1" style="42" min="9" max="9"/>
    <col width="12" customWidth="1" style="42" min="10" max="10"/>
    <col width="12" customWidth="1" style="42" min="11" max="11"/>
    <col width="45" customWidth="1" style="42" min="12" max="12"/>
  </cols>
  <sheetData>
    <row r="1">
      <c r="A1" s="17" t="inlineStr">
        <is>
          <t>SELFLO COVERAGE MAP — Research Pool</t>
        </is>
      </c>
      <c r="B1" s="1" t="n"/>
      <c r="C1" s="1" t="n"/>
      <c r="D1" s="1" t="n"/>
      <c r="E1" s="1" t="n"/>
      <c r="F1" s="1" t="n"/>
      <c r="G1" s="1" t="n"/>
      <c r="H1" s="1" t="n"/>
      <c r="I1" s="1" t="n"/>
      <c r="J1" s="1" t="n"/>
      <c r="K1" s="1" t="n"/>
      <c r="L1" s="1" t="n"/>
    </row>
    <row r="3">
      <c r="A3" s="6" t="inlineStr">
        <is>
          <t>Cluster</t>
        </is>
      </c>
      <c r="B3" s="6" t="inlineStr">
        <is>
          <t>Target Pool</t>
        </is>
      </c>
      <c r="C3" s="6" t="inlineStr">
        <is>
          <t>Quote Count</t>
        </is>
      </c>
      <c r="D3" s="6" t="inlineStr">
        <is>
          <t>Story Count</t>
        </is>
      </c>
      <c r="E3" s="6" t="inlineStr">
        <is>
          <t>Principle Count</t>
        </is>
      </c>
      <c r="F3" s="6" t="inlineStr">
        <is>
          <t>Verified A/B Quotes</t>
        </is>
      </c>
      <c r="G3" s="6" t="inlineStr">
        <is>
          <t>High Selflo Fit</t>
        </is>
      </c>
      <c r="H3" s="6" t="inlineStr">
        <is>
          <t>Released Quotes</t>
        </is>
      </c>
      <c r="I3" s="6" t="inlineStr">
        <is>
          <t>Gap</t>
        </is>
      </c>
      <c r="J3" s="6" t="inlineStr">
        <is>
          <t>Coverage %</t>
        </is>
      </c>
      <c r="K3" s="6" t="inlineStr">
        <is>
          <t>Priority</t>
        </is>
      </c>
      <c r="L3" s="6" t="inlineStr">
        <is>
          <t>Notes</t>
        </is>
      </c>
    </row>
    <row r="4">
      <c r="A4" t="inlineStr">
        <is>
          <t>Exhaustion / Recovery / Work carryover</t>
        </is>
      </c>
      <c r="B4" t="n">
        <v>50</v>
      </c>
      <c r="C4">
        <f>COUNTIF('Quote Library'!$C$2:$C$500,A4)+COUNTIF('Quote Library'!$D$2:$D$500,A4)</f>
        <v/>
      </c>
      <c r="D4">
        <f>COUNTIF('Story Library'!$G$2:$G$300,A4)+COUNTIF('Story Library'!$H$2:$H$300,A4)</f>
        <v/>
      </c>
      <c r="E4">
        <f>COUNTIF('Principle Library'!$O$2:$O$300,A4)</f>
        <v/>
      </c>
      <c r="F4">
        <f>COUNTIFS('Quote Library'!$C$2:$C$500,A4,'Quote Library'!$R$2:$R$500,"A - Primary source")+COUNTIFS('Quote Library'!$C$2:$C$500,A4,'Quote Library'!$R$2:$R$500,"B - Authoritative secondary")</f>
        <v/>
      </c>
      <c r="G4">
        <f>COUNTIFS('Quote Library'!$C$2:$C$500,A4,'Quote Library'!$V$2:$V$500,"High")</f>
        <v/>
      </c>
      <c r="H4">
        <f>COUNTIFS('Quote Library'!$C$2:$C$500,A4,'Quote Library'!$AD$2:$AD$500,"Released")</f>
        <v/>
      </c>
      <c r="I4">
        <f>MAX(B4-C4,0)</f>
        <v/>
      </c>
      <c r="J4" s="67">
        <f>MIN(C4/B4,1)</f>
        <v/>
      </c>
      <c r="K4">
        <f>IF(J4&lt;0.5,"High",IF(J4&lt;0.9,"Medium","Filled"))</f>
        <v/>
      </c>
    </row>
    <row r="5">
      <c r="A5" t="inlineStr">
        <is>
          <t>Self-compassion / Self-blame</t>
        </is>
      </c>
      <c r="B5" t="n">
        <v>50</v>
      </c>
      <c r="C5">
        <f>COUNTIF('Quote Library'!$C$2:$C$500,A5)+COUNTIF('Quote Library'!$D$2:$D$500,A5)</f>
        <v/>
      </c>
      <c r="D5">
        <f>COUNTIF('Story Library'!$G$2:$G$300,A5)+COUNTIF('Story Library'!$H$2:$H$300,A5)</f>
        <v/>
      </c>
      <c r="E5">
        <f>COUNTIF('Principle Library'!$O$2:$O$300,A5)</f>
        <v/>
      </c>
      <c r="F5">
        <f>COUNTIFS('Quote Library'!$C$2:$C$500,A5,'Quote Library'!$R$2:$R$500,"A - Primary source")+COUNTIFS('Quote Library'!$C$2:$C$500,A5,'Quote Library'!$R$2:$R$500,"B - Authoritative secondary")</f>
        <v/>
      </c>
      <c r="G5">
        <f>COUNTIFS('Quote Library'!$C$2:$C$500,A5,'Quote Library'!$V$2:$V$500,"High")</f>
        <v/>
      </c>
      <c r="H5">
        <f>COUNTIFS('Quote Library'!$C$2:$C$500,A5,'Quote Library'!$AD$2:$AD$500,"Released")</f>
        <v/>
      </c>
      <c r="I5">
        <f>MAX(B5-C5,0)</f>
        <v/>
      </c>
      <c r="J5" s="67">
        <f>MIN(C5/B5,1)</f>
        <v/>
      </c>
      <c r="K5">
        <f>IF(J5&lt;0.5,"High",IF(J5&lt;0.9,"Medium","Filled"))</f>
        <v/>
      </c>
    </row>
    <row r="6">
      <c r="A6" t="inlineStr">
        <is>
          <t>Uncertainty / Choice / Agency</t>
        </is>
      </c>
      <c r="B6" t="n">
        <v>50</v>
      </c>
      <c r="C6">
        <f>COUNTIF('Quote Library'!$C$2:$C$500,A6)+COUNTIF('Quote Library'!$D$2:$D$500,A6)</f>
        <v/>
      </c>
      <c r="D6">
        <f>COUNTIF('Story Library'!$G$2:$G$300,A6)+COUNTIF('Story Library'!$H$2:$H$300,A6)</f>
        <v/>
      </c>
      <c r="E6">
        <f>COUNTIF('Principle Library'!$O$2:$O$300,A6)</f>
        <v/>
      </c>
      <c r="F6">
        <f>COUNTIFS('Quote Library'!$C$2:$C$500,A6,'Quote Library'!$R$2:$R$500,"A - Primary source")+COUNTIFS('Quote Library'!$C$2:$C$500,A6,'Quote Library'!$R$2:$R$500,"B - Authoritative secondary")</f>
        <v/>
      </c>
      <c r="G6">
        <f>COUNTIFS('Quote Library'!$C$2:$C$500,A6,'Quote Library'!$V$2:$V$500,"High")</f>
        <v/>
      </c>
      <c r="H6">
        <f>COUNTIFS('Quote Library'!$C$2:$C$500,A6,'Quote Library'!$AD$2:$AD$500,"Released")</f>
        <v/>
      </c>
      <c r="I6">
        <f>MAX(B6-C6,0)</f>
        <v/>
      </c>
      <c r="J6" s="67">
        <f>MIN(C6/B6,1)</f>
        <v/>
      </c>
      <c r="K6">
        <f>IF(J6&lt;0.5,"High",IF(J6&lt;0.9,"Medium","Filled"))</f>
        <v/>
      </c>
    </row>
    <row r="7">
      <c r="A7" t="inlineStr">
        <is>
          <t>Comparison / External standards / Values</t>
        </is>
      </c>
      <c r="B7" t="n">
        <v>50</v>
      </c>
      <c r="C7">
        <f>COUNTIF('Quote Library'!$C$2:$C$500,A7)+COUNTIF('Quote Library'!$D$2:$D$500,A7)</f>
        <v/>
      </c>
      <c r="D7">
        <f>COUNTIF('Story Library'!$G$2:$G$300,A7)+COUNTIF('Story Library'!$H$2:$H$300,A7)</f>
        <v/>
      </c>
      <c r="E7">
        <f>COUNTIF('Principle Library'!$O$2:$O$300,A7)</f>
        <v/>
      </c>
      <c r="F7">
        <f>COUNTIFS('Quote Library'!$C$2:$C$500,A7,'Quote Library'!$R$2:$R$500,"A - Primary source")+COUNTIFS('Quote Library'!$C$2:$C$500,A7,'Quote Library'!$R$2:$R$500,"B - Authoritative secondary")</f>
        <v/>
      </c>
      <c r="G7">
        <f>COUNTIFS('Quote Library'!$C$2:$C$500,A7,'Quote Library'!$V$2:$V$500,"High")</f>
        <v/>
      </c>
      <c r="H7">
        <f>COUNTIFS('Quote Library'!$C$2:$C$500,A7,'Quote Library'!$AD$2:$AD$500,"Released")</f>
        <v/>
      </c>
      <c r="I7">
        <f>MAX(B7-C7,0)</f>
        <v/>
      </c>
      <c r="J7" s="67">
        <f>MIN(C7/B7,1)</f>
        <v/>
      </c>
      <c r="K7">
        <f>IF(J7&lt;0.5,"High",IF(J7&lt;0.9,"Medium","Filled"))</f>
        <v/>
      </c>
    </row>
    <row r="8">
      <c r="A8" t="inlineStr">
        <is>
          <t>Attention / Noise / Deep focus</t>
        </is>
      </c>
      <c r="B8" t="n">
        <v>50</v>
      </c>
      <c r="C8">
        <f>COUNTIF('Quote Library'!$C$2:$C$500,A8)+COUNTIF('Quote Library'!$D$2:$D$500,A8)</f>
        <v/>
      </c>
      <c r="D8">
        <f>COUNTIF('Story Library'!$G$2:$G$300,A8)+COUNTIF('Story Library'!$H$2:$H$300,A8)</f>
        <v/>
      </c>
      <c r="E8">
        <f>COUNTIF('Principle Library'!$O$2:$O$300,A8)</f>
        <v/>
      </c>
      <c r="F8">
        <f>COUNTIFS('Quote Library'!$C$2:$C$500,A8,'Quote Library'!$R$2:$R$500,"A - Primary source")+COUNTIFS('Quote Library'!$C$2:$C$500,A8,'Quote Library'!$R$2:$R$500,"B - Authoritative secondary")</f>
        <v/>
      </c>
      <c r="G8">
        <f>COUNTIFS('Quote Library'!$C$2:$C$500,A8,'Quote Library'!$V$2:$V$500,"High")</f>
        <v/>
      </c>
      <c r="H8">
        <f>COUNTIFS('Quote Library'!$C$2:$C$500,A8,'Quote Library'!$AD$2:$AD$500,"Released")</f>
        <v/>
      </c>
      <c r="I8">
        <f>MAX(B8-C8,0)</f>
        <v/>
      </c>
      <c r="J8" s="67">
        <f>MIN(C8/B8,1)</f>
        <v/>
      </c>
      <c r="K8">
        <f>IF(J8&lt;0.5,"High",IF(J8&lt;0.9,"Medium","Filled"))</f>
        <v/>
      </c>
    </row>
    <row r="9">
      <c r="A9" t="inlineStr">
        <is>
          <t>Learning / Failure / Quiet growth</t>
        </is>
      </c>
      <c r="B9" t="n">
        <v>50</v>
      </c>
      <c r="C9">
        <f>COUNTIF('Quote Library'!$C$2:$C$500,A9)+COUNTIF('Quote Library'!$D$2:$D$500,A9)</f>
        <v/>
      </c>
      <c r="D9">
        <f>COUNTIF('Story Library'!$G$2:$G$300,A9)+COUNTIF('Story Library'!$H$2:$H$300,A9)</f>
        <v/>
      </c>
      <c r="E9">
        <f>COUNTIF('Principle Library'!$O$2:$O$300,A9)</f>
        <v/>
      </c>
      <c r="F9">
        <f>COUNTIFS('Quote Library'!$C$2:$C$500,A9,'Quote Library'!$R$2:$R$500,"A - Primary source")+COUNTIFS('Quote Library'!$C$2:$C$500,A9,'Quote Library'!$R$2:$R$500,"B - Authoritative secondary")</f>
        <v/>
      </c>
      <c r="G9">
        <f>COUNTIFS('Quote Library'!$C$2:$C$500,A9,'Quote Library'!$V$2:$V$500,"High")</f>
        <v/>
      </c>
      <c r="H9">
        <f>COUNTIFS('Quote Library'!$C$2:$C$500,A9,'Quote Library'!$AD$2:$AD$500,"Released")</f>
        <v/>
      </c>
      <c r="I9">
        <f>MAX(B9-C9,0)</f>
        <v/>
      </c>
      <c r="J9" s="67">
        <f>MIN(C9/B9,1)</f>
        <v/>
      </c>
      <c r="K9">
        <f>IF(J9&lt;0.5,"High",IF(J9&lt;0.9,"Medium","Filled"))</f>
        <v/>
      </c>
    </row>
    <row r="10">
      <c r="A10" t="inlineStr">
        <is>
          <t>Change / Impermanence / Recovery</t>
        </is>
      </c>
      <c r="B10" t="n">
        <v>50</v>
      </c>
      <c r="C10">
        <f>COUNTIF('Quote Library'!$C$2:$C$500,A10)+COUNTIF('Quote Library'!$D$2:$D$500,A10)</f>
        <v/>
      </c>
      <c r="D10">
        <f>COUNTIF('Story Library'!$G$2:$G$300,A10)+COUNTIF('Story Library'!$H$2:$H$300,A10)</f>
        <v/>
      </c>
      <c r="E10">
        <f>COUNTIF('Principle Library'!$O$2:$O$300,A10)</f>
        <v/>
      </c>
      <c r="F10">
        <f>COUNTIFS('Quote Library'!$C$2:$C$500,A10,'Quote Library'!$R$2:$R$500,"A - Primary source")+COUNTIFS('Quote Library'!$C$2:$C$500,A10,'Quote Library'!$R$2:$R$500,"B - Authoritative secondary")</f>
        <v/>
      </c>
      <c r="G10">
        <f>COUNTIFS('Quote Library'!$C$2:$C$500,A10,'Quote Library'!$V$2:$V$500,"High")</f>
        <v/>
      </c>
      <c r="H10">
        <f>COUNTIFS('Quote Library'!$C$2:$C$500,A10,'Quote Library'!$AD$2:$AD$500,"Released")</f>
        <v/>
      </c>
      <c r="I10">
        <f>MAX(B10-C10,0)</f>
        <v/>
      </c>
      <c r="J10" s="67">
        <f>MIN(C10/B10,1)</f>
        <v/>
      </c>
      <c r="K10">
        <f>IF(J10&lt;0.5,"High",IF(J10&lt;0.9,"Medium","Filled"))</f>
        <v/>
      </c>
    </row>
    <row r="11">
      <c r="A11" t="inlineStr">
        <is>
          <t>Mixed emotions / Emotional memory</t>
        </is>
      </c>
      <c r="B11" t="n">
        <v>50</v>
      </c>
      <c r="C11">
        <f>COUNTIF('Quote Library'!$C$2:$C$500,A11)+COUNTIF('Quote Library'!$D$2:$D$500,A11)</f>
        <v/>
      </c>
      <c r="D11">
        <f>COUNTIF('Story Library'!$G$2:$G$300,A11)+COUNTIF('Story Library'!$H$2:$H$300,A11)</f>
        <v/>
      </c>
      <c r="E11">
        <f>COUNTIF('Principle Library'!$O$2:$O$300,A11)</f>
        <v/>
      </c>
      <c r="F11">
        <f>COUNTIFS('Quote Library'!$C$2:$C$500,A11,'Quote Library'!$R$2:$R$500,"A - Primary source")+COUNTIFS('Quote Library'!$C$2:$C$500,A11,'Quote Library'!$R$2:$R$500,"B - Authoritative secondary")</f>
        <v/>
      </c>
      <c r="G11">
        <f>COUNTIFS('Quote Library'!$C$2:$C$500,A11,'Quote Library'!$V$2:$V$500,"High")</f>
        <v/>
      </c>
      <c r="H11">
        <f>COUNTIFS('Quote Library'!$C$2:$C$500,A11,'Quote Library'!$AD$2:$AD$500,"Released")</f>
        <v/>
      </c>
      <c r="I11">
        <f>MAX(B11-C11,0)</f>
        <v/>
      </c>
      <c r="J11" s="67">
        <f>MIN(C11/B11,1)</f>
        <v/>
      </c>
      <c r="K11">
        <f>IF(J11&lt;0.5,"High",IF(J11&lt;0.9,"Medium","Filled"))</f>
        <v/>
      </c>
    </row>
    <row r="12">
      <c r="A12" t="inlineStr">
        <is>
          <t>Meaning / Identity / Work</t>
        </is>
      </c>
      <c r="B12" t="n">
        <v>50</v>
      </c>
      <c r="C12">
        <f>COUNTIF('Quote Library'!$C$2:$C$500,A12)+COUNTIF('Quote Library'!$D$2:$D$500,A12)</f>
        <v/>
      </c>
      <c r="D12">
        <f>COUNTIF('Story Library'!$G$2:$G$300,A12)+COUNTIF('Story Library'!$H$2:$H$300,A12)</f>
        <v/>
      </c>
      <c r="E12">
        <f>COUNTIF('Principle Library'!$O$2:$O$300,A12)</f>
        <v/>
      </c>
      <c r="F12">
        <f>COUNTIFS('Quote Library'!$C$2:$C$500,A12,'Quote Library'!$R$2:$R$500,"A - Primary source")+COUNTIFS('Quote Library'!$C$2:$C$500,A12,'Quote Library'!$R$2:$R$500,"B - Authoritative secondary")</f>
        <v/>
      </c>
      <c r="G12">
        <f>COUNTIFS('Quote Library'!$C$2:$C$500,A12,'Quote Library'!$V$2:$V$500,"High")</f>
        <v/>
      </c>
      <c r="H12">
        <f>COUNTIFS('Quote Library'!$C$2:$C$500,A12,'Quote Library'!$AD$2:$AD$500,"Released")</f>
        <v/>
      </c>
      <c r="I12">
        <f>MAX(B12-C12,0)</f>
        <v/>
      </c>
      <c r="J12" s="67">
        <f>MIN(C12/B12,1)</f>
        <v/>
      </c>
      <c r="K12">
        <f>IF(J12&lt;0.5,"High",IF(J12&lt;0.9,"Medium","Filled"))</f>
        <v/>
      </c>
    </row>
    <row r="13">
      <c r="A13" t="inlineStr">
        <is>
          <t>AI-age Human Judgment</t>
        </is>
      </c>
      <c r="B13" t="n">
        <v>50</v>
      </c>
      <c r="C13">
        <f>COUNTIF('Quote Library'!$C$2:$C$500,A13)+COUNTIF('Quote Library'!$D$2:$D$500,A13)</f>
        <v/>
      </c>
      <c r="D13">
        <f>COUNTIF('Story Library'!$G$2:$G$300,A13)+COUNTIF('Story Library'!$H$2:$H$300,A13)</f>
        <v/>
      </c>
      <c r="E13">
        <f>COUNTIF('Principle Library'!$O$2:$O$300,A13)</f>
        <v/>
      </c>
      <c r="F13">
        <f>COUNTIFS('Quote Library'!$C$2:$C$500,A13,'Quote Library'!$R$2:$R$500,"A - Primary source")+COUNTIFS('Quote Library'!$C$2:$C$500,A13,'Quote Library'!$R$2:$R$500,"B - Authoritative secondary")</f>
        <v/>
      </c>
      <c r="G13">
        <f>COUNTIFS('Quote Library'!$C$2:$C$500,A13,'Quote Library'!$V$2:$V$500,"High")</f>
        <v/>
      </c>
      <c r="H13">
        <f>COUNTIFS('Quote Library'!$C$2:$C$500,A13,'Quote Library'!$AD$2:$AD$500,"Released")</f>
        <v/>
      </c>
      <c r="I13">
        <f>MAX(B13-C13,0)</f>
        <v/>
      </c>
      <c r="J13" s="67">
        <f>MIN(C13/B13,1)</f>
        <v/>
      </c>
      <c r="K13">
        <f>IF(J13&lt;0.5,"High",IF(J13&lt;0.9,"Medium","Filled"))</f>
        <v/>
      </c>
    </row>
    <row r="14">
      <c r="A14" t="inlineStr">
        <is>
          <t>Relationships / Boundaries / Connection</t>
        </is>
      </c>
      <c r="B14" t="n">
        <v>50</v>
      </c>
      <c r="C14">
        <f>COUNTIF('Quote Library'!$C$2:$C$500,A14)+COUNTIF('Quote Library'!$D$2:$D$500,A14)</f>
        <v/>
      </c>
      <c r="D14">
        <f>COUNTIF('Story Library'!$G$2:$G$300,A14)+COUNTIF('Story Library'!$H$2:$H$300,A14)</f>
        <v/>
      </c>
      <c r="E14">
        <f>COUNTIF('Principle Library'!$O$2:$O$300,A14)</f>
        <v/>
      </c>
      <c r="F14">
        <f>COUNTIFS('Quote Library'!$C$2:$C$500,A14,'Quote Library'!$R$2:$R$500,"A - Primary source")+COUNTIFS('Quote Library'!$C$2:$C$500,A14,'Quote Library'!$R$2:$R$500,"B - Authoritative secondary")</f>
        <v/>
      </c>
      <c r="G14">
        <f>COUNTIFS('Quote Library'!$C$2:$C$500,A14,'Quote Library'!$V$2:$V$500,"High")</f>
        <v/>
      </c>
      <c r="H14">
        <f>COUNTIFS('Quote Library'!$C$2:$C$500,A14,'Quote Library'!$AD$2:$AD$500,"Released")</f>
        <v/>
      </c>
      <c r="I14">
        <f>MAX(B14-C14,0)</f>
        <v/>
      </c>
      <c r="J14" s="67">
        <f>MIN(C14/B14,1)</f>
        <v/>
      </c>
      <c r="K14">
        <f>IF(J14&lt;0.5,"High",IF(J14&lt;0.9,"Medium","Filled"))</f>
        <v/>
      </c>
    </row>
    <row r="15">
      <c r="A15" t="inlineStr">
        <is>
          <t>Rest / Limits / Wellbeing</t>
        </is>
      </c>
      <c r="B15" t="n">
        <v>50</v>
      </c>
      <c r="C15">
        <f>COUNTIF('Quote Library'!$C$2:$C$500,A15)+COUNTIF('Quote Library'!$D$2:$D$500,A15)</f>
        <v/>
      </c>
      <c r="D15">
        <f>COUNTIF('Story Library'!$G$2:$G$300,A15)+COUNTIF('Story Library'!$H$2:$H$300,A15)</f>
        <v/>
      </c>
      <c r="E15">
        <f>COUNTIF('Principle Library'!$O$2:$O$300,A15)</f>
        <v/>
      </c>
      <c r="F15">
        <f>COUNTIFS('Quote Library'!$C$2:$C$500,A15,'Quote Library'!$R$2:$R$500,"A - Primary source")+COUNTIFS('Quote Library'!$C$2:$C$500,A15,'Quote Library'!$R$2:$R$500,"B - Authoritative secondary")</f>
        <v/>
      </c>
      <c r="G15">
        <f>COUNTIFS('Quote Library'!$C$2:$C$500,A15,'Quote Library'!$V$2:$V$500,"High")</f>
        <v/>
      </c>
      <c r="H15">
        <f>COUNTIFS('Quote Library'!$C$2:$C$500,A15,'Quote Library'!$AD$2:$AD$500,"Released")</f>
        <v/>
      </c>
      <c r="I15">
        <f>MAX(B15-C15,0)</f>
        <v/>
      </c>
      <c r="J15" s="67">
        <f>MIN(C15/B15,1)</f>
        <v/>
      </c>
      <c r="K15">
        <f>IF(J15&lt;0.5,"High",IF(J15&lt;0.9,"Medium","Filled"))</f>
        <v/>
      </c>
    </row>
  </sheetData>
  <mergeCells count="1">
    <mergeCell ref="A1:L1"/>
  </mergeCells>
  <conditionalFormatting sqref="J4:J15">
    <cfRule type="dataBar" priority="1">
      <dataBar>
        <cfvo type="min"/>
        <cfvo type="max"/>
        <color rgb="FFA02B93"/>
      </dataBar>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0" customWidth="1" style="42" min="1" max="1"/>
    <col width="18" customWidth="1" style="42" min="2" max="2"/>
    <col width="18" customWidth="1" style="42" min="3" max="3"/>
    <col width="18" customWidth="1" style="42" min="4" max="4"/>
  </cols>
  <sheetData>
    <row r="1">
      <c r="A1" s="17" t="inlineStr">
        <is>
          <t>SELFLO WISDOM LIBRARY — DASHBOARD</t>
        </is>
      </c>
      <c r="B1" s="1" t="n"/>
      <c r="C1" s="1" t="n"/>
      <c r="D1" s="1" t="n"/>
      <c r="E1" s="1" t="n"/>
      <c r="F1" s="1" t="n"/>
      <c r="G1" s="1" t="n"/>
      <c r="H1" s="1" t="n"/>
    </row>
    <row r="3">
      <c r="A3" s="6" t="inlineStr">
        <is>
          <t>Metric</t>
        </is>
      </c>
      <c r="B3" s="6" t="inlineStr">
        <is>
          <t>Value</t>
        </is>
      </c>
    </row>
    <row r="4">
      <c r="A4" t="inlineStr">
        <is>
          <t>Quotes collected</t>
        </is>
      </c>
      <c r="B4">
        <f>COUNTIF('Quote Library'!$B$2:$B$500,"&lt;&gt;")</f>
        <v/>
      </c>
    </row>
    <row r="5">
      <c r="A5" t="inlineStr">
        <is>
          <t>Quotes verified A/B</t>
        </is>
      </c>
      <c r="B5">
        <f>COUNTIF('Quote Library'!$R$2:$R$500,"A - Primary source")+COUNTIF('Quote Library'!$R$2:$R$500,"B - Authoritative secondary")</f>
        <v/>
      </c>
    </row>
    <row r="6">
      <c r="A6" t="inlineStr">
        <is>
          <t>Quotes high Selflo fit</t>
        </is>
      </c>
      <c r="B6">
        <f>COUNTIF('Quote Library'!$V$2:$V$500,"High")</f>
        <v/>
      </c>
    </row>
    <row r="7">
      <c r="A7" t="inlineStr">
        <is>
          <t>Released quotes</t>
        </is>
      </c>
      <c r="B7">
        <f>COUNTIF('Quote Library'!$AD$2:$AD$500,"Released")</f>
        <v/>
      </c>
    </row>
    <row r="8">
      <c r="A8" t="inlineStr">
        <is>
          <t>Stories collected</t>
        </is>
      </c>
      <c r="B8">
        <f>COUNTIF('Story Library'!$B$2:$B$300,"&lt;&gt;")</f>
        <v/>
      </c>
    </row>
    <row r="9">
      <c r="A9" t="inlineStr">
        <is>
          <t>Stories gate passed</t>
        </is>
      </c>
      <c r="B9">
        <f>COUNTIF('Story Library'!$AA$2:$AA$300,"Passed")</f>
        <v/>
      </c>
    </row>
    <row r="10">
      <c r="A10" t="inlineStr">
        <is>
          <t>Principles collected</t>
        </is>
      </c>
      <c r="B10">
        <f>COUNTIF('Principle Library'!$B$2:$B$300,"&lt;&gt;")</f>
        <v/>
      </c>
    </row>
    <row r="11">
      <c r="A11" t="inlineStr">
        <is>
          <t>Sources registered</t>
        </is>
      </c>
      <c r="B11">
        <f>COUNTIF('Source Registry'!$A$2:$A$300,"&lt;&gt;")</f>
        <v/>
      </c>
    </row>
    <row r="12">
      <c r="A12" t="inlineStr">
        <is>
          <t>90-day tasks done</t>
        </is>
      </c>
      <c r="B12">
        <f>COUNTIF('90-Day Plan'!$L$2:$L$91,"Done")</f>
        <v/>
      </c>
    </row>
    <row r="13">
      <c r="A13" t="inlineStr">
        <is>
          <t>90-day progress</t>
        </is>
      </c>
      <c r="B13" s="67">
        <f>COUNTIF('90-Day Plan'!$L$2:$L$91,"Done")/90</f>
        <v/>
      </c>
    </row>
    <row r="16">
      <c r="A16" s="28" t="inlineStr">
        <is>
          <t>Cluster</t>
        </is>
      </c>
      <c r="B16" s="28" t="inlineStr">
        <is>
          <t>Quote Count</t>
        </is>
      </c>
      <c r="C16" s="28" t="inlineStr">
        <is>
          <t>Target</t>
        </is>
      </c>
      <c r="D16" s="28" t="inlineStr">
        <is>
          <t>Coverage %</t>
        </is>
      </c>
    </row>
    <row r="17">
      <c r="A17" t="inlineStr">
        <is>
          <t>Exhaustion / Recovery / Work carryover</t>
        </is>
      </c>
      <c r="B17">
        <f>'Coverage Map'!C4</f>
        <v/>
      </c>
      <c r="C17">
        <f>'Coverage Map'!B4</f>
        <v/>
      </c>
      <c r="D17" s="67">
        <f>'Coverage Map'!J4</f>
        <v/>
      </c>
    </row>
    <row r="18">
      <c r="A18" t="inlineStr">
        <is>
          <t>Self-compassion / Self-blame</t>
        </is>
      </c>
      <c r="B18">
        <f>'Coverage Map'!C5</f>
        <v/>
      </c>
      <c r="C18">
        <f>'Coverage Map'!B5</f>
        <v/>
      </c>
      <c r="D18" s="67">
        <f>'Coverage Map'!J5</f>
        <v/>
      </c>
    </row>
    <row r="19">
      <c r="A19" t="inlineStr">
        <is>
          <t>Uncertainty / Choice / Agency</t>
        </is>
      </c>
      <c r="B19">
        <f>'Coverage Map'!C6</f>
        <v/>
      </c>
      <c r="C19">
        <f>'Coverage Map'!B6</f>
        <v/>
      </c>
      <c r="D19" s="67">
        <f>'Coverage Map'!J6</f>
        <v/>
      </c>
    </row>
    <row r="20">
      <c r="A20" t="inlineStr">
        <is>
          <t>Comparison / External standards / Values</t>
        </is>
      </c>
      <c r="B20">
        <f>'Coverage Map'!C7</f>
        <v/>
      </c>
      <c r="C20">
        <f>'Coverage Map'!B7</f>
        <v/>
      </c>
      <c r="D20" s="67">
        <f>'Coverage Map'!J7</f>
        <v/>
      </c>
    </row>
    <row r="21">
      <c r="A21" t="inlineStr">
        <is>
          <t>Attention / Noise / Deep focus</t>
        </is>
      </c>
      <c r="B21">
        <f>'Coverage Map'!C8</f>
        <v/>
      </c>
      <c r="C21">
        <f>'Coverage Map'!B8</f>
        <v/>
      </c>
      <c r="D21" s="67">
        <f>'Coverage Map'!J8</f>
        <v/>
      </c>
    </row>
    <row r="22">
      <c r="A22" t="inlineStr">
        <is>
          <t>Learning / Failure / Quiet growth</t>
        </is>
      </c>
      <c r="B22">
        <f>'Coverage Map'!C9</f>
        <v/>
      </c>
      <c r="C22">
        <f>'Coverage Map'!B9</f>
        <v/>
      </c>
      <c r="D22" s="67">
        <f>'Coverage Map'!J9</f>
        <v/>
      </c>
    </row>
    <row r="23">
      <c r="A23" t="inlineStr">
        <is>
          <t>Change / Impermanence / Recovery</t>
        </is>
      </c>
      <c r="B23">
        <f>'Coverage Map'!C10</f>
        <v/>
      </c>
      <c r="C23">
        <f>'Coverage Map'!B10</f>
        <v/>
      </c>
      <c r="D23" s="67">
        <f>'Coverage Map'!J10</f>
        <v/>
      </c>
    </row>
    <row r="24">
      <c r="A24" t="inlineStr">
        <is>
          <t>Mixed emotions / Emotional memory</t>
        </is>
      </c>
      <c r="B24">
        <f>'Coverage Map'!C11</f>
        <v/>
      </c>
      <c r="C24">
        <f>'Coverage Map'!B11</f>
        <v/>
      </c>
      <c r="D24" s="67">
        <f>'Coverage Map'!J11</f>
        <v/>
      </c>
    </row>
    <row r="25">
      <c r="A25" t="inlineStr">
        <is>
          <t>Meaning / Identity / Work</t>
        </is>
      </c>
      <c r="B25">
        <f>'Coverage Map'!C12</f>
        <v/>
      </c>
      <c r="C25">
        <f>'Coverage Map'!B12</f>
        <v/>
      </c>
      <c r="D25" s="67">
        <f>'Coverage Map'!J12</f>
        <v/>
      </c>
    </row>
    <row r="26">
      <c r="A26" t="inlineStr">
        <is>
          <t>AI-age Human Judgment</t>
        </is>
      </c>
      <c r="B26">
        <f>'Coverage Map'!C13</f>
        <v/>
      </c>
      <c r="C26">
        <f>'Coverage Map'!B13</f>
        <v/>
      </c>
      <c r="D26" s="67">
        <f>'Coverage Map'!J13</f>
        <v/>
      </c>
    </row>
    <row r="27">
      <c r="A27" t="inlineStr">
        <is>
          <t>Relationships / Boundaries / Connection</t>
        </is>
      </c>
      <c r="B27">
        <f>'Coverage Map'!C14</f>
        <v/>
      </c>
      <c r="C27">
        <f>'Coverage Map'!B14</f>
        <v/>
      </c>
      <c r="D27" s="67">
        <f>'Coverage Map'!J14</f>
        <v/>
      </c>
    </row>
    <row r="28">
      <c r="A28" t="inlineStr">
        <is>
          <t>Rest / Limits / Wellbeing</t>
        </is>
      </c>
      <c r="B28">
        <f>'Coverage Map'!C15</f>
        <v/>
      </c>
      <c r="C28">
        <f>'Coverage Map'!B15</f>
        <v/>
      </c>
      <c r="D28" s="67">
        <f>'Coverage Map'!J15</f>
        <v/>
      </c>
    </row>
  </sheetData>
  <mergeCells count="1">
    <mergeCell ref="A1:H1"/>
  </mergeCells>
  <conditionalFormatting sqref="D17:D28">
    <cfRule type="dataBar" priority="1">
      <dataBar>
        <cfvo type="min"/>
        <cfvo type="max"/>
        <color rgb="FFA02B93"/>
      </dataBar>
    </cfRule>
  </conditionalFormatting>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9" customWidth="1" style="42" min="1" max="1"/>
    <col width="58" customWidth="1" style="42" min="2" max="2"/>
    <col width="48" customWidth="1" style="42" min="3" max="3"/>
    <col width="48" customWidth="1" style="42" min="4" max="4"/>
    <col width="42" customWidth="1" style="42" min="5" max="5"/>
    <col width="28" customWidth="1" style="42" min="6" max="6"/>
  </cols>
  <sheetData>
    <row r="1">
      <c r="A1" s="35" t="inlineStr">
        <is>
          <t>AI COLLECTION GUIDE — dùng workbook này để giao việc từng ngày</t>
        </is>
      </c>
      <c r="B1" s="1" t="n"/>
      <c r="C1" s="1" t="n"/>
      <c r="D1" s="1" t="n"/>
      <c r="E1" s="1" t="n"/>
      <c r="F1" s="1" t="n"/>
    </row>
    <row r="3">
      <c r="A3" s="6" t="inlineStr">
        <is>
          <t>Step</t>
        </is>
      </c>
      <c r="B3" s="6" t="inlineStr">
        <is>
          <t>Instruction</t>
        </is>
      </c>
      <c r="C3" s="6" t="inlineStr">
        <is>
          <t>Required Output</t>
        </is>
      </c>
      <c r="D3" s="6" t="inlineStr">
        <is>
          <t>Do Not</t>
        </is>
      </c>
      <c r="E3" s="6" t="inlineStr">
        <is>
          <t>Quality Gate</t>
        </is>
      </c>
      <c r="F3" s="6" t="inlineStr">
        <is>
          <t>Where to Save</t>
        </is>
      </c>
    </row>
    <row r="4">
      <c r="A4" t="inlineStr">
        <is>
          <t>1</t>
        </is>
      </c>
      <c r="B4" t="inlineStr">
        <is>
          <t>Chọn Day trong 90-Day Plan. Dùng đúng Collection Focus, Sources/Traditions và What to Collect của ngày đó.</t>
        </is>
      </c>
      <c r="C4" t="inlineStr">
        <is>
          <t>Danh sách candidate + source evidence.</t>
        </is>
      </c>
      <c r="D4" t="inlineStr">
        <is>
          <t>Không tự đổi sang chủ đề khác chỉ vì dễ tìm.</t>
        </is>
      </c>
      <c r="E4" t="inlineStr">
        <is>
          <t>Ưu tiên primary/authoritative sources.</t>
        </is>
      </c>
      <c r="F4" t="inlineStr">
        <is>
          <t>90-Day Plan</t>
        </is>
      </c>
    </row>
    <row r="5">
      <c r="A5" t="inlineStr">
        <is>
          <t>2</t>
        </is>
      </c>
      <c r="B5" t="inlineStr">
        <is>
          <t>Thu quote/passages rộng; chưa lọc quá sớm theo Selflo fit.</t>
        </is>
      </c>
      <c r="C5" t="inlineStr">
        <is>
          <t>Original text, working VI, author/tradition, work/chapter, URL, quote type.</t>
        </is>
      </c>
      <c r="D5" t="inlineStr">
        <is>
          <t>Không dùng quote aggregator làm nguồn cuối nếu có thể truy primary.</t>
        </is>
      </c>
      <c r="E5" t="inlineStr">
        <is>
          <t>Wording và attribution phải traceable.</t>
        </is>
      </c>
      <c r="F5" t="inlineStr">
        <is>
          <t>Quote Library</t>
        </is>
      </c>
    </row>
    <row r="6">
      <c r="A6" t="inlineStr">
        <is>
          <t>3</t>
        </is>
      </c>
      <c r="B6" t="inlineStr">
        <is>
          <t>Với proverb/folk wisdom, xác định culture/region/collection càng cụ thể càng tốt.</t>
        </is>
      </c>
      <c r="C6" t="inlineStr">
        <is>
          <t>Variant, tradition, source collection, URL.</t>
        </is>
      </c>
      <c r="D6" t="inlineStr">
        <is>
          <t>Không ghi generic 'African proverb' nếu không xác định được.</t>
        </is>
      </c>
      <c r="E6" t="inlineStr">
        <is>
          <t>Nếu provenance yếu → Verification C/D.</t>
        </is>
      </c>
      <c r="F6" t="inlineStr">
        <is>
          <t>Quote Library + Source Registry</t>
        </is>
      </c>
    </row>
    <row r="7">
      <c r="A7" t="inlineStr">
        <is>
          <t>4</t>
        </is>
      </c>
      <c r="B7" t="inlineStr">
        <is>
          <t>Thu story/parables/cases chỉ khi có provenance.</t>
        </is>
      </c>
      <c r="C7" t="inlineStr">
        <is>
          <t>Title, summary, source work/location, URL, story type, context.</t>
        </is>
      </c>
      <c r="D7" t="inlineStr">
        <is>
          <t>Không tự bịa hoặc ghép nhiều chuyện thành một chuyện thật.</t>
        </is>
      </c>
      <c r="E7" t="inlineStr">
        <is>
          <t>Story không nguồn → không nhập như verified story.</t>
        </is>
      </c>
      <c r="F7" t="inlineStr">
        <is>
          <t>Story Library</t>
        </is>
      </c>
    </row>
    <row r="8">
      <c r="A8" t="inlineStr">
        <is>
          <t>5</t>
        </is>
      </c>
      <c r="B8" t="inlineStr">
        <is>
          <t>Với psychology/research, lưu finding chứ không biến finding thành quote của researcher.</t>
        </is>
      </c>
      <c r="C8" t="inlineStr">
        <is>
          <t>Finding, source paper, limitation, principle seed.</t>
        </is>
      </c>
      <c r="D8" t="inlineStr">
        <is>
          <t>Không tạo fake quote từ abstract/conclusion.</t>
        </is>
      </c>
      <c r="E8" t="inlineStr">
        <is>
          <t>Phải có limitation/counterpoint nếu source hỗ trợ.</t>
        </is>
      </c>
      <c r="F8" t="inlineStr">
        <is>
          <t>Principle Library</t>
        </is>
      </c>
    </row>
    <row r="9">
      <c r="A9" t="inlineStr">
        <is>
          <t>6</t>
        </is>
      </c>
      <c r="B9" t="inlineStr">
        <is>
          <t>Nếu external sources không phủ một human experience, có thể tạo Selflo Original seed.</t>
        </is>
      </c>
      <c r="C9" t="inlineStr">
        <is>
          <t>Label Selflo Original - AI-assisted draft + research basis.</t>
        </is>
      </c>
      <c r="D9" t="inlineStr">
        <is>
          <t>Không gán cho tác giả khác; không paraphrase tác phẩm copyrighted để né quyền.</t>
        </is>
      </c>
      <c r="E9" t="inlineStr">
        <is>
          <t>Chỉ là seed, chưa Release.</t>
        </is>
      </c>
      <c r="F9" t="inlineStr">
        <is>
          <t>Quote Library</t>
        </is>
      </c>
    </row>
    <row r="10">
      <c r="A10" t="inlineStr">
        <is>
          <t>7</t>
        </is>
      </c>
      <c r="B10" t="inlineStr">
        <is>
          <t>Đăng ký source/tác giả/tradition mới.</t>
        </is>
      </c>
      <c r="C10" t="inlineStr">
        <is>
          <t>Source ID, title, author, language, URL, reliability tier, rights notes.</t>
        </is>
      </c>
      <c r="D10" t="inlineStr">
        <is>
          <t>Không tạo URL hoặc bibliographic detail không kiểm chứng.</t>
        </is>
      </c>
      <c r="E10" t="inlineStr">
        <is>
          <t>Tier 1/2 ưu tiên.</t>
        </is>
      </c>
      <c r="F10" t="inlineStr">
        <is>
          <t>Source Registry</t>
        </is>
      </c>
    </row>
    <row r="11">
      <c r="A11" t="inlineStr">
        <is>
          <t>8</t>
        </is>
      </c>
      <c r="B11" t="inlineStr">
        <is>
          <t>Cập nhật Actual + Status sau khi nhập library.</t>
        </is>
      </c>
      <c r="C11" t="inlineStr">
        <is>
          <t>Quote/Story/Principle Actual, notes, status Done/In progress.</t>
        </is>
      </c>
      <c r="D11" t="inlineStr">
        <is>
          <t>Không đánh Done nếu dữ liệu chưa được nhập.</t>
        </is>
      </c>
      <c r="E11" t="inlineStr">
        <is>
          <t>Actual phải khớp số item thực nhập.</t>
        </is>
      </c>
      <c r="F11" t="inlineStr">
        <is>
          <t>90-Day Plan</t>
        </is>
      </c>
    </row>
    <row r="14">
      <c r="A14" s="41" t="inlineStr">
        <is>
          <t>Prompt mẫu giao cho AI</t>
        </is>
      </c>
      <c r="B14" s="1" t="n"/>
      <c r="C14" s="1" t="n"/>
      <c r="D14" s="1" t="n"/>
      <c r="E14" s="1" t="n"/>
      <c r="F14" s="1" t="n"/>
    </row>
    <row r="15" ht="30" customHeight="1" s="42">
      <c r="A15" s="19" t="inlineStr">
        <is>
          <t>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t>
        </is>
      </c>
      <c r="B15" s="1" t="n"/>
      <c r="C15" s="1" t="n"/>
      <c r="D15" s="1" t="n"/>
      <c r="E15" s="1" t="n"/>
      <c r="F15" s="1" t="n"/>
    </row>
    <row r="16" ht="30" customHeight="1" s="42">
      <c r="A16" s="1" t="n"/>
      <c r="F16" s="1" t="n"/>
    </row>
    <row r="17" ht="30" customHeight="1" s="42">
      <c r="A17" s="1" t="n"/>
      <c r="F17" s="1" t="n"/>
    </row>
    <row r="18" ht="30" customHeight="1" s="42">
      <c r="A18" s="1" t="n"/>
      <c r="F18" s="1" t="n"/>
    </row>
    <row r="19" ht="30" customHeight="1" s="42">
      <c r="A19" s="1" t="n"/>
      <c r="F19" s="1" t="n"/>
    </row>
    <row r="20" ht="30" customHeight="1" s="42">
      <c r="A20" s="1" t="n"/>
      <c r="F20" s="1" t="n"/>
    </row>
    <row r="21" ht="30" customHeight="1" s="42">
      <c r="A21" s="1" t="n"/>
      <c r="B21" s="1" t="n"/>
      <c r="C21" s="1" t="n"/>
      <c r="D21" s="1" t="n"/>
      <c r="E21" s="1" t="n"/>
      <c r="F21" s="1" t="n"/>
    </row>
    <row r="23">
      <c r="A23" s="68" t="inlineStr">
        <is>
          <t>QUY TẮC HOÀN THÀNH MỖI DAY</t>
        </is>
      </c>
      <c r="B23" s="1" t="n"/>
      <c r="C23" s="1" t="n"/>
      <c r="D23" s="1" t="n"/>
      <c r="E23" s="1" t="n"/>
      <c r="F23" s="1" t="n"/>
    </row>
    <row r="24">
      <c r="A24" s="19" t="inlineStr">
        <is>
          <t>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t>
        </is>
      </c>
      <c r="B24" s="1" t="n"/>
      <c r="C24" s="1" t="n"/>
      <c r="D24" s="1" t="n"/>
      <c r="E24" s="1" t="n"/>
      <c r="F24" s="1" t="n"/>
    </row>
    <row r="25">
      <c r="A25" s="1" t="n"/>
      <c r="F25" s="1" t="n"/>
    </row>
    <row r="26">
      <c r="A26" s="1" t="n"/>
      <c r="F26" s="1" t="n"/>
    </row>
    <row r="27">
      <c r="A27" s="1" t="n"/>
      <c r="B27" s="1" t="n"/>
      <c r="C27" s="1" t="n"/>
      <c r="D27" s="1" t="n"/>
      <c r="E27" s="1" t="n"/>
      <c r="F27" s="1" t="n"/>
    </row>
  </sheetData>
  <mergeCells count="5">
    <mergeCell ref="A24:F27"/>
    <mergeCell ref="A14:F14"/>
    <mergeCell ref="A1:F1"/>
    <mergeCell ref="A23:F23"/>
    <mergeCell ref="A15:F2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cols>
    <col width="14" customWidth="1" style="42" min="1" max="1"/>
    <col width="8" customWidth="1" style="42" min="2" max="2"/>
    <col width="25" customWidth="1" style="42" min="3" max="3"/>
    <col width="30" customWidth="1" style="42" min="4" max="4"/>
    <col width="14" customWidth="1" style="42" min="5" max="5"/>
    <col width="14" customWidth="1" style="42" min="6" max="6"/>
    <col width="16" customWidth="1" style="42" min="7" max="7"/>
    <col width="14" customWidth="1" style="42" min="8" max="8"/>
    <col width="16" customWidth="1" style="42" min="9" max="9"/>
    <col width="18" customWidth="1" style="42" min="10" max="10"/>
    <col width="50" customWidth="1" style="42" min="11" max="11"/>
    <col width="45" customWidth="1" style="42" min="12" max="12"/>
    <col width="45" customWidth="1" style="42" min="13" max="13"/>
  </cols>
  <sheetData>
    <row r="1">
      <c r="A1" s="6" t="inlineStr">
        <is>
          <t>Date</t>
        </is>
      </c>
      <c r="B1" s="6" t="inlineStr">
        <is>
          <t>Day</t>
        </is>
      </c>
      <c r="C1" s="6" t="inlineStr">
        <is>
          <t>Phase</t>
        </is>
      </c>
      <c r="D1" s="6" t="inlineStr">
        <is>
          <t>Focus</t>
        </is>
      </c>
      <c r="E1" s="6" t="inlineStr">
        <is>
          <t>Quotes Added</t>
        </is>
      </c>
      <c r="F1" s="6" t="inlineStr">
        <is>
          <t>Stories Added</t>
        </is>
      </c>
      <c r="G1" s="6" t="inlineStr">
        <is>
          <t>Principles Added</t>
        </is>
      </c>
      <c r="H1" s="6" t="inlineStr">
        <is>
          <t>Sources Added</t>
        </is>
      </c>
      <c r="I1" s="6" t="inlineStr">
        <is>
          <t>Verification A/B</t>
        </is>
      </c>
      <c r="J1" s="6" t="inlineStr">
        <is>
          <t>Rejected / Disputed</t>
        </is>
      </c>
      <c r="K1" s="6" t="inlineStr">
        <is>
          <t>Key Discoveries</t>
        </is>
      </c>
      <c r="L1" s="6" t="inlineStr">
        <is>
          <t>Coverage Gaps Found</t>
        </is>
      </c>
      <c r="M1" s="6" t="inlineStr">
        <is>
          <t>Next Action</t>
        </is>
      </c>
    </row>
    <row r="2">
      <c r="A2" s="18" t="n"/>
      <c r="B2" s="18" t="n"/>
      <c r="C2" s="18" t="n"/>
      <c r="D2" s="18" t="n"/>
      <c r="E2" s="18" t="n"/>
      <c r="F2" s="18" t="n"/>
      <c r="G2" s="18" t="n"/>
      <c r="H2" s="18" t="n"/>
      <c r="I2" s="18" t="n"/>
      <c r="J2" s="18" t="n"/>
      <c r="K2" s="18" t="n"/>
      <c r="L2" s="18" t="n"/>
      <c r="M2" s="18" t="n"/>
    </row>
    <row r="3">
      <c r="A3" s="18" t="n"/>
      <c r="B3" s="18" t="n"/>
      <c r="C3" s="18" t="n"/>
      <c r="D3" s="18" t="n"/>
      <c r="E3" s="18" t="n"/>
      <c r="F3" s="18" t="n"/>
      <c r="G3" s="18" t="n"/>
      <c r="H3" s="18" t="n"/>
      <c r="I3" s="18" t="n"/>
      <c r="J3" s="18" t="n"/>
      <c r="K3" s="18" t="n"/>
      <c r="L3" s="18" t="n"/>
      <c r="M3" s="18" t="n"/>
    </row>
    <row r="4">
      <c r="A4" s="18" t="n"/>
      <c r="B4" s="18" t="n"/>
      <c r="C4" s="18" t="n"/>
      <c r="D4" s="18" t="n"/>
      <c r="E4" s="18" t="n"/>
      <c r="F4" s="18" t="n"/>
      <c r="G4" s="18" t="n"/>
      <c r="H4" s="18" t="n"/>
      <c r="I4" s="18" t="n"/>
      <c r="J4" s="18" t="n"/>
      <c r="K4" s="18" t="n"/>
      <c r="L4" s="18" t="n"/>
      <c r="M4" s="18" t="n"/>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row r="55">
      <c r="A55" s="18" t="n"/>
      <c r="B55" s="18" t="n"/>
      <c r="C55" s="18" t="n"/>
      <c r="D55" s="18" t="n"/>
      <c r="E55" s="18" t="n"/>
      <c r="F55" s="18" t="n"/>
      <c r="G55" s="18" t="n"/>
      <c r="H55" s="18" t="n"/>
      <c r="I55" s="18" t="n"/>
      <c r="J55" s="18" t="n"/>
      <c r="K55" s="18" t="n"/>
      <c r="L55" s="18" t="n"/>
      <c r="M55" s="18" t="n"/>
    </row>
    <row r="56">
      <c r="A56" s="18" t="n"/>
      <c r="B56" s="18" t="n"/>
      <c r="C56" s="18" t="n"/>
      <c r="D56" s="18" t="n"/>
      <c r="E56" s="18" t="n"/>
      <c r="F56" s="18" t="n"/>
      <c r="G56" s="18" t="n"/>
      <c r="H56" s="18" t="n"/>
      <c r="I56" s="18" t="n"/>
      <c r="J56" s="18" t="n"/>
      <c r="K56" s="18" t="n"/>
      <c r="L56" s="18" t="n"/>
      <c r="M56" s="18" t="n"/>
    </row>
    <row r="57">
      <c r="A57" s="18" t="n"/>
      <c r="B57" s="18" t="n"/>
      <c r="C57" s="18" t="n"/>
      <c r="D57" s="18" t="n"/>
      <c r="E57" s="18" t="n"/>
      <c r="F57" s="18" t="n"/>
      <c r="G57" s="18" t="n"/>
      <c r="H57" s="18" t="n"/>
      <c r="I57" s="18" t="n"/>
      <c r="J57" s="18" t="n"/>
      <c r="K57" s="18" t="n"/>
      <c r="L57" s="18" t="n"/>
      <c r="M57" s="18" t="n"/>
    </row>
    <row r="58">
      <c r="A58" s="18" t="n"/>
      <c r="B58" s="18" t="n"/>
      <c r="C58" s="18" t="n"/>
      <c r="D58" s="18" t="n"/>
      <c r="E58" s="18" t="n"/>
      <c r="F58" s="18" t="n"/>
      <c r="G58" s="18" t="n"/>
      <c r="H58" s="18" t="n"/>
      <c r="I58" s="18" t="n"/>
      <c r="J58" s="18" t="n"/>
      <c r="K58" s="18" t="n"/>
      <c r="L58" s="18" t="n"/>
      <c r="M58" s="18" t="n"/>
    </row>
    <row r="59">
      <c r="A59" s="18" t="n"/>
      <c r="B59" s="18" t="n"/>
      <c r="C59" s="18" t="n"/>
      <c r="D59" s="18" t="n"/>
      <c r="E59" s="18" t="n"/>
      <c r="F59" s="18" t="n"/>
      <c r="G59" s="18" t="n"/>
      <c r="H59" s="18" t="n"/>
      <c r="I59" s="18" t="n"/>
      <c r="J59" s="18" t="n"/>
      <c r="K59" s="18" t="n"/>
      <c r="L59" s="18" t="n"/>
      <c r="M59" s="18" t="n"/>
    </row>
    <row r="60">
      <c r="A60" s="18" t="n"/>
      <c r="B60" s="18" t="n"/>
      <c r="C60" s="18" t="n"/>
      <c r="D60" s="18" t="n"/>
      <c r="E60" s="18" t="n"/>
      <c r="F60" s="18" t="n"/>
      <c r="G60" s="18" t="n"/>
      <c r="H60" s="18" t="n"/>
      <c r="I60" s="18" t="n"/>
      <c r="J60" s="18" t="n"/>
      <c r="K60" s="18" t="n"/>
      <c r="L60" s="18" t="n"/>
      <c r="M60" s="18" t="n"/>
    </row>
    <row r="61">
      <c r="A61" s="18" t="n"/>
      <c r="B61" s="18" t="n"/>
      <c r="C61" s="18" t="n"/>
      <c r="D61" s="18" t="n"/>
      <c r="E61" s="18" t="n"/>
      <c r="F61" s="18" t="n"/>
      <c r="G61" s="18" t="n"/>
      <c r="H61" s="18" t="n"/>
      <c r="I61" s="18" t="n"/>
      <c r="J61" s="18" t="n"/>
      <c r="K61" s="18" t="n"/>
      <c r="L61" s="18" t="n"/>
      <c r="M61" s="18" t="n"/>
    </row>
    <row r="62">
      <c r="A62" s="18" t="n"/>
      <c r="B62" s="18" t="n"/>
      <c r="C62" s="18" t="n"/>
      <c r="D62" s="18" t="n"/>
      <c r="E62" s="18" t="n"/>
      <c r="F62" s="18" t="n"/>
      <c r="G62" s="18" t="n"/>
      <c r="H62" s="18" t="n"/>
      <c r="I62" s="18" t="n"/>
      <c r="J62" s="18" t="n"/>
      <c r="K62" s="18" t="n"/>
      <c r="L62" s="18" t="n"/>
      <c r="M62" s="18" t="n"/>
    </row>
    <row r="63">
      <c r="A63" s="18" t="n"/>
      <c r="B63" s="18" t="n"/>
      <c r="C63" s="18" t="n"/>
      <c r="D63" s="18" t="n"/>
      <c r="E63" s="18" t="n"/>
      <c r="F63" s="18" t="n"/>
      <c r="G63" s="18" t="n"/>
      <c r="H63" s="18" t="n"/>
      <c r="I63" s="18" t="n"/>
      <c r="J63" s="18" t="n"/>
      <c r="K63" s="18" t="n"/>
      <c r="L63" s="18" t="n"/>
      <c r="M63" s="18" t="n"/>
    </row>
    <row r="64">
      <c r="A64" s="18" t="n"/>
      <c r="B64" s="18" t="n"/>
      <c r="C64" s="18" t="n"/>
      <c r="D64" s="18" t="n"/>
      <c r="E64" s="18" t="n"/>
      <c r="F64" s="18" t="n"/>
      <c r="G64" s="18" t="n"/>
      <c r="H64" s="18" t="n"/>
      <c r="I64" s="18" t="n"/>
      <c r="J64" s="18" t="n"/>
      <c r="K64" s="18" t="n"/>
      <c r="L64" s="18" t="n"/>
      <c r="M64" s="18" t="n"/>
    </row>
    <row r="65">
      <c r="A65" s="18" t="n"/>
      <c r="B65" s="18" t="n"/>
      <c r="C65" s="18" t="n"/>
      <c r="D65" s="18" t="n"/>
      <c r="E65" s="18" t="n"/>
      <c r="F65" s="18" t="n"/>
      <c r="G65" s="18" t="n"/>
      <c r="H65" s="18" t="n"/>
      <c r="I65" s="18" t="n"/>
      <c r="J65" s="18" t="n"/>
      <c r="K65" s="18" t="n"/>
      <c r="L65" s="18" t="n"/>
      <c r="M65" s="18" t="n"/>
    </row>
    <row r="66">
      <c r="A66" s="18" t="n"/>
      <c r="B66" s="18" t="n"/>
      <c r="C66" s="18" t="n"/>
      <c r="D66" s="18" t="n"/>
      <c r="E66" s="18" t="n"/>
      <c r="F66" s="18" t="n"/>
      <c r="G66" s="18" t="n"/>
      <c r="H66" s="18" t="n"/>
      <c r="I66" s="18" t="n"/>
      <c r="J66" s="18" t="n"/>
      <c r="K66" s="18" t="n"/>
      <c r="L66" s="18" t="n"/>
      <c r="M66" s="18" t="n"/>
    </row>
    <row r="67">
      <c r="A67" s="18" t="n"/>
      <c r="B67" s="18" t="n"/>
      <c r="C67" s="18" t="n"/>
      <c r="D67" s="18" t="n"/>
      <c r="E67" s="18" t="n"/>
      <c r="F67" s="18" t="n"/>
      <c r="G67" s="18" t="n"/>
      <c r="H67" s="18" t="n"/>
      <c r="I67" s="18" t="n"/>
      <c r="J67" s="18" t="n"/>
      <c r="K67" s="18" t="n"/>
      <c r="L67" s="18" t="n"/>
      <c r="M67" s="18" t="n"/>
    </row>
    <row r="68">
      <c r="A68" s="18" t="n"/>
      <c r="B68" s="18" t="n"/>
      <c r="C68" s="18" t="n"/>
      <c r="D68" s="18" t="n"/>
      <c r="E68" s="18" t="n"/>
      <c r="F68" s="18" t="n"/>
      <c r="G68" s="18" t="n"/>
      <c r="H68" s="18" t="n"/>
      <c r="I68" s="18" t="n"/>
      <c r="J68" s="18" t="n"/>
      <c r="K68" s="18" t="n"/>
      <c r="L68" s="18" t="n"/>
      <c r="M68" s="18" t="n"/>
    </row>
    <row r="69">
      <c r="A69" s="18" t="n"/>
      <c r="B69" s="18" t="n"/>
      <c r="C69" s="18" t="n"/>
      <c r="D69" s="18" t="n"/>
      <c r="E69" s="18" t="n"/>
      <c r="F69" s="18" t="n"/>
      <c r="G69" s="18" t="n"/>
      <c r="H69" s="18" t="n"/>
      <c r="I69" s="18" t="n"/>
      <c r="J69" s="18" t="n"/>
      <c r="K69" s="18" t="n"/>
      <c r="L69" s="18" t="n"/>
      <c r="M69" s="18" t="n"/>
    </row>
    <row r="70">
      <c r="A70" s="18" t="n"/>
      <c r="B70" s="18" t="n"/>
      <c r="C70" s="18" t="n"/>
      <c r="D70" s="18" t="n"/>
      <c r="E70" s="18" t="n"/>
      <c r="F70" s="18" t="n"/>
      <c r="G70" s="18" t="n"/>
      <c r="H70" s="18" t="n"/>
      <c r="I70" s="18" t="n"/>
      <c r="J70" s="18" t="n"/>
      <c r="K70" s="18" t="n"/>
      <c r="L70" s="18" t="n"/>
      <c r="M70" s="18" t="n"/>
    </row>
    <row r="71">
      <c r="A71" s="18" t="n"/>
      <c r="B71" s="18" t="n"/>
      <c r="C71" s="18" t="n"/>
      <c r="D71" s="18" t="n"/>
      <c r="E71" s="18" t="n"/>
      <c r="F71" s="18" t="n"/>
      <c r="G71" s="18" t="n"/>
      <c r="H71" s="18" t="n"/>
      <c r="I71" s="18" t="n"/>
      <c r="J71" s="18" t="n"/>
      <c r="K71" s="18" t="n"/>
      <c r="L71" s="18" t="n"/>
      <c r="M71" s="18" t="n"/>
    </row>
    <row r="72">
      <c r="A72" s="18" t="n"/>
      <c r="B72" s="18" t="n"/>
      <c r="C72" s="18" t="n"/>
      <c r="D72" s="18" t="n"/>
      <c r="E72" s="18" t="n"/>
      <c r="F72" s="18" t="n"/>
      <c r="G72" s="18" t="n"/>
      <c r="H72" s="18" t="n"/>
      <c r="I72" s="18" t="n"/>
      <c r="J72" s="18" t="n"/>
      <c r="K72" s="18" t="n"/>
      <c r="L72" s="18" t="n"/>
      <c r="M72" s="18" t="n"/>
    </row>
    <row r="73">
      <c r="A73" s="18" t="n"/>
      <c r="B73" s="18" t="n"/>
      <c r="C73" s="18" t="n"/>
      <c r="D73" s="18" t="n"/>
      <c r="E73" s="18" t="n"/>
      <c r="F73" s="18" t="n"/>
      <c r="G73" s="18" t="n"/>
      <c r="H73" s="18" t="n"/>
      <c r="I73" s="18" t="n"/>
      <c r="J73" s="18" t="n"/>
      <c r="K73" s="18" t="n"/>
      <c r="L73" s="18" t="n"/>
      <c r="M73" s="18" t="n"/>
    </row>
    <row r="74">
      <c r="A74" s="18" t="n"/>
      <c r="B74" s="18" t="n"/>
      <c r="C74" s="18" t="n"/>
      <c r="D74" s="18" t="n"/>
      <c r="E74" s="18" t="n"/>
      <c r="F74" s="18" t="n"/>
      <c r="G74" s="18" t="n"/>
      <c r="H74" s="18" t="n"/>
      <c r="I74" s="18" t="n"/>
      <c r="J74" s="18" t="n"/>
      <c r="K74" s="18" t="n"/>
      <c r="L74" s="18" t="n"/>
      <c r="M74" s="18" t="n"/>
    </row>
    <row r="75">
      <c r="A75" s="18" t="n"/>
      <c r="B75" s="18" t="n"/>
      <c r="C75" s="18" t="n"/>
      <c r="D75" s="18" t="n"/>
      <c r="E75" s="18" t="n"/>
      <c r="F75" s="18" t="n"/>
      <c r="G75" s="18" t="n"/>
      <c r="H75" s="18" t="n"/>
      <c r="I75" s="18" t="n"/>
      <c r="J75" s="18" t="n"/>
      <c r="K75" s="18" t="n"/>
      <c r="L75" s="18" t="n"/>
      <c r="M75" s="18" t="n"/>
    </row>
    <row r="76">
      <c r="A76" s="18" t="n"/>
      <c r="B76" s="18" t="n"/>
      <c r="C76" s="18" t="n"/>
      <c r="D76" s="18" t="n"/>
      <c r="E76" s="18" t="n"/>
      <c r="F76" s="18" t="n"/>
      <c r="G76" s="18" t="n"/>
      <c r="H76" s="18" t="n"/>
      <c r="I76" s="18" t="n"/>
      <c r="J76" s="18" t="n"/>
      <c r="K76" s="18" t="n"/>
      <c r="L76" s="18" t="n"/>
      <c r="M76" s="18" t="n"/>
    </row>
    <row r="77">
      <c r="A77" s="18" t="n"/>
      <c r="B77" s="18" t="n"/>
      <c r="C77" s="18" t="n"/>
      <c r="D77" s="18" t="n"/>
      <c r="E77" s="18" t="n"/>
      <c r="F77" s="18" t="n"/>
      <c r="G77" s="18" t="n"/>
      <c r="H77" s="18" t="n"/>
      <c r="I77" s="18" t="n"/>
      <c r="J77" s="18" t="n"/>
      <c r="K77" s="18" t="n"/>
      <c r="L77" s="18" t="n"/>
      <c r="M77" s="18" t="n"/>
    </row>
    <row r="78">
      <c r="A78" s="18" t="n"/>
      <c r="B78" s="18" t="n"/>
      <c r="C78" s="18" t="n"/>
      <c r="D78" s="18" t="n"/>
      <c r="E78" s="18" t="n"/>
      <c r="F78" s="18" t="n"/>
      <c r="G78" s="18" t="n"/>
      <c r="H78" s="18" t="n"/>
      <c r="I78" s="18" t="n"/>
      <c r="J78" s="18" t="n"/>
      <c r="K78" s="18" t="n"/>
      <c r="L78" s="18" t="n"/>
      <c r="M78" s="18" t="n"/>
    </row>
    <row r="79">
      <c r="A79" s="18" t="n"/>
      <c r="B79" s="18" t="n"/>
      <c r="C79" s="18" t="n"/>
      <c r="D79" s="18" t="n"/>
      <c r="E79" s="18" t="n"/>
      <c r="F79" s="18" t="n"/>
      <c r="G79" s="18" t="n"/>
      <c r="H79" s="18" t="n"/>
      <c r="I79" s="18" t="n"/>
      <c r="J79" s="18" t="n"/>
      <c r="K79" s="18" t="n"/>
      <c r="L79" s="18" t="n"/>
      <c r="M79" s="18" t="n"/>
    </row>
    <row r="80">
      <c r="A80" s="18" t="n"/>
      <c r="B80" s="18" t="n"/>
      <c r="C80" s="18" t="n"/>
      <c r="D80" s="18" t="n"/>
      <c r="E80" s="18" t="n"/>
      <c r="F80" s="18" t="n"/>
      <c r="G80" s="18" t="n"/>
      <c r="H80" s="18" t="n"/>
      <c r="I80" s="18" t="n"/>
      <c r="J80" s="18" t="n"/>
      <c r="K80" s="18" t="n"/>
      <c r="L80" s="18" t="n"/>
      <c r="M80" s="18" t="n"/>
    </row>
    <row r="81">
      <c r="A81" s="18" t="n"/>
      <c r="B81" s="18" t="n"/>
      <c r="C81" s="18" t="n"/>
      <c r="D81" s="18" t="n"/>
      <c r="E81" s="18" t="n"/>
      <c r="F81" s="18" t="n"/>
      <c r="G81" s="18" t="n"/>
      <c r="H81" s="18" t="n"/>
      <c r="I81" s="18" t="n"/>
      <c r="J81" s="18" t="n"/>
      <c r="K81" s="18" t="n"/>
      <c r="L81" s="18" t="n"/>
      <c r="M81" s="18" t="n"/>
    </row>
    <row r="82">
      <c r="A82" s="18" t="n"/>
      <c r="B82" s="18" t="n"/>
      <c r="C82" s="18" t="n"/>
      <c r="D82" s="18" t="n"/>
      <c r="E82" s="18" t="n"/>
      <c r="F82" s="18" t="n"/>
      <c r="G82" s="18" t="n"/>
      <c r="H82" s="18" t="n"/>
      <c r="I82" s="18" t="n"/>
      <c r="J82" s="18" t="n"/>
      <c r="K82" s="18" t="n"/>
      <c r="L82" s="18" t="n"/>
      <c r="M82" s="18" t="n"/>
    </row>
    <row r="83">
      <c r="A83" s="18" t="n"/>
      <c r="B83" s="18" t="n"/>
      <c r="C83" s="18" t="n"/>
      <c r="D83" s="18" t="n"/>
      <c r="E83" s="18" t="n"/>
      <c r="F83" s="18" t="n"/>
      <c r="G83" s="18" t="n"/>
      <c r="H83" s="18" t="n"/>
      <c r="I83" s="18" t="n"/>
      <c r="J83" s="18" t="n"/>
      <c r="K83" s="18" t="n"/>
      <c r="L83" s="18" t="n"/>
      <c r="M83" s="18" t="n"/>
    </row>
    <row r="84">
      <c r="A84" s="18" t="n"/>
      <c r="B84" s="18" t="n"/>
      <c r="C84" s="18" t="n"/>
      <c r="D84" s="18" t="n"/>
      <c r="E84" s="18" t="n"/>
      <c r="F84" s="18" t="n"/>
      <c r="G84" s="18" t="n"/>
      <c r="H84" s="18" t="n"/>
      <c r="I84" s="18" t="n"/>
      <c r="J84" s="18" t="n"/>
      <c r="K84" s="18" t="n"/>
      <c r="L84" s="18" t="n"/>
      <c r="M84" s="18" t="n"/>
    </row>
    <row r="85">
      <c r="A85" s="18" t="n"/>
      <c r="B85" s="18" t="n"/>
      <c r="C85" s="18" t="n"/>
      <c r="D85" s="18" t="n"/>
      <c r="E85" s="18" t="n"/>
      <c r="F85" s="18" t="n"/>
      <c r="G85" s="18" t="n"/>
      <c r="H85" s="18" t="n"/>
      <c r="I85" s="18" t="n"/>
      <c r="J85" s="18" t="n"/>
      <c r="K85" s="18" t="n"/>
      <c r="L85" s="18" t="n"/>
      <c r="M85" s="18" t="n"/>
    </row>
    <row r="86">
      <c r="A86" s="18" t="n"/>
      <c r="B86" s="18" t="n"/>
      <c r="C86" s="18" t="n"/>
      <c r="D86" s="18" t="n"/>
      <c r="E86" s="18" t="n"/>
      <c r="F86" s="18" t="n"/>
      <c r="G86" s="18" t="n"/>
      <c r="H86" s="18" t="n"/>
      <c r="I86" s="18" t="n"/>
      <c r="J86" s="18" t="n"/>
      <c r="K86" s="18" t="n"/>
      <c r="L86" s="18" t="n"/>
      <c r="M86" s="18" t="n"/>
    </row>
    <row r="87">
      <c r="A87" s="18" t="n"/>
      <c r="B87" s="18" t="n"/>
      <c r="C87" s="18" t="n"/>
      <c r="D87" s="18" t="n"/>
      <c r="E87" s="18" t="n"/>
      <c r="F87" s="18" t="n"/>
      <c r="G87" s="18" t="n"/>
      <c r="H87" s="18" t="n"/>
      <c r="I87" s="18" t="n"/>
      <c r="J87" s="18" t="n"/>
      <c r="K87" s="18" t="n"/>
      <c r="L87" s="18" t="n"/>
      <c r="M87" s="18" t="n"/>
    </row>
    <row r="88">
      <c r="A88" s="18" t="n"/>
      <c r="B88" s="18" t="n"/>
      <c r="C88" s="18" t="n"/>
      <c r="D88" s="18" t="n"/>
      <c r="E88" s="18" t="n"/>
      <c r="F88" s="18" t="n"/>
      <c r="G88" s="18" t="n"/>
      <c r="H88" s="18" t="n"/>
      <c r="I88" s="18" t="n"/>
      <c r="J88" s="18" t="n"/>
      <c r="K88" s="18" t="n"/>
      <c r="L88" s="18" t="n"/>
      <c r="M88" s="18" t="n"/>
    </row>
    <row r="89">
      <c r="A89" s="18" t="n"/>
      <c r="B89" s="18" t="n"/>
      <c r="C89" s="18" t="n"/>
      <c r="D89" s="18" t="n"/>
      <c r="E89" s="18" t="n"/>
      <c r="F89" s="18" t="n"/>
      <c r="G89" s="18" t="n"/>
      <c r="H89" s="18" t="n"/>
      <c r="I89" s="18" t="n"/>
      <c r="J89" s="18" t="n"/>
      <c r="K89" s="18" t="n"/>
      <c r="L89" s="18" t="n"/>
      <c r="M89" s="18" t="n"/>
    </row>
    <row r="90">
      <c r="A90" s="18" t="n"/>
      <c r="B90" s="18" t="n"/>
      <c r="C90" s="18" t="n"/>
      <c r="D90" s="18" t="n"/>
      <c r="E90" s="18" t="n"/>
      <c r="F90" s="18" t="n"/>
      <c r="G90" s="18" t="n"/>
      <c r="H90" s="18" t="n"/>
      <c r="I90" s="18" t="n"/>
      <c r="J90" s="18" t="n"/>
      <c r="K90" s="18" t="n"/>
      <c r="L90" s="18" t="n"/>
      <c r="M90" s="18" t="n"/>
    </row>
    <row r="91">
      <c r="A91" s="18" t="n"/>
      <c r="B91" s="18" t="n"/>
      <c r="C91" s="18" t="n"/>
      <c r="D91" s="18" t="n"/>
      <c r="E91" s="18" t="n"/>
      <c r="F91" s="18" t="n"/>
      <c r="G91" s="18" t="n"/>
      <c r="H91" s="18" t="n"/>
      <c r="I91" s="18" t="n"/>
      <c r="J91" s="18" t="n"/>
      <c r="K91" s="18" t="n"/>
      <c r="L91" s="18" t="n"/>
      <c r="M91" s="18" t="n"/>
    </row>
    <row r="92">
      <c r="A92" s="18" t="n"/>
      <c r="B92" s="18" t="n"/>
      <c r="C92" s="18" t="n"/>
      <c r="D92" s="18" t="n"/>
      <c r="E92" s="18" t="n"/>
      <c r="F92" s="18" t="n"/>
      <c r="G92" s="18" t="n"/>
      <c r="H92" s="18" t="n"/>
      <c r="I92" s="18" t="n"/>
      <c r="J92" s="18" t="n"/>
      <c r="K92" s="18" t="n"/>
      <c r="L92" s="18" t="n"/>
      <c r="M92" s="18" t="n"/>
    </row>
    <row r="93">
      <c r="A93" s="18" t="n"/>
      <c r="B93" s="18" t="n"/>
      <c r="C93" s="18" t="n"/>
      <c r="D93" s="18" t="n"/>
      <c r="E93" s="18" t="n"/>
      <c r="F93" s="18" t="n"/>
      <c r="G93" s="18" t="n"/>
      <c r="H93" s="18" t="n"/>
      <c r="I93" s="18" t="n"/>
      <c r="J93" s="18" t="n"/>
      <c r="K93" s="18" t="n"/>
      <c r="L93" s="18" t="n"/>
      <c r="M93" s="18" t="n"/>
    </row>
    <row r="94">
      <c r="A94" s="18" t="n"/>
      <c r="B94" s="18" t="n"/>
      <c r="C94" s="18" t="n"/>
      <c r="D94" s="18" t="n"/>
      <c r="E94" s="18" t="n"/>
      <c r="F94" s="18" t="n"/>
      <c r="G94" s="18" t="n"/>
      <c r="H94" s="18" t="n"/>
      <c r="I94" s="18" t="n"/>
      <c r="J94" s="18" t="n"/>
      <c r="K94" s="18" t="n"/>
      <c r="L94" s="18" t="n"/>
      <c r="M94" s="18" t="n"/>
    </row>
    <row r="95">
      <c r="A95" s="18" t="n"/>
      <c r="B95" s="18" t="n"/>
      <c r="C95" s="18" t="n"/>
      <c r="D95" s="18" t="n"/>
      <c r="E95" s="18" t="n"/>
      <c r="F95" s="18" t="n"/>
      <c r="G95" s="18" t="n"/>
      <c r="H95" s="18" t="n"/>
      <c r="I95" s="18" t="n"/>
      <c r="J95" s="18" t="n"/>
      <c r="K95" s="18" t="n"/>
      <c r="L95" s="18" t="n"/>
      <c r="M95" s="18" t="n"/>
    </row>
    <row r="96">
      <c r="A96" s="18" t="n"/>
      <c r="B96" s="18" t="n"/>
      <c r="C96" s="18" t="n"/>
      <c r="D96" s="18" t="n"/>
      <c r="E96" s="18" t="n"/>
      <c r="F96" s="18" t="n"/>
      <c r="G96" s="18" t="n"/>
      <c r="H96" s="18" t="n"/>
      <c r="I96" s="18" t="n"/>
      <c r="J96" s="18" t="n"/>
      <c r="K96" s="18" t="n"/>
      <c r="L96" s="18" t="n"/>
      <c r="M96" s="18" t="n"/>
    </row>
    <row r="97">
      <c r="A97" s="18" t="n"/>
      <c r="B97" s="18" t="n"/>
      <c r="C97" s="18" t="n"/>
      <c r="D97" s="18" t="n"/>
      <c r="E97" s="18" t="n"/>
      <c r="F97" s="18" t="n"/>
      <c r="G97" s="18" t="n"/>
      <c r="H97" s="18" t="n"/>
      <c r="I97" s="18" t="n"/>
      <c r="J97" s="18" t="n"/>
      <c r="K97" s="18" t="n"/>
      <c r="L97" s="18" t="n"/>
      <c r="M97" s="18" t="n"/>
    </row>
    <row r="98">
      <c r="A98" s="18" t="n"/>
      <c r="B98" s="18" t="n"/>
      <c r="C98" s="18" t="n"/>
      <c r="D98" s="18" t="n"/>
      <c r="E98" s="18" t="n"/>
      <c r="F98" s="18" t="n"/>
      <c r="G98" s="18" t="n"/>
      <c r="H98" s="18" t="n"/>
      <c r="I98" s="18" t="n"/>
      <c r="J98" s="18" t="n"/>
      <c r="K98" s="18" t="n"/>
      <c r="L98" s="18" t="n"/>
      <c r="M98" s="18" t="n"/>
    </row>
    <row r="99">
      <c r="A99" s="18" t="n"/>
      <c r="B99" s="18" t="n"/>
      <c r="C99" s="18" t="n"/>
      <c r="D99" s="18" t="n"/>
      <c r="E99" s="18" t="n"/>
      <c r="F99" s="18" t="n"/>
      <c r="G99" s="18" t="n"/>
      <c r="H99" s="18" t="n"/>
      <c r="I99" s="18" t="n"/>
      <c r="J99" s="18" t="n"/>
      <c r="K99" s="18" t="n"/>
      <c r="L99" s="18" t="n"/>
      <c r="M99" s="18" t="n"/>
    </row>
    <row r="100">
      <c r="A100" s="18" t="n"/>
      <c r="B100" s="18" t="n"/>
      <c r="C100" s="18" t="n"/>
      <c r="D100" s="18" t="n"/>
      <c r="E100" s="18" t="n"/>
      <c r="F100" s="18" t="n"/>
      <c r="G100" s="18" t="n"/>
      <c r="H100" s="18" t="n"/>
      <c r="I100" s="18" t="n"/>
      <c r="J100" s="18" t="n"/>
      <c r="K100" s="18" t="n"/>
      <c r="L100" s="18" t="n"/>
      <c r="M100" s="18" t="n"/>
    </row>
    <row r="101">
      <c r="A101" s="18" t="n"/>
      <c r="B101" s="18" t="n"/>
      <c r="C101" s="18" t="n"/>
      <c r="D101" s="18" t="n"/>
      <c r="E101" s="18" t="n"/>
      <c r="F101" s="18" t="n"/>
      <c r="G101" s="18" t="n"/>
      <c r="H101" s="18" t="n"/>
      <c r="I101" s="18" t="n"/>
      <c r="J101" s="18" t="n"/>
      <c r="K101" s="18" t="n"/>
      <c r="L101" s="18" t="n"/>
      <c r="M101" s="18"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cols>
    <col width="14" customWidth="1" style="42" min="1" max="1"/>
    <col width="38" customWidth="1" style="42" min="2" max="2"/>
    <col width="42" customWidth="1" style="42" min="3" max="3"/>
    <col width="48" customWidth="1" style="42" min="4" max="4"/>
    <col width="30" customWidth="1" style="42" min="5" max="5"/>
    <col width="12" customWidth="1" style="42" min="6" max="6"/>
    <col width="12" customWidth="1" style="42" min="7" max="7"/>
    <col width="12" customWidth="1" style="42" min="8" max="8"/>
    <col width="14" customWidth="1" style="42" min="9" max="9"/>
    <col width="16" customWidth="1" style="42" min="10" max="10"/>
    <col width="42" customWidth="1" style="42" min="11" max="11"/>
  </cols>
  <sheetData>
    <row r="1">
      <c r="A1" s="6" t="inlineStr">
        <is>
          <t>Experience ID</t>
        </is>
      </c>
      <c r="B1" s="6" t="inlineStr">
        <is>
          <t>Cluster</t>
        </is>
      </c>
      <c r="C1" s="6" t="inlineStr">
        <is>
          <t>Human Experience / Tension</t>
        </is>
      </c>
      <c r="D1" s="6" t="inlineStr">
        <is>
          <t>User-like Example</t>
        </is>
      </c>
      <c r="E1" s="6" t="inlineStr">
        <is>
          <t>Needed Editorial Job</t>
        </is>
      </c>
      <c r="F1" s="6" t="inlineStr">
        <is>
          <t>Quote Target</t>
        </is>
      </c>
      <c r="G1" s="6" t="inlineStr">
        <is>
          <t>Quote Actual</t>
        </is>
      </c>
      <c r="H1" s="6" t="inlineStr">
        <is>
          <t>Story Actual</t>
        </is>
      </c>
      <c r="I1" s="6" t="inlineStr">
        <is>
          <t>Principle Actual</t>
        </is>
      </c>
      <c r="J1" s="6" t="inlineStr">
        <is>
          <t>Coverage Status</t>
        </is>
      </c>
      <c r="K1" s="6" t="inlineStr">
        <is>
          <t>Notes</t>
        </is>
      </c>
    </row>
    <row r="2">
      <c r="A2" s="18" t="inlineStr">
        <is>
          <t>EXP-001</t>
        </is>
      </c>
      <c r="B2" s="18" t="inlineStr">
        <is>
          <t>Exhaustion / Recovery / Work carryover</t>
        </is>
      </c>
      <c r="C2" s="18" t="inlineStr">
        <is>
          <t>Nhiều việc nhỏ làm cạn năng lượng</t>
        </is>
      </c>
      <c r="D2" s="18" t="inlineStr">
        <is>
          <t>Không có việc nào quá lớn, sao mình vẫn mệt?</t>
        </is>
      </c>
      <c r="E2" s="18" t="inlineStr">
        <is>
          <t>Name / Permit</t>
        </is>
      </c>
      <c r="F2" s="18" t="n">
        <v>8</v>
      </c>
      <c r="G2" s="18">
        <f>COUNTIF('Quote Library'!$E$2:$E$500,C2)</f>
        <v/>
      </c>
      <c r="H2" s="18">
        <f>COUNTIF('Story Library'!$I$2:$I$300,C2)</f>
        <v/>
      </c>
      <c r="I2" s="18">
        <f>COUNTIF('Principle Library'!$N$2:$N$300,C2)</f>
        <v/>
      </c>
      <c r="J2" s="18">
        <f>IF(G2=0,"Gap",IF(G2&lt;F2,"Building","Covered"))</f>
        <v/>
      </c>
      <c r="K2" s="18" t="str"/>
    </row>
    <row r="3">
      <c r="A3" s="18" t="inlineStr">
        <is>
          <t>EXP-002</t>
        </is>
      </c>
      <c r="B3" s="18" t="inlineStr">
        <is>
          <t>Exhaustion / Recovery / Work carryover</t>
        </is>
      </c>
      <c r="C3" s="18" t="inlineStr">
        <is>
          <t>Công việc còn ở lại sau giờ làm</t>
        </is>
      </c>
      <c r="D3" s="18" t="inlineStr">
        <is>
          <t>Mình về nhà rồi nhưng đầu vẫn ở công ty.</t>
        </is>
      </c>
      <c r="E3" s="18" t="inlineStr">
        <is>
          <t>Recognize / Name</t>
        </is>
      </c>
      <c r="F3" s="18" t="n">
        <v>8</v>
      </c>
      <c r="G3" s="18">
        <f>COUNTIF('Quote Library'!$E$2:$E$500,C3)</f>
        <v/>
      </c>
      <c r="H3" s="18">
        <f>COUNTIF('Story Library'!$I$2:$I$300,C3)</f>
        <v/>
      </c>
      <c r="I3" s="18">
        <f>COUNTIF('Principle Library'!$N$2:$N$300,C3)</f>
        <v/>
      </c>
      <c r="J3" s="18">
        <f>IF(G3=0,"Gap",IF(G3&lt;F3,"Building","Covered"))</f>
        <v/>
      </c>
      <c r="K3" s="18" t="str"/>
    </row>
    <row r="4">
      <c r="A4" s="18" t="inlineStr">
        <is>
          <t>EXP-003</t>
        </is>
      </c>
      <c r="B4" s="18" t="inlineStr">
        <is>
          <t>Exhaustion / Recovery / Work carryover</t>
        </is>
      </c>
      <c r="C4" s="18" t="inlineStr">
        <is>
          <t>Sự kiện đã qua nhưng hồi phục chưa xong</t>
        </is>
      </c>
      <c r="D4" s="18" t="inlineStr">
        <is>
          <t>Chuyện qua rồi, sao mình vẫn chưa ổn?</t>
        </is>
      </c>
      <c r="E4" s="18" t="inlineStr">
        <is>
          <t>Recognize / Permit / Distinguish</t>
        </is>
      </c>
      <c r="F4" s="18" t="n">
        <v>8</v>
      </c>
      <c r="G4" s="18">
        <f>COUNTIF('Quote Library'!$E$2:$E$500,C4)</f>
        <v/>
      </c>
      <c r="H4" s="18">
        <f>COUNTIF('Story Library'!$I$2:$I$300,C4)</f>
        <v/>
      </c>
      <c r="I4" s="18">
        <f>COUNTIF('Principle Library'!$N$2:$N$300,C4)</f>
        <v/>
      </c>
      <c r="J4" s="18">
        <f>IF(G4=0,"Gap",IF(G4&lt;F4,"Building","Covered"))</f>
        <v/>
      </c>
      <c r="K4" s="18" t="str"/>
    </row>
    <row r="5">
      <c r="A5" s="18" t="inlineStr">
        <is>
          <t>EXP-004</t>
        </is>
      </c>
      <c r="B5" s="18" t="inlineStr">
        <is>
          <t>Self-compassion / Self-blame</t>
        </is>
      </c>
      <c r="C5" s="18" t="inlineStr">
        <is>
          <t>Đã gây hậu quả và đang tự trách</t>
        </is>
      </c>
      <c r="D5" s="18" t="inlineStr">
        <is>
          <t>Mình làm sai nên rất khó chịu với chính mình.</t>
        </is>
      </c>
      <c r="E5" s="18" t="inlineStr">
        <is>
          <t>Distinguish / Permit</t>
        </is>
      </c>
      <c r="F5" s="18" t="n">
        <v>8</v>
      </c>
      <c r="G5" s="18">
        <f>COUNTIF('Quote Library'!$E$2:$E$500,C5)</f>
        <v/>
      </c>
      <c r="H5" s="18">
        <f>COUNTIF('Story Library'!$I$2:$I$300,C5)</f>
        <v/>
      </c>
      <c r="I5" s="18">
        <f>COUNTIF('Principle Library'!$N$2:$N$300,C5)</f>
        <v/>
      </c>
      <c r="J5" s="18">
        <f>IF(G5=0,"Gap",IF(G5&lt;F5,"Building","Covered"))</f>
        <v/>
      </c>
      <c r="K5" s="18" t="str"/>
    </row>
    <row r="6">
      <c r="A6" s="18" t="inlineStr">
        <is>
          <t>EXP-005</t>
        </is>
      </c>
      <c r="B6" s="18" t="inlineStr">
        <is>
          <t>Self-compassion / Self-blame</t>
        </is>
      </c>
      <c r="C6" s="18" t="inlineStr">
        <is>
          <t>Đang học nhưng thấy mình kém</t>
        </is>
      </c>
      <c r="D6" s="18" t="inlineStr">
        <is>
          <t>Mình còn vụng; có phải mình không đủ tốt?</t>
        </is>
      </c>
      <c r="E6" s="18" t="inlineStr">
        <is>
          <t>Reframe / Permit</t>
        </is>
      </c>
      <c r="F6" s="18" t="n">
        <v>8</v>
      </c>
      <c r="G6" s="18">
        <f>COUNTIF('Quote Library'!$E$2:$E$500,C6)</f>
        <v/>
      </c>
      <c r="H6" s="18">
        <f>COUNTIF('Story Library'!$I$2:$I$300,C6)</f>
        <v/>
      </c>
      <c r="I6" s="18">
        <f>COUNTIF('Principle Library'!$N$2:$N$300,C6)</f>
        <v/>
      </c>
      <c r="J6" s="18">
        <f>IF(G6=0,"Gap",IF(G6&lt;F6,"Building","Covered"))</f>
        <v/>
      </c>
      <c r="K6" s="18" t="str"/>
    </row>
    <row r="7">
      <c r="A7" s="18" t="inlineStr">
        <is>
          <t>EXP-006</t>
        </is>
      </c>
      <c r="B7" s="18" t="inlineStr">
        <is>
          <t>Uncertainty / Choice / Agency</t>
        </is>
      </c>
      <c r="C7" s="18" t="inlineStr">
        <is>
          <t>Chưa biết và chưa cần quyết định ngay</t>
        </is>
      </c>
      <c r="D7" s="18" t="inlineStr">
        <is>
          <t>Mình vẫn chưa biết mình muốn gì.</t>
        </is>
      </c>
      <c r="E7" s="18" t="inlineStr">
        <is>
          <t>Permit / Return agency</t>
        </is>
      </c>
      <c r="F7" s="18" t="n">
        <v>8</v>
      </c>
      <c r="G7" s="18">
        <f>COUNTIF('Quote Library'!$E$2:$E$500,C7)</f>
        <v/>
      </c>
      <c r="H7" s="18">
        <f>COUNTIF('Story Library'!$I$2:$I$300,C7)</f>
        <v/>
      </c>
      <c r="I7" s="18">
        <f>COUNTIF('Principle Library'!$N$2:$N$300,C7)</f>
        <v/>
      </c>
      <c r="J7" s="18">
        <f>IF(G7=0,"Gap",IF(G7&lt;F7,"Building","Covered"))</f>
        <v/>
      </c>
      <c r="K7" s="18" t="str"/>
    </row>
    <row r="8">
      <c r="A8" s="18" t="inlineStr">
        <is>
          <t>EXP-007</t>
        </is>
      </c>
      <c r="B8" s="18" t="inlineStr">
        <is>
          <t>Uncertainty / Choice / Agency</t>
        </is>
      </c>
      <c r="C8" s="18" t="inlineStr">
        <is>
          <t>Quá nhiều câu trả lời</t>
        </is>
      </c>
      <c r="D8" s="18" t="inlineStr">
        <is>
          <t>Càng hỏi thêm mình càng khó chọn.</t>
        </is>
      </c>
      <c r="E8" s="18" t="inlineStr">
        <is>
          <t>Distinguish / Return agency</t>
        </is>
      </c>
      <c r="F8" s="18" t="n">
        <v>8</v>
      </c>
      <c r="G8" s="18">
        <f>COUNTIF('Quote Library'!$E$2:$E$500,C8)</f>
        <v/>
      </c>
      <c r="H8" s="18">
        <f>COUNTIF('Story Library'!$I$2:$I$300,C8)</f>
        <v/>
      </c>
      <c r="I8" s="18">
        <f>COUNTIF('Principle Library'!$N$2:$N$300,C8)</f>
        <v/>
      </c>
      <c r="J8" s="18">
        <f>IF(G8=0,"Gap",IF(G8&lt;F8,"Building","Covered"))</f>
        <v/>
      </c>
      <c r="K8" s="18" t="str"/>
    </row>
    <row r="9">
      <c r="A9" s="18" t="inlineStr">
        <is>
          <t>EXP-008</t>
        </is>
      </c>
      <c r="B9" s="18" t="inlineStr">
        <is>
          <t>Uncertainty / Choice / Agency</t>
        </is>
      </c>
      <c r="C9" s="18" t="inlineStr">
        <is>
          <t>Hai lựa chọn đều có điều đáng giữ</t>
        </is>
      </c>
      <c r="D9" s="18" t="inlineStr">
        <is>
          <t>Ở lại có cái mất; đi cũng có cái mất.</t>
        </is>
      </c>
      <c r="E9" s="18" t="inlineStr">
        <is>
          <t>Recognize / Permit</t>
        </is>
      </c>
      <c r="F9" s="18" t="n">
        <v>8</v>
      </c>
      <c r="G9" s="18">
        <f>COUNTIF('Quote Library'!$E$2:$E$500,C9)</f>
        <v/>
      </c>
      <c r="H9" s="18">
        <f>COUNTIF('Story Library'!$I$2:$I$300,C9)</f>
        <v/>
      </c>
      <c r="I9" s="18">
        <f>COUNTIF('Principle Library'!$N$2:$N$300,C9)</f>
        <v/>
      </c>
      <c r="J9" s="18">
        <f>IF(G9=0,"Gap",IF(G9&lt;F9,"Building","Covered"))</f>
        <v/>
      </c>
      <c r="K9" s="18" t="str"/>
    </row>
    <row r="10">
      <c r="A10" s="18" t="inlineStr">
        <is>
          <t>EXP-009</t>
        </is>
      </c>
      <c r="B10" s="18" t="inlineStr">
        <is>
          <t>Comparison / External standards / Values</t>
        </is>
      </c>
      <c r="C10" s="18" t="inlineStr">
        <is>
          <t>Thành công của người khác làm mình thấy nhỏ đi</t>
        </is>
      </c>
      <c r="D10" s="18" t="inlineStr">
        <is>
          <t>Người khác tiến lên còn mình đứng yên.</t>
        </is>
      </c>
      <c r="E10" s="18" t="inlineStr">
        <is>
          <t>Reframe</t>
        </is>
      </c>
      <c r="F10" s="18" t="n">
        <v>8</v>
      </c>
      <c r="G10" s="18">
        <f>COUNTIF('Quote Library'!$E$2:$E$500,C10)</f>
        <v/>
      </c>
      <c r="H10" s="18">
        <f>COUNTIF('Story Library'!$I$2:$I$300,C10)</f>
        <v/>
      </c>
      <c r="I10" s="18">
        <f>COUNTIF('Principle Library'!$N$2:$N$300,C10)</f>
        <v/>
      </c>
      <c r="J10" s="18">
        <f>IF(G10=0,"Gap",IF(G10&lt;F10,"Building","Covered"))</f>
        <v/>
      </c>
      <c r="K10" s="18" t="str"/>
    </row>
    <row r="11">
      <c r="A11" s="18" t="inlineStr">
        <is>
          <t>EXP-010</t>
        </is>
      </c>
      <c r="B11" s="18" t="inlineStr">
        <is>
          <t>Comparison / External standards / Values</t>
        </is>
      </c>
      <c r="C11" s="18" t="inlineStr">
        <is>
          <t>Sống bằng thước đo bên ngoài</t>
        </is>
      </c>
      <c r="D11" s="18" t="inlineStr">
        <is>
          <t>Mình đang dùng tiêu chuẩn của ai để đánh giá đời mình?</t>
        </is>
      </c>
      <c r="E11" s="18" t="inlineStr">
        <is>
          <t>Distinguish / Return agency</t>
        </is>
      </c>
      <c r="F11" s="18" t="n">
        <v>8</v>
      </c>
      <c r="G11" s="18">
        <f>COUNTIF('Quote Library'!$E$2:$E$500,C11)</f>
        <v/>
      </c>
      <c r="H11" s="18">
        <f>COUNTIF('Story Library'!$I$2:$I$300,C11)</f>
        <v/>
      </c>
      <c r="I11" s="18">
        <f>COUNTIF('Principle Library'!$N$2:$N$300,C11)</f>
        <v/>
      </c>
      <c r="J11" s="18">
        <f>IF(G11=0,"Gap",IF(G11&lt;F11,"Building","Covered"))</f>
        <v/>
      </c>
      <c r="K11" s="18" t="str"/>
    </row>
    <row r="12">
      <c r="A12" s="18" t="inlineStr">
        <is>
          <t>EXP-011</t>
        </is>
      </c>
      <c r="B12" s="18" t="inlineStr">
        <is>
          <t>Attention / Noise / Deep focus</t>
        </is>
      </c>
      <c r="C12" s="18" t="inlineStr">
        <is>
          <t>Tiếp nhận nhiều nhưng không nghe được mình</t>
        </is>
      </c>
      <c r="D12" s="18" t="inlineStr">
        <is>
          <t>Cả ngày có quá nhiều tiếng nói.</t>
        </is>
      </c>
      <c r="E12" s="18" t="inlineStr">
        <is>
          <t>Recognize / Distinguish</t>
        </is>
      </c>
      <c r="F12" s="18" t="n">
        <v>8</v>
      </c>
      <c r="G12" s="18">
        <f>COUNTIF('Quote Library'!$E$2:$E$500,C12)</f>
        <v/>
      </c>
      <c r="H12" s="18">
        <f>COUNTIF('Story Library'!$I$2:$I$300,C12)</f>
        <v/>
      </c>
      <c r="I12" s="18">
        <f>COUNTIF('Principle Library'!$N$2:$N$300,C12)</f>
        <v/>
      </c>
      <c r="J12" s="18">
        <f>IF(G12=0,"Gap",IF(G12&lt;F12,"Building","Covered"))</f>
        <v/>
      </c>
      <c r="K12" s="18" t="str"/>
    </row>
    <row r="13">
      <c r="A13" s="18" t="inlineStr">
        <is>
          <t>EXP-012</t>
        </is>
      </c>
      <c r="B13" s="18" t="inlineStr">
        <is>
          <t>Learning / Failure / Quiet growth</t>
        </is>
      </c>
      <c r="C13" s="18" t="inlineStr">
        <is>
          <t>Tiến bộ âm thầm</t>
        </is>
      </c>
      <c r="D13" s="18" t="inlineStr">
        <is>
          <t>Mình không thấy mình tiến bộ gì.</t>
        </is>
      </c>
      <c r="E13" s="18" t="inlineStr">
        <is>
          <t>Recognize / Reframe</t>
        </is>
      </c>
      <c r="F13" s="18" t="n">
        <v>8</v>
      </c>
      <c r="G13" s="18">
        <f>COUNTIF('Quote Library'!$E$2:$E$500,C13)</f>
        <v/>
      </c>
      <c r="H13" s="18">
        <f>COUNTIF('Story Library'!$I$2:$I$300,C13)</f>
        <v/>
      </c>
      <c r="I13" s="18">
        <f>COUNTIF('Principle Library'!$N$2:$N$300,C13)</f>
        <v/>
      </c>
      <c r="J13" s="18">
        <f>IF(G13=0,"Gap",IF(G13&lt;F13,"Building","Covered"))</f>
        <v/>
      </c>
      <c r="K13" s="18" t="str"/>
    </row>
    <row r="14">
      <c r="A14" s="18" t="inlineStr">
        <is>
          <t>EXP-013</t>
        </is>
      </c>
      <c r="B14" s="18" t="inlineStr">
        <is>
          <t>Mixed emotions / Emotional memory</t>
        </is>
      </c>
      <c r="C14" s="18" t="inlineStr">
        <is>
          <t>Hai cảm xúc trái chiều cùng tồn tại</t>
        </is>
      </c>
      <c r="D14" s="18" t="inlineStr">
        <is>
          <t>Mình vừa nhẹ nhõm vừa buồn.</t>
        </is>
      </c>
      <c r="E14" s="18" t="inlineStr">
        <is>
          <t>Permit / Distinguish</t>
        </is>
      </c>
      <c r="F14" s="18" t="n">
        <v>8</v>
      </c>
      <c r="G14" s="18">
        <f>COUNTIF('Quote Library'!$E$2:$E$500,C14)</f>
        <v/>
      </c>
      <c r="H14" s="18">
        <f>COUNTIF('Story Library'!$I$2:$I$300,C14)</f>
        <v/>
      </c>
      <c r="I14" s="18">
        <f>COUNTIF('Principle Library'!$N$2:$N$300,C14)</f>
        <v/>
      </c>
      <c r="J14" s="18">
        <f>IF(G14=0,"Gap",IF(G14&lt;F14,"Building","Covered"))</f>
        <v/>
      </c>
      <c r="K14" s="18" t="str"/>
    </row>
    <row r="15">
      <c r="A15" s="18" t="inlineStr">
        <is>
          <t>EXP-014</t>
        </is>
      </c>
      <c r="B15" s="18" t="inlineStr">
        <is>
          <t>Mixed emotions / Emotional memory</t>
        </is>
      </c>
      <c r="C15" s="18" t="inlineStr">
        <is>
          <t>Trải nghiệm cũ đi vào phản ứng mới</t>
        </is>
      </c>
      <c r="D15" s="18" t="inlineStr">
        <is>
          <t>Sao chuyện nhỏ này lại làm mình phản ứng mạnh vậy?</t>
        </is>
      </c>
      <c r="E15" s="18" t="inlineStr">
        <is>
          <t>Recognize / Name</t>
        </is>
      </c>
      <c r="F15" s="18" t="n">
        <v>8</v>
      </c>
      <c r="G15" s="18">
        <f>COUNTIF('Quote Library'!$E$2:$E$500,C15)</f>
        <v/>
      </c>
      <c r="H15" s="18">
        <f>COUNTIF('Story Library'!$I$2:$I$300,C15)</f>
        <v/>
      </c>
      <c r="I15" s="18">
        <f>COUNTIF('Principle Library'!$N$2:$N$300,C15)</f>
        <v/>
      </c>
      <c r="J15" s="18">
        <f>IF(G15=0,"Gap",IF(G15&lt;F15,"Building","Covered"))</f>
        <v/>
      </c>
      <c r="K15" s="18" t="str"/>
    </row>
    <row r="16">
      <c r="A16" s="18" t="inlineStr">
        <is>
          <t>EXP-015</t>
        </is>
      </c>
      <c r="B16" s="18" t="inlineStr">
        <is>
          <t>Meaning / Identity / Work</t>
        </is>
      </c>
      <c r="C16" s="18" t="inlineStr">
        <is>
          <t>Bản sắc khi công việc thay đổi</t>
        </is>
      </c>
      <c r="D16" s="18" t="inlineStr">
        <is>
          <t>Nếu công việc này không còn, mình còn là ai?</t>
        </is>
      </c>
      <c r="E16" s="18" t="inlineStr">
        <is>
          <t>Recognize / Return agency</t>
        </is>
      </c>
      <c r="F16" s="18" t="n">
        <v>8</v>
      </c>
      <c r="G16" s="18">
        <f>COUNTIF('Quote Library'!$E$2:$E$500,C16)</f>
        <v/>
      </c>
      <c r="H16" s="18">
        <f>COUNTIF('Story Library'!$I$2:$I$300,C16)</f>
        <v/>
      </c>
      <c r="I16" s="18">
        <f>COUNTIF('Principle Library'!$N$2:$N$300,C16)</f>
        <v/>
      </c>
      <c r="J16" s="18">
        <f>IF(G16=0,"Gap",IF(G16&lt;F16,"Building","Covered"))</f>
        <v/>
      </c>
      <c r="K16" s="18" t="str"/>
    </row>
    <row r="17">
      <c r="A17" s="18" t="inlineStr">
        <is>
          <t>EXP-016</t>
        </is>
      </c>
      <c r="B17" s="18" t="inlineStr">
        <is>
          <t>AI-age Human Judgment</t>
        </is>
      </c>
      <c r="C17" s="18" t="inlineStr">
        <is>
          <t>Nhiều output nhưng judgment vẫn là của mình</t>
        </is>
      </c>
      <c r="D17" s="18" t="inlineStr">
        <is>
          <t>Có rất nhiều câu trả lời, nhưng câu nào thật sự là của mình?</t>
        </is>
      </c>
      <c r="E17" s="18" t="inlineStr">
        <is>
          <t>Distinguish / Return agency</t>
        </is>
      </c>
      <c r="F17" s="18" t="n">
        <v>8</v>
      </c>
      <c r="G17" s="18">
        <f>COUNTIF('Quote Library'!$E$2:$E$500,C17)</f>
        <v/>
      </c>
      <c r="H17" s="18">
        <f>COUNTIF('Story Library'!$I$2:$I$300,C17)</f>
        <v/>
      </c>
      <c r="I17" s="18">
        <f>COUNTIF('Principle Library'!$N$2:$N$300,C17)</f>
        <v/>
      </c>
      <c r="J17" s="18">
        <f>IF(G17=0,"Gap",IF(G17&lt;F17,"Building","Covered"))</f>
        <v/>
      </c>
      <c r="K17" s="18" t="str"/>
    </row>
    <row r="18">
      <c r="A18" s="18" t="n"/>
      <c r="B18" s="18" t="n"/>
      <c r="C18" s="18" t="n"/>
      <c r="D18" s="18" t="n"/>
      <c r="E18" s="18" t="n"/>
      <c r="F18" s="18" t="n"/>
      <c r="G18" s="18" t="n"/>
      <c r="H18" s="18" t="n"/>
      <c r="I18" s="18" t="n"/>
      <c r="J18" s="18" t="n"/>
      <c r="K18" s="18" t="n"/>
    </row>
    <row r="19">
      <c r="A19" s="18" t="n"/>
      <c r="B19" s="18" t="n"/>
      <c r="C19" s="18" t="n"/>
      <c r="D19" s="18" t="n"/>
      <c r="E19" s="18" t="n"/>
      <c r="F19" s="18" t="n"/>
      <c r="G19" s="18" t="n"/>
      <c r="H19" s="18" t="n"/>
      <c r="I19" s="18" t="n"/>
      <c r="J19" s="18" t="n"/>
      <c r="K19" s="18" t="n"/>
    </row>
    <row r="20">
      <c r="A20" s="18" t="n"/>
      <c r="B20" s="18" t="n"/>
      <c r="C20" s="18" t="n"/>
      <c r="D20" s="18" t="n"/>
      <c r="E20" s="18" t="n"/>
      <c r="F20" s="18" t="n"/>
      <c r="G20" s="18" t="n"/>
      <c r="H20" s="18" t="n"/>
      <c r="I20" s="18" t="n"/>
      <c r="J20" s="18" t="n"/>
      <c r="K20" s="18" t="n"/>
    </row>
    <row r="21">
      <c r="A21" s="18" t="n"/>
      <c r="B21" s="18" t="n"/>
      <c r="C21" s="18" t="n"/>
      <c r="D21" s="18" t="n"/>
      <c r="E21" s="18" t="n"/>
      <c r="F21" s="18" t="n"/>
      <c r="G21" s="18" t="n"/>
      <c r="H21" s="18" t="n"/>
      <c r="I21" s="18" t="n"/>
      <c r="J21" s="18" t="n"/>
      <c r="K21" s="18" t="n"/>
    </row>
    <row r="22">
      <c r="A22" s="18" t="n"/>
      <c r="B22" s="18" t="n"/>
      <c r="C22" s="18" t="n"/>
      <c r="D22" s="18" t="n"/>
      <c r="E22" s="18" t="n"/>
      <c r="F22" s="18" t="n"/>
      <c r="G22" s="18" t="n"/>
      <c r="H22" s="18" t="n"/>
      <c r="I22" s="18" t="n"/>
      <c r="J22" s="18" t="n"/>
      <c r="K22" s="18" t="n"/>
    </row>
    <row r="23">
      <c r="A23" s="18" t="n"/>
      <c r="B23" s="18" t="n"/>
      <c r="C23" s="18" t="n"/>
      <c r="D23" s="18" t="n"/>
      <c r="E23" s="18" t="n"/>
      <c r="F23" s="18" t="n"/>
      <c r="G23" s="18" t="n"/>
      <c r="H23" s="18" t="n"/>
      <c r="I23" s="18" t="n"/>
      <c r="J23" s="18" t="n"/>
      <c r="K23" s="18" t="n"/>
    </row>
    <row r="24">
      <c r="A24" s="18" t="n"/>
      <c r="B24" s="18" t="n"/>
      <c r="C24" s="18" t="n"/>
      <c r="D24" s="18" t="n"/>
      <c r="E24" s="18" t="n"/>
      <c r="F24" s="18" t="n"/>
      <c r="G24" s="18" t="n"/>
      <c r="H24" s="18" t="n"/>
      <c r="I24" s="18" t="n"/>
      <c r="J24" s="18" t="n"/>
      <c r="K24" s="18" t="n"/>
    </row>
    <row r="25">
      <c r="A25" s="18" t="n"/>
      <c r="B25" s="18" t="n"/>
      <c r="C25" s="18" t="n"/>
      <c r="D25" s="18" t="n"/>
      <c r="E25" s="18" t="n"/>
      <c r="F25" s="18" t="n"/>
      <c r="G25" s="18" t="n"/>
      <c r="H25" s="18" t="n"/>
      <c r="I25" s="18" t="n"/>
      <c r="J25" s="18" t="n"/>
      <c r="K25" s="18" t="n"/>
    </row>
    <row r="26">
      <c r="A26" s="18" t="n"/>
      <c r="B26" s="18" t="n"/>
      <c r="C26" s="18" t="n"/>
      <c r="D26" s="18" t="n"/>
      <c r="E26" s="18" t="n"/>
      <c r="F26" s="18" t="n"/>
      <c r="G26" s="18" t="n"/>
      <c r="H26" s="18" t="n"/>
      <c r="I26" s="18" t="n"/>
      <c r="J26" s="18" t="n"/>
      <c r="K26" s="18" t="n"/>
    </row>
    <row r="27">
      <c r="A27" s="18" t="n"/>
      <c r="B27" s="18" t="n"/>
      <c r="C27" s="18" t="n"/>
      <c r="D27" s="18" t="n"/>
      <c r="E27" s="18" t="n"/>
      <c r="F27" s="18" t="n"/>
      <c r="G27" s="18" t="n"/>
      <c r="H27" s="18" t="n"/>
      <c r="I27" s="18" t="n"/>
      <c r="J27" s="18" t="n"/>
      <c r="K27" s="18" t="n"/>
    </row>
    <row r="28">
      <c r="A28" s="18" t="n"/>
      <c r="B28" s="18" t="n"/>
      <c r="C28" s="18" t="n"/>
      <c r="D28" s="18" t="n"/>
      <c r="E28" s="18" t="n"/>
      <c r="F28" s="18" t="n"/>
      <c r="G28" s="18" t="n"/>
      <c r="H28" s="18" t="n"/>
      <c r="I28" s="18" t="n"/>
      <c r="J28" s="18" t="n"/>
      <c r="K28" s="18" t="n"/>
    </row>
    <row r="29">
      <c r="A29" s="18" t="n"/>
      <c r="B29" s="18" t="n"/>
      <c r="C29" s="18" t="n"/>
      <c r="D29" s="18" t="n"/>
      <c r="E29" s="18" t="n"/>
      <c r="F29" s="18" t="n"/>
      <c r="G29" s="18" t="n"/>
      <c r="H29" s="18" t="n"/>
      <c r="I29" s="18" t="n"/>
      <c r="J29" s="18" t="n"/>
      <c r="K29" s="18" t="n"/>
    </row>
    <row r="30">
      <c r="A30" s="18" t="n"/>
      <c r="B30" s="18" t="n"/>
      <c r="C30" s="18" t="n"/>
      <c r="D30" s="18" t="n"/>
      <c r="E30" s="18" t="n"/>
      <c r="F30" s="18" t="n"/>
      <c r="G30" s="18" t="n"/>
      <c r="H30" s="18" t="n"/>
      <c r="I30" s="18" t="n"/>
      <c r="J30" s="18" t="n"/>
      <c r="K30" s="18" t="n"/>
    </row>
    <row r="31">
      <c r="A31" s="18" t="n"/>
      <c r="B31" s="18" t="n"/>
      <c r="C31" s="18" t="n"/>
      <c r="D31" s="18" t="n"/>
      <c r="E31" s="18" t="n"/>
      <c r="F31" s="18" t="n"/>
      <c r="G31" s="18" t="n"/>
      <c r="H31" s="18" t="n"/>
      <c r="I31" s="18" t="n"/>
      <c r="J31" s="18" t="n"/>
      <c r="K31" s="18" t="n"/>
    </row>
    <row r="32">
      <c r="A32" s="18" t="n"/>
      <c r="B32" s="18" t="n"/>
      <c r="C32" s="18" t="n"/>
      <c r="D32" s="18" t="n"/>
      <c r="E32" s="18" t="n"/>
      <c r="F32" s="18" t="n"/>
      <c r="G32" s="18" t="n"/>
      <c r="H32" s="18" t="n"/>
      <c r="I32" s="18" t="n"/>
      <c r="J32" s="18" t="n"/>
      <c r="K32" s="18" t="n"/>
    </row>
    <row r="33">
      <c r="A33" s="18" t="n"/>
      <c r="B33" s="18" t="n"/>
      <c r="C33" s="18" t="n"/>
      <c r="D33" s="18" t="n"/>
      <c r="E33" s="18" t="n"/>
      <c r="F33" s="18" t="n"/>
      <c r="G33" s="18" t="n"/>
      <c r="H33" s="18" t="n"/>
      <c r="I33" s="18" t="n"/>
      <c r="J33" s="18" t="n"/>
      <c r="K33" s="18" t="n"/>
    </row>
    <row r="34">
      <c r="A34" s="18" t="n"/>
      <c r="B34" s="18" t="n"/>
      <c r="C34" s="18" t="n"/>
      <c r="D34" s="18" t="n"/>
      <c r="E34" s="18" t="n"/>
      <c r="F34" s="18" t="n"/>
      <c r="G34" s="18" t="n"/>
      <c r="H34" s="18" t="n"/>
      <c r="I34" s="18" t="n"/>
      <c r="J34" s="18" t="n"/>
      <c r="K34" s="18" t="n"/>
    </row>
    <row r="35">
      <c r="A35" s="18" t="n"/>
      <c r="B35" s="18" t="n"/>
      <c r="C35" s="18" t="n"/>
      <c r="D35" s="18" t="n"/>
      <c r="E35" s="18" t="n"/>
      <c r="F35" s="18" t="n"/>
      <c r="G35" s="18" t="n"/>
      <c r="H35" s="18" t="n"/>
      <c r="I35" s="18" t="n"/>
      <c r="J35" s="18" t="n"/>
      <c r="K35" s="18" t="n"/>
    </row>
    <row r="36">
      <c r="A36" s="18" t="n"/>
      <c r="B36" s="18" t="n"/>
      <c r="C36" s="18" t="n"/>
      <c r="D36" s="18" t="n"/>
      <c r="E36" s="18" t="n"/>
      <c r="F36" s="18" t="n"/>
      <c r="G36" s="18" t="n"/>
      <c r="H36" s="18" t="n"/>
      <c r="I36" s="18" t="n"/>
      <c r="J36" s="18" t="n"/>
      <c r="K36" s="18" t="n"/>
    </row>
    <row r="37">
      <c r="A37" s="18" t="n"/>
      <c r="B37" s="18" t="n"/>
      <c r="C37" s="18" t="n"/>
      <c r="D37" s="18" t="n"/>
      <c r="E37" s="18" t="n"/>
      <c r="F37" s="18" t="n"/>
      <c r="G37" s="18" t="n"/>
      <c r="H37" s="18" t="n"/>
      <c r="I37" s="18" t="n"/>
      <c r="J37" s="18" t="n"/>
      <c r="K37" s="18" t="n"/>
    </row>
    <row r="38">
      <c r="A38" s="18" t="n"/>
      <c r="B38" s="18" t="n"/>
      <c r="C38" s="18" t="n"/>
      <c r="D38" s="18" t="n"/>
      <c r="E38" s="18" t="n"/>
      <c r="F38" s="18" t="n"/>
      <c r="G38" s="18" t="n"/>
      <c r="H38" s="18" t="n"/>
      <c r="I38" s="18" t="n"/>
      <c r="J38" s="18" t="n"/>
      <c r="K38" s="18" t="n"/>
    </row>
    <row r="39">
      <c r="A39" s="18" t="n"/>
      <c r="B39" s="18" t="n"/>
      <c r="C39" s="18" t="n"/>
      <c r="D39" s="18" t="n"/>
      <c r="E39" s="18" t="n"/>
      <c r="F39" s="18" t="n"/>
      <c r="G39" s="18" t="n"/>
      <c r="H39" s="18" t="n"/>
      <c r="I39" s="18" t="n"/>
      <c r="J39" s="18" t="n"/>
      <c r="K39" s="18" t="n"/>
    </row>
    <row r="40">
      <c r="A40" s="18" t="n"/>
      <c r="B40" s="18" t="n"/>
      <c r="C40" s="18" t="n"/>
      <c r="D40" s="18" t="n"/>
      <c r="E40" s="18" t="n"/>
      <c r="F40" s="18" t="n"/>
      <c r="G40" s="18" t="n"/>
      <c r="H40" s="18" t="n"/>
      <c r="I40" s="18" t="n"/>
      <c r="J40" s="18" t="n"/>
      <c r="K40" s="18" t="n"/>
    </row>
    <row r="41">
      <c r="A41" s="18" t="n"/>
      <c r="B41" s="18" t="n"/>
      <c r="C41" s="18" t="n"/>
      <c r="D41" s="18" t="n"/>
      <c r="E41" s="18" t="n"/>
      <c r="F41" s="18" t="n"/>
      <c r="G41" s="18" t="n"/>
      <c r="H41" s="18" t="n"/>
      <c r="I41" s="18" t="n"/>
      <c r="J41" s="18" t="n"/>
      <c r="K41" s="18" t="n"/>
    </row>
    <row r="42">
      <c r="A42" s="18" t="n"/>
      <c r="B42" s="18" t="n"/>
      <c r="C42" s="18" t="n"/>
      <c r="D42" s="18" t="n"/>
      <c r="E42" s="18" t="n"/>
      <c r="F42" s="18" t="n"/>
      <c r="G42" s="18" t="n"/>
      <c r="H42" s="18" t="n"/>
      <c r="I42" s="18" t="n"/>
      <c r="J42" s="18" t="n"/>
      <c r="K42" s="18" t="n"/>
    </row>
    <row r="43">
      <c r="A43" s="18" t="n"/>
      <c r="B43" s="18" t="n"/>
      <c r="C43" s="18" t="n"/>
      <c r="D43" s="18" t="n"/>
      <c r="E43" s="18" t="n"/>
      <c r="F43" s="18" t="n"/>
      <c r="G43" s="18" t="n"/>
      <c r="H43" s="18" t="n"/>
      <c r="I43" s="18" t="n"/>
      <c r="J43" s="18" t="n"/>
      <c r="K43" s="18" t="n"/>
    </row>
    <row r="44">
      <c r="A44" s="18" t="n"/>
      <c r="B44" s="18" t="n"/>
      <c r="C44" s="18" t="n"/>
      <c r="D44" s="18" t="n"/>
      <c r="E44" s="18" t="n"/>
      <c r="F44" s="18" t="n"/>
      <c r="G44" s="18" t="n"/>
      <c r="H44" s="18" t="n"/>
      <c r="I44" s="18" t="n"/>
      <c r="J44" s="18" t="n"/>
      <c r="K44" s="18" t="n"/>
    </row>
    <row r="45">
      <c r="A45" s="18" t="n"/>
      <c r="B45" s="18" t="n"/>
      <c r="C45" s="18" t="n"/>
      <c r="D45" s="18" t="n"/>
      <c r="E45" s="18" t="n"/>
      <c r="F45" s="18" t="n"/>
      <c r="G45" s="18" t="n"/>
      <c r="H45" s="18" t="n"/>
      <c r="I45" s="18" t="n"/>
      <c r="J45" s="18" t="n"/>
      <c r="K45" s="18" t="n"/>
    </row>
    <row r="46">
      <c r="A46" s="18" t="n"/>
      <c r="B46" s="18" t="n"/>
      <c r="C46" s="18" t="n"/>
      <c r="D46" s="18" t="n"/>
      <c r="E46" s="18" t="n"/>
      <c r="F46" s="18" t="n"/>
      <c r="G46" s="18" t="n"/>
      <c r="H46" s="18" t="n"/>
      <c r="I46" s="18" t="n"/>
      <c r="J46" s="18" t="n"/>
      <c r="K46" s="18" t="n"/>
    </row>
    <row r="47">
      <c r="A47" s="18" t="n"/>
      <c r="B47" s="18" t="n"/>
      <c r="C47" s="18" t="n"/>
      <c r="D47" s="18" t="n"/>
      <c r="E47" s="18" t="n"/>
      <c r="F47" s="18" t="n"/>
      <c r="G47" s="18" t="n"/>
      <c r="H47" s="18" t="n"/>
      <c r="I47" s="18" t="n"/>
      <c r="J47" s="18" t="n"/>
      <c r="K47" s="18" t="n"/>
    </row>
    <row r="48">
      <c r="A48" s="18" t="n"/>
      <c r="B48" s="18" t="n"/>
      <c r="C48" s="18" t="n"/>
      <c r="D48" s="18" t="n"/>
      <c r="E48" s="18" t="n"/>
      <c r="F48" s="18" t="n"/>
      <c r="G48" s="18" t="n"/>
      <c r="H48" s="18" t="n"/>
      <c r="I48" s="18" t="n"/>
      <c r="J48" s="18" t="n"/>
      <c r="K48" s="18" t="n"/>
    </row>
    <row r="49">
      <c r="A49" s="18" t="n"/>
      <c r="B49" s="18" t="n"/>
      <c r="C49" s="18" t="n"/>
      <c r="D49" s="18" t="n"/>
      <c r="E49" s="18" t="n"/>
      <c r="F49" s="18" t="n"/>
      <c r="G49" s="18" t="n"/>
      <c r="H49" s="18" t="n"/>
      <c r="I49" s="18" t="n"/>
      <c r="J49" s="18" t="n"/>
      <c r="K49" s="18" t="n"/>
    </row>
    <row r="50">
      <c r="A50" s="18" t="n"/>
      <c r="B50" s="18" t="n"/>
      <c r="C50" s="18" t="n"/>
      <c r="D50" s="18" t="n"/>
      <c r="E50" s="18" t="n"/>
      <c r="F50" s="18" t="n"/>
      <c r="G50" s="18" t="n"/>
      <c r="H50" s="18" t="n"/>
      <c r="I50" s="18" t="n"/>
      <c r="J50" s="18" t="n"/>
      <c r="K50" s="18" t="n"/>
    </row>
    <row r="51">
      <c r="A51" s="18" t="n"/>
      <c r="B51" s="18" t="n"/>
      <c r="C51" s="18" t="n"/>
      <c r="D51" s="18" t="n"/>
      <c r="E51" s="18" t="n"/>
      <c r="F51" s="18" t="n"/>
      <c r="G51" s="18" t="n"/>
      <c r="H51" s="18" t="n"/>
      <c r="I51" s="18" t="n"/>
      <c r="J51" s="18" t="n"/>
      <c r="K51" s="18" t="n"/>
    </row>
    <row r="52">
      <c r="A52" s="18" t="n"/>
      <c r="B52" s="18" t="n"/>
      <c r="C52" s="18" t="n"/>
      <c r="D52" s="18" t="n"/>
      <c r="E52" s="18" t="n"/>
      <c r="F52" s="18" t="n"/>
      <c r="G52" s="18" t="n"/>
      <c r="H52" s="18" t="n"/>
      <c r="I52" s="18" t="n"/>
      <c r="J52" s="18" t="n"/>
      <c r="K52" s="18" t="n"/>
    </row>
    <row r="53">
      <c r="A53" s="18" t="n"/>
      <c r="B53" s="18" t="n"/>
      <c r="C53" s="18" t="n"/>
      <c r="D53" s="18" t="n"/>
      <c r="E53" s="18" t="n"/>
      <c r="F53" s="18" t="n"/>
      <c r="G53" s="18" t="n"/>
      <c r="H53" s="18" t="n"/>
      <c r="I53" s="18" t="n"/>
      <c r="J53" s="18" t="n"/>
      <c r="K53" s="18" t="n"/>
    </row>
    <row r="54">
      <c r="A54" s="18" t="n"/>
      <c r="B54" s="18" t="n"/>
      <c r="C54" s="18" t="n"/>
      <c r="D54" s="18" t="n"/>
      <c r="E54" s="18" t="n"/>
      <c r="F54" s="18" t="n"/>
      <c r="G54" s="18" t="n"/>
      <c r="H54" s="18" t="n"/>
      <c r="I54" s="18" t="n"/>
      <c r="J54" s="18" t="n"/>
      <c r="K54" s="18" t="n"/>
    </row>
    <row r="55">
      <c r="A55" s="18" t="n"/>
      <c r="B55" s="18" t="n"/>
      <c r="C55" s="18" t="n"/>
      <c r="D55" s="18" t="n"/>
      <c r="E55" s="18" t="n"/>
      <c r="F55" s="18" t="n"/>
      <c r="G55" s="18" t="n"/>
      <c r="H55" s="18" t="n"/>
      <c r="I55" s="18" t="n"/>
      <c r="J55" s="18" t="n"/>
      <c r="K55" s="18" t="n"/>
    </row>
    <row r="56">
      <c r="A56" s="18" t="n"/>
      <c r="B56" s="18" t="n"/>
      <c r="C56" s="18" t="n"/>
      <c r="D56" s="18" t="n"/>
      <c r="E56" s="18" t="n"/>
      <c r="F56" s="18" t="n"/>
      <c r="G56" s="18" t="n"/>
      <c r="H56" s="18" t="n"/>
      <c r="I56" s="18" t="n"/>
      <c r="J56" s="18" t="n"/>
      <c r="K56" s="18" t="n"/>
    </row>
    <row r="57">
      <c r="A57" s="18" t="n"/>
      <c r="B57" s="18" t="n"/>
      <c r="C57" s="18" t="n"/>
      <c r="D57" s="18" t="n"/>
      <c r="E57" s="18" t="n"/>
      <c r="F57" s="18" t="n"/>
      <c r="G57" s="18" t="n"/>
      <c r="H57" s="18" t="n"/>
      <c r="I57" s="18" t="n"/>
      <c r="J57" s="18" t="n"/>
      <c r="K57" s="18" t="n"/>
    </row>
    <row r="58">
      <c r="A58" s="18" t="n"/>
      <c r="B58" s="18" t="n"/>
      <c r="C58" s="18" t="n"/>
      <c r="D58" s="18" t="n"/>
      <c r="E58" s="18" t="n"/>
      <c r="F58" s="18" t="n"/>
      <c r="G58" s="18" t="n"/>
      <c r="H58" s="18" t="n"/>
      <c r="I58" s="18" t="n"/>
      <c r="J58" s="18" t="n"/>
      <c r="K58" s="18" t="n"/>
    </row>
    <row r="59">
      <c r="A59" s="18" t="n"/>
      <c r="B59" s="18" t="n"/>
      <c r="C59" s="18" t="n"/>
      <c r="D59" s="18" t="n"/>
      <c r="E59" s="18" t="n"/>
      <c r="F59" s="18" t="n"/>
      <c r="G59" s="18" t="n"/>
      <c r="H59" s="18" t="n"/>
      <c r="I59" s="18" t="n"/>
      <c r="J59" s="18" t="n"/>
      <c r="K59" s="18" t="n"/>
    </row>
    <row r="60">
      <c r="A60" s="18" t="n"/>
      <c r="B60" s="18" t="n"/>
      <c r="C60" s="18" t="n"/>
      <c r="D60" s="18" t="n"/>
      <c r="E60" s="18" t="n"/>
      <c r="F60" s="18" t="n"/>
      <c r="G60" s="18" t="n"/>
      <c r="H60" s="18" t="n"/>
      <c r="I60" s="18" t="n"/>
      <c r="J60" s="18" t="n"/>
      <c r="K60" s="18" t="n"/>
    </row>
    <row r="61">
      <c r="A61" s="18" t="n"/>
      <c r="B61" s="18" t="n"/>
      <c r="C61" s="18" t="n"/>
      <c r="D61" s="18" t="n"/>
      <c r="E61" s="18" t="n"/>
      <c r="F61" s="18" t="n"/>
      <c r="G61" s="18" t="n"/>
      <c r="H61" s="18" t="n"/>
      <c r="I61" s="18" t="n"/>
      <c r="J61" s="18" t="n"/>
      <c r="K61" s="18" t="n"/>
    </row>
    <row r="62">
      <c r="A62" s="18" t="n"/>
      <c r="B62" s="18" t="n"/>
      <c r="C62" s="18" t="n"/>
      <c r="D62" s="18" t="n"/>
      <c r="E62" s="18" t="n"/>
      <c r="F62" s="18" t="n"/>
      <c r="G62" s="18" t="n"/>
      <c r="H62" s="18" t="n"/>
      <c r="I62" s="18" t="n"/>
      <c r="J62" s="18" t="n"/>
      <c r="K62" s="18" t="n"/>
    </row>
    <row r="63">
      <c r="A63" s="18" t="n"/>
      <c r="B63" s="18" t="n"/>
      <c r="C63" s="18" t="n"/>
      <c r="D63" s="18" t="n"/>
      <c r="E63" s="18" t="n"/>
      <c r="F63" s="18" t="n"/>
      <c r="G63" s="18" t="n"/>
      <c r="H63" s="18" t="n"/>
      <c r="I63" s="18" t="n"/>
      <c r="J63" s="18" t="n"/>
      <c r="K63" s="18" t="n"/>
    </row>
    <row r="64">
      <c r="A64" s="18" t="n"/>
      <c r="B64" s="18" t="n"/>
      <c r="C64" s="18" t="n"/>
      <c r="D64" s="18" t="n"/>
      <c r="E64" s="18" t="n"/>
      <c r="F64" s="18" t="n"/>
      <c r="G64" s="18" t="n"/>
      <c r="H64" s="18" t="n"/>
      <c r="I64" s="18" t="n"/>
      <c r="J64" s="18" t="n"/>
      <c r="K64" s="18" t="n"/>
    </row>
    <row r="65">
      <c r="A65" s="18" t="n"/>
      <c r="B65" s="18" t="n"/>
      <c r="C65" s="18" t="n"/>
      <c r="D65" s="18" t="n"/>
      <c r="E65" s="18" t="n"/>
      <c r="F65" s="18" t="n"/>
      <c r="G65" s="18" t="n"/>
      <c r="H65" s="18" t="n"/>
      <c r="I65" s="18" t="n"/>
      <c r="J65" s="18" t="n"/>
      <c r="K65" s="18" t="n"/>
    </row>
    <row r="66">
      <c r="A66" s="18" t="n"/>
      <c r="B66" s="18" t="n"/>
      <c r="C66" s="18" t="n"/>
      <c r="D66" s="18" t="n"/>
      <c r="E66" s="18" t="n"/>
      <c r="F66" s="18" t="n"/>
      <c r="G66" s="18" t="n"/>
      <c r="H66" s="18" t="n"/>
      <c r="I66" s="18" t="n"/>
      <c r="J66" s="18" t="n"/>
      <c r="K66" s="18" t="n"/>
    </row>
    <row r="67">
      <c r="A67" s="18" t="n"/>
      <c r="B67" s="18" t="n"/>
      <c r="C67" s="18" t="n"/>
      <c r="D67" s="18" t="n"/>
      <c r="E67" s="18" t="n"/>
      <c r="F67" s="18" t="n"/>
      <c r="G67" s="18" t="n"/>
      <c r="H67" s="18" t="n"/>
      <c r="I67" s="18" t="n"/>
      <c r="J67" s="18" t="n"/>
      <c r="K67" s="18" t="n"/>
    </row>
    <row r="68">
      <c r="A68" s="18" t="n"/>
      <c r="B68" s="18" t="n"/>
      <c r="C68" s="18" t="n"/>
      <c r="D68" s="18" t="n"/>
      <c r="E68" s="18" t="n"/>
      <c r="F68" s="18" t="n"/>
      <c r="G68" s="18" t="n"/>
      <c r="H68" s="18" t="n"/>
      <c r="I68" s="18" t="n"/>
      <c r="J68" s="18" t="n"/>
      <c r="K68" s="18" t="n"/>
    </row>
    <row r="69">
      <c r="A69" s="18" t="n"/>
      <c r="B69" s="18" t="n"/>
      <c r="C69" s="18" t="n"/>
      <c r="D69" s="18" t="n"/>
      <c r="E69" s="18" t="n"/>
      <c r="F69" s="18" t="n"/>
      <c r="G69" s="18" t="n"/>
      <c r="H69" s="18" t="n"/>
      <c r="I69" s="18" t="n"/>
      <c r="J69" s="18" t="n"/>
      <c r="K69" s="18" t="n"/>
    </row>
    <row r="70">
      <c r="A70" s="18" t="n"/>
      <c r="B70" s="18" t="n"/>
      <c r="C70" s="18" t="n"/>
      <c r="D70" s="18" t="n"/>
      <c r="E70" s="18" t="n"/>
      <c r="F70" s="18" t="n"/>
      <c r="G70" s="18" t="n"/>
      <c r="H70" s="18" t="n"/>
      <c r="I70" s="18" t="n"/>
      <c r="J70" s="18" t="n"/>
      <c r="K70" s="18" t="n"/>
    </row>
    <row r="71">
      <c r="A71" s="18" t="n"/>
      <c r="B71" s="18" t="n"/>
      <c r="C71" s="18" t="n"/>
      <c r="D71" s="18" t="n"/>
      <c r="E71" s="18" t="n"/>
      <c r="F71" s="18" t="n"/>
      <c r="G71" s="18" t="n"/>
      <c r="H71" s="18" t="n"/>
      <c r="I71" s="18" t="n"/>
      <c r="J71" s="18" t="n"/>
      <c r="K71" s="18" t="n"/>
    </row>
    <row r="72">
      <c r="A72" s="18" t="n"/>
      <c r="B72" s="18" t="n"/>
      <c r="C72" s="18" t="n"/>
      <c r="D72" s="18" t="n"/>
      <c r="E72" s="18" t="n"/>
      <c r="F72" s="18" t="n"/>
      <c r="G72" s="18" t="n"/>
      <c r="H72" s="18" t="n"/>
      <c r="I72" s="18" t="n"/>
      <c r="J72" s="18" t="n"/>
      <c r="K72" s="18" t="n"/>
    </row>
    <row r="73">
      <c r="A73" s="18" t="n"/>
      <c r="B73" s="18" t="n"/>
      <c r="C73" s="18" t="n"/>
      <c r="D73" s="18" t="n"/>
      <c r="E73" s="18" t="n"/>
      <c r="F73" s="18" t="n"/>
      <c r="G73" s="18" t="n"/>
      <c r="H73" s="18" t="n"/>
      <c r="I73" s="18" t="n"/>
      <c r="J73" s="18" t="n"/>
      <c r="K73" s="18" t="n"/>
    </row>
    <row r="74">
      <c r="A74" s="18" t="n"/>
      <c r="B74" s="18" t="n"/>
      <c r="C74" s="18" t="n"/>
      <c r="D74" s="18" t="n"/>
      <c r="E74" s="18" t="n"/>
      <c r="F74" s="18" t="n"/>
      <c r="G74" s="18" t="n"/>
      <c r="H74" s="18" t="n"/>
      <c r="I74" s="18" t="n"/>
      <c r="J74" s="18" t="n"/>
      <c r="K74" s="18" t="n"/>
    </row>
    <row r="75">
      <c r="A75" s="18" t="n"/>
      <c r="B75" s="18" t="n"/>
      <c r="C75" s="18" t="n"/>
      <c r="D75" s="18" t="n"/>
      <c r="E75" s="18" t="n"/>
      <c r="F75" s="18" t="n"/>
      <c r="G75" s="18" t="n"/>
      <c r="H75" s="18" t="n"/>
      <c r="I75" s="18" t="n"/>
      <c r="J75" s="18" t="n"/>
      <c r="K75" s="18" t="n"/>
    </row>
    <row r="76">
      <c r="A76" s="18" t="n"/>
      <c r="B76" s="18" t="n"/>
      <c r="C76" s="18" t="n"/>
      <c r="D76" s="18" t="n"/>
      <c r="E76" s="18" t="n"/>
      <c r="F76" s="18" t="n"/>
      <c r="G76" s="18" t="n"/>
      <c r="H76" s="18" t="n"/>
      <c r="I76" s="18" t="n"/>
      <c r="J76" s="18" t="n"/>
      <c r="K76" s="18" t="n"/>
    </row>
    <row r="77">
      <c r="A77" s="18" t="n"/>
      <c r="B77" s="18" t="n"/>
      <c r="C77" s="18" t="n"/>
      <c r="D77" s="18" t="n"/>
      <c r="E77" s="18" t="n"/>
      <c r="F77" s="18" t="n"/>
      <c r="G77" s="18" t="n"/>
      <c r="H77" s="18" t="n"/>
      <c r="I77" s="18" t="n"/>
      <c r="J77" s="18" t="n"/>
      <c r="K77" s="18" t="n"/>
    </row>
    <row r="78">
      <c r="A78" s="18" t="n"/>
      <c r="B78" s="18" t="n"/>
      <c r="C78" s="18" t="n"/>
      <c r="D78" s="18" t="n"/>
      <c r="E78" s="18" t="n"/>
      <c r="F78" s="18" t="n"/>
      <c r="G78" s="18" t="n"/>
      <c r="H78" s="18" t="n"/>
      <c r="I78" s="18" t="n"/>
      <c r="J78" s="18" t="n"/>
      <c r="K78" s="18" t="n"/>
    </row>
    <row r="79">
      <c r="A79" s="18" t="n"/>
      <c r="B79" s="18" t="n"/>
      <c r="C79" s="18" t="n"/>
      <c r="D79" s="18" t="n"/>
      <c r="E79" s="18" t="n"/>
      <c r="F79" s="18" t="n"/>
      <c r="G79" s="18" t="n"/>
      <c r="H79" s="18" t="n"/>
      <c r="I79" s="18" t="n"/>
      <c r="J79" s="18" t="n"/>
      <c r="K79" s="18" t="n"/>
    </row>
    <row r="80">
      <c r="A80" s="18" t="n"/>
      <c r="B80" s="18" t="n"/>
      <c r="C80" s="18" t="n"/>
      <c r="D80" s="18" t="n"/>
      <c r="E80" s="18" t="n"/>
      <c r="F80" s="18" t="n"/>
      <c r="G80" s="18" t="n"/>
      <c r="H80" s="18" t="n"/>
      <c r="I80" s="18" t="n"/>
      <c r="J80" s="18" t="n"/>
      <c r="K80" s="18" t="n"/>
    </row>
    <row r="81">
      <c r="A81" s="18" t="n"/>
      <c r="B81" s="18" t="n"/>
      <c r="C81" s="18" t="n"/>
      <c r="D81" s="18" t="n"/>
      <c r="E81" s="18" t="n"/>
      <c r="F81" s="18" t="n"/>
      <c r="G81" s="18" t="n"/>
      <c r="H81" s="18" t="n"/>
      <c r="I81" s="18" t="n"/>
      <c r="J81" s="18" t="n"/>
      <c r="K81" s="18" t="n"/>
    </row>
    <row r="82">
      <c r="A82" s="18" t="n"/>
      <c r="B82" s="18" t="n"/>
      <c r="C82" s="18" t="n"/>
      <c r="D82" s="18" t="n"/>
      <c r="E82" s="18" t="n"/>
      <c r="F82" s="18" t="n"/>
      <c r="G82" s="18" t="n"/>
      <c r="H82" s="18" t="n"/>
      <c r="I82" s="18" t="n"/>
      <c r="J82" s="18" t="n"/>
      <c r="K82" s="18" t="n"/>
    </row>
    <row r="83">
      <c r="A83" s="18" t="n"/>
      <c r="B83" s="18" t="n"/>
      <c r="C83" s="18" t="n"/>
      <c r="D83" s="18" t="n"/>
      <c r="E83" s="18" t="n"/>
      <c r="F83" s="18" t="n"/>
      <c r="G83" s="18" t="n"/>
      <c r="H83" s="18" t="n"/>
      <c r="I83" s="18" t="n"/>
      <c r="J83" s="18" t="n"/>
      <c r="K83" s="18" t="n"/>
    </row>
    <row r="84">
      <c r="A84" s="18" t="n"/>
      <c r="B84" s="18" t="n"/>
      <c r="C84" s="18" t="n"/>
      <c r="D84" s="18" t="n"/>
      <c r="E84" s="18" t="n"/>
      <c r="F84" s="18" t="n"/>
      <c r="G84" s="18" t="n"/>
      <c r="H84" s="18" t="n"/>
      <c r="I84" s="18" t="n"/>
      <c r="J84" s="18" t="n"/>
      <c r="K84" s="18" t="n"/>
    </row>
    <row r="85">
      <c r="A85" s="18" t="n"/>
      <c r="B85" s="18" t="n"/>
      <c r="C85" s="18" t="n"/>
      <c r="D85" s="18" t="n"/>
      <c r="E85" s="18" t="n"/>
      <c r="F85" s="18" t="n"/>
      <c r="G85" s="18" t="n"/>
      <c r="H85" s="18" t="n"/>
      <c r="I85" s="18" t="n"/>
      <c r="J85" s="18" t="n"/>
      <c r="K85" s="18" t="n"/>
    </row>
    <row r="86">
      <c r="A86" s="18" t="n"/>
      <c r="B86" s="18" t="n"/>
      <c r="C86" s="18" t="n"/>
      <c r="D86" s="18" t="n"/>
      <c r="E86" s="18" t="n"/>
      <c r="F86" s="18" t="n"/>
      <c r="G86" s="18" t="n"/>
      <c r="H86" s="18" t="n"/>
      <c r="I86" s="18" t="n"/>
      <c r="J86" s="18" t="n"/>
      <c r="K86" s="18" t="n"/>
    </row>
    <row r="87">
      <c r="A87" s="18" t="n"/>
      <c r="B87" s="18" t="n"/>
      <c r="C87" s="18" t="n"/>
      <c r="D87" s="18" t="n"/>
      <c r="E87" s="18" t="n"/>
      <c r="F87" s="18" t="n"/>
      <c r="G87" s="18" t="n"/>
      <c r="H87" s="18" t="n"/>
      <c r="I87" s="18" t="n"/>
      <c r="J87" s="18" t="n"/>
      <c r="K87" s="18" t="n"/>
    </row>
    <row r="88">
      <c r="A88" s="18" t="n"/>
      <c r="B88" s="18" t="n"/>
      <c r="C88" s="18" t="n"/>
      <c r="D88" s="18" t="n"/>
      <c r="E88" s="18" t="n"/>
      <c r="F88" s="18" t="n"/>
      <c r="G88" s="18" t="n"/>
      <c r="H88" s="18" t="n"/>
      <c r="I88" s="18" t="n"/>
      <c r="J88" s="18" t="n"/>
      <c r="K88" s="18" t="n"/>
    </row>
    <row r="89">
      <c r="A89" s="18" t="n"/>
      <c r="B89" s="18" t="n"/>
      <c r="C89" s="18" t="n"/>
      <c r="D89" s="18" t="n"/>
      <c r="E89" s="18" t="n"/>
      <c r="F89" s="18" t="n"/>
      <c r="G89" s="18" t="n"/>
      <c r="H89" s="18" t="n"/>
      <c r="I89" s="18" t="n"/>
      <c r="J89" s="18" t="n"/>
      <c r="K89" s="18" t="n"/>
    </row>
    <row r="90">
      <c r="A90" s="18" t="n"/>
      <c r="B90" s="18" t="n"/>
      <c r="C90" s="18" t="n"/>
      <c r="D90" s="18" t="n"/>
      <c r="E90" s="18" t="n"/>
      <c r="F90" s="18" t="n"/>
      <c r="G90" s="18" t="n"/>
      <c r="H90" s="18" t="n"/>
      <c r="I90" s="18" t="n"/>
      <c r="J90" s="18" t="n"/>
      <c r="K90" s="18" t="n"/>
    </row>
    <row r="91">
      <c r="A91" s="18" t="n"/>
      <c r="B91" s="18" t="n"/>
      <c r="C91" s="18" t="n"/>
      <c r="D91" s="18" t="n"/>
      <c r="E91" s="18" t="n"/>
      <c r="F91" s="18" t="n"/>
      <c r="G91" s="18" t="n"/>
      <c r="H91" s="18" t="n"/>
      <c r="I91" s="18" t="n"/>
      <c r="J91" s="18" t="n"/>
      <c r="K91" s="18" t="n"/>
    </row>
    <row r="92">
      <c r="A92" s="18" t="n"/>
      <c r="B92" s="18" t="n"/>
      <c r="C92" s="18" t="n"/>
      <c r="D92" s="18" t="n"/>
      <c r="E92" s="18" t="n"/>
      <c r="F92" s="18" t="n"/>
      <c r="G92" s="18" t="n"/>
      <c r="H92" s="18" t="n"/>
      <c r="I92" s="18" t="n"/>
      <c r="J92" s="18" t="n"/>
      <c r="K92" s="18" t="n"/>
    </row>
    <row r="93">
      <c r="A93" s="18" t="n"/>
      <c r="B93" s="18" t="n"/>
      <c r="C93" s="18" t="n"/>
      <c r="D93" s="18" t="n"/>
      <c r="E93" s="18" t="n"/>
      <c r="F93" s="18" t="n"/>
      <c r="G93" s="18" t="n"/>
      <c r="H93" s="18" t="n"/>
      <c r="I93" s="18" t="n"/>
      <c r="J93" s="18" t="n"/>
      <c r="K93" s="18" t="n"/>
    </row>
    <row r="94">
      <c r="A94" s="18" t="n"/>
      <c r="B94" s="18" t="n"/>
      <c r="C94" s="18" t="n"/>
      <c r="D94" s="18" t="n"/>
      <c r="E94" s="18" t="n"/>
      <c r="F94" s="18" t="n"/>
      <c r="G94" s="18" t="n"/>
      <c r="H94" s="18" t="n"/>
      <c r="I94" s="18" t="n"/>
      <c r="J94" s="18" t="n"/>
      <c r="K94" s="18" t="n"/>
    </row>
    <row r="95">
      <c r="A95" s="18" t="n"/>
      <c r="B95" s="18" t="n"/>
      <c r="C95" s="18" t="n"/>
      <c r="D95" s="18" t="n"/>
      <c r="E95" s="18" t="n"/>
      <c r="F95" s="18" t="n"/>
      <c r="G95" s="18" t="n"/>
      <c r="H95" s="18" t="n"/>
      <c r="I95" s="18" t="n"/>
      <c r="J95" s="18" t="n"/>
      <c r="K95" s="18" t="n"/>
    </row>
    <row r="96">
      <c r="A96" s="18" t="n"/>
      <c r="B96" s="18" t="n"/>
      <c r="C96" s="18" t="n"/>
      <c r="D96" s="18" t="n"/>
      <c r="E96" s="18" t="n"/>
      <c r="F96" s="18" t="n"/>
      <c r="G96" s="18" t="n"/>
      <c r="H96" s="18" t="n"/>
      <c r="I96" s="18" t="n"/>
      <c r="J96" s="18" t="n"/>
      <c r="K96" s="18" t="n"/>
    </row>
    <row r="97">
      <c r="A97" s="18" t="n"/>
      <c r="B97" s="18" t="n"/>
      <c r="C97" s="18" t="n"/>
      <c r="D97" s="18" t="n"/>
      <c r="E97" s="18" t="n"/>
      <c r="F97" s="18" t="n"/>
      <c r="G97" s="18" t="n"/>
      <c r="H97" s="18" t="n"/>
      <c r="I97" s="18" t="n"/>
      <c r="J97" s="18" t="n"/>
      <c r="K97" s="18" t="n"/>
    </row>
    <row r="98">
      <c r="A98" s="18" t="n"/>
      <c r="B98" s="18" t="n"/>
      <c r="C98" s="18" t="n"/>
      <c r="D98" s="18" t="n"/>
      <c r="E98" s="18" t="n"/>
      <c r="F98" s="18" t="n"/>
      <c r="G98" s="18" t="n"/>
      <c r="H98" s="18" t="n"/>
      <c r="I98" s="18" t="n"/>
      <c r="J98" s="18" t="n"/>
      <c r="K98" s="18" t="n"/>
    </row>
    <row r="99">
      <c r="A99" s="18" t="n"/>
      <c r="B99" s="18" t="n"/>
      <c r="C99" s="18" t="n"/>
      <c r="D99" s="18" t="n"/>
      <c r="E99" s="18" t="n"/>
      <c r="F99" s="18" t="n"/>
      <c r="G99" s="18" t="n"/>
      <c r="H99" s="18" t="n"/>
      <c r="I99" s="18" t="n"/>
      <c r="J99" s="18" t="n"/>
      <c r="K99" s="18" t="n"/>
    </row>
    <row r="100">
      <c r="A100" s="18" t="n"/>
      <c r="B100" s="18" t="n"/>
      <c r="C100" s="18" t="n"/>
      <c r="D100" s="18" t="n"/>
      <c r="E100" s="18" t="n"/>
      <c r="F100" s="18" t="n"/>
      <c r="G100" s="18" t="n"/>
      <c r="H100" s="18" t="n"/>
      <c r="I100" s="18" t="n"/>
      <c r="J100" s="18" t="n"/>
      <c r="K100" s="18" t="n"/>
    </row>
    <row r="101">
      <c r="A101" s="18" t="n"/>
      <c r="B101" s="18" t="n"/>
      <c r="C101" s="18" t="n"/>
      <c r="D101" s="18" t="n"/>
      <c r="E101" s="18" t="n"/>
      <c r="F101" s="18" t="n"/>
      <c r="G101" s="18" t="n"/>
      <c r="H101" s="18" t="n"/>
      <c r="I101" s="18" t="n"/>
      <c r="J101" s="18" t="n"/>
      <c r="K101" s="18" t="n"/>
    </row>
    <row r="102">
      <c r="A102" s="18" t="n"/>
      <c r="B102" s="18" t="n"/>
      <c r="C102" s="18" t="n"/>
      <c r="D102" s="18" t="n"/>
      <c r="E102" s="18" t="n"/>
      <c r="F102" s="18" t="n"/>
      <c r="G102" s="18" t="n"/>
      <c r="H102" s="18" t="n"/>
      <c r="I102" s="18" t="n"/>
      <c r="J102" s="18" t="n"/>
      <c r="K102" s="18" t="n"/>
    </row>
    <row r="103">
      <c r="A103" s="18" t="n"/>
      <c r="B103" s="18" t="n"/>
      <c r="C103" s="18" t="n"/>
      <c r="D103" s="18" t="n"/>
      <c r="E103" s="18" t="n"/>
      <c r="F103" s="18" t="n"/>
      <c r="G103" s="18" t="n"/>
      <c r="H103" s="18" t="n"/>
      <c r="I103" s="18" t="n"/>
      <c r="J103" s="18" t="n"/>
      <c r="K103" s="18" t="n"/>
    </row>
    <row r="104">
      <c r="A104" s="18" t="n"/>
      <c r="B104" s="18" t="n"/>
      <c r="C104" s="18" t="n"/>
      <c r="D104" s="18" t="n"/>
      <c r="E104" s="18" t="n"/>
      <c r="F104" s="18" t="n"/>
      <c r="G104" s="18" t="n"/>
      <c r="H104" s="18" t="n"/>
      <c r="I104" s="18" t="n"/>
      <c r="J104" s="18" t="n"/>
      <c r="K104" s="18" t="n"/>
    </row>
    <row r="105">
      <c r="A105" s="18" t="n"/>
      <c r="B105" s="18" t="n"/>
      <c r="C105" s="18" t="n"/>
      <c r="D105" s="18" t="n"/>
      <c r="E105" s="18" t="n"/>
      <c r="F105" s="18" t="n"/>
      <c r="G105" s="18" t="n"/>
      <c r="H105" s="18" t="n"/>
      <c r="I105" s="18" t="n"/>
      <c r="J105" s="18" t="n"/>
      <c r="K105" s="18" t="n"/>
    </row>
    <row r="106">
      <c r="A106" s="18" t="n"/>
      <c r="B106" s="18" t="n"/>
      <c r="C106" s="18" t="n"/>
      <c r="D106" s="18" t="n"/>
      <c r="E106" s="18" t="n"/>
      <c r="F106" s="18" t="n"/>
      <c r="G106" s="18" t="n"/>
      <c r="H106" s="18" t="n"/>
      <c r="I106" s="18" t="n"/>
      <c r="J106" s="18" t="n"/>
      <c r="K106" s="18" t="n"/>
    </row>
    <row r="107">
      <c r="A107" s="18" t="n"/>
      <c r="B107" s="18" t="n"/>
      <c r="C107" s="18" t="n"/>
      <c r="D107" s="18" t="n"/>
      <c r="E107" s="18" t="n"/>
      <c r="F107" s="18" t="n"/>
      <c r="G107" s="18" t="n"/>
      <c r="H107" s="18" t="n"/>
      <c r="I107" s="18" t="n"/>
      <c r="J107" s="18" t="n"/>
      <c r="K107" s="18" t="n"/>
    </row>
    <row r="108">
      <c r="A108" s="18" t="n"/>
      <c r="B108" s="18" t="n"/>
      <c r="C108" s="18" t="n"/>
      <c r="D108" s="18" t="n"/>
      <c r="E108" s="18" t="n"/>
      <c r="F108" s="18" t="n"/>
      <c r="G108" s="18" t="n"/>
      <c r="H108" s="18" t="n"/>
      <c r="I108" s="18" t="n"/>
      <c r="J108" s="18" t="n"/>
      <c r="K108" s="18" t="n"/>
    </row>
    <row r="109">
      <c r="A109" s="18" t="n"/>
      <c r="B109" s="18" t="n"/>
      <c r="C109" s="18" t="n"/>
      <c r="D109" s="18" t="n"/>
      <c r="E109" s="18" t="n"/>
      <c r="F109" s="18" t="n"/>
      <c r="G109" s="18" t="n"/>
      <c r="H109" s="18" t="n"/>
      <c r="I109" s="18" t="n"/>
      <c r="J109" s="18" t="n"/>
      <c r="K109" s="18" t="n"/>
    </row>
    <row r="110">
      <c r="A110" s="18" t="n"/>
      <c r="B110" s="18" t="n"/>
      <c r="C110" s="18" t="n"/>
      <c r="D110" s="18" t="n"/>
      <c r="E110" s="18" t="n"/>
      <c r="F110" s="18" t="n"/>
      <c r="G110" s="18" t="n"/>
      <c r="H110" s="18" t="n"/>
      <c r="I110" s="18" t="n"/>
      <c r="J110" s="18" t="n"/>
      <c r="K110" s="18" t="n"/>
    </row>
    <row r="111">
      <c r="A111" s="18" t="n"/>
      <c r="B111" s="18" t="n"/>
      <c r="C111" s="18" t="n"/>
      <c r="D111" s="18" t="n"/>
      <c r="E111" s="18" t="n"/>
      <c r="F111" s="18" t="n"/>
      <c r="G111" s="18" t="n"/>
      <c r="H111" s="18" t="n"/>
      <c r="I111" s="18" t="n"/>
      <c r="J111" s="18" t="n"/>
      <c r="K111" s="18" t="n"/>
    </row>
    <row r="112">
      <c r="A112" s="18" t="n"/>
      <c r="B112" s="18" t="n"/>
      <c r="C112" s="18" t="n"/>
      <c r="D112" s="18" t="n"/>
      <c r="E112" s="18" t="n"/>
      <c r="F112" s="18" t="n"/>
      <c r="G112" s="18" t="n"/>
      <c r="H112" s="18" t="n"/>
      <c r="I112" s="18" t="n"/>
      <c r="J112" s="18" t="n"/>
      <c r="K112" s="18" t="n"/>
    </row>
    <row r="113">
      <c r="A113" s="18" t="n"/>
      <c r="B113" s="18" t="n"/>
      <c r="C113" s="18" t="n"/>
      <c r="D113" s="18" t="n"/>
      <c r="E113" s="18" t="n"/>
      <c r="F113" s="18" t="n"/>
      <c r="G113" s="18" t="n"/>
      <c r="H113" s="18" t="n"/>
      <c r="I113" s="18" t="n"/>
      <c r="J113" s="18" t="n"/>
      <c r="K113" s="18" t="n"/>
    </row>
    <row r="114">
      <c r="A114" s="18" t="n"/>
      <c r="B114" s="18" t="n"/>
      <c r="C114" s="18" t="n"/>
      <c r="D114" s="18" t="n"/>
      <c r="E114" s="18" t="n"/>
      <c r="F114" s="18" t="n"/>
      <c r="G114" s="18" t="n"/>
      <c r="H114" s="18" t="n"/>
      <c r="I114" s="18" t="n"/>
      <c r="J114" s="18" t="n"/>
      <c r="K114" s="18" t="n"/>
    </row>
    <row r="115">
      <c r="A115" s="18" t="n"/>
      <c r="B115" s="18" t="n"/>
      <c r="C115" s="18" t="n"/>
      <c r="D115" s="18" t="n"/>
      <c r="E115" s="18" t="n"/>
      <c r="F115" s="18" t="n"/>
      <c r="G115" s="18" t="n"/>
      <c r="H115" s="18" t="n"/>
      <c r="I115" s="18" t="n"/>
      <c r="J115" s="18" t="n"/>
      <c r="K115" s="18" t="n"/>
    </row>
    <row r="116">
      <c r="A116" s="18" t="n"/>
      <c r="B116" s="18" t="n"/>
      <c r="C116" s="18" t="n"/>
      <c r="D116" s="18" t="n"/>
      <c r="E116" s="18" t="n"/>
      <c r="F116" s="18" t="n"/>
      <c r="G116" s="18" t="n"/>
      <c r="H116" s="18" t="n"/>
      <c r="I116" s="18" t="n"/>
      <c r="J116" s="18" t="n"/>
      <c r="K116" s="18" t="n"/>
    </row>
    <row r="117">
      <c r="A117" s="18" t="n"/>
      <c r="B117" s="18" t="n"/>
      <c r="C117" s="18" t="n"/>
      <c r="D117" s="18" t="n"/>
      <c r="E117" s="18" t="n"/>
      <c r="F117" s="18" t="n"/>
      <c r="G117" s="18" t="n"/>
      <c r="H117" s="18" t="n"/>
      <c r="I117" s="18" t="n"/>
      <c r="J117" s="18" t="n"/>
      <c r="K117" s="18" t="n"/>
    </row>
    <row r="118">
      <c r="A118" s="18" t="n"/>
      <c r="B118" s="18" t="n"/>
      <c r="C118" s="18" t="n"/>
      <c r="D118" s="18" t="n"/>
      <c r="E118" s="18" t="n"/>
      <c r="F118" s="18" t="n"/>
      <c r="G118" s="18" t="n"/>
      <c r="H118" s="18" t="n"/>
      <c r="I118" s="18" t="n"/>
      <c r="J118" s="18" t="n"/>
      <c r="K118" s="18" t="n"/>
    </row>
    <row r="119">
      <c r="A119" s="18" t="n"/>
      <c r="B119" s="18" t="n"/>
      <c r="C119" s="18" t="n"/>
      <c r="D119" s="18" t="n"/>
      <c r="E119" s="18" t="n"/>
      <c r="F119" s="18" t="n"/>
      <c r="G119" s="18" t="n"/>
      <c r="H119" s="18" t="n"/>
      <c r="I119" s="18" t="n"/>
      <c r="J119" s="18" t="n"/>
      <c r="K119" s="18" t="n"/>
    </row>
    <row r="120">
      <c r="A120" s="18" t="n"/>
      <c r="B120" s="18" t="n"/>
      <c r="C120" s="18" t="n"/>
      <c r="D120" s="18" t="n"/>
      <c r="E120" s="18" t="n"/>
      <c r="F120" s="18" t="n"/>
      <c r="G120" s="18" t="n"/>
      <c r="H120" s="18" t="n"/>
      <c r="I120" s="18" t="n"/>
      <c r="J120" s="18" t="n"/>
      <c r="K120" s="18" t="n"/>
    </row>
    <row r="121">
      <c r="A121" s="18" t="n"/>
      <c r="B121" s="18" t="n"/>
      <c r="C121" s="18" t="n"/>
      <c r="D121" s="18" t="n"/>
      <c r="E121" s="18" t="n"/>
      <c r="F121" s="18" t="n"/>
      <c r="G121" s="18" t="n"/>
      <c r="H121" s="18" t="n"/>
      <c r="I121" s="18" t="n"/>
      <c r="J121" s="18" t="n"/>
      <c r="K121" s="18" t="n"/>
    </row>
    <row r="122">
      <c r="A122" s="18" t="n"/>
      <c r="B122" s="18" t="n"/>
      <c r="C122" s="18" t="n"/>
      <c r="D122" s="18" t="n"/>
      <c r="E122" s="18" t="n"/>
      <c r="F122" s="18" t="n"/>
      <c r="G122" s="18" t="n"/>
      <c r="H122" s="18" t="n"/>
      <c r="I122" s="18" t="n"/>
      <c r="J122" s="18" t="n"/>
      <c r="K122" s="18" t="n"/>
    </row>
    <row r="123">
      <c r="A123" s="18" t="n"/>
      <c r="B123" s="18" t="n"/>
      <c r="C123" s="18" t="n"/>
      <c r="D123" s="18" t="n"/>
      <c r="E123" s="18" t="n"/>
      <c r="F123" s="18" t="n"/>
      <c r="G123" s="18" t="n"/>
      <c r="H123" s="18" t="n"/>
      <c r="I123" s="18" t="n"/>
      <c r="J123" s="18" t="n"/>
      <c r="K123" s="18" t="n"/>
    </row>
    <row r="124">
      <c r="A124" s="18" t="n"/>
      <c r="B124" s="18" t="n"/>
      <c r="C124" s="18" t="n"/>
      <c r="D124" s="18" t="n"/>
      <c r="E124" s="18" t="n"/>
      <c r="F124" s="18" t="n"/>
      <c r="G124" s="18" t="n"/>
      <c r="H124" s="18" t="n"/>
      <c r="I124" s="18" t="n"/>
      <c r="J124" s="18" t="n"/>
      <c r="K124" s="18" t="n"/>
    </row>
    <row r="125">
      <c r="A125" s="18" t="n"/>
      <c r="B125" s="18" t="n"/>
      <c r="C125" s="18" t="n"/>
      <c r="D125" s="18" t="n"/>
      <c r="E125" s="18" t="n"/>
      <c r="F125" s="18" t="n"/>
      <c r="G125" s="18" t="n"/>
      <c r="H125" s="18" t="n"/>
      <c r="I125" s="18" t="n"/>
      <c r="J125" s="18" t="n"/>
      <c r="K125" s="18" t="n"/>
    </row>
    <row r="126">
      <c r="A126" s="18" t="n"/>
      <c r="B126" s="18" t="n"/>
      <c r="C126" s="18" t="n"/>
      <c r="D126" s="18" t="n"/>
      <c r="E126" s="18" t="n"/>
      <c r="F126" s="18" t="n"/>
      <c r="G126" s="18" t="n"/>
      <c r="H126" s="18" t="n"/>
      <c r="I126" s="18" t="n"/>
      <c r="J126" s="18" t="n"/>
      <c r="K126" s="18" t="n"/>
    </row>
    <row r="127">
      <c r="A127" s="18" t="n"/>
      <c r="B127" s="18" t="n"/>
      <c r="C127" s="18" t="n"/>
      <c r="D127" s="18" t="n"/>
      <c r="E127" s="18" t="n"/>
      <c r="F127" s="18" t="n"/>
      <c r="G127" s="18" t="n"/>
      <c r="H127" s="18" t="n"/>
      <c r="I127" s="18" t="n"/>
      <c r="J127" s="18" t="n"/>
      <c r="K127" s="18" t="n"/>
    </row>
    <row r="128">
      <c r="A128" s="18" t="n"/>
      <c r="B128" s="18" t="n"/>
      <c r="C128" s="18" t="n"/>
      <c r="D128" s="18" t="n"/>
      <c r="E128" s="18" t="n"/>
      <c r="F128" s="18" t="n"/>
      <c r="G128" s="18" t="n"/>
      <c r="H128" s="18" t="n"/>
      <c r="I128" s="18" t="n"/>
      <c r="J128" s="18" t="n"/>
      <c r="K128" s="18" t="n"/>
    </row>
    <row r="129">
      <c r="A129" s="18" t="n"/>
      <c r="B129" s="18" t="n"/>
      <c r="C129" s="18" t="n"/>
      <c r="D129" s="18" t="n"/>
      <c r="E129" s="18" t="n"/>
      <c r="F129" s="18" t="n"/>
      <c r="G129" s="18" t="n"/>
      <c r="H129" s="18" t="n"/>
      <c r="I129" s="18" t="n"/>
      <c r="J129" s="18" t="n"/>
      <c r="K129" s="18" t="n"/>
    </row>
    <row r="130">
      <c r="A130" s="18" t="n"/>
      <c r="B130" s="18" t="n"/>
      <c r="C130" s="18" t="n"/>
      <c r="D130" s="18" t="n"/>
      <c r="E130" s="18" t="n"/>
      <c r="F130" s="18" t="n"/>
      <c r="G130" s="18" t="n"/>
      <c r="H130" s="18" t="n"/>
      <c r="I130" s="18" t="n"/>
      <c r="J130" s="18" t="n"/>
      <c r="K130" s="18" t="n"/>
    </row>
    <row r="131">
      <c r="A131" s="18" t="n"/>
      <c r="B131" s="18" t="n"/>
      <c r="C131" s="18" t="n"/>
      <c r="D131" s="18" t="n"/>
      <c r="E131" s="18" t="n"/>
      <c r="F131" s="18" t="n"/>
      <c r="G131" s="18" t="n"/>
      <c r="H131" s="18" t="n"/>
      <c r="I131" s="18" t="n"/>
      <c r="J131" s="18" t="n"/>
      <c r="K131" s="18" t="n"/>
    </row>
    <row r="132">
      <c r="A132" s="18" t="n"/>
      <c r="B132" s="18" t="n"/>
      <c r="C132" s="18" t="n"/>
      <c r="D132" s="18" t="n"/>
      <c r="E132" s="18" t="n"/>
      <c r="F132" s="18" t="n"/>
      <c r="G132" s="18" t="n"/>
      <c r="H132" s="18" t="n"/>
      <c r="I132" s="18" t="n"/>
      <c r="J132" s="18" t="n"/>
      <c r="K132" s="18" t="n"/>
    </row>
    <row r="133">
      <c r="A133" s="18" t="n"/>
      <c r="B133" s="18" t="n"/>
      <c r="C133" s="18" t="n"/>
      <c r="D133" s="18" t="n"/>
      <c r="E133" s="18" t="n"/>
      <c r="F133" s="18" t="n"/>
      <c r="G133" s="18" t="n"/>
      <c r="H133" s="18" t="n"/>
      <c r="I133" s="18" t="n"/>
      <c r="J133" s="18" t="n"/>
      <c r="K133" s="18" t="n"/>
    </row>
    <row r="134">
      <c r="A134" s="18" t="n"/>
      <c r="B134" s="18" t="n"/>
      <c r="C134" s="18" t="n"/>
      <c r="D134" s="18" t="n"/>
      <c r="E134" s="18" t="n"/>
      <c r="F134" s="18" t="n"/>
      <c r="G134" s="18" t="n"/>
      <c r="H134" s="18" t="n"/>
      <c r="I134" s="18" t="n"/>
      <c r="J134" s="18" t="n"/>
      <c r="K134" s="18" t="n"/>
    </row>
    <row r="135">
      <c r="A135" s="18" t="n"/>
      <c r="B135" s="18" t="n"/>
      <c r="C135" s="18" t="n"/>
      <c r="D135" s="18" t="n"/>
      <c r="E135" s="18" t="n"/>
      <c r="F135" s="18" t="n"/>
      <c r="G135" s="18" t="n"/>
      <c r="H135" s="18" t="n"/>
      <c r="I135" s="18" t="n"/>
      <c r="J135" s="18" t="n"/>
      <c r="K135" s="18" t="n"/>
    </row>
    <row r="136">
      <c r="A136" s="18" t="n"/>
      <c r="B136" s="18" t="n"/>
      <c r="C136" s="18" t="n"/>
      <c r="D136" s="18" t="n"/>
      <c r="E136" s="18" t="n"/>
      <c r="F136" s="18" t="n"/>
      <c r="G136" s="18" t="n"/>
      <c r="H136" s="18" t="n"/>
      <c r="I136" s="18" t="n"/>
      <c r="J136" s="18" t="n"/>
      <c r="K136" s="18" t="n"/>
    </row>
    <row r="137">
      <c r="A137" s="18" t="n"/>
      <c r="B137" s="18" t="n"/>
      <c r="C137" s="18" t="n"/>
      <c r="D137" s="18" t="n"/>
      <c r="E137" s="18" t="n"/>
      <c r="F137" s="18" t="n"/>
      <c r="G137" s="18" t="n"/>
      <c r="H137" s="18" t="n"/>
      <c r="I137" s="18" t="n"/>
      <c r="J137" s="18" t="n"/>
      <c r="K137" s="18" t="n"/>
    </row>
    <row r="138">
      <c r="A138" s="18" t="n"/>
      <c r="B138" s="18" t="n"/>
      <c r="C138" s="18" t="n"/>
      <c r="D138" s="18" t="n"/>
      <c r="E138" s="18" t="n"/>
      <c r="F138" s="18" t="n"/>
      <c r="G138" s="18" t="n"/>
      <c r="H138" s="18" t="n"/>
      <c r="I138" s="18" t="n"/>
      <c r="J138" s="18" t="n"/>
      <c r="K138" s="18" t="n"/>
    </row>
    <row r="139">
      <c r="A139" s="18" t="n"/>
      <c r="B139" s="18" t="n"/>
      <c r="C139" s="18" t="n"/>
      <c r="D139" s="18" t="n"/>
      <c r="E139" s="18" t="n"/>
      <c r="F139" s="18" t="n"/>
      <c r="G139" s="18" t="n"/>
      <c r="H139" s="18" t="n"/>
      <c r="I139" s="18" t="n"/>
      <c r="J139" s="18" t="n"/>
      <c r="K139" s="18" t="n"/>
    </row>
    <row r="140">
      <c r="A140" s="18" t="n"/>
      <c r="B140" s="18" t="n"/>
      <c r="C140" s="18" t="n"/>
      <c r="D140" s="18" t="n"/>
      <c r="E140" s="18" t="n"/>
      <c r="F140" s="18" t="n"/>
      <c r="G140" s="18" t="n"/>
      <c r="H140" s="18" t="n"/>
      <c r="I140" s="18" t="n"/>
      <c r="J140" s="18" t="n"/>
      <c r="K140" s="18" t="n"/>
    </row>
    <row r="141">
      <c r="A141" s="18" t="n"/>
      <c r="B141" s="18" t="n"/>
      <c r="C141" s="18" t="n"/>
      <c r="D141" s="18" t="n"/>
      <c r="E141" s="18" t="n"/>
      <c r="F141" s="18" t="n"/>
      <c r="G141" s="18" t="n"/>
      <c r="H141" s="18" t="n"/>
      <c r="I141" s="18" t="n"/>
      <c r="J141" s="18" t="n"/>
      <c r="K141" s="18" t="n"/>
    </row>
    <row r="142">
      <c r="A142" s="18" t="n"/>
      <c r="B142" s="18" t="n"/>
      <c r="C142" s="18" t="n"/>
      <c r="D142" s="18" t="n"/>
      <c r="E142" s="18" t="n"/>
      <c r="F142" s="18" t="n"/>
      <c r="G142" s="18" t="n"/>
      <c r="H142" s="18" t="n"/>
      <c r="I142" s="18" t="n"/>
      <c r="J142" s="18" t="n"/>
      <c r="K142" s="18" t="n"/>
    </row>
    <row r="143">
      <c r="A143" s="18" t="n"/>
      <c r="B143" s="18" t="n"/>
      <c r="C143" s="18" t="n"/>
      <c r="D143" s="18" t="n"/>
      <c r="E143" s="18" t="n"/>
      <c r="F143" s="18" t="n"/>
      <c r="G143" s="18" t="n"/>
      <c r="H143" s="18" t="n"/>
      <c r="I143" s="18" t="n"/>
      <c r="J143" s="18" t="n"/>
      <c r="K143" s="18" t="n"/>
    </row>
    <row r="144">
      <c r="A144" s="18" t="n"/>
      <c r="B144" s="18" t="n"/>
      <c r="C144" s="18" t="n"/>
      <c r="D144" s="18" t="n"/>
      <c r="E144" s="18" t="n"/>
      <c r="F144" s="18" t="n"/>
      <c r="G144" s="18" t="n"/>
      <c r="H144" s="18" t="n"/>
      <c r="I144" s="18" t="n"/>
      <c r="J144" s="18" t="n"/>
      <c r="K144" s="18" t="n"/>
    </row>
    <row r="145">
      <c r="A145" s="18" t="n"/>
      <c r="B145" s="18" t="n"/>
      <c r="C145" s="18" t="n"/>
      <c r="D145" s="18" t="n"/>
      <c r="E145" s="18" t="n"/>
      <c r="F145" s="18" t="n"/>
      <c r="G145" s="18" t="n"/>
      <c r="H145" s="18" t="n"/>
      <c r="I145" s="18" t="n"/>
      <c r="J145" s="18" t="n"/>
      <c r="K145" s="18" t="n"/>
    </row>
    <row r="146">
      <c r="A146" s="18" t="n"/>
      <c r="B146" s="18" t="n"/>
      <c r="C146" s="18" t="n"/>
      <c r="D146" s="18" t="n"/>
      <c r="E146" s="18" t="n"/>
      <c r="F146" s="18" t="n"/>
      <c r="G146" s="18" t="n"/>
      <c r="H146" s="18" t="n"/>
      <c r="I146" s="18" t="n"/>
      <c r="J146" s="18" t="n"/>
      <c r="K146" s="18" t="n"/>
    </row>
    <row r="147">
      <c r="A147" s="18" t="n"/>
      <c r="B147" s="18" t="n"/>
      <c r="C147" s="18" t="n"/>
      <c r="D147" s="18" t="n"/>
      <c r="E147" s="18" t="n"/>
      <c r="F147" s="18" t="n"/>
      <c r="G147" s="18" t="n"/>
      <c r="H147" s="18" t="n"/>
      <c r="I147" s="18" t="n"/>
      <c r="J147" s="18" t="n"/>
      <c r="K147" s="18" t="n"/>
    </row>
    <row r="148">
      <c r="A148" s="18" t="n"/>
      <c r="B148" s="18" t="n"/>
      <c r="C148" s="18" t="n"/>
      <c r="D148" s="18" t="n"/>
      <c r="E148" s="18" t="n"/>
      <c r="F148" s="18" t="n"/>
      <c r="G148" s="18" t="n"/>
      <c r="H148" s="18" t="n"/>
      <c r="I148" s="18" t="n"/>
      <c r="J148" s="18" t="n"/>
      <c r="K148" s="18" t="n"/>
    </row>
    <row r="149">
      <c r="A149" s="18" t="n"/>
      <c r="B149" s="18" t="n"/>
      <c r="C149" s="18" t="n"/>
      <c r="D149" s="18" t="n"/>
      <c r="E149" s="18" t="n"/>
      <c r="F149" s="18" t="n"/>
      <c r="G149" s="18" t="n"/>
      <c r="H149" s="18" t="n"/>
      <c r="I149" s="18" t="n"/>
      <c r="J149" s="18" t="n"/>
      <c r="K149" s="18" t="n"/>
    </row>
    <row r="150">
      <c r="A150" s="18" t="n"/>
      <c r="B150" s="18" t="n"/>
      <c r="C150" s="18" t="n"/>
      <c r="D150" s="18" t="n"/>
      <c r="E150" s="18" t="n"/>
      <c r="F150" s="18" t="n"/>
      <c r="G150" s="18" t="n"/>
      <c r="H150" s="18" t="n"/>
      <c r="I150" s="18" t="n"/>
      <c r="J150" s="18" t="n"/>
      <c r="K150" s="18" t="n"/>
    </row>
    <row r="151">
      <c r="A151" s="18" t="n"/>
      <c r="B151" s="18" t="n"/>
      <c r="C151" s="18" t="n"/>
      <c r="D151" s="18" t="n"/>
      <c r="E151" s="18" t="n"/>
      <c r="F151" s="18" t="n"/>
      <c r="G151" s="18" t="n"/>
      <c r="H151" s="18" t="n"/>
      <c r="I151" s="18" t="n"/>
      <c r="J151" s="18" t="n"/>
      <c r="K151" s="18" t="n"/>
    </row>
    <row r="152">
      <c r="A152" s="18" t="n"/>
      <c r="B152" s="18" t="n"/>
      <c r="C152" s="18" t="n"/>
      <c r="D152" s="18" t="n"/>
      <c r="E152" s="18" t="n"/>
      <c r="F152" s="18" t="n"/>
      <c r="G152" s="18" t="n"/>
      <c r="H152" s="18" t="n"/>
      <c r="I152" s="18" t="n"/>
      <c r="J152" s="18" t="n"/>
      <c r="K152" s="18" t="n"/>
    </row>
    <row r="153">
      <c r="A153" s="18" t="n"/>
      <c r="B153" s="18" t="n"/>
      <c r="C153" s="18" t="n"/>
      <c r="D153" s="18" t="n"/>
      <c r="E153" s="18" t="n"/>
      <c r="F153" s="18" t="n"/>
      <c r="G153" s="18" t="n"/>
      <c r="H153" s="18" t="n"/>
      <c r="I153" s="18" t="n"/>
      <c r="J153" s="18" t="n"/>
      <c r="K153" s="18" t="n"/>
    </row>
    <row r="154">
      <c r="A154" s="18" t="n"/>
      <c r="B154" s="18" t="n"/>
      <c r="C154" s="18" t="n"/>
      <c r="D154" s="18" t="n"/>
      <c r="E154" s="18" t="n"/>
      <c r="F154" s="18" t="n"/>
      <c r="G154" s="18" t="n"/>
      <c r="H154" s="18" t="n"/>
      <c r="I154" s="18" t="n"/>
      <c r="J154" s="18" t="n"/>
      <c r="K154" s="18" t="n"/>
    </row>
    <row r="155">
      <c r="A155" s="18" t="n"/>
      <c r="B155" s="18" t="n"/>
      <c r="C155" s="18" t="n"/>
      <c r="D155" s="18" t="n"/>
      <c r="E155" s="18" t="n"/>
      <c r="F155" s="18" t="n"/>
      <c r="G155" s="18" t="n"/>
      <c r="H155" s="18" t="n"/>
      <c r="I155" s="18" t="n"/>
      <c r="J155" s="18" t="n"/>
      <c r="K155" s="18" t="n"/>
    </row>
    <row r="156">
      <c r="A156" s="18" t="n"/>
      <c r="B156" s="18" t="n"/>
      <c r="C156" s="18" t="n"/>
      <c r="D156" s="18" t="n"/>
      <c r="E156" s="18" t="n"/>
      <c r="F156" s="18" t="n"/>
      <c r="G156" s="18" t="n"/>
      <c r="H156" s="18" t="n"/>
      <c r="I156" s="18" t="n"/>
      <c r="J156" s="18" t="n"/>
      <c r="K156" s="18" t="n"/>
    </row>
    <row r="157">
      <c r="A157" s="18" t="n"/>
      <c r="B157" s="18" t="n"/>
      <c r="C157" s="18" t="n"/>
      <c r="D157" s="18" t="n"/>
      <c r="E157" s="18" t="n"/>
      <c r="F157" s="18" t="n"/>
      <c r="G157" s="18" t="n"/>
      <c r="H157" s="18" t="n"/>
      <c r="I157" s="18" t="n"/>
      <c r="J157" s="18" t="n"/>
      <c r="K157" s="18" t="n"/>
    </row>
    <row r="158">
      <c r="A158" s="18" t="n"/>
      <c r="B158" s="18" t="n"/>
      <c r="C158" s="18" t="n"/>
      <c r="D158" s="18" t="n"/>
      <c r="E158" s="18" t="n"/>
      <c r="F158" s="18" t="n"/>
      <c r="G158" s="18" t="n"/>
      <c r="H158" s="18" t="n"/>
      <c r="I158" s="18" t="n"/>
      <c r="J158" s="18" t="n"/>
      <c r="K158" s="18" t="n"/>
    </row>
    <row r="159">
      <c r="A159" s="18" t="n"/>
      <c r="B159" s="18" t="n"/>
      <c r="C159" s="18" t="n"/>
      <c r="D159" s="18" t="n"/>
      <c r="E159" s="18" t="n"/>
      <c r="F159" s="18" t="n"/>
      <c r="G159" s="18" t="n"/>
      <c r="H159" s="18" t="n"/>
      <c r="I159" s="18" t="n"/>
      <c r="J159" s="18" t="n"/>
      <c r="K159" s="18" t="n"/>
    </row>
    <row r="160">
      <c r="A160" s="18" t="n"/>
      <c r="B160" s="18" t="n"/>
      <c r="C160" s="18" t="n"/>
      <c r="D160" s="18" t="n"/>
      <c r="E160" s="18" t="n"/>
      <c r="F160" s="18" t="n"/>
      <c r="G160" s="18" t="n"/>
      <c r="H160" s="18" t="n"/>
      <c r="I160" s="18" t="n"/>
      <c r="J160" s="18" t="n"/>
      <c r="K160" s="18" t="n"/>
    </row>
    <row r="161">
      <c r="A161" s="18" t="n"/>
      <c r="B161" s="18" t="n"/>
      <c r="C161" s="18" t="n"/>
      <c r="D161" s="18" t="n"/>
      <c r="E161" s="18" t="n"/>
      <c r="F161" s="18" t="n"/>
      <c r="G161" s="18" t="n"/>
      <c r="H161" s="18" t="n"/>
      <c r="I161" s="18" t="n"/>
      <c r="J161" s="18" t="n"/>
      <c r="K161" s="18" t="n"/>
    </row>
    <row r="162">
      <c r="A162" s="18" t="n"/>
      <c r="B162" s="18" t="n"/>
      <c r="C162" s="18" t="n"/>
      <c r="D162" s="18" t="n"/>
      <c r="E162" s="18" t="n"/>
      <c r="F162" s="18" t="n"/>
      <c r="G162" s="18" t="n"/>
      <c r="H162" s="18" t="n"/>
      <c r="I162" s="18" t="n"/>
      <c r="J162" s="18" t="n"/>
      <c r="K162" s="18" t="n"/>
    </row>
    <row r="163">
      <c r="A163" s="18" t="n"/>
      <c r="B163" s="18" t="n"/>
      <c r="C163" s="18" t="n"/>
      <c r="D163" s="18" t="n"/>
      <c r="E163" s="18" t="n"/>
      <c r="F163" s="18" t="n"/>
      <c r="G163" s="18" t="n"/>
      <c r="H163" s="18" t="n"/>
      <c r="I163" s="18" t="n"/>
      <c r="J163" s="18" t="n"/>
      <c r="K163" s="18" t="n"/>
    </row>
    <row r="164">
      <c r="A164" s="18" t="n"/>
      <c r="B164" s="18" t="n"/>
      <c r="C164" s="18" t="n"/>
      <c r="D164" s="18" t="n"/>
      <c r="E164" s="18" t="n"/>
      <c r="F164" s="18" t="n"/>
      <c r="G164" s="18" t="n"/>
      <c r="H164" s="18" t="n"/>
      <c r="I164" s="18" t="n"/>
      <c r="J164" s="18" t="n"/>
      <c r="K164" s="18" t="n"/>
    </row>
    <row r="165">
      <c r="A165" s="18" t="n"/>
      <c r="B165" s="18" t="n"/>
      <c r="C165" s="18" t="n"/>
      <c r="D165" s="18" t="n"/>
      <c r="E165" s="18" t="n"/>
      <c r="F165" s="18" t="n"/>
      <c r="G165" s="18" t="n"/>
      <c r="H165" s="18" t="n"/>
      <c r="I165" s="18" t="n"/>
      <c r="J165" s="18" t="n"/>
      <c r="K165" s="18" t="n"/>
    </row>
    <row r="166">
      <c r="A166" s="18" t="n"/>
      <c r="B166" s="18" t="n"/>
      <c r="C166" s="18" t="n"/>
      <c r="D166" s="18" t="n"/>
      <c r="E166" s="18" t="n"/>
      <c r="F166" s="18" t="n"/>
      <c r="G166" s="18" t="n"/>
      <c r="H166" s="18" t="n"/>
      <c r="I166" s="18" t="n"/>
      <c r="J166" s="18" t="n"/>
      <c r="K166" s="18" t="n"/>
    </row>
    <row r="167">
      <c r="A167" s="18" t="n"/>
      <c r="B167" s="18" t="n"/>
      <c r="C167" s="18" t="n"/>
      <c r="D167" s="18" t="n"/>
      <c r="E167" s="18" t="n"/>
      <c r="F167" s="18" t="n"/>
      <c r="G167" s="18" t="n"/>
      <c r="H167" s="18" t="n"/>
      <c r="I167" s="18" t="n"/>
      <c r="J167" s="18" t="n"/>
      <c r="K167" s="18" t="n"/>
    </row>
    <row r="168">
      <c r="A168" s="18" t="n"/>
      <c r="B168" s="18" t="n"/>
      <c r="C168" s="18" t="n"/>
      <c r="D168" s="18" t="n"/>
      <c r="E168" s="18" t="n"/>
      <c r="F168" s="18" t="n"/>
      <c r="G168" s="18" t="n"/>
      <c r="H168" s="18" t="n"/>
      <c r="I168" s="18" t="n"/>
      <c r="J168" s="18" t="n"/>
      <c r="K168" s="18" t="n"/>
    </row>
    <row r="169">
      <c r="A169" s="18" t="n"/>
      <c r="B169" s="18" t="n"/>
      <c r="C169" s="18" t="n"/>
      <c r="D169" s="18" t="n"/>
      <c r="E169" s="18" t="n"/>
      <c r="F169" s="18" t="n"/>
      <c r="G169" s="18" t="n"/>
      <c r="H169" s="18" t="n"/>
      <c r="I169" s="18" t="n"/>
      <c r="J169" s="18" t="n"/>
      <c r="K169" s="18" t="n"/>
    </row>
    <row r="170">
      <c r="A170" s="18" t="n"/>
      <c r="B170" s="18" t="n"/>
      <c r="C170" s="18" t="n"/>
      <c r="D170" s="18" t="n"/>
      <c r="E170" s="18" t="n"/>
      <c r="F170" s="18" t="n"/>
      <c r="G170" s="18" t="n"/>
      <c r="H170" s="18" t="n"/>
      <c r="I170" s="18" t="n"/>
      <c r="J170" s="18" t="n"/>
      <c r="K170" s="18" t="n"/>
    </row>
    <row r="171">
      <c r="A171" s="18" t="n"/>
      <c r="B171" s="18" t="n"/>
      <c r="C171" s="18" t="n"/>
      <c r="D171" s="18" t="n"/>
      <c r="E171" s="18" t="n"/>
      <c r="F171" s="18" t="n"/>
      <c r="G171" s="18" t="n"/>
      <c r="H171" s="18" t="n"/>
      <c r="I171" s="18" t="n"/>
      <c r="J171" s="18" t="n"/>
      <c r="K171" s="18" t="n"/>
    </row>
    <row r="172">
      <c r="A172" s="18" t="n"/>
      <c r="B172" s="18" t="n"/>
      <c r="C172" s="18" t="n"/>
      <c r="D172" s="18" t="n"/>
      <c r="E172" s="18" t="n"/>
      <c r="F172" s="18" t="n"/>
      <c r="G172" s="18" t="n"/>
      <c r="H172" s="18" t="n"/>
      <c r="I172" s="18" t="n"/>
      <c r="J172" s="18" t="n"/>
      <c r="K172" s="18" t="n"/>
    </row>
    <row r="173">
      <c r="A173" s="18" t="n"/>
      <c r="B173" s="18" t="n"/>
      <c r="C173" s="18" t="n"/>
      <c r="D173" s="18" t="n"/>
      <c r="E173" s="18" t="n"/>
      <c r="F173" s="18" t="n"/>
      <c r="G173" s="18" t="n"/>
      <c r="H173" s="18" t="n"/>
      <c r="I173" s="18" t="n"/>
      <c r="J173" s="18" t="n"/>
      <c r="K173" s="18" t="n"/>
    </row>
    <row r="174">
      <c r="A174" s="18" t="n"/>
      <c r="B174" s="18" t="n"/>
      <c r="C174" s="18" t="n"/>
      <c r="D174" s="18" t="n"/>
      <c r="E174" s="18" t="n"/>
      <c r="F174" s="18" t="n"/>
      <c r="G174" s="18" t="n"/>
      <c r="H174" s="18" t="n"/>
      <c r="I174" s="18" t="n"/>
      <c r="J174" s="18" t="n"/>
      <c r="K174" s="18" t="n"/>
    </row>
    <row r="175">
      <c r="A175" s="18" t="n"/>
      <c r="B175" s="18" t="n"/>
      <c r="C175" s="18" t="n"/>
      <c r="D175" s="18" t="n"/>
      <c r="E175" s="18" t="n"/>
      <c r="F175" s="18" t="n"/>
      <c r="G175" s="18" t="n"/>
      <c r="H175" s="18" t="n"/>
      <c r="I175" s="18" t="n"/>
      <c r="J175" s="18" t="n"/>
      <c r="K175" s="18" t="n"/>
    </row>
    <row r="176">
      <c r="A176" s="18" t="n"/>
      <c r="B176" s="18" t="n"/>
      <c r="C176" s="18" t="n"/>
      <c r="D176" s="18" t="n"/>
      <c r="E176" s="18" t="n"/>
      <c r="F176" s="18" t="n"/>
      <c r="G176" s="18" t="n"/>
      <c r="H176" s="18" t="n"/>
      <c r="I176" s="18" t="n"/>
      <c r="J176" s="18" t="n"/>
      <c r="K176" s="18" t="n"/>
    </row>
    <row r="177">
      <c r="A177" s="18" t="n"/>
      <c r="B177" s="18" t="n"/>
      <c r="C177" s="18" t="n"/>
      <c r="D177" s="18" t="n"/>
      <c r="E177" s="18" t="n"/>
      <c r="F177" s="18" t="n"/>
      <c r="G177" s="18" t="n"/>
      <c r="H177" s="18" t="n"/>
      <c r="I177" s="18" t="n"/>
      <c r="J177" s="18" t="n"/>
      <c r="K177" s="18" t="n"/>
    </row>
    <row r="178">
      <c r="A178" s="18" t="n"/>
      <c r="B178" s="18" t="n"/>
      <c r="C178" s="18" t="n"/>
      <c r="D178" s="18" t="n"/>
      <c r="E178" s="18" t="n"/>
      <c r="F178" s="18" t="n"/>
      <c r="G178" s="18" t="n"/>
      <c r="H178" s="18" t="n"/>
      <c r="I178" s="18" t="n"/>
      <c r="J178" s="18" t="n"/>
      <c r="K178" s="18" t="n"/>
    </row>
    <row r="179">
      <c r="A179" s="18" t="n"/>
      <c r="B179" s="18" t="n"/>
      <c r="C179" s="18" t="n"/>
      <c r="D179" s="18" t="n"/>
      <c r="E179" s="18" t="n"/>
      <c r="F179" s="18" t="n"/>
      <c r="G179" s="18" t="n"/>
      <c r="H179" s="18" t="n"/>
      <c r="I179" s="18" t="n"/>
      <c r="J179" s="18" t="n"/>
      <c r="K179" s="18" t="n"/>
    </row>
    <row r="180">
      <c r="A180" s="18" t="n"/>
      <c r="B180" s="18" t="n"/>
      <c r="C180" s="18" t="n"/>
      <c r="D180" s="18" t="n"/>
      <c r="E180" s="18" t="n"/>
      <c r="F180" s="18" t="n"/>
      <c r="G180" s="18" t="n"/>
      <c r="H180" s="18" t="n"/>
      <c r="I180" s="18" t="n"/>
      <c r="J180" s="18" t="n"/>
      <c r="K180" s="18" t="n"/>
    </row>
    <row r="181">
      <c r="A181" s="18" t="n"/>
      <c r="B181" s="18" t="n"/>
      <c r="C181" s="18" t="n"/>
      <c r="D181" s="18" t="n"/>
      <c r="E181" s="18" t="n"/>
      <c r="F181" s="18" t="n"/>
      <c r="G181" s="18" t="n"/>
      <c r="H181" s="18" t="n"/>
      <c r="I181" s="18" t="n"/>
      <c r="J181" s="18" t="n"/>
      <c r="K181" s="18" t="n"/>
    </row>
    <row r="182">
      <c r="A182" s="18" t="n"/>
      <c r="B182" s="18" t="n"/>
      <c r="C182" s="18" t="n"/>
      <c r="D182" s="18" t="n"/>
      <c r="E182" s="18" t="n"/>
      <c r="F182" s="18" t="n"/>
      <c r="G182" s="18" t="n"/>
      <c r="H182" s="18" t="n"/>
      <c r="I182" s="18" t="n"/>
      <c r="J182" s="18" t="n"/>
      <c r="K182" s="18" t="n"/>
    </row>
    <row r="183">
      <c r="A183" s="18" t="n"/>
      <c r="B183" s="18" t="n"/>
      <c r="C183" s="18" t="n"/>
      <c r="D183" s="18" t="n"/>
      <c r="E183" s="18" t="n"/>
      <c r="F183" s="18" t="n"/>
      <c r="G183" s="18" t="n"/>
      <c r="H183" s="18" t="n"/>
      <c r="I183" s="18" t="n"/>
      <c r="J183" s="18" t="n"/>
      <c r="K183" s="18" t="n"/>
    </row>
    <row r="184">
      <c r="A184" s="18" t="n"/>
      <c r="B184" s="18" t="n"/>
      <c r="C184" s="18" t="n"/>
      <c r="D184" s="18" t="n"/>
      <c r="E184" s="18" t="n"/>
      <c r="F184" s="18" t="n"/>
      <c r="G184" s="18" t="n"/>
      <c r="H184" s="18" t="n"/>
      <c r="I184" s="18" t="n"/>
      <c r="J184" s="18" t="n"/>
      <c r="K184" s="18" t="n"/>
    </row>
    <row r="185">
      <c r="A185" s="18" t="n"/>
      <c r="B185" s="18" t="n"/>
      <c r="C185" s="18" t="n"/>
      <c r="D185" s="18" t="n"/>
      <c r="E185" s="18" t="n"/>
      <c r="F185" s="18" t="n"/>
      <c r="G185" s="18" t="n"/>
      <c r="H185" s="18" t="n"/>
      <c r="I185" s="18" t="n"/>
      <c r="J185" s="18" t="n"/>
      <c r="K185" s="18" t="n"/>
    </row>
    <row r="186">
      <c r="A186" s="18" t="n"/>
      <c r="B186" s="18" t="n"/>
      <c r="C186" s="18" t="n"/>
      <c r="D186" s="18" t="n"/>
      <c r="E186" s="18" t="n"/>
      <c r="F186" s="18" t="n"/>
      <c r="G186" s="18" t="n"/>
      <c r="H186" s="18" t="n"/>
      <c r="I186" s="18" t="n"/>
      <c r="J186" s="18" t="n"/>
      <c r="K186" s="18" t="n"/>
    </row>
    <row r="187">
      <c r="A187" s="18" t="n"/>
      <c r="B187" s="18" t="n"/>
      <c r="C187" s="18" t="n"/>
      <c r="D187" s="18" t="n"/>
      <c r="E187" s="18" t="n"/>
      <c r="F187" s="18" t="n"/>
      <c r="G187" s="18" t="n"/>
      <c r="H187" s="18" t="n"/>
      <c r="I187" s="18" t="n"/>
      <c r="J187" s="18" t="n"/>
      <c r="K187" s="18" t="n"/>
    </row>
    <row r="188">
      <c r="A188" s="18" t="n"/>
      <c r="B188" s="18" t="n"/>
      <c r="C188" s="18" t="n"/>
      <c r="D188" s="18" t="n"/>
      <c r="E188" s="18" t="n"/>
      <c r="F188" s="18" t="n"/>
      <c r="G188" s="18" t="n"/>
      <c r="H188" s="18" t="n"/>
      <c r="I188" s="18" t="n"/>
      <c r="J188" s="18" t="n"/>
      <c r="K188" s="18" t="n"/>
    </row>
    <row r="189">
      <c r="A189" s="18" t="n"/>
      <c r="B189" s="18" t="n"/>
      <c r="C189" s="18" t="n"/>
      <c r="D189" s="18" t="n"/>
      <c r="E189" s="18" t="n"/>
      <c r="F189" s="18" t="n"/>
      <c r="G189" s="18" t="n"/>
      <c r="H189" s="18" t="n"/>
      <c r="I189" s="18" t="n"/>
      <c r="J189" s="18" t="n"/>
      <c r="K189" s="18" t="n"/>
    </row>
    <row r="190">
      <c r="A190" s="18" t="n"/>
      <c r="B190" s="18" t="n"/>
      <c r="C190" s="18" t="n"/>
      <c r="D190" s="18" t="n"/>
      <c r="E190" s="18" t="n"/>
      <c r="F190" s="18" t="n"/>
      <c r="G190" s="18" t="n"/>
      <c r="H190" s="18" t="n"/>
      <c r="I190" s="18" t="n"/>
      <c r="J190" s="18" t="n"/>
      <c r="K190" s="18" t="n"/>
    </row>
    <row r="191">
      <c r="A191" s="18" t="n"/>
      <c r="B191" s="18" t="n"/>
      <c r="C191" s="18" t="n"/>
      <c r="D191" s="18" t="n"/>
      <c r="E191" s="18" t="n"/>
      <c r="F191" s="18" t="n"/>
      <c r="G191" s="18" t="n"/>
      <c r="H191" s="18" t="n"/>
      <c r="I191" s="18" t="n"/>
      <c r="J191" s="18" t="n"/>
      <c r="K191" s="18" t="n"/>
    </row>
    <row r="192">
      <c r="A192" s="18" t="n"/>
      <c r="B192" s="18" t="n"/>
      <c r="C192" s="18" t="n"/>
      <c r="D192" s="18" t="n"/>
      <c r="E192" s="18" t="n"/>
      <c r="F192" s="18" t="n"/>
      <c r="G192" s="18" t="n"/>
      <c r="H192" s="18" t="n"/>
      <c r="I192" s="18" t="n"/>
      <c r="J192" s="18" t="n"/>
      <c r="K192" s="18" t="n"/>
    </row>
    <row r="193">
      <c r="A193" s="18" t="n"/>
      <c r="B193" s="18" t="n"/>
      <c r="C193" s="18" t="n"/>
      <c r="D193" s="18" t="n"/>
      <c r="E193" s="18" t="n"/>
      <c r="F193" s="18" t="n"/>
      <c r="G193" s="18" t="n"/>
      <c r="H193" s="18" t="n"/>
      <c r="I193" s="18" t="n"/>
      <c r="J193" s="18" t="n"/>
      <c r="K193" s="18" t="n"/>
    </row>
    <row r="194">
      <c r="A194" s="18" t="n"/>
      <c r="B194" s="18" t="n"/>
      <c r="C194" s="18" t="n"/>
      <c r="D194" s="18" t="n"/>
      <c r="E194" s="18" t="n"/>
      <c r="F194" s="18" t="n"/>
      <c r="G194" s="18" t="n"/>
      <c r="H194" s="18" t="n"/>
      <c r="I194" s="18" t="n"/>
      <c r="J194" s="18" t="n"/>
      <c r="K194" s="18" t="n"/>
    </row>
    <row r="195">
      <c r="A195" s="18" t="n"/>
      <c r="B195" s="18" t="n"/>
      <c r="C195" s="18" t="n"/>
      <c r="D195" s="18" t="n"/>
      <c r="E195" s="18" t="n"/>
      <c r="F195" s="18" t="n"/>
      <c r="G195" s="18" t="n"/>
      <c r="H195" s="18" t="n"/>
      <c r="I195" s="18" t="n"/>
      <c r="J195" s="18" t="n"/>
      <c r="K195" s="18" t="n"/>
    </row>
    <row r="196">
      <c r="A196" s="18" t="n"/>
      <c r="B196" s="18" t="n"/>
      <c r="C196" s="18" t="n"/>
      <c r="D196" s="18" t="n"/>
      <c r="E196" s="18" t="n"/>
      <c r="F196" s="18" t="n"/>
      <c r="G196" s="18" t="n"/>
      <c r="H196" s="18" t="n"/>
      <c r="I196" s="18" t="n"/>
      <c r="J196" s="18" t="n"/>
      <c r="K196" s="18" t="n"/>
    </row>
    <row r="197">
      <c r="A197" s="18" t="n"/>
      <c r="B197" s="18" t="n"/>
      <c r="C197" s="18" t="n"/>
      <c r="D197" s="18" t="n"/>
      <c r="E197" s="18" t="n"/>
      <c r="F197" s="18" t="n"/>
      <c r="G197" s="18" t="n"/>
      <c r="H197" s="18" t="n"/>
      <c r="I197" s="18" t="n"/>
      <c r="J197" s="18" t="n"/>
      <c r="K197" s="18" t="n"/>
    </row>
    <row r="198">
      <c r="A198" s="18" t="n"/>
      <c r="B198" s="18" t="n"/>
      <c r="C198" s="18" t="n"/>
      <c r="D198" s="18" t="n"/>
      <c r="E198" s="18" t="n"/>
      <c r="F198" s="18" t="n"/>
      <c r="G198" s="18" t="n"/>
      <c r="H198" s="18" t="n"/>
      <c r="I198" s="18" t="n"/>
      <c r="J198" s="18" t="n"/>
      <c r="K198" s="18" t="n"/>
    </row>
    <row r="199">
      <c r="A199" s="18" t="n"/>
      <c r="B199" s="18" t="n"/>
      <c r="C199" s="18" t="n"/>
      <c r="D199" s="18" t="n"/>
      <c r="E199" s="18" t="n"/>
      <c r="F199" s="18" t="n"/>
      <c r="G199" s="18" t="n"/>
      <c r="H199" s="18" t="n"/>
      <c r="I199" s="18" t="n"/>
      <c r="J199" s="18" t="n"/>
      <c r="K199" s="18" t="n"/>
    </row>
    <row r="200">
      <c r="A200" s="18" t="n"/>
      <c r="B200" s="18" t="n"/>
      <c r="C200" s="18" t="n"/>
      <c r="D200" s="18" t="n"/>
      <c r="E200" s="18" t="n"/>
      <c r="F200" s="18" t="n"/>
      <c r="G200" s="18" t="n"/>
      <c r="H200" s="18" t="n"/>
      <c r="I200" s="18" t="n"/>
      <c r="J200" s="18" t="n"/>
      <c r="K200" s="18" t="n"/>
    </row>
  </sheetData>
  <dataValidations count="1">
    <dataValidation sqref="B2:B2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style="42" min="1" max="1"/>
    <col width="34" customWidth="1" style="42" min="2" max="2"/>
    <col width="50" customWidth="1" style="42" min="3" max="3"/>
    <col width="48" customWidth="1" style="42" min="4" max="4"/>
    <col width="45" customWidth="1" style="42" min="5" max="5"/>
    <col width="48" customWidth="1" style="42" min="6" max="6"/>
  </cols>
  <sheetData>
    <row r="1">
      <c r="A1" s="69" t="inlineStr">
        <is>
          <t>SELFLO TAXONOMY — HƯỚNG DẪN PHÂN LOẠI &amp; COVERAGE</t>
        </is>
      </c>
      <c r="B1" s="1" t="n"/>
      <c r="C1" s="1" t="n"/>
      <c r="D1" s="1" t="n"/>
      <c r="E1" s="1" t="n"/>
      <c r="F1" s="1" t="n"/>
    </row>
    <row r="3">
      <c r="A3" s="50" t="inlineStr">
        <is>
          <t>Tầng</t>
        </is>
      </c>
      <c r="B3" s="50" t="inlineStr">
        <is>
          <t>Tên taxonomy</t>
        </is>
      </c>
      <c r="C3" s="50" t="inlineStr">
        <is>
          <t>Câu hỏi taxonomy trả lời</t>
        </is>
      </c>
      <c r="D3" s="50" t="inlineStr">
        <is>
          <t>Ví dụ</t>
        </is>
      </c>
      <c r="E3" s="50" t="inlineStr">
        <is>
          <t>Dùng để đánh giá coverage</t>
        </is>
      </c>
      <c r="F3" s="50" t="inlineStr">
        <is>
          <t>Ghi chú</t>
        </is>
      </c>
    </row>
    <row r="4">
      <c r="A4" t="inlineStr">
        <is>
          <t>1</t>
        </is>
      </c>
      <c r="B4" t="inlineStr">
        <is>
          <t>Lĩnh vực cuộc sống (Life Area)</t>
        </is>
      </c>
      <c r="C4" t="inlineStr">
        <is>
          <t>Người dùng đang ở vùng nào của đời sống?</t>
        </is>
      </c>
      <c r="D4" t="inlineStr">
        <is>
          <t>Công việc; Nội tâm; Quan hệ; Gia đình; Nghỉ ngơi</t>
        </is>
      </c>
      <c r="E4" t="inlineStr">
        <is>
          <t>Độ rộng các vùng đời sống</t>
        </is>
      </c>
      <c r="F4" t="inlineStr">
        <is>
          <t>Không dùng Life Area thay cho trải nghiệm cụ thể.</t>
        </is>
      </c>
    </row>
    <row r="5">
      <c r="A5" t="inlineStr">
        <is>
          <t>2</t>
        </is>
      </c>
      <c r="B5" t="inlineStr">
        <is>
          <t>Trải nghiệm con người (Human Experience)</t>
        </is>
      </c>
      <c r="C5" t="inlineStr">
        <is>
          <t>Điều gì cụ thể đang xảy ra với người dùng?</t>
        </is>
      </c>
      <c r="D5" t="inlineStr">
        <is>
          <t>Công việc vẫn ở trong đầu sau giờ làm</t>
        </is>
      </c>
      <c r="E5" t="inlineStr">
        <is>
          <t>Đây là đơn vị coverage QUAN TRỌNG NHẤT</t>
        </is>
      </c>
      <c r="F5" t="inlineStr">
        <is>
          <t>Một Life Area có nhiều Human Experience.</t>
        </is>
      </c>
    </row>
    <row r="6">
      <c r="A6" t="inlineStr">
        <is>
          <t>3</t>
        </is>
      </c>
      <c r="B6" t="inlineStr">
        <is>
          <t>Chủ đề (Theme)</t>
        </is>
      </c>
      <c r="C6" t="inlineStr">
        <is>
          <t>Những ý tưởng nào đang được chạm tới?</t>
        </is>
      </c>
      <c r="D6" t="inlineStr">
        <is>
          <t>Recovery; Attention; Boundaries</t>
        </is>
      </c>
      <c r="E6" t="inlineStr">
        <is>
          <t>Độ rộng ý niệm</t>
        </is>
      </c>
      <c r="F6" t="inlineStr">
        <is>
          <t>Một Experience có thể có nhiều Theme.</t>
        </is>
      </c>
    </row>
    <row r="7">
      <c r="A7" t="inlineStr">
        <is>
          <t>4</t>
        </is>
      </c>
      <c r="B7" t="inlineStr">
        <is>
          <t>Cảm xúc / trạng thái (Emotion / State)</t>
        </is>
      </c>
      <c r="C7" t="inlineStr">
        <is>
          <t>Người dùng có thể đang cảm thấy/trải qua trạng thái gì?</t>
        </is>
      </c>
      <c r="D7" t="inlineStr">
        <is>
          <t>Mệt; lo; bối rối; tiếc nuối; nhẹ nhõm</t>
        </is>
      </c>
      <c r="E7" t="inlineStr">
        <is>
          <t>Coverage theo trạng thái cảm xúc</t>
        </is>
      </c>
      <c r="F7" t="inlineStr">
        <is>
          <t>Không chẩn đoán người dùng; đây là tag biên tập.</t>
        </is>
      </c>
    </row>
    <row r="8">
      <c r="A8" t="inlineStr">
        <is>
          <t>5</t>
        </is>
      </c>
      <c r="B8" t="inlineStr">
        <is>
          <t>Vai trò biên tập (Editorial Role)</t>
        </is>
      </c>
      <c r="C8" t="inlineStr">
        <is>
          <t>Nội dung đang làm gì cho người đọc?</t>
        </is>
      </c>
      <c r="D8" t="inlineStr">
        <is>
          <t>Recognize; Name; Permit; Reframe; Distinguish; Return agency</t>
        </is>
      </c>
      <c r="E8" t="inlineStr">
        <is>
          <t>Độ đa dạng góc nhìn trong cùng Experience</t>
        </is>
      </c>
      <c r="F8" t="inlineStr">
        <is>
          <t>Tránh library chỉ toàn Reframe/inspiration.</t>
        </is>
      </c>
    </row>
    <row r="9">
      <c r="A9" t="inlineStr">
        <is>
          <t>6</t>
        </is>
      </c>
      <c r="B9" t="inlineStr">
        <is>
          <t>Hình thức nội dung (Content Form)</t>
        </is>
      </c>
      <c r="C9" t="inlineStr">
        <is>
          <t>Câu được thể hiện bằng cách nào?</t>
        </is>
      </c>
      <c r="D9" t="inlineStr">
        <is>
          <t>Quan sát; ẩn dụ; câu hỏi; nghịch lý; tục ngữ; thơ</t>
        </is>
      </c>
      <c r="E9" t="inlineStr">
        <is>
          <t>Độ đa dạng giọng và hình thức</t>
        </is>
      </c>
      <c r="F9" t="inlineStr">
        <is>
          <t>Tránh 1.000 câu nhưng đều cùng kiểu viết.</t>
        </is>
      </c>
    </row>
    <row r="10">
      <c r="A10" t="inlineStr">
        <is>
          <t>7</t>
        </is>
      </c>
      <c r="B10" t="inlineStr">
        <is>
          <t>Nguyên lý nền (Principle)</t>
        </is>
      </c>
      <c r="C10" t="inlineStr">
        <is>
          <t>Research/triết lý nào đứng phía sau?</t>
        </is>
      </c>
      <c r="D10" t="inlineStr">
        <is>
          <t>Psychological detachment; mixed emotions; human agency</t>
        </is>
      </c>
      <c r="E10" t="inlineStr">
        <is>
          <t>Độ sâu tri thức</t>
        </is>
      </c>
      <c r="F10" t="inlineStr">
        <is>
          <t>Principle thường không cần hiện trực tiếp với user.</t>
        </is>
      </c>
    </row>
    <row r="11">
      <c r="A11" t="inlineStr">
        <is>
          <t>8</t>
        </is>
      </c>
      <c r="B11" t="inlineStr">
        <is>
          <t>Nguồn / truyền thống (Source / Tradition)</t>
        </is>
      </c>
      <c r="C11" t="inlineStr">
        <is>
          <t>Nội dung đến từ đâu?</t>
        </is>
      </c>
      <c r="D11" t="inlineStr">
        <is>
          <t>Đạo gia; Stoicism; Việt Nam; Literature; Psychology</t>
        </is>
      </c>
      <c r="E11" t="inlineStr">
        <is>
          <t>Độ đa dạng văn hóa/tác giả/nguồn</t>
        </is>
      </c>
      <c r="F11" t="inlineStr">
        <is>
          <t>Theo dõi over-representation.</t>
        </is>
      </c>
    </row>
    <row r="12">
      <c r="A12" t="inlineStr">
        <is>
          <t>9</t>
        </is>
      </c>
      <c r="B12" t="inlineStr">
        <is>
          <t>Mức xác minh (Verification)</t>
        </is>
      </c>
      <c r="C12" t="inlineStr">
        <is>
          <t>Attribution/source đáng tin tới đâu?</t>
        </is>
      </c>
      <c r="D12" t="inlineStr">
        <is>
          <t>A primary; B authoritative; C needs primary; D disputed</t>
        </is>
      </c>
      <c r="E12" t="inlineStr">
        <is>
          <t>Chất lượng provenance</t>
        </is>
      </c>
      <c r="F12" t="inlineStr">
        <is>
          <t>D vẫn có thể giữ research nhưng không tự động Release.</t>
        </is>
      </c>
    </row>
    <row r="13">
      <c r="A13" t="inlineStr">
        <is>
          <t>10</t>
        </is>
      </c>
      <c r="B13" t="inlineStr">
        <is>
          <t>Quyền sử dụng (Rights)</t>
        </is>
      </c>
      <c r="C13" t="inlineStr">
        <is>
          <t>Có thể dùng nội dung như thế nào?</t>
        </is>
      </c>
      <c r="D13" t="inlineStr">
        <is>
          <t>Public domain; copyrighted; permission needed</t>
        </is>
      </c>
      <c r="E13" t="inlineStr">
        <is>
          <t>Khả năng sử dụng thực tế</t>
        </is>
      </c>
      <c r="F13" t="inlineStr">
        <is>
          <t>Tách quality khỏi rights.</t>
        </is>
      </c>
    </row>
    <row r="14">
      <c r="A14" t="inlineStr">
        <is>
          <t>11</t>
        </is>
      </c>
      <c r="B14" t="inlineStr">
        <is>
          <t>Mức phù hợp Selflo (Selflo Fit)</t>
        </is>
      </c>
      <c r="C14" t="inlineStr">
        <is>
          <t>Nội dung có hợp triết lý Selflo không?</t>
        </is>
      </c>
      <c r="D14" t="inlineStr">
        <is>
          <t>High / Medium / Low / Not reviewed</t>
        </is>
      </c>
      <c r="E14" t="inlineStr">
        <is>
          <t>Chỉ dùng ở phase curate</t>
        </is>
      </c>
      <c r="F14" t="inlineStr">
        <is>
          <t>Không lọc quá sớm trong giai đoạn Collect.</t>
        </is>
      </c>
    </row>
    <row r="17">
      <c r="A17" s="65" t="inlineStr">
        <is>
          <t>COVERAGE NGHĨA LÀ GÌ?</t>
        </is>
      </c>
      <c r="B17" s="1" t="n"/>
      <c r="C17" s="1" t="n"/>
      <c r="D17" s="1" t="n"/>
      <c r="E17" s="1" t="n"/>
      <c r="F17" s="1" t="n"/>
    </row>
    <row r="18">
      <c r="A18" s="50" t="inlineStr">
        <is>
          <t>Mức</t>
        </is>
      </c>
      <c r="B18" s="50" t="inlineStr">
        <is>
          <t>Ý nghĩa</t>
        </is>
      </c>
      <c r="C18" s="50" t="inlineStr">
        <is>
          <t>Quy tắc gợi ý</t>
        </is>
      </c>
      <c r="D18" s="50" t="inlineStr">
        <is>
          <t>Ví dụ</t>
        </is>
      </c>
      <c r="E18" s="50" t="inlineStr">
        <is>
          <t>Hành động</t>
        </is>
      </c>
      <c r="F18" s="50" t="str"/>
    </row>
    <row r="19">
      <c r="A19" t="inlineStr">
        <is>
          <t>🔴 Missing</t>
        </is>
      </c>
      <c r="B19" t="inlineStr">
        <is>
          <t>Chưa có nội dung cho trải nghiệm.</t>
        </is>
      </c>
      <c r="C19" t="inlineStr">
        <is>
          <t>0 quote phù hợp.</t>
        </is>
      </c>
      <c r="D19" t="inlineStr">
        <is>
          <t>Mixed emotions: 0</t>
        </is>
      </c>
      <c r="E19" t="inlineStr">
        <is>
          <t>Ưu tiên collect.</t>
        </is>
      </c>
    </row>
    <row r="20">
      <c r="A20" t="inlineStr">
        <is>
          <t>🟠 Thin</t>
        </is>
      </c>
      <c r="B20" t="inlineStr">
        <is>
          <t>Có nội dung nhưng góc nhìn còn mỏng.</t>
        </is>
      </c>
      <c r="C20" t="inlineStr">
        <is>
          <t>1–2 quote hoặc chỉ 1 editorial role.</t>
        </is>
      </c>
      <c r="D20" t="inlineStr">
        <is>
          <t>Chỉ có Reframe.</t>
        </is>
      </c>
      <c r="E20" t="inlineStr">
        <is>
          <t>Tìm thêm nguồn/góc nhìn khác.</t>
        </is>
      </c>
    </row>
    <row r="21">
      <c r="A21" t="inlineStr">
        <is>
          <t>🟡 Covered</t>
        </is>
      </c>
      <c r="B21" t="inlineStr">
        <is>
          <t>Đã có nhiều góc nhìn đủ dùng.</t>
        </is>
      </c>
      <c r="C21" t="inlineStr">
        <is>
          <t>≥3 quote và ≥2 editorial roles, nguồn không quá lệch.</t>
        </is>
      </c>
      <c r="D21" t="inlineStr">
        <is>
          <t>Recognize + Permit + Distinguish.</t>
        </is>
      </c>
      <c r="E21" t="inlineStr">
        <is>
          <t>Không cần ép thêm số lượng.</t>
        </is>
      </c>
    </row>
    <row r="22">
      <c r="A22" t="inlineStr">
        <is>
          <t>🟢 Rich</t>
        </is>
      </c>
      <c r="B22" t="inlineStr">
        <is>
          <t>Coverage giàu và đa dạng.</t>
        </is>
      </c>
      <c r="C22" t="inlineStr">
        <is>
          <t>Nhiều editorial roles + source/form diversity + story/principle khi hữu ích.</t>
        </is>
      </c>
      <c r="D22" t="inlineStr">
        <is>
          <t>Quote + story + research + nhiều truyền thống.</t>
        </is>
      </c>
      <c r="E22" t="inlineStr">
        <is>
          <t>Chỉ bổ sung khi có giá trị mới.</t>
        </is>
      </c>
    </row>
    <row r="25">
      <c r="A25" s="65" t="inlineStr">
        <is>
          <t>VÍ DỤ PHÂN LOẠI MỘT QUOTE</t>
        </is>
      </c>
      <c r="B25" s="1" t="n"/>
      <c r="C25" s="1" t="n"/>
      <c r="D25" s="1" t="n"/>
      <c r="E25" s="1" t="n"/>
      <c r="F25" s="1" t="n"/>
    </row>
    <row r="26">
      <c r="A26" s="56" t="inlineStr">
        <is>
          <t>Quote</t>
        </is>
      </c>
      <c r="B26" t="inlineStr">
        <is>
          <t>Mưa đã tạnh. Mặt đất chưa khô. Nhưng mưa đã tạnh.</t>
        </is>
      </c>
    </row>
    <row r="27">
      <c r="A27" s="56" t="inlineStr">
        <is>
          <t>Life Area</t>
        </is>
      </c>
      <c r="B27" t="inlineStr">
        <is>
          <t>Nội tâm &amp; cảm xúc</t>
        </is>
      </c>
    </row>
    <row r="28">
      <c r="A28" s="56" t="inlineStr">
        <is>
          <t>Human Experience</t>
        </is>
      </c>
      <c r="B28" t="inlineStr">
        <is>
          <t>Chuyện đã qua nhưng mình chưa hồi phục</t>
        </is>
      </c>
    </row>
    <row r="29">
      <c r="A29" s="56" t="inlineStr">
        <is>
          <t>Theme</t>
        </is>
      </c>
      <c r="B29" t="inlineStr">
        <is>
          <t>Recovery; Impermanence</t>
        </is>
      </c>
    </row>
    <row r="30">
      <c r="A30" s="56" t="inlineStr">
        <is>
          <t>Emotion / State</t>
        </is>
      </c>
      <c r="B30" t="inlineStr">
        <is>
          <t>Lingering emotion; mệt; buồn (tag biên tập, không chẩn đoán)</t>
        </is>
      </c>
    </row>
    <row r="31">
      <c r="A31" s="56" t="inlineStr">
        <is>
          <t>Editorial Role</t>
        </is>
      </c>
      <c r="B31" t="inlineStr">
        <is>
          <t>Recognize + Permit</t>
        </is>
      </c>
    </row>
    <row r="32">
      <c r="A32" s="56" t="inlineStr">
        <is>
          <t>Content Form</t>
        </is>
      </c>
      <c r="B32" t="inlineStr">
        <is>
          <t>Ẩn dụ (Metaphor)</t>
        </is>
      </c>
    </row>
    <row r="33">
      <c r="A33" s="56" t="inlineStr">
        <is>
          <t>Source</t>
        </is>
      </c>
      <c r="B33" t="inlineStr">
        <is>
          <t>Selflo Original</t>
        </is>
      </c>
    </row>
    <row r="34">
      <c r="A34" s="56" t="inlineStr">
        <is>
          <t>Selflo Fit</t>
        </is>
      </c>
      <c r="B34" t="inlineStr">
        <is>
          <t>High</t>
        </is>
      </c>
    </row>
  </sheetData>
  <mergeCells count="3">
    <mergeCell ref="A17:F17"/>
    <mergeCell ref="A1:F1"/>
    <mergeCell ref="A25:F25"/>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Q619"/>
  <sheetViews>
    <sheetView workbookViewId="0">
      <selection activeCell="A1" sqref="A1"/>
    </sheetView>
  </sheetViews>
  <sheetFormatPr baseColWidth="8" defaultRowHeight="15"/>
  <cols>
    <col width="22" customWidth="1" style="42" min="1" max="1"/>
    <col width="22" customWidth="1" style="42" min="2" max="2"/>
    <col width="42" customWidth="1" style="42" min="3" max="3"/>
    <col width="42" customWidth="1" style="42" min="4" max="4"/>
    <col width="42" customWidth="1" style="42" min="5" max="5"/>
    <col width="42" customWidth="1" style="42" min="6" max="6"/>
    <col width="22" customWidth="1" style="42" min="7" max="7"/>
    <col width="22" customWidth="1" style="42" min="8" max="8"/>
    <col width="22" customWidth="1" style="42" min="9" max="9"/>
    <col width="22" customWidth="1" style="42" min="10" max="10"/>
    <col width="22" customWidth="1" style="42" min="11" max="11"/>
    <col width="22" customWidth="1" style="42" min="12" max="12"/>
    <col width="22" customWidth="1" style="42" min="13" max="13"/>
    <col width="42" customWidth="1" style="42" min="14" max="14"/>
    <col width="22" customWidth="1" style="42" min="15" max="15"/>
    <col width="42" customWidth="1" style="42" min="16" max="16"/>
    <col width="22" customWidth="1" style="42" min="17" max="17"/>
    <col width="22" customWidth="1" style="42" min="18" max="18"/>
    <col width="42" customWidth="1" style="42" min="19" max="19"/>
    <col width="22" customWidth="1" style="42" min="20" max="20"/>
    <col width="42" customWidth="1" style="42" min="21" max="21"/>
    <col width="22" customWidth="1" style="42" min="22" max="22"/>
    <col width="22" customWidth="1" style="42" min="23" max="23"/>
    <col width="22" customWidth="1" style="42" min="24" max="24"/>
    <col width="42" customWidth="1" style="42" min="25" max="25"/>
    <col width="22" customWidth="1" style="42" min="26" max="26"/>
    <col width="42" customWidth="1" style="42" min="27" max="27"/>
    <col width="22" customWidth="1" style="42" min="28" max="28"/>
    <col width="42" customWidth="1" style="42" min="29" max="29"/>
    <col width="22" customWidth="1" style="42" min="30" max="30"/>
    <col width="22" customWidth="1" style="42" min="31" max="31"/>
    <col width="22" customWidth="1" style="42" min="32" max="32"/>
    <col width="22" customWidth="1" style="42" min="33" max="33"/>
    <col width="22" customWidth="1" style="42" min="34" max="34"/>
    <col width="22" customWidth="1" style="42" min="35" max="35"/>
    <col width="22" customWidth="1" style="42" min="36" max="36"/>
    <col width="22" customWidth="1" style="42" min="37" max="37"/>
    <col width="22" customWidth="1" style="42" min="38" max="38"/>
    <col width="22" customWidth="1" style="42" min="39" max="39"/>
    <col width="22" customWidth="1" style="42" min="40" max="40"/>
    <col width="22" customWidth="1" style="42" min="41" max="41"/>
    <col width="22" customWidth="1" style="42" min="42" max="42"/>
    <col width="42" customWidth="1" style="42" min="43" max="43"/>
  </cols>
  <sheetData>
    <row r="1">
      <c r="A1" s="50" t="inlineStr">
        <is>
          <t>Quote ID</t>
        </is>
      </c>
      <c r="B1" s="50" t="inlineStr">
        <is>
          <t>Trạng thái</t>
        </is>
      </c>
      <c r="C1" s="50" t="inlineStr">
        <is>
          <t>Lĩnh vực cuộc sống (Life Area)</t>
        </is>
      </c>
      <c r="D1" s="50" t="inlineStr">
        <is>
          <t>Cluster chính</t>
        </is>
      </c>
      <c r="E1" s="50" t="inlineStr">
        <is>
          <t>Cluster phụ</t>
        </is>
      </c>
      <c r="F1" s="50" t="inlineStr">
        <is>
          <t>Trải nghiệm con người (Human Experience)</t>
        </is>
      </c>
      <c r="G1" s="50" t="inlineStr">
        <is>
          <t>Chủ đề chính (Theme)</t>
        </is>
      </c>
      <c r="H1" s="50" t="inlineStr">
        <is>
          <t>Chủ đề phụ</t>
        </is>
      </c>
      <c r="I1" s="50" t="inlineStr">
        <is>
          <t>Cảm xúc / trạng thái chính</t>
        </is>
      </c>
      <c r="J1" s="50" t="inlineStr">
        <is>
          <t>Cảm xúc / trạng thái phụ</t>
        </is>
      </c>
      <c r="K1" s="50" t="inlineStr">
        <is>
          <t>Vai trò biên tập chính</t>
        </is>
      </c>
      <c r="L1" s="50" t="inlineStr">
        <is>
          <t>Vai trò biên tập phụ</t>
        </is>
      </c>
      <c r="M1" s="50" t="inlineStr">
        <is>
          <t>Hình thức nội dung (Content Form)</t>
        </is>
      </c>
      <c r="N1" s="50" t="inlineStr">
        <is>
          <t>Nguyên văn</t>
        </is>
      </c>
      <c r="O1" s="50" t="inlineStr">
        <is>
          <t>Ngôn ngữ</t>
        </is>
      </c>
      <c r="P1" s="50" t="inlineStr">
        <is>
          <t>Bản dịch / bản làm việc tiếng Việt</t>
        </is>
      </c>
      <c r="Q1" s="50" t="inlineStr">
        <is>
          <t>Tác giả / Attribution</t>
        </is>
      </c>
      <c r="R1" s="50" t="inlineStr">
        <is>
          <t>Truyền thống / khu vực</t>
        </is>
      </c>
      <c r="S1" s="50" t="inlineStr">
        <is>
          <t>Tên nguồn / tác phẩm</t>
        </is>
      </c>
      <c r="T1" s="50" t="inlineStr">
        <is>
          <t>Chương / vị trí</t>
        </is>
      </c>
      <c r="U1" s="50" t="inlineStr">
        <is>
          <t>Source URL</t>
        </is>
      </c>
      <c r="V1" s="50" t="inlineStr">
        <is>
          <t>Loại nguồn</t>
        </is>
      </c>
      <c r="W1" s="50" t="inlineStr">
        <is>
          <t>Loại quote</t>
        </is>
      </c>
      <c r="X1" s="50" t="inlineStr">
        <is>
          <t>Mức xác minh</t>
        </is>
      </c>
      <c r="Y1" s="50" t="inlineStr">
        <is>
          <t>Ghi chú xác minh</t>
        </is>
      </c>
      <c r="Z1" s="50" t="inlineStr">
        <is>
          <t>Quyền sử dụng</t>
        </is>
      </c>
      <c r="AA1" s="50" t="inlineStr">
        <is>
          <t>Ghi chú copyright / usage</t>
        </is>
      </c>
      <c r="AB1" s="50" t="inlineStr">
        <is>
          <t>Mức phù hợp Selflo</t>
        </is>
      </c>
      <c r="AC1" s="50" t="inlineStr">
        <is>
          <t>Ghi chú Selflo Fit</t>
        </is>
      </c>
      <c r="AD1" s="50" t="inlineStr">
        <is>
          <t>Rủi ro giáo điều / directive</t>
        </is>
      </c>
      <c r="AE1" s="50" t="inlineStr">
        <is>
          <t>Rủi ro trùng ý</t>
        </is>
      </c>
      <c r="AF1" s="50" t="inlineStr">
        <is>
          <t>Principle ID liên quan</t>
        </is>
      </c>
      <c r="AG1" s="50" t="inlineStr">
        <is>
          <t>Story ID liên quan</t>
        </is>
      </c>
      <c r="AH1" s="50" t="inlineStr">
        <is>
          <t>Story dependency gate</t>
        </is>
      </c>
      <c r="AI1" s="50" t="inlineStr">
        <is>
          <t>Owner review</t>
        </is>
      </c>
      <c r="AJ1" s="50" t="inlineStr">
        <is>
          <t>Release readiness</t>
        </is>
      </c>
      <c r="AK1" s="50" t="inlineStr">
        <is>
          <t>Vị trí library hiện tại</t>
        </is>
      </c>
      <c r="AL1" s="50" t="inlineStr">
        <is>
          <t>Ngày trong plan</t>
        </is>
      </c>
      <c r="AM1" s="50" t="inlineStr">
        <is>
          <t>Người thu thập</t>
        </is>
      </c>
      <c r="AN1" s="50" t="inlineStr">
        <is>
          <t>Ngày thu thập</t>
        </is>
      </c>
      <c r="AO1" s="50" t="inlineStr">
        <is>
          <t>Ghi chú</t>
        </is>
      </c>
      <c r="AP1" s="50" t="n"/>
      <c r="AQ1" s="50" t="n"/>
    </row>
    <row r="2">
      <c r="A2" s="18" t="inlineStr">
        <is>
          <t>research.laozi.ch01.001</t>
        </is>
      </c>
      <c r="B2" s="18" t="inlineStr">
        <is>
          <t>Collected</t>
        </is>
      </c>
      <c r="C2" s="18" t="inlineStr">
        <is>
          <t>Ý nghĩa &amp; bản sắc</t>
        </is>
      </c>
      <c r="D2" s="18" t="inlineStr">
        <is>
          <t>AI-age Human Judgment</t>
        </is>
      </c>
      <c r="E2" s="18" t="str"/>
      <c r="F2" s="18" t="inlineStr">
        <is>
          <t>Tên gọi không bao giờ chứa trọn điều được gọi</t>
        </is>
      </c>
      <c r="G2" s="18" t="inlineStr">
        <is>
          <t>Judgment</t>
        </is>
      </c>
      <c r="H2" s="18" t="inlineStr">
        <is>
          <t>Uncertainty</t>
        </is>
      </c>
      <c r="I2" s="18" t="inlineStr">
        <is>
          <t>Không chắc chắn</t>
        </is>
      </c>
      <c r="J2" s="18" t="str"/>
      <c r="K2" s="18" t="inlineStr">
        <is>
          <t>Distinguish</t>
        </is>
      </c>
      <c r="L2" s="18" t="inlineStr">
        <is>
          <t>Recognize</t>
        </is>
      </c>
      <c r="M2" s="18" t="inlineStr">
        <is>
          <t>Trích đoạn triết học</t>
        </is>
      </c>
      <c r="N2" s="18" t="inlineStr">
        <is>
          <t>道可道，非常道；名可名，非常名。</t>
        </is>
      </c>
      <c r="O2" s="18" t="inlineStr">
        <is>
          <t>Classical Chinese (文言文)</t>
        </is>
      </c>
      <c r="P2" s="18" t="inlineStr">
        <is>
          <t>Đạo có thể nói thành lời thì không phải Đạo thường hằng; tên có thể gọi thành tên thì không phải tên thường hằng.</t>
        </is>
      </c>
      <c r="Q2" s="18" t="inlineStr">
        <is>
          <t>Laozi / 老子</t>
        </is>
      </c>
      <c r="R2" s="18" t="inlineStr">
        <is>
          <t>Taoism</t>
        </is>
      </c>
      <c r="S2" s="18" t="inlineStr">
        <is>
          <t>道德經 / Tao Te Ching</t>
        </is>
      </c>
      <c r="T2" s="18" t="inlineStr">
        <is>
          <t>Chapter 1</t>
        </is>
      </c>
      <c r="U2" s="18" t="inlineStr">
        <is>
          <t>https://zh.wikisource.org/zh-hans/%E9%81%93%E5%BE%B7%E7%B6%93_(%E7%8E%8B%E5%BC%BC%E6%9C%AC)</t>
        </is>
      </c>
      <c r="V2" s="18" t="inlineStr">
        <is>
          <t>Primary text</t>
        </is>
      </c>
      <c r="W2" s="18" t="inlineStr">
        <is>
          <t>Working translation</t>
        </is>
      </c>
      <c r="X2" s="18" t="inlineStr">
        <is>
          <t>A - Primary source</t>
        </is>
      </c>
      <c r="Y2" s="18" t="inlineStr">
        <is>
          <t>Original Chinese checked against Wang Bi recension; cross-check via Chinese Text Project. Vietnamese is Selflo working translation, not published translation.</t>
        </is>
      </c>
      <c r="Z2" s="18" t="inlineStr">
        <is>
          <t>Public domain / likely</t>
        </is>
      </c>
      <c r="AA2" s="18" t="inlineStr">
        <is>
          <t>Ancient text; Legge 1891 comparison is public domain in USA per Project Gutenberg. Verify jurisdiction for commercial publication.</t>
        </is>
      </c>
      <c r="AB2" s="18" t="inlineStr">
        <is>
          <t>High</t>
        </is>
      </c>
      <c r="AC2" s="18" t="inlineStr">
        <is>
          <t>Mạnh cho distinction: mô tả/nhãn ≠ toàn bộ thực tại.</t>
        </is>
      </c>
      <c r="AD2" s="18" t="inlineStr">
        <is>
          <t>Needs editorial review</t>
        </is>
      </c>
      <c r="AE2" s="18" t="inlineStr">
        <is>
          <t>Needs semantic dedupe review</t>
        </is>
      </c>
      <c r="AF2" s="18" t="str"/>
      <c r="AG2" s="18" t="str"/>
      <c r="AH2" s="18" t="inlineStr">
        <is>
          <t>No</t>
        </is>
      </c>
      <c r="AI2" s="18" t="inlineStr">
        <is>
          <t>Not reviewed</t>
        </is>
      </c>
      <c r="AJ2" s="18" t="inlineStr">
        <is>
          <t>Research only</t>
        </is>
      </c>
      <c r="AK2" s="18" t="inlineStr">
        <is>
          <t>Research Pool</t>
        </is>
      </c>
      <c r="AL2" s="18" t="n">
        <v>1</v>
      </c>
      <c r="AM2" s="18" t="inlineStr">
        <is>
          <t>ChatGPT research</t>
        </is>
      </c>
      <c r="AN2" s="18" t="inlineStr">
        <is>
          <t>2026-09-18</t>
        </is>
      </c>
      <c r="AO2" s="18" t="inlineStr">
        <is>
          <t>Day 1 full-scope audit, chapters 1–20.</t>
        </is>
      </c>
      <c r="AP2" s="18" t="n"/>
      <c r="AQ2" s="18" t="n"/>
    </row>
    <row r="3">
      <c r="A3" s="18" t="inlineStr">
        <is>
          <t>research.laozi.ch01.002</t>
        </is>
      </c>
      <c r="B3" s="18" t="inlineStr">
        <is>
          <t>Collected</t>
        </is>
      </c>
      <c r="C3" s="18" t="inlineStr">
        <is>
          <t>Ý nghĩa &amp; bản sắc</t>
        </is>
      </c>
      <c r="D3" s="18" t="inlineStr">
        <is>
          <t>Change / Impermanence / Recovery</t>
        </is>
      </c>
      <c r="E3" s="18" t="str"/>
      <c r="F3" s="18" t="inlineStr">
        <is>
          <t>Tên gọi làm kinh nghiệm trở nên có hình</t>
        </is>
      </c>
      <c r="G3" s="18" t="inlineStr">
        <is>
          <t>Identity</t>
        </is>
      </c>
      <c r="H3" s="18" t="inlineStr">
        <is>
          <t>Meaning</t>
        </is>
      </c>
      <c r="I3" s="18" t="inlineStr">
        <is>
          <t>Không gọi tên được</t>
        </is>
      </c>
      <c r="J3" s="18" t="str"/>
      <c r="K3" s="18" t="inlineStr">
        <is>
          <t>Name</t>
        </is>
      </c>
      <c r="L3" s="18" t="inlineStr">
        <is>
          <t>Distinguish</t>
        </is>
      </c>
      <c r="M3" s="18" t="inlineStr">
        <is>
          <t>Trích đoạn triết học</t>
        </is>
      </c>
      <c r="N3" s="18" t="inlineStr">
        <is>
          <t>無名，天地之始；有名，萬物之母。</t>
        </is>
      </c>
      <c r="O3" s="18" t="inlineStr">
        <is>
          <t>Classical Chinese (文言文)</t>
        </is>
      </c>
      <c r="P3" s="18" t="inlineStr">
        <is>
          <t>Không tên là khởi đầu của trời đất; có tên là mẹ của muôn vật.</t>
        </is>
      </c>
      <c r="Q3" s="18" t="inlineStr">
        <is>
          <t>Laozi / 老子</t>
        </is>
      </c>
      <c r="R3" s="18" t="inlineStr">
        <is>
          <t>Taoism</t>
        </is>
      </c>
      <c r="S3" s="18" t="inlineStr">
        <is>
          <t>道德經 / Tao Te Ching</t>
        </is>
      </c>
      <c r="T3" s="18" t="inlineStr">
        <is>
          <t>Chapter 1</t>
        </is>
      </c>
      <c r="U3" s="18" t="inlineStr">
        <is>
          <t>https://zh.wikisource.org/zh-hans/%E9%81%93%E5%BE%B7%E7%B6%93_(%E7%8E%8B%E5%BC%BC%E6%9C%AC)</t>
        </is>
      </c>
      <c r="V3" s="18" t="inlineStr">
        <is>
          <t>Primary text</t>
        </is>
      </c>
      <c r="W3" s="18" t="inlineStr">
        <is>
          <t>Working translation</t>
        </is>
      </c>
      <c r="X3" s="18" t="inlineStr">
        <is>
          <t>A - Primary source</t>
        </is>
      </c>
      <c r="Y3" s="18" t="inlineStr">
        <is>
          <t>Original Chinese checked against Wang Bi recension; cross-check via Chinese Text Project. Vietnamese is Selflo working translation, not published translation.</t>
        </is>
      </c>
      <c r="Z3" s="18" t="inlineStr">
        <is>
          <t>Public domain / likely</t>
        </is>
      </c>
      <c r="AA3" s="18" t="inlineStr">
        <is>
          <t>Ancient text; Legge 1891 comparison is public domain in USA per Project Gutenberg. Verify jurisdiction for commercial publication.</t>
        </is>
      </c>
      <c r="AB3" s="18" t="inlineStr">
        <is>
          <t>Medium</t>
        </is>
      </c>
      <c r="AC3" s="18" t="inlineStr">
        <is>
          <t>Giữ research pool; ý siêu hình, cần ngữ cảnh nếu public.</t>
        </is>
      </c>
      <c r="AD3" s="18" t="inlineStr">
        <is>
          <t>Needs editorial review</t>
        </is>
      </c>
      <c r="AE3" s="18" t="inlineStr">
        <is>
          <t>Needs semantic dedupe review</t>
        </is>
      </c>
      <c r="AF3" s="18" t="str"/>
      <c r="AG3" s="18" t="str"/>
      <c r="AH3" s="18" t="inlineStr">
        <is>
          <t>No</t>
        </is>
      </c>
      <c r="AI3" s="18" t="inlineStr">
        <is>
          <t>Not reviewed</t>
        </is>
      </c>
      <c r="AJ3" s="18" t="inlineStr">
        <is>
          <t>Research only</t>
        </is>
      </c>
      <c r="AK3" s="18" t="inlineStr">
        <is>
          <t>Research Pool</t>
        </is>
      </c>
      <c r="AL3" s="18" t="n">
        <v>1</v>
      </c>
      <c r="AM3" s="18" t="inlineStr">
        <is>
          <t>ChatGPT research</t>
        </is>
      </c>
      <c r="AN3" s="18" t="inlineStr">
        <is>
          <t>2026-09-18</t>
        </is>
      </c>
      <c r="AO3" s="18" t="inlineStr">
        <is>
          <t>Day 1 full-scope audit, chapters 1–20.</t>
        </is>
      </c>
      <c r="AP3" s="18" t="n"/>
      <c r="AQ3" s="18" t="n"/>
    </row>
    <row r="4">
      <c r="A4" s="18" t="inlineStr">
        <is>
          <t>research.laozi.ch01.003</t>
        </is>
      </c>
      <c r="B4" s="18" t="inlineStr">
        <is>
          <t>Collected</t>
        </is>
      </c>
      <c r="C4" s="18" t="inlineStr">
        <is>
          <t>Nội tâm &amp; hiểu mình</t>
        </is>
      </c>
      <c r="D4" s="18" t="inlineStr">
        <is>
          <t>Attention / Noise / Deep focus</t>
        </is>
      </c>
      <c r="E4" s="18" t="str"/>
      <c r="F4" s="18" t="inlineStr">
        <is>
          <t>Ham muốn có thể làm thay đổi cách mình nhìn một điều</t>
        </is>
      </c>
      <c r="G4" s="18" t="inlineStr">
        <is>
          <t>Attention</t>
        </is>
      </c>
      <c r="H4" s="18" t="inlineStr">
        <is>
          <t>Judgment</t>
        </is>
      </c>
      <c r="I4" s="18" t="inlineStr">
        <is>
          <t>Áp lực</t>
        </is>
      </c>
      <c r="J4" s="18" t="str"/>
      <c r="K4" s="18" t="inlineStr">
        <is>
          <t>Recognize</t>
        </is>
      </c>
      <c r="L4" s="18" t="inlineStr">
        <is>
          <t>Distinguish</t>
        </is>
      </c>
      <c r="M4" s="18" t="inlineStr">
        <is>
          <t>Trích đoạn triết học</t>
        </is>
      </c>
      <c r="N4" s="18" t="inlineStr">
        <is>
          <t>故常無欲，以觀其妙；常有欲，以觀其徼。</t>
        </is>
      </c>
      <c r="O4" s="18" t="inlineStr">
        <is>
          <t>Classical Chinese (文言文)</t>
        </is>
      </c>
      <c r="P4" s="18" t="inlineStr">
        <is>
          <t>Khi không bị dục vọng kéo đi, ta có thể nhìn phần vi diệu; khi có ham muốn, ta thường nhìn phần biểu hiện và giới hạn của sự vật.</t>
        </is>
      </c>
      <c r="Q4" s="18" t="inlineStr">
        <is>
          <t>Laozi / 老子</t>
        </is>
      </c>
      <c r="R4" s="18" t="inlineStr">
        <is>
          <t>Taoism</t>
        </is>
      </c>
      <c r="S4" s="18" t="inlineStr">
        <is>
          <t>道德經 / Tao Te Ching</t>
        </is>
      </c>
      <c r="T4" s="18" t="inlineStr">
        <is>
          <t>Chapter 1</t>
        </is>
      </c>
      <c r="U4" s="18" t="inlineStr">
        <is>
          <t>https://zh.wikisource.org/zh-hans/%E9%81%93%E5%BE%B7%E7%B6%93_(%E7%8E%8B%E5%BC%BC%E6%9C%AC)</t>
        </is>
      </c>
      <c r="V4" s="18" t="inlineStr">
        <is>
          <t>Primary text</t>
        </is>
      </c>
      <c r="W4" s="18" t="inlineStr">
        <is>
          <t>Working translation</t>
        </is>
      </c>
      <c r="X4" s="18" t="inlineStr">
        <is>
          <t>A - Primary source</t>
        </is>
      </c>
      <c r="Y4" s="18" t="inlineStr">
        <is>
          <t>Original Chinese checked against Wang Bi recension; cross-check via Chinese Text Project. Vietnamese is Selflo working translation, not published translation.</t>
        </is>
      </c>
      <c r="Z4" s="18" t="inlineStr">
        <is>
          <t>Public domain / likely</t>
        </is>
      </c>
      <c r="AA4" s="18" t="inlineStr">
        <is>
          <t>Ancient text; Legge 1891 comparison is public domain in USA per Project Gutenberg. Verify jurisdiction for commercial publication.</t>
        </is>
      </c>
      <c r="AB4" s="18" t="inlineStr">
        <is>
          <t>Medium</t>
        </is>
      </c>
      <c r="AC4" s="18" t="inlineStr">
        <is>
          <t>Working translation diễn giải; cần review học thuật.</t>
        </is>
      </c>
      <c r="AD4" s="18" t="inlineStr">
        <is>
          <t>Needs editorial review</t>
        </is>
      </c>
      <c r="AE4" s="18" t="inlineStr">
        <is>
          <t>Needs semantic dedupe review</t>
        </is>
      </c>
      <c r="AF4" s="18" t="str"/>
      <c r="AG4" s="18" t="str"/>
      <c r="AH4" s="18" t="inlineStr">
        <is>
          <t>No</t>
        </is>
      </c>
      <c r="AI4" s="18" t="inlineStr">
        <is>
          <t>Not reviewed</t>
        </is>
      </c>
      <c r="AJ4" s="18" t="inlineStr">
        <is>
          <t>Research only</t>
        </is>
      </c>
      <c r="AK4" s="18" t="inlineStr">
        <is>
          <t>Research Pool</t>
        </is>
      </c>
      <c r="AL4" s="18" t="n">
        <v>1</v>
      </c>
      <c r="AM4" s="18" t="inlineStr">
        <is>
          <t>ChatGPT research</t>
        </is>
      </c>
      <c r="AN4" s="18" t="inlineStr">
        <is>
          <t>2026-09-18</t>
        </is>
      </c>
      <c r="AO4" s="18" t="inlineStr">
        <is>
          <t>Day 1 full-scope audit, chapters 1–20.</t>
        </is>
      </c>
      <c r="AP4" s="18" t="n"/>
      <c r="AQ4" s="18" t="n"/>
    </row>
    <row r="5">
      <c r="A5" s="18" t="inlineStr">
        <is>
          <t>research.laozi.ch01.004</t>
        </is>
      </c>
      <c r="B5" s="18" t="inlineStr">
        <is>
          <t>Collected</t>
        </is>
      </c>
      <c r="C5" s="18" t="inlineStr">
        <is>
          <t>Nội tâm &amp; hiểu mình</t>
        </is>
      </c>
      <c r="D5" s="18" t="inlineStr">
        <is>
          <t>Mixed emotions / Emotional memory</t>
        </is>
      </c>
      <c r="E5" s="18" t="str"/>
      <c r="F5" s="18" t="inlineStr">
        <is>
          <t>Hai mặt khác nhau có thể cùng thuộc một thực tại</t>
        </is>
      </c>
      <c r="G5" s="18" t="inlineStr">
        <is>
          <t>Change</t>
        </is>
      </c>
      <c r="H5" s="18" t="inlineStr">
        <is>
          <t>Acceptance</t>
        </is>
      </c>
      <c r="I5" s="18" t="inlineStr">
        <is>
          <t>Mixed / contradictory</t>
        </is>
      </c>
      <c r="J5" s="18" t="str"/>
      <c r="K5" s="18" t="inlineStr">
        <is>
          <t>Distinguish</t>
        </is>
      </c>
      <c r="L5" s="18" t="inlineStr">
        <is>
          <t>Permit</t>
        </is>
      </c>
      <c r="M5" s="18" t="inlineStr">
        <is>
          <t>Trích đoạn triết học</t>
        </is>
      </c>
      <c r="N5" s="18" t="inlineStr">
        <is>
          <t>此兩者，同出而異名，同謂之玄。</t>
        </is>
      </c>
      <c r="O5" s="18" t="inlineStr">
        <is>
          <t>Classical Chinese (文言文)</t>
        </is>
      </c>
      <c r="P5" s="18" t="inlineStr">
        <is>
          <t>Hai mặt ấy cùng đi ra từ một nguồn, chỉ mang những tên khác nhau.</t>
        </is>
      </c>
      <c r="Q5" s="18" t="inlineStr">
        <is>
          <t>Laozi / 老子</t>
        </is>
      </c>
      <c r="R5" s="18" t="inlineStr">
        <is>
          <t>Taoism</t>
        </is>
      </c>
      <c r="S5" s="18" t="inlineStr">
        <is>
          <t>道德經 / Tao Te Ching</t>
        </is>
      </c>
      <c r="T5" s="18" t="inlineStr">
        <is>
          <t>Chapter 1</t>
        </is>
      </c>
      <c r="U5" s="18" t="inlineStr">
        <is>
          <t>https://zh.wikisource.org/zh-hans/%E9%81%93%E5%BE%B7%E7%B6%93_(%E7%8E%8B%E5%BC%BC%E6%9C%AC)</t>
        </is>
      </c>
      <c r="V5" s="18" t="inlineStr">
        <is>
          <t>Primary text</t>
        </is>
      </c>
      <c r="W5" s="18" t="inlineStr">
        <is>
          <t>Working translation</t>
        </is>
      </c>
      <c r="X5" s="18" t="inlineStr">
        <is>
          <t>A - Primary source</t>
        </is>
      </c>
      <c r="Y5" s="18" t="inlineStr">
        <is>
          <t>Original Chinese checked against Wang Bi recension; cross-check via Chinese Text Project. Vietnamese is Selflo working translation, not published translation.</t>
        </is>
      </c>
      <c r="Z5" s="18" t="inlineStr">
        <is>
          <t>Public domain / likely</t>
        </is>
      </c>
      <c r="AA5" s="18" t="inlineStr">
        <is>
          <t>Ancient text; Legge 1891 comparison is public domain in USA per Project Gutenberg. Verify jurisdiction for commercial publication.</t>
        </is>
      </c>
      <c r="AB5" s="18" t="inlineStr">
        <is>
          <t>High</t>
        </is>
      </c>
      <c r="AC5" s="18" t="inlineStr">
        <is>
          <t>Gần triết lý hai mặt/đối cực của Selflo.</t>
        </is>
      </c>
      <c r="AD5" s="18" t="inlineStr">
        <is>
          <t>Needs editorial review</t>
        </is>
      </c>
      <c r="AE5" s="18" t="inlineStr">
        <is>
          <t>Needs semantic dedupe review</t>
        </is>
      </c>
      <c r="AF5" s="18" t="str"/>
      <c r="AG5" s="18" t="str"/>
      <c r="AH5" s="18" t="inlineStr">
        <is>
          <t>No</t>
        </is>
      </c>
      <c r="AI5" s="18" t="inlineStr">
        <is>
          <t>Not reviewed</t>
        </is>
      </c>
      <c r="AJ5" s="18" t="inlineStr">
        <is>
          <t>Research only</t>
        </is>
      </c>
      <c r="AK5" s="18" t="inlineStr">
        <is>
          <t>Research Pool</t>
        </is>
      </c>
      <c r="AL5" s="18" t="n">
        <v>1</v>
      </c>
      <c r="AM5" s="18" t="inlineStr">
        <is>
          <t>ChatGPT research</t>
        </is>
      </c>
      <c r="AN5" s="18" t="inlineStr">
        <is>
          <t>2026-09-18</t>
        </is>
      </c>
      <c r="AO5" s="18" t="inlineStr">
        <is>
          <t>Day 1 full-scope audit, chapters 1–20.</t>
        </is>
      </c>
      <c r="AP5" s="18" t="n"/>
      <c r="AQ5" s="18" t="n"/>
    </row>
    <row r="6">
      <c r="A6" s="18" t="inlineStr">
        <is>
          <t>research.laozi.ch02.005</t>
        </is>
      </c>
      <c r="B6" s="18" t="inlineStr">
        <is>
          <t>Collected</t>
        </is>
      </c>
      <c r="C6" s="18" t="inlineStr">
        <is>
          <t>Xã hội &amp; văn hóa</t>
        </is>
      </c>
      <c r="D6" s="18" t="inlineStr">
        <is>
          <t>Comparison / External standards / Values</t>
        </is>
      </c>
      <c r="E6" s="18" t="str"/>
      <c r="F6" s="18" t="inlineStr">
        <is>
          <t>Một tiêu chuẩn tạo ra cả phía được chọn và phía bị loại</t>
        </is>
      </c>
      <c r="G6" s="18" t="inlineStr">
        <is>
          <t>Comparison</t>
        </is>
      </c>
      <c r="H6" s="18" t="inlineStr">
        <is>
          <t>Judgment</t>
        </is>
      </c>
      <c r="I6" s="18" t="inlineStr">
        <is>
          <t>Áp lực</t>
        </is>
      </c>
      <c r="J6" s="18" t="str"/>
      <c r="K6" s="18" t="inlineStr">
        <is>
          <t>Distinguish</t>
        </is>
      </c>
      <c r="L6" s="18" t="inlineStr">
        <is>
          <t>Recognize</t>
        </is>
      </c>
      <c r="M6" s="18" t="inlineStr">
        <is>
          <t>Trích đoạn triết học</t>
        </is>
      </c>
      <c r="N6" s="18" t="inlineStr">
        <is>
          <t>天下皆知美之為美，斯惡已；皆知善之為善，斯不善已。</t>
        </is>
      </c>
      <c r="O6" s="18" t="inlineStr">
        <is>
          <t>Classical Chinese (文言文)</t>
        </is>
      </c>
      <c r="P6" s="18" t="inlineStr">
        <is>
          <t>Khi mọi người nhận ra cái đẹp là đẹp, ý niệm về cái không đẹp cũng xuất hiện; khi gọi điều này là tốt, điều không tốt cũng được phân biệt.</t>
        </is>
      </c>
      <c r="Q6" s="18" t="inlineStr">
        <is>
          <t>Laozi / 老子</t>
        </is>
      </c>
      <c r="R6" s="18" t="inlineStr">
        <is>
          <t>Taoism</t>
        </is>
      </c>
      <c r="S6" s="18" t="inlineStr">
        <is>
          <t>道德經 / Tao Te Ching</t>
        </is>
      </c>
      <c r="T6" s="18" t="inlineStr">
        <is>
          <t>Chapter 2</t>
        </is>
      </c>
      <c r="U6" s="18" t="inlineStr">
        <is>
          <t>https://zh.wikisource.org/zh-hans/%E9%81%93%E5%BE%B7%E7%B6%93_(%E7%8E%8B%E5%BC%BC%E6%9C%AC)</t>
        </is>
      </c>
      <c r="V6" s="18" t="inlineStr">
        <is>
          <t>Primary text</t>
        </is>
      </c>
      <c r="W6" s="18" t="inlineStr">
        <is>
          <t>Working translation</t>
        </is>
      </c>
      <c r="X6" s="18" t="inlineStr">
        <is>
          <t>A - Primary source</t>
        </is>
      </c>
      <c r="Y6" s="18" t="inlineStr">
        <is>
          <t>Original Chinese checked against Wang Bi recension; cross-check via Chinese Text Project. Vietnamese is Selflo working translation, not published translation.</t>
        </is>
      </c>
      <c r="Z6" s="18" t="inlineStr">
        <is>
          <t>Public domain / likely</t>
        </is>
      </c>
      <c r="AA6" s="18" t="inlineStr">
        <is>
          <t>Ancient text; Legge 1891 comparison is public domain in USA per Project Gutenberg. Verify jurisdiction for commercial publication.</t>
        </is>
      </c>
      <c r="AB6" s="18" t="inlineStr">
        <is>
          <t>High</t>
        </is>
      </c>
      <c r="AC6" s="18" t="inlineStr">
        <is>
          <t>Hữu ích cho standards/comparison; tránh biến thành phủ nhận thiện-ác.</t>
        </is>
      </c>
      <c r="AD6" s="18" t="inlineStr">
        <is>
          <t>Needs editorial review</t>
        </is>
      </c>
      <c r="AE6" s="18" t="inlineStr">
        <is>
          <t>Needs semantic dedupe review</t>
        </is>
      </c>
      <c r="AF6" s="18" t="str"/>
      <c r="AG6" s="18" t="str"/>
      <c r="AH6" s="18" t="inlineStr">
        <is>
          <t>No</t>
        </is>
      </c>
      <c r="AI6" s="18" t="inlineStr">
        <is>
          <t>Not reviewed</t>
        </is>
      </c>
      <c r="AJ6" s="18" t="inlineStr">
        <is>
          <t>Research only</t>
        </is>
      </c>
      <c r="AK6" s="18" t="inlineStr">
        <is>
          <t>Research Pool</t>
        </is>
      </c>
      <c r="AL6" s="18" t="n">
        <v>1</v>
      </c>
      <c r="AM6" s="18" t="inlineStr">
        <is>
          <t>ChatGPT research</t>
        </is>
      </c>
      <c r="AN6" s="18" t="inlineStr">
        <is>
          <t>2026-09-18</t>
        </is>
      </c>
      <c r="AO6" s="18" t="inlineStr">
        <is>
          <t>Day 1 full-scope audit, chapters 1–20.</t>
        </is>
      </c>
      <c r="AP6" s="18" t="n"/>
      <c r="AQ6" s="18" t="n"/>
    </row>
    <row r="7">
      <c r="A7" s="18" t="inlineStr">
        <is>
          <t>research.laozi.ch02.006</t>
        </is>
      </c>
      <c r="B7" s="18" t="inlineStr">
        <is>
          <t>Collected</t>
        </is>
      </c>
      <c r="C7" s="18" t="inlineStr">
        <is>
          <t>Nội tâm &amp; hiểu mình</t>
        </is>
      </c>
      <c r="D7" s="18" t="inlineStr">
        <is>
          <t>Mixed emotions / Emotional memory</t>
        </is>
      </c>
      <c r="E7" s="18" t="str"/>
      <c r="F7" s="18" t="inlineStr">
        <is>
          <t>Những mặt đối lập có thể định nghĩa và làm rõ nhau</t>
        </is>
      </c>
      <c r="G7" s="18" t="inlineStr">
        <is>
          <t>Change</t>
        </is>
      </c>
      <c r="H7" s="18" t="inlineStr">
        <is>
          <t>Acceptance</t>
        </is>
      </c>
      <c r="I7" s="18" t="inlineStr">
        <is>
          <t>Mixed / contradictory</t>
        </is>
      </c>
      <c r="J7" s="18" t="str"/>
      <c r="K7" s="18" t="inlineStr">
        <is>
          <t>Distinguish</t>
        </is>
      </c>
      <c r="L7" s="18" t="inlineStr">
        <is>
          <t>Reframe</t>
        </is>
      </c>
      <c r="M7" s="18" t="inlineStr">
        <is>
          <t>Trích đoạn triết học</t>
        </is>
      </c>
      <c r="N7" s="18" t="inlineStr">
        <is>
          <t>有無相生，難易相成，長短相較，高下相傾，音聲相和，前後相隨。</t>
        </is>
      </c>
      <c r="O7" s="18" t="inlineStr">
        <is>
          <t>Classical Chinese (文言文)</t>
        </is>
      </c>
      <c r="P7" s="18" t="inlineStr">
        <is>
          <t>Có và không sinh ra nhau; khó và dễ thành tựu lẫn nhau; dài và ngắn làm rõ nhau; cao và thấp dựa vào nhau; âm và tiếng hòa cùng nhau; trước và sau nối tiếp nhau.</t>
        </is>
      </c>
      <c r="Q7" s="18" t="inlineStr">
        <is>
          <t>Laozi / 老子</t>
        </is>
      </c>
      <c r="R7" s="18" t="inlineStr">
        <is>
          <t>Taoism</t>
        </is>
      </c>
      <c r="S7" s="18" t="inlineStr">
        <is>
          <t>道德經 / Tao Te Ching</t>
        </is>
      </c>
      <c r="T7" s="18" t="inlineStr">
        <is>
          <t>Chapter 2</t>
        </is>
      </c>
      <c r="U7" s="18" t="inlineStr">
        <is>
          <t>https://zh.wikisource.org/zh-hans/%E9%81%93%E5%BE%B7%E7%B6%93_(%E7%8E%8B%E5%BC%BC%E6%9C%AC)</t>
        </is>
      </c>
      <c r="V7" s="18" t="inlineStr">
        <is>
          <t>Primary text</t>
        </is>
      </c>
      <c r="W7" s="18" t="inlineStr">
        <is>
          <t>Working translation</t>
        </is>
      </c>
      <c r="X7" s="18" t="inlineStr">
        <is>
          <t>A - Primary source</t>
        </is>
      </c>
      <c r="Y7" s="18" t="inlineStr">
        <is>
          <t>Original Chinese checked against Wang Bi recension; cross-check via Chinese Text Project. Vietnamese is Selflo working translation, not published translation.</t>
        </is>
      </c>
      <c r="Z7" s="18" t="inlineStr">
        <is>
          <t>Public domain / likely</t>
        </is>
      </c>
      <c r="AA7" s="18" t="inlineStr">
        <is>
          <t>Ancient text; Legge 1891 comparison is public domain in USA per Project Gutenberg. Verify jurisdiction for commercial publication.</t>
        </is>
      </c>
      <c r="AB7" s="18" t="inlineStr">
        <is>
          <t>High</t>
        </is>
      </c>
      <c r="AC7" s="18" t="inlineStr">
        <is>
          <t>Một trong các candidate mạnh nhất Day 1.</t>
        </is>
      </c>
      <c r="AD7" s="18" t="inlineStr">
        <is>
          <t>Needs editorial review</t>
        </is>
      </c>
      <c r="AE7" s="18" t="inlineStr">
        <is>
          <t>Needs semantic dedupe review</t>
        </is>
      </c>
      <c r="AF7" s="18" t="str"/>
      <c r="AG7" s="18" t="str"/>
      <c r="AH7" s="18" t="inlineStr">
        <is>
          <t>No</t>
        </is>
      </c>
      <c r="AI7" s="18" t="inlineStr">
        <is>
          <t>Not reviewed</t>
        </is>
      </c>
      <c r="AJ7" s="18" t="inlineStr">
        <is>
          <t>Research only</t>
        </is>
      </c>
      <c r="AK7" s="18" t="inlineStr">
        <is>
          <t>Research Pool</t>
        </is>
      </c>
      <c r="AL7" s="18" t="n">
        <v>1</v>
      </c>
      <c r="AM7" s="18" t="inlineStr">
        <is>
          <t>ChatGPT research</t>
        </is>
      </c>
      <c r="AN7" s="18" t="inlineStr">
        <is>
          <t>2026-09-18</t>
        </is>
      </c>
      <c r="AO7" s="18" t="inlineStr">
        <is>
          <t>Day 1 full-scope audit, chapters 1–20.</t>
        </is>
      </c>
      <c r="AP7" s="18" t="n"/>
      <c r="AQ7" s="18" t="n"/>
    </row>
    <row r="8">
      <c r="A8" s="18" t="inlineStr">
        <is>
          <t>research.laozi.ch02.007</t>
        </is>
      </c>
      <c r="B8" s="18" t="inlineStr">
        <is>
          <t>Collected</t>
        </is>
      </c>
      <c r="C8" s="18" t="inlineStr">
        <is>
          <t>Quan hệ</t>
        </is>
      </c>
      <c r="D8" s="18" t="inlineStr">
        <is>
          <t>Relationships / Boundaries / Connection</t>
        </is>
      </c>
      <c r="E8" s="18" t="str"/>
      <c r="F8" s="18" t="inlineStr">
        <is>
          <t>Chăm sóc hoặc tạo ra điều gì đó mà không biến nó thành sở hữu</t>
        </is>
      </c>
      <c r="G8" s="18" t="inlineStr">
        <is>
          <t>Agency</t>
        </is>
      </c>
      <c r="H8" s="18" t="inlineStr">
        <is>
          <t>Connection</t>
        </is>
      </c>
      <c r="I8" s="18" t="inlineStr">
        <is>
          <t>Bình yên</t>
        </is>
      </c>
      <c r="J8" s="18" t="str"/>
      <c r="K8" s="18" t="inlineStr">
        <is>
          <t>Reframe</t>
        </is>
      </c>
      <c r="L8" s="18" t="inlineStr">
        <is>
          <t>Distinguish</t>
        </is>
      </c>
      <c r="M8" s="18" t="inlineStr">
        <is>
          <t>Trích đoạn triết học</t>
        </is>
      </c>
      <c r="N8" s="18" t="inlineStr">
        <is>
          <t>萬物作焉而不辭，生而不有，為而不恃。</t>
        </is>
      </c>
      <c r="O8" s="18" t="inlineStr">
        <is>
          <t>Classical Chinese (文言文)</t>
        </is>
      </c>
      <c r="P8" s="18" t="inlineStr">
        <is>
          <t>Muôn vật sinh khởi mà không bị giữ lại; sinh ra mà không chiếm hữu, làm mà không cậy vào việc mình đã làm.</t>
        </is>
      </c>
      <c r="Q8" s="18" t="inlineStr">
        <is>
          <t>Laozi / 老子</t>
        </is>
      </c>
      <c r="R8" s="18" t="inlineStr">
        <is>
          <t>Taoism</t>
        </is>
      </c>
      <c r="S8" s="18" t="inlineStr">
        <is>
          <t>道德經 / Tao Te Ching</t>
        </is>
      </c>
      <c r="T8" s="18" t="inlineStr">
        <is>
          <t>Chapter 2</t>
        </is>
      </c>
      <c r="U8" s="18" t="inlineStr">
        <is>
          <t>https://zh.wikisource.org/zh-hans/%E9%81%93%E5%BE%B7%E7%B6%93_(%E7%8E%8B%E5%BC%BC%E6%9C%AC)</t>
        </is>
      </c>
      <c r="V8" s="18" t="inlineStr">
        <is>
          <t>Primary text</t>
        </is>
      </c>
      <c r="W8" s="18" t="inlineStr">
        <is>
          <t>Working translation</t>
        </is>
      </c>
      <c r="X8" s="18" t="inlineStr">
        <is>
          <t>A - Primary source</t>
        </is>
      </c>
      <c r="Y8" s="18" t="inlineStr">
        <is>
          <t>Original Chinese checked against Wang Bi recension; cross-check via Chinese Text Project. Vietnamese is Selflo working translation, not published translation.</t>
        </is>
      </c>
      <c r="Z8" s="18" t="inlineStr">
        <is>
          <t>Public domain / likely</t>
        </is>
      </c>
      <c r="AA8" s="18" t="inlineStr">
        <is>
          <t>Ancient text; Legge 1891 comparison is public domain in USA per Project Gutenberg. Verify jurisdiction for commercial publication.</t>
        </is>
      </c>
      <c r="AB8" s="18" t="inlineStr">
        <is>
          <t>Medium</t>
        </is>
      </c>
      <c r="AC8" s="18" t="inlineStr">
        <is>
          <t>Có thể hữu ích cho parenting/leadership; cần ngữ cảnh.</t>
        </is>
      </c>
      <c r="AD8" s="18" t="inlineStr">
        <is>
          <t>Needs editorial review</t>
        </is>
      </c>
      <c r="AE8" s="18" t="inlineStr">
        <is>
          <t>Needs semantic dedupe review</t>
        </is>
      </c>
      <c r="AF8" s="18" t="str"/>
      <c r="AG8" s="18" t="str"/>
      <c r="AH8" s="18" t="inlineStr">
        <is>
          <t>No</t>
        </is>
      </c>
      <c r="AI8" s="18" t="inlineStr">
        <is>
          <t>Not reviewed</t>
        </is>
      </c>
      <c r="AJ8" s="18" t="inlineStr">
        <is>
          <t>Research only</t>
        </is>
      </c>
      <c r="AK8" s="18" t="inlineStr">
        <is>
          <t>Research Pool</t>
        </is>
      </c>
      <c r="AL8" s="18" t="n">
        <v>1</v>
      </c>
      <c r="AM8" s="18" t="inlineStr">
        <is>
          <t>ChatGPT research</t>
        </is>
      </c>
      <c r="AN8" s="18" t="inlineStr">
        <is>
          <t>2026-09-18</t>
        </is>
      </c>
      <c r="AO8" s="18" t="inlineStr">
        <is>
          <t>Day 1 full-scope audit, chapters 1–20.</t>
        </is>
      </c>
      <c r="AP8" s="18" t="n"/>
      <c r="AQ8" s="18" t="n"/>
    </row>
    <row r="9">
      <c r="A9" s="18" t="inlineStr">
        <is>
          <t>research.laozi.ch02.008</t>
        </is>
      </c>
      <c r="B9" s="18" t="inlineStr">
        <is>
          <t>Collected</t>
        </is>
      </c>
      <c r="C9" s="18" t="inlineStr">
        <is>
          <t>Công việc &amp; mục đích</t>
        </is>
      </c>
      <c r="D9" s="18" t="inlineStr">
        <is>
          <t>Meaning / Identity / Work</t>
        </is>
      </c>
      <c r="E9" s="18" t="str"/>
      <c r="F9" s="18" t="inlineStr">
        <is>
          <t>Thành tựu không nhất thiết phải trở thành nơi mình bám vào</t>
        </is>
      </c>
      <c r="G9" s="18" t="inlineStr">
        <is>
          <t>Identity</t>
        </is>
      </c>
      <c r="H9" s="18" t="inlineStr">
        <is>
          <t>Enoughness</t>
        </is>
      </c>
      <c r="I9" s="18" t="inlineStr">
        <is>
          <t>Áp lực</t>
        </is>
      </c>
      <c r="J9" s="18" t="str"/>
      <c r="K9" s="18" t="inlineStr">
        <is>
          <t>Reframe</t>
        </is>
      </c>
      <c r="L9" s="18" t="inlineStr">
        <is>
          <t>Permit</t>
        </is>
      </c>
      <c r="M9" s="18" t="inlineStr">
        <is>
          <t>Trích đoạn triết học</t>
        </is>
      </c>
      <c r="N9" s="18" t="inlineStr">
        <is>
          <t>功成而弗居。夫唯弗居，是以不去。</t>
        </is>
      </c>
      <c r="O9" s="18" t="inlineStr">
        <is>
          <t>Classical Chinese (文言文)</t>
        </is>
      </c>
      <c r="P9" s="18" t="inlineStr">
        <is>
          <t>Việc thành mà không ở lại trong công trạng; chính vì không giữ lấy nên điều ấy không mất đi.</t>
        </is>
      </c>
      <c r="Q9" s="18" t="inlineStr">
        <is>
          <t>Laozi / 老子</t>
        </is>
      </c>
      <c r="R9" s="18" t="inlineStr">
        <is>
          <t>Taoism</t>
        </is>
      </c>
      <c r="S9" s="18" t="inlineStr">
        <is>
          <t>道德經 / Tao Te Ching</t>
        </is>
      </c>
      <c r="T9" s="18" t="inlineStr">
        <is>
          <t>Chapter 2</t>
        </is>
      </c>
      <c r="U9" s="18" t="inlineStr">
        <is>
          <t>https://zh.wikisource.org/zh-hans/%E9%81%93%E5%BE%B7%E7%B6%93_(%E7%8E%8B%E5%BC%BC%E6%9C%AC)</t>
        </is>
      </c>
      <c r="V9" s="18" t="inlineStr">
        <is>
          <t>Primary text</t>
        </is>
      </c>
      <c r="W9" s="18" t="inlineStr">
        <is>
          <t>Working translation</t>
        </is>
      </c>
      <c r="X9" s="18" t="inlineStr">
        <is>
          <t>A - Primary source</t>
        </is>
      </c>
      <c r="Y9" s="18" t="inlineStr">
        <is>
          <t>Original Chinese checked against Wang Bi recension; cross-check via Chinese Text Project. Vietnamese is Selflo working translation, not published translation.</t>
        </is>
      </c>
      <c r="Z9" s="18" t="inlineStr">
        <is>
          <t>Public domain / likely</t>
        </is>
      </c>
      <c r="AA9" s="18" t="inlineStr">
        <is>
          <t>Ancient text; Legge 1891 comparison is public domain in USA per Project Gutenberg. Verify jurisdiction for commercial publication.</t>
        </is>
      </c>
      <c r="AB9" s="18" t="inlineStr">
        <is>
          <t>High</t>
        </is>
      </c>
      <c r="AC9" s="18" t="inlineStr">
        <is>
          <t>Mạnh cho achievement ≠ identity.</t>
        </is>
      </c>
      <c r="AD9" s="18" t="inlineStr">
        <is>
          <t>Needs editorial review</t>
        </is>
      </c>
      <c r="AE9" s="18" t="inlineStr">
        <is>
          <t>Needs semantic dedupe review</t>
        </is>
      </c>
      <c r="AF9" s="18" t="str"/>
      <c r="AG9" s="18" t="str"/>
      <c r="AH9" s="18" t="inlineStr">
        <is>
          <t>No</t>
        </is>
      </c>
      <c r="AI9" s="18" t="inlineStr">
        <is>
          <t>Not reviewed</t>
        </is>
      </c>
      <c r="AJ9" s="18" t="inlineStr">
        <is>
          <t>Research only</t>
        </is>
      </c>
      <c r="AK9" s="18" t="inlineStr">
        <is>
          <t>Research Pool</t>
        </is>
      </c>
      <c r="AL9" s="18" t="n">
        <v>1</v>
      </c>
      <c r="AM9" s="18" t="inlineStr">
        <is>
          <t>ChatGPT research</t>
        </is>
      </c>
      <c r="AN9" s="18" t="inlineStr">
        <is>
          <t>2026-09-18</t>
        </is>
      </c>
      <c r="AO9" s="18" t="inlineStr">
        <is>
          <t>Day 1 full-scope audit, chapters 1–20.</t>
        </is>
      </c>
      <c r="AP9" s="18" t="n"/>
      <c r="AQ9" s="18" t="n"/>
    </row>
    <row r="10">
      <c r="A10" s="18" t="inlineStr">
        <is>
          <t>research.laozi.ch03.009</t>
        </is>
      </c>
      <c r="B10" s="18" t="inlineStr">
        <is>
          <t>Collected</t>
        </is>
      </c>
      <c r="C10" s="18" t="inlineStr">
        <is>
          <t>Xã hội &amp; văn hóa</t>
        </is>
      </c>
      <c r="D10" s="18" t="inlineStr">
        <is>
          <t>Comparison / External standards / Values</t>
        </is>
      </c>
      <c r="E10" s="18" t="str"/>
      <c r="F10" s="18" t="inlineStr">
        <is>
          <t>Môi trường và tín hiệu xã hội có thể khuếch đại cạnh tranh và ham muốn</t>
        </is>
      </c>
      <c r="G10" s="18" t="inlineStr">
        <is>
          <t>Comparison</t>
        </is>
      </c>
      <c r="H10" s="18" t="inlineStr">
        <is>
          <t>Attention</t>
        </is>
      </c>
      <c r="I10" s="18" t="inlineStr">
        <is>
          <t>Áp lực</t>
        </is>
      </c>
      <c r="J10" s="18" t="str"/>
      <c r="K10" s="18" t="inlineStr">
        <is>
          <t>Recognize</t>
        </is>
      </c>
      <c r="L10" s="18" t="inlineStr">
        <is>
          <t>Reframe</t>
        </is>
      </c>
      <c r="M10" s="18" t="inlineStr">
        <is>
          <t>Trích đoạn triết học</t>
        </is>
      </c>
      <c r="N10" s="18" t="inlineStr">
        <is>
          <t>不尚賢，使民不爭；不貴難得之貨，使民不為盜；不見可欲，使民心不亂。</t>
        </is>
      </c>
      <c r="O10" s="18" t="inlineStr">
        <is>
          <t>Classical Chinese (文言文)</t>
        </is>
      </c>
      <c r="P10" s="18" t="inlineStr">
        <is>
          <t>Khi xã hội không liên tục tôn cao hơn-thua, quý hiếm và những thứ kích thích ham muốn, sự tranh giành và xao động cũng có thể bớt đi.</t>
        </is>
      </c>
      <c r="Q10" s="18" t="inlineStr">
        <is>
          <t>Laozi / 老子</t>
        </is>
      </c>
      <c r="R10" s="18" t="inlineStr">
        <is>
          <t>Taoism</t>
        </is>
      </c>
      <c r="S10" s="18" t="inlineStr">
        <is>
          <t>道德經 / Tao Te Ching</t>
        </is>
      </c>
      <c r="T10" s="18" t="inlineStr">
        <is>
          <t>Chapter 3</t>
        </is>
      </c>
      <c r="U10" s="18" t="inlineStr">
        <is>
          <t>https://zh.wikisource.org/zh-hans/%E9%81%93%E5%BE%B7%E7%B6%93_(%E7%8E%8B%E5%BC%BC%E6%9C%AC)</t>
        </is>
      </c>
      <c r="V10" s="18" t="inlineStr">
        <is>
          <t>Primary text</t>
        </is>
      </c>
      <c r="W10" s="18" t="inlineStr">
        <is>
          <t>Working translation</t>
        </is>
      </c>
      <c r="X10" s="18" t="inlineStr">
        <is>
          <t>A - Primary source</t>
        </is>
      </c>
      <c r="Y10" s="18" t="inlineStr">
        <is>
          <t>Original Chinese checked against Wang Bi recension; cross-check via Chinese Text Project. Vietnamese is Selflo working translation, not published translation.</t>
        </is>
      </c>
      <c r="Z10" s="18" t="inlineStr">
        <is>
          <t>Public domain / likely</t>
        </is>
      </c>
      <c r="AA10" s="18" t="inlineStr">
        <is>
          <t>Ancient text; Legge 1891 comparison is public domain in USA per Project Gutenberg. Verify jurisdiction for commercial publication.</t>
        </is>
      </c>
      <c r="AB10" s="18" t="inlineStr">
        <is>
          <t>Medium</t>
        </is>
      </c>
      <c r="AC10" s="18" t="inlineStr">
        <is>
          <t>Bản dịch chủ ý mềm hơn; nguyên văn mang tính chính trị/xã hội.</t>
        </is>
      </c>
      <c r="AD10" s="18" t="inlineStr">
        <is>
          <t>Needs editorial review</t>
        </is>
      </c>
      <c r="AE10" s="18" t="inlineStr">
        <is>
          <t>Needs semantic dedupe review</t>
        </is>
      </c>
      <c r="AF10" s="18" t="str"/>
      <c r="AG10" s="18" t="str"/>
      <c r="AH10" s="18" t="inlineStr">
        <is>
          <t>No</t>
        </is>
      </c>
      <c r="AI10" s="18" t="inlineStr">
        <is>
          <t>Not reviewed</t>
        </is>
      </c>
      <c r="AJ10" s="18" t="inlineStr">
        <is>
          <t>Research only</t>
        </is>
      </c>
      <c r="AK10" s="18" t="inlineStr">
        <is>
          <t>Research Pool</t>
        </is>
      </c>
      <c r="AL10" s="18" t="n">
        <v>1</v>
      </c>
      <c r="AM10" s="18" t="inlineStr">
        <is>
          <t>ChatGPT research</t>
        </is>
      </c>
      <c r="AN10" s="18" t="inlineStr">
        <is>
          <t>2026-09-18</t>
        </is>
      </c>
      <c r="AO10" s="18" t="inlineStr">
        <is>
          <t>Day 1 full-scope audit, chapters 1–20.</t>
        </is>
      </c>
      <c r="AP10" s="18" t="n"/>
      <c r="AQ10" s="18" t="n"/>
    </row>
    <row r="11">
      <c r="A11" s="18" t="inlineStr">
        <is>
          <t>research.laozi.ch03.010</t>
        </is>
      </c>
      <c r="B11" s="18" t="inlineStr">
        <is>
          <t>Collected</t>
        </is>
      </c>
      <c r="C11" s="18" t="inlineStr">
        <is>
          <t>AI &amp; tương lai</t>
        </is>
      </c>
      <c r="D11" s="18" t="inlineStr">
        <is>
          <t>AI-age Human Judgment</t>
        </is>
      </c>
      <c r="E11" s="18" t="str"/>
      <c r="F11" s="18" t="inlineStr">
        <is>
          <t>Không phải mọi vấn đề đều cần thêm can thiệp</t>
        </is>
      </c>
      <c r="G11" s="18" t="inlineStr">
        <is>
          <t>Control</t>
        </is>
      </c>
      <c r="H11" s="18" t="inlineStr">
        <is>
          <t>Agency</t>
        </is>
      </c>
      <c r="I11" s="18" t="inlineStr">
        <is>
          <t>Bối rối</t>
        </is>
      </c>
      <c r="J11" s="18" t="str"/>
      <c r="K11" s="18" t="inlineStr">
        <is>
          <t>Reframe</t>
        </is>
      </c>
      <c r="L11" s="18" t="inlineStr">
        <is>
          <t>Distinguish</t>
        </is>
      </c>
      <c r="M11" s="18" t="inlineStr">
        <is>
          <t>Trích đoạn triết học</t>
        </is>
      </c>
      <c r="N11" s="18" t="inlineStr">
        <is>
          <t>為無為，則無不治。</t>
        </is>
      </c>
      <c r="O11" s="18" t="inlineStr">
        <is>
          <t>Classical Chinese (文言文)</t>
        </is>
      </c>
      <c r="P11" s="18" t="inlineStr">
        <is>
          <t>Làm theo cách không cưỡng ép; khi ấy sự việc có thể tự tìm được trật tự của nó.</t>
        </is>
      </c>
      <c r="Q11" s="18" t="inlineStr">
        <is>
          <t>Laozi / 老子</t>
        </is>
      </c>
      <c r="R11" s="18" t="inlineStr">
        <is>
          <t>Taoism</t>
        </is>
      </c>
      <c r="S11" s="18" t="inlineStr">
        <is>
          <t>道德經 / Tao Te Ching</t>
        </is>
      </c>
      <c r="T11" s="18" t="inlineStr">
        <is>
          <t>Chapter 3</t>
        </is>
      </c>
      <c r="U11" s="18" t="inlineStr">
        <is>
          <t>https://zh.wikisource.org/zh-hans/%E9%81%93%E5%BE%B7%E7%B6%93_(%E7%8E%8B%E5%BC%BC%E6%9C%AC)</t>
        </is>
      </c>
      <c r="V11" s="18" t="inlineStr">
        <is>
          <t>Primary text</t>
        </is>
      </c>
      <c r="W11" s="18" t="inlineStr">
        <is>
          <t>Working translation</t>
        </is>
      </c>
      <c r="X11" s="18" t="inlineStr">
        <is>
          <t>A - Primary source</t>
        </is>
      </c>
      <c r="Y11" s="18" t="inlineStr">
        <is>
          <t>Original Chinese checked against Wang Bi recension; cross-check via Chinese Text Project. Vietnamese is Selflo working translation, not published translation.</t>
        </is>
      </c>
      <c r="Z11" s="18" t="inlineStr">
        <is>
          <t>Public domain / likely</t>
        </is>
      </c>
      <c r="AA11" s="18" t="inlineStr">
        <is>
          <t>Ancient text; Legge 1891 comparison is public domain in USA per Project Gutenberg. Verify jurisdiction for commercial publication.</t>
        </is>
      </c>
      <c r="AB11" s="18" t="inlineStr">
        <is>
          <t>Medium</t>
        </is>
      </c>
      <c r="AC11" s="18" t="inlineStr">
        <is>
          <t>Wu-wei khó dịch; không nên Release nguyên trạng trước review.</t>
        </is>
      </c>
      <c r="AD11" s="18" t="inlineStr">
        <is>
          <t>Needs editorial review</t>
        </is>
      </c>
      <c r="AE11" s="18" t="inlineStr">
        <is>
          <t>Needs semantic dedupe review</t>
        </is>
      </c>
      <c r="AF11" s="18" t="str"/>
      <c r="AG11" s="18" t="str"/>
      <c r="AH11" s="18" t="inlineStr">
        <is>
          <t>No</t>
        </is>
      </c>
      <c r="AI11" s="18" t="inlineStr">
        <is>
          <t>Not reviewed</t>
        </is>
      </c>
      <c r="AJ11" s="18" t="inlineStr">
        <is>
          <t>Research only</t>
        </is>
      </c>
      <c r="AK11" s="18" t="inlineStr">
        <is>
          <t>Research Pool</t>
        </is>
      </c>
      <c r="AL11" s="18" t="n">
        <v>1</v>
      </c>
      <c r="AM11" s="18" t="inlineStr">
        <is>
          <t>ChatGPT research</t>
        </is>
      </c>
      <c r="AN11" s="18" t="inlineStr">
        <is>
          <t>2026-09-18</t>
        </is>
      </c>
      <c r="AO11" s="18" t="inlineStr">
        <is>
          <t>Day 1 full-scope audit, chapters 1–20.</t>
        </is>
      </c>
      <c r="AP11" s="18" t="n"/>
      <c r="AQ11" s="18" t="n"/>
    </row>
    <row r="12">
      <c r="A12" s="18" t="inlineStr">
        <is>
          <t>research.laozi.ch04.011</t>
        </is>
      </c>
      <c r="B12" s="18" t="inlineStr">
        <is>
          <t>Collected</t>
        </is>
      </c>
      <c r="C12" s="18" t="inlineStr">
        <is>
          <t>Nội tâm &amp; hiểu mình</t>
        </is>
      </c>
      <c r="D12" s="18" t="inlineStr">
        <is>
          <t>Rest / Limits / Wellbeing</t>
        </is>
      </c>
      <c r="E12" s="18" t="str"/>
      <c r="F12" s="18" t="inlineStr">
        <is>
          <t>Khoảng trống không nhất thiết là thiếu hụt</t>
        </is>
      </c>
      <c r="G12" s="18" t="inlineStr">
        <is>
          <t>Enoughness</t>
        </is>
      </c>
      <c r="H12" s="18" t="inlineStr">
        <is>
          <t>Rest</t>
        </is>
      </c>
      <c r="I12" s="18" t="inlineStr">
        <is>
          <t>Trống rỗng</t>
        </is>
      </c>
      <c r="J12" s="18" t="str"/>
      <c r="K12" s="18" t="inlineStr">
        <is>
          <t>Reframe</t>
        </is>
      </c>
      <c r="L12" s="18" t="inlineStr">
        <is>
          <t>Permit</t>
        </is>
      </c>
      <c r="M12" s="18" t="inlineStr">
        <is>
          <t>Ẩn dụ</t>
        </is>
      </c>
      <c r="N12" s="18" t="inlineStr">
        <is>
          <t>道沖而用之或不盈。</t>
        </is>
      </c>
      <c r="O12" s="18" t="inlineStr">
        <is>
          <t>Classical Chinese (文言文)</t>
        </is>
      </c>
      <c r="P12" s="18" t="inlineStr">
        <is>
          <t>Đạo rỗng mà dùng mãi dường như vẫn không đầy.</t>
        </is>
      </c>
      <c r="Q12" s="18" t="inlineStr">
        <is>
          <t>Laozi / 老子</t>
        </is>
      </c>
      <c r="R12" s="18" t="inlineStr">
        <is>
          <t>Taoism</t>
        </is>
      </c>
      <c r="S12" s="18" t="inlineStr">
        <is>
          <t>道德經 / Tao Te Ching</t>
        </is>
      </c>
      <c r="T12" s="18" t="inlineStr">
        <is>
          <t>Chapter 4</t>
        </is>
      </c>
      <c r="U12" s="18" t="inlineStr">
        <is>
          <t>https://zh.wikisource.org/zh-hans/%E9%81%93%E5%BE%B7%E7%B6%93_(%E7%8E%8B%E5%BC%BC%E6%9C%AC)</t>
        </is>
      </c>
      <c r="V12" s="18" t="inlineStr">
        <is>
          <t>Primary text</t>
        </is>
      </c>
      <c r="W12" s="18" t="inlineStr">
        <is>
          <t>Working translation</t>
        </is>
      </c>
      <c r="X12" s="18" t="inlineStr">
        <is>
          <t>A - Primary source</t>
        </is>
      </c>
      <c r="Y12" s="18" t="inlineStr">
        <is>
          <t>Original Chinese checked against Wang Bi recension; cross-check via Chinese Text Project. Vietnamese is Selflo working translation, not published translation.</t>
        </is>
      </c>
      <c r="Z12" s="18" t="inlineStr">
        <is>
          <t>Public domain / likely</t>
        </is>
      </c>
      <c r="AA12" s="18" t="inlineStr">
        <is>
          <t>Ancient text; Legge 1891 comparison is public domain in USA per Project Gutenberg. Verify jurisdiction for commercial publication.</t>
        </is>
      </c>
      <c r="AB12" s="18" t="inlineStr">
        <is>
          <t>High</t>
        </is>
      </c>
      <c r="AC12" s="18" t="inlineStr">
        <is>
          <t>Mạnh cho empty space / Ma; metaphysical context cần giữ.</t>
        </is>
      </c>
      <c r="AD12" s="18" t="inlineStr">
        <is>
          <t>Needs editorial review</t>
        </is>
      </c>
      <c r="AE12" s="18" t="inlineStr">
        <is>
          <t>Needs semantic dedupe review</t>
        </is>
      </c>
      <c r="AF12" s="18" t="str"/>
      <c r="AG12" s="18" t="str"/>
      <c r="AH12" s="18" t="inlineStr">
        <is>
          <t>No</t>
        </is>
      </c>
      <c r="AI12" s="18" t="inlineStr">
        <is>
          <t>Not reviewed</t>
        </is>
      </c>
      <c r="AJ12" s="18" t="inlineStr">
        <is>
          <t>Research only</t>
        </is>
      </c>
      <c r="AK12" s="18" t="inlineStr">
        <is>
          <t>Research Pool</t>
        </is>
      </c>
      <c r="AL12" s="18" t="n">
        <v>1</v>
      </c>
      <c r="AM12" s="18" t="inlineStr">
        <is>
          <t>ChatGPT research</t>
        </is>
      </c>
      <c r="AN12" s="18" t="inlineStr">
        <is>
          <t>2026-09-18</t>
        </is>
      </c>
      <c r="AO12" s="18" t="inlineStr">
        <is>
          <t>Day 1 full-scope audit, chapters 1–20.</t>
        </is>
      </c>
      <c r="AP12" s="18" t="n"/>
      <c r="AQ12" s="18" t="n"/>
    </row>
    <row r="13">
      <c r="A13" s="18" t="inlineStr">
        <is>
          <t>research.laozi.ch04.012</t>
        </is>
      </c>
      <c r="B13" s="18" t="inlineStr">
        <is>
          <t>Collected</t>
        </is>
      </c>
      <c r="C13" s="18" t="inlineStr">
        <is>
          <t>Nội tâm &amp; hiểu mình</t>
        </is>
      </c>
      <c r="D13" s="18" t="inlineStr">
        <is>
          <t>Rest / Limits / Wellbeing</t>
        </is>
      </c>
      <c r="E13" s="18" t="str"/>
      <c r="F13" s="18" t="inlineStr">
        <is>
          <t>Không phải lúc nào cũng cần giữ mình ở trạng thái sắc bén nhất</t>
        </is>
      </c>
      <c r="G13" s="18" t="inlineStr">
        <is>
          <t>Rest</t>
        </is>
      </c>
      <c r="H13" s="18" t="inlineStr">
        <is>
          <t>Simplicity</t>
        </is>
      </c>
      <c r="I13" s="18" t="inlineStr">
        <is>
          <t>Cạn năng lượng</t>
        </is>
      </c>
      <c r="J13" s="18" t="str"/>
      <c r="K13" s="18" t="inlineStr">
        <is>
          <t>Permit</t>
        </is>
      </c>
      <c r="L13" s="18" t="inlineStr">
        <is>
          <t>Reframe</t>
        </is>
      </c>
      <c r="M13" s="18" t="inlineStr">
        <is>
          <t>Ẩn dụ</t>
        </is>
      </c>
      <c r="N13" s="18" t="inlineStr">
        <is>
          <t>挫其銳，解其紛，和其光，同其塵。</t>
        </is>
      </c>
      <c r="O13" s="18" t="inlineStr">
        <is>
          <t>Classical Chinese (文言文)</t>
        </is>
      </c>
      <c r="P13" s="18" t="inlineStr">
        <is>
          <t>Làm bớt sắc nhọn, gỡ điều rối, dịu ánh sáng và hòa vào bụi đời.</t>
        </is>
      </c>
      <c r="Q13" s="18" t="inlineStr">
        <is>
          <t>Laozi / 老子</t>
        </is>
      </c>
      <c r="R13" s="18" t="inlineStr">
        <is>
          <t>Taoism</t>
        </is>
      </c>
      <c r="S13" s="18" t="inlineStr">
        <is>
          <t>道德經 / Tao Te Ching</t>
        </is>
      </c>
      <c r="T13" s="18" t="inlineStr">
        <is>
          <t>Chapter 4</t>
        </is>
      </c>
      <c r="U13" s="18" t="inlineStr">
        <is>
          <t>https://zh.wikisource.org/zh-hans/%E9%81%93%E5%BE%B7%E7%B6%93_(%E7%8E%8B%E5%BC%BC%E6%9C%AC)</t>
        </is>
      </c>
      <c r="V13" s="18" t="inlineStr">
        <is>
          <t>Primary text</t>
        </is>
      </c>
      <c r="W13" s="18" t="inlineStr">
        <is>
          <t>Working translation</t>
        </is>
      </c>
      <c r="X13" s="18" t="inlineStr">
        <is>
          <t>A - Primary source</t>
        </is>
      </c>
      <c r="Y13" s="18" t="inlineStr">
        <is>
          <t>Original Chinese checked against Wang Bi recension; cross-check via Chinese Text Project. Vietnamese is Selflo working translation, not published translation.</t>
        </is>
      </c>
      <c r="Z13" s="18" t="inlineStr">
        <is>
          <t>Public domain / likely</t>
        </is>
      </c>
      <c r="AA13" s="18" t="inlineStr">
        <is>
          <t>Ancient text; Legge 1891 comparison is public domain in USA per Project Gutenberg. Verify jurisdiction for commercial publication.</t>
        </is>
      </c>
      <c r="AB13" s="18" t="inlineStr">
        <is>
          <t>Medium</t>
        </is>
      </c>
      <c r="AC13" s="18" t="inlineStr">
        <is>
          <t>Có tiềm năng recovery; bản dịch cần owner review.</t>
        </is>
      </c>
      <c r="AD13" s="18" t="inlineStr">
        <is>
          <t>Needs editorial review</t>
        </is>
      </c>
      <c r="AE13" s="18" t="inlineStr">
        <is>
          <t>Needs semantic dedupe review</t>
        </is>
      </c>
      <c r="AF13" s="18" t="str"/>
      <c r="AG13" s="18" t="str"/>
      <c r="AH13" s="18" t="inlineStr">
        <is>
          <t>No</t>
        </is>
      </c>
      <c r="AI13" s="18" t="inlineStr">
        <is>
          <t>Not reviewed</t>
        </is>
      </c>
      <c r="AJ13" s="18" t="inlineStr">
        <is>
          <t>Research only</t>
        </is>
      </c>
      <c r="AK13" s="18" t="inlineStr">
        <is>
          <t>Research Pool</t>
        </is>
      </c>
      <c r="AL13" s="18" t="n">
        <v>1</v>
      </c>
      <c r="AM13" s="18" t="inlineStr">
        <is>
          <t>ChatGPT research</t>
        </is>
      </c>
      <c r="AN13" s="18" t="inlineStr">
        <is>
          <t>2026-09-18</t>
        </is>
      </c>
      <c r="AO13" s="18" t="inlineStr">
        <is>
          <t>Day 1 full-scope audit, chapters 1–20.</t>
        </is>
      </c>
      <c r="AP13" s="18" t="n"/>
      <c r="AQ13" s="18" t="n"/>
    </row>
    <row r="14">
      <c r="A14" s="18" t="inlineStr">
        <is>
          <t>research.laozi.ch05.013</t>
        </is>
      </c>
      <c r="B14" s="18" t="inlineStr">
        <is>
          <t>Collected</t>
        </is>
      </c>
      <c r="C14" s="18" t="inlineStr">
        <is>
          <t>AI &amp; tương lai</t>
        </is>
      </c>
      <c r="D14" s="18" t="inlineStr">
        <is>
          <t>Attention / Noise / Deep focus</t>
        </is>
      </c>
      <c r="E14" s="18" t="str"/>
      <c r="F14" s="18" t="inlineStr">
        <is>
          <t>Khoảng rỗng có thể là điều kiện cho khả năng sinh ra</t>
        </is>
      </c>
      <c r="G14" s="18" t="inlineStr">
        <is>
          <t>Attention</t>
        </is>
      </c>
      <c r="H14" s="18" t="inlineStr">
        <is>
          <t>Enoughness</t>
        </is>
      </c>
      <c r="I14" s="18" t="inlineStr">
        <is>
          <t>Trống rỗng</t>
        </is>
      </c>
      <c r="J14" s="18" t="str"/>
      <c r="K14" s="18" t="inlineStr">
        <is>
          <t>Reframe</t>
        </is>
      </c>
      <c r="L14" s="18" t="inlineStr">
        <is>
          <t>Distinguish</t>
        </is>
      </c>
      <c r="M14" s="18" t="inlineStr">
        <is>
          <t>Ẩn dụ</t>
        </is>
      </c>
      <c r="N14" s="18" t="inlineStr">
        <is>
          <t>天地之間，其猶橐籥乎？虛而不屈，動而愈出。</t>
        </is>
      </c>
      <c r="O14" s="18" t="inlineStr">
        <is>
          <t>Classical Chinese (文言文)</t>
        </is>
      </c>
      <c r="P14" s="18" t="inlineStr">
        <is>
          <t>Khoảng giữa trời đất chẳng giống một ống bễ sao? Rỗng mà không kiệt; càng vận động, nó càng tạo ra luồng khí.</t>
        </is>
      </c>
      <c r="Q14" s="18" t="inlineStr">
        <is>
          <t>Laozi / 老子</t>
        </is>
      </c>
      <c r="R14" s="18" t="inlineStr">
        <is>
          <t>Taoism</t>
        </is>
      </c>
      <c r="S14" s="18" t="inlineStr">
        <is>
          <t>道德經 / Tao Te Ching</t>
        </is>
      </c>
      <c r="T14" s="18" t="inlineStr">
        <is>
          <t>Chapter 5</t>
        </is>
      </c>
      <c r="U14" s="18" t="inlineStr">
        <is>
          <t>https://zh.wikisource.org/zh-hans/%E9%81%93%E5%BE%B7%E7%B6%93_(%E7%8E%8B%E5%BC%BC%E6%9C%AC)</t>
        </is>
      </c>
      <c r="V14" s="18" t="inlineStr">
        <is>
          <t>Primary text</t>
        </is>
      </c>
      <c r="W14" s="18" t="inlineStr">
        <is>
          <t>Working translation</t>
        </is>
      </c>
      <c r="X14" s="18" t="inlineStr">
        <is>
          <t>A - Primary source</t>
        </is>
      </c>
      <c r="Y14" s="18" t="inlineStr">
        <is>
          <t>Original Chinese checked against Wang Bi recension; cross-check via Chinese Text Project. Vietnamese is Selflo working translation, not published translation.</t>
        </is>
      </c>
      <c r="Z14" s="18" t="inlineStr">
        <is>
          <t>Public domain / likely</t>
        </is>
      </c>
      <c r="AA14" s="18" t="inlineStr">
        <is>
          <t>Ancient text; Legge 1891 comparison is public domain in USA per Project Gutenberg. Verify jurisdiction for commercial publication.</t>
        </is>
      </c>
      <c r="AB14" s="18" t="inlineStr">
        <is>
          <t>High</t>
        </is>
      </c>
      <c r="AC14" s="18" t="inlineStr">
        <is>
          <t>Metaphor passage; không phải story.</t>
        </is>
      </c>
      <c r="AD14" s="18" t="inlineStr">
        <is>
          <t>Needs editorial review</t>
        </is>
      </c>
      <c r="AE14" s="18" t="inlineStr">
        <is>
          <t>Needs semantic dedupe review</t>
        </is>
      </c>
      <c r="AF14" s="18" t="str"/>
      <c r="AG14" s="18" t="str"/>
      <c r="AH14" s="18" t="inlineStr">
        <is>
          <t>No</t>
        </is>
      </c>
      <c r="AI14" s="18" t="inlineStr">
        <is>
          <t>Not reviewed</t>
        </is>
      </c>
      <c r="AJ14" s="18" t="inlineStr">
        <is>
          <t>Research only</t>
        </is>
      </c>
      <c r="AK14" s="18" t="inlineStr">
        <is>
          <t>Research Pool</t>
        </is>
      </c>
      <c r="AL14" s="18" t="n">
        <v>1</v>
      </c>
      <c r="AM14" s="18" t="inlineStr">
        <is>
          <t>ChatGPT research</t>
        </is>
      </c>
      <c r="AN14" s="18" t="inlineStr">
        <is>
          <t>2026-09-18</t>
        </is>
      </c>
      <c r="AO14" s="18" t="inlineStr">
        <is>
          <t>Day 1 full-scope audit, chapters 1–20.</t>
        </is>
      </c>
      <c r="AP14" s="18" t="n"/>
      <c r="AQ14" s="18" t="n"/>
    </row>
    <row r="15">
      <c r="A15" s="18" t="inlineStr">
        <is>
          <t>research.laozi.ch05.014</t>
        </is>
      </c>
      <c r="B15" s="18" t="inlineStr">
        <is>
          <t>Collected</t>
        </is>
      </c>
      <c r="C15" s="18" t="inlineStr">
        <is>
          <t>Nội tâm &amp; hiểu mình</t>
        </is>
      </c>
      <c r="D15" s="18" t="inlineStr">
        <is>
          <t>Attention / Noise / Deep focus</t>
        </is>
      </c>
      <c r="E15" s="18" t="str"/>
      <c r="F15" s="18" t="inlineStr">
        <is>
          <t>Thêm lời không phải lúc nào cũng tạo thêm sáng rõ</t>
        </is>
      </c>
      <c r="G15" s="18" t="inlineStr">
        <is>
          <t>Attention</t>
        </is>
      </c>
      <c r="H15" s="18" t="inlineStr">
        <is>
          <t>Simplicity</t>
        </is>
      </c>
      <c r="I15" s="18" t="inlineStr">
        <is>
          <t>Quá tải</t>
        </is>
      </c>
      <c r="J15" s="18" t="str"/>
      <c r="K15" s="18" t="inlineStr">
        <is>
          <t>Distinguish</t>
        </is>
      </c>
      <c r="L15" s="18" t="inlineStr">
        <is>
          <t>Permit</t>
        </is>
      </c>
      <c r="M15" s="18" t="inlineStr">
        <is>
          <t>Trích đoạn triết học</t>
        </is>
      </c>
      <c r="N15" s="18" t="inlineStr">
        <is>
          <t>多言數窮，不如守中。</t>
        </is>
      </c>
      <c r="O15" s="18" t="inlineStr">
        <is>
          <t>Classical Chinese (文言文)</t>
        </is>
      </c>
      <c r="P15" s="18" t="inlineStr">
        <is>
          <t>Nói quá nhiều dễ đi đến cạn; có lúc giữ lại khoảng trung tâm còn hơn tiếp tục thêm lời.</t>
        </is>
      </c>
      <c r="Q15" s="18" t="inlineStr">
        <is>
          <t>Laozi / 老子</t>
        </is>
      </c>
      <c r="R15" s="18" t="inlineStr">
        <is>
          <t>Taoism</t>
        </is>
      </c>
      <c r="S15" s="18" t="inlineStr">
        <is>
          <t>道德經 / Tao Te Ching</t>
        </is>
      </c>
      <c r="T15" s="18" t="inlineStr">
        <is>
          <t>Chapter 5</t>
        </is>
      </c>
      <c r="U15" s="18" t="inlineStr">
        <is>
          <t>https://zh.wikisource.org/zh-hans/%E9%81%93%E5%BE%B7%E7%B6%93_(%E7%8E%8B%E5%BC%BC%E6%9C%AC)</t>
        </is>
      </c>
      <c r="V15" s="18" t="inlineStr">
        <is>
          <t>Primary text</t>
        </is>
      </c>
      <c r="W15" s="18" t="inlineStr">
        <is>
          <t>Working translation</t>
        </is>
      </c>
      <c r="X15" s="18" t="inlineStr">
        <is>
          <t>A - Primary source</t>
        </is>
      </c>
      <c r="Y15" s="18" t="inlineStr">
        <is>
          <t>Original Chinese checked against Wang Bi recension; cross-check via Chinese Text Project. Vietnamese is Selflo working translation, not published translation.</t>
        </is>
      </c>
      <c r="Z15" s="18" t="inlineStr">
        <is>
          <t>Public domain / likely</t>
        </is>
      </c>
      <c r="AA15" s="18" t="inlineStr">
        <is>
          <t>Ancient text; Legge 1891 comparison is public domain in USA per Project Gutenberg. Verify jurisdiction for commercial publication.</t>
        </is>
      </c>
      <c r="AB15" s="18" t="inlineStr">
        <is>
          <t>High</t>
        </is>
      </c>
      <c r="AC15" s="18" t="inlineStr">
        <is>
          <t>Rất hợp AI abundance / answer abundance.</t>
        </is>
      </c>
      <c r="AD15" s="18" t="inlineStr">
        <is>
          <t>Needs editorial review</t>
        </is>
      </c>
      <c r="AE15" s="18" t="inlineStr">
        <is>
          <t>Needs semantic dedupe review</t>
        </is>
      </c>
      <c r="AF15" s="18" t="str"/>
      <c r="AG15" s="18" t="str"/>
      <c r="AH15" s="18" t="inlineStr">
        <is>
          <t>No</t>
        </is>
      </c>
      <c r="AI15" s="18" t="inlineStr">
        <is>
          <t>Not reviewed</t>
        </is>
      </c>
      <c r="AJ15" s="18" t="inlineStr">
        <is>
          <t>Research only</t>
        </is>
      </c>
      <c r="AK15" s="18" t="inlineStr">
        <is>
          <t>Research Pool</t>
        </is>
      </c>
      <c r="AL15" s="18" t="n">
        <v>1</v>
      </c>
      <c r="AM15" s="18" t="inlineStr">
        <is>
          <t>ChatGPT research</t>
        </is>
      </c>
      <c r="AN15" s="18" t="inlineStr">
        <is>
          <t>2026-09-18</t>
        </is>
      </c>
      <c r="AO15" s="18" t="inlineStr">
        <is>
          <t>Day 1 full-scope audit, chapters 1–20.</t>
        </is>
      </c>
      <c r="AP15" s="18" t="n"/>
      <c r="AQ15" s="18" t="n"/>
    </row>
    <row r="16">
      <c r="A16" s="18" t="inlineStr">
        <is>
          <t>research.laozi.ch06.015</t>
        </is>
      </c>
      <c r="B16" s="18" t="inlineStr">
        <is>
          <t>Collected</t>
        </is>
      </c>
      <c r="C16" s="18" t="inlineStr">
        <is>
          <t>Ý nghĩa &amp; bản sắc</t>
        </is>
      </c>
      <c r="D16" s="18" t="inlineStr">
        <is>
          <t>Change / Impermanence / Recovery</t>
        </is>
      </c>
      <c r="E16" s="18" t="str"/>
      <c r="F16" s="18" t="inlineStr">
        <is>
          <t>Hình ảnh thung lũng như một sức chứa và nguồn sinh</t>
        </is>
      </c>
      <c r="G16" s="18" t="inlineStr">
        <is>
          <t>Change</t>
        </is>
      </c>
      <c r="H16" s="18" t="inlineStr">
        <is>
          <t>Meaning</t>
        </is>
      </c>
      <c r="I16" s="18" t="inlineStr">
        <is>
          <t>Bình yên</t>
        </is>
      </c>
      <c r="J16" s="18" t="str"/>
      <c r="K16" s="18" t="inlineStr">
        <is>
          <t>Recognize</t>
        </is>
      </c>
      <c r="L16" s="18" t="inlineStr">
        <is>
          <t>Reframe</t>
        </is>
      </c>
      <c r="M16" s="18" t="inlineStr">
        <is>
          <t>Ẩn dụ</t>
        </is>
      </c>
      <c r="N16" s="18" t="inlineStr">
        <is>
          <t>谷神不死，是謂玄牝。</t>
        </is>
      </c>
      <c r="O16" s="18" t="inlineStr">
        <is>
          <t>Classical Chinese (文言文)</t>
        </is>
      </c>
      <c r="P16" s="18" t="inlineStr">
        <is>
          <t>Tinh thần của thung lũng không mất; đó được gọi là nguồn sinh huyền nhiệm.</t>
        </is>
      </c>
      <c r="Q16" s="18" t="inlineStr">
        <is>
          <t>Laozi / 老子</t>
        </is>
      </c>
      <c r="R16" s="18" t="inlineStr">
        <is>
          <t>Taoism</t>
        </is>
      </c>
      <c r="S16" s="18" t="inlineStr">
        <is>
          <t>道德經 / Tao Te Ching</t>
        </is>
      </c>
      <c r="T16" s="18" t="inlineStr">
        <is>
          <t>Chapter 6</t>
        </is>
      </c>
      <c r="U16" s="18" t="inlineStr">
        <is>
          <t>https://zh.wikisource.org/zh-hans/%E9%81%93%E5%BE%B7%E7%B6%93_(%E7%8E%8B%E5%BC%BC%E6%9C%AC)</t>
        </is>
      </c>
      <c r="V16" s="18" t="inlineStr">
        <is>
          <t>Primary text</t>
        </is>
      </c>
      <c r="W16" s="18" t="inlineStr">
        <is>
          <t>Working translation</t>
        </is>
      </c>
      <c r="X16" s="18" t="inlineStr">
        <is>
          <t>A - Primary source</t>
        </is>
      </c>
      <c r="Y16" s="18" t="inlineStr">
        <is>
          <t>Original Chinese checked against Wang Bi recension; cross-check via Chinese Text Project. Vietnamese is Selflo working translation, not published translation.</t>
        </is>
      </c>
      <c r="Z16" s="18" t="inlineStr">
        <is>
          <t>Public domain / likely</t>
        </is>
      </c>
      <c r="AA16" s="18" t="inlineStr">
        <is>
          <t>Ancient text; Legge 1891 comparison is public domain in USA per Project Gutenberg. Verify jurisdiction for commercial publication.</t>
        </is>
      </c>
      <c r="AB16" s="18" t="inlineStr">
        <is>
          <t>Low</t>
        </is>
      </c>
      <c r="AC16" s="18" t="inlineStr">
        <is>
          <t>Giữ research vì hình ảnh đẹp nhưng rất siêu hình.</t>
        </is>
      </c>
      <c r="AD16" s="18" t="inlineStr">
        <is>
          <t>Needs editorial review</t>
        </is>
      </c>
      <c r="AE16" s="18" t="inlineStr">
        <is>
          <t>Needs semantic dedupe review</t>
        </is>
      </c>
      <c r="AF16" s="18" t="str"/>
      <c r="AG16" s="18" t="str"/>
      <c r="AH16" s="18" t="inlineStr">
        <is>
          <t>No</t>
        </is>
      </c>
      <c r="AI16" s="18" t="inlineStr">
        <is>
          <t>Not reviewed</t>
        </is>
      </c>
      <c r="AJ16" s="18" t="inlineStr">
        <is>
          <t>Research only</t>
        </is>
      </c>
      <c r="AK16" s="18" t="inlineStr">
        <is>
          <t>Research Pool</t>
        </is>
      </c>
      <c r="AL16" s="18" t="n">
        <v>1</v>
      </c>
      <c r="AM16" s="18" t="inlineStr">
        <is>
          <t>ChatGPT research</t>
        </is>
      </c>
      <c r="AN16" s="18" t="inlineStr">
        <is>
          <t>2026-09-18</t>
        </is>
      </c>
      <c r="AO16" s="18" t="inlineStr">
        <is>
          <t>Day 1 full-scope audit, chapters 1–20.</t>
        </is>
      </c>
      <c r="AP16" s="18" t="n"/>
      <c r="AQ16" s="18" t="n"/>
    </row>
    <row r="17">
      <c r="A17" s="18" t="inlineStr">
        <is>
          <t>research.laozi.ch06.016</t>
        </is>
      </c>
      <c r="B17" s="18" t="inlineStr">
        <is>
          <t>Collected</t>
        </is>
      </c>
      <c r="C17" s="18" t="inlineStr">
        <is>
          <t>Nghỉ ngơi &amp; sức khỏe tinh thần</t>
        </is>
      </c>
      <c r="D17" s="18" t="inlineStr">
        <is>
          <t>Rest / Limits / Wellbeing</t>
        </is>
      </c>
      <c r="E17" s="18" t="str"/>
      <c r="F17" s="18" t="inlineStr">
        <is>
          <t>Sức bền không nhất thiết đến từ gắng sức liên tục</t>
        </is>
      </c>
      <c r="G17" s="18" t="inlineStr">
        <is>
          <t>Rest</t>
        </is>
      </c>
      <c r="H17" s="18" t="inlineStr">
        <is>
          <t>Enoughness</t>
        </is>
      </c>
      <c r="I17" s="18" t="inlineStr">
        <is>
          <t>Cạn năng lượng</t>
        </is>
      </c>
      <c r="J17" s="18" t="str"/>
      <c r="K17" s="18" t="inlineStr">
        <is>
          <t>Reframe</t>
        </is>
      </c>
      <c r="L17" s="18" t="inlineStr">
        <is>
          <t>Permit</t>
        </is>
      </c>
      <c r="M17" s="18" t="inlineStr">
        <is>
          <t>Ẩn dụ</t>
        </is>
      </c>
      <c r="N17" s="18" t="inlineStr">
        <is>
          <t>綿綿若存，用之不勤。</t>
        </is>
      </c>
      <c r="O17" s="18" t="inlineStr">
        <is>
          <t>Classical Chinese (文言文)</t>
        </is>
      </c>
      <c r="P17" s="18" t="inlineStr">
        <is>
          <t>Nó nối dài như thể chỉ vừa đủ hiện hữu; dùng đến mà không kiệt sức.</t>
        </is>
      </c>
      <c r="Q17" s="18" t="inlineStr">
        <is>
          <t>Laozi / 老子</t>
        </is>
      </c>
      <c r="R17" s="18" t="inlineStr">
        <is>
          <t>Taoism</t>
        </is>
      </c>
      <c r="S17" s="18" t="inlineStr">
        <is>
          <t>道德經 / Tao Te Ching</t>
        </is>
      </c>
      <c r="T17" s="18" t="inlineStr">
        <is>
          <t>Chapter 6</t>
        </is>
      </c>
      <c r="U17" s="18" t="inlineStr">
        <is>
          <t>https://zh.wikisource.org/zh-hans/%E9%81%93%E5%BE%B7%E7%B6%93_(%E7%8E%8B%E5%BC%BC%E6%9C%AC)</t>
        </is>
      </c>
      <c r="V17" s="18" t="inlineStr">
        <is>
          <t>Primary text</t>
        </is>
      </c>
      <c r="W17" s="18" t="inlineStr">
        <is>
          <t>Working translation</t>
        </is>
      </c>
      <c r="X17" s="18" t="inlineStr">
        <is>
          <t>A - Primary source</t>
        </is>
      </c>
      <c r="Y17" s="18" t="inlineStr">
        <is>
          <t>Original Chinese checked against Wang Bi recension; cross-check via Chinese Text Project. Vietnamese is Selflo working translation, not published translation.</t>
        </is>
      </c>
      <c r="Z17" s="18" t="inlineStr">
        <is>
          <t>Public domain / likely</t>
        </is>
      </c>
      <c r="AA17" s="18" t="inlineStr">
        <is>
          <t>Ancient text; Legge 1891 comparison is public domain in USA per Project Gutenberg. Verify jurisdiction for commercial publication.</t>
        </is>
      </c>
      <c r="AB17" s="18" t="inlineStr">
        <is>
          <t>Medium</t>
        </is>
      </c>
      <c r="AC17" s="18" t="inlineStr">
        <is>
          <t>Có thể liên hệ sustainable effort nhưng không nên diễn giải quá xa.</t>
        </is>
      </c>
      <c r="AD17" s="18" t="inlineStr">
        <is>
          <t>Needs editorial review</t>
        </is>
      </c>
      <c r="AE17" s="18" t="inlineStr">
        <is>
          <t>Needs semantic dedupe review</t>
        </is>
      </c>
      <c r="AF17" s="18" t="str"/>
      <c r="AG17" s="18" t="str"/>
      <c r="AH17" s="18" t="inlineStr">
        <is>
          <t>No</t>
        </is>
      </c>
      <c r="AI17" s="18" t="inlineStr">
        <is>
          <t>Not reviewed</t>
        </is>
      </c>
      <c r="AJ17" s="18" t="inlineStr">
        <is>
          <t>Research only</t>
        </is>
      </c>
      <c r="AK17" s="18" t="inlineStr">
        <is>
          <t>Research Pool</t>
        </is>
      </c>
      <c r="AL17" s="18" t="n">
        <v>1</v>
      </c>
      <c r="AM17" s="18" t="inlineStr">
        <is>
          <t>ChatGPT research</t>
        </is>
      </c>
      <c r="AN17" s="18" t="inlineStr">
        <is>
          <t>2026-09-18</t>
        </is>
      </c>
      <c r="AO17" s="18" t="inlineStr">
        <is>
          <t>Day 1 full-scope audit, chapters 1–20.</t>
        </is>
      </c>
      <c r="AP17" s="18" t="n"/>
      <c r="AQ17" s="18" t="n"/>
    </row>
    <row r="18">
      <c r="A18" s="18" t="inlineStr">
        <is>
          <t>research.laozi.ch07.017</t>
        </is>
      </c>
      <c r="B18" s="18" t="inlineStr">
        <is>
          <t>Collected</t>
        </is>
      </c>
      <c r="C18" s="18" t="inlineStr">
        <is>
          <t>Ý nghĩa &amp; bản sắc</t>
        </is>
      </c>
      <c r="D18" s="18" t="inlineStr">
        <is>
          <t>Meaning / Identity / Work</t>
        </is>
      </c>
      <c r="E18" s="18" t="str"/>
      <c r="F18" s="18" t="inlineStr">
        <is>
          <t>Sự bền lâu được đặt trong quan hệ rộng hơn cái tôi riêng lẻ</t>
        </is>
      </c>
      <c r="G18" s="18" t="inlineStr">
        <is>
          <t>Meaning</t>
        </is>
      </c>
      <c r="H18" s="18" t="inlineStr">
        <is>
          <t>Connection</t>
        </is>
      </c>
      <c r="I18" s="18" t="inlineStr">
        <is>
          <t>Bình yên</t>
        </is>
      </c>
      <c r="J18" s="18" t="str"/>
      <c r="K18" s="18" t="inlineStr">
        <is>
          <t>Reframe</t>
        </is>
      </c>
      <c r="L18" s="18" t="inlineStr">
        <is>
          <t>Distinguish</t>
        </is>
      </c>
      <c r="M18" s="18" t="inlineStr">
        <is>
          <t>Trích đoạn triết học</t>
        </is>
      </c>
      <c r="N18" s="18" t="inlineStr">
        <is>
          <t>天長地久。天地所以能長且久者，以其不自生，故能長生。</t>
        </is>
      </c>
      <c r="O18" s="18" t="inlineStr">
        <is>
          <t>Classical Chinese (文言文)</t>
        </is>
      </c>
      <c r="P18" s="18" t="inlineStr">
        <is>
          <t>Trời đất lâu bền; theo đoạn này, chính vì không chỉ sống cho riêng mình nên có thể tiếp tục lâu dài.</t>
        </is>
      </c>
      <c r="Q18" s="18" t="inlineStr">
        <is>
          <t>Laozi / 老子</t>
        </is>
      </c>
      <c r="R18" s="18" t="inlineStr">
        <is>
          <t>Taoism</t>
        </is>
      </c>
      <c r="S18" s="18" t="inlineStr">
        <is>
          <t>道德經 / Tao Te Ching</t>
        </is>
      </c>
      <c r="T18" s="18" t="inlineStr">
        <is>
          <t>Chapter 7</t>
        </is>
      </c>
      <c r="U18" s="18" t="inlineStr">
        <is>
          <t>https://zh.wikisource.org/zh-hans/%E9%81%93%E5%BE%B7%E7%B6%93_(%E7%8E%8B%E5%BC%BC%E6%9C%AC)</t>
        </is>
      </c>
      <c r="V18" s="18" t="inlineStr">
        <is>
          <t>Primary text</t>
        </is>
      </c>
      <c r="W18" s="18" t="inlineStr">
        <is>
          <t>Working translation</t>
        </is>
      </c>
      <c r="X18" s="18" t="inlineStr">
        <is>
          <t>A - Primary source</t>
        </is>
      </c>
      <c r="Y18" s="18" t="inlineStr">
        <is>
          <t>Original Chinese checked against Wang Bi recension; cross-check via Chinese Text Project. Vietnamese is Selflo working translation, not published translation.</t>
        </is>
      </c>
      <c r="Z18" s="18" t="inlineStr">
        <is>
          <t>Public domain / likely</t>
        </is>
      </c>
      <c r="AA18" s="18" t="inlineStr">
        <is>
          <t>Ancient text; Legge 1891 comparison is public domain in USA per Project Gutenberg. Verify jurisdiction for commercial publication.</t>
        </is>
      </c>
      <c r="AB18" s="18" t="inlineStr">
        <is>
          <t>Low</t>
        </is>
      </c>
      <c r="AC18" s="18" t="inlineStr">
        <is>
          <t>Khá metaphysical/ethical; giữ research.</t>
        </is>
      </c>
      <c r="AD18" s="18" t="inlineStr">
        <is>
          <t>Needs editorial review</t>
        </is>
      </c>
      <c r="AE18" s="18" t="inlineStr">
        <is>
          <t>Needs semantic dedupe review</t>
        </is>
      </c>
      <c r="AF18" s="18" t="str"/>
      <c r="AG18" s="18" t="str"/>
      <c r="AH18" s="18" t="inlineStr">
        <is>
          <t>No</t>
        </is>
      </c>
      <c r="AI18" s="18" t="inlineStr">
        <is>
          <t>Not reviewed</t>
        </is>
      </c>
      <c r="AJ18" s="18" t="inlineStr">
        <is>
          <t>Research only</t>
        </is>
      </c>
      <c r="AK18" s="18" t="inlineStr">
        <is>
          <t>Research Pool</t>
        </is>
      </c>
      <c r="AL18" s="18" t="n">
        <v>1</v>
      </c>
      <c r="AM18" s="18" t="inlineStr">
        <is>
          <t>ChatGPT research</t>
        </is>
      </c>
      <c r="AN18" s="18" t="inlineStr">
        <is>
          <t>2026-09-18</t>
        </is>
      </c>
      <c r="AO18" s="18" t="inlineStr">
        <is>
          <t>Day 1 full-scope audit, chapters 1–20.</t>
        </is>
      </c>
      <c r="AP18" s="18" t="n"/>
      <c r="AQ18" s="18" t="n"/>
    </row>
    <row r="19">
      <c r="A19" s="18" t="inlineStr">
        <is>
          <t>research.laozi.ch07.018</t>
        </is>
      </c>
      <c r="B19" s="18" t="inlineStr">
        <is>
          <t>Collected</t>
        </is>
      </c>
      <c r="C19" s="18" t="inlineStr">
        <is>
          <t>Quan hệ</t>
        </is>
      </c>
      <c r="D19" s="18" t="inlineStr">
        <is>
          <t>Relationships / Boundaries / Connection</t>
        </is>
      </c>
      <c r="E19" s="18" t="str"/>
      <c r="F19" s="18" t="inlineStr">
        <is>
          <t>Nghịch lý giữa tự đặt mình làm trung tâm và vị trí thực sự của mình</t>
        </is>
      </c>
      <c r="G19" s="18" t="inlineStr">
        <is>
          <t>Connection</t>
        </is>
      </c>
      <c r="H19" s="18" t="inlineStr">
        <is>
          <t>Agency</t>
        </is>
      </c>
      <c r="I19" s="18" t="inlineStr">
        <is>
          <t>Bình yên</t>
        </is>
      </c>
      <c r="J19" s="18" t="str"/>
      <c r="K19" s="18" t="inlineStr">
        <is>
          <t>Reframe</t>
        </is>
      </c>
      <c r="L19" s="18" t="inlineStr">
        <is>
          <t>Distinguish</t>
        </is>
      </c>
      <c r="M19" s="18" t="inlineStr">
        <is>
          <t>Nghịch lý</t>
        </is>
      </c>
      <c r="N19" s="18" t="inlineStr">
        <is>
          <t>後其身而身先；外其身而身存。</t>
        </is>
      </c>
      <c r="O19" s="18" t="inlineStr">
        <is>
          <t>Classical Chinese (文言文)</t>
        </is>
      </c>
      <c r="P19" s="18" t="inlineStr">
        <is>
          <t>Đặt mình ra sau mà lại ở trước; không ôm chặt lấy mình mà mình lại được giữ lại.</t>
        </is>
      </c>
      <c r="Q19" s="18" t="inlineStr">
        <is>
          <t>Laozi / 老子</t>
        </is>
      </c>
      <c r="R19" s="18" t="inlineStr">
        <is>
          <t>Taoism</t>
        </is>
      </c>
      <c r="S19" s="18" t="inlineStr">
        <is>
          <t>道德經 / Tao Te Ching</t>
        </is>
      </c>
      <c r="T19" s="18" t="inlineStr">
        <is>
          <t>Chapter 7</t>
        </is>
      </c>
      <c r="U19" s="18" t="inlineStr">
        <is>
          <t>https://zh.wikisource.org/zh-hans/%E9%81%93%E5%BE%B7%E7%B6%93_(%E7%8E%8B%E5%BC%BC%E6%9C%AC)</t>
        </is>
      </c>
      <c r="V19" s="18" t="inlineStr">
        <is>
          <t>Primary text</t>
        </is>
      </c>
      <c r="W19" s="18" t="inlineStr">
        <is>
          <t>Working translation</t>
        </is>
      </c>
      <c r="X19" s="18" t="inlineStr">
        <is>
          <t>A - Primary source</t>
        </is>
      </c>
      <c r="Y19" s="18" t="inlineStr">
        <is>
          <t>Original Chinese checked against Wang Bi recension; cross-check via Chinese Text Project. Vietnamese is Selflo working translation, not published translation.</t>
        </is>
      </c>
      <c r="Z19" s="18" t="inlineStr">
        <is>
          <t>Public domain / likely</t>
        </is>
      </c>
      <c r="AA19" s="18" t="inlineStr">
        <is>
          <t>Ancient text; Legge 1891 comparison is public domain in USA per Project Gutenberg. Verify jurisdiction for commercial publication.</t>
        </is>
      </c>
      <c r="AB19" s="18" t="inlineStr">
        <is>
          <t>Medium</t>
        </is>
      </c>
      <c r="AC19" s="18" t="inlineStr">
        <is>
          <t>Không dùng để khuyến khích self-sacrifice.</t>
        </is>
      </c>
      <c r="AD19" s="18" t="inlineStr">
        <is>
          <t>Needs editorial review</t>
        </is>
      </c>
      <c r="AE19" s="18" t="inlineStr">
        <is>
          <t>Needs semantic dedupe review</t>
        </is>
      </c>
      <c r="AF19" s="18" t="str"/>
      <c r="AG19" s="18" t="str"/>
      <c r="AH19" s="18" t="inlineStr">
        <is>
          <t>No</t>
        </is>
      </c>
      <c r="AI19" s="18" t="inlineStr">
        <is>
          <t>Not reviewed</t>
        </is>
      </c>
      <c r="AJ19" s="18" t="inlineStr">
        <is>
          <t>Research only</t>
        </is>
      </c>
      <c r="AK19" s="18" t="inlineStr">
        <is>
          <t>Research Pool</t>
        </is>
      </c>
      <c r="AL19" s="18" t="n">
        <v>1</v>
      </c>
      <c r="AM19" s="18" t="inlineStr">
        <is>
          <t>ChatGPT research</t>
        </is>
      </c>
      <c r="AN19" s="18" t="inlineStr">
        <is>
          <t>2026-09-18</t>
        </is>
      </c>
      <c r="AO19" s="18" t="inlineStr">
        <is>
          <t>Day 1 full-scope audit, chapters 1–20.</t>
        </is>
      </c>
      <c r="AP19" s="18" t="n"/>
      <c r="AQ19" s="18" t="n"/>
    </row>
    <row r="20">
      <c r="A20" s="18" t="inlineStr">
        <is>
          <t>research.laozi.ch08.019</t>
        </is>
      </c>
      <c r="B20" s="18" t="inlineStr">
        <is>
          <t>Collected</t>
        </is>
      </c>
      <c r="C20" s="18" t="inlineStr">
        <is>
          <t>Nội tâm &amp; hiểu mình</t>
        </is>
      </c>
      <c r="D20" s="18" t="inlineStr">
        <is>
          <t>Change / Impermanence / Recovery</t>
        </is>
      </c>
      <c r="E20" s="18" t="str"/>
      <c r="F20" s="18" t="inlineStr">
        <is>
          <t>Nước như hình ảnh của mềm mại và thích nghi</t>
        </is>
      </c>
      <c r="G20" s="18" t="inlineStr">
        <is>
          <t>Change</t>
        </is>
      </c>
      <c r="H20" s="18" t="inlineStr">
        <is>
          <t>Simplicity</t>
        </is>
      </c>
      <c r="I20" s="18" t="inlineStr">
        <is>
          <t>Bình yên</t>
        </is>
      </c>
      <c r="J20" s="18" t="str"/>
      <c r="K20" s="18" t="inlineStr">
        <is>
          <t>Reframe</t>
        </is>
      </c>
      <c r="L20" s="18" t="inlineStr">
        <is>
          <t>Recognize</t>
        </is>
      </c>
      <c r="M20" s="18" t="inlineStr">
        <is>
          <t>Ẩn dụ</t>
        </is>
      </c>
      <c r="N20" s="18" t="inlineStr">
        <is>
          <t>上善若水。</t>
        </is>
      </c>
      <c r="O20" s="18" t="inlineStr">
        <is>
          <t>Classical Chinese (文言文)</t>
        </is>
      </c>
      <c r="P20" s="18" t="inlineStr">
        <is>
          <t>Điều thiện cao nhất được ví như nước.</t>
        </is>
      </c>
      <c r="Q20" s="18" t="inlineStr">
        <is>
          <t>Laozi / 老子</t>
        </is>
      </c>
      <c r="R20" s="18" t="inlineStr">
        <is>
          <t>Taoism</t>
        </is>
      </c>
      <c r="S20" s="18" t="inlineStr">
        <is>
          <t>道德經 / Tao Te Ching</t>
        </is>
      </c>
      <c r="T20" s="18" t="inlineStr">
        <is>
          <t>Chapter 8</t>
        </is>
      </c>
      <c r="U20" s="18" t="inlineStr">
        <is>
          <t>https://zh.wikisource.org/zh-hans/%E9%81%93%E5%BE%B7%E7%B6%93_(%E7%8E%8B%E5%BC%BC%E6%9C%AC)</t>
        </is>
      </c>
      <c r="V20" s="18" t="inlineStr">
        <is>
          <t>Primary text</t>
        </is>
      </c>
      <c r="W20" s="18" t="inlineStr">
        <is>
          <t>Working translation</t>
        </is>
      </c>
      <c r="X20" s="18" t="inlineStr">
        <is>
          <t>A - Primary source</t>
        </is>
      </c>
      <c r="Y20" s="18" t="inlineStr">
        <is>
          <t>Original Chinese checked against Wang Bi recension; cross-check via Chinese Text Project. Vietnamese is Selflo working translation, not published translation.</t>
        </is>
      </c>
      <c r="Z20" s="18" t="inlineStr">
        <is>
          <t>Public domain / likely</t>
        </is>
      </c>
      <c r="AA20" s="18" t="inlineStr">
        <is>
          <t>Ancient text; Legge 1891 comparison is public domain in USA per Project Gutenberg. Verify jurisdiction for commercial publication.</t>
        </is>
      </c>
      <c r="AB20" s="18" t="inlineStr">
        <is>
          <t>Medium</t>
        </is>
      </c>
      <c r="AC20" s="18" t="inlineStr">
        <is>
          <t>Quá ngắn nếu đứng riêng; nên gắn passage.</t>
        </is>
      </c>
      <c r="AD20" s="18" t="inlineStr">
        <is>
          <t>Needs editorial review</t>
        </is>
      </c>
      <c r="AE20" s="18" t="inlineStr">
        <is>
          <t>Needs semantic dedupe review</t>
        </is>
      </c>
      <c r="AF20" s="18" t="str"/>
      <c r="AG20" s="18" t="str"/>
      <c r="AH20" s="18" t="inlineStr">
        <is>
          <t>No</t>
        </is>
      </c>
      <c r="AI20" s="18" t="inlineStr">
        <is>
          <t>Not reviewed</t>
        </is>
      </c>
      <c r="AJ20" s="18" t="inlineStr">
        <is>
          <t>Research only</t>
        </is>
      </c>
      <c r="AK20" s="18" t="inlineStr">
        <is>
          <t>Research Pool</t>
        </is>
      </c>
      <c r="AL20" s="18" t="n">
        <v>1</v>
      </c>
      <c r="AM20" s="18" t="inlineStr">
        <is>
          <t>ChatGPT research</t>
        </is>
      </c>
      <c r="AN20" s="18" t="inlineStr">
        <is>
          <t>2026-09-18</t>
        </is>
      </c>
      <c r="AO20" s="18" t="inlineStr">
        <is>
          <t>Day 1 full-scope audit, chapters 1–20.</t>
        </is>
      </c>
      <c r="AP20" s="18" t="n"/>
      <c r="AQ20" s="18" t="n"/>
    </row>
    <row r="21">
      <c r="A21" s="18" t="inlineStr">
        <is>
          <t>research.laozi.ch08.020</t>
        </is>
      </c>
      <c r="B21" s="18" t="inlineStr">
        <is>
          <t>Collected</t>
        </is>
      </c>
      <c r="C21" s="18" t="inlineStr">
        <is>
          <t>Quan hệ</t>
        </is>
      </c>
      <c r="D21" s="18" t="inlineStr">
        <is>
          <t>Relationships / Boundaries / Connection</t>
        </is>
      </c>
      <c r="E21" s="18" t="str"/>
      <c r="F21" s="18" t="inlineStr">
        <is>
          <t>Có ích mà không nhất thiết cạnh tranh để đứng cao hơn</t>
        </is>
      </c>
      <c r="G21" s="18" t="inlineStr">
        <is>
          <t>Connection</t>
        </is>
      </c>
      <c r="H21" s="18" t="inlineStr">
        <is>
          <t>Comparison</t>
        </is>
      </c>
      <c r="I21" s="18" t="inlineStr">
        <is>
          <t>Bình yên</t>
        </is>
      </c>
      <c r="J21" s="18" t="str"/>
      <c r="K21" s="18" t="inlineStr">
        <is>
          <t>Reframe</t>
        </is>
      </c>
      <c r="L21" s="18" t="inlineStr">
        <is>
          <t>Distinguish</t>
        </is>
      </c>
      <c r="M21" s="18" t="inlineStr">
        <is>
          <t>Ẩn dụ</t>
        </is>
      </c>
      <c r="N21" s="18" t="inlineStr">
        <is>
          <t>水善利萬物而不爭，處眾人之所惡，故幾於道。</t>
        </is>
      </c>
      <c r="O21" s="18" t="inlineStr">
        <is>
          <t>Classical Chinese (文言文)</t>
        </is>
      </c>
      <c r="P21" s="18" t="inlineStr">
        <is>
          <t>Nước nuôi lợi muôn vật mà không tranh; nó ở những nơi người khác thường tránh, nên được xem là gần với Đạo.</t>
        </is>
      </c>
      <c r="Q21" s="18" t="inlineStr">
        <is>
          <t>Laozi / 老子</t>
        </is>
      </c>
      <c r="R21" s="18" t="inlineStr">
        <is>
          <t>Taoism</t>
        </is>
      </c>
      <c r="S21" s="18" t="inlineStr">
        <is>
          <t>道德經 / Tao Te Ching</t>
        </is>
      </c>
      <c r="T21" s="18" t="inlineStr">
        <is>
          <t>Chapter 8</t>
        </is>
      </c>
      <c r="U21" s="18" t="inlineStr">
        <is>
          <t>https://zh.wikisource.org/zh-hans/%E9%81%93%E5%BE%B7%E7%B6%93_(%E7%8E%8B%E5%BC%BC%E6%9C%AC)</t>
        </is>
      </c>
      <c r="V21" s="18" t="inlineStr">
        <is>
          <t>Primary text</t>
        </is>
      </c>
      <c r="W21" s="18" t="inlineStr">
        <is>
          <t>Working translation</t>
        </is>
      </c>
      <c r="X21" s="18" t="inlineStr">
        <is>
          <t>A - Primary source</t>
        </is>
      </c>
      <c r="Y21" s="18" t="inlineStr">
        <is>
          <t>Original Chinese checked against Wang Bi recension; cross-check via Chinese Text Project. Vietnamese is Selflo working translation, not published translation.</t>
        </is>
      </c>
      <c r="Z21" s="18" t="inlineStr">
        <is>
          <t>Public domain / likely</t>
        </is>
      </c>
      <c r="AA21" s="18" t="inlineStr">
        <is>
          <t>Ancient text; Legge 1891 comparison is public domain in USA per Project Gutenberg. Verify jurisdiction for commercial publication.</t>
        </is>
      </c>
      <c r="AB21" s="18" t="inlineStr">
        <is>
          <t>High</t>
        </is>
      </c>
      <c r="AC21" s="18" t="inlineStr">
        <is>
          <t>Mạnh nhưng cần tránh biến thành khuyên chịu thấp kém.</t>
        </is>
      </c>
      <c r="AD21" s="18" t="inlineStr">
        <is>
          <t>Needs editorial review</t>
        </is>
      </c>
      <c r="AE21" s="18" t="inlineStr">
        <is>
          <t>Needs semantic dedupe review</t>
        </is>
      </c>
      <c r="AF21" s="18" t="str"/>
      <c r="AG21" s="18" t="str"/>
      <c r="AH21" s="18" t="inlineStr">
        <is>
          <t>No</t>
        </is>
      </c>
      <c r="AI21" s="18" t="inlineStr">
        <is>
          <t>Not reviewed</t>
        </is>
      </c>
      <c r="AJ21" s="18" t="inlineStr">
        <is>
          <t>Research only</t>
        </is>
      </c>
      <c r="AK21" s="18" t="inlineStr">
        <is>
          <t>Research Pool</t>
        </is>
      </c>
      <c r="AL21" s="18" t="n">
        <v>1</v>
      </c>
      <c r="AM21" s="18" t="inlineStr">
        <is>
          <t>ChatGPT research</t>
        </is>
      </c>
      <c r="AN21" s="18" t="inlineStr">
        <is>
          <t>2026-09-18</t>
        </is>
      </c>
      <c r="AO21" s="18" t="inlineStr">
        <is>
          <t>Day 1 full-scope audit, chapters 1–20.</t>
        </is>
      </c>
      <c r="AP21" s="18" t="n"/>
      <c r="AQ21" s="18" t="n"/>
    </row>
    <row r="22">
      <c r="A22" s="18" t="inlineStr">
        <is>
          <t>research.laozi.ch08.021</t>
        </is>
      </c>
      <c r="B22" s="18" t="inlineStr">
        <is>
          <t>Collected</t>
        </is>
      </c>
      <c r="C22" s="18" t="inlineStr">
        <is>
          <t>Công việc &amp; mục đích</t>
        </is>
      </c>
      <c r="D22" s="18" t="inlineStr">
        <is>
          <t>Uncertainty / Choice / Agency</t>
        </is>
      </c>
      <c r="E22" s="18" t="str"/>
      <c r="F22" s="18" t="inlineStr">
        <is>
          <t>Một hành động phù hợp còn tùy nơi, người, năng lực và thời điểm</t>
        </is>
      </c>
      <c r="G22" s="18" t="inlineStr">
        <is>
          <t>Values</t>
        </is>
      </c>
      <c r="H22" s="18" t="inlineStr">
        <is>
          <t>Judgment</t>
        </is>
      </c>
      <c r="I22" s="18" t="inlineStr">
        <is>
          <t>Bối rối</t>
        </is>
      </c>
      <c r="J22" s="18" t="str"/>
      <c r="K22" s="18" t="inlineStr">
        <is>
          <t>Distinguish</t>
        </is>
      </c>
      <c r="L22" s="18" t="inlineStr">
        <is>
          <t>Return agency</t>
        </is>
      </c>
      <c r="M22" s="18" t="inlineStr">
        <is>
          <t>Trích đoạn triết học</t>
        </is>
      </c>
      <c r="N22" s="18" t="inlineStr">
        <is>
          <t>居善地，心善淵，與善仁，言善信，正善治，事善能，動善時。</t>
        </is>
      </c>
      <c r="O22" s="18" t="inlineStr">
        <is>
          <t>Classical Chinese (文言文)</t>
        </is>
      </c>
      <c r="P22" s="18" t="inlineStr">
        <is>
          <t>Ở thì hợp nơi; lòng thì sâu; kết giao thì nhân hậu; lời nói thì đáng tin; quản trị thì có trật tự; làm việc thì có năng lực; hành động thì hợp thời.</t>
        </is>
      </c>
      <c r="Q22" s="18" t="inlineStr">
        <is>
          <t>Laozi / 老子</t>
        </is>
      </c>
      <c r="R22" s="18" t="inlineStr">
        <is>
          <t>Taoism</t>
        </is>
      </c>
      <c r="S22" s="18" t="inlineStr">
        <is>
          <t>道德經 / Tao Te Ching</t>
        </is>
      </c>
      <c r="T22" s="18" t="inlineStr">
        <is>
          <t>Chapter 8</t>
        </is>
      </c>
      <c r="U22" s="18" t="inlineStr">
        <is>
          <t>https://zh.wikisource.org/zh-hans/%E9%81%93%E5%BE%B7%E7%B6%93_(%E7%8E%8B%E5%BC%BC%E6%9C%AC)</t>
        </is>
      </c>
      <c r="V22" s="18" t="inlineStr">
        <is>
          <t>Primary text</t>
        </is>
      </c>
      <c r="W22" s="18" t="inlineStr">
        <is>
          <t>Working translation</t>
        </is>
      </c>
      <c r="X22" s="18" t="inlineStr">
        <is>
          <t>A - Primary source</t>
        </is>
      </c>
      <c r="Y22" s="18" t="inlineStr">
        <is>
          <t>Original Chinese checked against Wang Bi recension; cross-check via Chinese Text Project. Vietnamese is Selflo working translation, not published translation.</t>
        </is>
      </c>
      <c r="Z22" s="18" t="inlineStr">
        <is>
          <t>Public domain / likely</t>
        </is>
      </c>
      <c r="AA22" s="18" t="inlineStr">
        <is>
          <t>Ancient text; Legge 1891 comparison is public domain in USA per Project Gutenberg. Verify jurisdiction for commercial publication.</t>
        </is>
      </c>
      <c r="AB22" s="18" t="inlineStr">
        <is>
          <t>Medium</t>
        </is>
      </c>
      <c r="AC22" s="18" t="inlineStr">
        <is>
          <t>Có cấu trúc list; không nhất thiết hợp feed quote.</t>
        </is>
      </c>
      <c r="AD22" s="18" t="inlineStr">
        <is>
          <t>Needs editorial review</t>
        </is>
      </c>
      <c r="AE22" s="18" t="inlineStr">
        <is>
          <t>Needs semantic dedupe review</t>
        </is>
      </c>
      <c r="AF22" s="18" t="str"/>
      <c r="AG22" s="18" t="str"/>
      <c r="AH22" s="18" t="inlineStr">
        <is>
          <t>No</t>
        </is>
      </c>
      <c r="AI22" s="18" t="inlineStr">
        <is>
          <t>Not reviewed</t>
        </is>
      </c>
      <c r="AJ22" s="18" t="inlineStr">
        <is>
          <t>Research only</t>
        </is>
      </c>
      <c r="AK22" s="18" t="inlineStr">
        <is>
          <t>Research Pool</t>
        </is>
      </c>
      <c r="AL22" s="18" t="n">
        <v>1</v>
      </c>
      <c r="AM22" s="18" t="inlineStr">
        <is>
          <t>ChatGPT research</t>
        </is>
      </c>
      <c r="AN22" s="18" t="inlineStr">
        <is>
          <t>2026-09-18</t>
        </is>
      </c>
      <c r="AO22" s="18" t="inlineStr">
        <is>
          <t>Day 1 full-scope audit, chapters 1–20.</t>
        </is>
      </c>
      <c r="AP22" s="18" t="n"/>
      <c r="AQ22" s="18" t="n"/>
    </row>
    <row r="23">
      <c r="A23" s="18" t="inlineStr">
        <is>
          <t>research.laozi.ch09.022</t>
        </is>
      </c>
      <c r="B23" s="18" t="inlineStr">
        <is>
          <t>Collected</t>
        </is>
      </c>
      <c r="C23" s="18" t="inlineStr">
        <is>
          <t>Nghỉ ngơi &amp; sức khỏe tinh thần</t>
        </is>
      </c>
      <c r="D23" s="18" t="inlineStr">
        <is>
          <t>Rest / Limits / Wellbeing</t>
        </is>
      </c>
      <c r="E23" s="18" t="str"/>
      <c r="F23" s="18" t="inlineStr">
        <is>
          <t>Tiếp tục thêm không phải lúc nào cũng tốt hơn</t>
        </is>
      </c>
      <c r="G23" s="18" t="inlineStr">
        <is>
          <t>Enoughness</t>
        </is>
      </c>
      <c r="H23" s="18" t="inlineStr">
        <is>
          <t>Rest</t>
        </is>
      </c>
      <c r="I23" s="18" t="inlineStr">
        <is>
          <t>Quá tải</t>
        </is>
      </c>
      <c r="J23" s="18" t="str"/>
      <c r="K23" s="18" t="inlineStr">
        <is>
          <t>Distinguish</t>
        </is>
      </c>
      <c r="L23" s="18" t="inlineStr">
        <is>
          <t>Permit</t>
        </is>
      </c>
      <c r="M23" s="18" t="inlineStr">
        <is>
          <t>Ẩn dụ</t>
        </is>
      </c>
      <c r="N23" s="18" t="inlineStr">
        <is>
          <t>持而盈之，不如其已。</t>
        </is>
      </c>
      <c r="O23" s="18" t="inlineStr">
        <is>
          <t>Classical Chinese (文言文)</t>
        </is>
      </c>
      <c r="P23" s="18" t="inlineStr">
        <is>
          <t>Cứ giữ cho đầy mãi, không bằng biết lúc dừng.</t>
        </is>
      </c>
      <c r="Q23" s="18" t="inlineStr">
        <is>
          <t>Laozi / 老子</t>
        </is>
      </c>
      <c r="R23" s="18" t="inlineStr">
        <is>
          <t>Taoism</t>
        </is>
      </c>
      <c r="S23" s="18" t="inlineStr">
        <is>
          <t>道德經 / Tao Te Ching</t>
        </is>
      </c>
      <c r="T23" s="18" t="inlineStr">
        <is>
          <t>Chapter 9</t>
        </is>
      </c>
      <c r="U23" s="18" t="inlineStr">
        <is>
          <t>https://zh.wikisource.org/zh-hans/%E9%81%93%E5%BE%B7%E7%B6%93_(%E7%8E%8B%E5%BC%BC%E6%9C%AC)</t>
        </is>
      </c>
      <c r="V23" s="18" t="inlineStr">
        <is>
          <t>Primary text</t>
        </is>
      </c>
      <c r="W23" s="18" t="inlineStr">
        <is>
          <t>Working translation</t>
        </is>
      </c>
      <c r="X23" s="18" t="inlineStr">
        <is>
          <t>A - Primary source</t>
        </is>
      </c>
      <c r="Y23" s="18" t="inlineStr">
        <is>
          <t>Original Chinese checked against Wang Bi recension; cross-check via Chinese Text Project. Vietnamese is Selflo working translation, not published translation.</t>
        </is>
      </c>
      <c r="Z23" s="18" t="inlineStr">
        <is>
          <t>Public domain / likely</t>
        </is>
      </c>
      <c r="AA23" s="18" t="inlineStr">
        <is>
          <t>Ancient text; Legge 1891 comparison is public domain in USA per Project Gutenberg. Verify jurisdiction for commercial publication.</t>
        </is>
      </c>
      <c r="AB23" s="18" t="inlineStr">
        <is>
          <t>High</t>
        </is>
      </c>
      <c r="AC23" s="18" t="inlineStr">
        <is>
          <t>Candidate mạnh.</t>
        </is>
      </c>
      <c r="AD23" s="18" t="inlineStr">
        <is>
          <t>Needs editorial review</t>
        </is>
      </c>
      <c r="AE23" s="18" t="inlineStr">
        <is>
          <t>Needs semantic dedupe review</t>
        </is>
      </c>
      <c r="AF23" s="18" t="str"/>
      <c r="AG23" s="18" t="str"/>
      <c r="AH23" s="18" t="inlineStr">
        <is>
          <t>No</t>
        </is>
      </c>
      <c r="AI23" s="18" t="inlineStr">
        <is>
          <t>Not reviewed</t>
        </is>
      </c>
      <c r="AJ23" s="18" t="inlineStr">
        <is>
          <t>Research only</t>
        </is>
      </c>
      <c r="AK23" s="18" t="inlineStr">
        <is>
          <t>Research Pool</t>
        </is>
      </c>
      <c r="AL23" s="18" t="n">
        <v>1</v>
      </c>
      <c r="AM23" s="18" t="inlineStr">
        <is>
          <t>ChatGPT research</t>
        </is>
      </c>
      <c r="AN23" s="18" t="inlineStr">
        <is>
          <t>2026-09-18</t>
        </is>
      </c>
      <c r="AO23" s="18" t="inlineStr">
        <is>
          <t>Day 1 full-scope audit, chapters 1–20.</t>
        </is>
      </c>
      <c r="AP23" s="18" t="n"/>
      <c r="AQ23" s="18" t="n"/>
    </row>
    <row r="24">
      <c r="A24" s="18" t="inlineStr">
        <is>
          <t>research.laozi.ch09.023</t>
        </is>
      </c>
      <c r="B24" s="18" t="inlineStr">
        <is>
          <t>Collected</t>
        </is>
      </c>
      <c r="C24" s="18" t="inlineStr">
        <is>
          <t>Nghỉ ngơi &amp; sức khỏe tinh thần</t>
        </is>
      </c>
      <c r="D24" s="18" t="inlineStr">
        <is>
          <t>Exhaustion / Recovery / Work carryover</t>
        </is>
      </c>
      <c r="E24" s="18" t="str"/>
      <c r="F24" s="18" t="inlineStr">
        <is>
          <t>Tối ưu liên tục có thể làm giảm tính bền vững</t>
        </is>
      </c>
      <c r="G24" s="18" t="inlineStr">
        <is>
          <t>Rest</t>
        </is>
      </c>
      <c r="H24" s="18" t="inlineStr">
        <is>
          <t>Enoughness</t>
        </is>
      </c>
      <c r="I24" s="18" t="inlineStr">
        <is>
          <t>Cạn năng lượng</t>
        </is>
      </c>
      <c r="J24" s="18" t="str"/>
      <c r="K24" s="18" t="inlineStr">
        <is>
          <t>Reframe</t>
        </is>
      </c>
      <c r="L24" s="18" t="inlineStr">
        <is>
          <t>Permit</t>
        </is>
      </c>
      <c r="M24" s="18" t="inlineStr">
        <is>
          <t>Ẩn dụ</t>
        </is>
      </c>
      <c r="N24" s="18" t="inlineStr">
        <is>
          <t>揣而棁之，不可長保。</t>
        </is>
      </c>
      <c r="O24" s="18" t="inlineStr">
        <is>
          <t>Classical Chinese (文言文)</t>
        </is>
      </c>
      <c r="P24" s="18" t="inlineStr">
        <is>
          <t>Mài một mũi nhọn mãi cho sắc hơn thì khó giữ được độ sắc ấy lâu.</t>
        </is>
      </c>
      <c r="Q24" s="18" t="inlineStr">
        <is>
          <t>Laozi / 老子</t>
        </is>
      </c>
      <c r="R24" s="18" t="inlineStr">
        <is>
          <t>Taoism</t>
        </is>
      </c>
      <c r="S24" s="18" t="inlineStr">
        <is>
          <t>道德經 / Tao Te Ching</t>
        </is>
      </c>
      <c r="T24" s="18" t="inlineStr">
        <is>
          <t>Chapter 9</t>
        </is>
      </c>
      <c r="U24" s="18" t="inlineStr">
        <is>
          <t>https://zh.wikisource.org/zh-hans/%E9%81%93%E5%BE%B7%E7%B6%93_(%E7%8E%8B%E5%BC%BC%E6%9C%AC)</t>
        </is>
      </c>
      <c r="V24" s="18" t="inlineStr">
        <is>
          <t>Primary text</t>
        </is>
      </c>
      <c r="W24" s="18" t="inlineStr">
        <is>
          <t>Working translation</t>
        </is>
      </c>
      <c r="X24" s="18" t="inlineStr">
        <is>
          <t>A - Primary source</t>
        </is>
      </c>
      <c r="Y24" s="18" t="inlineStr">
        <is>
          <t>Original Chinese checked against Wang Bi recension; cross-check via Chinese Text Project. Vietnamese is Selflo working translation, not published translation.</t>
        </is>
      </c>
      <c r="Z24" s="18" t="inlineStr">
        <is>
          <t>Public domain / likely</t>
        </is>
      </c>
      <c r="AA24" s="18" t="inlineStr">
        <is>
          <t>Ancient text; Legge 1891 comparison is public domain in USA per Project Gutenberg. Verify jurisdiction for commercial publication.</t>
        </is>
      </c>
      <c r="AB24" s="18" t="inlineStr">
        <is>
          <t>High</t>
        </is>
      </c>
      <c r="AC24" s="18" t="inlineStr">
        <is>
          <t>Mạnh cho over-optimization/burnout, nhưng là interpretation.</t>
        </is>
      </c>
      <c r="AD24" s="18" t="inlineStr">
        <is>
          <t>Needs editorial review</t>
        </is>
      </c>
      <c r="AE24" s="18" t="inlineStr">
        <is>
          <t>Needs semantic dedupe review</t>
        </is>
      </c>
      <c r="AF24" s="18" t="str"/>
      <c r="AG24" s="18" t="str"/>
      <c r="AH24" s="18" t="inlineStr">
        <is>
          <t>No</t>
        </is>
      </c>
      <c r="AI24" s="18" t="inlineStr">
        <is>
          <t>Not reviewed</t>
        </is>
      </c>
      <c r="AJ24" s="18" t="inlineStr">
        <is>
          <t>Research only</t>
        </is>
      </c>
      <c r="AK24" s="18" t="inlineStr">
        <is>
          <t>Research Pool</t>
        </is>
      </c>
      <c r="AL24" s="18" t="n">
        <v>1</v>
      </c>
      <c r="AM24" s="18" t="inlineStr">
        <is>
          <t>ChatGPT research</t>
        </is>
      </c>
      <c r="AN24" s="18" t="inlineStr">
        <is>
          <t>2026-09-18</t>
        </is>
      </c>
      <c r="AO24" s="18" t="inlineStr">
        <is>
          <t>Day 1 full-scope audit, chapters 1–20.</t>
        </is>
      </c>
      <c r="AP24" s="18" t="n"/>
      <c r="AQ24" s="18" t="n"/>
    </row>
    <row r="25">
      <c r="A25" s="18" t="inlineStr">
        <is>
          <t>research.laozi.ch09.024</t>
        </is>
      </c>
      <c r="B25" s="18" t="inlineStr">
        <is>
          <t>Collected</t>
        </is>
      </c>
      <c r="C25" s="18" t="inlineStr">
        <is>
          <t>Ý nghĩa &amp; bản sắc</t>
        </is>
      </c>
      <c r="D25" s="18" t="inlineStr">
        <is>
          <t>Comparison / External standards / Values</t>
        </is>
      </c>
      <c r="E25" s="18" t="str"/>
      <c r="F25" s="18" t="inlineStr">
        <is>
          <t>Sở hữu nhiều không đồng nghĩa có thể giữ được mọi thứ</t>
        </is>
      </c>
      <c r="G25" s="18" t="inlineStr">
        <is>
          <t>Enoughness</t>
        </is>
      </c>
      <c r="H25" s="18" t="inlineStr">
        <is>
          <t>Impermanence</t>
        </is>
      </c>
      <c r="I25" s="18" t="inlineStr">
        <is>
          <t>Lo lắng</t>
        </is>
      </c>
      <c r="J25" s="18" t="str"/>
      <c r="K25" s="18" t="inlineStr">
        <is>
          <t>Distinguish</t>
        </is>
      </c>
      <c r="L25" s="18" t="inlineStr">
        <is>
          <t>Reframe</t>
        </is>
      </c>
      <c r="M25" s="18" t="inlineStr">
        <is>
          <t>Ẩn dụ</t>
        </is>
      </c>
      <c r="N25" s="18" t="inlineStr">
        <is>
          <t>金玉滿堂，莫之能守。</t>
        </is>
      </c>
      <c r="O25" s="18" t="inlineStr">
        <is>
          <t>Classical Chinese (文言文)</t>
        </is>
      </c>
      <c r="P25" s="18" t="inlineStr">
        <is>
          <t>Vàng ngọc đầy nhà cũng không thể giữ mãi.</t>
        </is>
      </c>
      <c r="Q25" s="18" t="inlineStr">
        <is>
          <t>Laozi / 老子</t>
        </is>
      </c>
      <c r="R25" s="18" t="inlineStr">
        <is>
          <t>Taoism</t>
        </is>
      </c>
      <c r="S25" s="18" t="inlineStr">
        <is>
          <t>道德經 / Tao Te Ching</t>
        </is>
      </c>
      <c r="T25" s="18" t="inlineStr">
        <is>
          <t>Chapter 9</t>
        </is>
      </c>
      <c r="U25" s="18" t="inlineStr">
        <is>
          <t>https://zh.wikisource.org/zh-hans/%E9%81%93%E5%BE%B7%E7%B6%93_(%E7%8E%8B%E5%BC%BC%E6%9C%AC)</t>
        </is>
      </c>
      <c r="V25" s="18" t="inlineStr">
        <is>
          <t>Primary text</t>
        </is>
      </c>
      <c r="W25" s="18" t="inlineStr">
        <is>
          <t>Working translation</t>
        </is>
      </c>
      <c r="X25" s="18" t="inlineStr">
        <is>
          <t>A - Primary source</t>
        </is>
      </c>
      <c r="Y25" s="18" t="inlineStr">
        <is>
          <t>Original Chinese checked against Wang Bi recension; cross-check via Chinese Text Project. Vietnamese is Selflo working translation, not published translation.</t>
        </is>
      </c>
      <c r="Z25" s="18" t="inlineStr">
        <is>
          <t>Public domain / likely</t>
        </is>
      </c>
      <c r="AA25" s="18" t="inlineStr">
        <is>
          <t>Ancient text; Legge 1891 comparison is public domain in USA per Project Gutenberg. Verify jurisdiction for commercial publication.</t>
        </is>
      </c>
      <c r="AB25" s="18" t="inlineStr">
        <is>
          <t>Medium</t>
        </is>
      </c>
      <c r="AC25" s="18" t="inlineStr">
        <is>
          <t>Research pool.</t>
        </is>
      </c>
      <c r="AD25" s="18" t="inlineStr">
        <is>
          <t>Needs editorial review</t>
        </is>
      </c>
      <c r="AE25" s="18" t="inlineStr">
        <is>
          <t>Needs semantic dedupe review</t>
        </is>
      </c>
      <c r="AF25" s="18" t="str"/>
      <c r="AG25" s="18" t="str"/>
      <c r="AH25" s="18" t="inlineStr">
        <is>
          <t>No</t>
        </is>
      </c>
      <c r="AI25" s="18" t="inlineStr">
        <is>
          <t>Not reviewed</t>
        </is>
      </c>
      <c r="AJ25" s="18" t="inlineStr">
        <is>
          <t>Research only</t>
        </is>
      </c>
      <c r="AK25" s="18" t="inlineStr">
        <is>
          <t>Research Pool</t>
        </is>
      </c>
      <c r="AL25" s="18" t="n">
        <v>1</v>
      </c>
      <c r="AM25" s="18" t="inlineStr">
        <is>
          <t>ChatGPT research</t>
        </is>
      </c>
      <c r="AN25" s="18" t="inlineStr">
        <is>
          <t>2026-09-18</t>
        </is>
      </c>
      <c r="AO25" s="18" t="inlineStr">
        <is>
          <t>Day 1 full-scope audit, chapters 1–20.</t>
        </is>
      </c>
      <c r="AP25" s="18" t="n"/>
      <c r="AQ25" s="18" t="n"/>
    </row>
    <row r="26">
      <c r="A26" s="18" t="inlineStr">
        <is>
          <t>research.laozi.ch09.025</t>
        </is>
      </c>
      <c r="B26" s="18" t="inlineStr">
        <is>
          <t>Collected</t>
        </is>
      </c>
      <c r="C26" s="18" t="inlineStr">
        <is>
          <t>Xã hội &amp; văn hóa</t>
        </is>
      </c>
      <c r="D26" s="18" t="inlineStr">
        <is>
          <t>Comparison / External standards / Values</t>
        </is>
      </c>
      <c r="E26" s="18" t="str"/>
      <c r="F26" s="18" t="inlineStr">
        <is>
          <t>Thành công bên ngoài không loại bỏ rủi ro từ cách mình quan hệ với nó</t>
        </is>
      </c>
      <c r="G26" s="18" t="inlineStr">
        <is>
          <t>Values</t>
        </is>
      </c>
      <c r="H26" s="18" t="inlineStr">
        <is>
          <t>Responsibility</t>
        </is>
      </c>
      <c r="I26" s="18" t="inlineStr">
        <is>
          <t>Áp lực</t>
        </is>
      </c>
      <c r="J26" s="18" t="str"/>
      <c r="K26" s="18" t="inlineStr">
        <is>
          <t>Recognize</t>
        </is>
      </c>
      <c r="L26" s="18" t="inlineStr">
        <is>
          <t>Distinguish</t>
        </is>
      </c>
      <c r="M26" s="18" t="inlineStr">
        <is>
          <t>Trích đoạn triết học</t>
        </is>
      </c>
      <c r="N26" s="18" t="inlineStr">
        <is>
          <t>富貴而驕，自遺其咎。</t>
        </is>
      </c>
      <c r="O26" s="18" t="inlineStr">
        <is>
          <t>Classical Chinese (文言文)</t>
        </is>
      </c>
      <c r="P26" s="18" t="inlineStr">
        <is>
          <t>Giàu sang mà sinh kiêu căng có thể tự mang rắc rối đến cho mình.</t>
        </is>
      </c>
      <c r="Q26" s="18" t="inlineStr">
        <is>
          <t>Laozi / 老子</t>
        </is>
      </c>
      <c r="R26" s="18" t="inlineStr">
        <is>
          <t>Taoism</t>
        </is>
      </c>
      <c r="S26" s="18" t="inlineStr">
        <is>
          <t>道德經 / Tao Te Ching</t>
        </is>
      </c>
      <c r="T26" s="18" t="inlineStr">
        <is>
          <t>Chapter 9</t>
        </is>
      </c>
      <c r="U26" s="18" t="inlineStr">
        <is>
          <t>https://zh.wikisource.org/zh-hans/%E9%81%93%E5%BE%B7%E7%B6%93_(%E7%8E%8B%E5%BC%BC%E6%9C%AC)</t>
        </is>
      </c>
      <c r="V26" s="18" t="inlineStr">
        <is>
          <t>Primary text</t>
        </is>
      </c>
      <c r="W26" s="18" t="inlineStr">
        <is>
          <t>Working translation</t>
        </is>
      </c>
      <c r="X26" s="18" t="inlineStr">
        <is>
          <t>A - Primary source</t>
        </is>
      </c>
      <c r="Y26" s="18" t="inlineStr">
        <is>
          <t>Original Chinese checked against Wang Bi recension; cross-check via Chinese Text Project. Vietnamese is Selflo working translation, not published translation.</t>
        </is>
      </c>
      <c r="Z26" s="18" t="inlineStr">
        <is>
          <t>Public domain / likely</t>
        </is>
      </c>
      <c r="AA26" s="18" t="inlineStr">
        <is>
          <t>Ancient text; Legge 1891 comparison is public domain in USA per Project Gutenberg. Verify jurisdiction for commercial publication.</t>
        </is>
      </c>
      <c r="AB26" s="18" t="inlineStr">
        <is>
          <t>Low</t>
        </is>
      </c>
      <c r="AC26" s="18" t="inlineStr">
        <is>
          <t>Moralizing risk cao.</t>
        </is>
      </c>
      <c r="AD26" s="18" t="inlineStr">
        <is>
          <t>Needs editorial review</t>
        </is>
      </c>
      <c r="AE26" s="18" t="inlineStr">
        <is>
          <t>Needs semantic dedupe review</t>
        </is>
      </c>
      <c r="AF26" s="18" t="str"/>
      <c r="AG26" s="18" t="str"/>
      <c r="AH26" s="18" t="inlineStr">
        <is>
          <t>No</t>
        </is>
      </c>
      <c r="AI26" s="18" t="inlineStr">
        <is>
          <t>Not reviewed</t>
        </is>
      </c>
      <c r="AJ26" s="18" t="inlineStr">
        <is>
          <t>Research only</t>
        </is>
      </c>
      <c r="AK26" s="18" t="inlineStr">
        <is>
          <t>Research Pool</t>
        </is>
      </c>
      <c r="AL26" s="18" t="n">
        <v>1</v>
      </c>
      <c r="AM26" s="18" t="inlineStr">
        <is>
          <t>ChatGPT research</t>
        </is>
      </c>
      <c r="AN26" s="18" t="inlineStr">
        <is>
          <t>2026-09-18</t>
        </is>
      </c>
      <c r="AO26" s="18" t="inlineStr">
        <is>
          <t>Day 1 full-scope audit, chapters 1–20.</t>
        </is>
      </c>
      <c r="AP26" s="18" t="n"/>
      <c r="AQ26" s="18" t="n"/>
    </row>
    <row r="27">
      <c r="A27" s="18" t="inlineStr">
        <is>
          <t>research.laozi.ch09.026</t>
        </is>
      </c>
      <c r="B27" s="18" t="inlineStr">
        <is>
          <t>Collected</t>
        </is>
      </c>
      <c r="C27" s="18" t="inlineStr">
        <is>
          <t>Công việc &amp; mục đích</t>
        </is>
      </c>
      <c r="D27" s="18" t="inlineStr">
        <is>
          <t>Meaning / Identity / Work</t>
        </is>
      </c>
      <c r="E27" s="18" t="str"/>
      <c r="F27" s="18" t="inlineStr">
        <is>
          <t>Biết kết thúc một vai trò sau khi việc đã hoàn thành</t>
        </is>
      </c>
      <c r="G27" s="18" t="inlineStr">
        <is>
          <t>Change</t>
        </is>
      </c>
      <c r="H27" s="18" t="inlineStr">
        <is>
          <t>Enoughness</t>
        </is>
      </c>
      <c r="I27" s="18" t="inlineStr">
        <is>
          <t>Áp lực</t>
        </is>
      </c>
      <c r="J27" s="18" t="str"/>
      <c r="K27" s="18" t="inlineStr">
        <is>
          <t>Permit</t>
        </is>
      </c>
      <c r="L27" s="18" t="inlineStr">
        <is>
          <t>Reframe</t>
        </is>
      </c>
      <c r="M27" s="18" t="inlineStr">
        <is>
          <t>Trích đoạn triết học</t>
        </is>
      </c>
      <c r="N27" s="18" t="inlineStr">
        <is>
          <t>功遂身退，天之道。</t>
        </is>
      </c>
      <c r="O27" s="18" t="inlineStr">
        <is>
          <t>Classical Chinese (文言文)</t>
        </is>
      </c>
      <c r="P27" s="18" t="inlineStr">
        <is>
          <t>Việc đã thành thì biết lui; đoạn văn gọi đó là đường của trời.</t>
        </is>
      </c>
      <c r="Q27" s="18" t="inlineStr">
        <is>
          <t>Laozi / 老子</t>
        </is>
      </c>
      <c r="R27" s="18" t="inlineStr">
        <is>
          <t>Taoism</t>
        </is>
      </c>
      <c r="S27" s="18" t="inlineStr">
        <is>
          <t>道德經 / Tao Te Ching</t>
        </is>
      </c>
      <c r="T27" s="18" t="inlineStr">
        <is>
          <t>Chapter 9</t>
        </is>
      </c>
      <c r="U27" s="18" t="inlineStr">
        <is>
          <t>https://zh.wikisource.org/zh-hans/%E9%81%93%E5%BE%B7%E7%B6%93_(%E7%8E%8B%E5%BC%BC%E6%9C%AC)</t>
        </is>
      </c>
      <c r="V27" s="18" t="inlineStr">
        <is>
          <t>Primary text</t>
        </is>
      </c>
      <c r="W27" s="18" t="inlineStr">
        <is>
          <t>Working translation</t>
        </is>
      </c>
      <c r="X27" s="18" t="inlineStr">
        <is>
          <t>A - Primary source</t>
        </is>
      </c>
      <c r="Y27" s="18" t="inlineStr">
        <is>
          <t>Original Chinese checked against Wang Bi recension; cross-check via Chinese Text Project. Vietnamese is Selflo working translation, not published translation.</t>
        </is>
      </c>
      <c r="Z27" s="18" t="inlineStr">
        <is>
          <t>Public domain / likely</t>
        </is>
      </c>
      <c r="AA27" s="18" t="inlineStr">
        <is>
          <t>Ancient text; Legge 1891 comparison is public domain in USA per Project Gutenberg. Verify jurisdiction for commercial publication.</t>
        </is>
      </c>
      <c r="AB27" s="18" t="inlineStr">
        <is>
          <t>High</t>
        </is>
      </c>
      <c r="AC27" s="18" t="inlineStr">
        <is>
          <t>Mạnh cho release/identity; không nên biến thành luôn luôn phải rút lui.</t>
        </is>
      </c>
      <c r="AD27" s="18" t="inlineStr">
        <is>
          <t>Needs editorial review</t>
        </is>
      </c>
      <c r="AE27" s="18" t="inlineStr">
        <is>
          <t>Needs semantic dedupe review</t>
        </is>
      </c>
      <c r="AF27" s="18" t="str"/>
      <c r="AG27" s="18" t="str"/>
      <c r="AH27" s="18" t="inlineStr">
        <is>
          <t>No</t>
        </is>
      </c>
      <c r="AI27" s="18" t="inlineStr">
        <is>
          <t>Not reviewed</t>
        </is>
      </c>
      <c r="AJ27" s="18" t="inlineStr">
        <is>
          <t>Research only</t>
        </is>
      </c>
      <c r="AK27" s="18" t="inlineStr">
        <is>
          <t>Research Pool</t>
        </is>
      </c>
      <c r="AL27" s="18" t="n">
        <v>1</v>
      </c>
      <c r="AM27" s="18" t="inlineStr">
        <is>
          <t>ChatGPT research</t>
        </is>
      </c>
      <c r="AN27" s="18" t="inlineStr">
        <is>
          <t>2026-09-18</t>
        </is>
      </c>
      <c r="AO27" s="18" t="inlineStr">
        <is>
          <t>Day 1 full-scope audit, chapters 1–20.</t>
        </is>
      </c>
      <c r="AP27" s="18" t="n"/>
      <c r="AQ27" s="18" t="n"/>
    </row>
    <row r="28">
      <c r="A28" s="18" t="inlineStr">
        <is>
          <t>research.laozi.ch10.027</t>
        </is>
      </c>
      <c r="B28" s="18" t="inlineStr">
        <is>
          <t>Collected</t>
        </is>
      </c>
      <c r="C28" s="18" t="inlineStr">
        <is>
          <t>Nội tâm &amp; hiểu mình</t>
        </is>
      </c>
      <c r="D28" s="18" t="inlineStr">
        <is>
          <t>Mixed emotions / Emotional memory</t>
        </is>
      </c>
      <c r="E28" s="18" t="str"/>
      <c r="F28" s="18" t="inlineStr">
        <is>
          <t>Giữ nhiều phần của bản thân mà không buộc chúng phải loại trừ nhau</t>
        </is>
      </c>
      <c r="G28" s="18" t="inlineStr">
        <is>
          <t>Acceptance</t>
        </is>
      </c>
      <c r="H28" s="18" t="inlineStr">
        <is>
          <t>Identity</t>
        </is>
      </c>
      <c r="I28" s="18" t="inlineStr">
        <is>
          <t>Mixed / contradictory</t>
        </is>
      </c>
      <c r="J28" s="18" t="str"/>
      <c r="K28" s="18" t="inlineStr">
        <is>
          <t>Permit</t>
        </is>
      </c>
      <c r="L28" s="18" t="inlineStr">
        <is>
          <t>Distinguish</t>
        </is>
      </c>
      <c r="M28" s="18" t="inlineStr">
        <is>
          <t>Câu hỏi</t>
        </is>
      </c>
      <c r="N28" s="18" t="inlineStr">
        <is>
          <t>載營魄抱一，能無離乎？</t>
        </is>
      </c>
      <c r="O28" s="18" t="inlineStr">
        <is>
          <t>Classical Chinese (文言文)</t>
        </is>
      </c>
      <c r="P28" s="18" t="inlineStr">
        <is>
          <t>Giữ những phần của mình trong một mối thống nhất — liệu có thể không để chúng tách rời?</t>
        </is>
      </c>
      <c r="Q28" s="18" t="inlineStr">
        <is>
          <t>Laozi / 老子</t>
        </is>
      </c>
      <c r="R28" s="18" t="inlineStr">
        <is>
          <t>Taoism</t>
        </is>
      </c>
      <c r="S28" s="18" t="inlineStr">
        <is>
          <t>道德經 / Tao Te Ching</t>
        </is>
      </c>
      <c r="T28" s="18" t="inlineStr">
        <is>
          <t>Chapter 10</t>
        </is>
      </c>
      <c r="U28" s="18" t="inlineStr">
        <is>
          <t>https://zh.wikisource.org/zh-hans/%E9%81%93%E5%BE%B7%E7%B6%93_(%E7%8E%8B%E5%BC%BC%E6%9C%AC)</t>
        </is>
      </c>
      <c r="V28" s="18" t="inlineStr">
        <is>
          <t>Primary text</t>
        </is>
      </c>
      <c r="W28" s="18" t="inlineStr">
        <is>
          <t>Working translation</t>
        </is>
      </c>
      <c r="X28" s="18" t="inlineStr">
        <is>
          <t>A - Primary source</t>
        </is>
      </c>
      <c r="Y28" s="18" t="inlineStr">
        <is>
          <t>Original Chinese checked against Wang Bi recension; cross-check via Chinese Text Project. Vietnamese is Selflo working translation, not published translation.</t>
        </is>
      </c>
      <c r="Z28" s="18" t="inlineStr">
        <is>
          <t>Public domain / likely</t>
        </is>
      </c>
      <c r="AA28" s="18" t="inlineStr">
        <is>
          <t>Ancient text; Legge 1891 comparison is public domain in USA per Project Gutenberg. Verify jurisdiction for commercial publication.</t>
        </is>
      </c>
      <c r="AB28" s="18" t="inlineStr">
        <is>
          <t>Medium</t>
        </is>
      </c>
      <c r="AC28" s="18" t="inlineStr">
        <is>
          <t>Cổ nghĩa khó; working translation cần scholar review.</t>
        </is>
      </c>
      <c r="AD28" s="18" t="inlineStr">
        <is>
          <t>Needs editorial review</t>
        </is>
      </c>
      <c r="AE28" s="18" t="inlineStr">
        <is>
          <t>Needs semantic dedupe review</t>
        </is>
      </c>
      <c r="AF28" s="18" t="str"/>
      <c r="AG28" s="18" t="str"/>
      <c r="AH28" s="18" t="inlineStr">
        <is>
          <t>No</t>
        </is>
      </c>
      <c r="AI28" s="18" t="inlineStr">
        <is>
          <t>Not reviewed</t>
        </is>
      </c>
      <c r="AJ28" s="18" t="inlineStr">
        <is>
          <t>Research only</t>
        </is>
      </c>
      <c r="AK28" s="18" t="inlineStr">
        <is>
          <t>Research Pool</t>
        </is>
      </c>
      <c r="AL28" s="18" t="n">
        <v>1</v>
      </c>
      <c r="AM28" s="18" t="inlineStr">
        <is>
          <t>ChatGPT research</t>
        </is>
      </c>
      <c r="AN28" s="18" t="inlineStr">
        <is>
          <t>2026-09-18</t>
        </is>
      </c>
      <c r="AO28" s="18" t="inlineStr">
        <is>
          <t>Day 1 full-scope audit, chapters 1–20.</t>
        </is>
      </c>
      <c r="AP28" s="18" t="n"/>
      <c r="AQ28" s="18" t="n"/>
    </row>
    <row r="29">
      <c r="A29" s="18" t="inlineStr">
        <is>
          <t>research.laozi.ch10.028</t>
        </is>
      </c>
      <c r="B29" s="18" t="inlineStr">
        <is>
          <t>Collected</t>
        </is>
      </c>
      <c r="C29" s="18" t="inlineStr">
        <is>
          <t>Nghỉ ngơi &amp; sức khỏe tinh thần</t>
        </is>
      </c>
      <c r="D29" s="18" t="inlineStr">
        <is>
          <t>Rest / Limits / Wellbeing</t>
        </is>
      </c>
      <c r="E29" s="18" t="str"/>
      <c r="F29" s="18" t="inlineStr">
        <is>
          <t>Mềm không đồng nghĩa yếu</t>
        </is>
      </c>
      <c r="G29" s="18" t="inlineStr">
        <is>
          <t>Rest</t>
        </is>
      </c>
      <c r="H29" s="18" t="inlineStr">
        <is>
          <t>Change</t>
        </is>
      </c>
      <c r="I29" s="18" t="inlineStr">
        <is>
          <t>Cạn năng lượng</t>
        </is>
      </c>
      <c r="J29" s="18" t="str"/>
      <c r="K29" s="18" t="inlineStr">
        <is>
          <t>Reframe</t>
        </is>
      </c>
      <c r="L29" s="18" t="inlineStr">
        <is>
          <t>Permit</t>
        </is>
      </c>
      <c r="M29" s="18" t="inlineStr">
        <is>
          <t>Câu hỏi</t>
        </is>
      </c>
      <c r="N29" s="18" t="inlineStr">
        <is>
          <t>專氣致柔，能嬰兒乎？</t>
        </is>
      </c>
      <c r="O29" s="18" t="inlineStr">
        <is>
          <t>Classical Chinese (文言文)</t>
        </is>
      </c>
      <c r="P29" s="18" t="inlineStr">
        <is>
          <t>Chuyên nhất hơi thở để trở nên mềm — liệu có thể trở lại sự mềm mại như trẻ nhỏ?</t>
        </is>
      </c>
      <c r="Q29" s="18" t="inlineStr">
        <is>
          <t>Laozi / 老子</t>
        </is>
      </c>
      <c r="R29" s="18" t="inlineStr">
        <is>
          <t>Taoism</t>
        </is>
      </c>
      <c r="S29" s="18" t="inlineStr">
        <is>
          <t>道德經 / Tao Te Ching</t>
        </is>
      </c>
      <c r="T29" s="18" t="inlineStr">
        <is>
          <t>Chapter 10</t>
        </is>
      </c>
      <c r="U29" s="18" t="inlineStr">
        <is>
          <t>https://zh.wikisource.org/zh-hans/%E9%81%93%E5%BE%B7%E7%B6%93_(%E7%8E%8B%E5%BC%BC%E6%9C%AC)</t>
        </is>
      </c>
      <c r="V29" s="18" t="inlineStr">
        <is>
          <t>Primary text</t>
        </is>
      </c>
      <c r="W29" s="18" t="inlineStr">
        <is>
          <t>Working translation</t>
        </is>
      </c>
      <c r="X29" s="18" t="inlineStr">
        <is>
          <t>A - Primary source</t>
        </is>
      </c>
      <c r="Y29" s="18" t="inlineStr">
        <is>
          <t>Original Chinese checked against Wang Bi recension; cross-check via Chinese Text Project. Vietnamese is Selflo working translation, not published translation.</t>
        </is>
      </c>
      <c r="Z29" s="18" t="inlineStr">
        <is>
          <t>Public domain / likely</t>
        </is>
      </c>
      <c r="AA29" s="18" t="inlineStr">
        <is>
          <t>Ancient text; Legge 1891 comparison is public domain in USA per Project Gutenberg. Verify jurisdiction for commercial publication.</t>
        </is>
      </c>
      <c r="AB29" s="18" t="inlineStr">
        <is>
          <t>Medium</t>
        </is>
      </c>
      <c r="AC29" s="18" t="inlineStr">
        <is>
          <t>Không diễn giải như kỹ thuật thở chữa bệnh.</t>
        </is>
      </c>
      <c r="AD29" s="18" t="inlineStr">
        <is>
          <t>Needs editorial review</t>
        </is>
      </c>
      <c r="AE29" s="18" t="inlineStr">
        <is>
          <t>Needs semantic dedupe review</t>
        </is>
      </c>
      <c r="AF29" s="18" t="str"/>
      <c r="AG29" s="18" t="str"/>
      <c r="AH29" s="18" t="inlineStr">
        <is>
          <t>No</t>
        </is>
      </c>
      <c r="AI29" s="18" t="inlineStr">
        <is>
          <t>Not reviewed</t>
        </is>
      </c>
      <c r="AJ29" s="18" t="inlineStr">
        <is>
          <t>Research only</t>
        </is>
      </c>
      <c r="AK29" s="18" t="inlineStr">
        <is>
          <t>Research Pool</t>
        </is>
      </c>
      <c r="AL29" s="18" t="n">
        <v>1</v>
      </c>
      <c r="AM29" s="18" t="inlineStr">
        <is>
          <t>ChatGPT research</t>
        </is>
      </c>
      <c r="AN29" s="18" t="inlineStr">
        <is>
          <t>2026-09-18</t>
        </is>
      </c>
      <c r="AO29" s="18" t="inlineStr">
        <is>
          <t>Day 1 full-scope audit, chapters 1–20.</t>
        </is>
      </c>
      <c r="AP29" s="18" t="n"/>
      <c r="AQ29" s="18" t="n"/>
    </row>
    <row r="30">
      <c r="A30" s="18" t="inlineStr">
        <is>
          <t>research.laozi.ch10.029</t>
        </is>
      </c>
      <c r="B30" s="18" t="inlineStr">
        <is>
          <t>Collected</t>
        </is>
      </c>
      <c r="C30" s="18" t="inlineStr">
        <is>
          <t>Quan hệ</t>
        </is>
      </c>
      <c r="D30" s="18" t="inlineStr">
        <is>
          <t>Relationships / Boundaries / Connection</t>
        </is>
      </c>
      <c r="E30" s="18" t="str"/>
      <c r="F30" s="18" t="inlineStr">
        <is>
          <t>Chăm sóc mà không sở hữu hay kiểm soát</t>
        </is>
      </c>
      <c r="G30" s="18" t="inlineStr">
        <is>
          <t>Boundaries</t>
        </is>
      </c>
      <c r="H30" s="18" t="inlineStr">
        <is>
          <t>Connection</t>
        </is>
      </c>
      <c r="I30" s="18" t="inlineStr">
        <is>
          <t>Bình yên</t>
        </is>
      </c>
      <c r="J30" s="18" t="str"/>
      <c r="K30" s="18" t="inlineStr">
        <is>
          <t>Distinguish</t>
        </is>
      </c>
      <c r="L30" s="18" t="inlineStr">
        <is>
          <t>Reframe</t>
        </is>
      </c>
      <c r="M30" s="18" t="inlineStr">
        <is>
          <t>Trích đoạn triết học</t>
        </is>
      </c>
      <c r="N30" s="18" t="inlineStr">
        <is>
          <t>生而不有，為而不恃，長而不宰，是謂玄德。</t>
        </is>
      </c>
      <c r="O30" s="18" t="inlineStr">
        <is>
          <t>Classical Chinese (文言文)</t>
        </is>
      </c>
      <c r="P30" s="18" t="inlineStr">
        <is>
          <t>Sinh dưỡng mà không sở hữu; làm mà không cậy công; giúp lớn lên mà không khống chế — đó được gọi là đức huyền.</t>
        </is>
      </c>
      <c r="Q30" s="18" t="inlineStr">
        <is>
          <t>Laozi / 老子</t>
        </is>
      </c>
      <c r="R30" s="18" t="inlineStr">
        <is>
          <t>Taoism</t>
        </is>
      </c>
      <c r="S30" s="18" t="inlineStr">
        <is>
          <t>道德經 / Tao Te Ching</t>
        </is>
      </c>
      <c r="T30" s="18" t="inlineStr">
        <is>
          <t>Chapter 10</t>
        </is>
      </c>
      <c r="U30" s="18" t="inlineStr">
        <is>
          <t>https://zh.wikisource.org/zh-hans/%E9%81%93%E5%BE%B7%E7%B6%93_(%E7%8E%8B%E5%BC%BC%E6%9C%AC)</t>
        </is>
      </c>
      <c r="V30" s="18" t="inlineStr">
        <is>
          <t>Primary text</t>
        </is>
      </c>
      <c r="W30" s="18" t="inlineStr">
        <is>
          <t>Working translation</t>
        </is>
      </c>
      <c r="X30" s="18" t="inlineStr">
        <is>
          <t>A - Primary source</t>
        </is>
      </c>
      <c r="Y30" s="18" t="inlineStr">
        <is>
          <t>Original Chinese checked against Wang Bi recension; cross-check via Chinese Text Project. Vietnamese is Selflo working translation, not published translation.</t>
        </is>
      </c>
      <c r="Z30" s="18" t="inlineStr">
        <is>
          <t>Public domain / likely</t>
        </is>
      </c>
      <c r="AA30" s="18" t="inlineStr">
        <is>
          <t>Ancient text; Legge 1891 comparison is public domain in USA per Project Gutenberg. Verify jurisdiction for commercial publication.</t>
        </is>
      </c>
      <c r="AB30" s="18" t="inlineStr">
        <is>
          <t>High</t>
        </is>
      </c>
      <c r="AC30" s="18" t="inlineStr">
        <is>
          <t>Rất tốt cho relationship/parenting/leadership.</t>
        </is>
      </c>
      <c r="AD30" s="18" t="inlineStr">
        <is>
          <t>Needs editorial review</t>
        </is>
      </c>
      <c r="AE30" s="18" t="inlineStr">
        <is>
          <t>Needs semantic dedupe review</t>
        </is>
      </c>
      <c r="AF30" s="18" t="str"/>
      <c r="AG30" s="18" t="str"/>
      <c r="AH30" s="18" t="inlineStr">
        <is>
          <t>No</t>
        </is>
      </c>
      <c r="AI30" s="18" t="inlineStr">
        <is>
          <t>Not reviewed</t>
        </is>
      </c>
      <c r="AJ30" s="18" t="inlineStr">
        <is>
          <t>Research only</t>
        </is>
      </c>
      <c r="AK30" s="18" t="inlineStr">
        <is>
          <t>Research Pool</t>
        </is>
      </c>
      <c r="AL30" s="18" t="n">
        <v>1</v>
      </c>
      <c r="AM30" s="18" t="inlineStr">
        <is>
          <t>ChatGPT research</t>
        </is>
      </c>
      <c r="AN30" s="18" t="inlineStr">
        <is>
          <t>2026-09-18</t>
        </is>
      </c>
      <c r="AO30" s="18" t="inlineStr">
        <is>
          <t>Day 1 full-scope audit, chapters 1–20.</t>
        </is>
      </c>
      <c r="AP30" s="18" t="n"/>
      <c r="AQ30" s="18" t="n"/>
    </row>
    <row r="31">
      <c r="A31" s="18" t="inlineStr">
        <is>
          <t>research.laozi.ch11.030</t>
        </is>
      </c>
      <c r="B31" s="18" t="inlineStr">
        <is>
          <t>Collected</t>
        </is>
      </c>
      <c r="C31" s="18" t="inlineStr">
        <is>
          <t>AI &amp; tương lai</t>
        </is>
      </c>
      <c r="D31" s="18" t="inlineStr">
        <is>
          <t>Attention / Noise / Deep focus</t>
        </is>
      </c>
      <c r="E31" s="18" t="str"/>
      <c r="F31" s="18" t="inlineStr">
        <is>
          <t>Khoảng trống có chức năng chứ không chỉ là thiếu vắng</t>
        </is>
      </c>
      <c r="G31" s="18" t="inlineStr">
        <is>
          <t>Attention</t>
        </is>
      </c>
      <c r="H31" s="18" t="inlineStr">
        <is>
          <t>Enoughness</t>
        </is>
      </c>
      <c r="I31" s="18" t="inlineStr">
        <is>
          <t>Trống rỗng</t>
        </is>
      </c>
      <c r="J31" s="18" t="str"/>
      <c r="K31" s="18" t="inlineStr">
        <is>
          <t>Reframe</t>
        </is>
      </c>
      <c r="L31" s="18" t="inlineStr">
        <is>
          <t>Distinguish</t>
        </is>
      </c>
      <c r="M31" s="18" t="inlineStr">
        <is>
          <t>Ẩn dụ</t>
        </is>
      </c>
      <c r="N31" s="18" t="inlineStr">
        <is>
          <t>三十輻共一轂，當其無，有車之用。</t>
        </is>
      </c>
      <c r="O31" s="18" t="inlineStr">
        <is>
          <t>Classical Chinese (文言文)</t>
        </is>
      </c>
      <c r="P31" s="18" t="inlineStr">
        <is>
          <t>Ba mươi nan hoa cùng tụ vào một trục; chính khoảng rỗng ở giữa làm bánh xe dùng được.</t>
        </is>
      </c>
      <c r="Q31" s="18" t="inlineStr">
        <is>
          <t>Laozi / 老子</t>
        </is>
      </c>
      <c r="R31" s="18" t="inlineStr">
        <is>
          <t>Taoism</t>
        </is>
      </c>
      <c r="S31" s="18" t="inlineStr">
        <is>
          <t>道德經 / Tao Te Ching</t>
        </is>
      </c>
      <c r="T31" s="18" t="inlineStr">
        <is>
          <t>Chapter 11</t>
        </is>
      </c>
      <c r="U31" s="18" t="inlineStr">
        <is>
          <t>https://zh.wikisource.org/zh-hans/%E9%81%93%E5%BE%B7%E7%B6%93_(%E7%8E%8B%E5%BC%BC%E6%9C%AC)</t>
        </is>
      </c>
      <c r="V31" s="18" t="inlineStr">
        <is>
          <t>Primary text</t>
        </is>
      </c>
      <c r="W31" s="18" t="inlineStr">
        <is>
          <t>Working translation</t>
        </is>
      </c>
      <c r="X31" s="18" t="inlineStr">
        <is>
          <t>A - Primary source</t>
        </is>
      </c>
      <c r="Y31" s="18" t="inlineStr">
        <is>
          <t>Original Chinese checked against Wang Bi recension; cross-check via Chinese Text Project. Vietnamese is Selflo working translation, not published translation.</t>
        </is>
      </c>
      <c r="Z31" s="18" t="inlineStr">
        <is>
          <t>Public domain / likely</t>
        </is>
      </c>
      <c r="AA31" s="18" t="inlineStr">
        <is>
          <t>Ancient text; Legge 1891 comparison is public domain in USA per Project Gutenberg. Verify jurisdiction for commercial publication.</t>
        </is>
      </c>
      <c r="AB31" s="18" t="inlineStr">
        <is>
          <t>High</t>
        </is>
      </c>
      <c r="AC31" s="18" t="inlineStr">
        <is>
          <t>Candidate mạnh nhất cho philosophy of space.</t>
        </is>
      </c>
      <c r="AD31" s="18" t="inlineStr">
        <is>
          <t>Needs editorial review</t>
        </is>
      </c>
      <c r="AE31" s="18" t="inlineStr">
        <is>
          <t>Needs semantic dedupe review</t>
        </is>
      </c>
      <c r="AF31" s="18" t="str"/>
      <c r="AG31" s="18" t="str"/>
      <c r="AH31" s="18" t="inlineStr">
        <is>
          <t>No</t>
        </is>
      </c>
      <c r="AI31" s="18" t="inlineStr">
        <is>
          <t>Not reviewed</t>
        </is>
      </c>
      <c r="AJ31" s="18" t="inlineStr">
        <is>
          <t>Research only</t>
        </is>
      </c>
      <c r="AK31" s="18" t="inlineStr">
        <is>
          <t>Research Pool</t>
        </is>
      </c>
      <c r="AL31" s="18" t="n">
        <v>1</v>
      </c>
      <c r="AM31" s="18" t="inlineStr">
        <is>
          <t>ChatGPT research</t>
        </is>
      </c>
      <c r="AN31" s="18" t="inlineStr">
        <is>
          <t>2026-09-18</t>
        </is>
      </c>
      <c r="AO31" s="18" t="inlineStr">
        <is>
          <t>Day 1 full-scope audit, chapters 1–20.</t>
        </is>
      </c>
      <c r="AP31" s="18" t="n"/>
      <c r="AQ31" s="18" t="n"/>
    </row>
    <row r="32">
      <c r="A32" s="18" t="inlineStr">
        <is>
          <t>research.laozi.ch11.031</t>
        </is>
      </c>
      <c r="B32" s="18" t="inlineStr">
        <is>
          <t>Collected</t>
        </is>
      </c>
      <c r="C32" s="18" t="inlineStr">
        <is>
          <t>Nội tâm &amp; hiểu mình</t>
        </is>
      </c>
      <c r="D32" s="18" t="inlineStr">
        <is>
          <t>Rest / Limits / Wellbeing</t>
        </is>
      </c>
      <c r="E32" s="18" t="str"/>
      <c r="F32" s="18" t="inlineStr">
        <is>
          <t>Điều không được lấp đầy cũng có thể tạo ra khả năng chứa</t>
        </is>
      </c>
      <c r="G32" s="18" t="inlineStr">
        <is>
          <t>Enoughness</t>
        </is>
      </c>
      <c r="H32" s="18" t="inlineStr">
        <is>
          <t>Rest</t>
        </is>
      </c>
      <c r="I32" s="18" t="inlineStr">
        <is>
          <t>Trống rỗng</t>
        </is>
      </c>
      <c r="J32" s="18" t="str"/>
      <c r="K32" s="18" t="inlineStr">
        <is>
          <t>Reframe</t>
        </is>
      </c>
      <c r="L32" s="18" t="inlineStr">
        <is>
          <t>Permit</t>
        </is>
      </c>
      <c r="M32" s="18" t="inlineStr">
        <is>
          <t>Ẩn dụ</t>
        </is>
      </c>
      <c r="N32" s="18" t="inlineStr">
        <is>
          <t>埏埴以為器，當其無，有器之用。</t>
        </is>
      </c>
      <c r="O32" s="18" t="inlineStr">
        <is>
          <t>Classical Chinese (文言文)</t>
        </is>
      </c>
      <c r="P32" s="18" t="inlineStr">
        <is>
          <t>Nặn đất thành đồ đựng; chính khoảng rỗng bên trong làm nó có công dụng.</t>
        </is>
      </c>
      <c r="Q32" s="18" t="inlineStr">
        <is>
          <t>Laozi / 老子</t>
        </is>
      </c>
      <c r="R32" s="18" t="inlineStr">
        <is>
          <t>Taoism</t>
        </is>
      </c>
      <c r="S32" s="18" t="inlineStr">
        <is>
          <t>道德經 / Tao Te Ching</t>
        </is>
      </c>
      <c r="T32" s="18" t="inlineStr">
        <is>
          <t>Chapter 11</t>
        </is>
      </c>
      <c r="U32" s="18" t="inlineStr">
        <is>
          <t>https://zh.wikisource.org/zh-hans/%E9%81%93%E5%BE%B7%E7%B6%93_(%E7%8E%8B%E5%BC%BC%E6%9C%AC)</t>
        </is>
      </c>
      <c r="V32" s="18" t="inlineStr">
        <is>
          <t>Primary text</t>
        </is>
      </c>
      <c r="W32" s="18" t="inlineStr">
        <is>
          <t>Working translation</t>
        </is>
      </c>
      <c r="X32" s="18" t="inlineStr">
        <is>
          <t>A - Primary source</t>
        </is>
      </c>
      <c r="Y32" s="18" t="inlineStr">
        <is>
          <t>Original Chinese checked against Wang Bi recension; cross-check via Chinese Text Project. Vietnamese is Selflo working translation, not published translation.</t>
        </is>
      </c>
      <c r="Z32" s="18" t="inlineStr">
        <is>
          <t>Public domain / likely</t>
        </is>
      </c>
      <c r="AA32" s="18" t="inlineStr">
        <is>
          <t>Ancient text; Legge 1891 comparison is public domain in USA per Project Gutenberg. Verify jurisdiction for commercial publication.</t>
        </is>
      </c>
      <c r="AB32" s="18" t="inlineStr">
        <is>
          <t>High</t>
        </is>
      </c>
      <c r="AC32" s="18" t="inlineStr">
        <is>
          <t>Mạnh.</t>
        </is>
      </c>
      <c r="AD32" s="18" t="inlineStr">
        <is>
          <t>Needs editorial review</t>
        </is>
      </c>
      <c r="AE32" s="18" t="inlineStr">
        <is>
          <t>Needs semantic dedupe review</t>
        </is>
      </c>
      <c r="AF32" s="18" t="str"/>
      <c r="AG32" s="18" t="str"/>
      <c r="AH32" s="18" t="inlineStr">
        <is>
          <t>No</t>
        </is>
      </c>
      <c r="AI32" s="18" t="inlineStr">
        <is>
          <t>Not reviewed</t>
        </is>
      </c>
      <c r="AJ32" s="18" t="inlineStr">
        <is>
          <t>Research only</t>
        </is>
      </c>
      <c r="AK32" s="18" t="inlineStr">
        <is>
          <t>Research Pool</t>
        </is>
      </c>
      <c r="AL32" s="18" t="n">
        <v>1</v>
      </c>
      <c r="AM32" s="18" t="inlineStr">
        <is>
          <t>ChatGPT research</t>
        </is>
      </c>
      <c r="AN32" s="18" t="inlineStr">
        <is>
          <t>2026-09-18</t>
        </is>
      </c>
      <c r="AO32" s="18" t="inlineStr">
        <is>
          <t>Day 1 full-scope audit, chapters 1–20.</t>
        </is>
      </c>
      <c r="AP32" s="18" t="n"/>
      <c r="AQ32" s="18" t="n"/>
    </row>
    <row r="33">
      <c r="A33" s="18" t="inlineStr">
        <is>
          <t>research.laozi.ch11.032</t>
        </is>
      </c>
      <c r="B33" s="18" t="inlineStr">
        <is>
          <t>Collected</t>
        </is>
      </c>
      <c r="C33" s="18" t="inlineStr">
        <is>
          <t>Nội tâm &amp; hiểu mình</t>
        </is>
      </c>
      <c r="D33" s="18" t="inlineStr">
        <is>
          <t>Attention / Noise / Deep focus</t>
        </is>
      </c>
      <c r="E33" s="18" t="str"/>
      <c r="F33" s="18" t="inlineStr">
        <is>
          <t>Không gian để sống không chỉ được tạo bởi thứ ta xây thêm</t>
        </is>
      </c>
      <c r="G33" s="18" t="inlineStr">
        <is>
          <t>Attention</t>
        </is>
      </c>
      <c r="H33" s="18" t="inlineStr">
        <is>
          <t>Rest</t>
        </is>
      </c>
      <c r="I33" s="18" t="inlineStr">
        <is>
          <t>Quá tải</t>
        </is>
      </c>
      <c r="J33" s="18" t="str"/>
      <c r="K33" s="18" t="inlineStr">
        <is>
          <t>Reframe</t>
        </is>
      </c>
      <c r="L33" s="18" t="inlineStr">
        <is>
          <t>Permit</t>
        </is>
      </c>
      <c r="M33" s="18" t="inlineStr">
        <is>
          <t>Ẩn dụ</t>
        </is>
      </c>
      <c r="N33" s="18" t="inlineStr">
        <is>
          <t>鑿戶牖以為室，當其無，有室之用。</t>
        </is>
      </c>
      <c r="O33" s="18" t="inlineStr">
        <is>
          <t>Classical Chinese (文言文)</t>
        </is>
      </c>
      <c r="P33" s="18" t="inlineStr">
        <is>
          <t>Mở cửa và cửa sổ để thành căn phòng; chính khoảng không bên trong làm căn phòng dùng được.</t>
        </is>
      </c>
      <c r="Q33" s="18" t="inlineStr">
        <is>
          <t>Laozi / 老子</t>
        </is>
      </c>
      <c r="R33" s="18" t="inlineStr">
        <is>
          <t>Taoism</t>
        </is>
      </c>
      <c r="S33" s="18" t="inlineStr">
        <is>
          <t>道德經 / Tao Te Ching</t>
        </is>
      </c>
      <c r="T33" s="18" t="inlineStr">
        <is>
          <t>Chapter 11</t>
        </is>
      </c>
      <c r="U33" s="18" t="inlineStr">
        <is>
          <t>https://zh.wikisource.org/zh-hans/%E9%81%93%E5%BE%B7%E7%B6%93_(%E7%8E%8B%E5%BC%BC%E6%9C%AC)</t>
        </is>
      </c>
      <c r="V33" s="18" t="inlineStr">
        <is>
          <t>Primary text</t>
        </is>
      </c>
      <c r="W33" s="18" t="inlineStr">
        <is>
          <t>Working translation</t>
        </is>
      </c>
      <c r="X33" s="18" t="inlineStr">
        <is>
          <t>A - Primary source</t>
        </is>
      </c>
      <c r="Y33" s="18" t="inlineStr">
        <is>
          <t>Original Chinese checked against Wang Bi recension; cross-check via Chinese Text Project. Vietnamese is Selflo working translation, not published translation.</t>
        </is>
      </c>
      <c r="Z33" s="18" t="inlineStr">
        <is>
          <t>Public domain / likely</t>
        </is>
      </c>
      <c r="AA33" s="18" t="inlineStr">
        <is>
          <t>Ancient text; Legge 1891 comparison is public domain in USA per Project Gutenberg. Verify jurisdiction for commercial publication.</t>
        </is>
      </c>
      <c r="AB33" s="18" t="inlineStr">
        <is>
          <t>High</t>
        </is>
      </c>
      <c r="AC33" s="18" t="inlineStr">
        <is>
          <t>Mạnh cho Selflo/space.</t>
        </is>
      </c>
      <c r="AD33" s="18" t="inlineStr">
        <is>
          <t>Needs editorial review</t>
        </is>
      </c>
      <c r="AE33" s="18" t="inlineStr">
        <is>
          <t>Needs semantic dedupe review</t>
        </is>
      </c>
      <c r="AF33" s="18" t="str"/>
      <c r="AG33" s="18" t="str"/>
      <c r="AH33" s="18" t="inlineStr">
        <is>
          <t>No</t>
        </is>
      </c>
      <c r="AI33" s="18" t="inlineStr">
        <is>
          <t>Not reviewed</t>
        </is>
      </c>
      <c r="AJ33" s="18" t="inlineStr">
        <is>
          <t>Research only</t>
        </is>
      </c>
      <c r="AK33" s="18" t="inlineStr">
        <is>
          <t>Research Pool</t>
        </is>
      </c>
      <c r="AL33" s="18" t="n">
        <v>1</v>
      </c>
      <c r="AM33" s="18" t="inlineStr">
        <is>
          <t>ChatGPT research</t>
        </is>
      </c>
      <c r="AN33" s="18" t="inlineStr">
        <is>
          <t>2026-09-18</t>
        </is>
      </c>
      <c r="AO33" s="18" t="inlineStr">
        <is>
          <t>Day 1 full-scope audit, chapters 1–20.</t>
        </is>
      </c>
      <c r="AP33" s="18" t="n"/>
      <c r="AQ33" s="18" t="n"/>
    </row>
    <row r="34">
      <c r="A34" s="18" t="inlineStr">
        <is>
          <t>research.laozi.ch11.033</t>
        </is>
      </c>
      <c r="B34" s="18" t="inlineStr">
        <is>
          <t>Collected</t>
        </is>
      </c>
      <c r="C34" s="18" t="inlineStr">
        <is>
          <t>AI &amp; tương lai</t>
        </is>
      </c>
      <c r="D34" s="18" t="inlineStr">
        <is>
          <t>AI-age Human Judgment</t>
        </is>
      </c>
      <c r="E34" s="18" t="str"/>
      <c r="F34" s="18" t="inlineStr">
        <is>
          <t>Giá trị có thể đến cả từ thứ hiện diện lẫn khoảng không được giữ lại</t>
        </is>
      </c>
      <c r="G34" s="18" t="inlineStr">
        <is>
          <t>Enoughness</t>
        </is>
      </c>
      <c r="H34" s="18" t="inlineStr">
        <is>
          <t>Attention</t>
        </is>
      </c>
      <c r="I34" s="18" t="inlineStr">
        <is>
          <t>Quá tải</t>
        </is>
      </c>
      <c r="J34" s="18" t="str"/>
      <c r="K34" s="18" t="inlineStr">
        <is>
          <t>Distinguish</t>
        </is>
      </c>
      <c r="L34" s="18" t="inlineStr">
        <is>
          <t>Reframe</t>
        </is>
      </c>
      <c r="M34" s="18" t="inlineStr">
        <is>
          <t>Nghịch lý</t>
        </is>
      </c>
      <c r="N34" s="18" t="inlineStr">
        <is>
          <t>故有之以為利，無之以為用。</t>
        </is>
      </c>
      <c r="O34" s="18" t="inlineStr">
        <is>
          <t>Classical Chinese (文言文)</t>
        </is>
      </c>
      <c r="P34" s="18" t="inlineStr">
        <is>
          <t>Cái có tạo nên lợi ích; cái không có tạo nên chỗ để sử dụng.</t>
        </is>
      </c>
      <c r="Q34" s="18" t="inlineStr">
        <is>
          <t>Laozi / 老子</t>
        </is>
      </c>
      <c r="R34" s="18" t="inlineStr">
        <is>
          <t>Taoism</t>
        </is>
      </c>
      <c r="S34" s="18" t="inlineStr">
        <is>
          <t>道德經 / Tao Te Ching</t>
        </is>
      </c>
      <c r="T34" s="18" t="inlineStr">
        <is>
          <t>Chapter 11</t>
        </is>
      </c>
      <c r="U34" s="18" t="inlineStr">
        <is>
          <t>https://zh.wikisource.org/zh-hans/%E9%81%93%E5%BE%B7%E7%B6%93_(%E7%8E%8B%E5%BC%BC%E6%9C%AC)</t>
        </is>
      </c>
      <c r="V34" s="18" t="inlineStr">
        <is>
          <t>Primary text</t>
        </is>
      </c>
      <c r="W34" s="18" t="inlineStr">
        <is>
          <t>Working translation</t>
        </is>
      </c>
      <c r="X34" s="18" t="inlineStr">
        <is>
          <t>A - Primary source</t>
        </is>
      </c>
      <c r="Y34" s="18" t="inlineStr">
        <is>
          <t>Original Chinese checked against Wang Bi recension; cross-check via Chinese Text Project. Vietnamese is Selflo working translation, not published translation.</t>
        </is>
      </c>
      <c r="Z34" s="18" t="inlineStr">
        <is>
          <t>Public domain / likely</t>
        </is>
      </c>
      <c r="AA34" s="18" t="inlineStr">
        <is>
          <t>Ancient text; Legge 1891 comparison is public domain in USA per Project Gutenberg. Verify jurisdiction for commercial publication.</t>
        </is>
      </c>
      <c r="AB34" s="18" t="inlineStr">
        <is>
          <t>High</t>
        </is>
      </c>
      <c r="AC34" s="18" t="inlineStr">
        <is>
          <t>Rất mạnh cho AI abundance.</t>
        </is>
      </c>
      <c r="AD34" s="18" t="inlineStr">
        <is>
          <t>Needs editorial review</t>
        </is>
      </c>
      <c r="AE34" s="18" t="inlineStr">
        <is>
          <t>Needs semantic dedupe review</t>
        </is>
      </c>
      <c r="AF34" s="18" t="str"/>
      <c r="AG34" s="18" t="str"/>
      <c r="AH34" s="18" t="inlineStr">
        <is>
          <t>No</t>
        </is>
      </c>
      <c r="AI34" s="18" t="inlineStr">
        <is>
          <t>Not reviewed</t>
        </is>
      </c>
      <c r="AJ34" s="18" t="inlineStr">
        <is>
          <t>Research only</t>
        </is>
      </c>
      <c r="AK34" s="18" t="inlineStr">
        <is>
          <t>Research Pool</t>
        </is>
      </c>
      <c r="AL34" s="18" t="n">
        <v>1</v>
      </c>
      <c r="AM34" s="18" t="inlineStr">
        <is>
          <t>ChatGPT research</t>
        </is>
      </c>
      <c r="AN34" s="18" t="inlineStr">
        <is>
          <t>2026-09-18</t>
        </is>
      </c>
      <c r="AO34" s="18" t="inlineStr">
        <is>
          <t>Day 1 full-scope audit, chapters 1–20.</t>
        </is>
      </c>
      <c r="AP34" s="18" t="n"/>
      <c r="AQ34" s="18" t="n"/>
    </row>
    <row r="35">
      <c r="A35" s="18" t="inlineStr">
        <is>
          <t>research.laozi.ch12.034</t>
        </is>
      </c>
      <c r="B35" s="18" t="inlineStr">
        <is>
          <t>Collected</t>
        </is>
      </c>
      <c r="C35" s="18" t="inlineStr">
        <is>
          <t>AI &amp; tương lai</t>
        </is>
      </c>
      <c r="D35" s="18" t="inlineStr">
        <is>
          <t>Attention / Noise / Deep focus</t>
        </is>
      </c>
      <c r="E35" s="18" t="str"/>
      <c r="F35" s="18" t="inlineStr">
        <is>
          <t>Quá nhiều kích thích có thể làm giảm khả năng cảm nhận</t>
        </is>
      </c>
      <c r="G35" s="18" t="inlineStr">
        <is>
          <t>Attention</t>
        </is>
      </c>
      <c r="H35" s="18" t="inlineStr">
        <is>
          <t>Enoughness</t>
        </is>
      </c>
      <c r="I35" s="18" t="inlineStr">
        <is>
          <t>Quá tải</t>
        </is>
      </c>
      <c r="J35" s="18" t="str"/>
      <c r="K35" s="18" t="inlineStr">
        <is>
          <t>Recognize</t>
        </is>
      </c>
      <c r="L35" s="18" t="inlineStr">
        <is>
          <t>Distinguish</t>
        </is>
      </c>
      <c r="M35" s="18" t="inlineStr">
        <is>
          <t>Ẩn dụ</t>
        </is>
      </c>
      <c r="N35" s="18" t="inlineStr">
        <is>
          <t>五色令人目盲，五音令人耳聾，五味令人口爽。</t>
        </is>
      </c>
      <c r="O35" s="18" t="inlineStr">
        <is>
          <t>Classical Chinese (文言文)</t>
        </is>
      </c>
      <c r="P35" s="18" t="inlineStr">
        <is>
          <t>Quá nhiều sắc có thể làm mắt lóa; quá nhiều âm làm tai như điếc; quá nhiều vị làm miệng mất khả năng phân biệt.</t>
        </is>
      </c>
      <c r="Q35" s="18" t="inlineStr">
        <is>
          <t>Laozi / 老子</t>
        </is>
      </c>
      <c r="R35" s="18" t="inlineStr">
        <is>
          <t>Taoism</t>
        </is>
      </c>
      <c r="S35" s="18" t="inlineStr">
        <is>
          <t>道德經 / Tao Te Ching</t>
        </is>
      </c>
      <c r="T35" s="18" t="inlineStr">
        <is>
          <t>Chapter 12</t>
        </is>
      </c>
      <c r="U35" s="18" t="inlineStr">
        <is>
          <t>https://zh.wikisource.org/zh-hans/%E9%81%93%E5%BE%B7%E7%B6%93_(%E7%8E%8B%E5%BC%BC%E6%9C%AC)</t>
        </is>
      </c>
      <c r="V35" s="18" t="inlineStr">
        <is>
          <t>Primary text</t>
        </is>
      </c>
      <c r="W35" s="18" t="inlineStr">
        <is>
          <t>Working translation</t>
        </is>
      </c>
      <c r="X35" s="18" t="inlineStr">
        <is>
          <t>A - Primary source</t>
        </is>
      </c>
      <c r="Y35" s="18" t="inlineStr">
        <is>
          <t>Original Chinese checked against Wang Bi recension; cross-check via Chinese Text Project. Vietnamese is Selflo working translation, not published translation.</t>
        </is>
      </c>
      <c r="Z35" s="18" t="inlineStr">
        <is>
          <t>Public domain / likely</t>
        </is>
      </c>
      <c r="AA35" s="18" t="inlineStr">
        <is>
          <t>Ancient text; Legge 1891 comparison is public domain in USA per Project Gutenberg. Verify jurisdiction for commercial publication.</t>
        </is>
      </c>
      <c r="AB35" s="18" t="inlineStr">
        <is>
          <t>High</t>
        </is>
      </c>
      <c r="AC35" s="18" t="inlineStr">
        <is>
          <t>Mạnh cho information abundance.</t>
        </is>
      </c>
      <c r="AD35" s="18" t="inlineStr">
        <is>
          <t>Needs editorial review</t>
        </is>
      </c>
      <c r="AE35" s="18" t="inlineStr">
        <is>
          <t>Needs semantic dedupe review</t>
        </is>
      </c>
      <c r="AF35" s="18" t="str"/>
      <c r="AG35" s="18" t="str"/>
      <c r="AH35" s="18" t="inlineStr">
        <is>
          <t>No</t>
        </is>
      </c>
      <c r="AI35" s="18" t="inlineStr">
        <is>
          <t>Not reviewed</t>
        </is>
      </c>
      <c r="AJ35" s="18" t="inlineStr">
        <is>
          <t>Research only</t>
        </is>
      </c>
      <c r="AK35" s="18" t="inlineStr">
        <is>
          <t>Research Pool</t>
        </is>
      </c>
      <c r="AL35" s="18" t="n">
        <v>1</v>
      </c>
      <c r="AM35" s="18" t="inlineStr">
        <is>
          <t>ChatGPT research</t>
        </is>
      </c>
      <c r="AN35" s="18" t="inlineStr">
        <is>
          <t>2026-09-18</t>
        </is>
      </c>
      <c r="AO35" s="18" t="inlineStr">
        <is>
          <t>Day 1 full-scope audit, chapters 1–20.</t>
        </is>
      </c>
      <c r="AP35" s="18" t="n"/>
      <c r="AQ35" s="18" t="n"/>
    </row>
    <row r="36">
      <c r="A36" s="18" t="inlineStr">
        <is>
          <t>research.laozi.ch12.035</t>
        </is>
      </c>
      <c r="B36" s="18" t="inlineStr">
        <is>
          <t>Collected</t>
        </is>
      </c>
      <c r="C36" s="18" t="inlineStr">
        <is>
          <t>Xã hội &amp; văn hóa</t>
        </is>
      </c>
      <c r="D36" s="18" t="inlineStr">
        <is>
          <t>Comparison / External standards / Values</t>
        </is>
      </c>
      <c r="E36" s="18" t="str"/>
      <c r="F36" s="18" t="inlineStr">
        <is>
          <t>Săn đuổi kích thích và sự hiếm có có thể định hướng hành vi</t>
        </is>
      </c>
      <c r="G36" s="18" t="inlineStr">
        <is>
          <t>Attention</t>
        </is>
      </c>
      <c r="H36" s="18" t="inlineStr">
        <is>
          <t>Values</t>
        </is>
      </c>
      <c r="I36" s="18" t="inlineStr">
        <is>
          <t>Áp lực</t>
        </is>
      </c>
      <c r="J36" s="18" t="str"/>
      <c r="K36" s="18" t="inlineStr">
        <is>
          <t>Recognize</t>
        </is>
      </c>
      <c r="L36" s="18" t="inlineStr">
        <is>
          <t>Distinguish</t>
        </is>
      </c>
      <c r="M36" s="18" t="inlineStr">
        <is>
          <t>Trích đoạn triết học</t>
        </is>
      </c>
      <c r="N36" s="18" t="inlineStr">
        <is>
          <t>馳騁畋獵令人心發狂，難得之貨令人行妨。</t>
        </is>
      </c>
      <c r="O36" s="18" t="inlineStr">
        <is>
          <t>Classical Chinese (文言文)</t>
        </is>
      </c>
      <c r="P36" s="18" t="inlineStr">
        <is>
          <t>Cuộc săn đuổi kích thích có thể làm tâm trí cuồng động; vật hiếm khó có thể kéo hành vi lệch khỏi đường của mình.</t>
        </is>
      </c>
      <c r="Q36" s="18" t="inlineStr">
        <is>
          <t>Laozi / 老子</t>
        </is>
      </c>
      <c r="R36" s="18" t="inlineStr">
        <is>
          <t>Taoism</t>
        </is>
      </c>
      <c r="S36" s="18" t="inlineStr">
        <is>
          <t>道德經 / Tao Te Ching</t>
        </is>
      </c>
      <c r="T36" s="18" t="inlineStr">
        <is>
          <t>Chapter 12</t>
        </is>
      </c>
      <c r="U36" s="18" t="inlineStr">
        <is>
          <t>https://zh.wikisource.org/zh-hans/%E9%81%93%E5%BE%B7%E7%B6%93_(%E7%8E%8B%E5%BC%BC%E6%9C%AC)</t>
        </is>
      </c>
      <c r="V36" s="18" t="inlineStr">
        <is>
          <t>Primary text</t>
        </is>
      </c>
      <c r="W36" s="18" t="inlineStr">
        <is>
          <t>Working translation</t>
        </is>
      </c>
      <c r="X36" s="18" t="inlineStr">
        <is>
          <t>A - Primary source</t>
        </is>
      </c>
      <c r="Y36" s="18" t="inlineStr">
        <is>
          <t>Original Chinese checked against Wang Bi recension; cross-check via Chinese Text Project. Vietnamese is Selflo working translation, not published translation.</t>
        </is>
      </c>
      <c r="Z36" s="18" t="inlineStr">
        <is>
          <t>Public domain / likely</t>
        </is>
      </c>
      <c r="AA36" s="18" t="inlineStr">
        <is>
          <t>Ancient text; Legge 1891 comparison is public domain in USA per Project Gutenberg. Verify jurisdiction for commercial publication.</t>
        </is>
      </c>
      <c r="AB36" s="18" t="inlineStr">
        <is>
          <t>Medium</t>
        </is>
      </c>
      <c r="AC36" s="18" t="inlineStr">
        <is>
          <t>Cần tránh moralizing.</t>
        </is>
      </c>
      <c r="AD36" s="18" t="inlineStr">
        <is>
          <t>Needs editorial review</t>
        </is>
      </c>
      <c r="AE36" s="18" t="inlineStr">
        <is>
          <t>Needs semantic dedupe review</t>
        </is>
      </c>
      <c r="AF36" s="18" t="str"/>
      <c r="AG36" s="18" t="str"/>
      <c r="AH36" s="18" t="inlineStr">
        <is>
          <t>No</t>
        </is>
      </c>
      <c r="AI36" s="18" t="inlineStr">
        <is>
          <t>Not reviewed</t>
        </is>
      </c>
      <c r="AJ36" s="18" t="inlineStr">
        <is>
          <t>Research only</t>
        </is>
      </c>
      <c r="AK36" s="18" t="inlineStr">
        <is>
          <t>Research Pool</t>
        </is>
      </c>
      <c r="AL36" s="18" t="n">
        <v>1</v>
      </c>
      <c r="AM36" s="18" t="inlineStr">
        <is>
          <t>ChatGPT research</t>
        </is>
      </c>
      <c r="AN36" s="18" t="inlineStr">
        <is>
          <t>2026-09-18</t>
        </is>
      </c>
      <c r="AO36" s="18" t="inlineStr">
        <is>
          <t>Day 1 full-scope audit, chapters 1–20.</t>
        </is>
      </c>
      <c r="AP36" s="18" t="n"/>
      <c r="AQ36" s="18" t="n"/>
    </row>
    <row r="37">
      <c r="A37" s="18" t="inlineStr">
        <is>
          <t>research.laozi.ch12.036</t>
        </is>
      </c>
      <c r="B37" s="18" t="inlineStr">
        <is>
          <t>Collected</t>
        </is>
      </c>
      <c r="C37" s="18" t="inlineStr">
        <is>
          <t>Nội tâm &amp; hiểu mình</t>
        </is>
      </c>
      <c r="D37" s="18" t="inlineStr">
        <is>
          <t>Comparison / External standards / Values</t>
        </is>
      </c>
      <c r="E37" s="18" t="str"/>
      <c r="F37" s="18" t="inlineStr">
        <is>
          <t>Phân biệt điều nuôi dưỡng mình với điều chỉ thu hút mình</t>
        </is>
      </c>
      <c r="G37" s="18" t="inlineStr">
        <is>
          <t>Values</t>
        </is>
      </c>
      <c r="H37" s="18" t="inlineStr">
        <is>
          <t>Enoughness</t>
        </is>
      </c>
      <c r="I37" s="18" t="inlineStr">
        <is>
          <t>Bối rối</t>
        </is>
      </c>
      <c r="J37" s="18" t="str"/>
      <c r="K37" s="18" t="inlineStr">
        <is>
          <t>Distinguish</t>
        </is>
      </c>
      <c r="L37" s="18" t="inlineStr">
        <is>
          <t>Return agency</t>
        </is>
      </c>
      <c r="M37" s="18" t="inlineStr">
        <is>
          <t>Trích đoạn triết học</t>
        </is>
      </c>
      <c r="N37" s="18" t="inlineStr">
        <is>
          <t>是以聖人為腹不為目，故去彼取此。</t>
        </is>
      </c>
      <c r="O37" s="18" t="inlineStr">
        <is>
          <t>Classical Chinese (文言文)</t>
        </is>
      </c>
      <c r="P37" s="18" t="inlineStr">
        <is>
          <t>Vì vậy người theo Đạo chăm điều nuôi dưỡng bên trong hơn là chạy theo thứ chỉ làm mắt thỏa mãn.</t>
        </is>
      </c>
      <c r="Q37" s="18" t="inlineStr">
        <is>
          <t>Laozi / 老子</t>
        </is>
      </c>
      <c r="R37" s="18" t="inlineStr">
        <is>
          <t>Taoism</t>
        </is>
      </c>
      <c r="S37" s="18" t="inlineStr">
        <is>
          <t>道德經 / Tao Te Ching</t>
        </is>
      </c>
      <c r="T37" s="18" t="inlineStr">
        <is>
          <t>Chapter 12</t>
        </is>
      </c>
      <c r="U37" s="18" t="inlineStr">
        <is>
          <t>https://zh.wikisource.org/zh-hans/%E9%81%93%E5%BE%B7%E7%B6%93_(%E7%8E%8B%E5%BC%BC%E6%9C%AC)</t>
        </is>
      </c>
      <c r="V37" s="18" t="inlineStr">
        <is>
          <t>Primary text</t>
        </is>
      </c>
      <c r="W37" s="18" t="inlineStr">
        <is>
          <t>Working translation</t>
        </is>
      </c>
      <c r="X37" s="18" t="inlineStr">
        <is>
          <t>A - Primary source</t>
        </is>
      </c>
      <c r="Y37" s="18" t="inlineStr">
        <is>
          <t>Original Chinese checked against Wang Bi recension; cross-check via Chinese Text Project. Vietnamese is Selflo working translation, not published translation.</t>
        </is>
      </c>
      <c r="Z37" s="18" t="inlineStr">
        <is>
          <t>Public domain / likely</t>
        </is>
      </c>
      <c r="AA37" s="18" t="inlineStr">
        <is>
          <t>Ancient text; Legge 1891 comparison is public domain in USA per Project Gutenberg. Verify jurisdiction for commercial publication.</t>
        </is>
      </c>
      <c r="AB37" s="18" t="inlineStr">
        <is>
          <t>High</t>
        </is>
      </c>
      <c r="AC37" s="18" t="inlineStr">
        <is>
          <t>Working translation diễn giải; hợp values.</t>
        </is>
      </c>
      <c r="AD37" s="18" t="inlineStr">
        <is>
          <t>Needs editorial review</t>
        </is>
      </c>
      <c r="AE37" s="18" t="inlineStr">
        <is>
          <t>Needs semantic dedupe review</t>
        </is>
      </c>
      <c r="AF37" s="18" t="str"/>
      <c r="AG37" s="18" t="str"/>
      <c r="AH37" s="18" t="inlineStr">
        <is>
          <t>No</t>
        </is>
      </c>
      <c r="AI37" s="18" t="inlineStr">
        <is>
          <t>Not reviewed</t>
        </is>
      </c>
      <c r="AJ37" s="18" t="inlineStr">
        <is>
          <t>Research only</t>
        </is>
      </c>
      <c r="AK37" s="18" t="inlineStr">
        <is>
          <t>Research Pool</t>
        </is>
      </c>
      <c r="AL37" s="18" t="n">
        <v>1</v>
      </c>
      <c r="AM37" s="18" t="inlineStr">
        <is>
          <t>ChatGPT research</t>
        </is>
      </c>
      <c r="AN37" s="18" t="inlineStr">
        <is>
          <t>2026-09-18</t>
        </is>
      </c>
      <c r="AO37" s="18" t="inlineStr">
        <is>
          <t>Day 1 full-scope audit, chapters 1–20.</t>
        </is>
      </c>
      <c r="AP37" s="18" t="n"/>
      <c r="AQ37" s="18" t="n"/>
    </row>
    <row r="38">
      <c r="A38" s="18" t="inlineStr">
        <is>
          <t>research.laozi.ch13.037</t>
        </is>
      </c>
      <c r="B38" s="18" t="inlineStr">
        <is>
          <t>Collected</t>
        </is>
      </c>
      <c r="C38" s="18" t="inlineStr">
        <is>
          <t>Xã hội &amp; văn hóa</t>
        </is>
      </c>
      <c r="D38" s="18" t="inlineStr">
        <is>
          <t>Comparison / External standards / Values</t>
        </is>
      </c>
      <c r="E38" s="18" t="str"/>
      <c r="F38" s="18" t="inlineStr">
        <is>
          <t>Sự đánh giá bên ngoài có thể làm mình bất an ở cả hai phía</t>
        </is>
      </c>
      <c r="G38" s="18" t="inlineStr">
        <is>
          <t>Comparison</t>
        </is>
      </c>
      <c r="H38" s="18" t="inlineStr">
        <is>
          <t>Self-worth</t>
        </is>
      </c>
      <c r="I38" s="18" t="inlineStr">
        <is>
          <t>Lo lắng</t>
        </is>
      </c>
      <c r="J38" s="18" t="str"/>
      <c r="K38" s="18" t="inlineStr">
        <is>
          <t>Recognize</t>
        </is>
      </c>
      <c r="L38" s="18" t="inlineStr">
        <is>
          <t>Distinguish</t>
        </is>
      </c>
      <c r="M38" s="18" t="inlineStr">
        <is>
          <t>Nghịch lý</t>
        </is>
      </c>
      <c r="N38" s="18" t="inlineStr">
        <is>
          <t>寵辱若驚。</t>
        </is>
      </c>
      <c r="O38" s="18" t="inlineStr">
        <is>
          <t>Classical Chinese (文言文)</t>
        </is>
      </c>
      <c r="P38" s="18" t="inlineStr">
        <is>
          <t>Được ưu ái hay bị hạ thấp đều có thể khiến lòng bất an.</t>
        </is>
      </c>
      <c r="Q38" s="18" t="inlineStr">
        <is>
          <t>Laozi / 老子</t>
        </is>
      </c>
      <c r="R38" s="18" t="inlineStr">
        <is>
          <t>Taoism</t>
        </is>
      </c>
      <c r="S38" s="18" t="inlineStr">
        <is>
          <t>道德經 / Tao Te Ching</t>
        </is>
      </c>
      <c r="T38" s="18" t="inlineStr">
        <is>
          <t>Chapter 13</t>
        </is>
      </c>
      <c r="U38" s="18" t="inlineStr">
        <is>
          <t>https://zh.wikisource.org/zh-hans/%E9%81%93%E5%BE%B7%E7%B6%93_(%E7%8E%8B%E5%BC%BC%E6%9C%AC)</t>
        </is>
      </c>
      <c r="V38" s="18" t="inlineStr">
        <is>
          <t>Primary text</t>
        </is>
      </c>
      <c r="W38" s="18" t="inlineStr">
        <is>
          <t>Working translation</t>
        </is>
      </c>
      <c r="X38" s="18" t="inlineStr">
        <is>
          <t>A - Primary source</t>
        </is>
      </c>
      <c r="Y38" s="18" t="inlineStr">
        <is>
          <t>Original Chinese checked against Wang Bi recension; cross-check via Chinese Text Project. Vietnamese is Selflo working translation, not published translation.</t>
        </is>
      </c>
      <c r="Z38" s="18" t="inlineStr">
        <is>
          <t>Public domain / likely</t>
        </is>
      </c>
      <c r="AA38" s="18" t="inlineStr">
        <is>
          <t>Ancient text; Legge 1891 comparison is public domain in USA per Project Gutenberg. Verify jurisdiction for commercial publication.</t>
        </is>
      </c>
      <c r="AB38" s="18" t="inlineStr">
        <is>
          <t>High</t>
        </is>
      </c>
      <c r="AC38" s="18" t="inlineStr">
        <is>
          <t>Ngắn, mạnh; cần ngữ cảnh chương 13.</t>
        </is>
      </c>
      <c r="AD38" s="18" t="inlineStr">
        <is>
          <t>Needs editorial review</t>
        </is>
      </c>
      <c r="AE38" s="18" t="inlineStr">
        <is>
          <t>Needs semantic dedupe review</t>
        </is>
      </c>
      <c r="AF38" s="18" t="str"/>
      <c r="AG38" s="18" t="str"/>
      <c r="AH38" s="18" t="inlineStr">
        <is>
          <t>No</t>
        </is>
      </c>
      <c r="AI38" s="18" t="inlineStr">
        <is>
          <t>Not reviewed</t>
        </is>
      </c>
      <c r="AJ38" s="18" t="inlineStr">
        <is>
          <t>Research only</t>
        </is>
      </c>
      <c r="AK38" s="18" t="inlineStr">
        <is>
          <t>Research Pool</t>
        </is>
      </c>
      <c r="AL38" s="18" t="n">
        <v>1</v>
      </c>
      <c r="AM38" s="18" t="inlineStr">
        <is>
          <t>ChatGPT research</t>
        </is>
      </c>
      <c r="AN38" s="18" t="inlineStr">
        <is>
          <t>2026-09-18</t>
        </is>
      </c>
      <c r="AO38" s="18" t="inlineStr">
        <is>
          <t>Day 1 full-scope audit, chapters 1–20.</t>
        </is>
      </c>
      <c r="AP38" s="18" t="n"/>
      <c r="AQ38" s="18" t="n"/>
    </row>
    <row r="39">
      <c r="A39" s="18" t="inlineStr">
        <is>
          <t>research.laozi.ch13.038</t>
        </is>
      </c>
      <c r="B39" s="18" t="inlineStr">
        <is>
          <t>Collected</t>
        </is>
      </c>
      <c r="C39" s="18" t="inlineStr">
        <is>
          <t>Nội tâm &amp; hiểu mình</t>
        </is>
      </c>
      <c r="D39" s="18" t="inlineStr">
        <is>
          <t>Uncertainty / Choice / Agency</t>
        </is>
      </c>
      <c r="E39" s="18" t="str"/>
      <c r="F39" s="18" t="inlineStr">
        <is>
          <t>Một thứ mình bám vào có thể tạo lo cả khi được lẫn khi mất</t>
        </is>
      </c>
      <c r="G39" s="18" t="inlineStr">
        <is>
          <t>Fear</t>
        </is>
      </c>
      <c r="H39" s="18" t="inlineStr">
        <is>
          <t>Control</t>
        </is>
      </c>
      <c r="I39" s="18" t="inlineStr">
        <is>
          <t>Lo lắng</t>
        </is>
      </c>
      <c r="J39" s="18" t="str"/>
      <c r="K39" s="18" t="inlineStr">
        <is>
          <t>Recognize</t>
        </is>
      </c>
      <c r="L39" s="18" t="inlineStr">
        <is>
          <t>Distinguish</t>
        </is>
      </c>
      <c r="M39" s="18" t="inlineStr">
        <is>
          <t>Nghịch lý</t>
        </is>
      </c>
      <c r="N39" s="18" t="inlineStr">
        <is>
          <t>得之若驚，失之若驚。</t>
        </is>
      </c>
      <c r="O39" s="18" t="inlineStr">
        <is>
          <t>Classical Chinese (文言文)</t>
        </is>
      </c>
      <c r="P39" s="18" t="inlineStr">
        <is>
          <t>Có được thì lo, mất đi cũng lo.</t>
        </is>
      </c>
      <c r="Q39" s="18" t="inlineStr">
        <is>
          <t>Laozi / 老子</t>
        </is>
      </c>
      <c r="R39" s="18" t="inlineStr">
        <is>
          <t>Taoism</t>
        </is>
      </c>
      <c r="S39" s="18" t="inlineStr">
        <is>
          <t>道德經 / Tao Te Ching</t>
        </is>
      </c>
      <c r="T39" s="18" t="inlineStr">
        <is>
          <t>Chapter 13</t>
        </is>
      </c>
      <c r="U39" s="18" t="inlineStr">
        <is>
          <t>https://zh.wikisource.org/zh-hans/%E9%81%93%E5%BE%B7%E7%B6%93_(%E7%8E%8B%E5%BC%BC%E6%9C%AC)</t>
        </is>
      </c>
      <c r="V39" s="18" t="inlineStr">
        <is>
          <t>Primary text</t>
        </is>
      </c>
      <c r="W39" s="18" t="inlineStr">
        <is>
          <t>Working translation</t>
        </is>
      </c>
      <c r="X39" s="18" t="inlineStr">
        <is>
          <t>A - Primary source</t>
        </is>
      </c>
      <c r="Y39" s="18" t="inlineStr">
        <is>
          <t>Original Chinese checked against Wang Bi recension; cross-check via Chinese Text Project. Vietnamese is Selflo working translation, not published translation.</t>
        </is>
      </c>
      <c r="Z39" s="18" t="inlineStr">
        <is>
          <t>Public domain / likely</t>
        </is>
      </c>
      <c r="AA39" s="18" t="inlineStr">
        <is>
          <t>Ancient text; Legge 1891 comparison is public domain in USA per Project Gutenberg. Verify jurisdiction for commercial publication.</t>
        </is>
      </c>
      <c r="AB39" s="18" t="inlineStr">
        <is>
          <t>High</t>
        </is>
      </c>
      <c r="AC39" s="18" t="inlineStr">
        <is>
          <t>Rất Selflo-like nếu dịch mềm.</t>
        </is>
      </c>
      <c r="AD39" s="18" t="inlineStr">
        <is>
          <t>Needs editorial review</t>
        </is>
      </c>
      <c r="AE39" s="18" t="inlineStr">
        <is>
          <t>Needs semantic dedupe review</t>
        </is>
      </c>
      <c r="AF39" s="18" t="str"/>
      <c r="AG39" s="18" t="str"/>
      <c r="AH39" s="18" t="inlineStr">
        <is>
          <t>No</t>
        </is>
      </c>
      <c r="AI39" s="18" t="inlineStr">
        <is>
          <t>Not reviewed</t>
        </is>
      </c>
      <c r="AJ39" s="18" t="inlineStr">
        <is>
          <t>Research only</t>
        </is>
      </c>
      <c r="AK39" s="18" t="inlineStr">
        <is>
          <t>Research Pool</t>
        </is>
      </c>
      <c r="AL39" s="18" t="n">
        <v>1</v>
      </c>
      <c r="AM39" s="18" t="inlineStr">
        <is>
          <t>ChatGPT research</t>
        </is>
      </c>
      <c r="AN39" s="18" t="inlineStr">
        <is>
          <t>2026-09-18</t>
        </is>
      </c>
      <c r="AO39" s="18" t="inlineStr">
        <is>
          <t>Day 1 full-scope audit, chapters 1–20.</t>
        </is>
      </c>
      <c r="AP39" s="18" t="n"/>
      <c r="AQ39" s="18" t="n"/>
    </row>
    <row r="40">
      <c r="A40" s="18" t="inlineStr">
        <is>
          <t>research.laozi.ch13.039</t>
        </is>
      </c>
      <c r="B40" s="18" t="inlineStr">
        <is>
          <t>Collected</t>
        </is>
      </c>
      <c r="C40" s="18" t="inlineStr">
        <is>
          <t>Nghỉ ngơi &amp; sức khỏe tinh thần</t>
        </is>
      </c>
      <c r="D40" s="18" t="inlineStr">
        <is>
          <t>Rest / Limits / Wellbeing</t>
        </is>
      </c>
      <c r="E40" s="18" t="str"/>
      <c r="F40" s="18" t="inlineStr">
        <is>
          <t>Chăm chính mình không nhất thiết đối lập với trách nhiệm lớn</t>
        </is>
      </c>
      <c r="G40" s="18" t="inlineStr">
        <is>
          <t>Responsibility</t>
        </is>
      </c>
      <c r="H40" s="18" t="inlineStr">
        <is>
          <t>Rest</t>
        </is>
      </c>
      <c r="I40" s="18" t="inlineStr">
        <is>
          <t>Áp lực</t>
        </is>
      </c>
      <c r="J40" s="18" t="str"/>
      <c r="K40" s="18" t="inlineStr">
        <is>
          <t>Reframe</t>
        </is>
      </c>
      <c r="L40" s="18" t="inlineStr">
        <is>
          <t>Permit</t>
        </is>
      </c>
      <c r="M40" s="18" t="inlineStr">
        <is>
          <t>Trích đoạn triết học</t>
        </is>
      </c>
      <c r="N40" s="18" t="inlineStr">
        <is>
          <t>貴以身為天下，若可寄天下；愛以身為天下，若可托天下。</t>
        </is>
      </c>
      <c r="O40" s="18" t="inlineStr">
        <is>
          <t>Classical Chinese (文言文)</t>
        </is>
      </c>
      <c r="P40" s="18" t="inlineStr">
        <is>
          <t>Ai biết quý và chăm thân mình như quý việc lớn mới có thể được trao việc lớn.</t>
        </is>
      </c>
      <c r="Q40" s="18" t="inlineStr">
        <is>
          <t>Laozi / 老子</t>
        </is>
      </c>
      <c r="R40" s="18" t="inlineStr">
        <is>
          <t>Taoism</t>
        </is>
      </c>
      <c r="S40" s="18" t="inlineStr">
        <is>
          <t>道德經 / Tao Te Ching</t>
        </is>
      </c>
      <c r="T40" s="18" t="inlineStr">
        <is>
          <t>Chapter 13</t>
        </is>
      </c>
      <c r="U40" s="18" t="inlineStr">
        <is>
          <t>https://zh.wikisource.org/zh-hans/%E9%81%93%E5%BE%B7%E7%B6%93_(%E7%8E%8B%E5%BC%BC%E6%9C%AC)</t>
        </is>
      </c>
      <c r="V40" s="18" t="inlineStr">
        <is>
          <t>Primary text</t>
        </is>
      </c>
      <c r="W40" s="18" t="inlineStr">
        <is>
          <t>Working translation</t>
        </is>
      </c>
      <c r="X40" s="18" t="inlineStr">
        <is>
          <t>A - Primary source</t>
        </is>
      </c>
      <c r="Y40" s="18" t="inlineStr">
        <is>
          <t>Original Chinese checked against Wang Bi recension; cross-check via Chinese Text Project. Vietnamese is Selflo working translation, not published translation.</t>
        </is>
      </c>
      <c r="Z40" s="18" t="inlineStr">
        <is>
          <t>Public domain / likely</t>
        </is>
      </c>
      <c r="AA40" s="18" t="inlineStr">
        <is>
          <t>Ancient text; Legge 1891 comparison is public domain in USA per Project Gutenberg. Verify jurisdiction for commercial publication.</t>
        </is>
      </c>
      <c r="AB40" s="18" t="inlineStr">
        <is>
          <t>Medium</t>
        </is>
      </c>
      <c r="AC40" s="18" t="inlineStr">
        <is>
          <t>Cổ nghĩa/phép trị quốc; không over-modernize.</t>
        </is>
      </c>
      <c r="AD40" s="18" t="inlineStr">
        <is>
          <t>Needs editorial review</t>
        </is>
      </c>
      <c r="AE40" s="18" t="inlineStr">
        <is>
          <t>Needs semantic dedupe review</t>
        </is>
      </c>
      <c r="AF40" s="18" t="str"/>
      <c r="AG40" s="18" t="str"/>
      <c r="AH40" s="18" t="inlineStr">
        <is>
          <t>No</t>
        </is>
      </c>
      <c r="AI40" s="18" t="inlineStr">
        <is>
          <t>Not reviewed</t>
        </is>
      </c>
      <c r="AJ40" s="18" t="inlineStr">
        <is>
          <t>Research only</t>
        </is>
      </c>
      <c r="AK40" s="18" t="inlineStr">
        <is>
          <t>Research Pool</t>
        </is>
      </c>
      <c r="AL40" s="18" t="n">
        <v>1</v>
      </c>
      <c r="AM40" s="18" t="inlineStr">
        <is>
          <t>ChatGPT research</t>
        </is>
      </c>
      <c r="AN40" s="18" t="inlineStr">
        <is>
          <t>2026-09-18</t>
        </is>
      </c>
      <c r="AO40" s="18" t="inlineStr">
        <is>
          <t>Day 1 full-scope audit, chapters 1–20.</t>
        </is>
      </c>
      <c r="AP40" s="18" t="n"/>
      <c r="AQ40" s="18" t="n"/>
    </row>
    <row r="41">
      <c r="A41" s="18" t="inlineStr">
        <is>
          <t>research.laozi.ch14.040</t>
        </is>
      </c>
      <c r="B41" s="18" t="inlineStr">
        <is>
          <t>Collected</t>
        </is>
      </c>
      <c r="C41" s="18" t="inlineStr">
        <is>
          <t>Nội tâm &amp; hiểu mình</t>
        </is>
      </c>
      <c r="D41" s="18" t="inlineStr">
        <is>
          <t>Uncertainty / Choice / Agency</t>
        </is>
      </c>
      <c r="E41" s="18" t="str"/>
      <c r="F41" s="18" t="inlineStr">
        <is>
          <t>Không phải điều có ý nghĩa nào cũng dễ thấy, nghe hay nắm bắt</t>
        </is>
      </c>
      <c r="G41" s="18" t="inlineStr">
        <is>
          <t>Uncertainty</t>
        </is>
      </c>
      <c r="H41" s="18" t="inlineStr">
        <is>
          <t>Meaning</t>
        </is>
      </c>
      <c r="I41" s="18" t="inlineStr">
        <is>
          <t>Không chắc chắn</t>
        </is>
      </c>
      <c r="J41" s="18" t="str"/>
      <c r="K41" s="18" t="inlineStr">
        <is>
          <t>Permit</t>
        </is>
      </c>
      <c r="L41" s="18" t="inlineStr">
        <is>
          <t>Recognize</t>
        </is>
      </c>
      <c r="M41" s="18" t="inlineStr">
        <is>
          <t>Trích đoạn triết học</t>
        </is>
      </c>
      <c r="N41" s="18" t="inlineStr">
        <is>
          <t>視之不見名曰夷，聽之不聞名曰希，搏之不得名曰微。</t>
        </is>
      </c>
      <c r="O41" s="18" t="inlineStr">
        <is>
          <t>Classical Chinese (文言文)</t>
        </is>
      </c>
      <c r="P41" s="18" t="inlineStr">
        <is>
          <t>Nhìn mà không thấy, nghe mà không nghe được, nắm mà không giữ được — đoạn văn gọi những điều ấy là mờ, lặng và vi tế.</t>
        </is>
      </c>
      <c r="Q41" s="18" t="inlineStr">
        <is>
          <t>Laozi / 老子</t>
        </is>
      </c>
      <c r="R41" s="18" t="inlineStr">
        <is>
          <t>Taoism</t>
        </is>
      </c>
      <c r="S41" s="18" t="inlineStr">
        <is>
          <t>道德經 / Tao Te Ching</t>
        </is>
      </c>
      <c r="T41" s="18" t="inlineStr">
        <is>
          <t>Chapter 14</t>
        </is>
      </c>
      <c r="U41" s="18" t="inlineStr">
        <is>
          <t>https://zh.wikisource.org/zh-hans/%E9%81%93%E5%BE%B7%E7%B6%93_(%E7%8E%8B%E5%BC%BC%E6%9C%AC)</t>
        </is>
      </c>
      <c r="V41" s="18" t="inlineStr">
        <is>
          <t>Primary text</t>
        </is>
      </c>
      <c r="W41" s="18" t="inlineStr">
        <is>
          <t>Working translation</t>
        </is>
      </c>
      <c r="X41" s="18" t="inlineStr">
        <is>
          <t>A - Primary source</t>
        </is>
      </c>
      <c r="Y41" s="18" t="inlineStr">
        <is>
          <t>Original Chinese checked against Wang Bi recension; cross-check via Chinese Text Project. Vietnamese is Selflo working translation, not published translation.</t>
        </is>
      </c>
      <c r="Z41" s="18" t="inlineStr">
        <is>
          <t>Public domain / likely</t>
        </is>
      </c>
      <c r="AA41" s="18" t="inlineStr">
        <is>
          <t>Ancient text; Legge 1891 comparison is public domain in USA per Project Gutenberg. Verify jurisdiction for commercial publication.</t>
        </is>
      </c>
      <c r="AB41" s="18" t="inlineStr">
        <is>
          <t>Medium</t>
        </is>
      </c>
      <c r="AC41" s="18" t="inlineStr">
        <is>
          <t>Metaphysical.</t>
        </is>
      </c>
      <c r="AD41" s="18" t="inlineStr">
        <is>
          <t>Needs editorial review</t>
        </is>
      </c>
      <c r="AE41" s="18" t="inlineStr">
        <is>
          <t>Needs semantic dedupe review</t>
        </is>
      </c>
      <c r="AF41" s="18" t="str"/>
      <c r="AG41" s="18" t="str"/>
      <c r="AH41" s="18" t="inlineStr">
        <is>
          <t>No</t>
        </is>
      </c>
      <c r="AI41" s="18" t="inlineStr">
        <is>
          <t>Not reviewed</t>
        </is>
      </c>
      <c r="AJ41" s="18" t="inlineStr">
        <is>
          <t>Research only</t>
        </is>
      </c>
      <c r="AK41" s="18" t="inlineStr">
        <is>
          <t>Research Pool</t>
        </is>
      </c>
      <c r="AL41" s="18" t="n">
        <v>1</v>
      </c>
      <c r="AM41" s="18" t="inlineStr">
        <is>
          <t>ChatGPT research</t>
        </is>
      </c>
      <c r="AN41" s="18" t="inlineStr">
        <is>
          <t>2026-09-18</t>
        </is>
      </c>
      <c r="AO41" s="18" t="inlineStr">
        <is>
          <t>Day 1 full-scope audit, chapters 1–20.</t>
        </is>
      </c>
      <c r="AP41" s="18" t="n"/>
      <c r="AQ41" s="18" t="n"/>
    </row>
    <row r="42">
      <c r="A42" s="18" t="inlineStr">
        <is>
          <t>research.laozi.ch14.041</t>
        </is>
      </c>
      <c r="B42" s="18" t="inlineStr">
        <is>
          <t>Collected</t>
        </is>
      </c>
      <c r="C42" s="18" t="inlineStr">
        <is>
          <t>Nội tâm &amp; hiểu mình</t>
        </is>
      </c>
      <c r="D42" s="18" t="inlineStr">
        <is>
          <t>Uncertainty / Choice / Agency</t>
        </is>
      </c>
      <c r="E42" s="18" t="str"/>
      <c r="F42" s="18" t="inlineStr">
        <is>
          <t>Có trải nghiệm chưa thể định hình rõ ràng</t>
        </is>
      </c>
      <c r="G42" s="18" t="inlineStr">
        <is>
          <t>Uncertainty</t>
        </is>
      </c>
      <c r="H42" s="18" t="inlineStr">
        <is>
          <t>Identity</t>
        </is>
      </c>
      <c r="I42" s="18" t="inlineStr">
        <is>
          <t>Không gọi tên được</t>
        </is>
      </c>
      <c r="J42" s="18" t="str"/>
      <c r="K42" s="18" t="inlineStr">
        <is>
          <t>Name</t>
        </is>
      </c>
      <c r="L42" s="18" t="inlineStr">
        <is>
          <t>Permit</t>
        </is>
      </c>
      <c r="M42" s="18" t="inlineStr">
        <is>
          <t>Nghịch lý</t>
        </is>
      </c>
      <c r="N42" s="18" t="inlineStr">
        <is>
          <t>是謂無狀之狀，無物之象，是謂惚恍。</t>
        </is>
      </c>
      <c r="O42" s="18" t="inlineStr">
        <is>
          <t>Classical Chinese (文言文)</t>
        </is>
      </c>
      <c r="P42" s="18" t="inlineStr">
        <is>
          <t>Đó là hình của cái không có hình, dáng của cái không thành vật — một trạng thái khó nắm bắt.</t>
        </is>
      </c>
      <c r="Q42" s="18" t="inlineStr">
        <is>
          <t>Laozi / 老子</t>
        </is>
      </c>
      <c r="R42" s="18" t="inlineStr">
        <is>
          <t>Taoism</t>
        </is>
      </c>
      <c r="S42" s="18" t="inlineStr">
        <is>
          <t>道德經 / Tao Te Ching</t>
        </is>
      </c>
      <c r="T42" s="18" t="inlineStr">
        <is>
          <t>Chapter 14</t>
        </is>
      </c>
      <c r="U42" s="18" t="inlineStr">
        <is>
          <t>https://zh.wikisource.org/zh-hans/%E9%81%93%E5%BE%B7%E7%B6%93_(%E7%8E%8B%E5%BC%BC%E6%9C%AC)</t>
        </is>
      </c>
      <c r="V42" s="18" t="inlineStr">
        <is>
          <t>Primary text</t>
        </is>
      </c>
      <c r="W42" s="18" t="inlineStr">
        <is>
          <t>Working translation</t>
        </is>
      </c>
      <c r="X42" s="18" t="inlineStr">
        <is>
          <t>A - Primary source</t>
        </is>
      </c>
      <c r="Y42" s="18" t="inlineStr">
        <is>
          <t>Original Chinese checked against Wang Bi recension; cross-check via Chinese Text Project. Vietnamese is Selflo working translation, not published translation.</t>
        </is>
      </c>
      <c r="Z42" s="18" t="inlineStr">
        <is>
          <t>Public domain / likely</t>
        </is>
      </c>
      <c r="AA42" s="18" t="inlineStr">
        <is>
          <t>Ancient text; Legge 1891 comparison is public domain in USA per Project Gutenberg. Verify jurisdiction for commercial publication.</t>
        </is>
      </c>
      <c r="AB42" s="18" t="inlineStr">
        <is>
          <t>Medium</t>
        </is>
      </c>
      <c r="AC42" s="18" t="inlineStr">
        <is>
          <t>Có tiềm năng cho unnamed experience.</t>
        </is>
      </c>
      <c r="AD42" s="18" t="inlineStr">
        <is>
          <t>Needs editorial review</t>
        </is>
      </c>
      <c r="AE42" s="18" t="inlineStr">
        <is>
          <t>Needs semantic dedupe review</t>
        </is>
      </c>
      <c r="AF42" s="18" t="str"/>
      <c r="AG42" s="18" t="str"/>
      <c r="AH42" s="18" t="inlineStr">
        <is>
          <t>No</t>
        </is>
      </c>
      <c r="AI42" s="18" t="inlineStr">
        <is>
          <t>Not reviewed</t>
        </is>
      </c>
      <c r="AJ42" s="18" t="inlineStr">
        <is>
          <t>Research only</t>
        </is>
      </c>
      <c r="AK42" s="18" t="inlineStr">
        <is>
          <t>Research Pool</t>
        </is>
      </c>
      <c r="AL42" s="18" t="n">
        <v>1</v>
      </c>
      <c r="AM42" s="18" t="inlineStr">
        <is>
          <t>ChatGPT research</t>
        </is>
      </c>
      <c r="AN42" s="18" t="inlineStr">
        <is>
          <t>2026-09-18</t>
        </is>
      </c>
      <c r="AO42" s="18" t="inlineStr">
        <is>
          <t>Day 1 full-scope audit, chapters 1–20.</t>
        </is>
      </c>
      <c r="AP42" s="18" t="n"/>
      <c r="AQ42" s="18" t="n"/>
    </row>
    <row r="43">
      <c r="A43" s="18" t="inlineStr">
        <is>
          <t>research.laozi.ch14.042</t>
        </is>
      </c>
      <c r="B43" s="18" t="inlineStr">
        <is>
          <t>Collected</t>
        </is>
      </c>
      <c r="C43" s="18" t="inlineStr">
        <is>
          <t>AI &amp; tương lai</t>
        </is>
      </c>
      <c r="D43" s="18" t="inlineStr">
        <is>
          <t>AI-age Human Judgment</t>
        </is>
      </c>
      <c r="E43" s="18" t="str"/>
      <c r="F43" s="18" t="inlineStr">
        <is>
          <t>Nguyên lý bền có thể giúp định hướng trong hoàn cảnh mới</t>
        </is>
      </c>
      <c r="G43" s="18" t="inlineStr">
        <is>
          <t>Judgment</t>
        </is>
      </c>
      <c r="H43" s="18" t="inlineStr">
        <is>
          <t>Values</t>
        </is>
      </c>
      <c r="I43" s="18" t="inlineStr">
        <is>
          <t>Bối rối</t>
        </is>
      </c>
      <c r="J43" s="18" t="str"/>
      <c r="K43" s="18" t="inlineStr">
        <is>
          <t>Reframe</t>
        </is>
      </c>
      <c r="L43" s="18" t="inlineStr">
        <is>
          <t>Return agency</t>
        </is>
      </c>
      <c r="M43" s="18" t="inlineStr">
        <is>
          <t>Trích đoạn triết học</t>
        </is>
      </c>
      <c r="N43" s="18" t="inlineStr">
        <is>
          <t>執古之道，以御今之有。</t>
        </is>
      </c>
      <c r="O43" s="18" t="inlineStr">
        <is>
          <t>Classical Chinese (文言文)</t>
        </is>
      </c>
      <c r="P43" s="18" t="inlineStr">
        <is>
          <t>Nắm một nguyên lý xưa để soi và ứng xử với điều đang có hôm nay.</t>
        </is>
      </c>
      <c r="Q43" s="18" t="inlineStr">
        <is>
          <t>Laozi / 老子</t>
        </is>
      </c>
      <c r="R43" s="18" t="inlineStr">
        <is>
          <t>Taoism</t>
        </is>
      </c>
      <c r="S43" s="18" t="inlineStr">
        <is>
          <t>道德經 / Tao Te Ching</t>
        </is>
      </c>
      <c r="T43" s="18" t="inlineStr">
        <is>
          <t>Chapter 14</t>
        </is>
      </c>
      <c r="U43" s="18" t="inlineStr">
        <is>
          <t>https://zh.wikisource.org/zh-hans/%E9%81%93%E5%BE%B7%E7%B6%93_(%E7%8E%8B%E5%BC%BC%E6%9C%AC)</t>
        </is>
      </c>
      <c r="V43" s="18" t="inlineStr">
        <is>
          <t>Primary text</t>
        </is>
      </c>
      <c r="W43" s="18" t="inlineStr">
        <is>
          <t>Working translation</t>
        </is>
      </c>
      <c r="X43" s="18" t="inlineStr">
        <is>
          <t>A - Primary source</t>
        </is>
      </c>
      <c r="Y43" s="18" t="inlineStr">
        <is>
          <t>Original Chinese checked against Wang Bi recension; cross-check via Chinese Text Project. Vietnamese is Selflo working translation, not published translation.</t>
        </is>
      </c>
      <c r="Z43" s="18" t="inlineStr">
        <is>
          <t>Public domain / likely</t>
        </is>
      </c>
      <c r="AA43" s="18" t="inlineStr">
        <is>
          <t>Ancient text; Legge 1891 comparison is public domain in USA per Project Gutenberg. Verify jurisdiction for commercial publication.</t>
        </is>
      </c>
      <c r="AB43" s="18" t="inlineStr">
        <is>
          <t>High</t>
        </is>
      </c>
      <c r="AC43" s="18" t="inlineStr">
        <is>
          <t>Rất gần docs 'nguyên lý bền' của Selflo.</t>
        </is>
      </c>
      <c r="AD43" s="18" t="inlineStr">
        <is>
          <t>Needs editorial review</t>
        </is>
      </c>
      <c r="AE43" s="18" t="inlineStr">
        <is>
          <t>Needs semantic dedupe review</t>
        </is>
      </c>
      <c r="AF43" s="18" t="str"/>
      <c r="AG43" s="18" t="str"/>
      <c r="AH43" s="18" t="inlineStr">
        <is>
          <t>No</t>
        </is>
      </c>
      <c r="AI43" s="18" t="inlineStr">
        <is>
          <t>Not reviewed</t>
        </is>
      </c>
      <c r="AJ43" s="18" t="inlineStr">
        <is>
          <t>Research only</t>
        </is>
      </c>
      <c r="AK43" s="18" t="inlineStr">
        <is>
          <t>Research Pool</t>
        </is>
      </c>
      <c r="AL43" s="18" t="n">
        <v>1</v>
      </c>
      <c r="AM43" s="18" t="inlineStr">
        <is>
          <t>ChatGPT research</t>
        </is>
      </c>
      <c r="AN43" s="18" t="inlineStr">
        <is>
          <t>2026-09-18</t>
        </is>
      </c>
      <c r="AO43" s="18" t="inlineStr">
        <is>
          <t>Day 1 full-scope audit, chapters 1–20.</t>
        </is>
      </c>
      <c r="AP43" s="18" t="n"/>
      <c r="AQ43" s="18" t="n"/>
    </row>
    <row r="44">
      <c r="A44" s="18" t="inlineStr">
        <is>
          <t>research.laozi.ch15.043</t>
        </is>
      </c>
      <c r="B44" s="18" t="inlineStr">
        <is>
          <t>Collected</t>
        </is>
      </c>
      <c r="C44" s="18" t="inlineStr">
        <is>
          <t>Lựa chọn &amp; định hướng</t>
        </is>
      </c>
      <c r="D44" s="18" t="inlineStr">
        <is>
          <t>Uncertainty / Choice / Agency</t>
        </is>
      </c>
      <c r="E44" s="18" t="str"/>
      <c r="F44" s="18" t="inlineStr">
        <is>
          <t>Chưa chắc chắn có thể đi cùng sự thận trọng thay vì vội vàng</t>
        </is>
      </c>
      <c r="G44" s="18" t="inlineStr">
        <is>
          <t>Uncertainty</t>
        </is>
      </c>
      <c r="H44" s="18" t="inlineStr">
        <is>
          <t>Patience</t>
        </is>
      </c>
      <c r="I44" s="18" t="inlineStr">
        <is>
          <t>Không chắc chắn</t>
        </is>
      </c>
      <c r="J44" s="18" t="str"/>
      <c r="K44" s="18" t="inlineStr">
        <is>
          <t>Permit</t>
        </is>
      </c>
      <c r="L44" s="18" t="inlineStr">
        <is>
          <t>Reframe</t>
        </is>
      </c>
      <c r="M44" s="18" t="inlineStr">
        <is>
          <t>Ẩn dụ</t>
        </is>
      </c>
      <c r="N44" s="18" t="inlineStr">
        <is>
          <t>豫焉若冬涉川；猶兮若畏四鄰。</t>
        </is>
      </c>
      <c r="O44" s="18" t="inlineStr">
        <is>
          <t>Classical Chinese (文言文)</t>
        </is>
      </c>
      <c r="P44" s="18" t="inlineStr">
        <is>
          <t>Thận trọng như người lội sông mùa đông; dè dặt như người biết quanh mình có điều cần lưu ý.</t>
        </is>
      </c>
      <c r="Q44" s="18" t="inlineStr">
        <is>
          <t>Laozi / 老子</t>
        </is>
      </c>
      <c r="R44" s="18" t="inlineStr">
        <is>
          <t>Taoism</t>
        </is>
      </c>
      <c r="S44" s="18" t="inlineStr">
        <is>
          <t>道德經 / Tao Te Ching</t>
        </is>
      </c>
      <c r="T44" s="18" t="inlineStr">
        <is>
          <t>Chapter 15</t>
        </is>
      </c>
      <c r="U44" s="18" t="inlineStr">
        <is>
          <t>https://zh.wikisource.org/zh-hans/%E9%81%93%E5%BE%B7%E7%B6%93_(%E7%8E%8B%E5%BC%BC%E6%9C%AC)</t>
        </is>
      </c>
      <c r="V44" s="18" t="inlineStr">
        <is>
          <t>Primary text</t>
        </is>
      </c>
      <c r="W44" s="18" t="inlineStr">
        <is>
          <t>Working translation</t>
        </is>
      </c>
      <c r="X44" s="18" t="inlineStr">
        <is>
          <t>A - Primary source</t>
        </is>
      </c>
      <c r="Y44" s="18" t="inlineStr">
        <is>
          <t>Original Chinese checked against Wang Bi recension; cross-check via Chinese Text Project. Vietnamese is Selflo working translation, not published translation.</t>
        </is>
      </c>
      <c r="Z44" s="18" t="inlineStr">
        <is>
          <t>Public domain / likely</t>
        </is>
      </c>
      <c r="AA44" s="18" t="inlineStr">
        <is>
          <t>Ancient text; Legge 1891 comparison is public domain in USA per Project Gutenberg. Verify jurisdiction for commercial publication.</t>
        </is>
      </c>
      <c r="AB44" s="18" t="inlineStr">
        <is>
          <t>High</t>
        </is>
      </c>
      <c r="AC44" s="18" t="inlineStr">
        <is>
          <t>Tốt cho choice without rush.</t>
        </is>
      </c>
      <c r="AD44" s="18" t="inlineStr">
        <is>
          <t>Needs editorial review</t>
        </is>
      </c>
      <c r="AE44" s="18" t="inlineStr">
        <is>
          <t>Needs semantic dedupe review</t>
        </is>
      </c>
      <c r="AF44" s="18" t="str"/>
      <c r="AG44" s="18" t="str"/>
      <c r="AH44" s="18" t="inlineStr">
        <is>
          <t>No</t>
        </is>
      </c>
      <c r="AI44" s="18" t="inlineStr">
        <is>
          <t>Not reviewed</t>
        </is>
      </c>
      <c r="AJ44" s="18" t="inlineStr">
        <is>
          <t>Research only</t>
        </is>
      </c>
      <c r="AK44" s="18" t="inlineStr">
        <is>
          <t>Research Pool</t>
        </is>
      </c>
      <c r="AL44" s="18" t="n">
        <v>1</v>
      </c>
      <c r="AM44" s="18" t="inlineStr">
        <is>
          <t>ChatGPT research</t>
        </is>
      </c>
      <c r="AN44" s="18" t="inlineStr">
        <is>
          <t>2026-09-18</t>
        </is>
      </c>
      <c r="AO44" s="18" t="inlineStr">
        <is>
          <t>Day 1 full-scope audit, chapters 1–20.</t>
        </is>
      </c>
      <c r="AP44" s="18" t="n"/>
      <c r="AQ44" s="18" t="n"/>
    </row>
    <row r="45">
      <c r="A45" s="18" t="inlineStr">
        <is>
          <t>research.laozi.ch15.044</t>
        </is>
      </c>
      <c r="B45" s="18" t="inlineStr">
        <is>
          <t>Collected</t>
        </is>
      </c>
      <c r="C45" s="18" t="inlineStr">
        <is>
          <t>Nội tâm &amp; hiểu mình</t>
        </is>
      </c>
      <c r="D45" s="18" t="inlineStr">
        <is>
          <t>Change / Impermanence / Recovery</t>
        </is>
      </c>
      <c r="E45" s="18" t="str"/>
      <c r="F45" s="18" t="inlineStr">
        <is>
          <t>Không cần luôn xuất hiện hoàn chỉnh, sắc nét hay dễ phân loại</t>
        </is>
      </c>
      <c r="G45" s="18" t="inlineStr">
        <is>
          <t>Acceptance</t>
        </is>
      </c>
      <c r="H45" s="18" t="inlineStr">
        <is>
          <t>Change</t>
        </is>
      </c>
      <c r="I45" s="18" t="inlineStr">
        <is>
          <t>Không gọi tên được</t>
        </is>
      </c>
      <c r="J45" s="18" t="str"/>
      <c r="K45" s="18" t="inlineStr">
        <is>
          <t>Permit</t>
        </is>
      </c>
      <c r="L45" s="18" t="inlineStr">
        <is>
          <t>Reframe</t>
        </is>
      </c>
      <c r="M45" s="18" t="inlineStr">
        <is>
          <t>Ẩn dụ</t>
        </is>
      </c>
      <c r="N45" s="18" t="inlineStr">
        <is>
          <t>渙兮若冰之將釋，敦兮其若樸，曠兮其若谷，混兮其若濁。</t>
        </is>
      </c>
      <c r="O45" s="18" t="inlineStr">
        <is>
          <t>Classical Chinese (文言文)</t>
        </is>
      </c>
      <c r="P45" s="18" t="inlineStr">
        <is>
          <t>Tan ra như băng sắp chảy; mộc như gỗ chưa đẽo; rộng như thung lũng; hòa lẫn như nước đục.</t>
        </is>
      </c>
      <c r="Q45" s="18" t="inlineStr">
        <is>
          <t>Laozi / 老子</t>
        </is>
      </c>
      <c r="R45" s="18" t="inlineStr">
        <is>
          <t>Taoism</t>
        </is>
      </c>
      <c r="S45" s="18" t="inlineStr">
        <is>
          <t>道德經 / Tao Te Ching</t>
        </is>
      </c>
      <c r="T45" s="18" t="inlineStr">
        <is>
          <t>Chapter 15</t>
        </is>
      </c>
      <c r="U45" s="18" t="inlineStr">
        <is>
          <t>https://zh.wikisource.org/zh-hans/%E9%81%93%E5%BE%B7%E7%B6%93_(%E7%8E%8B%E5%BC%BC%E6%9C%AC)</t>
        </is>
      </c>
      <c r="V45" s="18" t="inlineStr">
        <is>
          <t>Primary text</t>
        </is>
      </c>
      <c r="W45" s="18" t="inlineStr">
        <is>
          <t>Working translation</t>
        </is>
      </c>
      <c r="X45" s="18" t="inlineStr">
        <is>
          <t>A - Primary source</t>
        </is>
      </c>
      <c r="Y45" s="18" t="inlineStr">
        <is>
          <t>Original Chinese checked against Wang Bi recension; cross-check via Chinese Text Project. Vietnamese is Selflo working translation, not published translation.</t>
        </is>
      </c>
      <c r="Z45" s="18" t="inlineStr">
        <is>
          <t>Public domain / likely</t>
        </is>
      </c>
      <c r="AA45" s="18" t="inlineStr">
        <is>
          <t>Ancient text; Legge 1891 comparison is public domain in USA per Project Gutenberg. Verify jurisdiction for commercial publication.</t>
        </is>
      </c>
      <c r="AB45" s="18" t="inlineStr">
        <is>
          <t>High</t>
        </is>
      </c>
      <c r="AC45" s="18" t="inlineStr">
        <is>
          <t>Rất hợp self-compassion/uncertainty.</t>
        </is>
      </c>
      <c r="AD45" s="18" t="inlineStr">
        <is>
          <t>Needs editorial review</t>
        </is>
      </c>
      <c r="AE45" s="18" t="inlineStr">
        <is>
          <t>Needs semantic dedupe review</t>
        </is>
      </c>
      <c r="AF45" s="18" t="str"/>
      <c r="AG45" s="18" t="str"/>
      <c r="AH45" s="18" t="inlineStr">
        <is>
          <t>No</t>
        </is>
      </c>
      <c r="AI45" s="18" t="inlineStr">
        <is>
          <t>Not reviewed</t>
        </is>
      </c>
      <c r="AJ45" s="18" t="inlineStr">
        <is>
          <t>Research only</t>
        </is>
      </c>
      <c r="AK45" s="18" t="inlineStr">
        <is>
          <t>Research Pool</t>
        </is>
      </c>
      <c r="AL45" s="18" t="n">
        <v>1</v>
      </c>
      <c r="AM45" s="18" t="inlineStr">
        <is>
          <t>ChatGPT research</t>
        </is>
      </c>
      <c r="AN45" s="18" t="inlineStr">
        <is>
          <t>2026-09-18</t>
        </is>
      </c>
      <c r="AO45" s="18" t="inlineStr">
        <is>
          <t>Day 1 full-scope audit, chapters 1–20.</t>
        </is>
      </c>
      <c r="AP45" s="18" t="n"/>
      <c r="AQ45" s="18" t="n"/>
    </row>
    <row r="46">
      <c r="A46" s="18" t="inlineStr">
        <is>
          <t>research.laozi.ch15.045</t>
        </is>
      </c>
      <c r="B46" s="18" t="inlineStr">
        <is>
          <t>Collected</t>
        </is>
      </c>
      <c r="C46" s="18" t="inlineStr">
        <is>
          <t>Nội tâm &amp; hiểu mình</t>
        </is>
      </c>
      <c r="D46" s="18" t="inlineStr">
        <is>
          <t>Attention / Noise / Deep focus</t>
        </is>
      </c>
      <c r="E46" s="18" t="str"/>
      <c r="F46" s="18" t="inlineStr">
        <is>
          <t>Sáng rõ đôi khi xuất hiện khi không tiếp tục khuấy động</t>
        </is>
      </c>
      <c r="G46" s="18" t="inlineStr">
        <is>
          <t>Attention</t>
        </is>
      </c>
      <c r="H46" s="18" t="inlineStr">
        <is>
          <t>Patience</t>
        </is>
      </c>
      <c r="I46" s="18" t="inlineStr">
        <is>
          <t>Bối rối</t>
        </is>
      </c>
      <c r="J46" s="18" t="str"/>
      <c r="K46" s="18" t="inlineStr">
        <is>
          <t>Permit</t>
        </is>
      </c>
      <c r="L46" s="18" t="inlineStr">
        <is>
          <t>Reframe</t>
        </is>
      </c>
      <c r="M46" s="18" t="inlineStr">
        <is>
          <t>Câu hỏi</t>
        </is>
      </c>
      <c r="N46" s="18" t="inlineStr">
        <is>
          <t>孰能濁以靜之徐清？</t>
        </is>
      </c>
      <c r="O46" s="18" t="inlineStr">
        <is>
          <t>Classical Chinese (文言文)</t>
        </is>
      </c>
      <c r="P46" s="18" t="inlineStr">
        <is>
          <t>Ai có thể để nước đục lắng yên rồi dần trở nên trong?</t>
        </is>
      </c>
      <c r="Q46" s="18" t="inlineStr">
        <is>
          <t>Laozi / 老子</t>
        </is>
      </c>
      <c r="R46" s="18" t="inlineStr">
        <is>
          <t>Taoism</t>
        </is>
      </c>
      <c r="S46" s="18" t="inlineStr">
        <is>
          <t>道德經 / Tao Te Ching</t>
        </is>
      </c>
      <c r="T46" s="18" t="inlineStr">
        <is>
          <t>Chapter 15</t>
        </is>
      </c>
      <c r="U46" s="18" t="inlineStr">
        <is>
          <t>https://zh.wikisource.org/zh-hans/%E9%81%93%E5%BE%B7%E7%B6%93_(%E7%8E%8B%E5%BC%BC%E6%9C%AC)</t>
        </is>
      </c>
      <c r="V46" s="18" t="inlineStr">
        <is>
          <t>Primary text</t>
        </is>
      </c>
      <c r="W46" s="18" t="inlineStr">
        <is>
          <t>Working translation</t>
        </is>
      </c>
      <c r="X46" s="18" t="inlineStr">
        <is>
          <t>A - Primary source</t>
        </is>
      </c>
      <c r="Y46" s="18" t="inlineStr">
        <is>
          <t>Original Chinese checked against Wang Bi recension; cross-check via Chinese Text Project. Vietnamese is Selflo working translation, not published translation.</t>
        </is>
      </c>
      <c r="Z46" s="18" t="inlineStr">
        <is>
          <t>Public domain / likely</t>
        </is>
      </c>
      <c r="AA46" s="18" t="inlineStr">
        <is>
          <t>Ancient text; Legge 1891 comparison is public domain in USA per Project Gutenberg. Verify jurisdiction for commercial publication.</t>
        </is>
      </c>
      <c r="AB46" s="18" t="inlineStr">
        <is>
          <t>High</t>
        </is>
      </c>
      <c r="AC46" s="18" t="inlineStr">
        <is>
          <t>Candidate mạnh; không hứa mọi vấn đề tự hết.</t>
        </is>
      </c>
      <c r="AD46" s="18" t="inlineStr">
        <is>
          <t>Needs editorial review</t>
        </is>
      </c>
      <c r="AE46" s="18" t="inlineStr">
        <is>
          <t>Needs semantic dedupe review</t>
        </is>
      </c>
      <c r="AF46" s="18" t="str"/>
      <c r="AG46" s="18" t="str"/>
      <c r="AH46" s="18" t="inlineStr">
        <is>
          <t>No</t>
        </is>
      </c>
      <c r="AI46" s="18" t="inlineStr">
        <is>
          <t>Not reviewed</t>
        </is>
      </c>
      <c r="AJ46" s="18" t="inlineStr">
        <is>
          <t>Research only</t>
        </is>
      </c>
      <c r="AK46" s="18" t="inlineStr">
        <is>
          <t>Research Pool</t>
        </is>
      </c>
      <c r="AL46" s="18" t="n">
        <v>1</v>
      </c>
      <c r="AM46" s="18" t="inlineStr">
        <is>
          <t>ChatGPT research</t>
        </is>
      </c>
      <c r="AN46" s="18" t="inlineStr">
        <is>
          <t>2026-09-18</t>
        </is>
      </c>
      <c r="AO46" s="18" t="inlineStr">
        <is>
          <t>Day 1 full-scope audit, chapters 1–20.</t>
        </is>
      </c>
      <c r="AP46" s="18" t="n"/>
      <c r="AQ46" s="18" t="n"/>
    </row>
    <row r="47">
      <c r="A47" s="18" t="inlineStr">
        <is>
          <t>research.laozi.ch15.046</t>
        </is>
      </c>
      <c r="B47" s="18" t="inlineStr">
        <is>
          <t>Collected</t>
        </is>
      </c>
      <c r="C47" s="18" t="inlineStr">
        <is>
          <t>Thay đổi / mất mát / chuyển tiếp</t>
        </is>
      </c>
      <c r="D47" s="18" t="inlineStr">
        <is>
          <t>Change / Impermanence / Recovery</t>
        </is>
      </c>
      <c r="E47" s="18" t="str"/>
      <c r="F47" s="18" t="inlineStr">
        <is>
          <t>Yên và động không nhất thiết là hai trạng thái loại trừ nhau</t>
        </is>
      </c>
      <c r="G47" s="18" t="inlineStr">
        <is>
          <t>Change</t>
        </is>
      </c>
      <c r="H47" s="18" t="inlineStr">
        <is>
          <t>Patience</t>
        </is>
      </c>
      <c r="I47" s="18" t="inlineStr">
        <is>
          <t>Bình yên</t>
        </is>
      </c>
      <c r="J47" s="18" t="str"/>
      <c r="K47" s="18" t="inlineStr">
        <is>
          <t>Distinguish</t>
        </is>
      </c>
      <c r="L47" s="18" t="inlineStr">
        <is>
          <t>Permit</t>
        </is>
      </c>
      <c r="M47" s="18" t="inlineStr">
        <is>
          <t>Câu hỏi</t>
        </is>
      </c>
      <c r="N47" s="18" t="inlineStr">
        <is>
          <t>孰能安以久動之徐生？</t>
        </is>
      </c>
      <c r="O47" s="18" t="inlineStr">
        <is>
          <t>Classical Chinese (文言文)</t>
        </is>
      </c>
      <c r="P47" s="18" t="inlineStr">
        <is>
          <t>Ai có thể ở trong yên mà để chuyển động dần sinh ra?</t>
        </is>
      </c>
      <c r="Q47" s="18" t="inlineStr">
        <is>
          <t>Laozi / 老子</t>
        </is>
      </c>
      <c r="R47" s="18" t="inlineStr">
        <is>
          <t>Taoism</t>
        </is>
      </c>
      <c r="S47" s="18" t="inlineStr">
        <is>
          <t>道德經 / Tao Te Ching</t>
        </is>
      </c>
      <c r="T47" s="18" t="inlineStr">
        <is>
          <t>Chapter 15</t>
        </is>
      </c>
      <c r="U47" s="18" t="inlineStr">
        <is>
          <t>https://zh.wikisource.org/zh-hans/%E9%81%93%E5%BE%B7%E7%B6%93_(%E7%8E%8B%E5%BC%BC%E6%9C%AC)</t>
        </is>
      </c>
      <c r="V47" s="18" t="inlineStr">
        <is>
          <t>Primary text</t>
        </is>
      </c>
      <c r="W47" s="18" t="inlineStr">
        <is>
          <t>Working translation</t>
        </is>
      </c>
      <c r="X47" s="18" t="inlineStr">
        <is>
          <t>A - Primary source</t>
        </is>
      </c>
      <c r="Y47" s="18" t="inlineStr">
        <is>
          <t>Original Chinese checked against Wang Bi recension; cross-check via Chinese Text Project. Vietnamese is Selflo working translation, not published translation.</t>
        </is>
      </c>
      <c r="Z47" s="18" t="inlineStr">
        <is>
          <t>Public domain / likely</t>
        </is>
      </c>
      <c r="AA47" s="18" t="inlineStr">
        <is>
          <t>Ancient text; Legge 1891 comparison is public domain in USA per Project Gutenberg. Verify jurisdiction for commercial publication.</t>
        </is>
      </c>
      <c r="AB47" s="18" t="inlineStr">
        <is>
          <t>High</t>
        </is>
      </c>
      <c r="AC47" s="18" t="inlineStr">
        <is>
          <t>Mạnh cho dynamic balance.</t>
        </is>
      </c>
      <c r="AD47" s="18" t="inlineStr">
        <is>
          <t>Needs editorial review</t>
        </is>
      </c>
      <c r="AE47" s="18" t="inlineStr">
        <is>
          <t>Needs semantic dedupe review</t>
        </is>
      </c>
      <c r="AF47" s="18" t="str"/>
      <c r="AG47" s="18" t="str"/>
      <c r="AH47" s="18" t="inlineStr">
        <is>
          <t>No</t>
        </is>
      </c>
      <c r="AI47" s="18" t="inlineStr">
        <is>
          <t>Not reviewed</t>
        </is>
      </c>
      <c r="AJ47" s="18" t="inlineStr">
        <is>
          <t>Research only</t>
        </is>
      </c>
      <c r="AK47" s="18" t="inlineStr">
        <is>
          <t>Research Pool</t>
        </is>
      </c>
      <c r="AL47" s="18" t="n">
        <v>1</v>
      </c>
      <c r="AM47" s="18" t="inlineStr">
        <is>
          <t>ChatGPT research</t>
        </is>
      </c>
      <c r="AN47" s="18" t="inlineStr">
        <is>
          <t>2026-09-18</t>
        </is>
      </c>
      <c r="AO47" s="18" t="inlineStr">
        <is>
          <t>Day 1 full-scope audit, chapters 1–20.</t>
        </is>
      </c>
      <c r="AP47" s="18" t="n"/>
      <c r="AQ47" s="18" t="n"/>
    </row>
    <row r="48">
      <c r="A48" s="18" t="inlineStr">
        <is>
          <t>research.laozi.ch15.047</t>
        </is>
      </c>
      <c r="B48" s="18" t="inlineStr">
        <is>
          <t>Collected</t>
        </is>
      </c>
      <c r="C48" s="18" t="inlineStr">
        <is>
          <t>Nội tâm &amp; hiểu mình</t>
        </is>
      </c>
      <c r="D48" s="18" t="inlineStr">
        <is>
          <t>Rest / Limits / Wellbeing</t>
        </is>
      </c>
      <c r="E48" s="18" t="str"/>
      <c r="F48" s="18" t="inlineStr">
        <is>
          <t>Không cần liên tục làm mới hay hoàn thiện mình</t>
        </is>
      </c>
      <c r="G48" s="18" t="inlineStr">
        <is>
          <t>Enoughness</t>
        </is>
      </c>
      <c r="H48" s="18" t="inlineStr">
        <is>
          <t>Self-worth</t>
        </is>
      </c>
      <c r="I48" s="18" t="inlineStr">
        <is>
          <t>Áp lực</t>
        </is>
      </c>
      <c r="J48" s="18" t="str"/>
      <c r="K48" s="18" t="inlineStr">
        <is>
          <t>Permit</t>
        </is>
      </c>
      <c r="L48" s="18" t="inlineStr">
        <is>
          <t>Reframe</t>
        </is>
      </c>
      <c r="M48" s="18" t="inlineStr">
        <is>
          <t>Trích đoạn triết học</t>
        </is>
      </c>
      <c r="N48" s="18" t="inlineStr">
        <is>
          <t>保此道者不欲盈。夫唯不盈，故能蔽不新成。</t>
        </is>
      </c>
      <c r="O48" s="18" t="inlineStr">
        <is>
          <t>Classical Chinese (文言文)</t>
        </is>
      </c>
      <c r="P48" s="18" t="inlineStr">
        <is>
          <t>Người giữ cách ấy không muốn tự làm mình đầy; chính vì không đầy nên có thể ở cùng cái cũ mà không phải liên tục làm mới mình.</t>
        </is>
      </c>
      <c r="Q48" s="18" t="inlineStr">
        <is>
          <t>Laozi / 老子</t>
        </is>
      </c>
      <c r="R48" s="18" t="inlineStr">
        <is>
          <t>Taoism</t>
        </is>
      </c>
      <c r="S48" s="18" t="inlineStr">
        <is>
          <t>道德經 / Tao Te Ching</t>
        </is>
      </c>
      <c r="T48" s="18" t="inlineStr">
        <is>
          <t>Chapter 15</t>
        </is>
      </c>
      <c r="U48" s="18" t="inlineStr">
        <is>
          <t>https://zh.wikisource.org/zh-hans/%E9%81%93%E5%BE%B7%E7%B6%93_(%E7%8E%8B%E5%BC%BC%E6%9C%AC)</t>
        </is>
      </c>
      <c r="V48" s="18" t="inlineStr">
        <is>
          <t>Primary text</t>
        </is>
      </c>
      <c r="W48" s="18" t="inlineStr">
        <is>
          <t>Working translation</t>
        </is>
      </c>
      <c r="X48" s="18" t="inlineStr">
        <is>
          <t>A - Primary source</t>
        </is>
      </c>
      <c r="Y48" s="18" t="inlineStr">
        <is>
          <t>Original Chinese checked against Wang Bi recension; cross-check via Chinese Text Project. Vietnamese is Selflo working translation, not published translation.</t>
        </is>
      </c>
      <c r="Z48" s="18" t="inlineStr">
        <is>
          <t>Public domain / likely</t>
        </is>
      </c>
      <c r="AA48" s="18" t="inlineStr">
        <is>
          <t>Ancient text; Legge 1891 comparison is public domain in USA per Project Gutenberg. Verify jurisdiction for commercial publication.</t>
        </is>
      </c>
      <c r="AB48" s="18" t="inlineStr">
        <is>
          <t>High</t>
        </is>
      </c>
      <c r="AC48" s="18" t="inlineStr">
        <is>
          <t>Working translation có diễn giải; cần review.</t>
        </is>
      </c>
      <c r="AD48" s="18" t="inlineStr">
        <is>
          <t>Needs editorial review</t>
        </is>
      </c>
      <c r="AE48" s="18" t="inlineStr">
        <is>
          <t>Needs semantic dedupe review</t>
        </is>
      </c>
      <c r="AF48" s="18" t="str"/>
      <c r="AG48" s="18" t="str"/>
      <c r="AH48" s="18" t="inlineStr">
        <is>
          <t>No</t>
        </is>
      </c>
      <c r="AI48" s="18" t="inlineStr">
        <is>
          <t>Not reviewed</t>
        </is>
      </c>
      <c r="AJ48" s="18" t="inlineStr">
        <is>
          <t>Research only</t>
        </is>
      </c>
      <c r="AK48" s="18" t="inlineStr">
        <is>
          <t>Research Pool</t>
        </is>
      </c>
      <c r="AL48" s="18" t="n">
        <v>1</v>
      </c>
      <c r="AM48" s="18" t="inlineStr">
        <is>
          <t>ChatGPT research</t>
        </is>
      </c>
      <c r="AN48" s="18" t="inlineStr">
        <is>
          <t>2026-09-18</t>
        </is>
      </c>
      <c r="AO48" s="18" t="inlineStr">
        <is>
          <t>Day 1 full-scope audit, chapters 1–20.</t>
        </is>
      </c>
      <c r="AP48" s="18" t="n"/>
      <c r="AQ48" s="18" t="n"/>
    </row>
    <row r="49">
      <c r="A49" s="18" t="inlineStr">
        <is>
          <t>research.laozi.ch16.048</t>
        </is>
      </c>
      <c r="B49" s="18" t="inlineStr">
        <is>
          <t>Collected</t>
        </is>
      </c>
      <c r="C49" s="18" t="inlineStr">
        <is>
          <t>Nghỉ ngơi &amp; sức khỏe tinh thần</t>
        </is>
      </c>
      <c r="D49" s="18" t="inlineStr">
        <is>
          <t>Rest / Limits / Wellbeing</t>
        </is>
      </c>
      <c r="E49" s="18" t="str"/>
      <c r="F49" s="18" t="inlineStr">
        <is>
          <t>Tạo khoảng trống và tĩnh lặng</t>
        </is>
      </c>
      <c r="G49" s="18" t="inlineStr">
        <is>
          <t>Rest</t>
        </is>
      </c>
      <c r="H49" s="18" t="inlineStr">
        <is>
          <t>Attention</t>
        </is>
      </c>
      <c r="I49" s="18" t="inlineStr">
        <is>
          <t>Quá tải</t>
        </is>
      </c>
      <c r="J49" s="18" t="str"/>
      <c r="K49" s="18" t="inlineStr">
        <is>
          <t>Permit</t>
        </is>
      </c>
      <c r="L49" s="18" t="inlineStr">
        <is>
          <t>Recognize</t>
        </is>
      </c>
      <c r="M49" s="18" t="inlineStr">
        <is>
          <t>Trích đoạn triết học</t>
        </is>
      </c>
      <c r="N49" s="18" t="inlineStr">
        <is>
          <t>致虛極，守靜篤。</t>
        </is>
      </c>
      <c r="O49" s="18" t="inlineStr">
        <is>
          <t>Classical Chinese (文言文)</t>
        </is>
      </c>
      <c r="P49" s="18" t="inlineStr">
        <is>
          <t>Đưa khoảng trống đến tận cùng; giữ sự tĩnh lặng thật sâu.</t>
        </is>
      </c>
      <c r="Q49" s="18" t="inlineStr">
        <is>
          <t>Laozi / 老子</t>
        </is>
      </c>
      <c r="R49" s="18" t="inlineStr">
        <is>
          <t>Taoism</t>
        </is>
      </c>
      <c r="S49" s="18" t="inlineStr">
        <is>
          <t>道德經 / Tao Te Ching</t>
        </is>
      </c>
      <c r="T49" s="18" t="inlineStr">
        <is>
          <t>Chapter 16</t>
        </is>
      </c>
      <c r="U49" s="18" t="inlineStr">
        <is>
          <t>https://zh.wikisource.org/zh-hans/%E9%81%93%E5%BE%B7%E7%B6%93_(%E7%8E%8B%E5%BC%BC%E6%9C%AC)</t>
        </is>
      </c>
      <c r="V49" s="18" t="inlineStr">
        <is>
          <t>Primary text</t>
        </is>
      </c>
      <c r="W49" s="18" t="inlineStr">
        <is>
          <t>Working translation</t>
        </is>
      </c>
      <c r="X49" s="18" t="inlineStr">
        <is>
          <t>A - Primary source</t>
        </is>
      </c>
      <c r="Y49" s="18" t="inlineStr">
        <is>
          <t>Original Chinese checked against Wang Bi recension; cross-check via Chinese Text Project. Vietnamese is Selflo working translation, not published translation.</t>
        </is>
      </c>
      <c r="Z49" s="18" t="inlineStr">
        <is>
          <t>Public domain / likely</t>
        </is>
      </c>
      <c r="AA49" s="18" t="inlineStr">
        <is>
          <t>Ancient text; Legge 1891 comparison is public domain in USA per Project Gutenberg. Verify jurisdiction for commercial publication.</t>
        </is>
      </c>
      <c r="AB49" s="18" t="inlineStr">
        <is>
          <t>Medium</t>
        </is>
      </c>
      <c r="AC49" s="18" t="inlineStr">
        <is>
          <t>Directive tone nếu tách riêng.</t>
        </is>
      </c>
      <c r="AD49" s="18" t="inlineStr">
        <is>
          <t>Needs editorial review</t>
        </is>
      </c>
      <c r="AE49" s="18" t="inlineStr">
        <is>
          <t>Needs semantic dedupe review</t>
        </is>
      </c>
      <c r="AF49" s="18" t="str"/>
      <c r="AG49" s="18" t="str"/>
      <c r="AH49" s="18" t="inlineStr">
        <is>
          <t>No</t>
        </is>
      </c>
      <c r="AI49" s="18" t="inlineStr">
        <is>
          <t>Not reviewed</t>
        </is>
      </c>
      <c r="AJ49" s="18" t="inlineStr">
        <is>
          <t>Research only</t>
        </is>
      </c>
      <c r="AK49" s="18" t="inlineStr">
        <is>
          <t>Research Pool</t>
        </is>
      </c>
      <c r="AL49" s="18" t="n">
        <v>1</v>
      </c>
      <c r="AM49" s="18" t="inlineStr">
        <is>
          <t>ChatGPT research</t>
        </is>
      </c>
      <c r="AN49" s="18" t="inlineStr">
        <is>
          <t>2026-09-18</t>
        </is>
      </c>
      <c r="AO49" s="18" t="inlineStr">
        <is>
          <t>Day 1 full-scope audit, chapters 1–20.</t>
        </is>
      </c>
      <c r="AP49" s="18" t="n"/>
      <c r="AQ49" s="18" t="n"/>
    </row>
    <row r="50">
      <c r="A50" s="18" t="inlineStr">
        <is>
          <t>research.laozi.ch16.049</t>
        </is>
      </c>
      <c r="B50" s="18" t="inlineStr">
        <is>
          <t>Collected</t>
        </is>
      </c>
      <c r="C50" s="18" t="inlineStr">
        <is>
          <t>Thay đổi / mất mát / chuyển tiếp</t>
        </is>
      </c>
      <c r="D50" s="18" t="inlineStr">
        <is>
          <t>Change / Impermanence / Recovery</t>
        </is>
      </c>
      <c r="E50" s="18" t="str"/>
      <c r="F50" s="18" t="inlineStr">
        <is>
          <t>Giữa nhiều chuyển động vẫn có thể quan sát chu kỳ trở về</t>
        </is>
      </c>
      <c r="G50" s="18" t="inlineStr">
        <is>
          <t>Change</t>
        </is>
      </c>
      <c r="H50" s="18" t="inlineStr">
        <is>
          <t>Impermanence</t>
        </is>
      </c>
      <c r="I50" s="18" t="inlineStr">
        <is>
          <t>Bối rối</t>
        </is>
      </c>
      <c r="J50" s="18" t="str"/>
      <c r="K50" s="18" t="inlineStr">
        <is>
          <t>Recognize</t>
        </is>
      </c>
      <c r="L50" s="18" t="inlineStr">
        <is>
          <t>Reframe</t>
        </is>
      </c>
      <c r="M50" s="18" t="inlineStr">
        <is>
          <t>Trích đoạn triết học</t>
        </is>
      </c>
      <c r="N50" s="18" t="inlineStr">
        <is>
          <t>萬物並作，吾以觀復。</t>
        </is>
      </c>
      <c r="O50" s="18" t="inlineStr">
        <is>
          <t>Classical Chinese (文言文)</t>
        </is>
      </c>
      <c r="P50" s="18" t="inlineStr">
        <is>
          <t>Muôn vật cùng sinh khởi; ta nhìn chúng trở về.</t>
        </is>
      </c>
      <c r="Q50" s="18" t="inlineStr">
        <is>
          <t>Laozi / 老子</t>
        </is>
      </c>
      <c r="R50" s="18" t="inlineStr">
        <is>
          <t>Taoism</t>
        </is>
      </c>
      <c r="S50" s="18" t="inlineStr">
        <is>
          <t>道德經 / Tao Te Ching</t>
        </is>
      </c>
      <c r="T50" s="18" t="inlineStr">
        <is>
          <t>Chapter 16</t>
        </is>
      </c>
      <c r="U50" s="18" t="inlineStr">
        <is>
          <t>https://zh.wikisource.org/zh-hans/%E9%81%93%E5%BE%B7%E7%B6%93_(%E7%8E%8B%E5%BC%BC%E6%9C%AC)</t>
        </is>
      </c>
      <c r="V50" s="18" t="inlineStr">
        <is>
          <t>Primary text</t>
        </is>
      </c>
      <c r="W50" s="18" t="inlineStr">
        <is>
          <t>Working translation</t>
        </is>
      </c>
      <c r="X50" s="18" t="inlineStr">
        <is>
          <t>A - Primary source</t>
        </is>
      </c>
      <c r="Y50" s="18" t="inlineStr">
        <is>
          <t>Original Chinese checked against Wang Bi recension; cross-check via Chinese Text Project. Vietnamese is Selflo working translation, not published translation.</t>
        </is>
      </c>
      <c r="Z50" s="18" t="inlineStr">
        <is>
          <t>Public domain / likely</t>
        </is>
      </c>
      <c r="AA50" s="18" t="inlineStr">
        <is>
          <t>Ancient text; Legge 1891 comparison is public domain in USA per Project Gutenberg. Verify jurisdiction for commercial publication.</t>
        </is>
      </c>
      <c r="AB50" s="18" t="inlineStr">
        <is>
          <t>High</t>
        </is>
      </c>
      <c r="AC50" s="18" t="inlineStr">
        <is>
          <t>Mạnh cho change/cycles.</t>
        </is>
      </c>
      <c r="AD50" s="18" t="inlineStr">
        <is>
          <t>Needs editorial review</t>
        </is>
      </c>
      <c r="AE50" s="18" t="inlineStr">
        <is>
          <t>Needs semantic dedupe review</t>
        </is>
      </c>
      <c r="AF50" s="18" t="str"/>
      <c r="AG50" s="18" t="str"/>
      <c r="AH50" s="18" t="inlineStr">
        <is>
          <t>No</t>
        </is>
      </c>
      <c r="AI50" s="18" t="inlineStr">
        <is>
          <t>Not reviewed</t>
        </is>
      </c>
      <c r="AJ50" s="18" t="inlineStr">
        <is>
          <t>Research only</t>
        </is>
      </c>
      <c r="AK50" s="18" t="inlineStr">
        <is>
          <t>Research Pool</t>
        </is>
      </c>
      <c r="AL50" s="18" t="n">
        <v>1</v>
      </c>
      <c r="AM50" s="18" t="inlineStr">
        <is>
          <t>ChatGPT research</t>
        </is>
      </c>
      <c r="AN50" s="18" t="inlineStr">
        <is>
          <t>2026-09-18</t>
        </is>
      </c>
      <c r="AO50" s="18" t="inlineStr">
        <is>
          <t>Day 1 full-scope audit, chapters 1–20.</t>
        </is>
      </c>
      <c r="AP50" s="18" t="n"/>
      <c r="AQ50" s="18" t="n"/>
    </row>
    <row r="51">
      <c r="A51" s="18" t="inlineStr">
        <is>
          <t>research.laozi.ch16.050</t>
        </is>
      </c>
      <c r="B51" s="18" t="inlineStr">
        <is>
          <t>Collected</t>
        </is>
      </c>
      <c r="C51" s="18" t="inlineStr">
        <is>
          <t>Thay đổi / mất mát / chuyển tiếp</t>
        </is>
      </c>
      <c r="D51" s="18" t="inlineStr">
        <is>
          <t>Change / Impermanence / Recovery</t>
        </is>
      </c>
      <c r="E51" s="18" t="str"/>
      <c r="F51" s="18" t="inlineStr">
        <is>
          <t>Phát triển và trở về đều thuộc một chu kỳ</t>
        </is>
      </c>
      <c r="G51" s="18" t="inlineStr">
        <is>
          <t>Change</t>
        </is>
      </c>
      <c r="H51" s="18" t="inlineStr">
        <is>
          <t>Recovery</t>
        </is>
      </c>
      <c r="I51" s="18" t="inlineStr">
        <is>
          <t>Lingering emotion</t>
        </is>
      </c>
      <c r="J51" s="18" t="str"/>
      <c r="K51" s="18" t="inlineStr">
        <is>
          <t>Reframe</t>
        </is>
      </c>
      <c r="L51" s="18" t="inlineStr">
        <is>
          <t>Permit</t>
        </is>
      </c>
      <c r="M51" s="18" t="inlineStr">
        <is>
          <t>Ẩn dụ</t>
        </is>
      </c>
      <c r="N51" s="18" t="inlineStr">
        <is>
          <t>夫物芸芸，各復歸其根。歸根曰靜，是謂復命。</t>
        </is>
      </c>
      <c r="O51" s="18" t="inlineStr">
        <is>
          <t>Classical Chinese (文言文)</t>
        </is>
      </c>
      <c r="P51" s="18" t="inlineStr">
        <is>
          <t>Muôn vật phong phú rồi mỗi thứ lại trở về gốc; trở về gốc được gọi là tĩnh.</t>
        </is>
      </c>
      <c r="Q51" s="18" t="inlineStr">
        <is>
          <t>Laozi / 老子</t>
        </is>
      </c>
      <c r="R51" s="18" t="inlineStr">
        <is>
          <t>Taoism</t>
        </is>
      </c>
      <c r="S51" s="18" t="inlineStr">
        <is>
          <t>道德經 / Tao Te Ching</t>
        </is>
      </c>
      <c r="T51" s="18" t="inlineStr">
        <is>
          <t>Chapter 16</t>
        </is>
      </c>
      <c r="U51" s="18" t="inlineStr">
        <is>
          <t>https://zh.wikisource.org/zh-hans/%E9%81%93%E5%BE%B7%E7%B6%93_(%E7%8E%8B%E5%BC%BC%E6%9C%AC)</t>
        </is>
      </c>
      <c r="V51" s="18" t="inlineStr">
        <is>
          <t>Primary text</t>
        </is>
      </c>
      <c r="W51" s="18" t="inlineStr">
        <is>
          <t>Working translation</t>
        </is>
      </c>
      <c r="X51" s="18" t="inlineStr">
        <is>
          <t>A - Primary source</t>
        </is>
      </c>
      <c r="Y51" s="18" t="inlineStr">
        <is>
          <t>Original Chinese checked against Wang Bi recension; cross-check via Chinese Text Project. Vietnamese is Selflo working translation, not published translation.</t>
        </is>
      </c>
      <c r="Z51" s="18" t="inlineStr">
        <is>
          <t>Public domain / likely</t>
        </is>
      </c>
      <c r="AA51" s="18" t="inlineStr">
        <is>
          <t>Ancient text; Legge 1891 comparison is public domain in USA per Project Gutenberg. Verify jurisdiction for commercial publication.</t>
        </is>
      </c>
      <c r="AB51" s="18" t="inlineStr">
        <is>
          <t>High</t>
        </is>
      </c>
      <c r="AC51" s="18" t="inlineStr">
        <is>
          <t>Hợp recovery, nhưng metaphysical.</t>
        </is>
      </c>
      <c r="AD51" s="18" t="inlineStr">
        <is>
          <t>Needs editorial review</t>
        </is>
      </c>
      <c r="AE51" s="18" t="inlineStr">
        <is>
          <t>Needs semantic dedupe review</t>
        </is>
      </c>
      <c r="AF51" s="18" t="str"/>
      <c r="AG51" s="18" t="str"/>
      <c r="AH51" s="18" t="inlineStr">
        <is>
          <t>No</t>
        </is>
      </c>
      <c r="AI51" s="18" t="inlineStr">
        <is>
          <t>Not reviewed</t>
        </is>
      </c>
      <c r="AJ51" s="18" t="inlineStr">
        <is>
          <t>Research only</t>
        </is>
      </c>
      <c r="AK51" s="18" t="inlineStr">
        <is>
          <t>Research Pool</t>
        </is>
      </c>
      <c r="AL51" s="18" t="n">
        <v>1</v>
      </c>
      <c r="AM51" s="18" t="inlineStr">
        <is>
          <t>ChatGPT research</t>
        </is>
      </c>
      <c r="AN51" s="18" t="inlineStr">
        <is>
          <t>2026-09-18</t>
        </is>
      </c>
      <c r="AO51" s="18" t="inlineStr">
        <is>
          <t>Day 1 full-scope audit, chapters 1–20.</t>
        </is>
      </c>
      <c r="AP51" s="18" t="n"/>
      <c r="AQ51" s="18" t="n"/>
    </row>
    <row r="52">
      <c r="A52" s="18" t="inlineStr">
        <is>
          <t>research.laozi.ch16.051</t>
        </is>
      </c>
      <c r="B52" s="18" t="inlineStr">
        <is>
          <t>Collected</t>
        </is>
      </c>
      <c r="C52" s="18" t="inlineStr">
        <is>
          <t>AI &amp; tương lai</t>
        </is>
      </c>
      <c r="D52" s="18" t="inlineStr">
        <is>
          <t>AI-age Human Judgment</t>
        </is>
      </c>
      <c r="E52" s="18" t="str"/>
      <c r="F52" s="18" t="inlineStr">
        <is>
          <t>Nhận ra nguyên lý bền giữa thay đổi</t>
        </is>
      </c>
      <c r="G52" s="18" t="inlineStr">
        <is>
          <t>Judgment</t>
        </is>
      </c>
      <c r="H52" s="18" t="inlineStr">
        <is>
          <t>Change</t>
        </is>
      </c>
      <c r="I52" s="18" t="inlineStr">
        <is>
          <t>Bối rối</t>
        </is>
      </c>
      <c r="J52" s="18" t="str"/>
      <c r="K52" s="18" t="inlineStr">
        <is>
          <t>Name</t>
        </is>
      </c>
      <c r="L52" s="18" t="inlineStr">
        <is>
          <t>Distinguish</t>
        </is>
      </c>
      <c r="M52" s="18" t="inlineStr">
        <is>
          <t>Trích đoạn triết học</t>
        </is>
      </c>
      <c r="N52" s="18" t="inlineStr">
        <is>
          <t>知常曰明。</t>
        </is>
      </c>
      <c r="O52" s="18" t="inlineStr">
        <is>
          <t>Classical Chinese (文言文)</t>
        </is>
      </c>
      <c r="P52" s="18" t="inlineStr">
        <is>
          <t>Nhìn ra điều có tính lặp lại và bền vững được gọi là sáng rõ.</t>
        </is>
      </c>
      <c r="Q52" s="18" t="inlineStr">
        <is>
          <t>Laozi / 老子</t>
        </is>
      </c>
      <c r="R52" s="18" t="inlineStr">
        <is>
          <t>Taoism</t>
        </is>
      </c>
      <c r="S52" s="18" t="inlineStr">
        <is>
          <t>道德經 / Tao Te Ching</t>
        </is>
      </c>
      <c r="T52" s="18" t="inlineStr">
        <is>
          <t>Chapter 16</t>
        </is>
      </c>
      <c r="U52" s="18" t="inlineStr">
        <is>
          <t>https://zh.wikisource.org/zh-hans/%E9%81%93%E5%BE%B7%E7%B6%93_(%E7%8E%8B%E5%BC%BC%E6%9C%AC)</t>
        </is>
      </c>
      <c r="V52" s="18" t="inlineStr">
        <is>
          <t>Primary text</t>
        </is>
      </c>
      <c r="W52" s="18" t="inlineStr">
        <is>
          <t>Working translation</t>
        </is>
      </c>
      <c r="X52" s="18" t="inlineStr">
        <is>
          <t>A - Primary source</t>
        </is>
      </c>
      <c r="Y52" s="18" t="inlineStr">
        <is>
          <t>Original Chinese checked against Wang Bi recension; cross-check via Chinese Text Project. Vietnamese is Selflo working translation, not published translation.</t>
        </is>
      </c>
      <c r="Z52" s="18" t="inlineStr">
        <is>
          <t>Public domain / likely</t>
        </is>
      </c>
      <c r="AA52" s="18" t="inlineStr">
        <is>
          <t>Ancient text; Legge 1891 comparison is public domain in USA per Project Gutenberg. Verify jurisdiction for commercial publication.</t>
        </is>
      </c>
      <c r="AB52" s="18" t="inlineStr">
        <is>
          <t>High</t>
        </is>
      </c>
      <c r="AC52" s="18" t="inlineStr">
        <is>
          <t>Rất gần 'nguyên lý bền' trong docs.</t>
        </is>
      </c>
      <c r="AD52" s="18" t="inlineStr">
        <is>
          <t>Needs editorial review</t>
        </is>
      </c>
      <c r="AE52" s="18" t="inlineStr">
        <is>
          <t>Needs semantic dedupe review</t>
        </is>
      </c>
      <c r="AF52" s="18" t="str"/>
      <c r="AG52" s="18" t="str"/>
      <c r="AH52" s="18" t="inlineStr">
        <is>
          <t>No</t>
        </is>
      </c>
      <c r="AI52" s="18" t="inlineStr">
        <is>
          <t>Not reviewed</t>
        </is>
      </c>
      <c r="AJ52" s="18" t="inlineStr">
        <is>
          <t>Research only</t>
        </is>
      </c>
      <c r="AK52" s="18" t="inlineStr">
        <is>
          <t>Research Pool</t>
        </is>
      </c>
      <c r="AL52" s="18" t="n">
        <v>1</v>
      </c>
      <c r="AM52" s="18" t="inlineStr">
        <is>
          <t>ChatGPT research</t>
        </is>
      </c>
      <c r="AN52" s="18" t="inlineStr">
        <is>
          <t>2026-09-18</t>
        </is>
      </c>
      <c r="AO52" s="18" t="inlineStr">
        <is>
          <t>Day 1 full-scope audit, chapters 1–20.</t>
        </is>
      </c>
      <c r="AP52" s="18" t="n"/>
      <c r="AQ52" s="18" t="n"/>
    </row>
    <row r="53">
      <c r="A53" s="18" t="inlineStr">
        <is>
          <t>research.laozi.ch17.052</t>
        </is>
      </c>
      <c r="B53" s="18" t="inlineStr">
        <is>
          <t>Collected</t>
        </is>
      </c>
      <c r="C53" s="18" t="inlineStr">
        <is>
          <t>Công việc &amp; mục đích</t>
        </is>
      </c>
      <c r="D53" s="18" t="inlineStr">
        <is>
          <t>Meaning / Identity / Work</t>
        </is>
      </c>
      <c r="E53" s="18" t="str"/>
      <c r="F53" s="18" t="inlineStr">
        <is>
          <t>Ảnh hưởng không nhất thiết tỷ lệ với mức độ người lãnh đạo xuất hiện</t>
        </is>
      </c>
      <c r="G53" s="18" t="inlineStr">
        <is>
          <t>Agency</t>
        </is>
      </c>
      <c r="H53" s="18" t="inlineStr">
        <is>
          <t>Responsibility</t>
        </is>
      </c>
      <c r="I53" s="18" t="inlineStr">
        <is>
          <t>Áp lực</t>
        </is>
      </c>
      <c r="J53" s="18" t="str"/>
      <c r="K53" s="18" t="inlineStr">
        <is>
          <t>Distinguish</t>
        </is>
      </c>
      <c r="L53" s="18" t="inlineStr">
        <is>
          <t>Reframe</t>
        </is>
      </c>
      <c r="M53" s="18" t="inlineStr">
        <is>
          <t>Trích đoạn triết học</t>
        </is>
      </c>
      <c r="N53" s="18" t="inlineStr">
        <is>
          <t>太上，下知有之；其次，親而譽之；其次，畏之；其次，侮之。</t>
        </is>
      </c>
      <c r="O53" s="18" t="inlineStr">
        <is>
          <t>Classical Chinese (文言文)</t>
        </is>
      </c>
      <c r="P53" s="18" t="inlineStr">
        <is>
          <t>Ở cách lãnh đạo cao nhất, người ta chỉ biết người lãnh đạo hiện diện; thấp hơn là được yêu và ca ngợi; rồi đến bị sợ; rồi bị khinh.</t>
        </is>
      </c>
      <c r="Q53" s="18" t="inlineStr">
        <is>
          <t>Laozi / 老子</t>
        </is>
      </c>
      <c r="R53" s="18" t="inlineStr">
        <is>
          <t>Taoism</t>
        </is>
      </c>
      <c r="S53" s="18" t="inlineStr">
        <is>
          <t>道德經 / Tao Te Ching</t>
        </is>
      </c>
      <c r="T53" s="18" t="inlineStr">
        <is>
          <t>Chapter 17</t>
        </is>
      </c>
      <c r="U53" s="18" t="inlineStr">
        <is>
          <t>https://zh.wikisource.org/zh-hans/%E9%81%93%E5%BE%B7%E7%B6%93_(%E7%8E%8B%E5%BC%BC%E6%9C%AC)</t>
        </is>
      </c>
      <c r="V53" s="18" t="inlineStr">
        <is>
          <t>Primary text</t>
        </is>
      </c>
      <c r="W53" s="18" t="inlineStr">
        <is>
          <t>Working translation</t>
        </is>
      </c>
      <c r="X53" s="18" t="inlineStr">
        <is>
          <t>A - Primary source</t>
        </is>
      </c>
      <c r="Y53" s="18" t="inlineStr">
        <is>
          <t>Original Chinese checked against Wang Bi recension; cross-check via Chinese Text Project. Vietnamese is Selflo working translation, not published translation.</t>
        </is>
      </c>
      <c r="Z53" s="18" t="inlineStr">
        <is>
          <t>Public domain / likely</t>
        </is>
      </c>
      <c r="AA53" s="18" t="inlineStr">
        <is>
          <t>Ancient text; Legge 1891 comparison is public domain in USA per Project Gutenberg. Verify jurisdiction for commercial publication.</t>
        </is>
      </c>
      <c r="AB53" s="18" t="inlineStr">
        <is>
          <t>Medium</t>
        </is>
      </c>
      <c r="AC53" s="18" t="inlineStr">
        <is>
          <t>Leadership-specific; research pool.</t>
        </is>
      </c>
      <c r="AD53" s="18" t="inlineStr">
        <is>
          <t>Needs editorial review</t>
        </is>
      </c>
      <c r="AE53" s="18" t="inlineStr">
        <is>
          <t>Needs semantic dedupe review</t>
        </is>
      </c>
      <c r="AF53" s="18" t="str"/>
      <c r="AG53" s="18" t="str"/>
      <c r="AH53" s="18" t="inlineStr">
        <is>
          <t>No</t>
        </is>
      </c>
      <c r="AI53" s="18" t="inlineStr">
        <is>
          <t>Not reviewed</t>
        </is>
      </c>
      <c r="AJ53" s="18" t="inlineStr">
        <is>
          <t>Research only</t>
        </is>
      </c>
      <c r="AK53" s="18" t="inlineStr">
        <is>
          <t>Research Pool</t>
        </is>
      </c>
      <c r="AL53" s="18" t="n">
        <v>1</v>
      </c>
      <c r="AM53" s="18" t="inlineStr">
        <is>
          <t>ChatGPT research</t>
        </is>
      </c>
      <c r="AN53" s="18" t="inlineStr">
        <is>
          <t>2026-09-18</t>
        </is>
      </c>
      <c r="AO53" s="18" t="inlineStr">
        <is>
          <t>Day 1 full-scope audit, chapters 1–20.</t>
        </is>
      </c>
      <c r="AP53" s="18" t="n"/>
      <c r="AQ53" s="18" t="n"/>
    </row>
    <row r="54">
      <c r="A54" s="18" t="inlineStr">
        <is>
          <t>research.laozi.ch17.053</t>
        </is>
      </c>
      <c r="B54" s="18" t="inlineStr">
        <is>
          <t>Collected</t>
        </is>
      </c>
      <c r="C54" s="18" t="inlineStr">
        <is>
          <t>Quan hệ</t>
        </is>
      </c>
      <c r="D54" s="18" t="inlineStr">
        <is>
          <t>Relationships / Boundaries / Connection</t>
        </is>
      </c>
      <c r="E54" s="18" t="str"/>
      <c r="F54" s="18" t="inlineStr">
        <is>
          <t>Niềm tin không thể chỉ được yêu cầu từ phía người khác</t>
        </is>
      </c>
      <c r="G54" s="18" t="inlineStr">
        <is>
          <t>Trust</t>
        </is>
      </c>
      <c r="H54" s="18" t="inlineStr">
        <is>
          <t>Responsibility</t>
        </is>
      </c>
      <c r="I54" s="18" t="inlineStr">
        <is>
          <t>Lo lắng</t>
        </is>
      </c>
      <c r="J54" s="18" t="str"/>
      <c r="K54" s="18" t="inlineStr">
        <is>
          <t>Distinguish</t>
        </is>
      </c>
      <c r="L54" s="18" t="inlineStr">
        <is>
          <t>Recognize</t>
        </is>
      </c>
      <c r="M54" s="18" t="inlineStr">
        <is>
          <t>Trích đoạn triết học</t>
        </is>
      </c>
      <c r="N54" s="18" t="inlineStr">
        <is>
          <t>信不足焉，有不信焉。</t>
        </is>
      </c>
      <c r="O54" s="18" t="inlineStr">
        <is>
          <t>Classical Chinese (文言文)</t>
        </is>
      </c>
      <c r="P54" s="18" t="inlineStr">
        <is>
          <t>Khi sự đáng tin không đủ, sự không tin cũng xuất hiện.</t>
        </is>
      </c>
      <c r="Q54" s="18" t="inlineStr">
        <is>
          <t>Laozi / 老子</t>
        </is>
      </c>
      <c r="R54" s="18" t="inlineStr">
        <is>
          <t>Taoism</t>
        </is>
      </c>
      <c r="S54" s="18" t="inlineStr">
        <is>
          <t>道德經 / Tao Te Ching</t>
        </is>
      </c>
      <c r="T54" s="18" t="inlineStr">
        <is>
          <t>Chapter 17</t>
        </is>
      </c>
      <c r="U54" s="18" t="inlineStr">
        <is>
          <t>https://zh.wikisource.org/zh-hans/%E9%81%93%E5%BE%B7%E7%B6%93_(%E7%8E%8B%E5%BC%BC%E6%9C%AC)</t>
        </is>
      </c>
      <c r="V54" s="18" t="inlineStr">
        <is>
          <t>Primary text</t>
        </is>
      </c>
      <c r="W54" s="18" t="inlineStr">
        <is>
          <t>Working translation</t>
        </is>
      </c>
      <c r="X54" s="18" t="inlineStr">
        <is>
          <t>A - Primary source</t>
        </is>
      </c>
      <c r="Y54" s="18" t="inlineStr">
        <is>
          <t>Original Chinese checked against Wang Bi recension; cross-check via Chinese Text Project. Vietnamese is Selflo working translation, not published translation.</t>
        </is>
      </c>
      <c r="Z54" s="18" t="inlineStr">
        <is>
          <t>Public domain / likely</t>
        </is>
      </c>
      <c r="AA54" s="18" t="inlineStr">
        <is>
          <t>Ancient text; Legge 1891 comparison is public domain in USA per Project Gutenberg. Verify jurisdiction for commercial publication.</t>
        </is>
      </c>
      <c r="AB54" s="18" t="inlineStr">
        <is>
          <t>High</t>
        </is>
      </c>
      <c r="AC54" s="18" t="inlineStr">
        <is>
          <t>Ngắn và ứng dụng rộng.</t>
        </is>
      </c>
      <c r="AD54" s="18" t="inlineStr">
        <is>
          <t>Needs editorial review</t>
        </is>
      </c>
      <c r="AE54" s="18" t="inlineStr">
        <is>
          <t>Needs semantic dedupe review</t>
        </is>
      </c>
      <c r="AF54" s="18" t="str"/>
      <c r="AG54" s="18" t="str"/>
      <c r="AH54" s="18" t="inlineStr">
        <is>
          <t>No</t>
        </is>
      </c>
      <c r="AI54" s="18" t="inlineStr">
        <is>
          <t>Not reviewed</t>
        </is>
      </c>
      <c r="AJ54" s="18" t="inlineStr">
        <is>
          <t>Research only</t>
        </is>
      </c>
      <c r="AK54" s="18" t="inlineStr">
        <is>
          <t>Research Pool</t>
        </is>
      </c>
      <c r="AL54" s="18" t="n">
        <v>1</v>
      </c>
      <c r="AM54" s="18" t="inlineStr">
        <is>
          <t>ChatGPT research</t>
        </is>
      </c>
      <c r="AN54" s="18" t="inlineStr">
        <is>
          <t>2026-09-18</t>
        </is>
      </c>
      <c r="AO54" s="18" t="inlineStr">
        <is>
          <t>Day 1 full-scope audit, chapters 1–20.</t>
        </is>
      </c>
      <c r="AP54" s="18" t="n"/>
      <c r="AQ54" s="18" t="n"/>
    </row>
    <row r="55">
      <c r="A55" s="18" t="inlineStr">
        <is>
          <t>research.laozi.ch17.054</t>
        </is>
      </c>
      <c r="B55" s="18" t="inlineStr">
        <is>
          <t>Collected</t>
        </is>
      </c>
      <c r="C55" s="18" t="inlineStr">
        <is>
          <t>Công việc &amp; mục đích</t>
        </is>
      </c>
      <c r="D55" s="18" t="inlineStr">
        <is>
          <t>Meaning / Identity / Work</t>
        </is>
      </c>
      <c r="E55" s="18" t="str"/>
      <c r="F55" s="18" t="inlineStr">
        <is>
          <t>Một kiểu hỗ trợ tốt có thể làm người khác giữ được cảm giác chủ thể</t>
        </is>
      </c>
      <c r="G55" s="18" t="inlineStr">
        <is>
          <t>Agency</t>
        </is>
      </c>
      <c r="H55" s="18" t="inlineStr">
        <is>
          <t>Responsibility</t>
        </is>
      </c>
      <c r="I55" s="18" t="inlineStr">
        <is>
          <t>Bình yên</t>
        </is>
      </c>
      <c r="J55" s="18" t="str"/>
      <c r="K55" s="18" t="inlineStr">
        <is>
          <t>Return agency</t>
        </is>
      </c>
      <c r="L55" s="18" t="inlineStr">
        <is>
          <t>Reframe</t>
        </is>
      </c>
      <c r="M55" s="18" t="inlineStr">
        <is>
          <t>Trích đoạn triết học</t>
        </is>
      </c>
      <c r="N55" s="18" t="inlineStr">
        <is>
          <t>功成事遂，百姓皆謂：我自然。</t>
        </is>
      </c>
      <c r="O55" s="18" t="inlineStr">
        <is>
          <t>Classical Chinese (文言文)</t>
        </is>
      </c>
      <c r="P55" s="18" t="inlineStr">
        <is>
          <t>Việc thành, chuyện xong, mà người ta nói: chúng tôi tự làm được như vậy.</t>
        </is>
      </c>
      <c r="Q55" s="18" t="inlineStr">
        <is>
          <t>Laozi / 老子</t>
        </is>
      </c>
      <c r="R55" s="18" t="inlineStr">
        <is>
          <t>Taoism</t>
        </is>
      </c>
      <c r="S55" s="18" t="inlineStr">
        <is>
          <t>道德經 / Tao Te Ching</t>
        </is>
      </c>
      <c r="T55" s="18" t="inlineStr">
        <is>
          <t>Chapter 17</t>
        </is>
      </c>
      <c r="U55" s="18" t="inlineStr">
        <is>
          <t>https://zh.wikisource.org/zh-hans/%E9%81%93%E5%BE%B7%E7%B6%93_(%E7%8E%8B%E5%BC%BC%E6%9C%AC)</t>
        </is>
      </c>
      <c r="V55" s="18" t="inlineStr">
        <is>
          <t>Primary text</t>
        </is>
      </c>
      <c r="W55" s="18" t="inlineStr">
        <is>
          <t>Working translation</t>
        </is>
      </c>
      <c r="X55" s="18" t="inlineStr">
        <is>
          <t>A - Primary source</t>
        </is>
      </c>
      <c r="Y55" s="18" t="inlineStr">
        <is>
          <t>Original Chinese checked against Wang Bi recension; cross-check via Chinese Text Project. Vietnamese is Selflo working translation, not published translation.</t>
        </is>
      </c>
      <c r="Z55" s="18" t="inlineStr">
        <is>
          <t>Public domain / likely</t>
        </is>
      </c>
      <c r="AA55" s="18" t="inlineStr">
        <is>
          <t>Ancient text; Legge 1891 comparison is public domain in USA per Project Gutenberg. Verify jurisdiction for commercial publication.</t>
        </is>
      </c>
      <c r="AB55" s="18" t="inlineStr">
        <is>
          <t>High</t>
        </is>
      </c>
      <c r="AC55" s="18" t="inlineStr">
        <is>
          <t>Rất gần triết lý Selflo: user là chủ thể.</t>
        </is>
      </c>
      <c r="AD55" s="18" t="inlineStr">
        <is>
          <t>Needs editorial review</t>
        </is>
      </c>
      <c r="AE55" s="18" t="inlineStr">
        <is>
          <t>Needs semantic dedupe review</t>
        </is>
      </c>
      <c r="AF55" s="18" t="str"/>
      <c r="AG55" s="18" t="str"/>
      <c r="AH55" s="18" t="inlineStr">
        <is>
          <t>No</t>
        </is>
      </c>
      <c r="AI55" s="18" t="inlineStr">
        <is>
          <t>Not reviewed</t>
        </is>
      </c>
      <c r="AJ55" s="18" t="inlineStr">
        <is>
          <t>Research only</t>
        </is>
      </c>
      <c r="AK55" s="18" t="inlineStr">
        <is>
          <t>Research Pool</t>
        </is>
      </c>
      <c r="AL55" s="18" t="n">
        <v>1</v>
      </c>
      <c r="AM55" s="18" t="inlineStr">
        <is>
          <t>ChatGPT research</t>
        </is>
      </c>
      <c r="AN55" s="18" t="inlineStr">
        <is>
          <t>2026-09-18</t>
        </is>
      </c>
      <c r="AO55" s="18" t="inlineStr">
        <is>
          <t>Day 1 full-scope audit, chapters 1–20.</t>
        </is>
      </c>
      <c r="AP55" s="18" t="n"/>
      <c r="AQ55" s="18" t="n"/>
    </row>
    <row r="56">
      <c r="A56" s="18" t="inlineStr">
        <is>
          <t>research.laozi.ch18.055</t>
        </is>
      </c>
      <c r="B56" s="18" t="inlineStr">
        <is>
          <t>Collected</t>
        </is>
      </c>
      <c r="C56" s="18" t="inlineStr">
        <is>
          <t>Xã hội &amp; văn hóa</t>
        </is>
      </c>
      <c r="D56" s="18" t="inlineStr">
        <is>
          <t>Comparison / External standards / Values</t>
        </is>
      </c>
      <c r="E56" s="18" t="str"/>
      <c r="F56" s="18" t="inlineStr">
        <is>
          <t>Một giá trị được nói nhiều không bảo đảm nó đang được sống thật</t>
        </is>
      </c>
      <c r="G56" s="18" t="inlineStr">
        <is>
          <t>Values</t>
        </is>
      </c>
      <c r="H56" s="18" t="inlineStr">
        <is>
          <t>Trust</t>
        </is>
      </c>
      <c r="I56" s="18" t="inlineStr">
        <is>
          <t>Bối rối</t>
        </is>
      </c>
      <c r="J56" s="18" t="str"/>
      <c r="K56" s="18" t="inlineStr">
        <is>
          <t>Distinguish</t>
        </is>
      </c>
      <c r="L56" s="18" t="inlineStr">
        <is>
          <t>Recognize</t>
        </is>
      </c>
      <c r="M56" s="18" t="inlineStr">
        <is>
          <t>Nghịch lý</t>
        </is>
      </c>
      <c r="N56" s="18" t="inlineStr">
        <is>
          <t>大道廢，有仁義；智慧出，有大偽。</t>
        </is>
      </c>
      <c r="O56" s="18" t="inlineStr">
        <is>
          <t>Classical Chinese (文言文)</t>
        </is>
      </c>
      <c r="P56" s="18" t="inlineStr">
        <is>
          <t>Khi con đường lớn không còn được sống tự nhiên, những nhãn như nhân nghĩa nổi lên; khi sự khôn ngoan phô bày, giả tạo cũng có thể tăng theo.</t>
        </is>
      </c>
      <c r="Q56" s="18" t="inlineStr">
        <is>
          <t>Laozi / 老子</t>
        </is>
      </c>
      <c r="R56" s="18" t="inlineStr">
        <is>
          <t>Taoism</t>
        </is>
      </c>
      <c r="S56" s="18" t="inlineStr">
        <is>
          <t>道德經 / Tao Te Ching</t>
        </is>
      </c>
      <c r="T56" s="18" t="inlineStr">
        <is>
          <t>Chapter 18</t>
        </is>
      </c>
      <c r="U56" s="18" t="inlineStr">
        <is>
          <t>https://zh.wikisource.org/zh-hans/%E9%81%93%E5%BE%B7%E7%B6%93_(%E7%8E%8B%E5%BC%BC%E6%9C%AC)</t>
        </is>
      </c>
      <c r="V56" s="18" t="inlineStr">
        <is>
          <t>Primary text</t>
        </is>
      </c>
      <c r="W56" s="18" t="inlineStr">
        <is>
          <t>Working translation</t>
        </is>
      </c>
      <c r="X56" s="18" t="inlineStr">
        <is>
          <t>A - Primary source</t>
        </is>
      </c>
      <c r="Y56" s="18" t="inlineStr">
        <is>
          <t>Original Chinese checked against Wang Bi recension; cross-check via Chinese Text Project. Vietnamese is Selflo working translation, not published translation.</t>
        </is>
      </c>
      <c r="Z56" s="18" t="inlineStr">
        <is>
          <t>Public domain / likely</t>
        </is>
      </c>
      <c r="AA56" s="18" t="inlineStr">
        <is>
          <t>Ancient text; Legge 1891 comparison is public domain in USA per Project Gutenberg. Verify jurisdiction for commercial publication.</t>
        </is>
      </c>
      <c r="AB56" s="18" t="inlineStr">
        <is>
          <t>Medium</t>
        </is>
      </c>
      <c r="AC56" s="18" t="inlineStr">
        <is>
          <t>Cần bối cảnh; dễ bị hiểu cực đoan.</t>
        </is>
      </c>
      <c r="AD56" s="18" t="inlineStr">
        <is>
          <t>Needs editorial review</t>
        </is>
      </c>
      <c r="AE56" s="18" t="inlineStr">
        <is>
          <t>Needs semantic dedupe review</t>
        </is>
      </c>
      <c r="AF56" s="18" t="str"/>
      <c r="AG56" s="18" t="str"/>
      <c r="AH56" s="18" t="inlineStr">
        <is>
          <t>No</t>
        </is>
      </c>
      <c r="AI56" s="18" t="inlineStr">
        <is>
          <t>Not reviewed</t>
        </is>
      </c>
      <c r="AJ56" s="18" t="inlineStr">
        <is>
          <t>Research only</t>
        </is>
      </c>
      <c r="AK56" s="18" t="inlineStr">
        <is>
          <t>Research Pool</t>
        </is>
      </c>
      <c r="AL56" s="18" t="n">
        <v>1</v>
      </c>
      <c r="AM56" s="18" t="inlineStr">
        <is>
          <t>ChatGPT research</t>
        </is>
      </c>
      <c r="AN56" s="18" t="inlineStr">
        <is>
          <t>2026-09-18</t>
        </is>
      </c>
      <c r="AO56" s="18" t="inlineStr">
        <is>
          <t>Day 1 full-scope audit, chapters 1–20.</t>
        </is>
      </c>
      <c r="AP56" s="18" t="n"/>
      <c r="AQ56" s="18" t="n"/>
    </row>
    <row r="57">
      <c r="A57" s="18" t="inlineStr">
        <is>
          <t>research.laozi.ch18.056</t>
        </is>
      </c>
      <c r="B57" s="18" t="inlineStr">
        <is>
          <t>Collected</t>
        </is>
      </c>
      <c r="C57" s="18" t="inlineStr">
        <is>
          <t>Xã hội &amp; văn hóa</t>
        </is>
      </c>
      <c r="D57" s="18" t="inlineStr">
        <is>
          <t>Comparison / External standards / Values</t>
        </is>
      </c>
      <c r="E57" s="18" t="str"/>
      <c r="F57" s="18" t="inlineStr">
        <is>
          <t>Một phẩm chất đôi khi chỉ trở nên nổi bật vì bối cảnh đối nghịch</t>
        </is>
      </c>
      <c r="G57" s="18" t="inlineStr">
        <is>
          <t>Judgment</t>
        </is>
      </c>
      <c r="H57" s="18" t="inlineStr">
        <is>
          <t>Change</t>
        </is>
      </c>
      <c r="I57" s="18" t="inlineStr">
        <is>
          <t>Mixed / contradictory</t>
        </is>
      </c>
      <c r="J57" s="18" t="str"/>
      <c r="K57" s="18" t="inlineStr">
        <is>
          <t>Distinguish</t>
        </is>
      </c>
      <c r="L57" s="18" t="inlineStr">
        <is>
          <t>Reframe</t>
        </is>
      </c>
      <c r="M57" s="18" t="inlineStr">
        <is>
          <t>Nghịch lý</t>
        </is>
      </c>
      <c r="N57" s="18" t="inlineStr">
        <is>
          <t>六親不和，有孝慈；國家昏亂，有忠臣。</t>
        </is>
      </c>
      <c r="O57" s="18" t="inlineStr">
        <is>
          <t>Classical Chinese (文言文)</t>
        </is>
      </c>
      <c r="P57" s="18" t="inlineStr">
        <is>
          <t>Khi quan hệ gia đình mất hòa hợp, người con hiếu mới được nêu bật; khi đất nước rối ren, người trung thần mới nổi rõ.</t>
        </is>
      </c>
      <c r="Q57" s="18" t="inlineStr">
        <is>
          <t>Laozi / 老子</t>
        </is>
      </c>
      <c r="R57" s="18" t="inlineStr">
        <is>
          <t>Taoism</t>
        </is>
      </c>
      <c r="S57" s="18" t="inlineStr">
        <is>
          <t>道德經 / Tao Te Ching</t>
        </is>
      </c>
      <c r="T57" s="18" t="inlineStr">
        <is>
          <t>Chapter 18</t>
        </is>
      </c>
      <c r="U57" s="18" t="inlineStr">
        <is>
          <t>https://zh.wikisource.org/zh-hans/%E9%81%93%E5%BE%B7%E7%B6%93_(%E7%8E%8B%E5%BC%BC%E6%9C%AC)</t>
        </is>
      </c>
      <c r="V57" s="18" t="inlineStr">
        <is>
          <t>Primary text</t>
        </is>
      </c>
      <c r="W57" s="18" t="inlineStr">
        <is>
          <t>Working translation</t>
        </is>
      </c>
      <c r="X57" s="18" t="inlineStr">
        <is>
          <t>A - Primary source</t>
        </is>
      </c>
      <c r="Y57" s="18" t="inlineStr">
        <is>
          <t>Original Chinese checked against Wang Bi recension; cross-check via Chinese Text Project. Vietnamese is Selflo working translation, not published translation.</t>
        </is>
      </c>
      <c r="Z57" s="18" t="inlineStr">
        <is>
          <t>Public domain / likely</t>
        </is>
      </c>
      <c r="AA57" s="18" t="inlineStr">
        <is>
          <t>Ancient text; Legge 1891 comparison is public domain in USA per Project Gutenberg. Verify jurisdiction for commercial publication.</t>
        </is>
      </c>
      <c r="AB57" s="18" t="inlineStr">
        <is>
          <t>Medium</t>
        </is>
      </c>
      <c r="AC57" s="18" t="inlineStr">
        <is>
          <t>Mạnh về relational contrast; context cổ đại.</t>
        </is>
      </c>
      <c r="AD57" s="18" t="inlineStr">
        <is>
          <t>Needs editorial review</t>
        </is>
      </c>
      <c r="AE57" s="18" t="inlineStr">
        <is>
          <t>Needs semantic dedupe review</t>
        </is>
      </c>
      <c r="AF57" s="18" t="str"/>
      <c r="AG57" s="18" t="str"/>
      <c r="AH57" s="18" t="inlineStr">
        <is>
          <t>No</t>
        </is>
      </c>
      <c r="AI57" s="18" t="inlineStr">
        <is>
          <t>Not reviewed</t>
        </is>
      </c>
      <c r="AJ57" s="18" t="inlineStr">
        <is>
          <t>Research only</t>
        </is>
      </c>
      <c r="AK57" s="18" t="inlineStr">
        <is>
          <t>Research Pool</t>
        </is>
      </c>
      <c r="AL57" s="18" t="n">
        <v>1</v>
      </c>
      <c r="AM57" s="18" t="inlineStr">
        <is>
          <t>ChatGPT research</t>
        </is>
      </c>
      <c r="AN57" s="18" t="inlineStr">
        <is>
          <t>2026-09-18</t>
        </is>
      </c>
      <c r="AO57" s="18" t="inlineStr">
        <is>
          <t>Day 1 full-scope audit, chapters 1–20.</t>
        </is>
      </c>
      <c r="AP57" s="18" t="n"/>
      <c r="AQ57" s="18" t="n"/>
    </row>
    <row r="58">
      <c r="A58" s="18" t="inlineStr">
        <is>
          <t>research.laozi.ch19.057</t>
        </is>
      </c>
      <c r="B58" s="18" t="inlineStr">
        <is>
          <t>Collected</t>
        </is>
      </c>
      <c r="C58" s="18" t="inlineStr">
        <is>
          <t>Nội tâm &amp; hiểu mình</t>
        </is>
      </c>
      <c r="D58" s="18" t="inlineStr">
        <is>
          <t>Comparison / External standards / Values</t>
        </is>
      </c>
      <c r="E58" s="18" t="str"/>
      <c r="F58" s="18" t="inlineStr">
        <is>
          <t>Giảm bớt lớp tô vẽ để trở lại điều đơn giản hơn</t>
        </is>
      </c>
      <c r="G58" s="18" t="inlineStr">
        <is>
          <t>Simplicity</t>
        </is>
      </c>
      <c r="H58" s="18" t="inlineStr">
        <is>
          <t>Enoughness</t>
        </is>
      </c>
      <c r="I58" s="18" t="inlineStr">
        <is>
          <t>Áp lực</t>
        </is>
      </c>
      <c r="J58" s="18" t="str"/>
      <c r="K58" s="18" t="inlineStr">
        <is>
          <t>Reframe</t>
        </is>
      </c>
      <c r="L58" s="18" t="inlineStr">
        <is>
          <t>Permit</t>
        </is>
      </c>
      <c r="M58" s="18" t="inlineStr">
        <is>
          <t>Trích đoạn triết học</t>
        </is>
      </c>
      <c r="N58" s="18" t="inlineStr">
        <is>
          <t>見素抱樸，少私寡欲。</t>
        </is>
      </c>
      <c r="O58" s="18" t="inlineStr">
        <is>
          <t>Classical Chinese (文言文)</t>
        </is>
      </c>
      <c r="P58" s="18" t="inlineStr">
        <is>
          <t>Giữ cái mộc mạc, ôm lấy phần chưa tô vẽ; bớt cái riêng tư vị kỷ, bớt ham muốn.</t>
        </is>
      </c>
      <c r="Q58" s="18" t="inlineStr">
        <is>
          <t>Laozi / 老子</t>
        </is>
      </c>
      <c r="R58" s="18" t="inlineStr">
        <is>
          <t>Taoism</t>
        </is>
      </c>
      <c r="S58" s="18" t="inlineStr">
        <is>
          <t>道德經 / Tao Te Ching</t>
        </is>
      </c>
      <c r="T58" s="18" t="inlineStr">
        <is>
          <t>Chapter 19</t>
        </is>
      </c>
      <c r="U58" s="18" t="inlineStr">
        <is>
          <t>https://zh.wikisource.org/zh-hans/%E9%81%93%E5%BE%B7%E7%B6%93_(%E7%8E%8B%E5%BC%BC%E6%9C%AC)</t>
        </is>
      </c>
      <c r="V58" s="18" t="inlineStr">
        <is>
          <t>Primary text</t>
        </is>
      </c>
      <c r="W58" s="18" t="inlineStr">
        <is>
          <t>Working translation</t>
        </is>
      </c>
      <c r="X58" s="18" t="inlineStr">
        <is>
          <t>A - Primary source</t>
        </is>
      </c>
      <c r="Y58" s="18" t="inlineStr">
        <is>
          <t>Original Chinese checked against Wang Bi recension; cross-check via Chinese Text Project. Vietnamese is Selflo working translation, not published translation.</t>
        </is>
      </c>
      <c r="Z58" s="18" t="inlineStr">
        <is>
          <t>Public domain / likely</t>
        </is>
      </c>
      <c r="AA58" s="18" t="inlineStr">
        <is>
          <t>Ancient text; Legge 1891 comparison is public domain in USA per Project Gutenberg. Verify jurisdiction for commercial publication.</t>
        </is>
      </c>
      <c r="AB58" s="18" t="inlineStr">
        <is>
          <t>Medium</t>
        </is>
      </c>
      <c r="AC58" s="18" t="inlineStr">
        <is>
          <t>Directive/moral tone; research pool.</t>
        </is>
      </c>
      <c r="AD58" s="18" t="inlineStr">
        <is>
          <t>Needs editorial review</t>
        </is>
      </c>
      <c r="AE58" s="18" t="inlineStr">
        <is>
          <t>Needs semantic dedupe review</t>
        </is>
      </c>
      <c r="AF58" s="18" t="str"/>
      <c r="AG58" s="18" t="str"/>
      <c r="AH58" s="18" t="inlineStr">
        <is>
          <t>No</t>
        </is>
      </c>
      <c r="AI58" s="18" t="inlineStr">
        <is>
          <t>Not reviewed</t>
        </is>
      </c>
      <c r="AJ58" s="18" t="inlineStr">
        <is>
          <t>Research only</t>
        </is>
      </c>
      <c r="AK58" s="18" t="inlineStr">
        <is>
          <t>Research Pool</t>
        </is>
      </c>
      <c r="AL58" s="18" t="n">
        <v>1</v>
      </c>
      <c r="AM58" s="18" t="inlineStr">
        <is>
          <t>ChatGPT research</t>
        </is>
      </c>
      <c r="AN58" s="18" t="inlineStr">
        <is>
          <t>2026-09-18</t>
        </is>
      </c>
      <c r="AO58" s="18" t="inlineStr">
        <is>
          <t>Day 1 full-scope audit, chapters 1–20.</t>
        </is>
      </c>
      <c r="AP58" s="18" t="n"/>
      <c r="AQ58" s="18" t="n"/>
    </row>
    <row r="59">
      <c r="A59" s="18" t="inlineStr">
        <is>
          <t>research.laozi.ch20.058</t>
        </is>
      </c>
      <c r="B59" s="18" t="inlineStr">
        <is>
          <t>Collected</t>
        </is>
      </c>
      <c r="C59" s="18" t="inlineStr">
        <is>
          <t>Nội tâm &amp; hiểu mình</t>
        </is>
      </c>
      <c r="D59" s="18" t="inlineStr">
        <is>
          <t>Uncertainty / Choice / Agency</t>
        </is>
      </c>
      <c r="E59" s="18" t="str"/>
      <c r="F59" s="18" t="inlineStr">
        <is>
          <t>Nỗi sợ xã hội có thật nhưng có thể lan rộng vô tận</t>
        </is>
      </c>
      <c r="G59" s="18" t="inlineStr">
        <is>
          <t>Fear</t>
        </is>
      </c>
      <c r="H59" s="18" t="inlineStr">
        <is>
          <t>Comparison</t>
        </is>
      </c>
      <c r="I59" s="18" t="inlineStr">
        <is>
          <t>Sợ hãi</t>
        </is>
      </c>
      <c r="J59" s="18" t="str"/>
      <c r="K59" s="18" t="inlineStr">
        <is>
          <t>Recognize</t>
        </is>
      </c>
      <c r="L59" s="18" t="inlineStr">
        <is>
          <t>Distinguish</t>
        </is>
      </c>
      <c r="M59" s="18" t="inlineStr">
        <is>
          <t>Trích đoạn triết học</t>
        </is>
      </c>
      <c r="N59" s="18" t="inlineStr">
        <is>
          <t>人之所畏，不可不畏。荒兮其未央哉！</t>
        </is>
      </c>
      <c r="O59" s="18" t="inlineStr">
        <is>
          <t>Classical Chinese (文言文)</t>
        </is>
      </c>
      <c r="P59" s="18" t="inlineStr">
        <is>
          <t>Điều mọi người sợ không thể đơn giản coi như không đáng sợ; nhưng phạm vi của nỗi sợ ấy dường như không có tận cùng.</t>
        </is>
      </c>
      <c r="Q59" s="18" t="inlineStr">
        <is>
          <t>Laozi / 老子</t>
        </is>
      </c>
      <c r="R59" s="18" t="inlineStr">
        <is>
          <t>Taoism</t>
        </is>
      </c>
      <c r="S59" s="18" t="inlineStr">
        <is>
          <t>道德經 / Tao Te Ching</t>
        </is>
      </c>
      <c r="T59" s="18" t="inlineStr">
        <is>
          <t>Chapter 20</t>
        </is>
      </c>
      <c r="U59" s="18" t="inlineStr">
        <is>
          <t>https://zh.wikisource.org/zh-hans/%E9%81%93%E5%BE%B7%E7%B6%93_(%E7%8E%8B%E5%BC%BC%E6%9C%AC)</t>
        </is>
      </c>
      <c r="V59" s="18" t="inlineStr">
        <is>
          <t>Primary text</t>
        </is>
      </c>
      <c r="W59" s="18" t="inlineStr">
        <is>
          <t>Working translation</t>
        </is>
      </c>
      <c r="X59" s="18" t="inlineStr">
        <is>
          <t>A - Primary source</t>
        </is>
      </c>
      <c r="Y59" s="18" t="inlineStr">
        <is>
          <t>Original Chinese checked against Wang Bi recension; cross-check via Chinese Text Project. Vietnamese is Selflo working translation, not published translation.</t>
        </is>
      </c>
      <c r="Z59" s="18" t="inlineStr">
        <is>
          <t>Public domain / likely</t>
        </is>
      </c>
      <c r="AA59" s="18" t="inlineStr">
        <is>
          <t>Ancient text; Legge 1891 comparison is public domain in USA per Project Gutenberg. Verify jurisdiction for commercial publication.</t>
        </is>
      </c>
      <c r="AB59" s="18" t="inlineStr">
        <is>
          <t>High</t>
        </is>
      </c>
      <c r="AC59" s="18" t="inlineStr">
        <is>
          <t>Hợp fear/social influence.</t>
        </is>
      </c>
      <c r="AD59" s="18" t="inlineStr">
        <is>
          <t>Needs editorial review</t>
        </is>
      </c>
      <c r="AE59" s="18" t="inlineStr">
        <is>
          <t>Needs semantic dedupe review</t>
        </is>
      </c>
      <c r="AF59" s="18" t="str"/>
      <c r="AG59" s="18" t="str"/>
      <c r="AH59" s="18" t="inlineStr">
        <is>
          <t>No</t>
        </is>
      </c>
      <c r="AI59" s="18" t="inlineStr">
        <is>
          <t>Not reviewed</t>
        </is>
      </c>
      <c r="AJ59" s="18" t="inlineStr">
        <is>
          <t>Research only</t>
        </is>
      </c>
      <c r="AK59" s="18" t="inlineStr">
        <is>
          <t>Research Pool</t>
        </is>
      </c>
      <c r="AL59" s="18" t="n">
        <v>1</v>
      </c>
      <c r="AM59" s="18" t="inlineStr">
        <is>
          <t>ChatGPT research</t>
        </is>
      </c>
      <c r="AN59" s="18" t="inlineStr">
        <is>
          <t>2026-09-18</t>
        </is>
      </c>
      <c r="AO59" s="18" t="inlineStr">
        <is>
          <t>Day 1 full-scope audit, chapters 1–20.</t>
        </is>
      </c>
      <c r="AP59" s="18" t="n"/>
      <c r="AQ59" s="18" t="n"/>
    </row>
    <row r="60">
      <c r="A60" s="18" t="inlineStr">
        <is>
          <t>research.laozi.ch20.059</t>
        </is>
      </c>
      <c r="B60" s="18" t="inlineStr">
        <is>
          <t>Collected</t>
        </is>
      </c>
      <c r="C60" s="18" t="inlineStr">
        <is>
          <t>Xã hội &amp; văn hóa</t>
        </is>
      </c>
      <c r="D60" s="18" t="inlineStr">
        <is>
          <t>Comparison / External standards / Values</t>
        </is>
      </c>
      <c r="E60" s="18" t="str"/>
      <c r="F60" s="18" t="inlineStr">
        <is>
          <t>Xung quanh đều có vẻ vui và chắc chắn trong khi mình không như vậy</t>
        </is>
      </c>
      <c r="G60" s="18" t="inlineStr">
        <is>
          <t>Comparison</t>
        </is>
      </c>
      <c r="H60" s="18" t="inlineStr">
        <is>
          <t>Self-worth</t>
        </is>
      </c>
      <c r="I60" s="18" t="inlineStr">
        <is>
          <t>Cô đơn</t>
        </is>
      </c>
      <c r="J60" s="18" t="str"/>
      <c r="K60" s="18" t="inlineStr">
        <is>
          <t>Recognize</t>
        </is>
      </c>
      <c r="L60" s="18" t="inlineStr">
        <is>
          <t>Permit</t>
        </is>
      </c>
      <c r="M60" s="18" t="inlineStr">
        <is>
          <t>Ẩn dụ</t>
        </is>
      </c>
      <c r="N60" s="18" t="inlineStr">
        <is>
          <t>眾人熙熙，如享太牢，如春登臺。</t>
        </is>
      </c>
      <c r="O60" s="18" t="inlineStr">
        <is>
          <t>Classical Chinese (文言文)</t>
        </is>
      </c>
      <c r="P60" s="18" t="inlineStr">
        <is>
          <t>Mọi người hân hoan như dự đại tiệc, như lên đài ngắm cảnh mùa xuân.</t>
        </is>
      </c>
      <c r="Q60" s="18" t="inlineStr">
        <is>
          <t>Laozi / 老子</t>
        </is>
      </c>
      <c r="R60" s="18" t="inlineStr">
        <is>
          <t>Taoism</t>
        </is>
      </c>
      <c r="S60" s="18" t="inlineStr">
        <is>
          <t>道德經 / Tao Te Ching</t>
        </is>
      </c>
      <c r="T60" s="18" t="inlineStr">
        <is>
          <t>Chapter 20</t>
        </is>
      </c>
      <c r="U60" s="18" t="inlineStr">
        <is>
          <t>https://zh.wikisource.org/zh-hans/%E9%81%93%E5%BE%B7%E7%B6%93_(%E7%8E%8B%E5%BC%BC%E6%9C%AC)</t>
        </is>
      </c>
      <c r="V60" s="18" t="inlineStr">
        <is>
          <t>Primary text</t>
        </is>
      </c>
      <c r="W60" s="18" t="inlineStr">
        <is>
          <t>Working translation</t>
        </is>
      </c>
      <c r="X60" s="18" t="inlineStr">
        <is>
          <t>A - Primary source</t>
        </is>
      </c>
      <c r="Y60" s="18" t="inlineStr">
        <is>
          <t>Original Chinese checked against Wang Bi recension; cross-check via Chinese Text Project. Vietnamese is Selflo working translation, not published translation.</t>
        </is>
      </c>
      <c r="Z60" s="18" t="inlineStr">
        <is>
          <t>Public domain / likely</t>
        </is>
      </c>
      <c r="AA60" s="18" t="inlineStr">
        <is>
          <t>Ancient text; Legge 1891 comparison is public domain in USA per Project Gutenberg. Verify jurisdiction for commercial publication.</t>
        </is>
      </c>
      <c r="AB60" s="18" t="inlineStr">
        <is>
          <t>High</t>
        </is>
      </c>
      <c r="AC60" s="18" t="inlineStr">
        <is>
          <t>Cần ghép với câu 'I alone...' để thấy contrast.</t>
        </is>
      </c>
      <c r="AD60" s="18" t="inlineStr">
        <is>
          <t>Needs editorial review</t>
        </is>
      </c>
      <c r="AE60" s="18" t="inlineStr">
        <is>
          <t>Needs semantic dedupe review</t>
        </is>
      </c>
      <c r="AF60" s="18" t="str"/>
      <c r="AG60" s="18" t="str"/>
      <c r="AH60" s="18" t="inlineStr">
        <is>
          <t>No</t>
        </is>
      </c>
      <c r="AI60" s="18" t="inlineStr">
        <is>
          <t>Not reviewed</t>
        </is>
      </c>
      <c r="AJ60" s="18" t="inlineStr">
        <is>
          <t>Research only</t>
        </is>
      </c>
      <c r="AK60" s="18" t="inlineStr">
        <is>
          <t>Research Pool</t>
        </is>
      </c>
      <c r="AL60" s="18" t="n">
        <v>1</v>
      </c>
      <c r="AM60" s="18" t="inlineStr">
        <is>
          <t>ChatGPT research</t>
        </is>
      </c>
      <c r="AN60" s="18" t="inlineStr">
        <is>
          <t>2026-09-18</t>
        </is>
      </c>
      <c r="AO60" s="18" t="inlineStr">
        <is>
          <t>Day 1 full-scope audit, chapters 1–20.</t>
        </is>
      </c>
      <c r="AP60" s="18" t="n"/>
      <c r="AQ60" s="18" t="n"/>
    </row>
    <row r="61">
      <c r="A61" s="18" t="inlineStr">
        <is>
          <t>research.laozi.ch20.060</t>
        </is>
      </c>
      <c r="B61" s="18" t="inlineStr">
        <is>
          <t>Collected</t>
        </is>
      </c>
      <c r="C61" s="18" t="inlineStr">
        <is>
          <t>Nội tâm &amp; hiểu mình</t>
        </is>
      </c>
      <c r="D61" s="18" t="inlineStr">
        <is>
          <t>Comparison / External standards / Values</t>
        </is>
      </c>
      <c r="E61" s="18" t="str"/>
      <c r="F61" s="18" t="inlineStr">
        <is>
          <t>Cảm giác mọi người đều có đủ còn mình thì thiếu</t>
        </is>
      </c>
      <c r="G61" s="18" t="inlineStr">
        <is>
          <t>Comparison</t>
        </is>
      </c>
      <c r="H61" s="18" t="inlineStr">
        <is>
          <t>Self-worth</t>
        </is>
      </c>
      <c r="I61" s="18" t="inlineStr">
        <is>
          <t>Trống rỗng</t>
        </is>
      </c>
      <c r="J61" s="18" t="str"/>
      <c r="K61" s="18" t="inlineStr">
        <is>
          <t>Recognize</t>
        </is>
      </c>
      <c r="L61" s="18" t="inlineStr">
        <is>
          <t>Permit</t>
        </is>
      </c>
      <c r="M61" s="18" t="inlineStr">
        <is>
          <t>Trích đoạn triết học</t>
        </is>
      </c>
      <c r="N61" s="18" t="inlineStr">
        <is>
          <t>眾人皆有餘，而我獨若遺。</t>
        </is>
      </c>
      <c r="O61" s="18" t="inlineStr">
        <is>
          <t>Classical Chinese (文言文)</t>
        </is>
      </c>
      <c r="P61" s="18" t="inlineStr">
        <is>
          <t>Mọi người dường như đều dư dả; riêng ta như thể đã bỏ quên hay thiếu mất điều gì.</t>
        </is>
      </c>
      <c r="Q61" s="18" t="inlineStr">
        <is>
          <t>Laozi / 老子</t>
        </is>
      </c>
      <c r="R61" s="18" t="inlineStr">
        <is>
          <t>Taoism</t>
        </is>
      </c>
      <c r="S61" s="18" t="inlineStr">
        <is>
          <t>道德經 / Tao Te Ching</t>
        </is>
      </c>
      <c r="T61" s="18" t="inlineStr">
        <is>
          <t>Chapter 20</t>
        </is>
      </c>
      <c r="U61" s="18" t="inlineStr">
        <is>
          <t>https://zh.wikisource.org/zh-hans/%E9%81%93%E5%BE%B7%E7%B6%93_(%E7%8E%8B%E5%BC%BC%E6%9C%AC)</t>
        </is>
      </c>
      <c r="V61" s="18" t="inlineStr">
        <is>
          <t>Primary text</t>
        </is>
      </c>
      <c r="W61" s="18" t="inlineStr">
        <is>
          <t>Working translation</t>
        </is>
      </c>
      <c r="X61" s="18" t="inlineStr">
        <is>
          <t>A - Primary source</t>
        </is>
      </c>
      <c r="Y61" s="18" t="inlineStr">
        <is>
          <t>Original Chinese checked against Wang Bi recension; cross-check via Chinese Text Project. Vietnamese is Selflo working translation, not published translation.</t>
        </is>
      </c>
      <c r="Z61" s="18" t="inlineStr">
        <is>
          <t>Public domain / likely</t>
        </is>
      </c>
      <c r="AA61" s="18" t="inlineStr">
        <is>
          <t>Ancient text; Legge 1891 comparison is public domain in USA per Project Gutenberg. Verify jurisdiction for commercial publication.</t>
        </is>
      </c>
      <c r="AB61" s="18" t="inlineStr">
        <is>
          <t>High</t>
        </is>
      </c>
      <c r="AC61" s="18" t="inlineStr">
        <is>
          <t>Rất mạnh cho comparison/loneliness.</t>
        </is>
      </c>
      <c r="AD61" s="18" t="inlineStr">
        <is>
          <t>Needs editorial review</t>
        </is>
      </c>
      <c r="AE61" s="18" t="inlineStr">
        <is>
          <t>Needs semantic dedupe review</t>
        </is>
      </c>
      <c r="AF61" s="18" t="str"/>
      <c r="AG61" s="18" t="str"/>
      <c r="AH61" s="18" t="inlineStr">
        <is>
          <t>No</t>
        </is>
      </c>
      <c r="AI61" s="18" t="inlineStr">
        <is>
          <t>Not reviewed</t>
        </is>
      </c>
      <c r="AJ61" s="18" t="inlineStr">
        <is>
          <t>Research only</t>
        </is>
      </c>
      <c r="AK61" s="18" t="inlineStr">
        <is>
          <t>Research Pool</t>
        </is>
      </c>
      <c r="AL61" s="18" t="n">
        <v>1</v>
      </c>
      <c r="AM61" s="18" t="inlineStr">
        <is>
          <t>ChatGPT research</t>
        </is>
      </c>
      <c r="AN61" s="18" t="inlineStr">
        <is>
          <t>2026-09-18</t>
        </is>
      </c>
      <c r="AO61" s="18" t="inlineStr">
        <is>
          <t>Day 1 full-scope audit, chapters 1–20.</t>
        </is>
      </c>
      <c r="AP61" s="18" t="n"/>
      <c r="AQ61" s="18" t="n"/>
    </row>
    <row r="62">
      <c r="A62" s="18" t="inlineStr">
        <is>
          <t>research.laozi.ch20.061</t>
        </is>
      </c>
      <c r="B62" s="18" t="inlineStr">
        <is>
          <t>Collected</t>
        </is>
      </c>
      <c r="C62" s="18" t="inlineStr">
        <is>
          <t>Nội tâm &amp; hiểu mình</t>
        </is>
      </c>
      <c r="D62" s="18" t="inlineStr">
        <is>
          <t>Uncertainty / Choice / Agency</t>
        </is>
      </c>
      <c r="E62" s="18" t="str"/>
      <c r="F62" s="18" t="inlineStr">
        <is>
          <t>Mọi người có vẻ biết rõ trong khi mình chưa biết</t>
        </is>
      </c>
      <c r="G62" s="18" t="inlineStr">
        <is>
          <t>Uncertainty</t>
        </is>
      </c>
      <c r="H62" s="18" t="inlineStr">
        <is>
          <t>Self-worth</t>
        </is>
      </c>
      <c r="I62" s="18" t="inlineStr">
        <is>
          <t>Bối rối</t>
        </is>
      </c>
      <c r="J62" s="18" t="str"/>
      <c r="K62" s="18" t="inlineStr">
        <is>
          <t>Recognize</t>
        </is>
      </c>
      <c r="L62" s="18" t="inlineStr">
        <is>
          <t>Permit</t>
        </is>
      </c>
      <c r="M62" s="18" t="inlineStr">
        <is>
          <t>Nghịch lý</t>
        </is>
      </c>
      <c r="N62" s="18" t="inlineStr">
        <is>
          <t>俗人昭昭，我獨昏昏；俗人察察，我獨悶悶。</t>
        </is>
      </c>
      <c r="O62" s="18" t="inlineStr">
        <is>
          <t>Classical Chinese (文言文)</t>
        </is>
      </c>
      <c r="P62" s="18" t="inlineStr">
        <is>
          <t>Người đời có vẻ sáng rõ; riêng ta mờ tối. Người đời có vẻ phân định rành rẽ; riêng ta còn mơ hồ.</t>
        </is>
      </c>
      <c r="Q62" s="18" t="inlineStr">
        <is>
          <t>Laozi / 老子</t>
        </is>
      </c>
      <c r="R62" s="18" t="inlineStr">
        <is>
          <t>Taoism</t>
        </is>
      </c>
      <c r="S62" s="18" t="inlineStr">
        <is>
          <t>道德經 / Tao Te Ching</t>
        </is>
      </c>
      <c r="T62" s="18" t="inlineStr">
        <is>
          <t>Chapter 20</t>
        </is>
      </c>
      <c r="U62" s="18" t="inlineStr">
        <is>
          <t>https://zh.wikisource.org/zh-hans/%E9%81%93%E5%BE%B7%E7%B6%93_(%E7%8E%8B%E5%BC%BC%E6%9C%AC)</t>
        </is>
      </c>
      <c r="V62" s="18" t="inlineStr">
        <is>
          <t>Primary text</t>
        </is>
      </c>
      <c r="W62" s="18" t="inlineStr">
        <is>
          <t>Working translation</t>
        </is>
      </c>
      <c r="X62" s="18" t="inlineStr">
        <is>
          <t>A - Primary source</t>
        </is>
      </c>
      <c r="Y62" s="18" t="inlineStr">
        <is>
          <t>Original Chinese checked against Wang Bi recension; cross-check via Chinese Text Project. Vietnamese is Selflo working translation, not published translation.</t>
        </is>
      </c>
      <c r="Z62" s="18" t="inlineStr">
        <is>
          <t>Public domain / likely</t>
        </is>
      </c>
      <c r="AA62" s="18" t="inlineStr">
        <is>
          <t>Ancient text; Legge 1891 comparison is public domain in USA per Project Gutenberg. Verify jurisdiction for commercial publication.</t>
        </is>
      </c>
      <c r="AB62" s="18" t="inlineStr">
        <is>
          <t>High</t>
        </is>
      </c>
      <c r="AC62" s="18" t="inlineStr">
        <is>
          <t>Rất Selflo-like; giữ quyền chưa biết.</t>
        </is>
      </c>
      <c r="AD62" s="18" t="inlineStr">
        <is>
          <t>Needs editorial review</t>
        </is>
      </c>
      <c r="AE62" s="18" t="inlineStr">
        <is>
          <t>Needs semantic dedupe review</t>
        </is>
      </c>
      <c r="AF62" s="18" t="str"/>
      <c r="AG62" s="18" t="str"/>
      <c r="AH62" s="18" t="inlineStr">
        <is>
          <t>No</t>
        </is>
      </c>
      <c r="AI62" s="18" t="inlineStr">
        <is>
          <t>Not reviewed</t>
        </is>
      </c>
      <c r="AJ62" s="18" t="inlineStr">
        <is>
          <t>Research only</t>
        </is>
      </c>
      <c r="AK62" s="18" t="inlineStr">
        <is>
          <t>Research Pool</t>
        </is>
      </c>
      <c r="AL62" s="18" t="n">
        <v>1</v>
      </c>
      <c r="AM62" s="18" t="inlineStr">
        <is>
          <t>ChatGPT research</t>
        </is>
      </c>
      <c r="AN62" s="18" t="inlineStr">
        <is>
          <t>2026-09-18</t>
        </is>
      </c>
      <c r="AO62" s="18" t="inlineStr">
        <is>
          <t>Day 1 full-scope audit, chapters 1–20.</t>
        </is>
      </c>
      <c r="AP62" s="18" t="n"/>
      <c r="AQ62" s="18" t="n"/>
    </row>
    <row r="63">
      <c r="A63" s="18" t="inlineStr">
        <is>
          <t>research.laozi.ch20.062</t>
        </is>
      </c>
      <c r="B63" s="18" t="inlineStr">
        <is>
          <t>Collected</t>
        </is>
      </c>
      <c r="C63" s="18" t="inlineStr">
        <is>
          <t>Nội tâm &amp; hiểu mình</t>
        </is>
      </c>
      <c r="D63" s="18" t="inlineStr">
        <is>
          <t>Uncertainty / Choice / Agency</t>
        </is>
      </c>
      <c r="E63" s="18" t="str"/>
      <c r="F63" s="18" t="inlineStr">
        <is>
          <t>Cảm giác chưa có nơi để neo lại</t>
        </is>
      </c>
      <c r="G63" s="18" t="inlineStr">
        <is>
          <t>Uncertainty</t>
        </is>
      </c>
      <c r="H63" s="18" t="inlineStr">
        <is>
          <t>Meaning</t>
        </is>
      </c>
      <c r="I63" s="18" t="inlineStr">
        <is>
          <t>Không chắc chắn</t>
        </is>
      </c>
      <c r="J63" s="18" t="str"/>
      <c r="K63" s="18" t="inlineStr">
        <is>
          <t>Recognize</t>
        </is>
      </c>
      <c r="L63" s="18" t="inlineStr">
        <is>
          <t>Permit</t>
        </is>
      </c>
      <c r="M63" s="18" t="inlineStr">
        <is>
          <t>Ẩn dụ</t>
        </is>
      </c>
      <c r="N63" s="18" t="inlineStr">
        <is>
          <t>澹兮其若海，飂兮若無止。</t>
        </is>
      </c>
      <c r="O63" s="18" t="inlineStr">
        <is>
          <t>Classical Chinese (文言文)</t>
        </is>
      </c>
      <c r="P63" s="18" t="inlineStr">
        <is>
          <t>Mênh mang như biển; trôi đi như chưa có nơi dừng.</t>
        </is>
      </c>
      <c r="Q63" s="18" t="inlineStr">
        <is>
          <t>Laozi / 老子</t>
        </is>
      </c>
      <c r="R63" s="18" t="inlineStr">
        <is>
          <t>Taoism</t>
        </is>
      </c>
      <c r="S63" s="18" t="inlineStr">
        <is>
          <t>道德經 / Tao Te Ching</t>
        </is>
      </c>
      <c r="T63" s="18" t="inlineStr">
        <is>
          <t>Chapter 20</t>
        </is>
      </c>
      <c r="U63" s="18" t="inlineStr">
        <is>
          <t>https://zh.wikisource.org/zh-hans/%E9%81%93%E5%BE%B7%E7%B6%93_(%E7%8E%8B%E5%BC%BC%E6%9C%AC)</t>
        </is>
      </c>
      <c r="V63" s="18" t="inlineStr">
        <is>
          <t>Primary text</t>
        </is>
      </c>
      <c r="W63" s="18" t="inlineStr">
        <is>
          <t>Working translation</t>
        </is>
      </c>
      <c r="X63" s="18" t="inlineStr">
        <is>
          <t>A - Primary source</t>
        </is>
      </c>
      <c r="Y63" s="18" t="inlineStr">
        <is>
          <t>Original Chinese checked against Wang Bi recension; cross-check via Chinese Text Project. Vietnamese is Selflo working translation, not published translation.</t>
        </is>
      </c>
      <c r="Z63" s="18" t="inlineStr">
        <is>
          <t>Public domain / likely</t>
        </is>
      </c>
      <c r="AA63" s="18" t="inlineStr">
        <is>
          <t>Ancient text; Legge 1891 comparison is public domain in USA per Project Gutenberg. Verify jurisdiction for commercial publication.</t>
        </is>
      </c>
      <c r="AB63" s="18" t="inlineStr">
        <is>
          <t>High</t>
        </is>
      </c>
      <c r="AC63" s="18" t="inlineStr">
        <is>
          <t>Hợp uncertainty.</t>
        </is>
      </c>
      <c r="AD63" s="18" t="inlineStr">
        <is>
          <t>Needs editorial review</t>
        </is>
      </c>
      <c r="AE63" s="18" t="inlineStr">
        <is>
          <t>Needs semantic dedupe review</t>
        </is>
      </c>
      <c r="AF63" s="18" t="str"/>
      <c r="AG63" s="18" t="str"/>
      <c r="AH63" s="18" t="inlineStr">
        <is>
          <t>No</t>
        </is>
      </c>
      <c r="AI63" s="18" t="inlineStr">
        <is>
          <t>Not reviewed</t>
        </is>
      </c>
      <c r="AJ63" s="18" t="inlineStr">
        <is>
          <t>Research only</t>
        </is>
      </c>
      <c r="AK63" s="18" t="inlineStr">
        <is>
          <t>Research Pool</t>
        </is>
      </c>
      <c r="AL63" s="18" t="n">
        <v>1</v>
      </c>
      <c r="AM63" s="18" t="inlineStr">
        <is>
          <t>ChatGPT research</t>
        </is>
      </c>
      <c r="AN63" s="18" t="inlineStr">
        <is>
          <t>2026-09-18</t>
        </is>
      </c>
      <c r="AO63" s="18" t="inlineStr">
        <is>
          <t>Day 1 full-scope audit, chapters 1–20.</t>
        </is>
      </c>
      <c r="AP63" s="18" t="n"/>
      <c r="AQ63" s="18" t="n"/>
    </row>
    <row r="64">
      <c r="A64" s="18" t="inlineStr">
        <is>
          <t>research.laozi.ch20.063</t>
        </is>
      </c>
      <c r="B64" s="18" t="inlineStr">
        <is>
          <t>Collected</t>
        </is>
      </c>
      <c r="C64" s="18" t="inlineStr">
        <is>
          <t>Công việc &amp; mục đích</t>
        </is>
      </c>
      <c r="D64" s="18" t="inlineStr">
        <is>
          <t>Meaning / Identity / Work</t>
        </is>
      </c>
      <c r="E64" s="18" t="str"/>
      <c r="F64" s="18" t="inlineStr">
        <is>
          <t>Người khác có vẻ có hướng đi còn mình thì chưa</t>
        </is>
      </c>
      <c r="G64" s="18" t="inlineStr">
        <is>
          <t>Identity</t>
        </is>
      </c>
      <c r="H64" s="18" t="inlineStr">
        <is>
          <t>Comparison</t>
        </is>
      </c>
      <c r="I64" s="18" t="inlineStr">
        <is>
          <t>Bối rối</t>
        </is>
      </c>
      <c r="J64" s="18" t="str"/>
      <c r="K64" s="18" t="inlineStr">
        <is>
          <t>Recognize</t>
        </is>
      </c>
      <c r="L64" s="18" t="inlineStr">
        <is>
          <t>Permit</t>
        </is>
      </c>
      <c r="M64" s="18" t="inlineStr">
        <is>
          <t>Trích đoạn triết học</t>
        </is>
      </c>
      <c r="N64" s="18" t="inlineStr">
        <is>
          <t>眾人皆有以，而我獨頑似鄙。</t>
        </is>
      </c>
      <c r="O64" s="18" t="inlineStr">
        <is>
          <t>Classical Chinese (文言文)</t>
        </is>
      </c>
      <c r="P64" s="18" t="inlineStr">
        <is>
          <t>Mọi người đều có vẻ biết mình dùng năng lực vào đâu; riêng ta trông vụng và không hợp thời.</t>
        </is>
      </c>
      <c r="Q64" s="18" t="inlineStr">
        <is>
          <t>Laozi / 老子</t>
        </is>
      </c>
      <c r="R64" s="18" t="inlineStr">
        <is>
          <t>Taoism</t>
        </is>
      </c>
      <c r="S64" s="18" t="inlineStr">
        <is>
          <t>道德經 / Tao Te Ching</t>
        </is>
      </c>
      <c r="T64" s="18" t="inlineStr">
        <is>
          <t>Chapter 20</t>
        </is>
      </c>
      <c r="U64" s="18" t="inlineStr">
        <is>
          <t>https://zh.wikisource.org/zh-hans/%E9%81%93%E5%BE%B7%E7%B6%93_(%E7%8E%8B%E5%BC%BC%E6%9C%AC)</t>
        </is>
      </c>
      <c r="V64" s="18" t="inlineStr">
        <is>
          <t>Primary text</t>
        </is>
      </c>
      <c r="W64" s="18" t="inlineStr">
        <is>
          <t>Working translation</t>
        </is>
      </c>
      <c r="X64" s="18" t="inlineStr">
        <is>
          <t>A - Primary source</t>
        </is>
      </c>
      <c r="Y64" s="18" t="inlineStr">
        <is>
          <t>Original Chinese checked against Wang Bi recension; cross-check via Chinese Text Project. Vietnamese is Selflo working translation, not published translation.</t>
        </is>
      </c>
      <c r="Z64" s="18" t="inlineStr">
        <is>
          <t>Public domain / likely</t>
        </is>
      </c>
      <c r="AA64" s="18" t="inlineStr">
        <is>
          <t>Ancient text; Legge 1891 comparison is public domain in USA per Project Gutenberg. Verify jurisdiction for commercial publication.</t>
        </is>
      </c>
      <c r="AB64" s="18" t="inlineStr">
        <is>
          <t>High</t>
        </is>
      </c>
      <c r="AC64" s="18" t="inlineStr">
        <is>
          <t>Mạnh cho career uncertainty.</t>
        </is>
      </c>
      <c r="AD64" s="18" t="inlineStr">
        <is>
          <t>Needs editorial review</t>
        </is>
      </c>
      <c r="AE64" s="18" t="inlineStr">
        <is>
          <t>Needs semantic dedupe review</t>
        </is>
      </c>
      <c r="AF64" s="18" t="str"/>
      <c r="AG64" s="18" t="str"/>
      <c r="AH64" s="18" t="inlineStr">
        <is>
          <t>No</t>
        </is>
      </c>
      <c r="AI64" s="18" t="inlineStr">
        <is>
          <t>Not reviewed</t>
        </is>
      </c>
      <c r="AJ64" s="18" t="inlineStr">
        <is>
          <t>Research only</t>
        </is>
      </c>
      <c r="AK64" s="18" t="inlineStr">
        <is>
          <t>Research Pool</t>
        </is>
      </c>
      <c r="AL64" s="18" t="n">
        <v>1</v>
      </c>
      <c r="AM64" s="18" t="inlineStr">
        <is>
          <t>ChatGPT research</t>
        </is>
      </c>
      <c r="AN64" s="18" t="inlineStr">
        <is>
          <t>2026-09-18</t>
        </is>
      </c>
      <c r="AO64" s="18" t="inlineStr">
        <is>
          <t>Day 1 full-scope audit, chapters 1–20.</t>
        </is>
      </c>
      <c r="AP64" s="18" t="n"/>
      <c r="AQ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c r="AP65" s="18" t="n"/>
      <c r="AQ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c r="AP66" s="18" t="n"/>
      <c r="AQ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c r="AP67" s="18" t="n"/>
      <c r="AQ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c r="AP68" s="18" t="n"/>
      <c r="AQ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c r="AP69" s="18" t="n"/>
      <c r="AQ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c r="AP70" s="18" t="n"/>
      <c r="AQ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c r="AP72" s="18" t="n"/>
      <c r="AQ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c r="AP73" s="18" t="n"/>
      <c r="AQ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c r="AP74" s="18" t="n"/>
      <c r="AQ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c r="AP76" s="18" t="n"/>
      <c r="AQ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c r="AP77" s="18" t="n"/>
      <c r="AQ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c r="AP78" s="18" t="n"/>
      <c r="AQ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c r="AP79" s="18" t="n"/>
      <c r="AQ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c r="AP80" s="18" t="n"/>
      <c r="AQ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c r="AP81" s="18" t="n"/>
      <c r="AQ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c r="AP82" s="18" t="n"/>
      <c r="AQ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c r="AP83" s="18" t="n"/>
      <c r="AQ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c r="AP84" s="18" t="n"/>
      <c r="AQ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c r="AP85" s="18" t="n"/>
      <c r="AQ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c r="AP86" s="18" t="n"/>
      <c r="AQ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c r="AP87" s="18" t="n"/>
      <c r="AQ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c r="AP88" s="18" t="n"/>
      <c r="AQ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c r="AP89" s="18" t="n"/>
      <c r="AQ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c r="AP90" s="18" t="n"/>
      <c r="AQ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c r="AP91" s="18" t="n"/>
      <c r="AQ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c r="AP92" s="18" t="n"/>
      <c r="AQ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c r="AP93" s="18" t="n"/>
      <c r="AQ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c r="AP94" s="18" t="n"/>
      <c r="AQ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c r="AH95" s="18" t="n"/>
      <c r="AI95" s="18" t="n"/>
      <c r="AJ95" s="18" t="n"/>
      <c r="AK95" s="18" t="n"/>
      <c r="AL95" s="18" t="n"/>
      <c r="AM95" s="18" t="n"/>
      <c r="AN95" s="18" t="n"/>
      <c r="AO95" s="18" t="n"/>
      <c r="AP95" s="18" t="n"/>
      <c r="AQ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c r="AP96" s="18" t="n"/>
      <c r="AQ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c r="AP97" s="18" t="n"/>
      <c r="AQ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c r="AP98" s="18" t="n"/>
      <c r="AQ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c r="AH99" s="18" t="n"/>
      <c r="AI99" s="18" t="n"/>
      <c r="AJ99" s="18" t="n"/>
      <c r="AK99" s="18" t="n"/>
      <c r="AL99" s="18" t="n"/>
      <c r="AM99" s="18" t="n"/>
      <c r="AN99" s="18" t="n"/>
      <c r="AO99" s="18" t="n"/>
      <c r="AP99" s="18" t="n"/>
      <c r="AQ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c r="AP100" s="18" t="n"/>
      <c r="AQ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c r="AJ101" s="18" t="n"/>
      <c r="AK101" s="18" t="n"/>
      <c r="AL101" s="18" t="n"/>
      <c r="AM101" s="18" t="n"/>
      <c r="AN101" s="18" t="n"/>
      <c r="AO101" s="18" t="n"/>
      <c r="AP101" s="18" t="n"/>
      <c r="AQ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c r="AJ102" s="18" t="n"/>
      <c r="AK102" s="18" t="n"/>
      <c r="AL102" s="18" t="n"/>
      <c r="AM102" s="18" t="n"/>
      <c r="AN102" s="18" t="n"/>
      <c r="AO102" s="18" t="n"/>
      <c r="AP102" s="18" t="n"/>
      <c r="AQ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c r="AJ103" s="18" t="n"/>
      <c r="AK103" s="18" t="n"/>
      <c r="AL103" s="18" t="n"/>
      <c r="AM103" s="18" t="n"/>
      <c r="AN103" s="18" t="n"/>
      <c r="AO103" s="18" t="n"/>
      <c r="AP103" s="18" t="n"/>
      <c r="AQ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c r="AJ104" s="18" t="n"/>
      <c r="AK104" s="18" t="n"/>
      <c r="AL104" s="18" t="n"/>
      <c r="AM104" s="18" t="n"/>
      <c r="AN104" s="18" t="n"/>
      <c r="AO104" s="18" t="n"/>
      <c r="AP104" s="18" t="n"/>
      <c r="AQ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c r="AJ105" s="18" t="n"/>
      <c r="AK105" s="18" t="n"/>
      <c r="AL105" s="18" t="n"/>
      <c r="AM105" s="18" t="n"/>
      <c r="AN105" s="18" t="n"/>
      <c r="AO105" s="18" t="n"/>
      <c r="AP105" s="18" t="n"/>
      <c r="AQ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c r="AJ106" s="18" t="n"/>
      <c r="AK106" s="18" t="n"/>
      <c r="AL106" s="18" t="n"/>
      <c r="AM106" s="18" t="n"/>
      <c r="AN106" s="18" t="n"/>
      <c r="AO106" s="18" t="n"/>
      <c r="AP106" s="18" t="n"/>
      <c r="AQ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c r="AJ107" s="18" t="n"/>
      <c r="AK107" s="18" t="n"/>
      <c r="AL107" s="18" t="n"/>
      <c r="AM107" s="18" t="n"/>
      <c r="AN107" s="18" t="n"/>
      <c r="AO107" s="18" t="n"/>
      <c r="AP107" s="18" t="n"/>
      <c r="AQ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c r="AJ108" s="18" t="n"/>
      <c r="AK108" s="18" t="n"/>
      <c r="AL108" s="18" t="n"/>
      <c r="AM108" s="18" t="n"/>
      <c r="AN108" s="18" t="n"/>
      <c r="AO108" s="18" t="n"/>
      <c r="AP108" s="18" t="n"/>
      <c r="AQ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c r="AJ109" s="18" t="n"/>
      <c r="AK109" s="18" t="n"/>
      <c r="AL109" s="18" t="n"/>
      <c r="AM109" s="18" t="n"/>
      <c r="AN109" s="18" t="n"/>
      <c r="AO109" s="18" t="n"/>
      <c r="AP109" s="18" t="n"/>
      <c r="AQ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c r="AJ110" s="18" t="n"/>
      <c r="AK110" s="18" t="n"/>
      <c r="AL110" s="18" t="n"/>
      <c r="AM110" s="18" t="n"/>
      <c r="AN110" s="18" t="n"/>
      <c r="AO110" s="18" t="n"/>
      <c r="AP110" s="18" t="n"/>
      <c r="AQ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c r="AJ111" s="18" t="n"/>
      <c r="AK111" s="18" t="n"/>
      <c r="AL111" s="18" t="n"/>
      <c r="AM111" s="18" t="n"/>
      <c r="AN111" s="18" t="n"/>
      <c r="AO111" s="18" t="n"/>
      <c r="AP111" s="18" t="n"/>
      <c r="AQ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c r="AL112" s="18" t="n"/>
      <c r="AM112" s="18" t="n"/>
      <c r="AN112" s="18" t="n"/>
      <c r="AO112" s="18" t="n"/>
      <c r="AP112" s="18" t="n"/>
      <c r="AQ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c r="AP113" s="18" t="n"/>
      <c r="AQ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c r="AJ114" s="18" t="n"/>
      <c r="AK114" s="18" t="n"/>
      <c r="AL114" s="18" t="n"/>
      <c r="AM114" s="18" t="n"/>
      <c r="AN114" s="18" t="n"/>
      <c r="AO114" s="18" t="n"/>
      <c r="AP114" s="18" t="n"/>
      <c r="AQ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c r="AJ115" s="18" t="n"/>
      <c r="AK115" s="18" t="n"/>
      <c r="AL115" s="18" t="n"/>
      <c r="AM115" s="18" t="n"/>
      <c r="AN115" s="18" t="n"/>
      <c r="AO115" s="18" t="n"/>
      <c r="AP115" s="18" t="n"/>
      <c r="AQ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c r="AJ116" s="18" t="n"/>
      <c r="AK116" s="18" t="n"/>
      <c r="AL116" s="18" t="n"/>
      <c r="AM116" s="18" t="n"/>
      <c r="AN116" s="18" t="n"/>
      <c r="AO116" s="18" t="n"/>
      <c r="AP116" s="18" t="n"/>
      <c r="AQ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c r="AJ117" s="18" t="n"/>
      <c r="AK117" s="18" t="n"/>
      <c r="AL117" s="18" t="n"/>
      <c r="AM117" s="18" t="n"/>
      <c r="AN117" s="18" t="n"/>
      <c r="AO117" s="18" t="n"/>
      <c r="AP117" s="18" t="n"/>
      <c r="AQ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c r="AJ118" s="18" t="n"/>
      <c r="AK118" s="18" t="n"/>
      <c r="AL118" s="18" t="n"/>
      <c r="AM118" s="18" t="n"/>
      <c r="AN118" s="18" t="n"/>
      <c r="AO118" s="18" t="n"/>
      <c r="AP118" s="18" t="n"/>
      <c r="AQ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c r="AL119" s="18" t="n"/>
      <c r="AM119" s="18" t="n"/>
      <c r="AN119" s="18" t="n"/>
      <c r="AO119" s="18" t="n"/>
      <c r="AP119" s="18" t="n"/>
      <c r="AQ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c r="AJ120" s="18" t="n"/>
      <c r="AK120" s="18" t="n"/>
      <c r="AL120" s="18" t="n"/>
      <c r="AM120" s="18" t="n"/>
      <c r="AN120" s="18" t="n"/>
      <c r="AO120" s="18" t="n"/>
      <c r="AP120" s="18" t="n"/>
      <c r="AQ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c r="AJ121" s="18" t="n"/>
      <c r="AK121" s="18" t="n"/>
      <c r="AL121" s="18" t="n"/>
      <c r="AM121" s="18" t="n"/>
      <c r="AN121" s="18" t="n"/>
      <c r="AO121" s="18" t="n"/>
      <c r="AP121" s="18" t="n"/>
      <c r="AQ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c r="AJ122" s="18" t="n"/>
      <c r="AK122" s="18" t="n"/>
      <c r="AL122" s="18" t="n"/>
      <c r="AM122" s="18" t="n"/>
      <c r="AN122" s="18" t="n"/>
      <c r="AO122" s="18" t="n"/>
      <c r="AP122" s="18" t="n"/>
      <c r="AQ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c r="AJ123" s="18" t="n"/>
      <c r="AK123" s="18" t="n"/>
      <c r="AL123" s="18" t="n"/>
      <c r="AM123" s="18" t="n"/>
      <c r="AN123" s="18" t="n"/>
      <c r="AO123" s="18" t="n"/>
      <c r="AP123" s="18" t="n"/>
      <c r="AQ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c r="AJ124" s="18" t="n"/>
      <c r="AK124" s="18" t="n"/>
      <c r="AL124" s="18" t="n"/>
      <c r="AM124" s="18" t="n"/>
      <c r="AN124" s="18" t="n"/>
      <c r="AO124" s="18" t="n"/>
      <c r="AP124" s="18" t="n"/>
      <c r="AQ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c r="AJ125" s="18" t="n"/>
      <c r="AK125" s="18" t="n"/>
      <c r="AL125" s="18" t="n"/>
      <c r="AM125" s="18" t="n"/>
      <c r="AN125" s="18" t="n"/>
      <c r="AO125" s="18" t="n"/>
      <c r="AP125" s="18" t="n"/>
      <c r="AQ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c r="AJ126" s="18" t="n"/>
      <c r="AK126" s="18" t="n"/>
      <c r="AL126" s="18" t="n"/>
      <c r="AM126" s="18" t="n"/>
      <c r="AN126" s="18" t="n"/>
      <c r="AO126" s="18" t="n"/>
      <c r="AP126" s="18" t="n"/>
      <c r="AQ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c r="AL127" s="18" t="n"/>
      <c r="AM127" s="18" t="n"/>
      <c r="AN127" s="18" t="n"/>
      <c r="AO127" s="18" t="n"/>
      <c r="AP127" s="18" t="n"/>
      <c r="AQ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c r="AJ128" s="18" t="n"/>
      <c r="AK128" s="18" t="n"/>
      <c r="AL128" s="18" t="n"/>
      <c r="AM128" s="18" t="n"/>
      <c r="AN128" s="18" t="n"/>
      <c r="AO128" s="18" t="n"/>
      <c r="AP128" s="18" t="n"/>
      <c r="AQ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c r="AJ129" s="18" t="n"/>
      <c r="AK129" s="18" t="n"/>
      <c r="AL129" s="18" t="n"/>
      <c r="AM129" s="18" t="n"/>
      <c r="AN129" s="18" t="n"/>
      <c r="AO129" s="18" t="n"/>
      <c r="AP129" s="18" t="n"/>
      <c r="AQ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c r="AJ130" s="18" t="n"/>
      <c r="AK130" s="18" t="n"/>
      <c r="AL130" s="18" t="n"/>
      <c r="AM130" s="18" t="n"/>
      <c r="AN130" s="18" t="n"/>
      <c r="AO130" s="18" t="n"/>
      <c r="AP130" s="18" t="n"/>
      <c r="AQ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c r="AJ131" s="18" t="n"/>
      <c r="AK131" s="18" t="n"/>
      <c r="AL131" s="18" t="n"/>
      <c r="AM131" s="18" t="n"/>
      <c r="AN131" s="18" t="n"/>
      <c r="AO131" s="18" t="n"/>
      <c r="AP131" s="18" t="n"/>
      <c r="AQ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c r="AJ132" s="18" t="n"/>
      <c r="AK132" s="18" t="n"/>
      <c r="AL132" s="18" t="n"/>
      <c r="AM132" s="18" t="n"/>
      <c r="AN132" s="18" t="n"/>
      <c r="AO132" s="18" t="n"/>
      <c r="AP132" s="18" t="n"/>
      <c r="AQ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c r="AJ133" s="18" t="n"/>
      <c r="AK133" s="18" t="n"/>
      <c r="AL133" s="18" t="n"/>
      <c r="AM133" s="18" t="n"/>
      <c r="AN133" s="18" t="n"/>
      <c r="AO133" s="18" t="n"/>
      <c r="AP133" s="18" t="n"/>
      <c r="AQ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c r="AJ134" s="18" t="n"/>
      <c r="AK134" s="18" t="n"/>
      <c r="AL134" s="18" t="n"/>
      <c r="AM134" s="18" t="n"/>
      <c r="AN134" s="18" t="n"/>
      <c r="AO134" s="18" t="n"/>
      <c r="AP134" s="18" t="n"/>
      <c r="AQ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c r="AJ135" s="18" t="n"/>
      <c r="AK135" s="18" t="n"/>
      <c r="AL135" s="18" t="n"/>
      <c r="AM135" s="18" t="n"/>
      <c r="AN135" s="18" t="n"/>
      <c r="AO135" s="18" t="n"/>
      <c r="AP135" s="18" t="n"/>
      <c r="AQ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c r="AJ136" s="18" t="n"/>
      <c r="AK136" s="18" t="n"/>
      <c r="AL136" s="18" t="n"/>
      <c r="AM136" s="18" t="n"/>
      <c r="AN136" s="18" t="n"/>
      <c r="AO136" s="18" t="n"/>
      <c r="AP136" s="18" t="n"/>
      <c r="AQ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c r="AJ137" s="18" t="n"/>
      <c r="AK137" s="18" t="n"/>
      <c r="AL137" s="18" t="n"/>
      <c r="AM137" s="18" t="n"/>
      <c r="AN137" s="18" t="n"/>
      <c r="AO137" s="18" t="n"/>
      <c r="AP137" s="18" t="n"/>
      <c r="AQ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c r="AJ138" s="18" t="n"/>
      <c r="AK138" s="18" t="n"/>
      <c r="AL138" s="18" t="n"/>
      <c r="AM138" s="18" t="n"/>
      <c r="AN138" s="18" t="n"/>
      <c r="AO138" s="18" t="n"/>
      <c r="AP138" s="18" t="n"/>
      <c r="AQ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c r="AJ139" s="18" t="n"/>
      <c r="AK139" s="18" t="n"/>
      <c r="AL139" s="18" t="n"/>
      <c r="AM139" s="18" t="n"/>
      <c r="AN139" s="18" t="n"/>
      <c r="AO139" s="18" t="n"/>
      <c r="AP139" s="18" t="n"/>
      <c r="AQ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c r="AL140" s="18" t="n"/>
      <c r="AM140" s="18" t="n"/>
      <c r="AN140" s="18" t="n"/>
      <c r="AO140" s="18" t="n"/>
      <c r="AP140" s="18" t="n"/>
      <c r="AQ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c r="AJ141" s="18" t="n"/>
      <c r="AK141" s="18" t="n"/>
      <c r="AL141" s="18" t="n"/>
      <c r="AM141" s="18" t="n"/>
      <c r="AN141" s="18" t="n"/>
      <c r="AO141" s="18" t="n"/>
      <c r="AP141" s="18" t="n"/>
      <c r="AQ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c r="AJ142" s="18" t="n"/>
      <c r="AK142" s="18" t="n"/>
      <c r="AL142" s="18" t="n"/>
      <c r="AM142" s="18" t="n"/>
      <c r="AN142" s="18" t="n"/>
      <c r="AO142" s="18" t="n"/>
      <c r="AP142" s="18" t="n"/>
      <c r="AQ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c r="AJ143" s="18" t="n"/>
      <c r="AK143" s="18" t="n"/>
      <c r="AL143" s="18" t="n"/>
      <c r="AM143" s="18" t="n"/>
      <c r="AN143" s="18" t="n"/>
      <c r="AO143" s="18" t="n"/>
      <c r="AP143" s="18" t="n"/>
      <c r="AQ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c r="AJ144" s="18" t="n"/>
      <c r="AK144" s="18" t="n"/>
      <c r="AL144" s="18" t="n"/>
      <c r="AM144" s="18" t="n"/>
      <c r="AN144" s="18" t="n"/>
      <c r="AO144" s="18" t="n"/>
      <c r="AP144" s="18" t="n"/>
      <c r="AQ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c r="AJ145" s="18" t="n"/>
      <c r="AK145" s="18" t="n"/>
      <c r="AL145" s="18" t="n"/>
      <c r="AM145" s="18" t="n"/>
      <c r="AN145" s="18" t="n"/>
      <c r="AO145" s="18" t="n"/>
      <c r="AP145" s="18" t="n"/>
      <c r="AQ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c r="AJ146" s="18" t="n"/>
      <c r="AK146" s="18" t="n"/>
      <c r="AL146" s="18" t="n"/>
      <c r="AM146" s="18" t="n"/>
      <c r="AN146" s="18" t="n"/>
      <c r="AO146" s="18" t="n"/>
      <c r="AP146" s="18" t="n"/>
      <c r="AQ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c r="AJ147" s="18" t="n"/>
      <c r="AK147" s="18" t="n"/>
      <c r="AL147" s="18" t="n"/>
      <c r="AM147" s="18" t="n"/>
      <c r="AN147" s="18" t="n"/>
      <c r="AO147" s="18" t="n"/>
      <c r="AP147" s="18" t="n"/>
      <c r="AQ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c r="AJ148" s="18" t="n"/>
      <c r="AK148" s="18" t="n"/>
      <c r="AL148" s="18" t="n"/>
      <c r="AM148" s="18" t="n"/>
      <c r="AN148" s="18" t="n"/>
      <c r="AO148" s="18" t="n"/>
      <c r="AP148" s="18" t="n"/>
      <c r="AQ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c r="AJ149" s="18" t="n"/>
      <c r="AK149" s="18" t="n"/>
      <c r="AL149" s="18" t="n"/>
      <c r="AM149" s="18" t="n"/>
      <c r="AN149" s="18" t="n"/>
      <c r="AO149" s="18" t="n"/>
      <c r="AP149" s="18" t="n"/>
      <c r="AQ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c r="AJ150" s="18" t="n"/>
      <c r="AK150" s="18" t="n"/>
      <c r="AL150" s="18" t="n"/>
      <c r="AM150" s="18" t="n"/>
      <c r="AN150" s="18" t="n"/>
      <c r="AO150" s="18" t="n"/>
      <c r="AP150" s="18" t="n"/>
      <c r="AQ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c r="AJ151" s="18" t="n"/>
      <c r="AK151" s="18" t="n"/>
      <c r="AL151" s="18" t="n"/>
      <c r="AM151" s="18" t="n"/>
      <c r="AN151" s="18" t="n"/>
      <c r="AO151" s="18" t="n"/>
      <c r="AP151" s="18" t="n"/>
      <c r="AQ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c r="AL152" s="18" t="n"/>
      <c r="AM152" s="18" t="n"/>
      <c r="AN152" s="18" t="n"/>
      <c r="AO152" s="18" t="n"/>
      <c r="AP152" s="18" t="n"/>
      <c r="AQ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c r="AP153" s="18" t="n"/>
      <c r="AQ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c r="AJ154" s="18" t="n"/>
      <c r="AK154" s="18" t="n"/>
      <c r="AL154" s="18" t="n"/>
      <c r="AM154" s="18" t="n"/>
      <c r="AN154" s="18" t="n"/>
      <c r="AO154" s="18" t="n"/>
      <c r="AP154" s="18" t="n"/>
      <c r="AQ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c r="AJ155" s="18" t="n"/>
      <c r="AK155" s="18" t="n"/>
      <c r="AL155" s="18" t="n"/>
      <c r="AM155" s="18" t="n"/>
      <c r="AN155" s="18" t="n"/>
      <c r="AO155" s="18" t="n"/>
      <c r="AP155" s="18" t="n"/>
      <c r="AQ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c r="AJ156" s="18" t="n"/>
      <c r="AK156" s="18" t="n"/>
      <c r="AL156" s="18" t="n"/>
      <c r="AM156" s="18" t="n"/>
      <c r="AN156" s="18" t="n"/>
      <c r="AO156" s="18" t="n"/>
      <c r="AP156" s="18" t="n"/>
      <c r="AQ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c r="AJ157" s="18" t="n"/>
      <c r="AK157" s="18" t="n"/>
      <c r="AL157" s="18" t="n"/>
      <c r="AM157" s="18" t="n"/>
      <c r="AN157" s="18" t="n"/>
      <c r="AO157" s="18" t="n"/>
      <c r="AP157" s="18" t="n"/>
      <c r="AQ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c r="AJ158" s="18" t="n"/>
      <c r="AK158" s="18" t="n"/>
      <c r="AL158" s="18" t="n"/>
      <c r="AM158" s="18" t="n"/>
      <c r="AN158" s="18" t="n"/>
      <c r="AO158" s="18" t="n"/>
      <c r="AP158" s="18" t="n"/>
      <c r="AQ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c r="AJ159" s="18" t="n"/>
      <c r="AK159" s="18" t="n"/>
      <c r="AL159" s="18" t="n"/>
      <c r="AM159" s="18" t="n"/>
      <c r="AN159" s="18" t="n"/>
      <c r="AO159" s="18" t="n"/>
      <c r="AP159" s="18" t="n"/>
      <c r="AQ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c r="AJ160" s="18" t="n"/>
      <c r="AK160" s="18" t="n"/>
      <c r="AL160" s="18" t="n"/>
      <c r="AM160" s="18" t="n"/>
      <c r="AN160" s="18" t="n"/>
      <c r="AO160" s="18" t="n"/>
      <c r="AP160" s="18" t="n"/>
      <c r="AQ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c r="AJ161" s="18" t="n"/>
      <c r="AK161" s="18" t="n"/>
      <c r="AL161" s="18" t="n"/>
      <c r="AM161" s="18" t="n"/>
      <c r="AN161" s="18" t="n"/>
      <c r="AO161" s="18" t="n"/>
      <c r="AP161" s="18" t="n"/>
      <c r="AQ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c r="AJ162" s="18" t="n"/>
      <c r="AK162" s="18" t="n"/>
      <c r="AL162" s="18" t="n"/>
      <c r="AM162" s="18" t="n"/>
      <c r="AN162" s="18" t="n"/>
      <c r="AO162" s="18" t="n"/>
      <c r="AP162" s="18" t="n"/>
      <c r="AQ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c r="AJ163" s="18" t="n"/>
      <c r="AK163" s="18" t="n"/>
      <c r="AL163" s="18" t="n"/>
      <c r="AM163" s="18" t="n"/>
      <c r="AN163" s="18" t="n"/>
      <c r="AO163" s="18" t="n"/>
      <c r="AP163" s="18" t="n"/>
      <c r="AQ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c r="AJ164" s="18" t="n"/>
      <c r="AK164" s="18" t="n"/>
      <c r="AL164" s="18" t="n"/>
      <c r="AM164" s="18" t="n"/>
      <c r="AN164" s="18" t="n"/>
      <c r="AO164" s="18" t="n"/>
      <c r="AP164" s="18" t="n"/>
      <c r="AQ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c r="AJ165" s="18" t="n"/>
      <c r="AK165" s="18" t="n"/>
      <c r="AL165" s="18" t="n"/>
      <c r="AM165" s="18" t="n"/>
      <c r="AN165" s="18" t="n"/>
      <c r="AO165" s="18" t="n"/>
      <c r="AP165" s="18" t="n"/>
      <c r="AQ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c r="AJ166" s="18" t="n"/>
      <c r="AK166" s="18" t="n"/>
      <c r="AL166" s="18" t="n"/>
      <c r="AM166" s="18" t="n"/>
      <c r="AN166" s="18" t="n"/>
      <c r="AO166" s="18" t="n"/>
      <c r="AP166" s="18" t="n"/>
      <c r="AQ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c r="AP167" s="18" t="n"/>
      <c r="AQ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c r="AL168" s="18" t="n"/>
      <c r="AM168" s="18" t="n"/>
      <c r="AN168" s="18" t="n"/>
      <c r="AO168" s="18" t="n"/>
      <c r="AP168" s="18" t="n"/>
      <c r="AQ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c r="AJ169" s="18" t="n"/>
      <c r="AK169" s="18" t="n"/>
      <c r="AL169" s="18" t="n"/>
      <c r="AM169" s="18" t="n"/>
      <c r="AN169" s="18" t="n"/>
      <c r="AO169" s="18" t="n"/>
      <c r="AP169" s="18" t="n"/>
      <c r="AQ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c r="AJ170" s="18" t="n"/>
      <c r="AK170" s="18" t="n"/>
      <c r="AL170" s="18" t="n"/>
      <c r="AM170" s="18" t="n"/>
      <c r="AN170" s="18" t="n"/>
      <c r="AO170" s="18" t="n"/>
      <c r="AP170" s="18" t="n"/>
      <c r="AQ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c r="AJ171" s="18" t="n"/>
      <c r="AK171" s="18" t="n"/>
      <c r="AL171" s="18" t="n"/>
      <c r="AM171" s="18" t="n"/>
      <c r="AN171" s="18" t="n"/>
      <c r="AO171" s="18" t="n"/>
      <c r="AP171" s="18" t="n"/>
      <c r="AQ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c r="AJ172" s="18" t="n"/>
      <c r="AK172" s="18" t="n"/>
      <c r="AL172" s="18" t="n"/>
      <c r="AM172" s="18" t="n"/>
      <c r="AN172" s="18" t="n"/>
      <c r="AO172" s="18" t="n"/>
      <c r="AP172" s="18" t="n"/>
      <c r="AQ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c r="AJ173" s="18" t="n"/>
      <c r="AK173" s="18" t="n"/>
      <c r="AL173" s="18" t="n"/>
      <c r="AM173" s="18" t="n"/>
      <c r="AN173" s="18" t="n"/>
      <c r="AO173" s="18" t="n"/>
      <c r="AP173" s="18" t="n"/>
      <c r="AQ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c r="AJ174" s="18" t="n"/>
      <c r="AK174" s="18" t="n"/>
      <c r="AL174" s="18" t="n"/>
      <c r="AM174" s="18" t="n"/>
      <c r="AN174" s="18" t="n"/>
      <c r="AO174" s="18" t="n"/>
      <c r="AP174" s="18" t="n"/>
      <c r="AQ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c r="AJ175" s="18" t="n"/>
      <c r="AK175" s="18" t="n"/>
      <c r="AL175" s="18" t="n"/>
      <c r="AM175" s="18" t="n"/>
      <c r="AN175" s="18" t="n"/>
      <c r="AO175" s="18" t="n"/>
      <c r="AP175" s="18" t="n"/>
      <c r="AQ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c r="AJ176" s="18" t="n"/>
      <c r="AK176" s="18" t="n"/>
      <c r="AL176" s="18" t="n"/>
      <c r="AM176" s="18" t="n"/>
      <c r="AN176" s="18" t="n"/>
      <c r="AO176" s="18" t="n"/>
      <c r="AP176" s="18" t="n"/>
      <c r="AQ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c r="AJ177" s="18" t="n"/>
      <c r="AK177" s="18" t="n"/>
      <c r="AL177" s="18" t="n"/>
      <c r="AM177" s="18" t="n"/>
      <c r="AN177" s="18" t="n"/>
      <c r="AO177" s="18" t="n"/>
      <c r="AP177" s="18" t="n"/>
      <c r="AQ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c r="AJ178" s="18" t="n"/>
      <c r="AK178" s="18" t="n"/>
      <c r="AL178" s="18" t="n"/>
      <c r="AM178" s="18" t="n"/>
      <c r="AN178" s="18" t="n"/>
      <c r="AO178" s="18" t="n"/>
      <c r="AP178" s="18" t="n"/>
      <c r="AQ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c r="AJ179" s="18" t="n"/>
      <c r="AK179" s="18" t="n"/>
      <c r="AL179" s="18" t="n"/>
      <c r="AM179" s="18" t="n"/>
      <c r="AN179" s="18" t="n"/>
      <c r="AO179" s="18" t="n"/>
      <c r="AP179" s="18" t="n"/>
      <c r="AQ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c r="AJ180" s="18" t="n"/>
      <c r="AK180" s="18" t="n"/>
      <c r="AL180" s="18" t="n"/>
      <c r="AM180" s="18" t="n"/>
      <c r="AN180" s="18" t="n"/>
      <c r="AO180" s="18" t="n"/>
      <c r="AP180" s="18" t="n"/>
      <c r="AQ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c r="AP181" s="18" t="n"/>
      <c r="AQ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c r="AJ182" s="18" t="n"/>
      <c r="AK182" s="18" t="n"/>
      <c r="AL182" s="18" t="n"/>
      <c r="AM182" s="18" t="n"/>
      <c r="AN182" s="18" t="n"/>
      <c r="AO182" s="18" t="n"/>
      <c r="AP182" s="18" t="n"/>
      <c r="AQ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c r="AJ183" s="18" t="n"/>
      <c r="AK183" s="18" t="n"/>
      <c r="AL183" s="18" t="n"/>
      <c r="AM183" s="18" t="n"/>
      <c r="AN183" s="18" t="n"/>
      <c r="AO183" s="18" t="n"/>
      <c r="AP183" s="18" t="n"/>
      <c r="AQ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c r="AJ184" s="18" t="n"/>
      <c r="AK184" s="18" t="n"/>
      <c r="AL184" s="18" t="n"/>
      <c r="AM184" s="18" t="n"/>
      <c r="AN184" s="18" t="n"/>
      <c r="AO184" s="18" t="n"/>
      <c r="AP184" s="18" t="n"/>
      <c r="AQ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c r="AL185" s="18" t="n"/>
      <c r="AM185" s="18" t="n"/>
      <c r="AN185" s="18" t="n"/>
      <c r="AO185" s="18" t="n"/>
      <c r="AP185" s="18" t="n"/>
      <c r="AQ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c r="AJ186" s="18" t="n"/>
      <c r="AK186" s="18" t="n"/>
      <c r="AL186" s="18" t="n"/>
      <c r="AM186" s="18" t="n"/>
      <c r="AN186" s="18" t="n"/>
      <c r="AO186" s="18" t="n"/>
      <c r="AP186" s="18" t="n"/>
      <c r="AQ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c r="AJ187" s="18" t="n"/>
      <c r="AK187" s="18" t="n"/>
      <c r="AL187" s="18" t="n"/>
      <c r="AM187" s="18" t="n"/>
      <c r="AN187" s="18" t="n"/>
      <c r="AO187" s="18" t="n"/>
      <c r="AP187" s="18" t="n"/>
      <c r="AQ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c r="AJ188" s="18" t="n"/>
      <c r="AK188" s="18" t="n"/>
      <c r="AL188" s="18" t="n"/>
      <c r="AM188" s="18" t="n"/>
      <c r="AN188" s="18" t="n"/>
      <c r="AO188" s="18" t="n"/>
      <c r="AP188" s="18" t="n"/>
      <c r="AQ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c r="AJ189" s="18" t="n"/>
      <c r="AK189" s="18" t="n"/>
      <c r="AL189" s="18" t="n"/>
      <c r="AM189" s="18" t="n"/>
      <c r="AN189" s="18" t="n"/>
      <c r="AO189" s="18" t="n"/>
      <c r="AP189" s="18" t="n"/>
      <c r="AQ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c r="AJ190" s="18" t="n"/>
      <c r="AK190" s="18" t="n"/>
      <c r="AL190" s="18" t="n"/>
      <c r="AM190" s="18" t="n"/>
      <c r="AN190" s="18" t="n"/>
      <c r="AO190" s="18" t="n"/>
      <c r="AP190" s="18" t="n"/>
      <c r="AQ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c r="AJ191" s="18" t="n"/>
      <c r="AK191" s="18" t="n"/>
      <c r="AL191" s="18" t="n"/>
      <c r="AM191" s="18" t="n"/>
      <c r="AN191" s="18" t="n"/>
      <c r="AO191" s="18" t="n"/>
      <c r="AP191" s="18" t="n"/>
      <c r="AQ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c r="AJ192" s="18" t="n"/>
      <c r="AK192" s="18" t="n"/>
      <c r="AL192" s="18" t="n"/>
      <c r="AM192" s="18" t="n"/>
      <c r="AN192" s="18" t="n"/>
      <c r="AO192" s="18" t="n"/>
      <c r="AP192" s="18" t="n"/>
      <c r="AQ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c r="AJ193" s="18" t="n"/>
      <c r="AK193" s="18" t="n"/>
      <c r="AL193" s="18" t="n"/>
      <c r="AM193" s="18" t="n"/>
      <c r="AN193" s="18" t="n"/>
      <c r="AO193" s="18" t="n"/>
      <c r="AP193" s="18" t="n"/>
      <c r="AQ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c r="AL194" s="18" t="n"/>
      <c r="AM194" s="18" t="n"/>
      <c r="AN194" s="18" t="n"/>
      <c r="AO194" s="18" t="n"/>
      <c r="AP194" s="18" t="n"/>
      <c r="AQ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c r="AJ195" s="18" t="n"/>
      <c r="AK195" s="18" t="n"/>
      <c r="AL195" s="18" t="n"/>
      <c r="AM195" s="18" t="n"/>
      <c r="AN195" s="18" t="n"/>
      <c r="AO195" s="18" t="n"/>
      <c r="AP195" s="18" t="n"/>
      <c r="AQ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c r="AJ196" s="18" t="n"/>
      <c r="AK196" s="18" t="n"/>
      <c r="AL196" s="18" t="n"/>
      <c r="AM196" s="18" t="n"/>
      <c r="AN196" s="18" t="n"/>
      <c r="AO196" s="18" t="n"/>
      <c r="AP196" s="18" t="n"/>
      <c r="AQ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c r="AJ197" s="18" t="n"/>
      <c r="AK197" s="18" t="n"/>
      <c r="AL197" s="18" t="n"/>
      <c r="AM197" s="18" t="n"/>
      <c r="AN197" s="18" t="n"/>
      <c r="AO197" s="18" t="n"/>
      <c r="AP197" s="18" t="n"/>
      <c r="AQ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c r="AJ198" s="18" t="n"/>
      <c r="AK198" s="18" t="n"/>
      <c r="AL198" s="18" t="n"/>
      <c r="AM198" s="18" t="n"/>
      <c r="AN198" s="18" t="n"/>
      <c r="AO198" s="18" t="n"/>
      <c r="AP198" s="18" t="n"/>
      <c r="AQ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c r="AJ199" s="18" t="n"/>
      <c r="AK199" s="18" t="n"/>
      <c r="AL199" s="18" t="n"/>
      <c r="AM199" s="18" t="n"/>
      <c r="AN199" s="18" t="n"/>
      <c r="AO199" s="18" t="n"/>
      <c r="AP199" s="18" t="n"/>
      <c r="AQ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c r="AJ200" s="18" t="n"/>
      <c r="AK200" s="18" t="n"/>
      <c r="AL200" s="18" t="n"/>
      <c r="AM200" s="18" t="n"/>
      <c r="AN200" s="18" t="n"/>
      <c r="AO200" s="18" t="n"/>
      <c r="AP200" s="18" t="n"/>
      <c r="AQ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c r="AJ201" s="18" t="n"/>
      <c r="AK201" s="18" t="n"/>
      <c r="AL201" s="18" t="n"/>
      <c r="AM201" s="18" t="n"/>
      <c r="AN201" s="18" t="n"/>
      <c r="AO201" s="18" t="n"/>
      <c r="AP201" s="18" t="n"/>
      <c r="AQ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c r="AJ202" s="18" t="n"/>
      <c r="AK202" s="18" t="n"/>
      <c r="AL202" s="18" t="n"/>
      <c r="AM202" s="18" t="n"/>
      <c r="AN202" s="18" t="n"/>
      <c r="AO202" s="18" t="n"/>
      <c r="AP202" s="18" t="n"/>
      <c r="AQ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c r="AJ203" s="18" t="n"/>
      <c r="AK203" s="18" t="n"/>
      <c r="AL203" s="18" t="n"/>
      <c r="AM203" s="18" t="n"/>
      <c r="AN203" s="18" t="n"/>
      <c r="AO203" s="18" t="n"/>
      <c r="AP203" s="18" t="n"/>
      <c r="AQ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c r="AJ204" s="18" t="n"/>
      <c r="AK204" s="18" t="n"/>
      <c r="AL204" s="18" t="n"/>
      <c r="AM204" s="18" t="n"/>
      <c r="AN204" s="18" t="n"/>
      <c r="AO204" s="18" t="n"/>
      <c r="AP204" s="18" t="n"/>
      <c r="AQ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c r="AJ205" s="18" t="n"/>
      <c r="AK205" s="18" t="n"/>
      <c r="AL205" s="18" t="n"/>
      <c r="AM205" s="18" t="n"/>
      <c r="AN205" s="18" t="n"/>
      <c r="AO205" s="18" t="n"/>
      <c r="AP205" s="18" t="n"/>
      <c r="AQ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c r="AJ206" s="18" t="n"/>
      <c r="AK206" s="18" t="n"/>
      <c r="AL206" s="18" t="n"/>
      <c r="AM206" s="18" t="n"/>
      <c r="AN206" s="18" t="n"/>
      <c r="AO206" s="18" t="n"/>
      <c r="AP206" s="18" t="n"/>
      <c r="AQ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c r="AJ207" s="18" t="n"/>
      <c r="AK207" s="18" t="n"/>
      <c r="AL207" s="18" t="n"/>
      <c r="AM207" s="18" t="n"/>
      <c r="AN207" s="18" t="n"/>
      <c r="AO207" s="18" t="n"/>
      <c r="AP207" s="18" t="n"/>
      <c r="AQ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c r="AJ208" s="18" t="n"/>
      <c r="AK208" s="18" t="n"/>
      <c r="AL208" s="18" t="n"/>
      <c r="AM208" s="18" t="n"/>
      <c r="AN208" s="18" t="n"/>
      <c r="AO208" s="18" t="n"/>
      <c r="AP208" s="18" t="n"/>
      <c r="AQ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c r="AJ209" s="18" t="n"/>
      <c r="AK209" s="18" t="n"/>
      <c r="AL209" s="18" t="n"/>
      <c r="AM209" s="18" t="n"/>
      <c r="AN209" s="18" t="n"/>
      <c r="AO209" s="18" t="n"/>
      <c r="AP209" s="18" t="n"/>
      <c r="AQ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c r="AJ210" s="18" t="n"/>
      <c r="AK210" s="18" t="n"/>
      <c r="AL210" s="18" t="n"/>
      <c r="AM210" s="18" t="n"/>
      <c r="AN210" s="18" t="n"/>
      <c r="AO210" s="18" t="n"/>
      <c r="AP210" s="18" t="n"/>
      <c r="AQ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c r="AL211" s="18" t="n"/>
      <c r="AM211" s="18" t="n"/>
      <c r="AN211" s="18" t="n"/>
      <c r="AO211" s="18" t="n"/>
      <c r="AP211" s="18" t="n"/>
      <c r="AQ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c r="AJ212" s="18" t="n"/>
      <c r="AK212" s="18" t="n"/>
      <c r="AL212" s="18" t="n"/>
      <c r="AM212" s="18" t="n"/>
      <c r="AN212" s="18" t="n"/>
      <c r="AO212" s="18" t="n"/>
      <c r="AP212" s="18" t="n"/>
      <c r="AQ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c r="AP213" s="18" t="n"/>
      <c r="AQ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c r="AJ214" s="18" t="n"/>
      <c r="AK214" s="18" t="n"/>
      <c r="AL214" s="18" t="n"/>
      <c r="AM214" s="18" t="n"/>
      <c r="AN214" s="18" t="n"/>
      <c r="AO214" s="18" t="n"/>
      <c r="AP214" s="18" t="n"/>
      <c r="AQ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c r="AJ215" s="18" t="n"/>
      <c r="AK215" s="18" t="n"/>
      <c r="AL215" s="18" t="n"/>
      <c r="AM215" s="18" t="n"/>
      <c r="AN215" s="18" t="n"/>
      <c r="AO215" s="18" t="n"/>
      <c r="AP215" s="18" t="n"/>
      <c r="AQ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c r="AJ216" s="18" t="n"/>
      <c r="AK216" s="18" t="n"/>
      <c r="AL216" s="18" t="n"/>
      <c r="AM216" s="18" t="n"/>
      <c r="AN216" s="18" t="n"/>
      <c r="AO216" s="18" t="n"/>
      <c r="AP216" s="18" t="n"/>
      <c r="AQ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c r="AJ217" s="18" t="n"/>
      <c r="AK217" s="18" t="n"/>
      <c r="AL217" s="18" t="n"/>
      <c r="AM217" s="18" t="n"/>
      <c r="AN217" s="18" t="n"/>
      <c r="AO217" s="18" t="n"/>
      <c r="AP217" s="18" t="n"/>
      <c r="AQ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c r="AJ218" s="18" t="n"/>
      <c r="AK218" s="18" t="n"/>
      <c r="AL218" s="18" t="n"/>
      <c r="AM218" s="18" t="n"/>
      <c r="AN218" s="18" t="n"/>
      <c r="AO218" s="18" t="n"/>
      <c r="AP218" s="18" t="n"/>
      <c r="AQ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c r="AJ219" s="18" t="n"/>
      <c r="AK219" s="18" t="n"/>
      <c r="AL219" s="18" t="n"/>
      <c r="AM219" s="18" t="n"/>
      <c r="AN219" s="18" t="n"/>
      <c r="AO219" s="18" t="n"/>
      <c r="AP219" s="18" t="n"/>
      <c r="AQ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c r="AJ220" s="18" t="n"/>
      <c r="AK220" s="18" t="n"/>
      <c r="AL220" s="18" t="n"/>
      <c r="AM220" s="18" t="n"/>
      <c r="AN220" s="18" t="n"/>
      <c r="AO220" s="18" t="n"/>
      <c r="AP220" s="18" t="n"/>
      <c r="AQ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c r="AJ221" s="18" t="n"/>
      <c r="AK221" s="18" t="n"/>
      <c r="AL221" s="18" t="n"/>
      <c r="AM221" s="18" t="n"/>
      <c r="AN221" s="18" t="n"/>
      <c r="AO221" s="18" t="n"/>
      <c r="AP221" s="18" t="n"/>
      <c r="AQ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c r="AJ222" s="18" t="n"/>
      <c r="AK222" s="18" t="n"/>
      <c r="AL222" s="18" t="n"/>
      <c r="AM222" s="18" t="n"/>
      <c r="AN222" s="18" t="n"/>
      <c r="AO222" s="18" t="n"/>
      <c r="AP222" s="18" t="n"/>
      <c r="AQ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c r="AJ223" s="18" t="n"/>
      <c r="AK223" s="18" t="n"/>
      <c r="AL223" s="18" t="n"/>
      <c r="AM223" s="18" t="n"/>
      <c r="AN223" s="18" t="n"/>
      <c r="AO223" s="18" t="n"/>
      <c r="AP223" s="18" t="n"/>
      <c r="AQ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c r="AJ224" s="18" t="n"/>
      <c r="AK224" s="18" t="n"/>
      <c r="AL224" s="18" t="n"/>
      <c r="AM224" s="18" t="n"/>
      <c r="AN224" s="18" t="n"/>
      <c r="AO224" s="18" t="n"/>
      <c r="AP224" s="18" t="n"/>
      <c r="AQ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c r="AJ225" s="18" t="n"/>
      <c r="AK225" s="18" t="n"/>
      <c r="AL225" s="18" t="n"/>
      <c r="AM225" s="18" t="n"/>
      <c r="AN225" s="18" t="n"/>
      <c r="AO225" s="18" t="n"/>
      <c r="AP225" s="18" t="n"/>
      <c r="AQ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c r="AJ226" s="18" t="n"/>
      <c r="AK226" s="18" t="n"/>
      <c r="AL226" s="18" t="n"/>
      <c r="AM226" s="18" t="n"/>
      <c r="AN226" s="18" t="n"/>
      <c r="AO226" s="18" t="n"/>
      <c r="AP226" s="18" t="n"/>
      <c r="AQ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c r="AL227" s="18" t="n"/>
      <c r="AM227" s="18" t="n"/>
      <c r="AN227" s="18" t="n"/>
      <c r="AO227" s="18" t="n"/>
      <c r="AP227" s="18" t="n"/>
      <c r="AQ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c r="AJ228" s="18" t="n"/>
      <c r="AK228" s="18" t="n"/>
      <c r="AL228" s="18" t="n"/>
      <c r="AM228" s="18" t="n"/>
      <c r="AN228" s="18" t="n"/>
      <c r="AO228" s="18" t="n"/>
      <c r="AP228" s="18" t="n"/>
      <c r="AQ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c r="AJ229" s="18" t="n"/>
      <c r="AK229" s="18" t="n"/>
      <c r="AL229" s="18" t="n"/>
      <c r="AM229" s="18" t="n"/>
      <c r="AN229" s="18" t="n"/>
      <c r="AO229" s="18" t="n"/>
      <c r="AP229" s="18" t="n"/>
      <c r="AQ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c r="AJ230" s="18" t="n"/>
      <c r="AK230" s="18" t="n"/>
      <c r="AL230" s="18" t="n"/>
      <c r="AM230" s="18" t="n"/>
      <c r="AN230" s="18" t="n"/>
      <c r="AO230" s="18" t="n"/>
      <c r="AP230" s="18" t="n"/>
      <c r="AQ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c r="AJ231" s="18" t="n"/>
      <c r="AK231" s="18" t="n"/>
      <c r="AL231" s="18" t="n"/>
      <c r="AM231" s="18" t="n"/>
      <c r="AN231" s="18" t="n"/>
      <c r="AO231" s="18" t="n"/>
      <c r="AP231" s="18" t="n"/>
      <c r="AQ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c r="AJ232" s="18" t="n"/>
      <c r="AK232" s="18" t="n"/>
      <c r="AL232" s="18" t="n"/>
      <c r="AM232" s="18" t="n"/>
      <c r="AN232" s="18" t="n"/>
      <c r="AO232" s="18" t="n"/>
      <c r="AP232" s="18" t="n"/>
      <c r="AQ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c r="AJ233" s="18" t="n"/>
      <c r="AK233" s="18" t="n"/>
      <c r="AL233" s="18" t="n"/>
      <c r="AM233" s="18" t="n"/>
      <c r="AN233" s="18" t="n"/>
      <c r="AO233" s="18" t="n"/>
      <c r="AP233" s="18" t="n"/>
      <c r="AQ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c r="AJ234" s="18" t="n"/>
      <c r="AK234" s="18" t="n"/>
      <c r="AL234" s="18" t="n"/>
      <c r="AM234" s="18" t="n"/>
      <c r="AN234" s="18" t="n"/>
      <c r="AO234" s="18" t="n"/>
      <c r="AP234" s="18" t="n"/>
      <c r="AQ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c r="AJ235" s="18" t="n"/>
      <c r="AK235" s="18" t="n"/>
      <c r="AL235" s="18" t="n"/>
      <c r="AM235" s="18" t="n"/>
      <c r="AN235" s="18" t="n"/>
      <c r="AO235" s="18" t="n"/>
      <c r="AP235" s="18" t="n"/>
      <c r="AQ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c r="AJ236" s="18" t="n"/>
      <c r="AK236" s="18" t="n"/>
      <c r="AL236" s="18" t="n"/>
      <c r="AM236" s="18" t="n"/>
      <c r="AN236" s="18" t="n"/>
      <c r="AO236" s="18" t="n"/>
      <c r="AP236" s="18" t="n"/>
      <c r="AQ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c r="AL237" s="18" t="n"/>
      <c r="AM237" s="18" t="n"/>
      <c r="AN237" s="18" t="n"/>
      <c r="AO237" s="18" t="n"/>
      <c r="AP237" s="18" t="n"/>
      <c r="AQ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c r="AJ238" s="18" t="n"/>
      <c r="AK238" s="18" t="n"/>
      <c r="AL238" s="18" t="n"/>
      <c r="AM238" s="18" t="n"/>
      <c r="AN238" s="18" t="n"/>
      <c r="AO238" s="18" t="n"/>
      <c r="AP238" s="18" t="n"/>
      <c r="AQ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c r="AJ239" s="18" t="n"/>
      <c r="AK239" s="18" t="n"/>
      <c r="AL239" s="18" t="n"/>
      <c r="AM239" s="18" t="n"/>
      <c r="AN239" s="18" t="n"/>
      <c r="AO239" s="18" t="n"/>
      <c r="AP239" s="18" t="n"/>
      <c r="AQ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c r="AP240" s="18" t="n"/>
      <c r="AQ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c r="AJ241" s="18" t="n"/>
      <c r="AK241" s="18" t="n"/>
      <c r="AL241" s="18" t="n"/>
      <c r="AM241" s="18" t="n"/>
      <c r="AN241" s="18" t="n"/>
      <c r="AO241" s="18" t="n"/>
      <c r="AP241" s="18" t="n"/>
      <c r="AQ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c r="AJ242" s="18" t="n"/>
      <c r="AK242" s="18" t="n"/>
      <c r="AL242" s="18" t="n"/>
      <c r="AM242" s="18" t="n"/>
      <c r="AN242" s="18" t="n"/>
      <c r="AO242" s="18" t="n"/>
      <c r="AP242" s="18" t="n"/>
      <c r="AQ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c r="AJ243" s="18" t="n"/>
      <c r="AK243" s="18" t="n"/>
      <c r="AL243" s="18" t="n"/>
      <c r="AM243" s="18" t="n"/>
      <c r="AN243" s="18" t="n"/>
      <c r="AO243" s="18" t="n"/>
      <c r="AP243" s="18" t="n"/>
      <c r="AQ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c r="AJ244" s="18" t="n"/>
      <c r="AK244" s="18" t="n"/>
      <c r="AL244" s="18" t="n"/>
      <c r="AM244" s="18" t="n"/>
      <c r="AN244" s="18" t="n"/>
      <c r="AO244" s="18" t="n"/>
      <c r="AP244" s="18" t="n"/>
      <c r="AQ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c r="AJ245" s="18" t="n"/>
      <c r="AK245" s="18" t="n"/>
      <c r="AL245" s="18" t="n"/>
      <c r="AM245" s="18" t="n"/>
      <c r="AN245" s="18" t="n"/>
      <c r="AO245" s="18" t="n"/>
      <c r="AP245" s="18" t="n"/>
      <c r="AQ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c r="AJ246" s="18" t="n"/>
      <c r="AK246" s="18" t="n"/>
      <c r="AL246" s="18" t="n"/>
      <c r="AM246" s="18" t="n"/>
      <c r="AN246" s="18" t="n"/>
      <c r="AO246" s="18" t="n"/>
      <c r="AP246" s="18" t="n"/>
      <c r="AQ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c r="AJ247" s="18" t="n"/>
      <c r="AK247" s="18" t="n"/>
      <c r="AL247" s="18" t="n"/>
      <c r="AM247" s="18" t="n"/>
      <c r="AN247" s="18" t="n"/>
      <c r="AO247" s="18" t="n"/>
      <c r="AP247" s="18" t="n"/>
      <c r="AQ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c r="AJ248" s="18" t="n"/>
      <c r="AK248" s="18" t="n"/>
      <c r="AL248" s="18" t="n"/>
      <c r="AM248" s="18" t="n"/>
      <c r="AN248" s="18" t="n"/>
      <c r="AO248" s="18" t="n"/>
      <c r="AP248" s="18" t="n"/>
      <c r="AQ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c r="AJ249" s="18" t="n"/>
      <c r="AK249" s="18" t="n"/>
      <c r="AL249" s="18" t="n"/>
      <c r="AM249" s="18" t="n"/>
      <c r="AN249" s="18" t="n"/>
      <c r="AO249" s="18" t="n"/>
      <c r="AP249" s="18" t="n"/>
      <c r="AQ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c r="AJ250" s="18" t="n"/>
      <c r="AK250" s="18" t="n"/>
      <c r="AL250" s="18" t="n"/>
      <c r="AM250" s="18" t="n"/>
      <c r="AN250" s="18" t="n"/>
      <c r="AO250" s="18" t="n"/>
      <c r="AP250" s="18" t="n"/>
      <c r="AQ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c r="AJ251" s="18" t="n"/>
      <c r="AK251" s="18" t="n"/>
      <c r="AL251" s="18" t="n"/>
      <c r="AM251" s="18" t="n"/>
      <c r="AN251" s="18" t="n"/>
      <c r="AO251" s="18" t="n"/>
      <c r="AP251" s="18" t="n"/>
      <c r="AQ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c r="AJ252" s="18" t="n"/>
      <c r="AK252" s="18" t="n"/>
      <c r="AL252" s="18" t="n"/>
      <c r="AM252" s="18" t="n"/>
      <c r="AN252" s="18" t="n"/>
      <c r="AO252" s="18" t="n"/>
      <c r="AP252" s="18" t="n"/>
      <c r="AQ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c r="AJ253" s="18" t="n"/>
      <c r="AK253" s="18" t="n"/>
      <c r="AL253" s="18" t="n"/>
      <c r="AM253" s="18" t="n"/>
      <c r="AN253" s="18" t="n"/>
      <c r="AO253" s="18" t="n"/>
      <c r="AP253" s="18" t="n"/>
      <c r="AQ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c r="AJ254" s="18" t="n"/>
      <c r="AK254" s="18" t="n"/>
      <c r="AL254" s="18" t="n"/>
      <c r="AM254" s="18" t="n"/>
      <c r="AN254" s="18" t="n"/>
      <c r="AO254" s="18" t="n"/>
      <c r="AP254" s="18" t="n"/>
      <c r="AQ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c r="AJ255" s="18" t="n"/>
      <c r="AK255" s="18" t="n"/>
      <c r="AL255" s="18" t="n"/>
      <c r="AM255" s="18" t="n"/>
      <c r="AN255" s="18" t="n"/>
      <c r="AO255" s="18" t="n"/>
      <c r="AP255" s="18" t="n"/>
      <c r="AQ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c r="AJ256" s="18" t="n"/>
      <c r="AK256" s="18" t="n"/>
      <c r="AL256" s="18" t="n"/>
      <c r="AM256" s="18" t="n"/>
      <c r="AN256" s="18" t="n"/>
      <c r="AO256" s="18" t="n"/>
      <c r="AP256" s="18" t="n"/>
      <c r="AQ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c r="AJ257" s="18" t="n"/>
      <c r="AK257" s="18" t="n"/>
      <c r="AL257" s="18" t="n"/>
      <c r="AM257" s="18" t="n"/>
      <c r="AN257" s="18" t="n"/>
      <c r="AO257" s="18" t="n"/>
      <c r="AP257" s="18" t="n"/>
      <c r="AQ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c r="AJ258" s="18" t="n"/>
      <c r="AK258" s="18" t="n"/>
      <c r="AL258" s="18" t="n"/>
      <c r="AM258" s="18" t="n"/>
      <c r="AN258" s="18" t="n"/>
      <c r="AO258" s="18" t="n"/>
      <c r="AP258" s="18" t="n"/>
      <c r="AQ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c r="AJ259" s="18" t="n"/>
      <c r="AK259" s="18" t="n"/>
      <c r="AL259" s="18" t="n"/>
      <c r="AM259" s="18" t="n"/>
      <c r="AN259" s="18" t="n"/>
      <c r="AO259" s="18" t="n"/>
      <c r="AP259" s="18" t="n"/>
      <c r="AQ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c r="AJ260" s="18" t="n"/>
      <c r="AK260" s="18" t="n"/>
      <c r="AL260" s="18" t="n"/>
      <c r="AM260" s="18" t="n"/>
      <c r="AN260" s="18" t="n"/>
      <c r="AO260" s="18" t="n"/>
      <c r="AP260" s="18" t="n"/>
      <c r="AQ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c r="AJ261" s="18" t="n"/>
      <c r="AK261" s="18" t="n"/>
      <c r="AL261" s="18" t="n"/>
      <c r="AM261" s="18" t="n"/>
      <c r="AN261" s="18" t="n"/>
      <c r="AO261" s="18" t="n"/>
      <c r="AP261" s="18" t="n"/>
      <c r="AQ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c r="AL262" s="18" t="n"/>
      <c r="AM262" s="18" t="n"/>
      <c r="AN262" s="18" t="n"/>
      <c r="AO262" s="18" t="n"/>
      <c r="AP262" s="18" t="n"/>
      <c r="AQ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c r="AL263" s="18" t="n"/>
      <c r="AM263" s="18" t="n"/>
      <c r="AN263" s="18" t="n"/>
      <c r="AO263" s="18" t="n"/>
      <c r="AP263" s="18" t="n"/>
      <c r="AQ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c r="AJ264" s="18" t="n"/>
      <c r="AK264" s="18" t="n"/>
      <c r="AL264" s="18" t="n"/>
      <c r="AM264" s="18" t="n"/>
      <c r="AN264" s="18" t="n"/>
      <c r="AO264" s="18" t="n"/>
      <c r="AP264" s="18" t="n"/>
      <c r="AQ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c r="AJ265" s="18" t="n"/>
      <c r="AK265" s="18" t="n"/>
      <c r="AL265" s="18" t="n"/>
      <c r="AM265" s="18" t="n"/>
      <c r="AN265" s="18" t="n"/>
      <c r="AO265" s="18" t="n"/>
      <c r="AP265" s="18" t="n"/>
      <c r="AQ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c r="AJ266" s="18" t="n"/>
      <c r="AK266" s="18" t="n"/>
      <c r="AL266" s="18" t="n"/>
      <c r="AM266" s="18" t="n"/>
      <c r="AN266" s="18" t="n"/>
      <c r="AO266" s="18" t="n"/>
      <c r="AP266" s="18" t="n"/>
      <c r="AQ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c r="AJ267" s="18" t="n"/>
      <c r="AK267" s="18" t="n"/>
      <c r="AL267" s="18" t="n"/>
      <c r="AM267" s="18" t="n"/>
      <c r="AN267" s="18" t="n"/>
      <c r="AO267" s="18" t="n"/>
      <c r="AP267" s="18" t="n"/>
      <c r="AQ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c r="AJ268" s="18" t="n"/>
      <c r="AK268" s="18" t="n"/>
      <c r="AL268" s="18" t="n"/>
      <c r="AM268" s="18" t="n"/>
      <c r="AN268" s="18" t="n"/>
      <c r="AO268" s="18" t="n"/>
      <c r="AP268" s="18" t="n"/>
      <c r="AQ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c r="AJ269" s="18" t="n"/>
      <c r="AK269" s="18" t="n"/>
      <c r="AL269" s="18" t="n"/>
      <c r="AM269" s="18" t="n"/>
      <c r="AN269" s="18" t="n"/>
      <c r="AO269" s="18" t="n"/>
      <c r="AP269" s="18" t="n"/>
      <c r="AQ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c r="AJ270" s="18" t="n"/>
      <c r="AK270" s="18" t="n"/>
      <c r="AL270" s="18" t="n"/>
      <c r="AM270" s="18" t="n"/>
      <c r="AN270" s="18" t="n"/>
      <c r="AO270" s="18" t="n"/>
      <c r="AP270" s="18" t="n"/>
      <c r="AQ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c r="AJ271" s="18" t="n"/>
      <c r="AK271" s="18" t="n"/>
      <c r="AL271" s="18" t="n"/>
      <c r="AM271" s="18" t="n"/>
      <c r="AN271" s="18" t="n"/>
      <c r="AO271" s="18" t="n"/>
      <c r="AP271" s="18" t="n"/>
      <c r="AQ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c r="AJ272" s="18" t="n"/>
      <c r="AK272" s="18" t="n"/>
      <c r="AL272" s="18" t="n"/>
      <c r="AM272" s="18" t="n"/>
      <c r="AN272" s="18" t="n"/>
      <c r="AO272" s="18" t="n"/>
      <c r="AP272" s="18" t="n"/>
      <c r="AQ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c r="AP273" s="18" t="n"/>
      <c r="AQ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c r="AP274" s="18" t="n"/>
      <c r="AQ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c r="AP275" s="18" t="n"/>
      <c r="AQ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c r="AP276" s="18" t="n"/>
      <c r="AQ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c r="AP277" s="18" t="n"/>
      <c r="AQ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c r="AP278" s="18" t="n"/>
      <c r="AQ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c r="AP279" s="18" t="n"/>
      <c r="AQ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c r="AP280" s="18" t="n"/>
      <c r="AQ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c r="AP281" s="18" t="n"/>
      <c r="AQ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c r="AP282" s="18" t="n"/>
      <c r="AQ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c r="AP283" s="18" t="n"/>
      <c r="AQ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c r="AP284" s="18" t="n"/>
      <c r="AQ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c r="AP285" s="18" t="n"/>
      <c r="AQ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c r="AP286" s="18" t="n"/>
      <c r="AQ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c r="AP287" s="18" t="n"/>
      <c r="AQ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c r="AP288" s="18" t="n"/>
      <c r="AQ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c r="AP289" s="18" t="n"/>
      <c r="AQ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c r="AP290" s="18" t="n"/>
      <c r="AQ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c r="AP291" s="18" t="n"/>
      <c r="AQ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c r="AP292" s="18" t="n"/>
      <c r="AQ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c r="AP293" s="18" t="n"/>
      <c r="AQ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c r="AP294" s="18" t="n"/>
      <c r="AQ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c r="AP295" s="18" t="n"/>
      <c r="AQ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c r="AP296" s="18" t="n"/>
      <c r="AQ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c r="AP297" s="18" t="n"/>
      <c r="AQ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c r="AP298" s="18" t="n"/>
      <c r="AQ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c r="AP299" s="18" t="n"/>
      <c r="AQ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c r="AP300" s="18" t="n"/>
      <c r="AQ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c r="AP301" s="18" t="n"/>
      <c r="AQ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c r="AP302" s="18" t="n"/>
      <c r="AQ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c r="AP303" s="18" t="n"/>
      <c r="AQ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c r="AP304" s="18" t="n"/>
      <c r="AQ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c r="AP305" s="18" t="n"/>
      <c r="AQ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c r="AP306" s="18" t="n"/>
      <c r="AQ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c r="AP307" s="18" t="n"/>
      <c r="AQ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c r="AP308" s="18" t="n"/>
      <c r="AQ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c r="AP309" s="18" t="n"/>
      <c r="AQ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c r="AP310" s="18" t="n"/>
      <c r="AQ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c r="AP311" s="18" t="n"/>
      <c r="AQ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c r="AP312" s="18" t="n"/>
      <c r="AQ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c r="AP313" s="18" t="n"/>
      <c r="AQ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c r="AP314" s="18" t="n"/>
      <c r="AQ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c r="AP315" s="18" t="n"/>
      <c r="AQ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c r="AP316" s="18" t="n"/>
      <c r="AQ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c r="AP317" s="18" t="n"/>
      <c r="AQ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c r="AP318" s="18" t="n"/>
      <c r="AQ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c r="AP319" s="18" t="n"/>
      <c r="AQ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c r="AP320" s="18" t="n"/>
      <c r="AQ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c r="AP321" s="18" t="n"/>
      <c r="AQ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c r="AP322" s="18" t="n"/>
      <c r="AQ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c r="AP323" s="18" t="n"/>
      <c r="AQ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c r="AP324" s="18" t="n"/>
      <c r="AQ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c r="AP325" s="18" t="n"/>
      <c r="AQ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c r="AP326" s="18" t="n"/>
      <c r="AQ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c r="AP327" s="18" t="n"/>
      <c r="AQ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c r="AP328" s="18" t="n"/>
      <c r="AQ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c r="AP329" s="18" t="n"/>
      <c r="AQ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c r="AP330" s="18" t="n"/>
      <c r="AQ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c r="AP331" s="18" t="n"/>
      <c r="AQ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c r="AP332" s="18" t="n"/>
      <c r="AQ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c r="AP333" s="18" t="n"/>
      <c r="AQ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c r="AP334" s="18" t="n"/>
      <c r="AQ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c r="AP335" s="18" t="n"/>
      <c r="AQ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c r="AP336" s="18" t="n"/>
      <c r="AQ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c r="AP337" s="18" t="n"/>
      <c r="AQ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c r="AP338" s="18" t="n"/>
      <c r="AQ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c r="AP339" s="18" t="n"/>
      <c r="AQ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c r="AP340" s="18" t="n"/>
      <c r="AQ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c r="AP341" s="18" t="n"/>
      <c r="AQ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c r="AP342" s="18" t="n"/>
      <c r="AQ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c r="AP343" s="18" t="n"/>
      <c r="AQ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c r="AP344" s="18" t="n"/>
      <c r="AQ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c r="AP345" s="18" t="n"/>
      <c r="AQ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c r="AP346" s="18" t="n"/>
      <c r="AQ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c r="AP347" s="18" t="n"/>
      <c r="AQ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c r="AP348" s="18" t="n"/>
      <c r="AQ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c r="AP349" s="18" t="n"/>
      <c r="AQ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c r="AP350" s="18" t="n"/>
      <c r="AQ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c r="AP351" s="18" t="n"/>
      <c r="AQ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c r="AP352" s="18" t="n"/>
      <c r="AQ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c r="AP353" s="18" t="n"/>
      <c r="AQ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c r="AP354" s="18" t="n"/>
      <c r="AQ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c r="AP355" s="18" t="n"/>
      <c r="AQ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c r="AP356" s="18" t="n"/>
      <c r="AQ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c r="AP357" s="18" t="n"/>
      <c r="AQ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c r="AP358" s="18" t="n"/>
      <c r="AQ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c r="AP359" s="18" t="n"/>
      <c r="AQ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c r="AP360" s="18" t="n"/>
      <c r="AQ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c r="AP361" s="18" t="n"/>
      <c r="AQ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c r="AP362" s="18" t="n"/>
      <c r="AQ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c r="AP363" s="18" t="n"/>
      <c r="AQ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c r="AP364" s="18" t="n"/>
      <c r="AQ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c r="AP365" s="18" t="n"/>
      <c r="AQ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c r="AP366" s="18" t="n"/>
      <c r="AQ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c r="AP367" s="18" t="n"/>
      <c r="AQ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c r="AP368" s="18" t="n"/>
      <c r="AQ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c r="AP369" s="18" t="n"/>
      <c r="AQ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c r="AP370" s="18" t="n"/>
      <c r="AQ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c r="AP371" s="18" t="n"/>
      <c r="AQ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c r="AP372" s="18" t="n"/>
      <c r="AQ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c r="AP373" s="18" t="n"/>
      <c r="AQ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c r="AP374" s="18" t="n"/>
      <c r="AQ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c r="AP375" s="18" t="n"/>
      <c r="AQ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c r="AP376" s="18" t="n"/>
      <c r="AQ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c r="AP377" s="18" t="n"/>
      <c r="AQ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c r="AP378" s="18" t="n"/>
      <c r="AQ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c r="AP379" s="18" t="n"/>
      <c r="AQ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c r="AP380" s="18" t="n"/>
      <c r="AQ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c r="AP381" s="18" t="n"/>
      <c r="AQ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c r="AP382" s="18" t="n"/>
      <c r="AQ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c r="AP383" s="18" t="n"/>
      <c r="AQ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c r="AP384" s="18" t="n"/>
      <c r="AQ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c r="AP385" s="18" t="n"/>
      <c r="AQ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c r="AP386" s="18" t="n"/>
      <c r="AQ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c r="AP387" s="18" t="n"/>
      <c r="AQ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c r="AP388" s="18" t="n"/>
      <c r="AQ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c r="AP389" s="18" t="n"/>
      <c r="AQ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c r="AP390" s="18" t="n"/>
      <c r="AQ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c r="AP391" s="18" t="n"/>
      <c r="AQ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c r="AP392" s="18" t="n"/>
      <c r="AQ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c r="AP393" s="18" t="n"/>
      <c r="AQ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c r="AP394" s="18" t="n"/>
      <c r="AQ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c r="AP395" s="18" t="n"/>
      <c r="AQ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c r="AP396" s="18" t="n"/>
      <c r="AQ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c r="AP397" s="18" t="n"/>
      <c r="AQ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c r="AP398" s="18" t="n"/>
      <c r="AQ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c r="AP399" s="18" t="n"/>
      <c r="AQ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c r="AP400" s="18" t="n"/>
      <c r="AQ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c r="AP401" s="18" t="n"/>
      <c r="AQ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c r="AP402" s="18" t="n"/>
      <c r="AQ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c r="AP403" s="18" t="n"/>
      <c r="AQ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c r="AP404" s="18" t="n"/>
      <c r="AQ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c r="AP405" s="18" t="n"/>
      <c r="AQ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c r="AP406" s="18" t="n"/>
      <c r="AQ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c r="AP407" s="18" t="n"/>
      <c r="AQ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c r="AP408" s="18" t="n"/>
      <c r="AQ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c r="AP409" s="18" t="n"/>
      <c r="AQ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c r="AP410" s="18" t="n"/>
      <c r="AQ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c r="AP411" s="18" t="n"/>
      <c r="AQ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c r="AP412" s="18" t="n"/>
      <c r="AQ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c r="AP413" s="18" t="n"/>
      <c r="AQ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c r="AP414" s="18" t="n"/>
      <c r="AQ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c r="AP415" s="18" t="n"/>
      <c r="AQ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c r="AP416" s="18" t="n"/>
      <c r="AQ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c r="AP417" s="18" t="n"/>
      <c r="AQ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c r="AP418" s="18" t="n"/>
      <c r="AQ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c r="AP419" s="18" t="n"/>
      <c r="AQ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c r="AP420" s="18" t="n"/>
      <c r="AQ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c r="AP421" s="18" t="n"/>
      <c r="AQ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c r="AP422" s="18" t="n"/>
      <c r="AQ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c r="AP423" s="18" t="n"/>
      <c r="AQ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c r="AP424" s="18" t="n"/>
      <c r="AQ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c r="AP425" s="18" t="n"/>
      <c r="AQ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c r="AP426" s="18" t="n"/>
      <c r="AQ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c r="AP427" s="18" t="n"/>
      <c r="AQ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c r="AP428" s="18" t="n"/>
      <c r="AQ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c r="AP429" s="18" t="n"/>
      <c r="AQ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c r="AP430" s="18" t="n"/>
      <c r="AQ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c r="AP431" s="18" t="n"/>
      <c r="AQ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c r="AP432" s="18" t="n"/>
      <c r="AQ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c r="AP433" s="18" t="n"/>
      <c r="AQ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c r="AP434" s="18" t="n"/>
      <c r="AQ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c r="AP435" s="18" t="n"/>
      <c r="AQ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c r="AP436" s="18" t="n"/>
      <c r="AQ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c r="AP437" s="18" t="n"/>
      <c r="AQ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c r="AP438" s="18" t="n"/>
      <c r="AQ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c r="AP439" s="18" t="n"/>
      <c r="AQ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c r="AP440" s="18" t="n"/>
      <c r="AQ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c r="AP441" s="18" t="n"/>
      <c r="AQ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c r="AP442" s="18" t="n"/>
      <c r="AQ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c r="AP443" s="18" t="n"/>
      <c r="AQ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c r="AP444" s="18" t="n"/>
      <c r="AQ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c r="AP445" s="18" t="n"/>
      <c r="AQ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c r="AP446" s="18" t="n"/>
      <c r="AQ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c r="AP447" s="18" t="n"/>
      <c r="AQ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c r="AP448" s="18" t="n"/>
      <c r="AQ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c r="AP449" s="18" t="n"/>
      <c r="AQ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c r="AP450" s="18" t="n"/>
      <c r="AQ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c r="AP451" s="18" t="n"/>
      <c r="AQ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c r="AP452" s="18" t="n"/>
      <c r="AQ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c r="AP453" s="18" t="n"/>
      <c r="AQ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c r="AP454" s="18" t="n"/>
      <c r="AQ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c r="AP455" s="18" t="n"/>
      <c r="AQ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c r="AP456" s="18" t="n"/>
      <c r="AQ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c r="AP457" s="18" t="n"/>
      <c r="AQ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c r="AP458" s="18" t="n"/>
      <c r="AQ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c r="AP459" s="18" t="n"/>
      <c r="AQ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c r="AP460" s="18" t="n"/>
      <c r="AQ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c r="AP461" s="18" t="n"/>
      <c r="AQ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c r="AP462" s="18" t="n"/>
      <c r="AQ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c r="AP463" s="18" t="n"/>
      <c r="AQ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c r="AP464" s="18" t="n"/>
      <c r="AQ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c r="AP465" s="18" t="n"/>
      <c r="AQ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c r="AP466" s="18" t="n"/>
      <c r="AQ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c r="AP467" s="18" t="n"/>
      <c r="AQ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c r="AP468" s="18" t="n"/>
      <c r="AQ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c r="AP469" s="18" t="n"/>
      <c r="AQ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c r="AP470" s="18" t="n"/>
      <c r="AQ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c r="AP471" s="18" t="n"/>
      <c r="AQ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c r="AP472" s="18" t="n"/>
      <c r="AQ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c r="AP473" s="18" t="n"/>
      <c r="AQ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c r="AP474" s="18" t="n"/>
      <c r="AQ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c r="AP475" s="18" t="n"/>
      <c r="AQ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c r="AP476" s="18" t="n"/>
      <c r="AQ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c r="AP477" s="18" t="n"/>
      <c r="AQ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c r="AP478" s="18" t="n"/>
      <c r="AQ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c r="AP479" s="18" t="n"/>
      <c r="AQ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c r="AP480" s="18" t="n"/>
      <c r="AQ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c r="AP481" s="18" t="n"/>
      <c r="AQ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c r="AP482" s="18" t="n"/>
      <c r="AQ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c r="AP483" s="18" t="n"/>
      <c r="AQ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c r="AP484" s="18" t="n"/>
      <c r="AQ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c r="AP485" s="18" t="n"/>
      <c r="AQ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c r="AP486" s="18" t="n"/>
      <c r="AQ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c r="AP487" s="18" t="n"/>
      <c r="AQ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c r="AP488" s="18" t="n"/>
      <c r="AQ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c r="AP489" s="18" t="n"/>
      <c r="AQ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c r="AP490" s="18" t="n"/>
      <c r="AQ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c r="AP491" s="18" t="n"/>
      <c r="AQ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c r="AP492" s="18" t="n"/>
      <c r="AQ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c r="AP493" s="18" t="n"/>
      <c r="AQ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c r="AP494" s="18" t="n"/>
      <c r="AQ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c r="AP495" s="18" t="n"/>
      <c r="AQ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c r="AP496" s="18" t="n"/>
      <c r="AQ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c r="AP497" s="18" t="n"/>
      <c r="AQ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c r="AP498" s="18" t="n"/>
      <c r="AQ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c r="AP499" s="18" t="n"/>
      <c r="AQ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c r="AP500" s="18" t="n"/>
      <c r="AQ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c r="AP501" s="18" t="n"/>
      <c r="AQ501" s="18" t="n"/>
    </row>
    <row r="502">
      <c r="A502" s="18" t="inlineStr">
        <is>
          <t>research.laozi.day2.ch21.001</t>
        </is>
      </c>
      <c r="B502" s="18" t="inlineStr">
        <is>
          <t>Collected</t>
        </is>
      </c>
      <c r="C502" s="18" t="inlineStr">
        <is>
          <t>Nội tâm &amp; hiểu mình</t>
        </is>
      </c>
      <c r="D502" s="18" t="inlineStr">
        <is>
          <t>Day 2 / Laozi 21–50</t>
        </is>
      </c>
      <c r="E502" s="18" t="n"/>
      <c r="F502" s="18" t="inlineStr">
        <is>
          <t>Sống theo điều mình coi là nền tảng</t>
        </is>
      </c>
      <c r="G502" s="18" t="inlineStr">
        <is>
          <t>Values</t>
        </is>
      </c>
      <c r="H502" s="18" t="n"/>
      <c r="I502" s="18" t="n"/>
      <c r="J502" s="18" t="n"/>
      <c r="K502" s="18" t="inlineStr">
        <is>
          <t>Recognize</t>
        </is>
      </c>
      <c r="L502" s="18" t="n"/>
      <c r="M502" s="18" t="inlineStr">
        <is>
          <t>Trích đoạn triết học</t>
        </is>
      </c>
      <c r="N502" s="18" t="inlineStr">
        <is>
          <t>孔德之容，惟道是從。</t>
        </is>
      </c>
      <c r="O502" s="18" t="inlineStr">
        <is>
          <t>Classical Chinese (文言文)</t>
        </is>
      </c>
      <c r="P502" s="18" t="inlineStr">
        <is>
          <t>Hình thái của đức lớn đi theo Đạo.</t>
        </is>
      </c>
      <c r="Q502" s="18" t="inlineStr">
        <is>
          <t>Laozi / 老子</t>
        </is>
      </c>
      <c r="R502" s="18" t="inlineStr">
        <is>
          <t>Taoism</t>
        </is>
      </c>
      <c r="S502" s="18" t="inlineStr">
        <is>
          <t>道德經 / Tao Te Ching</t>
        </is>
      </c>
      <c r="T502" s="18" t="inlineStr">
        <is>
          <t>Chapter 21</t>
        </is>
      </c>
      <c r="U502" s="18" t="inlineStr">
        <is>
          <t>https://zh.wikisource.org/zh-hant/%E9%81%93%E5%BE%B7%E7%B6%93_%28%E7%8E%8B%E5%BC%BC%E6%9C%AC%29</t>
        </is>
      </c>
      <c r="V502" s="18" t="inlineStr">
        <is>
          <t>Primary text</t>
        </is>
      </c>
      <c r="W502" s="18" t="inlineStr">
        <is>
          <t>Working translation</t>
        </is>
      </c>
      <c r="X502" s="18" t="inlineStr">
        <is>
          <t>A - Primary source</t>
        </is>
      </c>
      <c r="Y502" s="18" t="inlineStr">
        <is>
          <t>Original Chinese checked against Wang Bi recension; Vietnamese is Selflo working translation, not a published translation.</t>
        </is>
      </c>
      <c r="Z502" s="18" t="inlineStr">
        <is>
          <t>Public domain / likely</t>
        </is>
      </c>
      <c r="AA502" s="18" t="inlineStr">
        <is>
          <t>Ancient source text. Verify jurisdiction/edition before commercial publication.</t>
        </is>
      </c>
      <c r="AB502" s="18" t="inlineStr">
        <is>
          <t>Medium</t>
        </is>
      </c>
      <c r="AC502" s="18" t="inlineStr">
        <is>
          <t>Khá siêu hình; giữ research.</t>
        </is>
      </c>
      <c r="AD502" s="18" t="inlineStr">
        <is>
          <t>Needs editorial review</t>
        </is>
      </c>
      <c r="AE502" s="18" t="inlineStr">
        <is>
          <t>Needs semantic dedupe review</t>
        </is>
      </c>
      <c r="AF502" s="18" t="n"/>
      <c r="AG502" s="18" t="n"/>
      <c r="AH502" s="18" t="inlineStr">
        <is>
          <t>No</t>
        </is>
      </c>
      <c r="AI502" s="18" t="inlineStr">
        <is>
          <t>Not reviewed</t>
        </is>
      </c>
      <c r="AJ502" s="18" t="inlineStr">
        <is>
          <t>Research only</t>
        </is>
      </c>
      <c r="AK502" s="18" t="inlineStr">
        <is>
          <t>Research Pool</t>
        </is>
      </c>
      <c r="AL502" s="18" t="n">
        <v>2</v>
      </c>
      <c r="AM502" s="18" t="inlineStr">
        <is>
          <t>ChatGPT research</t>
        </is>
      </c>
      <c r="AN502" s="18" t="inlineStr">
        <is>
          <t>2026-09-18</t>
        </is>
      </c>
      <c r="AO502" s="18" t="inlineStr">
        <is>
          <t>Day 2 full-scope audit, chapters 21–50.</t>
        </is>
      </c>
      <c r="AP502" s="18" t="n"/>
      <c r="AQ502" s="18" t="n"/>
    </row>
    <row r="503">
      <c r="A503" s="18" t="inlineStr">
        <is>
          <t>research.laozi.day2.ch21.002</t>
        </is>
      </c>
      <c r="B503" s="18" t="inlineStr">
        <is>
          <t>Collected</t>
        </is>
      </c>
      <c r="C503" s="18" t="inlineStr">
        <is>
          <t>Nội tâm &amp; hiểu mình</t>
        </is>
      </c>
      <c r="D503" s="18" t="inlineStr">
        <is>
          <t>Day 2 / Laozi 21–50</t>
        </is>
      </c>
      <c r="E503" s="18" t="n"/>
      <c r="F503" s="18" t="inlineStr">
        <is>
          <t>Ở cùng điều chưa thể nắm rõ</t>
        </is>
      </c>
      <c r="G503" s="18" t="inlineStr">
        <is>
          <t>Uncertainty</t>
        </is>
      </c>
      <c r="H503" s="18" t="n"/>
      <c r="I503" s="18" t="n"/>
      <c r="J503" s="18" t="n"/>
      <c r="K503" s="18" t="inlineStr">
        <is>
          <t>Permit</t>
        </is>
      </c>
      <c r="L503" s="18" t="n"/>
      <c r="M503" s="18" t="inlineStr">
        <is>
          <t>Trích đoạn triết học</t>
        </is>
      </c>
      <c r="N503" s="18" t="inlineStr">
        <is>
          <t>道之為物，惟恍惟惚。</t>
        </is>
      </c>
      <c r="O503" s="18" t="inlineStr">
        <is>
          <t>Classical Chinese (文言文)</t>
        </is>
      </c>
      <c r="P503" s="18" t="inlineStr">
        <is>
          <t>Đạo như một điều vừa mờ vừa khó nắm bắt.</t>
        </is>
      </c>
      <c r="Q503" s="18" t="inlineStr">
        <is>
          <t>Laozi / 老子</t>
        </is>
      </c>
      <c r="R503" s="18" t="inlineStr">
        <is>
          <t>Taoism</t>
        </is>
      </c>
      <c r="S503" s="18" t="inlineStr">
        <is>
          <t>道德經 / Tao Te Ching</t>
        </is>
      </c>
      <c r="T503" s="18" t="inlineStr">
        <is>
          <t>Chapter 21</t>
        </is>
      </c>
      <c r="U503" s="18" t="inlineStr">
        <is>
          <t>https://zh.wikisource.org/zh-hant/%E9%81%93%E5%BE%B7%E7%B6%93_%28%E7%8E%8B%E5%BC%BC%E6%9C%AC%29</t>
        </is>
      </c>
      <c r="V503" s="18" t="inlineStr">
        <is>
          <t>Primary text</t>
        </is>
      </c>
      <c r="W503" s="18" t="inlineStr">
        <is>
          <t>Working translation</t>
        </is>
      </c>
      <c r="X503" s="18" t="inlineStr">
        <is>
          <t>A - Primary source</t>
        </is>
      </c>
      <c r="Y503" s="18" t="inlineStr">
        <is>
          <t>Original Chinese checked against Wang Bi recension; Vietnamese is Selflo working translation, not a published translation.</t>
        </is>
      </c>
      <c r="Z503" s="18" t="inlineStr">
        <is>
          <t>Public domain / likely</t>
        </is>
      </c>
      <c r="AA503" s="18" t="inlineStr">
        <is>
          <t>Ancient source text. Verify jurisdiction/edition before commercial publication.</t>
        </is>
      </c>
      <c r="AB503" s="18" t="inlineStr">
        <is>
          <t>High</t>
        </is>
      </c>
      <c r="AC503" s="18" t="inlineStr">
        <is>
          <t>Hợp trải nghiệm chưa gọi tên được.</t>
        </is>
      </c>
      <c r="AD503" s="18" t="inlineStr">
        <is>
          <t>Needs editorial review</t>
        </is>
      </c>
      <c r="AE503" s="18" t="inlineStr">
        <is>
          <t>Needs semantic dedupe review</t>
        </is>
      </c>
      <c r="AF503" s="18" t="n"/>
      <c r="AG503" s="18" t="n"/>
      <c r="AH503" s="18" t="inlineStr">
        <is>
          <t>No</t>
        </is>
      </c>
      <c r="AI503" s="18" t="inlineStr">
        <is>
          <t>Not reviewed</t>
        </is>
      </c>
      <c r="AJ503" s="18" t="inlineStr">
        <is>
          <t>Research only</t>
        </is>
      </c>
      <c r="AK503" s="18" t="inlineStr">
        <is>
          <t>Research Pool</t>
        </is>
      </c>
      <c r="AL503" s="18" t="n">
        <v>2</v>
      </c>
      <c r="AM503" s="18" t="inlineStr">
        <is>
          <t>ChatGPT research</t>
        </is>
      </c>
      <c r="AN503" s="18" t="inlineStr">
        <is>
          <t>2026-09-18</t>
        </is>
      </c>
      <c r="AO503" s="18" t="inlineStr">
        <is>
          <t>Day 2 full-scope audit, chapters 21–50.</t>
        </is>
      </c>
      <c r="AP503" s="18" t="n"/>
      <c r="AQ503" s="18" t="n"/>
    </row>
    <row r="504">
      <c r="A504" s="18" t="inlineStr">
        <is>
          <t>research.laozi.day2.ch21.003</t>
        </is>
      </c>
      <c r="B504" s="18" t="inlineStr">
        <is>
          <t>Collected</t>
        </is>
      </c>
      <c r="C504" s="18" t="inlineStr">
        <is>
          <t>Nội tâm &amp; hiểu mình</t>
        </is>
      </c>
      <c r="D504" s="18" t="inlineStr">
        <is>
          <t>Day 2 / Laozi 21–50</t>
        </is>
      </c>
      <c r="E504" s="18" t="n"/>
      <c r="F504" s="18" t="inlineStr">
        <is>
          <t>Nhận ra hình dạng trong điều còn mơ hồ</t>
        </is>
      </c>
      <c r="G504" s="18" t="inlineStr">
        <is>
          <t>Uncertainty</t>
        </is>
      </c>
      <c r="H504" s="18" t="n"/>
      <c r="I504" s="18" t="n"/>
      <c r="J504" s="18" t="n"/>
      <c r="K504" s="18" t="inlineStr">
        <is>
          <t>Recognize</t>
        </is>
      </c>
      <c r="L504" s="18" t="n"/>
      <c r="M504" s="18" t="inlineStr">
        <is>
          <t>Trích đoạn triết học</t>
        </is>
      </c>
      <c r="N504" s="18" t="inlineStr">
        <is>
          <t>惚兮恍兮，其中有象；恍兮惚兮，其中有物。</t>
        </is>
      </c>
      <c r="O504" s="18" t="inlineStr">
        <is>
          <t>Classical Chinese (文言文)</t>
        </is>
      </c>
      <c r="P504" s="18" t="inlineStr">
        <is>
          <t>Trong cái mờ khó nắm vẫn có hình; trong cái mơ hồ vẫn có điều đang hiện hữu.</t>
        </is>
      </c>
      <c r="Q504" s="18" t="inlineStr">
        <is>
          <t>Laozi / 老子</t>
        </is>
      </c>
      <c r="R504" s="18" t="inlineStr">
        <is>
          <t>Taoism</t>
        </is>
      </c>
      <c r="S504" s="18" t="inlineStr">
        <is>
          <t>道德經 / Tao Te Ching</t>
        </is>
      </c>
      <c r="T504" s="18" t="inlineStr">
        <is>
          <t>Chapter 21</t>
        </is>
      </c>
      <c r="U504" s="18" t="inlineStr">
        <is>
          <t>https://zh.wikisource.org/zh-hant/%E9%81%93%E5%BE%B7%E7%B6%93_%28%E7%8E%8B%E5%BC%BC%E6%9C%AC%29</t>
        </is>
      </c>
      <c r="V504" s="18" t="inlineStr">
        <is>
          <t>Primary text</t>
        </is>
      </c>
      <c r="W504" s="18" t="inlineStr">
        <is>
          <t>Working translation</t>
        </is>
      </c>
      <c r="X504" s="18" t="inlineStr">
        <is>
          <t>A - Primary source</t>
        </is>
      </c>
      <c r="Y504" s="18" t="inlineStr">
        <is>
          <t>Original Chinese checked against Wang Bi recension; Vietnamese is Selflo working translation, not a published translation.</t>
        </is>
      </c>
      <c r="Z504" s="18" t="inlineStr">
        <is>
          <t>Public domain / likely</t>
        </is>
      </c>
      <c r="AA504" s="18" t="inlineStr">
        <is>
          <t>Ancient source text. Verify jurisdiction/edition before commercial publication.</t>
        </is>
      </c>
      <c r="AB504" s="18" t="inlineStr">
        <is>
          <t>High</t>
        </is>
      </c>
      <c r="AC504" s="18" t="inlineStr">
        <is>
          <t>Mạnh cho self-understanding.</t>
        </is>
      </c>
      <c r="AD504" s="18" t="inlineStr">
        <is>
          <t>Needs editorial review</t>
        </is>
      </c>
      <c r="AE504" s="18" t="inlineStr">
        <is>
          <t>Needs semantic dedupe review</t>
        </is>
      </c>
      <c r="AF504" s="18" t="n"/>
      <c r="AG504" s="18" t="n"/>
      <c r="AH504" s="18" t="inlineStr">
        <is>
          <t>No</t>
        </is>
      </c>
      <c r="AI504" s="18" t="inlineStr">
        <is>
          <t>Not reviewed</t>
        </is>
      </c>
      <c r="AJ504" s="18" t="inlineStr">
        <is>
          <t>Research only</t>
        </is>
      </c>
      <c r="AK504" s="18" t="inlineStr">
        <is>
          <t>Research Pool</t>
        </is>
      </c>
      <c r="AL504" s="18" t="n">
        <v>2</v>
      </c>
      <c r="AM504" s="18" t="inlineStr">
        <is>
          <t>ChatGPT research</t>
        </is>
      </c>
      <c r="AN504" s="18" t="inlineStr">
        <is>
          <t>2026-09-18</t>
        </is>
      </c>
      <c r="AO504" s="18" t="inlineStr">
        <is>
          <t>Day 2 full-scope audit, chapters 21–50.</t>
        </is>
      </c>
      <c r="AP504" s="18" t="n"/>
      <c r="AQ504" s="18" t="n"/>
    </row>
    <row r="505">
      <c r="A505" s="18" t="inlineStr">
        <is>
          <t>research.laozi.day2.ch21.004</t>
        </is>
      </c>
      <c r="B505" s="18" t="inlineStr">
        <is>
          <t>Collected</t>
        </is>
      </c>
      <c r="C505" s="18" t="inlineStr">
        <is>
          <t>Nội tâm &amp; hiểu mình</t>
        </is>
      </c>
      <c r="D505" s="18" t="inlineStr">
        <is>
          <t>Day 2 / Laozi 21–50</t>
        </is>
      </c>
      <c r="E505" s="18" t="n"/>
      <c r="F505" s="18" t="inlineStr">
        <is>
          <t>Tìm phần đáng tin giữa mơ hồ</t>
        </is>
      </c>
      <c r="G505" s="18" t="inlineStr">
        <is>
          <t>Trust</t>
        </is>
      </c>
      <c r="H505" s="18" t="n"/>
      <c r="I505" s="18" t="n"/>
      <c r="J505" s="18" t="n"/>
      <c r="K505" s="18" t="inlineStr">
        <is>
          <t>Recognize</t>
        </is>
      </c>
      <c r="L505" s="18" t="n"/>
      <c r="M505" s="18" t="inlineStr">
        <is>
          <t>Trích đoạn triết học</t>
        </is>
      </c>
      <c r="N505" s="18" t="inlineStr">
        <is>
          <t>窈兮冥兮，其中有精；其精甚真，其中有信。</t>
        </is>
      </c>
      <c r="O505" s="18" t="inlineStr">
        <is>
          <t>Classical Chinese (文言文)</t>
        </is>
      </c>
      <c r="P505" s="18" t="inlineStr">
        <is>
          <t>Trong chỗ sâu và tối vẫn có phần tinh cốt; phần ấy được nói là chân thực và có thể tin.</t>
        </is>
      </c>
      <c r="Q505" s="18" t="inlineStr">
        <is>
          <t>Laozi / 老子</t>
        </is>
      </c>
      <c r="R505" s="18" t="inlineStr">
        <is>
          <t>Taoism</t>
        </is>
      </c>
      <c r="S505" s="18" t="inlineStr">
        <is>
          <t>道德經 / Tao Te Ching</t>
        </is>
      </c>
      <c r="T505" s="18" t="inlineStr">
        <is>
          <t>Chapter 21</t>
        </is>
      </c>
      <c r="U505" s="18" t="inlineStr">
        <is>
          <t>https://zh.wikisource.org/zh-hant/%E9%81%93%E5%BE%B7%E7%B6%93_%28%E7%8E%8B%E5%BC%BC%E6%9C%AC%29</t>
        </is>
      </c>
      <c r="V505" s="18" t="inlineStr">
        <is>
          <t>Primary text</t>
        </is>
      </c>
      <c r="W505" s="18" t="inlineStr">
        <is>
          <t>Working translation</t>
        </is>
      </c>
      <c r="X505" s="18" t="inlineStr">
        <is>
          <t>A - Primary source</t>
        </is>
      </c>
      <c r="Y505" s="18" t="inlineStr">
        <is>
          <t>Original Chinese checked against Wang Bi recension; Vietnamese is Selflo working translation, not a published translation.</t>
        </is>
      </c>
      <c r="Z505" s="18" t="inlineStr">
        <is>
          <t>Public domain / likely</t>
        </is>
      </c>
      <c r="AA505" s="18" t="inlineStr">
        <is>
          <t>Ancient source text. Verify jurisdiction/edition before commercial publication.</t>
        </is>
      </c>
      <c r="AB505" s="18" t="inlineStr">
        <is>
          <t>Medium</t>
        </is>
      </c>
      <c r="AC505" s="18" t="inlineStr">
        <is>
          <t>Metaphysical.</t>
        </is>
      </c>
      <c r="AD505" s="18" t="inlineStr">
        <is>
          <t>Needs editorial review</t>
        </is>
      </c>
      <c r="AE505" s="18" t="inlineStr">
        <is>
          <t>Needs semantic dedupe review</t>
        </is>
      </c>
      <c r="AF505" s="18" t="n"/>
      <c r="AG505" s="18" t="n"/>
      <c r="AH505" s="18" t="inlineStr">
        <is>
          <t>No</t>
        </is>
      </c>
      <c r="AI505" s="18" t="inlineStr">
        <is>
          <t>Not reviewed</t>
        </is>
      </c>
      <c r="AJ505" s="18" t="inlineStr">
        <is>
          <t>Research only</t>
        </is>
      </c>
      <c r="AK505" s="18" t="inlineStr">
        <is>
          <t>Research Pool</t>
        </is>
      </c>
      <c r="AL505" s="18" t="n">
        <v>2</v>
      </c>
      <c r="AM505" s="18" t="inlineStr">
        <is>
          <t>ChatGPT research</t>
        </is>
      </c>
      <c r="AN505" s="18" t="inlineStr">
        <is>
          <t>2026-09-18</t>
        </is>
      </c>
      <c r="AO505" s="18" t="inlineStr">
        <is>
          <t>Day 2 full-scope audit, chapters 21–50.</t>
        </is>
      </c>
      <c r="AP505" s="18" t="n"/>
      <c r="AQ505" s="18" t="n"/>
    </row>
    <row r="506">
      <c r="A506" s="18" t="inlineStr">
        <is>
          <t>research.laozi.day2.ch21.005</t>
        </is>
      </c>
      <c r="B506" s="18" t="inlineStr">
        <is>
          <t>Collected</t>
        </is>
      </c>
      <c r="C506" s="18" t="inlineStr">
        <is>
          <t>Nội tâm &amp; hiểu mình</t>
        </is>
      </c>
      <c r="D506" s="18" t="inlineStr">
        <is>
          <t>Day 2 / Laozi 21–50</t>
        </is>
      </c>
      <c r="E506" s="18" t="n"/>
      <c r="F506" s="18" t="inlineStr">
        <is>
          <t>Dùng nguyên lý bền để soi thay đổi</t>
        </is>
      </c>
      <c r="G506" s="18" t="inlineStr">
        <is>
          <t>Judgment</t>
        </is>
      </c>
      <c r="H506" s="18" t="n"/>
      <c r="I506" s="18" t="n"/>
      <c r="J506" s="18" t="n"/>
      <c r="K506" s="18" t="inlineStr">
        <is>
          <t>Distinguish</t>
        </is>
      </c>
      <c r="L506" s="18" t="n"/>
      <c r="M506" s="18" t="inlineStr">
        <is>
          <t>Trích đoạn triết học</t>
        </is>
      </c>
      <c r="N506" s="18" t="inlineStr">
        <is>
          <t>自古及今，其名不去，以閱眾甫。</t>
        </is>
      </c>
      <c r="O506" s="18" t="inlineStr">
        <is>
          <t>Classical Chinese (文言文)</t>
        </is>
      </c>
      <c r="P506" s="18" t="inlineStr">
        <is>
          <t>Từ xưa đến nay, tên ấy không mất; nhờ đó có thể nhìn lại những khởi đầu của muôn vật.</t>
        </is>
      </c>
      <c r="Q506" s="18" t="inlineStr">
        <is>
          <t>Laozi / 老子</t>
        </is>
      </c>
      <c r="R506" s="18" t="inlineStr">
        <is>
          <t>Taoism</t>
        </is>
      </c>
      <c r="S506" s="18" t="inlineStr">
        <is>
          <t>道德經 / Tao Te Ching</t>
        </is>
      </c>
      <c r="T506" s="18" t="inlineStr">
        <is>
          <t>Chapter 21</t>
        </is>
      </c>
      <c r="U506" s="18" t="inlineStr">
        <is>
          <t>https://zh.wikisource.org/zh-hant/%E9%81%93%E5%BE%B7%E7%B6%93_%28%E7%8E%8B%E5%BC%BC%E6%9C%AC%29</t>
        </is>
      </c>
      <c r="V506" s="18" t="inlineStr">
        <is>
          <t>Primary text</t>
        </is>
      </c>
      <c r="W506" s="18" t="inlineStr">
        <is>
          <t>Working translation</t>
        </is>
      </c>
      <c r="X506" s="18" t="inlineStr">
        <is>
          <t>A - Primary source</t>
        </is>
      </c>
      <c r="Y506" s="18" t="inlineStr">
        <is>
          <t>Original Chinese checked against Wang Bi recension; Vietnamese is Selflo working translation, not a published translation.</t>
        </is>
      </c>
      <c r="Z506" s="18" t="inlineStr">
        <is>
          <t>Public domain / likely</t>
        </is>
      </c>
      <c r="AA506" s="18" t="inlineStr">
        <is>
          <t>Ancient source text. Verify jurisdiction/edition before commercial publication.</t>
        </is>
      </c>
      <c r="AB506" s="18" t="inlineStr">
        <is>
          <t>High</t>
        </is>
      </c>
      <c r="AC506" s="18" t="inlineStr">
        <is>
          <t>Gần docs nguyên lý bền.</t>
        </is>
      </c>
      <c r="AD506" s="18" t="inlineStr">
        <is>
          <t>Needs editorial review</t>
        </is>
      </c>
      <c r="AE506" s="18" t="inlineStr">
        <is>
          <t>Needs semantic dedupe review</t>
        </is>
      </c>
      <c r="AF506" s="18" t="n"/>
      <c r="AG506" s="18" t="n"/>
      <c r="AH506" s="18" t="inlineStr">
        <is>
          <t>No</t>
        </is>
      </c>
      <c r="AI506" s="18" t="inlineStr">
        <is>
          <t>Not reviewed</t>
        </is>
      </c>
      <c r="AJ506" s="18" t="inlineStr">
        <is>
          <t>Research only</t>
        </is>
      </c>
      <c r="AK506" s="18" t="inlineStr">
        <is>
          <t>Research Pool</t>
        </is>
      </c>
      <c r="AL506" s="18" t="n">
        <v>2</v>
      </c>
      <c r="AM506" s="18" t="inlineStr">
        <is>
          <t>ChatGPT research</t>
        </is>
      </c>
      <c r="AN506" s="18" t="inlineStr">
        <is>
          <t>2026-09-18</t>
        </is>
      </c>
      <c r="AO506" s="18" t="inlineStr">
        <is>
          <t>Day 2 full-scope audit, chapters 21–50.</t>
        </is>
      </c>
      <c r="AP506" s="18" t="n"/>
      <c r="AQ506" s="18" t="n"/>
    </row>
    <row r="507">
      <c r="A507" s="18" t="inlineStr">
        <is>
          <t>research.laozi.day2.ch22.006</t>
        </is>
      </c>
      <c r="B507" s="18" t="inlineStr">
        <is>
          <t>Collected</t>
        </is>
      </c>
      <c r="C507" s="18" t="inlineStr">
        <is>
          <t>Nội tâm &amp; hiểu mình</t>
        </is>
      </c>
      <c r="D507" s="18" t="inlineStr">
        <is>
          <t>Day 2 / Laozi 21–50</t>
        </is>
      </c>
      <c r="E507" s="18" t="n"/>
      <c r="F507" s="18" t="inlineStr">
        <is>
          <t>Nhìn hai mặt của thiếu–đủ và cũ–mới</t>
        </is>
      </c>
      <c r="G507" s="18" t="inlineStr">
        <is>
          <t>Enoughness</t>
        </is>
      </c>
      <c r="H507" s="18" t="n"/>
      <c r="I507" s="18" t="n"/>
      <c r="J507" s="18" t="n"/>
      <c r="K507" s="18" t="inlineStr">
        <is>
          <t>Reframe</t>
        </is>
      </c>
      <c r="L507" s="18" t="n"/>
      <c r="M507" s="18" t="inlineStr">
        <is>
          <t>Trích đoạn triết học</t>
        </is>
      </c>
      <c r="N507" s="18" t="inlineStr">
        <is>
          <t>曲則全，枉則直，窪則盈，敝則新，少則得，多則惑。</t>
        </is>
      </c>
      <c r="O507" s="18" t="inlineStr">
        <is>
          <t>Classical Chinese (文言文)</t>
        </is>
      </c>
      <c r="P507" s="18" t="inlineStr">
        <is>
          <t>Cong có thể giữ được toàn; trũng có thể được đầy; cũ có thể thành mới; ít có thể được, nhiều có thể làm rối.</t>
        </is>
      </c>
      <c r="Q507" s="18" t="inlineStr">
        <is>
          <t>Laozi / 老子</t>
        </is>
      </c>
      <c r="R507" s="18" t="inlineStr">
        <is>
          <t>Taoism</t>
        </is>
      </c>
      <c r="S507" s="18" t="inlineStr">
        <is>
          <t>道德經 / Tao Te Ching</t>
        </is>
      </c>
      <c r="T507" s="18" t="inlineStr">
        <is>
          <t>Chapter 22</t>
        </is>
      </c>
      <c r="U507" s="18" t="inlineStr">
        <is>
          <t>https://zh.wikisource.org/zh-hant/%E9%81%93%E5%BE%B7%E7%B6%93_%28%E7%8E%8B%E5%BC%BC%E6%9C%AC%29</t>
        </is>
      </c>
      <c r="V507" s="18" t="inlineStr">
        <is>
          <t>Primary text</t>
        </is>
      </c>
      <c r="W507" s="18" t="inlineStr">
        <is>
          <t>Working translation</t>
        </is>
      </c>
      <c r="X507" s="18" t="inlineStr">
        <is>
          <t>A - Primary source</t>
        </is>
      </c>
      <c r="Y507" s="18" t="inlineStr">
        <is>
          <t>Original Chinese checked against Wang Bi recension; Vietnamese is Selflo working translation, not a published translation.</t>
        </is>
      </c>
      <c r="Z507" s="18" t="inlineStr">
        <is>
          <t>Public domain / likely</t>
        </is>
      </c>
      <c r="AA507" s="18" t="inlineStr">
        <is>
          <t>Ancient source text. Verify jurisdiction/edition before commercial publication.</t>
        </is>
      </c>
      <c r="AB507" s="18" t="inlineStr">
        <is>
          <t>High</t>
        </is>
      </c>
      <c r="AC507" s="18" t="inlineStr">
        <is>
          <t>Nghịch lý mạnh; không literalize.</t>
        </is>
      </c>
      <c r="AD507" s="18" t="inlineStr">
        <is>
          <t>Needs editorial review</t>
        </is>
      </c>
      <c r="AE507" s="18" t="inlineStr">
        <is>
          <t>Needs semantic dedupe review</t>
        </is>
      </c>
      <c r="AF507" s="18" t="n"/>
      <c r="AG507" s="18" t="n"/>
      <c r="AH507" s="18" t="inlineStr">
        <is>
          <t>No</t>
        </is>
      </c>
      <c r="AI507" s="18" t="inlineStr">
        <is>
          <t>Not reviewed</t>
        </is>
      </c>
      <c r="AJ507" s="18" t="inlineStr">
        <is>
          <t>Research only</t>
        </is>
      </c>
      <c r="AK507" s="18" t="inlineStr">
        <is>
          <t>Research Pool</t>
        </is>
      </c>
      <c r="AL507" s="18" t="n">
        <v>2</v>
      </c>
      <c r="AM507" s="18" t="inlineStr">
        <is>
          <t>ChatGPT research</t>
        </is>
      </c>
      <c r="AN507" s="18" t="inlineStr">
        <is>
          <t>2026-09-18</t>
        </is>
      </c>
      <c r="AO507" s="18" t="inlineStr">
        <is>
          <t>Day 2 full-scope audit, chapters 21–50.</t>
        </is>
      </c>
      <c r="AP507" s="18" t="n"/>
      <c r="AQ507" s="18" t="n"/>
    </row>
    <row r="508">
      <c r="A508" s="18" t="inlineStr">
        <is>
          <t>research.laozi.day2.ch22.007</t>
        </is>
      </c>
      <c r="B508" s="18" t="inlineStr">
        <is>
          <t>Collected</t>
        </is>
      </c>
      <c r="C508" s="18" t="inlineStr">
        <is>
          <t>Nội tâm &amp; hiểu mình</t>
        </is>
      </c>
      <c r="D508" s="18" t="inlineStr">
        <is>
          <t>Day 2 / Laozi 21–50</t>
        </is>
      </c>
      <c r="E508" s="18" t="n"/>
      <c r="F508" s="18" t="inlineStr">
        <is>
          <t>Không để mọi giá trị thành cuộc cạnh tranh</t>
        </is>
      </c>
      <c r="G508" s="18" t="inlineStr">
        <is>
          <t>Comparison</t>
        </is>
      </c>
      <c r="H508" s="18" t="n"/>
      <c r="I508" s="18" t="n"/>
      <c r="J508" s="18" t="n"/>
      <c r="K508" s="18" t="inlineStr">
        <is>
          <t>Distinguish</t>
        </is>
      </c>
      <c r="L508" s="18" t="n"/>
      <c r="M508" s="18" t="inlineStr">
        <is>
          <t>Trích đoạn triết học</t>
        </is>
      </c>
      <c r="N508" s="18" t="inlineStr">
        <is>
          <t>夫唯不爭，故天下莫能與之爭。</t>
        </is>
      </c>
      <c r="O508" s="18" t="inlineStr">
        <is>
          <t>Classical Chinese (文言文)</t>
        </is>
      </c>
      <c r="P508" s="18" t="inlineStr">
        <is>
          <t>Chính vì không tranh nên không ai có thể kéo vào cùng một cuộc tranh.</t>
        </is>
      </c>
      <c r="Q508" s="18" t="inlineStr">
        <is>
          <t>Laozi / 老子</t>
        </is>
      </c>
      <c r="R508" s="18" t="inlineStr">
        <is>
          <t>Taoism</t>
        </is>
      </c>
      <c r="S508" s="18" t="inlineStr">
        <is>
          <t>道德經 / Tao Te Ching</t>
        </is>
      </c>
      <c r="T508" s="18" t="inlineStr">
        <is>
          <t>Chapter 22</t>
        </is>
      </c>
      <c r="U508" s="18" t="inlineStr">
        <is>
          <t>https://zh.wikisource.org/zh-hant/%E9%81%93%E5%BE%B7%E7%B6%93_%28%E7%8E%8B%E5%BC%BC%E6%9C%AC%29</t>
        </is>
      </c>
      <c r="V508" s="18" t="inlineStr">
        <is>
          <t>Primary text</t>
        </is>
      </c>
      <c r="W508" s="18" t="inlineStr">
        <is>
          <t>Working translation</t>
        </is>
      </c>
      <c r="X508" s="18" t="inlineStr">
        <is>
          <t>A - Primary source</t>
        </is>
      </c>
      <c r="Y508" s="18" t="inlineStr">
        <is>
          <t>Original Chinese checked against Wang Bi recension; Vietnamese is Selflo working translation, not a published translation.</t>
        </is>
      </c>
      <c r="Z508" s="18" t="inlineStr">
        <is>
          <t>Public domain / likely</t>
        </is>
      </c>
      <c r="AA508" s="18" t="inlineStr">
        <is>
          <t>Ancient source text. Verify jurisdiction/edition before commercial publication.</t>
        </is>
      </c>
      <c r="AB508" s="18" t="inlineStr">
        <is>
          <t>High</t>
        </is>
      </c>
      <c r="AC508" s="18" t="inlineStr">
        <is>
          <t>Hợp comparison.</t>
        </is>
      </c>
      <c r="AD508" s="18" t="inlineStr">
        <is>
          <t>Needs editorial review</t>
        </is>
      </c>
      <c r="AE508" s="18" t="inlineStr">
        <is>
          <t>Needs semantic dedupe review</t>
        </is>
      </c>
      <c r="AF508" s="18" t="n"/>
      <c r="AG508" s="18" t="n"/>
      <c r="AH508" s="18" t="inlineStr">
        <is>
          <t>No</t>
        </is>
      </c>
      <c r="AI508" s="18" t="inlineStr">
        <is>
          <t>Not reviewed</t>
        </is>
      </c>
      <c r="AJ508" s="18" t="inlineStr">
        <is>
          <t>Research only</t>
        </is>
      </c>
      <c r="AK508" s="18" t="inlineStr">
        <is>
          <t>Research Pool</t>
        </is>
      </c>
      <c r="AL508" s="18" t="n">
        <v>2</v>
      </c>
      <c r="AM508" s="18" t="inlineStr">
        <is>
          <t>ChatGPT research</t>
        </is>
      </c>
      <c r="AN508" s="18" t="inlineStr">
        <is>
          <t>2026-09-18</t>
        </is>
      </c>
      <c r="AO508" s="18" t="inlineStr">
        <is>
          <t>Day 2 full-scope audit, chapters 21–50.</t>
        </is>
      </c>
      <c r="AP508" s="18" t="n"/>
      <c r="AQ508" s="18" t="n"/>
    </row>
    <row r="509">
      <c r="A509" s="18" t="inlineStr">
        <is>
          <t>research.laozi.day2.ch22.008</t>
        </is>
      </c>
      <c r="B509" s="18" t="inlineStr">
        <is>
          <t>Collected</t>
        </is>
      </c>
      <c r="C509" s="18" t="inlineStr">
        <is>
          <t>Nội tâm &amp; hiểu mình</t>
        </is>
      </c>
      <c r="D509" s="18" t="inlineStr">
        <is>
          <t>Day 2 / Laozi 21–50</t>
        </is>
      </c>
      <c r="E509" s="18" t="n"/>
      <c r="F509" s="18" t="inlineStr">
        <is>
          <t>Trở về phần nguyên vẹn của mình</t>
        </is>
      </c>
      <c r="G509" s="18" t="inlineStr">
        <is>
          <t>Identity</t>
        </is>
      </c>
      <c r="H509" s="18" t="n"/>
      <c r="I509" s="18" t="n"/>
      <c r="J509" s="18" t="n"/>
      <c r="K509" s="18" t="inlineStr">
        <is>
          <t>Reframe</t>
        </is>
      </c>
      <c r="L509" s="18" t="n"/>
      <c r="M509" s="18" t="inlineStr">
        <is>
          <t>Trích đoạn triết học</t>
        </is>
      </c>
      <c r="N509" s="18" t="inlineStr">
        <is>
          <t>誠全而歸之。</t>
        </is>
      </c>
      <c r="O509" s="18" t="inlineStr">
        <is>
          <t>Classical Chinese (文言文)</t>
        </is>
      </c>
      <c r="P509" s="18" t="inlineStr">
        <is>
          <t>Giữ được tính toàn vẹn rồi trở về với nó.</t>
        </is>
      </c>
      <c r="Q509" s="18" t="inlineStr">
        <is>
          <t>Laozi / 老子</t>
        </is>
      </c>
      <c r="R509" s="18" t="inlineStr">
        <is>
          <t>Taoism</t>
        </is>
      </c>
      <c r="S509" s="18" t="inlineStr">
        <is>
          <t>道德經 / Tao Te Ching</t>
        </is>
      </c>
      <c r="T509" s="18" t="inlineStr">
        <is>
          <t>Chapter 22</t>
        </is>
      </c>
      <c r="U509" s="18" t="inlineStr">
        <is>
          <t>https://zh.wikisource.org/zh-hant/%E9%81%93%E5%BE%B7%E7%B6%93_%28%E7%8E%8B%E5%BC%BC%E6%9C%AC%29</t>
        </is>
      </c>
      <c r="V509" s="18" t="inlineStr">
        <is>
          <t>Primary text</t>
        </is>
      </c>
      <c r="W509" s="18" t="inlineStr">
        <is>
          <t>Working translation</t>
        </is>
      </c>
      <c r="X509" s="18" t="inlineStr">
        <is>
          <t>A - Primary source</t>
        </is>
      </c>
      <c r="Y509" s="18" t="inlineStr">
        <is>
          <t>Original Chinese checked against Wang Bi recension; Vietnamese is Selflo working translation, not a published translation.</t>
        </is>
      </c>
      <c r="Z509" s="18" t="inlineStr">
        <is>
          <t>Public domain / likely</t>
        </is>
      </c>
      <c r="AA509" s="18" t="inlineStr">
        <is>
          <t>Ancient source text. Verify jurisdiction/edition before commercial publication.</t>
        </is>
      </c>
      <c r="AB509" s="18" t="inlineStr">
        <is>
          <t>Medium</t>
        </is>
      </c>
      <c r="AC509" s="18" t="inlineStr">
        <is>
          <t>Cần ngữ cảnh.</t>
        </is>
      </c>
      <c r="AD509" s="18" t="inlineStr">
        <is>
          <t>Needs editorial review</t>
        </is>
      </c>
      <c r="AE509" s="18" t="inlineStr">
        <is>
          <t>Needs semantic dedupe review</t>
        </is>
      </c>
      <c r="AF509" s="18" t="n"/>
      <c r="AG509" s="18" t="n"/>
      <c r="AH509" s="18" t="inlineStr">
        <is>
          <t>No</t>
        </is>
      </c>
      <c r="AI509" s="18" t="inlineStr">
        <is>
          <t>Not reviewed</t>
        </is>
      </c>
      <c r="AJ509" s="18" t="inlineStr">
        <is>
          <t>Research only</t>
        </is>
      </c>
      <c r="AK509" s="18" t="inlineStr">
        <is>
          <t>Research Pool</t>
        </is>
      </c>
      <c r="AL509" s="18" t="n">
        <v>2</v>
      </c>
      <c r="AM509" s="18" t="inlineStr">
        <is>
          <t>ChatGPT research</t>
        </is>
      </c>
      <c r="AN509" s="18" t="inlineStr">
        <is>
          <t>2026-09-18</t>
        </is>
      </c>
      <c r="AO509" s="18" t="inlineStr">
        <is>
          <t>Day 2 full-scope audit, chapters 21–50.</t>
        </is>
      </c>
      <c r="AP509" s="18" t="n"/>
      <c r="AQ509" s="18" t="n"/>
    </row>
    <row r="510">
      <c r="A510" s="18" t="inlineStr">
        <is>
          <t>research.laozi.day2.ch23.009</t>
        </is>
      </c>
      <c r="B510" s="18" t="inlineStr">
        <is>
          <t>Collected</t>
        </is>
      </c>
      <c r="C510" s="18" t="inlineStr">
        <is>
          <t>Nội tâm &amp; hiểu mình</t>
        </is>
      </c>
      <c r="D510" s="18" t="inlineStr">
        <is>
          <t>Day 2 / Laozi 21–50</t>
        </is>
      </c>
      <c r="E510" s="18" t="n"/>
      <c r="F510" s="18" t="inlineStr">
        <is>
          <t>Không phải lúc nào thêm lời cũng thêm sáng rõ</t>
        </is>
      </c>
      <c r="G510" s="18" t="inlineStr">
        <is>
          <t>Attention</t>
        </is>
      </c>
      <c r="H510" s="18" t="n"/>
      <c r="I510" s="18" t="n"/>
      <c r="J510" s="18" t="n"/>
      <c r="K510" s="18" t="inlineStr">
        <is>
          <t>Distinguish</t>
        </is>
      </c>
      <c r="L510" s="18" t="n"/>
      <c r="M510" s="18" t="inlineStr">
        <is>
          <t>Trích đoạn triết học</t>
        </is>
      </c>
      <c r="N510" s="18" t="inlineStr">
        <is>
          <t>希言自然。</t>
        </is>
      </c>
      <c r="O510" s="18" t="inlineStr">
        <is>
          <t>Classical Chinese (文言文)</t>
        </is>
      </c>
      <c r="P510" s="18" t="inlineStr">
        <is>
          <t>Ít lời gần với tự nhiên.</t>
        </is>
      </c>
      <c r="Q510" s="18" t="inlineStr">
        <is>
          <t>Laozi / 老子</t>
        </is>
      </c>
      <c r="R510" s="18" t="inlineStr">
        <is>
          <t>Taoism</t>
        </is>
      </c>
      <c r="S510" s="18" t="inlineStr">
        <is>
          <t>道德經 / Tao Te Ching</t>
        </is>
      </c>
      <c r="T510" s="18" t="inlineStr">
        <is>
          <t>Chapter 23</t>
        </is>
      </c>
      <c r="U510" s="18" t="inlineStr">
        <is>
          <t>https://zh.wikisource.org/zh-hant/%E9%81%93%E5%BE%B7%E7%B6%93_%28%E7%8E%8B%E5%BC%BC%E6%9C%AC%29</t>
        </is>
      </c>
      <c r="V510" s="18" t="inlineStr">
        <is>
          <t>Primary text</t>
        </is>
      </c>
      <c r="W510" s="18" t="inlineStr">
        <is>
          <t>Working translation</t>
        </is>
      </c>
      <c r="X510" s="18" t="inlineStr">
        <is>
          <t>A - Primary source</t>
        </is>
      </c>
      <c r="Y510" s="18" t="inlineStr">
        <is>
          <t>Original Chinese checked against Wang Bi recension; Vietnamese is Selflo working translation, not a published translation.</t>
        </is>
      </c>
      <c r="Z510" s="18" t="inlineStr">
        <is>
          <t>Public domain / likely</t>
        </is>
      </c>
      <c r="AA510" s="18" t="inlineStr">
        <is>
          <t>Ancient source text. Verify jurisdiction/edition before commercial publication.</t>
        </is>
      </c>
      <c r="AB510" s="18" t="inlineStr">
        <is>
          <t>High</t>
        </is>
      </c>
      <c r="AC510" s="18" t="inlineStr">
        <is>
          <t>AI abundance relevance.</t>
        </is>
      </c>
      <c r="AD510" s="18" t="inlineStr">
        <is>
          <t>Needs editorial review</t>
        </is>
      </c>
      <c r="AE510" s="18" t="inlineStr">
        <is>
          <t>Needs semantic dedupe review</t>
        </is>
      </c>
      <c r="AF510" s="18" t="n"/>
      <c r="AG510" s="18" t="n"/>
      <c r="AH510" s="18" t="inlineStr">
        <is>
          <t>No</t>
        </is>
      </c>
      <c r="AI510" s="18" t="inlineStr">
        <is>
          <t>Not reviewed</t>
        </is>
      </c>
      <c r="AJ510" s="18" t="inlineStr">
        <is>
          <t>Research only</t>
        </is>
      </c>
      <c r="AK510" s="18" t="inlineStr">
        <is>
          <t>Research Pool</t>
        </is>
      </c>
      <c r="AL510" s="18" t="n">
        <v>2</v>
      </c>
      <c r="AM510" s="18" t="inlineStr">
        <is>
          <t>ChatGPT research</t>
        </is>
      </c>
      <c r="AN510" s="18" t="inlineStr">
        <is>
          <t>2026-09-18</t>
        </is>
      </c>
      <c r="AO510" s="18" t="inlineStr">
        <is>
          <t>Day 2 full-scope audit, chapters 21–50.</t>
        </is>
      </c>
      <c r="AP510" s="18" t="n"/>
      <c r="AQ510" s="18" t="n"/>
    </row>
    <row r="511">
      <c r="A511" s="18" t="inlineStr">
        <is>
          <t>research.laozi.day2.ch23.010</t>
        </is>
      </c>
      <c r="B511" s="18" t="inlineStr">
        <is>
          <t>Collected</t>
        </is>
      </c>
      <c r="C511" s="18" t="inlineStr">
        <is>
          <t>Nội tâm &amp; hiểu mình</t>
        </is>
      </c>
      <c r="D511" s="18" t="inlineStr">
        <is>
          <t>Day 2 / Laozi 21–50</t>
        </is>
      </c>
      <c r="E511" s="18" t="n"/>
      <c r="F511" s="18" t="inlineStr">
        <is>
          <t>Trạng thái mạnh cũng có nhịp và giới hạn</t>
        </is>
      </c>
      <c r="G511" s="18" t="inlineStr">
        <is>
          <t>Impermanence</t>
        </is>
      </c>
      <c r="H511" s="18" t="n"/>
      <c r="I511" s="18" t="n"/>
      <c r="J511" s="18" t="n"/>
      <c r="K511" s="18" t="inlineStr">
        <is>
          <t>Permit</t>
        </is>
      </c>
      <c r="L511" s="18" t="n"/>
      <c r="M511" s="18" t="inlineStr">
        <is>
          <t>Trích đoạn triết học</t>
        </is>
      </c>
      <c r="N511" s="18" t="inlineStr">
        <is>
          <t>飄風不終朝，驟雨不終日。</t>
        </is>
      </c>
      <c r="O511" s="18" t="inlineStr">
        <is>
          <t>Classical Chinese (文言文)</t>
        </is>
      </c>
      <c r="P511" s="18" t="inlineStr">
        <is>
          <t>Gió dữ không thổi hết buổi; mưa lớn không kéo suốt ngày.</t>
        </is>
      </c>
      <c r="Q511" s="18" t="inlineStr">
        <is>
          <t>Laozi / 老子</t>
        </is>
      </c>
      <c r="R511" s="18" t="inlineStr">
        <is>
          <t>Taoism</t>
        </is>
      </c>
      <c r="S511" s="18" t="inlineStr">
        <is>
          <t>道德經 / Tao Te Ching</t>
        </is>
      </c>
      <c r="T511" s="18" t="inlineStr">
        <is>
          <t>Chapter 23</t>
        </is>
      </c>
      <c r="U511" s="18" t="inlineStr">
        <is>
          <t>https://zh.wikisource.org/zh-hant/%E9%81%93%E5%BE%B7%E7%B6%93_%28%E7%8E%8B%E5%BC%BC%E6%9C%AC%29</t>
        </is>
      </c>
      <c r="V511" s="18" t="inlineStr">
        <is>
          <t>Primary text</t>
        </is>
      </c>
      <c r="W511" s="18" t="inlineStr">
        <is>
          <t>Working translation</t>
        </is>
      </c>
      <c r="X511" s="18" t="inlineStr">
        <is>
          <t>A - Primary source</t>
        </is>
      </c>
      <c r="Y511" s="18" t="inlineStr">
        <is>
          <t>Original Chinese checked against Wang Bi recension; Vietnamese is Selflo working translation, not a published translation.</t>
        </is>
      </c>
      <c r="Z511" s="18" t="inlineStr">
        <is>
          <t>Public domain / likely</t>
        </is>
      </c>
      <c r="AA511" s="18" t="inlineStr">
        <is>
          <t>Ancient source text. Verify jurisdiction/edition before commercial publication.</t>
        </is>
      </c>
      <c r="AB511" s="18" t="inlineStr">
        <is>
          <t>High</t>
        </is>
      </c>
      <c r="AC511" s="18" t="inlineStr">
        <is>
          <t>Không dùng để hứa khó khăn sẽ tự hết.</t>
        </is>
      </c>
      <c r="AD511" s="18" t="inlineStr">
        <is>
          <t>Needs editorial review</t>
        </is>
      </c>
      <c r="AE511" s="18" t="inlineStr">
        <is>
          <t>Needs semantic dedupe review</t>
        </is>
      </c>
      <c r="AF511" s="18" t="n"/>
      <c r="AG511" s="18" t="n"/>
      <c r="AH511" s="18" t="inlineStr">
        <is>
          <t>No</t>
        </is>
      </c>
      <c r="AI511" s="18" t="inlineStr">
        <is>
          <t>Not reviewed</t>
        </is>
      </c>
      <c r="AJ511" s="18" t="inlineStr">
        <is>
          <t>Research only</t>
        </is>
      </c>
      <c r="AK511" s="18" t="inlineStr">
        <is>
          <t>Research Pool</t>
        </is>
      </c>
      <c r="AL511" s="18" t="n">
        <v>2</v>
      </c>
      <c r="AM511" s="18" t="inlineStr">
        <is>
          <t>ChatGPT research</t>
        </is>
      </c>
      <c r="AN511" s="18" t="inlineStr">
        <is>
          <t>2026-09-18</t>
        </is>
      </c>
      <c r="AO511" s="18" t="inlineStr">
        <is>
          <t>Day 2 full-scope audit, chapters 21–50.</t>
        </is>
      </c>
      <c r="AP511" s="18" t="n"/>
      <c r="AQ511" s="18" t="n"/>
    </row>
    <row r="512">
      <c r="A512" s="18" t="inlineStr">
        <is>
          <t>research.laozi.day2.ch23.011</t>
        </is>
      </c>
      <c r="B512" s="18" t="inlineStr">
        <is>
          <t>Collected</t>
        </is>
      </c>
      <c r="C512" s="18" t="inlineStr">
        <is>
          <t>Nội tâm &amp; hiểu mình</t>
        </is>
      </c>
      <c r="D512" s="18" t="inlineStr">
        <is>
          <t>Day 2 / Laozi 21–50</t>
        </is>
      </c>
      <c r="E512" s="18" t="n"/>
      <c r="F512" s="18" t="inlineStr">
        <is>
          <t>Không đòi bản thân duy trì cường độ mãi</t>
        </is>
      </c>
      <c r="G512" s="18" t="inlineStr">
        <is>
          <t>Limits</t>
        </is>
      </c>
      <c r="H512" s="18" t="n"/>
      <c r="I512" s="18" t="n"/>
      <c r="J512" s="18" t="n"/>
      <c r="K512" s="18" t="inlineStr">
        <is>
          <t>Permit</t>
        </is>
      </c>
      <c r="L512" s="18" t="n"/>
      <c r="M512" s="18" t="inlineStr">
        <is>
          <t>Trích đoạn triết học</t>
        </is>
      </c>
      <c r="N512" s="18" t="inlineStr">
        <is>
          <t>天地尚不能久，而況於人乎？</t>
        </is>
      </c>
      <c r="O512" s="18" t="inlineStr">
        <is>
          <t>Classical Chinese (文言文)</t>
        </is>
      </c>
      <c r="P512" s="18" t="inlineStr">
        <is>
          <t>Ngay trời đất cũng không duy trì mãi một cơn dữ dội; con người lại càng không thể giữ mãi một trạng thái như vậy.</t>
        </is>
      </c>
      <c r="Q512" s="18" t="inlineStr">
        <is>
          <t>Laozi / 老子</t>
        </is>
      </c>
      <c r="R512" s="18" t="inlineStr">
        <is>
          <t>Taoism</t>
        </is>
      </c>
      <c r="S512" s="18" t="inlineStr">
        <is>
          <t>道德經 / Tao Te Ching</t>
        </is>
      </c>
      <c r="T512" s="18" t="inlineStr">
        <is>
          <t>Chapter 23</t>
        </is>
      </c>
      <c r="U512" s="18" t="inlineStr">
        <is>
          <t>https://zh.wikisource.org/zh-hant/%E9%81%93%E5%BE%B7%E7%B6%93_%28%E7%8E%8B%E5%BC%BC%E6%9C%AC%29</t>
        </is>
      </c>
      <c r="V512" s="18" t="inlineStr">
        <is>
          <t>Primary text</t>
        </is>
      </c>
      <c r="W512" s="18" t="inlineStr">
        <is>
          <t>Working translation</t>
        </is>
      </c>
      <c r="X512" s="18" t="inlineStr">
        <is>
          <t>A - Primary source</t>
        </is>
      </c>
      <c r="Y512" s="18" t="inlineStr">
        <is>
          <t>Original Chinese checked against Wang Bi recension; Vietnamese is Selflo working translation, not a published translation.</t>
        </is>
      </c>
      <c r="Z512" s="18" t="inlineStr">
        <is>
          <t>Public domain / likely</t>
        </is>
      </c>
      <c r="AA512" s="18" t="inlineStr">
        <is>
          <t>Ancient source text. Verify jurisdiction/edition before commercial publication.</t>
        </is>
      </c>
      <c r="AB512" s="18" t="inlineStr">
        <is>
          <t>High</t>
        </is>
      </c>
      <c r="AC512" s="18" t="inlineStr">
        <is>
          <t>Recovery/limits.</t>
        </is>
      </c>
      <c r="AD512" s="18" t="inlineStr">
        <is>
          <t>Needs editorial review</t>
        </is>
      </c>
      <c r="AE512" s="18" t="inlineStr">
        <is>
          <t>Needs semantic dedupe review</t>
        </is>
      </c>
      <c r="AF512" s="18" t="n"/>
      <c r="AG512" s="18" t="n"/>
      <c r="AH512" s="18" t="inlineStr">
        <is>
          <t>No</t>
        </is>
      </c>
      <c r="AI512" s="18" t="inlineStr">
        <is>
          <t>Not reviewed</t>
        </is>
      </c>
      <c r="AJ512" s="18" t="inlineStr">
        <is>
          <t>Research only</t>
        </is>
      </c>
      <c r="AK512" s="18" t="inlineStr">
        <is>
          <t>Research Pool</t>
        </is>
      </c>
      <c r="AL512" s="18" t="n">
        <v>2</v>
      </c>
      <c r="AM512" s="18" t="inlineStr">
        <is>
          <t>ChatGPT research</t>
        </is>
      </c>
      <c r="AN512" s="18" t="inlineStr">
        <is>
          <t>2026-09-18</t>
        </is>
      </c>
      <c r="AO512" s="18" t="inlineStr">
        <is>
          <t>Day 2 full-scope audit, chapters 21–50.</t>
        </is>
      </c>
      <c r="AP512" s="18" t="n"/>
      <c r="AQ512" s="18" t="n"/>
    </row>
    <row r="513">
      <c r="A513" s="18" t="inlineStr">
        <is>
          <t>research.laozi.day2.ch23.012</t>
        </is>
      </c>
      <c r="B513" s="18" t="inlineStr">
        <is>
          <t>Collected</t>
        </is>
      </c>
      <c r="C513" s="18" t="inlineStr">
        <is>
          <t>Nội tâm &amp; hiểu mình</t>
        </is>
      </c>
      <c r="D513" s="18" t="inlineStr">
        <is>
          <t>Day 2 / Laozi 21–50</t>
        </is>
      </c>
      <c r="E513" s="18" t="n"/>
      <c r="F513" s="18" t="inlineStr">
        <is>
          <t>Niềm tin cần điều kiện để hình thành</t>
        </is>
      </c>
      <c r="G513" s="18" t="inlineStr">
        <is>
          <t>Trust</t>
        </is>
      </c>
      <c r="H513" s="18" t="n"/>
      <c r="I513" s="18" t="n"/>
      <c r="J513" s="18" t="n"/>
      <c r="K513" s="18" t="inlineStr">
        <is>
          <t>Distinguish</t>
        </is>
      </c>
      <c r="L513" s="18" t="n"/>
      <c r="M513" s="18" t="inlineStr">
        <is>
          <t>Trích đoạn triết học</t>
        </is>
      </c>
      <c r="N513" s="18" t="inlineStr">
        <is>
          <t>信不足焉，有不信焉。</t>
        </is>
      </c>
      <c r="O513" s="18" t="inlineStr">
        <is>
          <t>Classical Chinese (文言文)</t>
        </is>
      </c>
      <c r="P513" s="18" t="inlineStr">
        <is>
          <t>Khi sự đáng tin không đủ, sự không tin cũng xuất hiện.</t>
        </is>
      </c>
      <c r="Q513" s="18" t="inlineStr">
        <is>
          <t>Laozi / 老子</t>
        </is>
      </c>
      <c r="R513" s="18" t="inlineStr">
        <is>
          <t>Taoism</t>
        </is>
      </c>
      <c r="S513" s="18" t="inlineStr">
        <is>
          <t>道德經 / Tao Te Ching</t>
        </is>
      </c>
      <c r="T513" s="18" t="inlineStr">
        <is>
          <t>Chapter 23</t>
        </is>
      </c>
      <c r="U513" s="18" t="inlineStr">
        <is>
          <t>https://zh.wikisource.org/zh-hant/%E9%81%93%E5%BE%B7%E7%B6%93_%28%E7%8E%8B%E5%BC%BC%E6%9C%AC%29</t>
        </is>
      </c>
      <c r="V513" s="18" t="inlineStr">
        <is>
          <t>Primary text</t>
        </is>
      </c>
      <c r="W513" s="18" t="inlineStr">
        <is>
          <t>Working translation</t>
        </is>
      </c>
      <c r="X513" s="18" t="inlineStr">
        <is>
          <t>A - Primary source</t>
        </is>
      </c>
      <c r="Y513" s="18" t="inlineStr">
        <is>
          <t>Original Chinese checked against Wang Bi recension; Vietnamese is Selflo working translation, not a published translation.</t>
        </is>
      </c>
      <c r="Z513" s="18" t="inlineStr">
        <is>
          <t>Public domain / likely</t>
        </is>
      </c>
      <c r="AA513" s="18" t="inlineStr">
        <is>
          <t>Ancient source text. Verify jurisdiction/edition before commercial publication.</t>
        </is>
      </c>
      <c r="AB513" s="18" t="inlineStr">
        <is>
          <t>High</t>
        </is>
      </c>
      <c r="AC513" s="18" t="inlineStr">
        <is>
          <t>Lặp motif ch.17; dedupe later.</t>
        </is>
      </c>
      <c r="AD513" s="18" t="inlineStr">
        <is>
          <t>Needs editorial review</t>
        </is>
      </c>
      <c r="AE513" s="18" t="inlineStr">
        <is>
          <t>Needs semantic dedupe review</t>
        </is>
      </c>
      <c r="AF513" s="18" t="n"/>
      <c r="AG513" s="18" t="n"/>
      <c r="AH513" s="18" t="inlineStr">
        <is>
          <t>No</t>
        </is>
      </c>
      <c r="AI513" s="18" t="inlineStr">
        <is>
          <t>Not reviewed</t>
        </is>
      </c>
      <c r="AJ513" s="18" t="inlineStr">
        <is>
          <t>Research only</t>
        </is>
      </c>
      <c r="AK513" s="18" t="inlineStr">
        <is>
          <t>Research Pool</t>
        </is>
      </c>
      <c r="AL513" s="18" t="n">
        <v>2</v>
      </c>
      <c r="AM513" s="18" t="inlineStr">
        <is>
          <t>ChatGPT research</t>
        </is>
      </c>
      <c r="AN513" s="18" t="inlineStr">
        <is>
          <t>2026-09-18</t>
        </is>
      </c>
      <c r="AO513" s="18" t="inlineStr">
        <is>
          <t>Day 2 full-scope audit, chapters 21–50.</t>
        </is>
      </c>
      <c r="AP513" s="18" t="n"/>
      <c r="AQ513" s="18" t="n"/>
    </row>
    <row r="514">
      <c r="A514" s="18" t="inlineStr">
        <is>
          <t>research.laozi.day2.ch24.013</t>
        </is>
      </c>
      <c r="B514" s="18" t="inlineStr">
        <is>
          <t>Collected</t>
        </is>
      </c>
      <c r="C514" s="18" t="inlineStr">
        <is>
          <t>Nội tâm &amp; hiểu mình</t>
        </is>
      </c>
      <c r="D514" s="18" t="inlineStr">
        <is>
          <t>Day 2 / Laozi 21–50</t>
        </is>
      </c>
      <c r="E514" s="18" t="n"/>
      <c r="F514" s="18" t="inlineStr">
        <is>
          <t>Cố vượt nhịp có thể làm giảm tính bền vững</t>
        </is>
      </c>
      <c r="G514" s="18" t="inlineStr">
        <is>
          <t>Limits</t>
        </is>
      </c>
      <c r="H514" s="18" t="n"/>
      <c r="I514" s="18" t="n"/>
      <c r="J514" s="18" t="n"/>
      <c r="K514" s="18" t="inlineStr">
        <is>
          <t>Reframe</t>
        </is>
      </c>
      <c r="L514" s="18" t="n"/>
      <c r="M514" s="18" t="inlineStr">
        <is>
          <t>Trích đoạn triết học</t>
        </is>
      </c>
      <c r="N514" s="18" t="inlineStr">
        <is>
          <t>企者不立，跨者不行。</t>
        </is>
      </c>
      <c r="O514" s="18" t="inlineStr">
        <is>
          <t>Classical Chinese (文言文)</t>
        </is>
      </c>
      <c r="P514" s="18" t="inlineStr">
        <is>
          <t>Nhón chân thì khó đứng lâu; bước quá dài thì khó đi bền.</t>
        </is>
      </c>
      <c r="Q514" s="18" t="inlineStr">
        <is>
          <t>Laozi / 老子</t>
        </is>
      </c>
      <c r="R514" s="18" t="inlineStr">
        <is>
          <t>Taoism</t>
        </is>
      </c>
      <c r="S514" s="18" t="inlineStr">
        <is>
          <t>道德經 / Tao Te Ching</t>
        </is>
      </c>
      <c r="T514" s="18" t="inlineStr">
        <is>
          <t>Chapter 24</t>
        </is>
      </c>
      <c r="U514" s="18" t="inlineStr">
        <is>
          <t>https://zh.wikisource.org/zh-hant/%E9%81%93%E5%BE%B7%E7%B6%93_%28%E7%8E%8B%E5%BC%BC%E6%9C%AC%29</t>
        </is>
      </c>
      <c r="V514" s="18" t="inlineStr">
        <is>
          <t>Primary text</t>
        </is>
      </c>
      <c r="W514" s="18" t="inlineStr">
        <is>
          <t>Working translation</t>
        </is>
      </c>
      <c r="X514" s="18" t="inlineStr">
        <is>
          <t>A - Primary source</t>
        </is>
      </c>
      <c r="Y514" s="18" t="inlineStr">
        <is>
          <t>Original Chinese checked against Wang Bi recension; Vietnamese is Selflo working translation, not a published translation.</t>
        </is>
      </c>
      <c r="Z514" s="18" t="inlineStr">
        <is>
          <t>Public domain / likely</t>
        </is>
      </c>
      <c r="AA514" s="18" t="inlineStr">
        <is>
          <t>Ancient source text. Verify jurisdiction/edition before commercial publication.</t>
        </is>
      </c>
      <c r="AB514" s="18" t="inlineStr">
        <is>
          <t>High</t>
        </is>
      </c>
      <c r="AC514" s="18" t="inlineStr">
        <is>
          <t>Mạnh cho burnout/pace.</t>
        </is>
      </c>
      <c r="AD514" s="18" t="inlineStr">
        <is>
          <t>Needs editorial review</t>
        </is>
      </c>
      <c r="AE514" s="18" t="inlineStr">
        <is>
          <t>Needs semantic dedupe review</t>
        </is>
      </c>
      <c r="AF514" s="18" t="n"/>
      <c r="AG514" s="18" t="n"/>
      <c r="AH514" s="18" t="inlineStr">
        <is>
          <t>No</t>
        </is>
      </c>
      <c r="AI514" s="18" t="inlineStr">
        <is>
          <t>Not reviewed</t>
        </is>
      </c>
      <c r="AJ514" s="18" t="inlineStr">
        <is>
          <t>Research only</t>
        </is>
      </c>
      <c r="AK514" s="18" t="inlineStr">
        <is>
          <t>Research Pool</t>
        </is>
      </c>
      <c r="AL514" s="18" t="n">
        <v>2</v>
      </c>
      <c r="AM514" s="18" t="inlineStr">
        <is>
          <t>ChatGPT research</t>
        </is>
      </c>
      <c r="AN514" s="18" t="inlineStr">
        <is>
          <t>2026-09-18</t>
        </is>
      </c>
      <c r="AO514" s="18" t="inlineStr">
        <is>
          <t>Day 2 full-scope audit, chapters 21–50.</t>
        </is>
      </c>
      <c r="AP514" s="18" t="n"/>
      <c r="AQ514" s="18" t="n"/>
    </row>
    <row r="515">
      <c r="A515" s="18" t="inlineStr">
        <is>
          <t>research.laozi.day2.ch24.014</t>
        </is>
      </c>
      <c r="B515" s="18" t="inlineStr">
        <is>
          <t>Collected</t>
        </is>
      </c>
      <c r="C515" s="18" t="inlineStr">
        <is>
          <t>Nội tâm &amp; hiểu mình</t>
        </is>
      </c>
      <c r="D515" s="18" t="inlineStr">
        <is>
          <t>Day 2 / Laozi 21–50</t>
        </is>
      </c>
      <c r="E515" s="18" t="n"/>
      <c r="F515" s="18" t="inlineStr">
        <is>
          <t>Cái tôi có thể che mất khả năng nhìn rõ</t>
        </is>
      </c>
      <c r="G515" s="18" t="inlineStr">
        <is>
          <t>Judgment</t>
        </is>
      </c>
      <c r="H515" s="18" t="n"/>
      <c r="I515" s="18" t="n"/>
      <c r="J515" s="18" t="n"/>
      <c r="K515" s="18" t="inlineStr">
        <is>
          <t>Distinguish</t>
        </is>
      </c>
      <c r="L515" s="18" t="n"/>
      <c r="M515" s="18" t="inlineStr">
        <is>
          <t>Trích đoạn triết học</t>
        </is>
      </c>
      <c r="N515" s="18" t="inlineStr">
        <is>
          <t>自見者不明，自是者不彰，自伐者無功，自矜者不長。</t>
        </is>
      </c>
      <c r="O515" s="18" t="inlineStr">
        <is>
          <t>Classical Chinese (文言文)</t>
        </is>
      </c>
      <c r="P515" s="18" t="inlineStr">
        <is>
          <t>Chỉ chăm thấy mình thì khó sáng; tự cho mình đúng thì khó được làm rõ; tự kể công thì công khó đứng; tự tôn mình thì khó bền.</t>
        </is>
      </c>
      <c r="Q515" s="18" t="inlineStr">
        <is>
          <t>Laozi / 老子</t>
        </is>
      </c>
      <c r="R515" s="18" t="inlineStr">
        <is>
          <t>Taoism</t>
        </is>
      </c>
      <c r="S515" s="18" t="inlineStr">
        <is>
          <t>道德經 / Tao Te Ching</t>
        </is>
      </c>
      <c r="T515" s="18" t="inlineStr">
        <is>
          <t>Chapter 24</t>
        </is>
      </c>
      <c r="U515" s="18" t="inlineStr">
        <is>
          <t>https://zh.wikisource.org/zh-hant/%E9%81%93%E5%BE%B7%E7%B6%93_%28%E7%8E%8B%E5%BC%BC%E6%9C%AC%29</t>
        </is>
      </c>
      <c r="V515" s="18" t="inlineStr">
        <is>
          <t>Primary text</t>
        </is>
      </c>
      <c r="W515" s="18" t="inlineStr">
        <is>
          <t>Working translation</t>
        </is>
      </c>
      <c r="X515" s="18" t="inlineStr">
        <is>
          <t>A - Primary source</t>
        </is>
      </c>
      <c r="Y515" s="18" t="inlineStr">
        <is>
          <t>Original Chinese checked against Wang Bi recension; Vietnamese is Selflo working translation, not a published translation.</t>
        </is>
      </c>
      <c r="Z515" s="18" t="inlineStr">
        <is>
          <t>Public domain / likely</t>
        </is>
      </c>
      <c r="AA515" s="18" t="inlineStr">
        <is>
          <t>Ancient source text. Verify jurisdiction/edition before commercial publication.</t>
        </is>
      </c>
      <c r="AB515" s="18" t="inlineStr">
        <is>
          <t>Medium</t>
        </is>
      </c>
      <c r="AC515" s="18" t="inlineStr">
        <is>
          <t>Có moralizing risk.</t>
        </is>
      </c>
      <c r="AD515" s="18" t="inlineStr">
        <is>
          <t>Needs editorial review</t>
        </is>
      </c>
      <c r="AE515" s="18" t="inlineStr">
        <is>
          <t>Needs semantic dedupe review</t>
        </is>
      </c>
      <c r="AF515" s="18" t="n"/>
      <c r="AG515" s="18" t="n"/>
      <c r="AH515" s="18" t="inlineStr">
        <is>
          <t>No</t>
        </is>
      </c>
      <c r="AI515" s="18" t="inlineStr">
        <is>
          <t>Not reviewed</t>
        </is>
      </c>
      <c r="AJ515" s="18" t="inlineStr">
        <is>
          <t>Research only</t>
        </is>
      </c>
      <c r="AK515" s="18" t="inlineStr">
        <is>
          <t>Research Pool</t>
        </is>
      </c>
      <c r="AL515" s="18" t="n">
        <v>2</v>
      </c>
      <c r="AM515" s="18" t="inlineStr">
        <is>
          <t>ChatGPT research</t>
        </is>
      </c>
      <c r="AN515" s="18" t="inlineStr">
        <is>
          <t>2026-09-18</t>
        </is>
      </c>
      <c r="AO515" s="18" t="inlineStr">
        <is>
          <t>Day 2 full-scope audit, chapters 21–50.</t>
        </is>
      </c>
      <c r="AP515" s="18" t="n"/>
      <c r="AQ515" s="18" t="n"/>
    </row>
    <row r="516">
      <c r="A516" s="18" t="inlineStr">
        <is>
          <t>research.laozi.day2.ch24.015</t>
        </is>
      </c>
      <c r="B516" s="18" t="inlineStr">
        <is>
          <t>Collected</t>
        </is>
      </c>
      <c r="C516" s="18" t="inlineStr">
        <is>
          <t>Nội tâm &amp; hiểu mình</t>
        </is>
      </c>
      <c r="D516" s="18" t="inlineStr">
        <is>
          <t>Day 2 / Laozi 21–50</t>
        </is>
      </c>
      <c r="E516" s="18" t="n"/>
      <c r="F516" s="18" t="inlineStr">
        <is>
          <t>Nhận ra phần thêm vào nhưng không còn tạo giá trị</t>
        </is>
      </c>
      <c r="G516" s="18" t="inlineStr">
        <is>
          <t>Enoughness</t>
        </is>
      </c>
      <c r="H516" s="18" t="n"/>
      <c r="I516" s="18" t="n"/>
      <c r="J516" s="18" t="n"/>
      <c r="K516" s="18" t="inlineStr">
        <is>
          <t>Distinguish</t>
        </is>
      </c>
      <c r="L516" s="18" t="n"/>
      <c r="M516" s="18" t="inlineStr">
        <is>
          <t>Trích đoạn triết học</t>
        </is>
      </c>
      <c r="N516" s="18" t="inlineStr">
        <is>
          <t>其在道也，曰餘食贅行。</t>
        </is>
      </c>
      <c r="O516" s="18" t="inlineStr">
        <is>
          <t>Classical Chinese (文言文)</t>
        </is>
      </c>
      <c r="P516" s="18" t="inlineStr">
        <is>
          <t>Xét theo Đạo, những thứ dư thừa ấy giống thức ăn thừa hay phần thừa trên thân.</t>
        </is>
      </c>
      <c r="Q516" s="18" t="inlineStr">
        <is>
          <t>Laozi / 老子</t>
        </is>
      </c>
      <c r="R516" s="18" t="inlineStr">
        <is>
          <t>Taoism</t>
        </is>
      </c>
      <c r="S516" s="18" t="inlineStr">
        <is>
          <t>道德經 / Tao Te Ching</t>
        </is>
      </c>
      <c r="T516" s="18" t="inlineStr">
        <is>
          <t>Chapter 24</t>
        </is>
      </c>
      <c r="U516" s="18" t="inlineStr">
        <is>
          <t>https://zh.wikisource.org/zh-hant/%E9%81%93%E5%BE%B7%E7%B6%93_%28%E7%8E%8B%E5%BC%BC%E6%9C%AC%29</t>
        </is>
      </c>
      <c r="V516" s="18" t="inlineStr">
        <is>
          <t>Primary text</t>
        </is>
      </c>
      <c r="W516" s="18" t="inlineStr">
        <is>
          <t>Working translation</t>
        </is>
      </c>
      <c r="X516" s="18" t="inlineStr">
        <is>
          <t>A - Primary source</t>
        </is>
      </c>
      <c r="Y516" s="18" t="inlineStr">
        <is>
          <t>Original Chinese checked against Wang Bi recension; Vietnamese is Selflo working translation, not a published translation.</t>
        </is>
      </c>
      <c r="Z516" s="18" t="inlineStr">
        <is>
          <t>Public domain / likely</t>
        </is>
      </c>
      <c r="AA516" s="18" t="inlineStr">
        <is>
          <t>Ancient source text. Verify jurisdiction/edition before commercial publication.</t>
        </is>
      </c>
      <c r="AB516" s="18" t="inlineStr">
        <is>
          <t>Medium</t>
        </is>
      </c>
      <c r="AC516" s="18" t="inlineStr">
        <is>
          <t>Hình ảnh mạnh nhưng harsh.</t>
        </is>
      </c>
      <c r="AD516" s="18" t="inlineStr">
        <is>
          <t>Needs editorial review</t>
        </is>
      </c>
      <c r="AE516" s="18" t="inlineStr">
        <is>
          <t>Needs semantic dedupe review</t>
        </is>
      </c>
      <c r="AF516" s="18" t="n"/>
      <c r="AG516" s="18" t="n"/>
      <c r="AH516" s="18" t="inlineStr">
        <is>
          <t>No</t>
        </is>
      </c>
      <c r="AI516" s="18" t="inlineStr">
        <is>
          <t>Not reviewed</t>
        </is>
      </c>
      <c r="AJ516" s="18" t="inlineStr">
        <is>
          <t>Research only</t>
        </is>
      </c>
      <c r="AK516" s="18" t="inlineStr">
        <is>
          <t>Research Pool</t>
        </is>
      </c>
      <c r="AL516" s="18" t="n">
        <v>2</v>
      </c>
      <c r="AM516" s="18" t="inlineStr">
        <is>
          <t>ChatGPT research</t>
        </is>
      </c>
      <c r="AN516" s="18" t="inlineStr">
        <is>
          <t>2026-09-18</t>
        </is>
      </c>
      <c r="AO516" s="18" t="inlineStr">
        <is>
          <t>Day 2 full-scope audit, chapters 21–50.</t>
        </is>
      </c>
      <c r="AP516" s="18" t="n"/>
      <c r="AQ516" s="18" t="n"/>
    </row>
    <row r="517">
      <c r="A517" s="18" t="inlineStr">
        <is>
          <t>research.laozi.day2.ch25.016</t>
        </is>
      </c>
      <c r="B517" s="18" t="inlineStr">
        <is>
          <t>Collected</t>
        </is>
      </c>
      <c r="C517" s="18" t="inlineStr">
        <is>
          <t>Nội tâm &amp; hiểu mình</t>
        </is>
      </c>
      <c r="D517" s="18" t="inlineStr">
        <is>
          <t>Day 2 / Laozi 21–50</t>
        </is>
      </c>
      <c r="E517" s="18" t="n"/>
      <c r="F517" s="18" t="inlineStr">
        <is>
          <t>Nhìn nền tảng nằm dưới các hình thức thay đổi</t>
        </is>
      </c>
      <c r="G517" s="18" t="inlineStr">
        <is>
          <t>Meaning</t>
        </is>
      </c>
      <c r="H517" s="18" t="n"/>
      <c r="I517" s="18" t="n"/>
      <c r="J517" s="18" t="n"/>
      <c r="K517" s="18" t="inlineStr">
        <is>
          <t>Recognize</t>
        </is>
      </c>
      <c r="L517" s="18" t="n"/>
      <c r="M517" s="18" t="inlineStr">
        <is>
          <t>Trích đoạn triết học</t>
        </is>
      </c>
      <c r="N517" s="18" t="inlineStr">
        <is>
          <t>有物混成，先天地生。</t>
        </is>
      </c>
      <c r="O517" s="18" t="inlineStr">
        <is>
          <t>Classical Chinese (文言文)</t>
        </is>
      </c>
      <c r="P517" s="18" t="inlineStr">
        <is>
          <t>Có một điều hỗn thành, được nói là có trước trời đất.</t>
        </is>
      </c>
      <c r="Q517" s="18" t="inlineStr">
        <is>
          <t>Laozi / 老子</t>
        </is>
      </c>
      <c r="R517" s="18" t="inlineStr">
        <is>
          <t>Taoism</t>
        </is>
      </c>
      <c r="S517" s="18" t="inlineStr">
        <is>
          <t>道德經 / Tao Te Ching</t>
        </is>
      </c>
      <c r="T517" s="18" t="inlineStr">
        <is>
          <t>Chapter 25</t>
        </is>
      </c>
      <c r="U517" s="18" t="inlineStr">
        <is>
          <t>https://zh.wikisource.org/zh-hant/%E9%81%93%E5%BE%B7%E7%B6%93_%28%E7%8E%8B%E5%BC%BC%E6%9C%AC%29</t>
        </is>
      </c>
      <c r="V517" s="18" t="inlineStr">
        <is>
          <t>Primary text</t>
        </is>
      </c>
      <c r="W517" s="18" t="inlineStr">
        <is>
          <t>Working translation</t>
        </is>
      </c>
      <c r="X517" s="18" t="inlineStr">
        <is>
          <t>A - Primary source</t>
        </is>
      </c>
      <c r="Y517" s="18" t="inlineStr">
        <is>
          <t>Original Chinese checked against Wang Bi recension; Vietnamese is Selflo working translation, not a published translation.</t>
        </is>
      </c>
      <c r="Z517" s="18" t="inlineStr">
        <is>
          <t>Public domain / likely</t>
        </is>
      </c>
      <c r="AA517" s="18" t="inlineStr">
        <is>
          <t>Ancient source text. Verify jurisdiction/edition before commercial publication.</t>
        </is>
      </c>
      <c r="AB517" s="18" t="inlineStr">
        <is>
          <t>Low</t>
        </is>
      </c>
      <c r="AC517" s="18" t="inlineStr">
        <is>
          <t>Metaphysical research.</t>
        </is>
      </c>
      <c r="AD517" s="18" t="inlineStr">
        <is>
          <t>Needs editorial review</t>
        </is>
      </c>
      <c r="AE517" s="18" t="inlineStr">
        <is>
          <t>Needs semantic dedupe review</t>
        </is>
      </c>
      <c r="AF517" s="18" t="n"/>
      <c r="AG517" s="18" t="n"/>
      <c r="AH517" s="18" t="inlineStr">
        <is>
          <t>No</t>
        </is>
      </c>
      <c r="AI517" s="18" t="inlineStr">
        <is>
          <t>Not reviewed</t>
        </is>
      </c>
      <c r="AJ517" s="18" t="inlineStr">
        <is>
          <t>Research only</t>
        </is>
      </c>
      <c r="AK517" s="18" t="inlineStr">
        <is>
          <t>Research Pool</t>
        </is>
      </c>
      <c r="AL517" s="18" t="n">
        <v>2</v>
      </c>
      <c r="AM517" s="18" t="inlineStr">
        <is>
          <t>ChatGPT research</t>
        </is>
      </c>
      <c r="AN517" s="18" t="inlineStr">
        <is>
          <t>2026-09-18</t>
        </is>
      </c>
      <c r="AO517" s="18" t="inlineStr">
        <is>
          <t>Day 2 full-scope audit, chapters 21–50.</t>
        </is>
      </c>
      <c r="AP517" s="18" t="n"/>
      <c r="AQ517" s="18" t="n"/>
    </row>
    <row r="518">
      <c r="A518" s="18" t="inlineStr">
        <is>
          <t>research.laozi.day2.ch25.017</t>
        </is>
      </c>
      <c r="B518" s="18" t="inlineStr">
        <is>
          <t>Collected</t>
        </is>
      </c>
      <c r="C518" s="18" t="inlineStr">
        <is>
          <t>Nội tâm &amp; hiểu mình</t>
        </is>
      </c>
      <c r="D518" s="18" t="inlineStr">
        <is>
          <t>Day 2 / Laozi 21–50</t>
        </is>
      </c>
      <c r="E518" s="18" t="n"/>
      <c r="F518" s="18" t="inlineStr">
        <is>
          <t>Tìm điều bền giữa chuyển động</t>
        </is>
      </c>
      <c r="G518" s="18" t="inlineStr">
        <is>
          <t>Change</t>
        </is>
      </c>
      <c r="H518" s="18" t="n"/>
      <c r="I518" s="18" t="n"/>
      <c r="J518" s="18" t="n"/>
      <c r="K518" s="18" t="inlineStr">
        <is>
          <t>Recognize</t>
        </is>
      </c>
      <c r="L518" s="18" t="n"/>
      <c r="M518" s="18" t="inlineStr">
        <is>
          <t>Trích đoạn triết học</t>
        </is>
      </c>
      <c r="N518" s="18" t="inlineStr">
        <is>
          <t>寂兮寥兮，獨立而不改，周行而不殆。</t>
        </is>
      </c>
      <c r="O518" s="18" t="inlineStr">
        <is>
          <t>Classical Chinese (文言文)</t>
        </is>
      </c>
      <c r="P518" s="18" t="inlineStr">
        <is>
          <t>Lặng và rộng; đứng riêng mà không đổi, vận hành khắp mà không kiệt.</t>
        </is>
      </c>
      <c r="Q518" s="18" t="inlineStr">
        <is>
          <t>Laozi / 老子</t>
        </is>
      </c>
      <c r="R518" s="18" t="inlineStr">
        <is>
          <t>Taoism</t>
        </is>
      </c>
      <c r="S518" s="18" t="inlineStr">
        <is>
          <t>道德經 / Tao Te Ching</t>
        </is>
      </c>
      <c r="T518" s="18" t="inlineStr">
        <is>
          <t>Chapter 25</t>
        </is>
      </c>
      <c r="U518" s="18" t="inlineStr">
        <is>
          <t>https://zh.wikisource.org/zh-hant/%E9%81%93%E5%BE%B7%E7%B6%93_%28%E7%8E%8B%E5%BC%BC%E6%9C%AC%29</t>
        </is>
      </c>
      <c r="V518" s="18" t="inlineStr">
        <is>
          <t>Primary text</t>
        </is>
      </c>
      <c r="W518" s="18" t="inlineStr">
        <is>
          <t>Working translation</t>
        </is>
      </c>
      <c r="X518" s="18" t="inlineStr">
        <is>
          <t>A - Primary source</t>
        </is>
      </c>
      <c r="Y518" s="18" t="inlineStr">
        <is>
          <t>Original Chinese checked against Wang Bi recension; Vietnamese is Selflo working translation, not a published translation.</t>
        </is>
      </c>
      <c r="Z518" s="18" t="inlineStr">
        <is>
          <t>Public domain / likely</t>
        </is>
      </c>
      <c r="AA518" s="18" t="inlineStr">
        <is>
          <t>Ancient source text. Verify jurisdiction/edition before commercial publication.</t>
        </is>
      </c>
      <c r="AB518" s="18" t="inlineStr">
        <is>
          <t>High</t>
        </is>
      </c>
      <c r="AC518" s="18" t="inlineStr">
        <is>
          <t>Enduring principle.</t>
        </is>
      </c>
      <c r="AD518" s="18" t="inlineStr">
        <is>
          <t>Needs editorial review</t>
        </is>
      </c>
      <c r="AE518" s="18" t="inlineStr">
        <is>
          <t>Needs semantic dedupe review</t>
        </is>
      </c>
      <c r="AF518" s="18" t="n"/>
      <c r="AG518" s="18" t="n"/>
      <c r="AH518" s="18" t="inlineStr">
        <is>
          <t>No</t>
        </is>
      </c>
      <c r="AI518" s="18" t="inlineStr">
        <is>
          <t>Not reviewed</t>
        </is>
      </c>
      <c r="AJ518" s="18" t="inlineStr">
        <is>
          <t>Research only</t>
        </is>
      </c>
      <c r="AK518" s="18" t="inlineStr">
        <is>
          <t>Research Pool</t>
        </is>
      </c>
      <c r="AL518" s="18" t="n">
        <v>2</v>
      </c>
      <c r="AM518" s="18" t="inlineStr">
        <is>
          <t>ChatGPT research</t>
        </is>
      </c>
      <c r="AN518" s="18" t="inlineStr">
        <is>
          <t>2026-09-18</t>
        </is>
      </c>
      <c r="AO518" s="18" t="inlineStr">
        <is>
          <t>Day 2 full-scope audit, chapters 21–50.</t>
        </is>
      </c>
      <c r="AP518" s="18" t="n"/>
      <c r="AQ518" s="18" t="n"/>
    </row>
    <row r="519">
      <c r="A519" s="18" t="inlineStr">
        <is>
          <t>research.laozi.day2.ch25.018</t>
        </is>
      </c>
      <c r="B519" s="18" t="inlineStr">
        <is>
          <t>Collected</t>
        </is>
      </c>
      <c r="C519" s="18" t="inlineStr">
        <is>
          <t>Nội tâm &amp; hiểu mình</t>
        </is>
      </c>
      <c r="D519" s="18" t="inlineStr">
        <is>
          <t>Day 2 / Laozi 21–50</t>
        </is>
      </c>
      <c r="E519" s="18" t="n"/>
      <c r="F519" s="18" t="inlineStr">
        <is>
          <t>Nhìn mình trong hệ thống lớn hơn</t>
        </is>
      </c>
      <c r="G519" s="18" t="inlineStr">
        <is>
          <t>Context</t>
        </is>
      </c>
      <c r="H519" s="18" t="n"/>
      <c r="I519" s="18" t="n"/>
      <c r="J519" s="18" t="n"/>
      <c r="K519" s="18" t="inlineStr">
        <is>
          <t>Reframe</t>
        </is>
      </c>
      <c r="L519" s="18" t="n"/>
      <c r="M519" s="18" t="inlineStr">
        <is>
          <t>Trích đoạn triết học</t>
        </is>
      </c>
      <c r="N519" s="18" t="inlineStr">
        <is>
          <t>人法地，地法天，天法道，道法自然。</t>
        </is>
      </c>
      <c r="O519" s="18" t="inlineStr">
        <is>
          <t>Classical Chinese (文言文)</t>
        </is>
      </c>
      <c r="P519" s="18" t="inlineStr">
        <is>
          <t>Người theo đất, đất theo trời, trời theo Đạo; Đạo theo cái tự nhiên như chính nó.</t>
        </is>
      </c>
      <c r="Q519" s="18" t="inlineStr">
        <is>
          <t>Laozi / 老子</t>
        </is>
      </c>
      <c r="R519" s="18" t="inlineStr">
        <is>
          <t>Taoism</t>
        </is>
      </c>
      <c r="S519" s="18" t="inlineStr">
        <is>
          <t>道德經 / Tao Te Ching</t>
        </is>
      </c>
      <c r="T519" s="18" t="inlineStr">
        <is>
          <t>Chapter 25</t>
        </is>
      </c>
      <c r="U519" s="18" t="inlineStr">
        <is>
          <t>https://zh.wikisource.org/zh-hant/%E9%81%93%E5%BE%B7%E7%B6%93_%28%E7%8E%8B%E5%BC%BC%E6%9C%AC%29</t>
        </is>
      </c>
      <c r="V519" s="18" t="inlineStr">
        <is>
          <t>Primary text</t>
        </is>
      </c>
      <c r="W519" s="18" t="inlineStr">
        <is>
          <t>Working translation</t>
        </is>
      </c>
      <c r="X519" s="18" t="inlineStr">
        <is>
          <t>A - Primary source</t>
        </is>
      </c>
      <c r="Y519" s="18" t="inlineStr">
        <is>
          <t>Original Chinese checked against Wang Bi recension; Vietnamese is Selflo working translation, not a published translation.</t>
        </is>
      </c>
      <c r="Z519" s="18" t="inlineStr">
        <is>
          <t>Public domain / likely</t>
        </is>
      </c>
      <c r="AA519" s="18" t="inlineStr">
        <is>
          <t>Ancient source text. Verify jurisdiction/edition before commercial publication.</t>
        </is>
      </c>
      <c r="AB519" s="18" t="inlineStr">
        <is>
          <t>High</t>
        </is>
      </c>
      <c r="AC519" s="18" t="inlineStr">
        <is>
          <t>Mạnh cho context/system; 自然 nghĩa cổ.</t>
        </is>
      </c>
      <c r="AD519" s="18" t="inlineStr">
        <is>
          <t>Needs editorial review</t>
        </is>
      </c>
      <c r="AE519" s="18" t="inlineStr">
        <is>
          <t>Needs semantic dedupe review</t>
        </is>
      </c>
      <c r="AF519" s="18" t="n"/>
      <c r="AG519" s="18" t="n"/>
      <c r="AH519" s="18" t="inlineStr">
        <is>
          <t>No</t>
        </is>
      </c>
      <c r="AI519" s="18" t="inlineStr">
        <is>
          <t>Not reviewed</t>
        </is>
      </c>
      <c r="AJ519" s="18" t="inlineStr">
        <is>
          <t>Research only</t>
        </is>
      </c>
      <c r="AK519" s="18" t="inlineStr">
        <is>
          <t>Research Pool</t>
        </is>
      </c>
      <c r="AL519" s="18" t="n">
        <v>2</v>
      </c>
      <c r="AM519" s="18" t="inlineStr">
        <is>
          <t>ChatGPT research</t>
        </is>
      </c>
      <c r="AN519" s="18" t="inlineStr">
        <is>
          <t>2026-09-18</t>
        </is>
      </c>
      <c r="AO519" s="18" t="inlineStr">
        <is>
          <t>Day 2 full-scope audit, chapters 21–50.</t>
        </is>
      </c>
      <c r="AP519" s="18" t="n"/>
      <c r="AQ519" s="18" t="n"/>
    </row>
    <row r="520">
      <c r="A520" s="18" t="inlineStr">
        <is>
          <t>research.laozi.day2.ch26.019</t>
        </is>
      </c>
      <c r="B520" s="18" t="inlineStr">
        <is>
          <t>Collected</t>
        </is>
      </c>
      <c r="C520" s="18" t="inlineStr">
        <is>
          <t>Nội tâm &amp; hiểu mình</t>
        </is>
      </c>
      <c r="D520" s="18" t="inlineStr">
        <is>
          <t>Day 2 / Laozi 21–50</t>
        </is>
      </c>
      <c r="E520" s="18" t="n"/>
      <c r="F520" s="18" t="inlineStr">
        <is>
          <t>Tĩnh và nền tảng có thể nâng đỡ chuyển động</t>
        </is>
      </c>
      <c r="G520" s="18" t="inlineStr">
        <is>
          <t>Rest</t>
        </is>
      </c>
      <c r="H520" s="18" t="n"/>
      <c r="I520" s="18" t="n"/>
      <c r="J520" s="18" t="n"/>
      <c r="K520" s="18" t="inlineStr">
        <is>
          <t>Reframe</t>
        </is>
      </c>
      <c r="L520" s="18" t="n"/>
      <c r="M520" s="18" t="inlineStr">
        <is>
          <t>Trích đoạn triết học</t>
        </is>
      </c>
      <c r="N520" s="18" t="inlineStr">
        <is>
          <t>重為輕根，靜為躁君。</t>
        </is>
      </c>
      <c r="O520" s="18" t="inlineStr">
        <is>
          <t>Classical Chinese (文言文)</t>
        </is>
      </c>
      <c r="P520" s="18" t="inlineStr">
        <is>
          <t>Nặng là gốc của nhẹ; tĩnh là chủ của động.</t>
        </is>
      </c>
      <c r="Q520" s="18" t="inlineStr">
        <is>
          <t>Laozi / 老子</t>
        </is>
      </c>
      <c r="R520" s="18" t="inlineStr">
        <is>
          <t>Taoism</t>
        </is>
      </c>
      <c r="S520" s="18" t="inlineStr">
        <is>
          <t>道德經 / Tao Te Ching</t>
        </is>
      </c>
      <c r="T520" s="18" t="inlineStr">
        <is>
          <t>Chapter 26</t>
        </is>
      </c>
      <c r="U520" s="18" t="inlineStr">
        <is>
          <t>https://zh.wikisource.org/zh-hant/%E9%81%93%E5%BE%B7%E7%B6%93_%28%E7%8E%8B%E5%BC%BC%E6%9C%AC%29</t>
        </is>
      </c>
      <c r="V520" s="18" t="inlineStr">
        <is>
          <t>Primary text</t>
        </is>
      </c>
      <c r="W520" s="18" t="inlineStr">
        <is>
          <t>Working translation</t>
        </is>
      </c>
      <c r="X520" s="18" t="inlineStr">
        <is>
          <t>A - Primary source</t>
        </is>
      </c>
      <c r="Y520" s="18" t="inlineStr">
        <is>
          <t>Original Chinese checked against Wang Bi recension; Vietnamese is Selflo working translation, not a published translation.</t>
        </is>
      </c>
      <c r="Z520" s="18" t="inlineStr">
        <is>
          <t>Public domain / likely</t>
        </is>
      </c>
      <c r="AA520" s="18" t="inlineStr">
        <is>
          <t>Ancient source text. Verify jurisdiction/edition before commercial publication.</t>
        </is>
      </c>
      <c r="AB520" s="18" t="inlineStr">
        <is>
          <t>High</t>
        </is>
      </c>
      <c r="AC520" s="18" t="inlineStr">
        <is>
          <t>Rất Selflo.</t>
        </is>
      </c>
      <c r="AD520" s="18" t="inlineStr">
        <is>
          <t>Needs editorial review</t>
        </is>
      </c>
      <c r="AE520" s="18" t="inlineStr">
        <is>
          <t>Needs semantic dedupe review</t>
        </is>
      </c>
      <c r="AF520" s="18" t="n"/>
      <c r="AG520" s="18" t="n"/>
      <c r="AH520" s="18" t="inlineStr">
        <is>
          <t>No</t>
        </is>
      </c>
      <c r="AI520" s="18" t="inlineStr">
        <is>
          <t>Not reviewed</t>
        </is>
      </c>
      <c r="AJ520" s="18" t="inlineStr">
        <is>
          <t>Research only</t>
        </is>
      </c>
      <c r="AK520" s="18" t="inlineStr">
        <is>
          <t>Research Pool</t>
        </is>
      </c>
      <c r="AL520" s="18" t="n">
        <v>2</v>
      </c>
      <c r="AM520" s="18" t="inlineStr">
        <is>
          <t>ChatGPT research</t>
        </is>
      </c>
      <c r="AN520" s="18" t="inlineStr">
        <is>
          <t>2026-09-18</t>
        </is>
      </c>
      <c r="AO520" s="18" t="inlineStr">
        <is>
          <t>Day 2 full-scope audit, chapters 21–50.</t>
        </is>
      </c>
      <c r="AP520" s="18" t="n"/>
      <c r="AQ520" s="18" t="n"/>
    </row>
    <row r="521">
      <c r="A521" s="18" t="inlineStr">
        <is>
          <t>research.laozi.day2.ch26.020</t>
        </is>
      </c>
      <c r="B521" s="18" t="inlineStr">
        <is>
          <t>Collected</t>
        </is>
      </c>
      <c r="C521" s="18" t="inlineStr">
        <is>
          <t>Nội tâm &amp; hiểu mình</t>
        </is>
      </c>
      <c r="D521" s="18" t="inlineStr">
        <is>
          <t>Day 2 / Laozi 21–50</t>
        </is>
      </c>
      <c r="E521" s="18" t="n"/>
      <c r="F521" s="18" t="inlineStr">
        <is>
          <t>Không để kích thích bên ngoài chiếm hết chú ý</t>
        </is>
      </c>
      <c r="G521" s="18" t="inlineStr">
        <is>
          <t>Attention</t>
        </is>
      </c>
      <c r="H521" s="18" t="n"/>
      <c r="I521" s="18" t="n"/>
      <c r="J521" s="18" t="n"/>
      <c r="K521" s="18" t="inlineStr">
        <is>
          <t>Permit</t>
        </is>
      </c>
      <c r="L521" s="18" t="n"/>
      <c r="M521" s="18" t="inlineStr">
        <is>
          <t>Trích đoạn triết học</t>
        </is>
      </c>
      <c r="N521" s="18" t="inlineStr">
        <is>
          <t>雖有榮觀，燕處超然。</t>
        </is>
      </c>
      <c r="O521" s="18" t="inlineStr">
        <is>
          <t>Classical Chinese (文言文)</t>
        </is>
      </c>
      <c r="P521" s="18" t="inlineStr">
        <is>
          <t>Dù có cảnh huy hoàng, vẫn có thể ở yên mà không bị nó cuốn đi.</t>
        </is>
      </c>
      <c r="Q521" s="18" t="inlineStr">
        <is>
          <t>Laozi / 老子</t>
        </is>
      </c>
      <c r="R521" s="18" t="inlineStr">
        <is>
          <t>Taoism</t>
        </is>
      </c>
      <c r="S521" s="18" t="inlineStr">
        <is>
          <t>道德經 / Tao Te Ching</t>
        </is>
      </c>
      <c r="T521" s="18" t="inlineStr">
        <is>
          <t>Chapter 26</t>
        </is>
      </c>
      <c r="U521" s="18" t="inlineStr">
        <is>
          <t>https://zh.wikisource.org/zh-hant/%E9%81%93%E5%BE%B7%E7%B6%93_%28%E7%8E%8B%E5%BC%BC%E6%9C%AC%29</t>
        </is>
      </c>
      <c r="V521" s="18" t="inlineStr">
        <is>
          <t>Primary text</t>
        </is>
      </c>
      <c r="W521" s="18" t="inlineStr">
        <is>
          <t>Working translation</t>
        </is>
      </c>
      <c r="X521" s="18" t="inlineStr">
        <is>
          <t>A - Primary source</t>
        </is>
      </c>
      <c r="Y521" s="18" t="inlineStr">
        <is>
          <t>Original Chinese checked against Wang Bi recension; Vietnamese is Selflo working translation, not a published translation.</t>
        </is>
      </c>
      <c r="Z521" s="18" t="inlineStr">
        <is>
          <t>Public domain / likely</t>
        </is>
      </c>
      <c r="AA521" s="18" t="inlineStr">
        <is>
          <t>Ancient source text. Verify jurisdiction/edition before commercial publication.</t>
        </is>
      </c>
      <c r="AB521" s="18" t="inlineStr">
        <is>
          <t>High</t>
        </is>
      </c>
      <c r="AC521" s="18" t="inlineStr">
        <is>
          <t>Attention/values.</t>
        </is>
      </c>
      <c r="AD521" s="18" t="inlineStr">
        <is>
          <t>Needs editorial review</t>
        </is>
      </c>
      <c r="AE521" s="18" t="inlineStr">
        <is>
          <t>Needs semantic dedupe review</t>
        </is>
      </c>
      <c r="AF521" s="18" t="n"/>
      <c r="AG521" s="18" t="n"/>
      <c r="AH521" s="18" t="inlineStr">
        <is>
          <t>No</t>
        </is>
      </c>
      <c r="AI521" s="18" t="inlineStr">
        <is>
          <t>Not reviewed</t>
        </is>
      </c>
      <c r="AJ521" s="18" t="inlineStr">
        <is>
          <t>Research only</t>
        </is>
      </c>
      <c r="AK521" s="18" t="inlineStr">
        <is>
          <t>Research Pool</t>
        </is>
      </c>
      <c r="AL521" s="18" t="n">
        <v>2</v>
      </c>
      <c r="AM521" s="18" t="inlineStr">
        <is>
          <t>ChatGPT research</t>
        </is>
      </c>
      <c r="AN521" s="18" t="inlineStr">
        <is>
          <t>2026-09-18</t>
        </is>
      </c>
      <c r="AO521" s="18" t="inlineStr">
        <is>
          <t>Day 2 full-scope audit, chapters 21–50.</t>
        </is>
      </c>
      <c r="AP521" s="18" t="n"/>
      <c r="AQ521" s="18" t="n"/>
    </row>
    <row r="522">
      <c r="A522" s="18" t="inlineStr">
        <is>
          <t>research.laozi.day2.ch26.021</t>
        </is>
      </c>
      <c r="B522" s="18" t="inlineStr">
        <is>
          <t>Collected</t>
        </is>
      </c>
      <c r="C522" s="18" t="inlineStr">
        <is>
          <t>Nội tâm &amp; hiểu mình</t>
        </is>
      </c>
      <c r="D522" s="18" t="inlineStr">
        <is>
          <t>Day 2 / Laozi 21–50</t>
        </is>
      </c>
      <c r="E522" s="18" t="n"/>
      <c r="F522" s="18" t="inlineStr">
        <is>
          <t>Xao động có thể làm mình rời nền tảng</t>
        </is>
      </c>
      <c r="G522" s="18" t="inlineStr">
        <is>
          <t>Attention</t>
        </is>
      </c>
      <c r="H522" s="18" t="n"/>
      <c r="I522" s="18" t="n"/>
      <c r="J522" s="18" t="n"/>
      <c r="K522" s="18" t="inlineStr">
        <is>
          <t>Recognize</t>
        </is>
      </c>
      <c r="L522" s="18" t="n"/>
      <c r="M522" s="18" t="inlineStr">
        <is>
          <t>Trích đoạn triết học</t>
        </is>
      </c>
      <c r="N522" s="18" t="inlineStr">
        <is>
          <t>輕則失本，躁則失君。</t>
        </is>
      </c>
      <c r="O522" s="18" t="inlineStr">
        <is>
          <t>Classical Chinese (文言文)</t>
        </is>
      </c>
      <c r="P522" s="18" t="inlineStr">
        <is>
          <t>Quá nhẹ dễ mất gốc; quá xao động dễ mất khả năng làm chủ.</t>
        </is>
      </c>
      <c r="Q522" s="18" t="inlineStr">
        <is>
          <t>Laozi / 老子</t>
        </is>
      </c>
      <c r="R522" s="18" t="inlineStr">
        <is>
          <t>Taoism</t>
        </is>
      </c>
      <c r="S522" s="18" t="inlineStr">
        <is>
          <t>道德經 / Tao Te Ching</t>
        </is>
      </c>
      <c r="T522" s="18" t="inlineStr">
        <is>
          <t>Chapter 26</t>
        </is>
      </c>
      <c r="U522" s="18" t="inlineStr">
        <is>
          <t>https://zh.wikisource.org/zh-hant/%E9%81%93%E5%BE%B7%E7%B6%93_%28%E7%8E%8B%E5%BC%BC%E6%9C%AC%29</t>
        </is>
      </c>
      <c r="V522" s="18" t="inlineStr">
        <is>
          <t>Primary text</t>
        </is>
      </c>
      <c r="W522" s="18" t="inlineStr">
        <is>
          <t>Working translation</t>
        </is>
      </c>
      <c r="X522" s="18" t="inlineStr">
        <is>
          <t>A - Primary source</t>
        </is>
      </c>
      <c r="Y522" s="18" t="inlineStr">
        <is>
          <t>Original Chinese checked against Wang Bi recension; Vietnamese is Selflo working translation, not a published translation.</t>
        </is>
      </c>
      <c r="Z522" s="18" t="inlineStr">
        <is>
          <t>Public domain / likely</t>
        </is>
      </c>
      <c r="AA522" s="18" t="inlineStr">
        <is>
          <t>Ancient source text. Verify jurisdiction/edition before commercial publication.</t>
        </is>
      </c>
      <c r="AB522" s="18" t="inlineStr">
        <is>
          <t>High</t>
        </is>
      </c>
      <c r="AC522" s="18" t="inlineStr">
        <is>
          <t>Không medicalize.</t>
        </is>
      </c>
      <c r="AD522" s="18" t="inlineStr">
        <is>
          <t>Needs editorial review</t>
        </is>
      </c>
      <c r="AE522" s="18" t="inlineStr">
        <is>
          <t>Needs semantic dedupe review</t>
        </is>
      </c>
      <c r="AF522" s="18" t="n"/>
      <c r="AG522" s="18" t="n"/>
      <c r="AH522" s="18" t="inlineStr">
        <is>
          <t>No</t>
        </is>
      </c>
      <c r="AI522" s="18" t="inlineStr">
        <is>
          <t>Not reviewed</t>
        </is>
      </c>
      <c r="AJ522" s="18" t="inlineStr">
        <is>
          <t>Research only</t>
        </is>
      </c>
      <c r="AK522" s="18" t="inlineStr">
        <is>
          <t>Research Pool</t>
        </is>
      </c>
      <c r="AL522" s="18" t="n">
        <v>2</v>
      </c>
      <c r="AM522" s="18" t="inlineStr">
        <is>
          <t>ChatGPT research</t>
        </is>
      </c>
      <c r="AN522" s="18" t="inlineStr">
        <is>
          <t>2026-09-18</t>
        </is>
      </c>
      <c r="AO522" s="18" t="inlineStr">
        <is>
          <t>Day 2 full-scope audit, chapters 21–50.</t>
        </is>
      </c>
      <c r="AP522" s="18" t="n"/>
      <c r="AQ522" s="18" t="n"/>
    </row>
    <row r="523">
      <c r="A523" s="18" t="inlineStr">
        <is>
          <t>research.laozi.day2.ch27.022</t>
        </is>
      </c>
      <c r="B523" s="18" t="inlineStr">
        <is>
          <t>Collected</t>
        </is>
      </c>
      <c r="C523" s="18" t="inlineStr">
        <is>
          <t>Nội tâm &amp; hiểu mình</t>
        </is>
      </c>
      <c r="D523" s="18" t="inlineStr">
        <is>
          <t>Day 2 / Laozi 21–50</t>
        </is>
      </c>
      <c r="E523" s="18" t="n"/>
      <c r="F523" s="18" t="inlineStr">
        <is>
          <t>Điều tốt không nhất thiết cần phô dấu vết</t>
        </is>
      </c>
      <c r="G523" s="18" t="inlineStr">
        <is>
          <t>Simplicity</t>
        </is>
      </c>
      <c r="H523" s="18" t="n"/>
      <c r="I523" s="18" t="n"/>
      <c r="J523" s="18" t="n"/>
      <c r="K523" s="18" t="inlineStr">
        <is>
          <t>Reframe</t>
        </is>
      </c>
      <c r="L523" s="18" t="n"/>
      <c r="M523" s="18" t="inlineStr">
        <is>
          <t>Trích đoạn triết học</t>
        </is>
      </c>
      <c r="N523" s="18" t="inlineStr">
        <is>
          <t>善行無轍跡，善言無瑕讁。</t>
        </is>
      </c>
      <c r="O523" s="18" t="inlineStr">
        <is>
          <t>Classical Chinese (文言文)</t>
        </is>
      </c>
      <c r="P523" s="18" t="inlineStr">
        <is>
          <t>Đi khéo không để vết bánh; nói khéo không để chỗ phải bắt lỗi.</t>
        </is>
      </c>
      <c r="Q523" s="18" t="inlineStr">
        <is>
          <t>Laozi / 老子</t>
        </is>
      </c>
      <c r="R523" s="18" t="inlineStr">
        <is>
          <t>Taoism</t>
        </is>
      </c>
      <c r="S523" s="18" t="inlineStr">
        <is>
          <t>道德經 / Tao Te Ching</t>
        </is>
      </c>
      <c r="T523" s="18" t="inlineStr">
        <is>
          <t>Chapter 27</t>
        </is>
      </c>
      <c r="U523" s="18" t="inlineStr">
        <is>
          <t>https://zh.wikisource.org/zh-hant/%E9%81%93%E5%BE%B7%E7%B6%93_%28%E7%8E%8B%E5%BC%BC%E6%9C%AC%29</t>
        </is>
      </c>
      <c r="V523" s="18" t="inlineStr">
        <is>
          <t>Primary text</t>
        </is>
      </c>
      <c r="W523" s="18" t="inlineStr">
        <is>
          <t>Working translation</t>
        </is>
      </c>
      <c r="X523" s="18" t="inlineStr">
        <is>
          <t>A - Primary source</t>
        </is>
      </c>
      <c r="Y523" s="18" t="inlineStr">
        <is>
          <t>Original Chinese checked against Wang Bi recension; Vietnamese is Selflo working translation, not a published translation.</t>
        </is>
      </c>
      <c r="Z523" s="18" t="inlineStr">
        <is>
          <t>Public domain / likely</t>
        </is>
      </c>
      <c r="AA523" s="18" t="inlineStr">
        <is>
          <t>Ancient source text. Verify jurisdiction/edition before commercial publication.</t>
        </is>
      </c>
      <c r="AB523" s="18" t="inlineStr">
        <is>
          <t>Medium</t>
        </is>
      </c>
      <c r="AC523" s="18" t="inlineStr">
        <is>
          <t>Leadership/craft.</t>
        </is>
      </c>
      <c r="AD523" s="18" t="inlineStr">
        <is>
          <t>Needs editorial review</t>
        </is>
      </c>
      <c r="AE523" s="18" t="inlineStr">
        <is>
          <t>Needs semantic dedupe review</t>
        </is>
      </c>
      <c r="AF523" s="18" t="n"/>
      <c r="AG523" s="18" t="n"/>
      <c r="AH523" s="18" t="inlineStr">
        <is>
          <t>No</t>
        </is>
      </c>
      <c r="AI523" s="18" t="inlineStr">
        <is>
          <t>Not reviewed</t>
        </is>
      </c>
      <c r="AJ523" s="18" t="inlineStr">
        <is>
          <t>Research only</t>
        </is>
      </c>
      <c r="AK523" s="18" t="inlineStr">
        <is>
          <t>Research Pool</t>
        </is>
      </c>
      <c r="AL523" s="18" t="n">
        <v>2</v>
      </c>
      <c r="AM523" s="18" t="inlineStr">
        <is>
          <t>ChatGPT research</t>
        </is>
      </c>
      <c r="AN523" s="18" t="inlineStr">
        <is>
          <t>2026-09-18</t>
        </is>
      </c>
      <c r="AO523" s="18" t="inlineStr">
        <is>
          <t>Day 2 full-scope audit, chapters 21–50.</t>
        </is>
      </c>
      <c r="AP523" s="18" t="n"/>
      <c r="AQ523" s="18" t="n"/>
    </row>
    <row r="524">
      <c r="A524" s="18" t="inlineStr">
        <is>
          <t>research.laozi.day2.ch27.023</t>
        </is>
      </c>
      <c r="B524" s="18" t="inlineStr">
        <is>
          <t>Collected</t>
        </is>
      </c>
      <c r="C524" s="18" t="inlineStr">
        <is>
          <t>Nội tâm &amp; hiểu mình</t>
        </is>
      </c>
      <c r="D524" s="18" t="inlineStr">
        <is>
          <t>Day 2 / Laozi 21–50</t>
        </is>
      </c>
      <c r="E524" s="18" t="n"/>
      <c r="F524" s="18" t="inlineStr">
        <is>
          <t>Không biến một người thành phần bỏ đi</t>
        </is>
      </c>
      <c r="G524" s="18" t="inlineStr">
        <is>
          <t>Self-worth</t>
        </is>
      </c>
      <c r="H524" s="18" t="n"/>
      <c r="I524" s="18" t="n"/>
      <c r="J524" s="18" t="n"/>
      <c r="K524" s="18" t="inlineStr">
        <is>
          <t>Reframe</t>
        </is>
      </c>
      <c r="L524" s="18" t="n"/>
      <c r="M524" s="18" t="inlineStr">
        <is>
          <t>Trích đoạn triết học</t>
        </is>
      </c>
      <c r="N524" s="18" t="inlineStr">
        <is>
          <t>聖人常善救人，故無棄人；常善救物，故無棄物。</t>
        </is>
      </c>
      <c r="O524" s="18" t="inlineStr">
        <is>
          <t>Classical Chinese (文言文)</t>
        </is>
      </c>
      <c r="P524" s="18" t="inlineStr">
        <is>
          <t>Người khéo giúp người nên không vội xem ai là bỏ đi; khéo dùng vật nên không vội xem vật nào là vô dụng.</t>
        </is>
      </c>
      <c r="Q524" s="18" t="inlineStr">
        <is>
          <t>Laozi / 老子</t>
        </is>
      </c>
      <c r="R524" s="18" t="inlineStr">
        <is>
          <t>Taoism</t>
        </is>
      </c>
      <c r="S524" s="18" t="inlineStr">
        <is>
          <t>道德經 / Tao Te Ching</t>
        </is>
      </c>
      <c r="T524" s="18" t="inlineStr">
        <is>
          <t>Chapter 27</t>
        </is>
      </c>
      <c r="U524" s="18" t="inlineStr">
        <is>
          <t>https://zh.wikisource.org/zh-hant/%E9%81%93%E5%BE%B7%E7%B6%93_%28%E7%8E%8B%E5%BC%BC%E6%9C%AC%29</t>
        </is>
      </c>
      <c r="V524" s="18" t="inlineStr">
        <is>
          <t>Primary text</t>
        </is>
      </c>
      <c r="W524" s="18" t="inlineStr">
        <is>
          <t>Working translation</t>
        </is>
      </c>
      <c r="X524" s="18" t="inlineStr">
        <is>
          <t>A - Primary source</t>
        </is>
      </c>
      <c r="Y524" s="18" t="inlineStr">
        <is>
          <t>Original Chinese checked against Wang Bi recension; Vietnamese is Selflo working translation, not a published translation.</t>
        </is>
      </c>
      <c r="Z524" s="18" t="inlineStr">
        <is>
          <t>Public domain / likely</t>
        </is>
      </c>
      <c r="AA524" s="18" t="inlineStr">
        <is>
          <t>Ancient source text. Verify jurisdiction/edition before commercial publication.</t>
        </is>
      </c>
      <c r="AB524" s="18" t="inlineStr">
        <is>
          <t>High</t>
        </is>
      </c>
      <c r="AC524" s="18" t="inlineStr">
        <is>
          <t>Rất hợp dignity/self-compassion.</t>
        </is>
      </c>
      <c r="AD524" s="18" t="inlineStr">
        <is>
          <t>Needs editorial review</t>
        </is>
      </c>
      <c r="AE524" s="18" t="inlineStr">
        <is>
          <t>Needs semantic dedupe review</t>
        </is>
      </c>
      <c r="AF524" s="18" t="n"/>
      <c r="AG524" s="18" t="n"/>
      <c r="AH524" s="18" t="inlineStr">
        <is>
          <t>No</t>
        </is>
      </c>
      <c r="AI524" s="18" t="inlineStr">
        <is>
          <t>Not reviewed</t>
        </is>
      </c>
      <c r="AJ524" s="18" t="inlineStr">
        <is>
          <t>Research only</t>
        </is>
      </c>
      <c r="AK524" s="18" t="inlineStr">
        <is>
          <t>Research Pool</t>
        </is>
      </c>
      <c r="AL524" s="18" t="n">
        <v>2</v>
      </c>
      <c r="AM524" s="18" t="inlineStr">
        <is>
          <t>ChatGPT research</t>
        </is>
      </c>
      <c r="AN524" s="18" t="inlineStr">
        <is>
          <t>2026-09-18</t>
        </is>
      </c>
      <c r="AO524" s="18" t="inlineStr">
        <is>
          <t>Day 2 full-scope audit, chapters 21–50.</t>
        </is>
      </c>
      <c r="AP524" s="18" t="n"/>
      <c r="AQ524" s="18" t="n"/>
    </row>
    <row r="525">
      <c r="A525" s="18" t="inlineStr">
        <is>
          <t>research.laozi.day2.ch27.024</t>
        </is>
      </c>
      <c r="B525" s="18" t="inlineStr">
        <is>
          <t>Collected</t>
        </is>
      </c>
      <c r="C525" s="18" t="inlineStr">
        <is>
          <t>Nội tâm &amp; hiểu mình</t>
        </is>
      </c>
      <c r="D525" s="18" t="inlineStr">
        <is>
          <t>Day 2 / Laozi 21–50</t>
        </is>
      </c>
      <c r="E525" s="18" t="n"/>
      <c r="F525" s="18" t="inlineStr">
        <is>
          <t>Không chia con người thành hữu dụng/vô dụng tuyệt đối</t>
        </is>
      </c>
      <c r="G525" s="18" t="inlineStr">
        <is>
          <t>Learning</t>
        </is>
      </c>
      <c r="H525" s="18" t="n"/>
      <c r="I525" s="18" t="n"/>
      <c r="J525" s="18" t="n"/>
      <c r="K525" s="18" t="inlineStr">
        <is>
          <t>Reframe</t>
        </is>
      </c>
      <c r="L525" s="18" t="n"/>
      <c r="M525" s="18" t="inlineStr">
        <is>
          <t>Trích đoạn triết học</t>
        </is>
      </c>
      <c r="N525" s="18" t="inlineStr">
        <is>
          <t>善人者，不善人之師；不善人者，善人之資。</t>
        </is>
      </c>
      <c r="O525" s="18" t="inlineStr">
        <is>
          <t>Classical Chinese (文言文)</t>
        </is>
      </c>
      <c r="P525" s="18" t="inlineStr">
        <is>
          <t>Người làm tốt có thể là thầy; người chưa làm tốt cũng có thể trở thành điều để người khác học.</t>
        </is>
      </c>
      <c r="Q525" s="18" t="inlineStr">
        <is>
          <t>Laozi / 老子</t>
        </is>
      </c>
      <c r="R525" s="18" t="inlineStr">
        <is>
          <t>Taoism</t>
        </is>
      </c>
      <c r="S525" s="18" t="inlineStr">
        <is>
          <t>道德經 / Tao Te Ching</t>
        </is>
      </c>
      <c r="T525" s="18" t="inlineStr">
        <is>
          <t>Chapter 27</t>
        </is>
      </c>
      <c r="U525" s="18" t="inlineStr">
        <is>
          <t>https://zh.wikisource.org/zh-hant/%E9%81%93%E5%BE%B7%E7%B6%93_%28%E7%8E%8B%E5%BC%BC%E6%9C%AC%29</t>
        </is>
      </c>
      <c r="V525" s="18" t="inlineStr">
        <is>
          <t>Primary text</t>
        </is>
      </c>
      <c r="W525" s="18" t="inlineStr">
        <is>
          <t>Working translation</t>
        </is>
      </c>
      <c r="X525" s="18" t="inlineStr">
        <is>
          <t>A - Primary source</t>
        </is>
      </c>
      <c r="Y525" s="18" t="inlineStr">
        <is>
          <t>Original Chinese checked against Wang Bi recension; Vietnamese is Selflo working translation, not a published translation.</t>
        </is>
      </c>
      <c r="Z525" s="18" t="inlineStr">
        <is>
          <t>Public domain / likely</t>
        </is>
      </c>
      <c r="AA525" s="18" t="inlineStr">
        <is>
          <t>Ancient source text. Verify jurisdiction/edition before commercial publication.</t>
        </is>
      </c>
      <c r="AB525" s="18" t="inlineStr">
        <is>
          <t>High</t>
        </is>
      </c>
      <c r="AC525" s="18" t="inlineStr">
        <is>
          <t>Cần tránh objectify.</t>
        </is>
      </c>
      <c r="AD525" s="18" t="inlineStr">
        <is>
          <t>Needs editorial review</t>
        </is>
      </c>
      <c r="AE525" s="18" t="inlineStr">
        <is>
          <t>Needs semantic dedupe review</t>
        </is>
      </c>
      <c r="AF525" s="18" t="n"/>
      <c r="AG525" s="18" t="n"/>
      <c r="AH525" s="18" t="inlineStr">
        <is>
          <t>No</t>
        </is>
      </c>
      <c r="AI525" s="18" t="inlineStr">
        <is>
          <t>Not reviewed</t>
        </is>
      </c>
      <c r="AJ525" s="18" t="inlineStr">
        <is>
          <t>Research only</t>
        </is>
      </c>
      <c r="AK525" s="18" t="inlineStr">
        <is>
          <t>Research Pool</t>
        </is>
      </c>
      <c r="AL525" s="18" t="n">
        <v>2</v>
      </c>
      <c r="AM525" s="18" t="inlineStr">
        <is>
          <t>ChatGPT research</t>
        </is>
      </c>
      <c r="AN525" s="18" t="inlineStr">
        <is>
          <t>2026-09-18</t>
        </is>
      </c>
      <c r="AO525" s="18" t="inlineStr">
        <is>
          <t>Day 2 full-scope audit, chapters 21–50.</t>
        </is>
      </c>
      <c r="AP525" s="18" t="n"/>
      <c r="AQ525" s="18" t="n"/>
    </row>
    <row r="526">
      <c r="A526" s="18" t="inlineStr">
        <is>
          <t>research.laozi.day2.ch27.025</t>
        </is>
      </c>
      <c r="B526" s="18" t="inlineStr">
        <is>
          <t>Collected</t>
        </is>
      </c>
      <c r="C526" s="18" t="inlineStr">
        <is>
          <t>Nội tâm &amp; hiểu mình</t>
        </is>
      </c>
      <c r="D526" s="18" t="inlineStr">
        <is>
          <t>Day 2 / Laozi 21–50</t>
        </is>
      </c>
      <c r="E526" s="18" t="n"/>
      <c r="F526" s="18" t="inlineStr">
        <is>
          <t>Thông minh không loại bỏ khả năng sai</t>
        </is>
      </c>
      <c r="G526" s="18" t="inlineStr">
        <is>
          <t>Judgment</t>
        </is>
      </c>
      <c r="H526" s="18" t="n"/>
      <c r="I526" s="18" t="n"/>
      <c r="J526" s="18" t="n"/>
      <c r="K526" s="18" t="inlineStr">
        <is>
          <t>Distinguish</t>
        </is>
      </c>
      <c r="L526" s="18" t="n"/>
      <c r="M526" s="18" t="inlineStr">
        <is>
          <t>Trích đoạn triết học</t>
        </is>
      </c>
      <c r="N526" s="18" t="inlineStr">
        <is>
          <t>雖智大迷，是謂要妙。</t>
        </is>
      </c>
      <c r="O526" s="18" t="inlineStr">
        <is>
          <t>Classical Chinese (文言文)</t>
        </is>
      </c>
      <c r="P526" s="18" t="inlineStr">
        <is>
          <t>Dù thông minh vẫn có thể rơi vào mê lầm; đây là điểm tinh tế cần nhớ.</t>
        </is>
      </c>
      <c r="Q526" s="18" t="inlineStr">
        <is>
          <t>Laozi / 老子</t>
        </is>
      </c>
      <c r="R526" s="18" t="inlineStr">
        <is>
          <t>Taoism</t>
        </is>
      </c>
      <c r="S526" s="18" t="inlineStr">
        <is>
          <t>道德經 / Tao Te Ching</t>
        </is>
      </c>
      <c r="T526" s="18" t="inlineStr">
        <is>
          <t>Chapter 27</t>
        </is>
      </c>
      <c r="U526" s="18" t="inlineStr">
        <is>
          <t>https://zh.wikisource.org/zh-hant/%E9%81%93%E5%BE%B7%E7%B6%93_%28%E7%8E%8B%E5%BC%BC%E6%9C%AC%29</t>
        </is>
      </c>
      <c r="V526" s="18" t="inlineStr">
        <is>
          <t>Primary text</t>
        </is>
      </c>
      <c r="W526" s="18" t="inlineStr">
        <is>
          <t>Working translation</t>
        </is>
      </c>
      <c r="X526" s="18" t="inlineStr">
        <is>
          <t>A - Primary source</t>
        </is>
      </c>
      <c r="Y526" s="18" t="inlineStr">
        <is>
          <t>Original Chinese checked against Wang Bi recension; Vietnamese is Selflo working translation, not a published translation.</t>
        </is>
      </c>
      <c r="Z526" s="18" t="inlineStr">
        <is>
          <t>Public domain / likely</t>
        </is>
      </c>
      <c r="AA526" s="18" t="inlineStr">
        <is>
          <t>Ancient source text. Verify jurisdiction/edition before commercial publication.</t>
        </is>
      </c>
      <c r="AB526" s="18" t="inlineStr">
        <is>
          <t>High</t>
        </is>
      </c>
      <c r="AC526" s="18" t="inlineStr">
        <is>
          <t>AI/human judgment.</t>
        </is>
      </c>
      <c r="AD526" s="18" t="inlineStr">
        <is>
          <t>Needs editorial review</t>
        </is>
      </c>
      <c r="AE526" s="18" t="inlineStr">
        <is>
          <t>Needs semantic dedupe review</t>
        </is>
      </c>
      <c r="AF526" s="18" t="n"/>
      <c r="AG526" s="18" t="n"/>
      <c r="AH526" s="18" t="inlineStr">
        <is>
          <t>No</t>
        </is>
      </c>
      <c r="AI526" s="18" t="inlineStr">
        <is>
          <t>Not reviewed</t>
        </is>
      </c>
      <c r="AJ526" s="18" t="inlineStr">
        <is>
          <t>Research only</t>
        </is>
      </c>
      <c r="AK526" s="18" t="inlineStr">
        <is>
          <t>Research Pool</t>
        </is>
      </c>
      <c r="AL526" s="18" t="n">
        <v>2</v>
      </c>
      <c r="AM526" s="18" t="inlineStr">
        <is>
          <t>ChatGPT research</t>
        </is>
      </c>
      <c r="AN526" s="18" t="inlineStr">
        <is>
          <t>2026-09-18</t>
        </is>
      </c>
      <c r="AO526" s="18" t="inlineStr">
        <is>
          <t>Day 2 full-scope audit, chapters 21–50.</t>
        </is>
      </c>
      <c r="AP526" s="18" t="n"/>
      <c r="AQ526" s="18" t="n"/>
    </row>
    <row r="527">
      <c r="A527" s="18" t="inlineStr">
        <is>
          <t>research.laozi.day2.ch28.026</t>
        </is>
      </c>
      <c r="B527" s="18" t="inlineStr">
        <is>
          <t>Collected</t>
        </is>
      </c>
      <c r="C527" s="18" t="inlineStr">
        <is>
          <t>Nội tâm &amp; hiểu mình</t>
        </is>
      </c>
      <c r="D527" s="18" t="inlineStr">
        <is>
          <t>Day 2 / Laozi 21–50</t>
        </is>
      </c>
      <c r="E527" s="18" t="n"/>
      <c r="F527" s="18" t="inlineStr">
        <is>
          <t>Giữ sức mạnh mà không đánh mất sự mềm</t>
        </is>
      </c>
      <c r="G527" s="18" t="inlineStr">
        <is>
          <t>Acceptance</t>
        </is>
      </c>
      <c r="H527" s="18" t="n"/>
      <c r="I527" s="18" t="n"/>
      <c r="J527" s="18" t="n"/>
      <c r="K527" s="18" t="inlineStr">
        <is>
          <t>Distinguish</t>
        </is>
      </c>
      <c r="L527" s="18" t="n"/>
      <c r="M527" s="18" t="inlineStr">
        <is>
          <t>Trích đoạn triết học</t>
        </is>
      </c>
      <c r="N527" s="18" t="inlineStr">
        <is>
          <t>知其雄，守其雌，為天下谿。</t>
        </is>
      </c>
      <c r="O527" s="18" t="inlineStr">
        <is>
          <t>Classical Chinese (文言文)</t>
        </is>
      </c>
      <c r="P527" s="18" t="inlineStr">
        <is>
          <t>Biết phía mạnh nhưng vẫn giữ được phía mềm, như khe nước đón dòng chảy.</t>
        </is>
      </c>
      <c r="Q527" s="18" t="inlineStr">
        <is>
          <t>Laozi / 老子</t>
        </is>
      </c>
      <c r="R527" s="18" t="inlineStr">
        <is>
          <t>Taoism</t>
        </is>
      </c>
      <c r="S527" s="18" t="inlineStr">
        <is>
          <t>道德經 / Tao Te Ching</t>
        </is>
      </c>
      <c r="T527" s="18" t="inlineStr">
        <is>
          <t>Chapter 28</t>
        </is>
      </c>
      <c r="U527" s="18" t="inlineStr">
        <is>
          <t>https://zh.wikisource.org/zh-hant/%E9%81%93%E5%BE%B7%E7%B6%93_%28%E7%8E%8B%E5%BC%BC%E6%9C%AC%29</t>
        </is>
      </c>
      <c r="V527" s="18" t="inlineStr">
        <is>
          <t>Primary text</t>
        </is>
      </c>
      <c r="W527" s="18" t="inlineStr">
        <is>
          <t>Working translation</t>
        </is>
      </c>
      <c r="X527" s="18" t="inlineStr">
        <is>
          <t>A - Primary source</t>
        </is>
      </c>
      <c r="Y527" s="18" t="inlineStr">
        <is>
          <t>Original Chinese checked against Wang Bi recension; Vietnamese is Selflo working translation, not a published translation.</t>
        </is>
      </c>
      <c r="Z527" s="18" t="inlineStr">
        <is>
          <t>Public domain / likely</t>
        </is>
      </c>
      <c r="AA527" s="18" t="inlineStr">
        <is>
          <t>Ancient source text. Verify jurisdiction/edition before commercial publication.</t>
        </is>
      </c>
      <c r="AB527" s="18" t="inlineStr">
        <is>
          <t>High</t>
        </is>
      </c>
      <c r="AC527" s="18" t="inlineStr">
        <is>
          <t>Gender metaphor cổ; cần contextualize.</t>
        </is>
      </c>
      <c r="AD527" s="18" t="inlineStr">
        <is>
          <t>Needs editorial review</t>
        </is>
      </c>
      <c r="AE527" s="18" t="inlineStr">
        <is>
          <t>Needs semantic dedupe review</t>
        </is>
      </c>
      <c r="AF527" s="18" t="n"/>
      <c r="AG527" s="18" t="n"/>
      <c r="AH527" s="18" t="inlineStr">
        <is>
          <t>No</t>
        </is>
      </c>
      <c r="AI527" s="18" t="inlineStr">
        <is>
          <t>Not reviewed</t>
        </is>
      </c>
      <c r="AJ527" s="18" t="inlineStr">
        <is>
          <t>Research only</t>
        </is>
      </c>
      <c r="AK527" s="18" t="inlineStr">
        <is>
          <t>Research Pool</t>
        </is>
      </c>
      <c r="AL527" s="18" t="n">
        <v>2</v>
      </c>
      <c r="AM527" s="18" t="inlineStr">
        <is>
          <t>ChatGPT research</t>
        </is>
      </c>
      <c r="AN527" s="18" t="inlineStr">
        <is>
          <t>2026-09-18</t>
        </is>
      </c>
      <c r="AO527" s="18" t="inlineStr">
        <is>
          <t>Day 2 full-scope audit, chapters 21–50.</t>
        </is>
      </c>
      <c r="AP527" s="18" t="n"/>
      <c r="AQ527" s="18" t="n"/>
    </row>
    <row r="528">
      <c r="A528" s="18" t="inlineStr">
        <is>
          <t>research.laozi.day2.ch28.027</t>
        </is>
      </c>
      <c r="B528" s="18" t="inlineStr">
        <is>
          <t>Collected</t>
        </is>
      </c>
      <c r="C528" s="18" t="inlineStr">
        <is>
          <t>Nội tâm &amp; hiểu mình</t>
        </is>
      </c>
      <c r="D528" s="18" t="inlineStr">
        <is>
          <t>Day 2 / Laozi 21–50</t>
        </is>
      </c>
      <c r="E528" s="18" t="n"/>
      <c r="F528" s="18" t="inlineStr">
        <is>
          <t>Không loại bỏ một phía để giữ phía kia</t>
        </is>
      </c>
      <c r="G528" s="18" t="inlineStr">
        <is>
          <t>Acceptance</t>
        </is>
      </c>
      <c r="H528" s="18" t="n"/>
      <c r="I528" s="18" t="n"/>
      <c r="J528" s="18" t="n"/>
      <c r="K528" s="18" t="inlineStr">
        <is>
          <t>Permit</t>
        </is>
      </c>
      <c r="L528" s="18" t="n"/>
      <c r="M528" s="18" t="inlineStr">
        <is>
          <t>Trích đoạn triết học</t>
        </is>
      </c>
      <c r="N528" s="18" t="inlineStr">
        <is>
          <t>知其白，守其黑，為天下式。</t>
        </is>
      </c>
      <c r="O528" s="18" t="inlineStr">
        <is>
          <t>Classical Chinese (文言文)</t>
        </is>
      </c>
      <c r="P528" s="18" t="inlineStr">
        <is>
          <t>Biết phần sáng mà vẫn giữ được phần tối.</t>
        </is>
      </c>
      <c r="Q528" s="18" t="inlineStr">
        <is>
          <t>Laozi / 老子</t>
        </is>
      </c>
      <c r="R528" s="18" t="inlineStr">
        <is>
          <t>Taoism</t>
        </is>
      </c>
      <c r="S528" s="18" t="inlineStr">
        <is>
          <t>道德經 / Tao Te Ching</t>
        </is>
      </c>
      <c r="T528" s="18" t="inlineStr">
        <is>
          <t>Chapter 28</t>
        </is>
      </c>
      <c r="U528" s="18" t="inlineStr">
        <is>
          <t>https://zh.wikisource.org/zh-hant/%E9%81%93%E5%BE%B7%E7%B6%93_%28%E7%8E%8B%E5%BC%BC%E6%9C%AC%29</t>
        </is>
      </c>
      <c r="V528" s="18" t="inlineStr">
        <is>
          <t>Primary text</t>
        </is>
      </c>
      <c r="W528" s="18" t="inlineStr">
        <is>
          <t>Working translation</t>
        </is>
      </c>
      <c r="X528" s="18" t="inlineStr">
        <is>
          <t>A - Primary source</t>
        </is>
      </c>
      <c r="Y528" s="18" t="inlineStr">
        <is>
          <t>Original Chinese checked against Wang Bi recension; Vietnamese is Selflo working translation, not a published translation.</t>
        </is>
      </c>
      <c r="Z528" s="18" t="inlineStr">
        <is>
          <t>Public domain / likely</t>
        </is>
      </c>
      <c r="AA528" s="18" t="inlineStr">
        <is>
          <t>Ancient source text. Verify jurisdiction/edition before commercial publication.</t>
        </is>
      </c>
      <c r="AB528" s="18" t="inlineStr">
        <is>
          <t>High</t>
        </is>
      </c>
      <c r="AC528" s="18" t="inlineStr">
        <is>
          <t>Mạnh cho two-sided self.</t>
        </is>
      </c>
      <c r="AD528" s="18" t="inlineStr">
        <is>
          <t>Needs editorial review</t>
        </is>
      </c>
      <c r="AE528" s="18" t="inlineStr">
        <is>
          <t>Needs semantic dedupe review</t>
        </is>
      </c>
      <c r="AF528" s="18" t="n"/>
      <c r="AG528" s="18" t="n"/>
      <c r="AH528" s="18" t="inlineStr">
        <is>
          <t>No</t>
        </is>
      </c>
      <c r="AI528" s="18" t="inlineStr">
        <is>
          <t>Not reviewed</t>
        </is>
      </c>
      <c r="AJ528" s="18" t="inlineStr">
        <is>
          <t>Research only</t>
        </is>
      </c>
      <c r="AK528" s="18" t="inlineStr">
        <is>
          <t>Research Pool</t>
        </is>
      </c>
      <c r="AL528" s="18" t="n">
        <v>2</v>
      </c>
      <c r="AM528" s="18" t="inlineStr">
        <is>
          <t>ChatGPT research</t>
        </is>
      </c>
      <c r="AN528" s="18" t="inlineStr">
        <is>
          <t>2026-09-18</t>
        </is>
      </c>
      <c r="AO528" s="18" t="inlineStr">
        <is>
          <t>Day 2 full-scope audit, chapters 21–50.</t>
        </is>
      </c>
      <c r="AP528" s="18" t="n"/>
      <c r="AQ528" s="18" t="n"/>
    </row>
    <row r="529">
      <c r="A529" s="18" t="inlineStr">
        <is>
          <t>research.laozi.day2.ch28.028</t>
        </is>
      </c>
      <c r="B529" s="18" t="inlineStr">
        <is>
          <t>Collected</t>
        </is>
      </c>
      <c r="C529" s="18" t="inlineStr">
        <is>
          <t>Nội tâm &amp; hiểu mình</t>
        </is>
      </c>
      <c r="D529" s="18" t="inlineStr">
        <is>
          <t>Day 2 / Laozi 21–50</t>
        </is>
      </c>
      <c r="E529" s="18" t="n"/>
      <c r="F529" s="18" t="inlineStr">
        <is>
          <t>Không để vinh–nhục quyết định toàn bộ giá trị</t>
        </is>
      </c>
      <c r="G529" s="18" t="inlineStr">
        <is>
          <t>Self-worth</t>
        </is>
      </c>
      <c r="H529" s="18" t="n"/>
      <c r="I529" s="18" t="n"/>
      <c r="J529" s="18" t="n"/>
      <c r="K529" s="18" t="inlineStr">
        <is>
          <t>Distinguish</t>
        </is>
      </c>
      <c r="L529" s="18" t="n"/>
      <c r="M529" s="18" t="inlineStr">
        <is>
          <t>Trích đoạn triết học</t>
        </is>
      </c>
      <c r="N529" s="18" t="inlineStr">
        <is>
          <t>知其榮，守其辱，為天下谷。</t>
        </is>
      </c>
      <c r="O529" s="18" t="inlineStr">
        <is>
          <t>Classical Chinese (文言文)</t>
        </is>
      </c>
      <c r="P529" s="18" t="inlineStr">
        <is>
          <t>Biết vinh mà vẫn giữ được khả năng ở cùng phần thấp và khó chịu.</t>
        </is>
      </c>
      <c r="Q529" s="18" t="inlineStr">
        <is>
          <t>Laozi / 老子</t>
        </is>
      </c>
      <c r="R529" s="18" t="inlineStr">
        <is>
          <t>Taoism</t>
        </is>
      </c>
      <c r="S529" s="18" t="inlineStr">
        <is>
          <t>道德經 / Tao Te Ching</t>
        </is>
      </c>
      <c r="T529" s="18" t="inlineStr">
        <is>
          <t>Chapter 28</t>
        </is>
      </c>
      <c r="U529" s="18" t="inlineStr">
        <is>
          <t>https://zh.wikisource.org/zh-hant/%E9%81%93%E5%BE%B7%E7%B6%93_%28%E7%8E%8B%E5%BC%BC%E6%9C%AC%29</t>
        </is>
      </c>
      <c r="V529" s="18" t="inlineStr">
        <is>
          <t>Primary text</t>
        </is>
      </c>
      <c r="W529" s="18" t="inlineStr">
        <is>
          <t>Working translation</t>
        </is>
      </c>
      <c r="X529" s="18" t="inlineStr">
        <is>
          <t>A - Primary source</t>
        </is>
      </c>
      <c r="Y529" s="18" t="inlineStr">
        <is>
          <t>Original Chinese checked against Wang Bi recension; Vietnamese is Selflo working translation, not a published translation.</t>
        </is>
      </c>
      <c r="Z529" s="18" t="inlineStr">
        <is>
          <t>Public domain / likely</t>
        </is>
      </c>
      <c r="AA529" s="18" t="inlineStr">
        <is>
          <t>Ancient source text. Verify jurisdiction/edition before commercial publication.</t>
        </is>
      </c>
      <c r="AB529" s="18" t="inlineStr">
        <is>
          <t>High</t>
        </is>
      </c>
      <c r="AC529" s="18" t="inlineStr">
        <is>
          <t>Self-worth/comparison.</t>
        </is>
      </c>
      <c r="AD529" s="18" t="inlineStr">
        <is>
          <t>Needs editorial review</t>
        </is>
      </c>
      <c r="AE529" s="18" t="inlineStr">
        <is>
          <t>Needs semantic dedupe review</t>
        </is>
      </c>
      <c r="AF529" s="18" t="n"/>
      <c r="AG529" s="18" t="n"/>
      <c r="AH529" s="18" t="inlineStr">
        <is>
          <t>No</t>
        </is>
      </c>
      <c r="AI529" s="18" t="inlineStr">
        <is>
          <t>Not reviewed</t>
        </is>
      </c>
      <c r="AJ529" s="18" t="inlineStr">
        <is>
          <t>Research only</t>
        </is>
      </c>
      <c r="AK529" s="18" t="inlineStr">
        <is>
          <t>Research Pool</t>
        </is>
      </c>
      <c r="AL529" s="18" t="n">
        <v>2</v>
      </c>
      <c r="AM529" s="18" t="inlineStr">
        <is>
          <t>ChatGPT research</t>
        </is>
      </c>
      <c r="AN529" s="18" t="inlineStr">
        <is>
          <t>2026-09-18</t>
        </is>
      </c>
      <c r="AO529" s="18" t="inlineStr">
        <is>
          <t>Day 2 full-scope audit, chapters 21–50.</t>
        </is>
      </c>
      <c r="AP529" s="18" t="n"/>
      <c r="AQ529" s="18" t="n"/>
    </row>
    <row r="530">
      <c r="A530" s="18" t="inlineStr">
        <is>
          <t>research.laozi.day2.ch28.029</t>
        </is>
      </c>
      <c r="B530" s="18" t="inlineStr">
        <is>
          <t>Collected</t>
        </is>
      </c>
      <c r="C530" s="18" t="inlineStr">
        <is>
          <t>Nội tâm &amp; hiểu mình</t>
        </is>
      </c>
      <c r="D530" s="18" t="inlineStr">
        <is>
          <t>Day 2 / Laozi 21–50</t>
        </is>
      </c>
      <c r="E530" s="18" t="n"/>
      <c r="F530" s="18" t="inlineStr">
        <is>
          <t>Trở về phần chưa bị tô vẽ</t>
        </is>
      </c>
      <c r="G530" s="18" t="inlineStr">
        <is>
          <t>Identity</t>
        </is>
      </c>
      <c r="H530" s="18" t="n"/>
      <c r="I530" s="18" t="n"/>
      <c r="J530" s="18" t="n"/>
      <c r="K530" s="18" t="inlineStr">
        <is>
          <t>Reframe</t>
        </is>
      </c>
      <c r="L530" s="18" t="n"/>
      <c r="M530" s="18" t="inlineStr">
        <is>
          <t>Trích đoạn triết học</t>
        </is>
      </c>
      <c r="N530" s="18" t="inlineStr">
        <is>
          <t>復歸於嬰兒。</t>
        </is>
      </c>
      <c r="O530" s="18" t="inlineStr">
        <is>
          <t>Classical Chinese (文言文)</t>
        </is>
      </c>
      <c r="P530" s="18" t="inlineStr">
        <is>
          <t>Trở về sự nguyên sơ như trẻ nhỏ.</t>
        </is>
      </c>
      <c r="Q530" s="18" t="inlineStr">
        <is>
          <t>Laozi / 老子</t>
        </is>
      </c>
      <c r="R530" s="18" t="inlineStr">
        <is>
          <t>Taoism</t>
        </is>
      </c>
      <c r="S530" s="18" t="inlineStr">
        <is>
          <t>道德經 / Tao Te Ching</t>
        </is>
      </c>
      <c r="T530" s="18" t="inlineStr">
        <is>
          <t>Chapter 28</t>
        </is>
      </c>
      <c r="U530" s="18" t="inlineStr">
        <is>
          <t>https://zh.wikisource.org/zh-hant/%E9%81%93%E5%BE%B7%E7%B6%93_%28%E7%8E%8B%E5%BC%BC%E6%9C%AC%29</t>
        </is>
      </c>
      <c r="V530" s="18" t="inlineStr">
        <is>
          <t>Primary text</t>
        </is>
      </c>
      <c r="W530" s="18" t="inlineStr">
        <is>
          <t>Working translation</t>
        </is>
      </c>
      <c r="X530" s="18" t="inlineStr">
        <is>
          <t>A - Primary source</t>
        </is>
      </c>
      <c r="Y530" s="18" t="inlineStr">
        <is>
          <t>Original Chinese checked against Wang Bi recension; Vietnamese is Selflo working translation, not a published translation.</t>
        </is>
      </c>
      <c r="Z530" s="18" t="inlineStr">
        <is>
          <t>Public domain / likely</t>
        </is>
      </c>
      <c r="AA530" s="18" t="inlineStr">
        <is>
          <t>Ancient source text. Verify jurisdiction/edition before commercial publication.</t>
        </is>
      </c>
      <c r="AB530" s="18" t="inlineStr">
        <is>
          <t>Medium</t>
        </is>
      </c>
      <c r="AC530" s="18" t="inlineStr">
        <is>
          <t>Không literalize infantilization.</t>
        </is>
      </c>
      <c r="AD530" s="18" t="inlineStr">
        <is>
          <t>Needs editorial review</t>
        </is>
      </c>
      <c r="AE530" s="18" t="inlineStr">
        <is>
          <t>Needs semantic dedupe review</t>
        </is>
      </c>
      <c r="AF530" s="18" t="n"/>
      <c r="AG530" s="18" t="n"/>
      <c r="AH530" s="18" t="inlineStr">
        <is>
          <t>No</t>
        </is>
      </c>
      <c r="AI530" s="18" t="inlineStr">
        <is>
          <t>Not reviewed</t>
        </is>
      </c>
      <c r="AJ530" s="18" t="inlineStr">
        <is>
          <t>Research only</t>
        </is>
      </c>
      <c r="AK530" s="18" t="inlineStr">
        <is>
          <t>Research Pool</t>
        </is>
      </c>
      <c r="AL530" s="18" t="n">
        <v>2</v>
      </c>
      <c r="AM530" s="18" t="inlineStr">
        <is>
          <t>ChatGPT research</t>
        </is>
      </c>
      <c r="AN530" s="18" t="inlineStr">
        <is>
          <t>2026-09-18</t>
        </is>
      </c>
      <c r="AO530" s="18" t="inlineStr">
        <is>
          <t>Day 2 full-scope audit, chapters 21–50.</t>
        </is>
      </c>
      <c r="AP530" s="18" t="n"/>
      <c r="AQ530" s="18" t="n"/>
    </row>
    <row r="531">
      <c r="A531" s="18" t="inlineStr">
        <is>
          <t>research.laozi.day2.ch28.030</t>
        </is>
      </c>
      <c r="B531" s="18" t="inlineStr">
        <is>
          <t>Collected</t>
        </is>
      </c>
      <c r="C531" s="18" t="inlineStr">
        <is>
          <t>Nội tâm &amp; hiểu mình</t>
        </is>
      </c>
      <c r="D531" s="18" t="inlineStr">
        <is>
          <t>Day 2 / Laozi 21–50</t>
        </is>
      </c>
      <c r="E531" s="18" t="n"/>
      <c r="F531" s="18" t="inlineStr">
        <is>
          <t>Không bị khóa vào một cực duy nhất</t>
        </is>
      </c>
      <c r="G531" s="18" t="inlineStr">
        <is>
          <t>Acceptance</t>
        </is>
      </c>
      <c r="H531" s="18" t="n"/>
      <c r="I531" s="18" t="n"/>
      <c r="J531" s="18" t="n"/>
      <c r="K531" s="18" t="inlineStr">
        <is>
          <t>Reframe</t>
        </is>
      </c>
      <c r="L531" s="18" t="n"/>
      <c r="M531" s="18" t="inlineStr">
        <is>
          <t>Trích đoạn triết học</t>
        </is>
      </c>
      <c r="N531" s="18" t="inlineStr">
        <is>
          <t>復歸於無極。</t>
        </is>
      </c>
      <c r="O531" s="18" t="inlineStr">
        <is>
          <t>Classical Chinese (文言文)</t>
        </is>
      </c>
      <c r="P531" s="18" t="inlineStr">
        <is>
          <t>Trở về chỗ không bị giới hạn bởi một cực.</t>
        </is>
      </c>
      <c r="Q531" s="18" t="inlineStr">
        <is>
          <t>Laozi / 老子</t>
        </is>
      </c>
      <c r="R531" s="18" t="inlineStr">
        <is>
          <t>Taoism</t>
        </is>
      </c>
      <c r="S531" s="18" t="inlineStr">
        <is>
          <t>道德經 / Tao Te Ching</t>
        </is>
      </c>
      <c r="T531" s="18" t="inlineStr">
        <is>
          <t>Chapter 28</t>
        </is>
      </c>
      <c r="U531" s="18" t="inlineStr">
        <is>
          <t>https://zh.wikisource.org/zh-hant/%E9%81%93%E5%BE%B7%E7%B6%93_%28%E7%8E%8B%E5%BC%BC%E6%9C%AC%29</t>
        </is>
      </c>
      <c r="V531" s="18" t="inlineStr">
        <is>
          <t>Primary text</t>
        </is>
      </c>
      <c r="W531" s="18" t="inlineStr">
        <is>
          <t>Working translation</t>
        </is>
      </c>
      <c r="X531" s="18" t="inlineStr">
        <is>
          <t>A - Primary source</t>
        </is>
      </c>
      <c r="Y531" s="18" t="inlineStr">
        <is>
          <t>Original Chinese checked against Wang Bi recension; Vietnamese is Selflo working translation, not a published translation.</t>
        </is>
      </c>
      <c r="Z531" s="18" t="inlineStr">
        <is>
          <t>Public domain / likely</t>
        </is>
      </c>
      <c r="AA531" s="18" t="inlineStr">
        <is>
          <t>Ancient source text. Verify jurisdiction/edition before commercial publication.</t>
        </is>
      </c>
      <c r="AB531" s="18" t="inlineStr">
        <is>
          <t>High</t>
        </is>
      </c>
      <c r="AC531" s="18" t="inlineStr">
        <is>
          <t>Metaphysical but useful.</t>
        </is>
      </c>
      <c r="AD531" s="18" t="inlineStr">
        <is>
          <t>Needs editorial review</t>
        </is>
      </c>
      <c r="AE531" s="18" t="inlineStr">
        <is>
          <t>Needs semantic dedupe review</t>
        </is>
      </c>
      <c r="AF531" s="18" t="n"/>
      <c r="AG531" s="18" t="n"/>
      <c r="AH531" s="18" t="inlineStr">
        <is>
          <t>No</t>
        </is>
      </c>
      <c r="AI531" s="18" t="inlineStr">
        <is>
          <t>Not reviewed</t>
        </is>
      </c>
      <c r="AJ531" s="18" t="inlineStr">
        <is>
          <t>Research only</t>
        </is>
      </c>
      <c r="AK531" s="18" t="inlineStr">
        <is>
          <t>Research Pool</t>
        </is>
      </c>
      <c r="AL531" s="18" t="n">
        <v>2</v>
      </c>
      <c r="AM531" s="18" t="inlineStr">
        <is>
          <t>ChatGPT research</t>
        </is>
      </c>
      <c r="AN531" s="18" t="inlineStr">
        <is>
          <t>2026-09-18</t>
        </is>
      </c>
      <c r="AO531" s="18" t="inlineStr">
        <is>
          <t>Day 2 full-scope audit, chapters 21–50.</t>
        </is>
      </c>
      <c r="AP531" s="18" t="n"/>
      <c r="AQ531" s="18" t="n"/>
    </row>
    <row r="532">
      <c r="A532" s="18" t="inlineStr">
        <is>
          <t>research.laozi.day2.ch28.031</t>
        </is>
      </c>
      <c r="B532" s="18" t="inlineStr">
        <is>
          <t>Collected</t>
        </is>
      </c>
      <c r="C532" s="18" t="inlineStr">
        <is>
          <t>Nội tâm &amp; hiểu mình</t>
        </is>
      </c>
      <c r="D532" s="18" t="inlineStr">
        <is>
          <t>Day 2 / Laozi 21–50</t>
        </is>
      </c>
      <c r="E532" s="18" t="n"/>
      <c r="F532" s="18" t="inlineStr">
        <is>
          <t>Trở về điều đơn giản trước lớp tô vẽ</t>
        </is>
      </c>
      <c r="G532" s="18" t="inlineStr">
        <is>
          <t>Simplicity</t>
        </is>
      </c>
      <c r="H532" s="18" t="n"/>
      <c r="I532" s="18" t="n"/>
      <c r="J532" s="18" t="n"/>
      <c r="K532" s="18" t="inlineStr">
        <is>
          <t>Reframe</t>
        </is>
      </c>
      <c r="L532" s="18" t="n"/>
      <c r="M532" s="18" t="inlineStr">
        <is>
          <t>Trích đoạn triết học</t>
        </is>
      </c>
      <c r="N532" s="18" t="inlineStr">
        <is>
          <t>復歸於樸。</t>
        </is>
      </c>
      <c r="O532" s="18" t="inlineStr">
        <is>
          <t>Classical Chinese (文言文)</t>
        </is>
      </c>
      <c r="P532" s="18" t="inlineStr">
        <is>
          <t>Trở về phần mộc chưa bị đẽo gọt.</t>
        </is>
      </c>
      <c r="Q532" s="18" t="inlineStr">
        <is>
          <t>Laozi / 老子</t>
        </is>
      </c>
      <c r="R532" s="18" t="inlineStr">
        <is>
          <t>Taoism</t>
        </is>
      </c>
      <c r="S532" s="18" t="inlineStr">
        <is>
          <t>道德經 / Tao Te Ching</t>
        </is>
      </c>
      <c r="T532" s="18" t="inlineStr">
        <is>
          <t>Chapter 28</t>
        </is>
      </c>
      <c r="U532" s="18" t="inlineStr">
        <is>
          <t>https://zh.wikisource.org/zh-hant/%E9%81%93%E5%BE%B7%E7%B6%93_%28%E7%8E%8B%E5%BC%BC%E6%9C%AC%29</t>
        </is>
      </c>
      <c r="V532" s="18" t="inlineStr">
        <is>
          <t>Primary text</t>
        </is>
      </c>
      <c r="W532" s="18" t="inlineStr">
        <is>
          <t>Working translation</t>
        </is>
      </c>
      <c r="X532" s="18" t="inlineStr">
        <is>
          <t>A - Primary source</t>
        </is>
      </c>
      <c r="Y532" s="18" t="inlineStr">
        <is>
          <t>Original Chinese checked against Wang Bi recension; Vietnamese is Selflo working translation, not a published translation.</t>
        </is>
      </c>
      <c r="Z532" s="18" t="inlineStr">
        <is>
          <t>Public domain / likely</t>
        </is>
      </c>
      <c r="AA532" s="18" t="inlineStr">
        <is>
          <t>Ancient source text. Verify jurisdiction/edition before commercial publication.</t>
        </is>
      </c>
      <c r="AB532" s="18" t="inlineStr">
        <is>
          <t>High</t>
        </is>
      </c>
      <c r="AC532" s="18" t="inlineStr">
        <is>
          <t>Strong Selflo metaphor.</t>
        </is>
      </c>
      <c r="AD532" s="18" t="inlineStr">
        <is>
          <t>Needs editorial review</t>
        </is>
      </c>
      <c r="AE532" s="18" t="inlineStr">
        <is>
          <t>Needs semantic dedupe review</t>
        </is>
      </c>
      <c r="AF532" s="18" t="n"/>
      <c r="AG532" s="18" t="n"/>
      <c r="AH532" s="18" t="inlineStr">
        <is>
          <t>No</t>
        </is>
      </c>
      <c r="AI532" s="18" t="inlineStr">
        <is>
          <t>Not reviewed</t>
        </is>
      </c>
      <c r="AJ532" s="18" t="inlineStr">
        <is>
          <t>Research only</t>
        </is>
      </c>
      <c r="AK532" s="18" t="inlineStr">
        <is>
          <t>Research Pool</t>
        </is>
      </c>
      <c r="AL532" s="18" t="n">
        <v>2</v>
      </c>
      <c r="AM532" s="18" t="inlineStr">
        <is>
          <t>ChatGPT research</t>
        </is>
      </c>
      <c r="AN532" s="18" t="inlineStr">
        <is>
          <t>2026-09-18</t>
        </is>
      </c>
      <c r="AO532" s="18" t="inlineStr">
        <is>
          <t>Day 2 full-scope audit, chapters 21–50.</t>
        </is>
      </c>
      <c r="AP532" s="18" t="n"/>
      <c r="AQ532" s="18" t="n"/>
    </row>
    <row r="533">
      <c r="A533" s="18" t="inlineStr">
        <is>
          <t>research.laozi.day2.ch29.032</t>
        </is>
      </c>
      <c r="B533" s="18" t="inlineStr">
        <is>
          <t>Collected</t>
        </is>
      </c>
      <c r="C533" s="18" t="inlineStr">
        <is>
          <t>Nội tâm &amp; hiểu mình</t>
        </is>
      </c>
      <c r="D533" s="18" t="inlineStr">
        <is>
          <t>Day 2 / Laozi 21–50</t>
        </is>
      </c>
      <c r="E533" s="18" t="n"/>
      <c r="F533" s="18" t="inlineStr">
        <is>
          <t>Không phải mọi thứ đều có thể kiểm soát bằng can thiệp</t>
        </is>
      </c>
      <c r="G533" s="18" t="inlineStr">
        <is>
          <t>Control</t>
        </is>
      </c>
      <c r="H533" s="18" t="n"/>
      <c r="I533" s="18" t="n"/>
      <c r="J533" s="18" t="n"/>
      <c r="K533" s="18" t="inlineStr">
        <is>
          <t>Distinguish</t>
        </is>
      </c>
      <c r="L533" s="18" t="n"/>
      <c r="M533" s="18" t="inlineStr">
        <is>
          <t>Trích đoạn triết học</t>
        </is>
      </c>
      <c r="N533" s="18" t="inlineStr">
        <is>
          <t>將欲取天下而為之，吾見其不得已。</t>
        </is>
      </c>
      <c r="O533" s="18" t="inlineStr">
        <is>
          <t>Classical Chinese (文言文)</t>
        </is>
      </c>
      <c r="P533" s="18" t="inlineStr">
        <is>
          <t>Muốn nắm cả thế giới rồi cưỡng làm theo ý mình, đoạn văn cho rằng điều ấy khó thành.</t>
        </is>
      </c>
      <c r="Q533" s="18" t="inlineStr">
        <is>
          <t>Laozi / 老子</t>
        </is>
      </c>
      <c r="R533" s="18" t="inlineStr">
        <is>
          <t>Taoism</t>
        </is>
      </c>
      <c r="S533" s="18" t="inlineStr">
        <is>
          <t>道德經 / Tao Te Ching</t>
        </is>
      </c>
      <c r="T533" s="18" t="inlineStr">
        <is>
          <t>Chapter 29</t>
        </is>
      </c>
      <c r="U533" s="18" t="inlineStr">
        <is>
          <t>https://zh.wikisource.org/zh-hant/%E9%81%93%E5%BE%B7%E7%B6%93_%28%E7%8E%8B%E5%BC%BC%E6%9C%AC%29</t>
        </is>
      </c>
      <c r="V533" s="18" t="inlineStr">
        <is>
          <t>Primary text</t>
        </is>
      </c>
      <c r="W533" s="18" t="inlineStr">
        <is>
          <t>Working translation</t>
        </is>
      </c>
      <c r="X533" s="18" t="inlineStr">
        <is>
          <t>A - Primary source</t>
        </is>
      </c>
      <c r="Y533" s="18" t="inlineStr">
        <is>
          <t>Original Chinese checked against Wang Bi recension; Vietnamese is Selflo working translation, not a published translation.</t>
        </is>
      </c>
      <c r="Z533" s="18" t="inlineStr">
        <is>
          <t>Public domain / likely</t>
        </is>
      </c>
      <c r="AA533" s="18" t="inlineStr">
        <is>
          <t>Ancient source text. Verify jurisdiction/edition before commercial publication.</t>
        </is>
      </c>
      <c r="AB533" s="18" t="inlineStr">
        <is>
          <t>High</t>
        </is>
      </c>
      <c r="AC533" s="18" t="inlineStr">
        <is>
          <t>Agency/control.</t>
        </is>
      </c>
      <c r="AD533" s="18" t="inlineStr">
        <is>
          <t>Needs editorial review</t>
        </is>
      </c>
      <c r="AE533" s="18" t="inlineStr">
        <is>
          <t>Needs semantic dedupe review</t>
        </is>
      </c>
      <c r="AF533" s="18" t="n"/>
      <c r="AG533" s="18" t="n"/>
      <c r="AH533" s="18" t="inlineStr">
        <is>
          <t>No</t>
        </is>
      </c>
      <c r="AI533" s="18" t="inlineStr">
        <is>
          <t>Not reviewed</t>
        </is>
      </c>
      <c r="AJ533" s="18" t="inlineStr">
        <is>
          <t>Research only</t>
        </is>
      </c>
      <c r="AK533" s="18" t="inlineStr">
        <is>
          <t>Research Pool</t>
        </is>
      </c>
      <c r="AL533" s="18" t="n">
        <v>2</v>
      </c>
      <c r="AM533" s="18" t="inlineStr">
        <is>
          <t>ChatGPT research</t>
        </is>
      </c>
      <c r="AN533" s="18" t="inlineStr">
        <is>
          <t>2026-09-18</t>
        </is>
      </c>
      <c r="AO533" s="18" t="inlineStr">
        <is>
          <t>Day 2 full-scope audit, chapters 21–50.</t>
        </is>
      </c>
      <c r="AP533" s="18" t="n"/>
      <c r="AQ533" s="18" t="n"/>
    </row>
    <row r="534">
      <c r="A534" s="18" t="inlineStr">
        <is>
          <t>research.laozi.day2.ch29.033</t>
        </is>
      </c>
      <c r="B534" s="18" t="inlineStr">
        <is>
          <t>Collected</t>
        </is>
      </c>
      <c r="C534" s="18" t="inlineStr">
        <is>
          <t>Nội tâm &amp; hiểu mình</t>
        </is>
      </c>
      <c r="D534" s="18" t="inlineStr">
        <is>
          <t>Day 2 / Laozi 21–50</t>
        </is>
      </c>
      <c r="E534" s="18" t="n"/>
      <c r="F534" s="18" t="inlineStr">
        <is>
          <t>Chấp nhận giới hạn của kiểm soát</t>
        </is>
      </c>
      <c r="G534" s="18" t="inlineStr">
        <is>
          <t>Control</t>
        </is>
      </c>
      <c r="H534" s="18" t="n"/>
      <c r="I534" s="18" t="n"/>
      <c r="J534" s="18" t="n"/>
      <c r="K534" s="18" t="inlineStr">
        <is>
          <t>Permit</t>
        </is>
      </c>
      <c r="L534" s="18" t="n"/>
      <c r="M534" s="18" t="inlineStr">
        <is>
          <t>Trích đoạn triết học</t>
        </is>
      </c>
      <c r="N534" s="18" t="inlineStr">
        <is>
          <t>天下神器，不可為也，不可執也。</t>
        </is>
      </c>
      <c r="O534" s="18" t="inlineStr">
        <is>
          <t>Classical Chinese (文言文)</t>
        </is>
      </c>
      <c r="P534" s="18" t="inlineStr">
        <is>
          <t>Có những điều không thể bị cưỡng làm hay nắm giữ như một vật sở hữu.</t>
        </is>
      </c>
      <c r="Q534" s="18" t="inlineStr">
        <is>
          <t>Laozi / 老子</t>
        </is>
      </c>
      <c r="R534" s="18" t="inlineStr">
        <is>
          <t>Taoism</t>
        </is>
      </c>
      <c r="S534" s="18" t="inlineStr">
        <is>
          <t>道德經 / Tao Te Ching</t>
        </is>
      </c>
      <c r="T534" s="18" t="inlineStr">
        <is>
          <t>Chapter 29</t>
        </is>
      </c>
      <c r="U534" s="18" t="inlineStr">
        <is>
          <t>https://zh.wikisource.org/zh-hant/%E9%81%93%E5%BE%B7%E7%B6%93_%28%E7%8E%8B%E5%BC%BC%E6%9C%AC%29</t>
        </is>
      </c>
      <c r="V534" s="18" t="inlineStr">
        <is>
          <t>Primary text</t>
        </is>
      </c>
      <c r="W534" s="18" t="inlineStr">
        <is>
          <t>Working translation</t>
        </is>
      </c>
      <c r="X534" s="18" t="inlineStr">
        <is>
          <t>A - Primary source</t>
        </is>
      </c>
      <c r="Y534" s="18" t="inlineStr">
        <is>
          <t>Original Chinese checked against Wang Bi recension; Vietnamese is Selflo working translation, not a published translation.</t>
        </is>
      </c>
      <c r="Z534" s="18" t="inlineStr">
        <is>
          <t>Public domain / likely</t>
        </is>
      </c>
      <c r="AA534" s="18" t="inlineStr">
        <is>
          <t>Ancient source text. Verify jurisdiction/edition before commercial publication.</t>
        </is>
      </c>
      <c r="AB534" s="18" t="inlineStr">
        <is>
          <t>High</t>
        </is>
      </c>
      <c r="AC534" s="18" t="inlineStr">
        <is>
          <t>Strong.</t>
        </is>
      </c>
      <c r="AD534" s="18" t="inlineStr">
        <is>
          <t>Needs editorial review</t>
        </is>
      </c>
      <c r="AE534" s="18" t="inlineStr">
        <is>
          <t>Needs semantic dedupe review</t>
        </is>
      </c>
      <c r="AF534" s="18" t="n"/>
      <c r="AG534" s="18" t="n"/>
      <c r="AH534" s="18" t="inlineStr">
        <is>
          <t>No</t>
        </is>
      </c>
      <c r="AI534" s="18" t="inlineStr">
        <is>
          <t>Not reviewed</t>
        </is>
      </c>
      <c r="AJ534" s="18" t="inlineStr">
        <is>
          <t>Research only</t>
        </is>
      </c>
      <c r="AK534" s="18" t="inlineStr">
        <is>
          <t>Research Pool</t>
        </is>
      </c>
      <c r="AL534" s="18" t="n">
        <v>2</v>
      </c>
      <c r="AM534" s="18" t="inlineStr">
        <is>
          <t>ChatGPT research</t>
        </is>
      </c>
      <c r="AN534" s="18" t="inlineStr">
        <is>
          <t>2026-09-18</t>
        </is>
      </c>
      <c r="AO534" s="18" t="inlineStr">
        <is>
          <t>Day 2 full-scope audit, chapters 21–50.</t>
        </is>
      </c>
      <c r="AP534" s="18" t="n"/>
      <c r="AQ534" s="18" t="n"/>
    </row>
    <row r="535">
      <c r="A535" s="18" t="inlineStr">
        <is>
          <t>research.laozi.day2.ch29.034</t>
        </is>
      </c>
      <c r="B535" s="18" t="inlineStr">
        <is>
          <t>Collected</t>
        </is>
      </c>
      <c r="C535" s="18" t="inlineStr">
        <is>
          <t>Nội tâm &amp; hiểu mình</t>
        </is>
      </c>
      <c r="D535" s="18" t="inlineStr">
        <is>
          <t>Day 2 / Laozi 21–50</t>
        </is>
      </c>
      <c r="E535" s="18" t="n"/>
      <c r="F535" s="18" t="inlineStr">
        <is>
          <t>Nắm quá chặt đôi khi làm mất điều mình muốn giữ</t>
        </is>
      </c>
      <c r="G535" s="18" t="inlineStr">
        <is>
          <t>Control</t>
        </is>
      </c>
      <c r="H535" s="18" t="n"/>
      <c r="I535" s="18" t="n"/>
      <c r="J535" s="18" t="n"/>
      <c r="K535" s="18" t="inlineStr">
        <is>
          <t>Reframe</t>
        </is>
      </c>
      <c r="L535" s="18" t="n"/>
      <c r="M535" s="18" t="inlineStr">
        <is>
          <t>Trích đoạn triết học</t>
        </is>
      </c>
      <c r="N535" s="18" t="inlineStr">
        <is>
          <t>為者敗之，執者失之。</t>
        </is>
      </c>
      <c r="O535" s="18" t="inlineStr">
        <is>
          <t>Classical Chinese (文言文)</t>
        </is>
      </c>
      <c r="P535" s="18" t="inlineStr">
        <is>
          <t>Cưỡng làm có thể làm hỏng; nắm quá chặt có thể làm mất.</t>
        </is>
      </c>
      <c r="Q535" s="18" t="inlineStr">
        <is>
          <t>Laozi / 老子</t>
        </is>
      </c>
      <c r="R535" s="18" t="inlineStr">
        <is>
          <t>Taoism</t>
        </is>
      </c>
      <c r="S535" s="18" t="inlineStr">
        <is>
          <t>道德經 / Tao Te Ching</t>
        </is>
      </c>
      <c r="T535" s="18" t="inlineStr">
        <is>
          <t>Chapter 29</t>
        </is>
      </c>
      <c r="U535" s="18" t="inlineStr">
        <is>
          <t>https://zh.wikisource.org/zh-hant/%E9%81%93%E5%BE%B7%E7%B6%93_%28%E7%8E%8B%E5%BC%BC%E6%9C%AC%29</t>
        </is>
      </c>
      <c r="V535" s="18" t="inlineStr">
        <is>
          <t>Primary text</t>
        </is>
      </c>
      <c r="W535" s="18" t="inlineStr">
        <is>
          <t>Working translation</t>
        </is>
      </c>
      <c r="X535" s="18" t="inlineStr">
        <is>
          <t>A - Primary source</t>
        </is>
      </c>
      <c r="Y535" s="18" t="inlineStr">
        <is>
          <t>Original Chinese checked against Wang Bi recension; Vietnamese is Selflo working translation, not a published translation.</t>
        </is>
      </c>
      <c r="Z535" s="18" t="inlineStr">
        <is>
          <t>Public domain / likely</t>
        </is>
      </c>
      <c r="AA535" s="18" t="inlineStr">
        <is>
          <t>Ancient source text. Verify jurisdiction/edition before commercial publication.</t>
        </is>
      </c>
      <c r="AB535" s="18" t="inlineStr">
        <is>
          <t>High</t>
        </is>
      </c>
      <c r="AC535" s="18" t="inlineStr">
        <is>
          <t>Strong but avoid universalizing.</t>
        </is>
      </c>
      <c r="AD535" s="18" t="inlineStr">
        <is>
          <t>Needs editorial review</t>
        </is>
      </c>
      <c r="AE535" s="18" t="inlineStr">
        <is>
          <t>Needs semantic dedupe review</t>
        </is>
      </c>
      <c r="AF535" s="18" t="n"/>
      <c r="AG535" s="18" t="n"/>
      <c r="AH535" s="18" t="inlineStr">
        <is>
          <t>No</t>
        </is>
      </c>
      <c r="AI535" s="18" t="inlineStr">
        <is>
          <t>Not reviewed</t>
        </is>
      </c>
      <c r="AJ535" s="18" t="inlineStr">
        <is>
          <t>Research only</t>
        </is>
      </c>
      <c r="AK535" s="18" t="inlineStr">
        <is>
          <t>Research Pool</t>
        </is>
      </c>
      <c r="AL535" s="18" t="n">
        <v>2</v>
      </c>
      <c r="AM535" s="18" t="inlineStr">
        <is>
          <t>ChatGPT research</t>
        </is>
      </c>
      <c r="AN535" s="18" t="inlineStr">
        <is>
          <t>2026-09-18</t>
        </is>
      </c>
      <c r="AO535" s="18" t="inlineStr">
        <is>
          <t>Day 2 full-scope audit, chapters 21–50.</t>
        </is>
      </c>
      <c r="AP535" s="18" t="n"/>
      <c r="AQ535" s="18" t="n"/>
    </row>
    <row r="536">
      <c r="A536" s="18" t="inlineStr">
        <is>
          <t>research.laozi.day2.ch29.035</t>
        </is>
      </c>
      <c r="B536" s="18" t="inlineStr">
        <is>
          <t>Collected</t>
        </is>
      </c>
      <c r="C536" s="18" t="inlineStr">
        <is>
          <t>Nội tâm &amp; hiểu mình</t>
        </is>
      </c>
      <c r="D536" s="18" t="inlineStr">
        <is>
          <t>Day 2 / Laozi 21–50</t>
        </is>
      </c>
      <c r="E536" s="18" t="n"/>
      <c r="F536" s="18" t="inlineStr">
        <is>
          <t>Nhịp và vị trí thay đổi theo hoàn cảnh</t>
        </is>
      </c>
      <c r="G536" s="18" t="inlineStr">
        <is>
          <t>Change</t>
        </is>
      </c>
      <c r="H536" s="18" t="n"/>
      <c r="I536" s="18" t="n"/>
      <c r="J536" s="18" t="n"/>
      <c r="K536" s="18" t="inlineStr">
        <is>
          <t>Permit</t>
        </is>
      </c>
      <c r="L536" s="18" t="n"/>
      <c r="M536" s="18" t="inlineStr">
        <is>
          <t>Trích đoạn triết học</t>
        </is>
      </c>
      <c r="N536" s="18" t="inlineStr">
        <is>
          <t>物或行或隨，或歔或吹，或強或羸，或載或隳。</t>
        </is>
      </c>
      <c r="O536" s="18" t="inlineStr">
        <is>
          <t>Classical Chinese (文言文)</t>
        </is>
      </c>
      <c r="P536" s="18" t="inlineStr">
        <is>
          <t>Sự vật có lúc đi trước, lúc theo sau; lúc mạnh, lúc yếu; lúc nâng lên, lúc rơi xuống.</t>
        </is>
      </c>
      <c r="Q536" s="18" t="inlineStr">
        <is>
          <t>Laozi / 老子</t>
        </is>
      </c>
      <c r="R536" s="18" t="inlineStr">
        <is>
          <t>Taoism</t>
        </is>
      </c>
      <c r="S536" s="18" t="inlineStr">
        <is>
          <t>道德經 / Tao Te Ching</t>
        </is>
      </c>
      <c r="T536" s="18" t="inlineStr">
        <is>
          <t>Chapter 29</t>
        </is>
      </c>
      <c r="U536" s="18" t="inlineStr">
        <is>
          <t>https://zh.wikisource.org/zh-hant/%E9%81%93%E5%BE%B7%E7%B6%93_%28%E7%8E%8B%E5%BC%BC%E6%9C%AC%29</t>
        </is>
      </c>
      <c r="V536" s="18" t="inlineStr">
        <is>
          <t>Primary text</t>
        </is>
      </c>
      <c r="W536" s="18" t="inlineStr">
        <is>
          <t>Working translation</t>
        </is>
      </c>
      <c r="X536" s="18" t="inlineStr">
        <is>
          <t>A - Primary source</t>
        </is>
      </c>
      <c r="Y536" s="18" t="inlineStr">
        <is>
          <t>Original Chinese checked against Wang Bi recension; Vietnamese is Selflo working translation, not a published translation.</t>
        </is>
      </c>
      <c r="Z536" s="18" t="inlineStr">
        <is>
          <t>Public domain / likely</t>
        </is>
      </c>
      <c r="AA536" s="18" t="inlineStr">
        <is>
          <t>Ancient source text. Verify jurisdiction/edition before commercial publication.</t>
        </is>
      </c>
      <c r="AB536" s="18" t="inlineStr">
        <is>
          <t>High</t>
        </is>
      </c>
      <c r="AC536" s="18" t="inlineStr">
        <is>
          <t>Context and variability.</t>
        </is>
      </c>
      <c r="AD536" s="18" t="inlineStr">
        <is>
          <t>Needs editorial review</t>
        </is>
      </c>
      <c r="AE536" s="18" t="inlineStr">
        <is>
          <t>Needs semantic dedupe review</t>
        </is>
      </c>
      <c r="AF536" s="18" t="n"/>
      <c r="AG536" s="18" t="n"/>
      <c r="AH536" s="18" t="inlineStr">
        <is>
          <t>No</t>
        </is>
      </c>
      <c r="AI536" s="18" t="inlineStr">
        <is>
          <t>Not reviewed</t>
        </is>
      </c>
      <c r="AJ536" s="18" t="inlineStr">
        <is>
          <t>Research only</t>
        </is>
      </c>
      <c r="AK536" s="18" t="inlineStr">
        <is>
          <t>Research Pool</t>
        </is>
      </c>
      <c r="AL536" s="18" t="n">
        <v>2</v>
      </c>
      <c r="AM536" s="18" t="inlineStr">
        <is>
          <t>ChatGPT research</t>
        </is>
      </c>
      <c r="AN536" s="18" t="inlineStr">
        <is>
          <t>2026-09-18</t>
        </is>
      </c>
      <c r="AO536" s="18" t="inlineStr">
        <is>
          <t>Day 2 full-scope audit, chapters 21–50.</t>
        </is>
      </c>
      <c r="AP536" s="18" t="n"/>
      <c r="AQ536" s="18" t="n"/>
    </row>
    <row r="537">
      <c r="A537" s="18" t="inlineStr">
        <is>
          <t>research.laozi.day2.ch29.036</t>
        </is>
      </c>
      <c r="B537" s="18" t="inlineStr">
        <is>
          <t>Collected</t>
        </is>
      </c>
      <c r="C537" s="18" t="inlineStr">
        <is>
          <t>Nội tâm &amp; hiểu mình</t>
        </is>
      </c>
      <c r="D537" s="18" t="inlineStr">
        <is>
          <t>Day 2 / Laozi 21–50</t>
        </is>
      </c>
      <c r="E537" s="18" t="n"/>
      <c r="F537" s="18" t="inlineStr">
        <is>
          <t>Giảm phần quá mức thay vì luôn thêm</t>
        </is>
      </c>
      <c r="G537" s="18" t="inlineStr">
        <is>
          <t>Enoughness</t>
        </is>
      </c>
      <c r="H537" s="18" t="n"/>
      <c r="I537" s="18" t="n"/>
      <c r="J537" s="18" t="n"/>
      <c r="K537" s="18" t="inlineStr">
        <is>
          <t>Reframe</t>
        </is>
      </c>
      <c r="L537" s="18" t="n"/>
      <c r="M537" s="18" t="inlineStr">
        <is>
          <t>Trích đoạn triết học</t>
        </is>
      </c>
      <c r="N537" s="18" t="inlineStr">
        <is>
          <t>去甚，去奢，去泰。</t>
        </is>
      </c>
      <c r="O537" s="18" t="inlineStr">
        <is>
          <t>Classical Chinese (文言文)</t>
        </is>
      </c>
      <c r="P537" s="18" t="inlineStr">
        <is>
          <t>Bỏ phần quá mức, phần phô trương và phần cực đoan.</t>
        </is>
      </c>
      <c r="Q537" s="18" t="inlineStr">
        <is>
          <t>Laozi / 老子</t>
        </is>
      </c>
      <c r="R537" s="18" t="inlineStr">
        <is>
          <t>Taoism</t>
        </is>
      </c>
      <c r="S537" s="18" t="inlineStr">
        <is>
          <t>道德經 / Tao Te Ching</t>
        </is>
      </c>
      <c r="T537" s="18" t="inlineStr">
        <is>
          <t>Chapter 29</t>
        </is>
      </c>
      <c r="U537" s="18" t="inlineStr">
        <is>
          <t>https://zh.wikisource.org/zh-hant/%E9%81%93%E5%BE%B7%E7%B6%93_%28%E7%8E%8B%E5%BC%BC%E6%9C%AC%29</t>
        </is>
      </c>
      <c r="V537" s="18" t="inlineStr">
        <is>
          <t>Primary text</t>
        </is>
      </c>
      <c r="W537" s="18" t="inlineStr">
        <is>
          <t>Working translation</t>
        </is>
      </c>
      <c r="X537" s="18" t="inlineStr">
        <is>
          <t>A - Primary source</t>
        </is>
      </c>
      <c r="Y537" s="18" t="inlineStr">
        <is>
          <t>Original Chinese checked against Wang Bi recension; Vietnamese is Selflo working translation, not a published translation.</t>
        </is>
      </c>
      <c r="Z537" s="18" t="inlineStr">
        <is>
          <t>Public domain / likely</t>
        </is>
      </c>
      <c r="AA537" s="18" t="inlineStr">
        <is>
          <t>Ancient source text. Verify jurisdiction/edition before commercial publication.</t>
        </is>
      </c>
      <c r="AB537" s="18" t="inlineStr">
        <is>
          <t>Medium</t>
        </is>
      </c>
      <c r="AC537" s="18" t="inlineStr">
        <is>
          <t>Directive tone.</t>
        </is>
      </c>
      <c r="AD537" s="18" t="inlineStr">
        <is>
          <t>Needs editorial review</t>
        </is>
      </c>
      <c r="AE537" s="18" t="inlineStr">
        <is>
          <t>Needs semantic dedupe review</t>
        </is>
      </c>
      <c r="AF537" s="18" t="n"/>
      <c r="AG537" s="18" t="n"/>
      <c r="AH537" s="18" t="inlineStr">
        <is>
          <t>No</t>
        </is>
      </c>
      <c r="AI537" s="18" t="inlineStr">
        <is>
          <t>Not reviewed</t>
        </is>
      </c>
      <c r="AJ537" s="18" t="inlineStr">
        <is>
          <t>Research only</t>
        </is>
      </c>
      <c r="AK537" s="18" t="inlineStr">
        <is>
          <t>Research Pool</t>
        </is>
      </c>
      <c r="AL537" s="18" t="n">
        <v>2</v>
      </c>
      <c r="AM537" s="18" t="inlineStr">
        <is>
          <t>ChatGPT research</t>
        </is>
      </c>
      <c r="AN537" s="18" t="inlineStr">
        <is>
          <t>2026-09-18</t>
        </is>
      </c>
      <c r="AO537" s="18" t="inlineStr">
        <is>
          <t>Day 2 full-scope audit, chapters 21–50.</t>
        </is>
      </c>
      <c r="AP537" s="18" t="n"/>
      <c r="AQ537" s="18" t="n"/>
    </row>
    <row r="538">
      <c r="A538" s="18" t="inlineStr">
        <is>
          <t>research.laozi.day2.ch30.037</t>
        </is>
      </c>
      <c r="B538" s="18" t="inlineStr">
        <is>
          <t>Collected</t>
        </is>
      </c>
      <c r="C538" s="18" t="inlineStr">
        <is>
          <t>Nội tâm &amp; hiểu mình</t>
        </is>
      </c>
      <c r="D538" s="18" t="inlineStr">
        <is>
          <t>Day 2 / Laozi 21–50</t>
        </is>
      </c>
      <c r="E538" s="18" t="n"/>
      <c r="F538" s="18" t="inlineStr">
        <is>
          <t>Kết quả không cần trở thành cái tôi</t>
        </is>
      </c>
      <c r="G538" s="18" t="inlineStr">
        <is>
          <t>Identity</t>
        </is>
      </c>
      <c r="H538" s="18" t="n"/>
      <c r="I538" s="18" t="n"/>
      <c r="J538" s="18" t="n"/>
      <c r="K538" s="18" t="inlineStr">
        <is>
          <t>Distinguish</t>
        </is>
      </c>
      <c r="L538" s="18" t="n"/>
      <c r="M538" s="18" t="inlineStr">
        <is>
          <t>Trích đoạn triết học</t>
        </is>
      </c>
      <c r="N538" s="18" t="inlineStr">
        <is>
          <t>果而勿矜，果而勿伐，果而勿驕。</t>
        </is>
      </c>
      <c r="O538" s="18" t="inlineStr">
        <is>
          <t>Classical Chinese (文言文)</t>
        </is>
      </c>
      <c r="P538" s="18" t="inlineStr">
        <is>
          <t>Đạt kết quả mà không cần tự tôn, kể công hay kiêu ngạo.</t>
        </is>
      </c>
      <c r="Q538" s="18" t="inlineStr">
        <is>
          <t>Laozi / 老子</t>
        </is>
      </c>
      <c r="R538" s="18" t="inlineStr">
        <is>
          <t>Taoism</t>
        </is>
      </c>
      <c r="S538" s="18" t="inlineStr">
        <is>
          <t>道德經 / Tao Te Ching</t>
        </is>
      </c>
      <c r="T538" s="18" t="inlineStr">
        <is>
          <t>Chapter 30</t>
        </is>
      </c>
      <c r="U538" s="18" t="inlineStr">
        <is>
          <t>https://zh.wikisource.org/zh-hant/%E9%81%93%E5%BE%B7%E7%B6%93_%28%E7%8E%8B%E5%BC%BC%E6%9C%AC%29</t>
        </is>
      </c>
      <c r="V538" s="18" t="inlineStr">
        <is>
          <t>Primary text</t>
        </is>
      </c>
      <c r="W538" s="18" t="inlineStr">
        <is>
          <t>Working translation</t>
        </is>
      </c>
      <c r="X538" s="18" t="inlineStr">
        <is>
          <t>A - Primary source</t>
        </is>
      </c>
      <c r="Y538" s="18" t="inlineStr">
        <is>
          <t>Original Chinese checked against Wang Bi recension; Vietnamese is Selflo working translation, not a published translation.</t>
        </is>
      </c>
      <c r="Z538" s="18" t="inlineStr">
        <is>
          <t>Public domain / likely</t>
        </is>
      </c>
      <c r="AA538" s="18" t="inlineStr">
        <is>
          <t>Ancient source text. Verify jurisdiction/edition before commercial publication.</t>
        </is>
      </c>
      <c r="AB538" s="18" t="inlineStr">
        <is>
          <t>High</t>
        </is>
      </c>
      <c r="AC538" s="18" t="inlineStr">
        <is>
          <t>Achievement identity.</t>
        </is>
      </c>
      <c r="AD538" s="18" t="inlineStr">
        <is>
          <t>Needs editorial review</t>
        </is>
      </c>
      <c r="AE538" s="18" t="inlineStr">
        <is>
          <t>Needs semantic dedupe review</t>
        </is>
      </c>
      <c r="AF538" s="18" t="n"/>
      <c r="AG538" s="18" t="n"/>
      <c r="AH538" s="18" t="inlineStr">
        <is>
          <t>No</t>
        </is>
      </c>
      <c r="AI538" s="18" t="inlineStr">
        <is>
          <t>Not reviewed</t>
        </is>
      </c>
      <c r="AJ538" s="18" t="inlineStr">
        <is>
          <t>Research only</t>
        </is>
      </c>
      <c r="AK538" s="18" t="inlineStr">
        <is>
          <t>Research Pool</t>
        </is>
      </c>
      <c r="AL538" s="18" t="n">
        <v>2</v>
      </c>
      <c r="AM538" s="18" t="inlineStr">
        <is>
          <t>ChatGPT research</t>
        </is>
      </c>
      <c r="AN538" s="18" t="inlineStr">
        <is>
          <t>2026-09-18</t>
        </is>
      </c>
      <c r="AO538" s="18" t="inlineStr">
        <is>
          <t>Day 2 full-scope audit, chapters 21–50.</t>
        </is>
      </c>
      <c r="AP538" s="18" t="n"/>
      <c r="AQ538" s="18" t="n"/>
    </row>
    <row r="539">
      <c r="A539" s="18" t="inlineStr">
        <is>
          <t>research.laozi.day2.ch30.038</t>
        </is>
      </c>
      <c r="B539" s="18" t="inlineStr">
        <is>
          <t>Collected</t>
        </is>
      </c>
      <c r="C539" s="18" t="inlineStr">
        <is>
          <t>Nội tâm &amp; hiểu mình</t>
        </is>
      </c>
      <c r="D539" s="18" t="inlineStr">
        <is>
          <t>Day 2 / Laozi 21–50</t>
        </is>
      </c>
      <c r="E539" s="18" t="n"/>
      <c r="F539" s="18" t="inlineStr">
        <is>
          <t>Không mặc định cưỡng ép là sức mạnh</t>
        </is>
      </c>
      <c r="G539" s="18" t="inlineStr">
        <is>
          <t>Agency</t>
        </is>
      </c>
      <c r="H539" s="18" t="n"/>
      <c r="I539" s="18" t="n"/>
      <c r="J539" s="18" t="n"/>
      <c r="K539" s="18" t="inlineStr">
        <is>
          <t>Distinguish</t>
        </is>
      </c>
      <c r="L539" s="18" t="n"/>
      <c r="M539" s="18" t="inlineStr">
        <is>
          <t>Trích đoạn triết học</t>
        </is>
      </c>
      <c r="N539" s="18" t="inlineStr">
        <is>
          <t>果而不得已，果而勿強。</t>
        </is>
      </c>
      <c r="O539" s="18" t="inlineStr">
        <is>
          <t>Classical Chinese (文言文)</t>
        </is>
      </c>
      <c r="P539" s="18" t="inlineStr">
        <is>
          <t>Làm điều cần làm nhưng không lấy sức ép làm nguyên tắc mặc định.</t>
        </is>
      </c>
      <c r="Q539" s="18" t="inlineStr">
        <is>
          <t>Laozi / 老子</t>
        </is>
      </c>
      <c r="R539" s="18" t="inlineStr">
        <is>
          <t>Taoism</t>
        </is>
      </c>
      <c r="S539" s="18" t="inlineStr">
        <is>
          <t>道德經 / Tao Te Ching</t>
        </is>
      </c>
      <c r="T539" s="18" t="inlineStr">
        <is>
          <t>Chapter 30</t>
        </is>
      </c>
      <c r="U539" s="18" t="inlineStr">
        <is>
          <t>https://zh.wikisource.org/zh-hant/%E9%81%93%E5%BE%B7%E7%B6%93_%28%E7%8E%8B%E5%BC%BC%E6%9C%AC%29</t>
        </is>
      </c>
      <c r="V539" s="18" t="inlineStr">
        <is>
          <t>Primary text</t>
        </is>
      </c>
      <c r="W539" s="18" t="inlineStr">
        <is>
          <t>Working translation</t>
        </is>
      </c>
      <c r="X539" s="18" t="inlineStr">
        <is>
          <t>A - Primary source</t>
        </is>
      </c>
      <c r="Y539" s="18" t="inlineStr">
        <is>
          <t>Original Chinese checked against Wang Bi recension; Vietnamese is Selflo working translation, not a published translation.</t>
        </is>
      </c>
      <c r="Z539" s="18" t="inlineStr">
        <is>
          <t>Public domain / likely</t>
        </is>
      </c>
      <c r="AA539" s="18" t="inlineStr">
        <is>
          <t>Ancient source text. Verify jurisdiction/edition before commercial publication.</t>
        </is>
      </c>
      <c r="AB539" s="18" t="inlineStr">
        <is>
          <t>Medium</t>
        </is>
      </c>
      <c r="AC539" s="18" t="inlineStr">
        <is>
          <t>Working translation interpretive.</t>
        </is>
      </c>
      <c r="AD539" s="18" t="inlineStr">
        <is>
          <t>Needs editorial review</t>
        </is>
      </c>
      <c r="AE539" s="18" t="inlineStr">
        <is>
          <t>Needs semantic dedupe review</t>
        </is>
      </c>
      <c r="AF539" s="18" t="n"/>
      <c r="AG539" s="18" t="n"/>
      <c r="AH539" s="18" t="inlineStr">
        <is>
          <t>No</t>
        </is>
      </c>
      <c r="AI539" s="18" t="inlineStr">
        <is>
          <t>Not reviewed</t>
        </is>
      </c>
      <c r="AJ539" s="18" t="inlineStr">
        <is>
          <t>Research only</t>
        </is>
      </c>
      <c r="AK539" s="18" t="inlineStr">
        <is>
          <t>Research Pool</t>
        </is>
      </c>
      <c r="AL539" s="18" t="n">
        <v>2</v>
      </c>
      <c r="AM539" s="18" t="inlineStr">
        <is>
          <t>ChatGPT research</t>
        </is>
      </c>
      <c r="AN539" s="18" t="inlineStr">
        <is>
          <t>2026-09-18</t>
        </is>
      </c>
      <c r="AO539" s="18" t="inlineStr">
        <is>
          <t>Day 2 full-scope audit, chapters 21–50.</t>
        </is>
      </c>
      <c r="AP539" s="18" t="n"/>
      <c r="AQ539" s="18" t="n"/>
    </row>
    <row r="540">
      <c r="A540" s="18" t="inlineStr">
        <is>
          <t>research.laozi.day2.ch30.039</t>
        </is>
      </c>
      <c r="B540" s="18" t="inlineStr">
        <is>
          <t>Collected</t>
        </is>
      </c>
      <c r="C540" s="18" t="inlineStr">
        <is>
          <t>Nội tâm &amp; hiểu mình</t>
        </is>
      </c>
      <c r="D540" s="18" t="inlineStr">
        <is>
          <t>Day 2 / Laozi 21–50</t>
        </is>
      </c>
      <c r="E540" s="18" t="n"/>
      <c r="F540" s="18" t="inlineStr">
        <is>
          <t>Cường độ không thể tăng mãi</t>
        </is>
      </c>
      <c r="G540" s="18" t="inlineStr">
        <is>
          <t>Impermanence</t>
        </is>
      </c>
      <c r="H540" s="18" t="n"/>
      <c r="I540" s="18" t="n"/>
      <c r="J540" s="18" t="n"/>
      <c r="K540" s="18" t="inlineStr">
        <is>
          <t>Reframe</t>
        </is>
      </c>
      <c r="L540" s="18" t="n"/>
      <c r="M540" s="18" t="inlineStr">
        <is>
          <t>Trích đoạn triết học</t>
        </is>
      </c>
      <c r="N540" s="18" t="inlineStr">
        <is>
          <t>物壯則老，是謂不道，不道早已。</t>
        </is>
      </c>
      <c r="O540" s="18" t="inlineStr">
        <is>
          <t>Classical Chinese (文言文)</t>
        </is>
      </c>
      <c r="P540" s="18" t="inlineStr">
        <is>
          <t>Điều bị đẩy đến cực thịnh rồi cũng đi về suy; đoạn văn xem cưỡng mạnh kéo dài là trái nhịp.</t>
        </is>
      </c>
      <c r="Q540" s="18" t="inlineStr">
        <is>
          <t>Laozi / 老子</t>
        </is>
      </c>
      <c r="R540" s="18" t="inlineStr">
        <is>
          <t>Taoism</t>
        </is>
      </c>
      <c r="S540" s="18" t="inlineStr">
        <is>
          <t>道德經 / Tao Te Ching</t>
        </is>
      </c>
      <c r="T540" s="18" t="inlineStr">
        <is>
          <t>Chapter 30</t>
        </is>
      </c>
      <c r="U540" s="18" t="inlineStr">
        <is>
          <t>https://zh.wikisource.org/zh-hant/%E9%81%93%E5%BE%B7%E7%B6%93_%28%E7%8E%8B%E5%BC%BC%E6%9C%AC%29</t>
        </is>
      </c>
      <c r="V540" s="18" t="inlineStr">
        <is>
          <t>Primary text</t>
        </is>
      </c>
      <c r="W540" s="18" t="inlineStr">
        <is>
          <t>Working translation</t>
        </is>
      </c>
      <c r="X540" s="18" t="inlineStr">
        <is>
          <t>A - Primary source</t>
        </is>
      </c>
      <c r="Y540" s="18" t="inlineStr">
        <is>
          <t>Original Chinese checked against Wang Bi recension; Vietnamese is Selflo working translation, not a published translation.</t>
        </is>
      </c>
      <c r="Z540" s="18" t="inlineStr">
        <is>
          <t>Public domain / likely</t>
        </is>
      </c>
      <c r="AA540" s="18" t="inlineStr">
        <is>
          <t>Ancient source text. Verify jurisdiction/edition before commercial publication.</t>
        </is>
      </c>
      <c r="AB540" s="18" t="inlineStr">
        <is>
          <t>High</t>
        </is>
      </c>
      <c r="AC540" s="18" t="inlineStr">
        <is>
          <t>Limits/change.</t>
        </is>
      </c>
      <c r="AD540" s="18" t="inlineStr">
        <is>
          <t>Needs editorial review</t>
        </is>
      </c>
      <c r="AE540" s="18" t="inlineStr">
        <is>
          <t>Needs semantic dedupe review</t>
        </is>
      </c>
      <c r="AF540" s="18" t="n"/>
      <c r="AG540" s="18" t="n"/>
      <c r="AH540" s="18" t="inlineStr">
        <is>
          <t>No</t>
        </is>
      </c>
      <c r="AI540" s="18" t="inlineStr">
        <is>
          <t>Not reviewed</t>
        </is>
      </c>
      <c r="AJ540" s="18" t="inlineStr">
        <is>
          <t>Research only</t>
        </is>
      </c>
      <c r="AK540" s="18" t="inlineStr">
        <is>
          <t>Research Pool</t>
        </is>
      </c>
      <c r="AL540" s="18" t="n">
        <v>2</v>
      </c>
      <c r="AM540" s="18" t="inlineStr">
        <is>
          <t>ChatGPT research</t>
        </is>
      </c>
      <c r="AN540" s="18" t="inlineStr">
        <is>
          <t>2026-09-18</t>
        </is>
      </c>
      <c r="AO540" s="18" t="inlineStr">
        <is>
          <t>Day 2 full-scope audit, chapters 21–50.</t>
        </is>
      </c>
      <c r="AP540" s="18" t="n"/>
      <c r="AQ540" s="18" t="n"/>
    </row>
    <row r="541">
      <c r="A541" s="18" t="inlineStr">
        <is>
          <t>research.laozi.day2.ch31.040</t>
        </is>
      </c>
      <c r="B541" s="18" t="inlineStr">
        <is>
          <t>Collected</t>
        </is>
      </c>
      <c r="C541" s="18" t="inlineStr">
        <is>
          <t>Nội tâm &amp; hiểu mình</t>
        </is>
      </c>
      <c r="D541" s="18" t="inlineStr">
        <is>
          <t>Day 2 / Laozi 21–50</t>
        </is>
      </c>
      <c r="E541" s="18" t="n"/>
      <c r="F541" s="18" t="inlineStr">
        <is>
          <t>Không biến công cụ gây hại thành điều đáng tôn vinh</t>
        </is>
      </c>
      <c r="G541" s="18" t="inlineStr">
        <is>
          <t>Values</t>
        </is>
      </c>
      <c r="H541" s="18" t="n"/>
      <c r="I541" s="18" t="n"/>
      <c r="J541" s="18" t="n"/>
      <c r="K541" s="18" t="inlineStr">
        <is>
          <t>Distinguish</t>
        </is>
      </c>
      <c r="L541" s="18" t="n"/>
      <c r="M541" s="18" t="inlineStr">
        <is>
          <t>Trích đoạn triết học</t>
        </is>
      </c>
      <c r="N541" s="18" t="inlineStr">
        <is>
          <t>兵者不祥之器，非君子之器。</t>
        </is>
      </c>
      <c r="O541" s="18" t="inlineStr">
        <is>
          <t>Classical Chinese (文言文)</t>
        </is>
      </c>
      <c r="P541" s="18" t="inlineStr">
        <is>
          <t>Vũ khí được xem là công cụ bất tường, không phải thứ để người có đức yêu thích.</t>
        </is>
      </c>
      <c r="Q541" s="18" t="inlineStr">
        <is>
          <t>Laozi / 老子</t>
        </is>
      </c>
      <c r="R541" s="18" t="inlineStr">
        <is>
          <t>Taoism</t>
        </is>
      </c>
      <c r="S541" s="18" t="inlineStr">
        <is>
          <t>道德經 / Tao Te Ching</t>
        </is>
      </c>
      <c r="T541" s="18" t="inlineStr">
        <is>
          <t>Chapter 31</t>
        </is>
      </c>
      <c r="U541" s="18" t="inlineStr">
        <is>
          <t>https://zh.wikisource.org/zh-hant/%E9%81%93%E5%BE%B7%E7%B6%93_%28%E7%8E%8B%E5%BC%BC%E6%9C%AC%29</t>
        </is>
      </c>
      <c r="V541" s="18" t="inlineStr">
        <is>
          <t>Primary text</t>
        </is>
      </c>
      <c r="W541" s="18" t="inlineStr">
        <is>
          <t>Working translation</t>
        </is>
      </c>
      <c r="X541" s="18" t="inlineStr">
        <is>
          <t>A - Primary source</t>
        </is>
      </c>
      <c r="Y541" s="18" t="inlineStr">
        <is>
          <t>Original Chinese checked against Wang Bi recension; Vietnamese is Selflo working translation, not a published translation.</t>
        </is>
      </c>
      <c r="Z541" s="18" t="inlineStr">
        <is>
          <t>Public domain / likely</t>
        </is>
      </c>
      <c r="AA541" s="18" t="inlineStr">
        <is>
          <t>Ancient source text. Verify jurisdiction/edition before commercial publication.</t>
        </is>
      </c>
      <c r="AB541" s="18" t="inlineStr">
        <is>
          <t>Medium</t>
        </is>
      </c>
      <c r="AC541" s="18" t="inlineStr">
        <is>
          <t>Political/war context.</t>
        </is>
      </c>
      <c r="AD541" s="18" t="inlineStr">
        <is>
          <t>Needs editorial review</t>
        </is>
      </c>
      <c r="AE541" s="18" t="inlineStr">
        <is>
          <t>Needs semantic dedupe review</t>
        </is>
      </c>
      <c r="AF541" s="18" t="n"/>
      <c r="AG541" s="18" t="n"/>
      <c r="AH541" s="18" t="inlineStr">
        <is>
          <t>No</t>
        </is>
      </c>
      <c r="AI541" s="18" t="inlineStr">
        <is>
          <t>Not reviewed</t>
        </is>
      </c>
      <c r="AJ541" s="18" t="inlineStr">
        <is>
          <t>Research only</t>
        </is>
      </c>
      <c r="AK541" s="18" t="inlineStr">
        <is>
          <t>Research Pool</t>
        </is>
      </c>
      <c r="AL541" s="18" t="n">
        <v>2</v>
      </c>
      <c r="AM541" s="18" t="inlineStr">
        <is>
          <t>ChatGPT research</t>
        </is>
      </c>
      <c r="AN541" s="18" t="inlineStr">
        <is>
          <t>2026-09-18</t>
        </is>
      </c>
      <c r="AO541" s="18" t="inlineStr">
        <is>
          <t>Day 2 full-scope audit, chapters 21–50.</t>
        </is>
      </c>
      <c r="AP541" s="18" t="n"/>
      <c r="AQ541" s="18" t="n"/>
    </row>
    <row r="542">
      <c r="A542" s="18" t="inlineStr">
        <is>
          <t>research.laozi.day2.ch31.041</t>
        </is>
      </c>
      <c r="B542" s="18" t="inlineStr">
        <is>
          <t>Collected</t>
        </is>
      </c>
      <c r="C542" s="18" t="inlineStr">
        <is>
          <t>Nội tâm &amp; hiểu mình</t>
        </is>
      </c>
      <c r="D542" s="18" t="inlineStr">
        <is>
          <t>Day 2 / Laozi 21–50</t>
        </is>
      </c>
      <c r="E542" s="18" t="n"/>
      <c r="F542" s="18" t="inlineStr">
        <is>
          <t>Ngay khi phải đối đầu vẫn không cần tôn thờ xung đột</t>
        </is>
      </c>
      <c r="G542" s="18" t="inlineStr">
        <is>
          <t>Conflict</t>
        </is>
      </c>
      <c r="H542" s="18" t="n"/>
      <c r="I542" s="18" t="n"/>
      <c r="J542" s="18" t="n"/>
      <c r="K542" s="18" t="inlineStr">
        <is>
          <t>Reframe</t>
        </is>
      </c>
      <c r="L542" s="18" t="n"/>
      <c r="M542" s="18" t="inlineStr">
        <is>
          <t>Trích đoạn triết học</t>
        </is>
      </c>
      <c r="N542" s="18" t="inlineStr">
        <is>
          <t>不得已而用之，恬淡為上。</t>
        </is>
      </c>
      <c r="O542" s="18" t="inlineStr">
        <is>
          <t>Classical Chinese (文言文)</t>
        </is>
      </c>
      <c r="P542" s="18" t="inlineStr">
        <is>
          <t>Nếu bất đắc dĩ phải dùng, sự điềm tĩnh vẫn được đặt cao hơn.</t>
        </is>
      </c>
      <c r="Q542" s="18" t="inlineStr">
        <is>
          <t>Laozi / 老子</t>
        </is>
      </c>
      <c r="R542" s="18" t="inlineStr">
        <is>
          <t>Taoism</t>
        </is>
      </c>
      <c r="S542" s="18" t="inlineStr">
        <is>
          <t>道德經 / Tao Te Ching</t>
        </is>
      </c>
      <c r="T542" s="18" t="inlineStr">
        <is>
          <t>Chapter 31</t>
        </is>
      </c>
      <c r="U542" s="18" t="inlineStr">
        <is>
          <t>https://zh.wikisource.org/zh-hant/%E9%81%93%E5%BE%B7%E7%B6%93_%28%E7%8E%8B%E5%BC%BC%E6%9C%AC%29</t>
        </is>
      </c>
      <c r="V542" s="18" t="inlineStr">
        <is>
          <t>Primary text</t>
        </is>
      </c>
      <c r="W542" s="18" t="inlineStr">
        <is>
          <t>Working translation</t>
        </is>
      </c>
      <c r="X542" s="18" t="inlineStr">
        <is>
          <t>A - Primary source</t>
        </is>
      </c>
      <c r="Y542" s="18" t="inlineStr">
        <is>
          <t>Original Chinese checked against Wang Bi recension; Vietnamese is Selflo working translation, not a published translation.</t>
        </is>
      </c>
      <c r="Z542" s="18" t="inlineStr">
        <is>
          <t>Public domain / likely</t>
        </is>
      </c>
      <c r="AA542" s="18" t="inlineStr">
        <is>
          <t>Ancient source text. Verify jurisdiction/edition before commercial publication.</t>
        </is>
      </c>
      <c r="AB542" s="18" t="inlineStr">
        <is>
          <t>Medium</t>
        </is>
      </c>
      <c r="AC542" s="18" t="inlineStr">
        <is>
          <t>Context war.</t>
        </is>
      </c>
      <c r="AD542" s="18" t="inlineStr">
        <is>
          <t>Needs editorial review</t>
        </is>
      </c>
      <c r="AE542" s="18" t="inlineStr">
        <is>
          <t>Needs semantic dedupe review</t>
        </is>
      </c>
      <c r="AF542" s="18" t="n"/>
      <c r="AG542" s="18" t="n"/>
      <c r="AH542" s="18" t="inlineStr">
        <is>
          <t>No</t>
        </is>
      </c>
      <c r="AI542" s="18" t="inlineStr">
        <is>
          <t>Not reviewed</t>
        </is>
      </c>
      <c r="AJ542" s="18" t="inlineStr">
        <is>
          <t>Research only</t>
        </is>
      </c>
      <c r="AK542" s="18" t="inlineStr">
        <is>
          <t>Research Pool</t>
        </is>
      </c>
      <c r="AL542" s="18" t="n">
        <v>2</v>
      </c>
      <c r="AM542" s="18" t="inlineStr">
        <is>
          <t>ChatGPT research</t>
        </is>
      </c>
      <c r="AN542" s="18" t="inlineStr">
        <is>
          <t>2026-09-18</t>
        </is>
      </c>
      <c r="AO542" s="18" t="inlineStr">
        <is>
          <t>Day 2 full-scope audit, chapters 21–50.</t>
        </is>
      </c>
      <c r="AP542" s="18" t="n"/>
      <c r="AQ542" s="18" t="n"/>
    </row>
    <row r="543">
      <c r="A543" s="18" t="inlineStr">
        <is>
          <t>research.laozi.day2.ch31.042</t>
        </is>
      </c>
      <c r="B543" s="18" t="inlineStr">
        <is>
          <t>Collected</t>
        </is>
      </c>
      <c r="C543" s="18" t="inlineStr">
        <is>
          <t>Nội tâm &amp; hiểu mình</t>
        </is>
      </c>
      <c r="D543" s="18" t="inlineStr">
        <is>
          <t>Day 2 / Laozi 21–50</t>
        </is>
      </c>
      <c r="E543" s="18" t="n"/>
      <c r="F543" s="18" t="inlineStr">
        <is>
          <t>Không mọi chiến thắng đều đáng ăn mừng</t>
        </is>
      </c>
      <c r="G543" s="18" t="inlineStr">
        <is>
          <t>Values</t>
        </is>
      </c>
      <c r="H543" s="18" t="n"/>
      <c r="I543" s="18" t="n"/>
      <c r="J543" s="18" t="n"/>
      <c r="K543" s="18" t="inlineStr">
        <is>
          <t>Distinguish</t>
        </is>
      </c>
      <c r="L543" s="18" t="n"/>
      <c r="M543" s="18" t="inlineStr">
        <is>
          <t>Trích đoạn triết học</t>
        </is>
      </c>
      <c r="N543" s="18" t="inlineStr">
        <is>
          <t>勝而不美，而美之者，是樂殺人。</t>
        </is>
      </c>
      <c r="O543" s="18" t="inlineStr">
        <is>
          <t>Classical Chinese (文言文)</t>
        </is>
      </c>
      <c r="P543" s="18" t="inlineStr">
        <is>
          <t>Thắng mà không xem chiến thắng ấy là đẹp; ca tụng nó là điều văn bản cảnh báo.</t>
        </is>
      </c>
      <c r="Q543" s="18" t="inlineStr">
        <is>
          <t>Laozi / 老子</t>
        </is>
      </c>
      <c r="R543" s="18" t="inlineStr">
        <is>
          <t>Taoism</t>
        </is>
      </c>
      <c r="S543" s="18" t="inlineStr">
        <is>
          <t>道德經 / Tao Te Ching</t>
        </is>
      </c>
      <c r="T543" s="18" t="inlineStr">
        <is>
          <t>Chapter 31</t>
        </is>
      </c>
      <c r="U543" s="18" t="inlineStr">
        <is>
          <t>https://zh.wikisource.org/zh-hant/%E9%81%93%E5%BE%B7%E7%B6%93_%28%E7%8E%8B%E5%BC%BC%E6%9C%AC%29</t>
        </is>
      </c>
      <c r="V543" s="18" t="inlineStr">
        <is>
          <t>Primary text</t>
        </is>
      </c>
      <c r="W543" s="18" t="inlineStr">
        <is>
          <t>Working translation</t>
        </is>
      </c>
      <c r="X543" s="18" t="inlineStr">
        <is>
          <t>A - Primary source</t>
        </is>
      </c>
      <c r="Y543" s="18" t="inlineStr">
        <is>
          <t>Original Chinese checked against Wang Bi recension; Vietnamese is Selflo working translation, not a published translation.</t>
        </is>
      </c>
      <c r="Z543" s="18" t="inlineStr">
        <is>
          <t>Public domain / likely</t>
        </is>
      </c>
      <c r="AA543" s="18" t="inlineStr">
        <is>
          <t>Ancient source text. Verify jurisdiction/edition before commercial publication.</t>
        </is>
      </c>
      <c r="AB543" s="18" t="inlineStr">
        <is>
          <t>High</t>
        </is>
      </c>
      <c r="AC543" s="18" t="inlineStr">
        <is>
          <t>Mạnh cho outcome ≠ value.</t>
        </is>
      </c>
      <c r="AD543" s="18" t="inlineStr">
        <is>
          <t>Needs editorial review</t>
        </is>
      </c>
      <c r="AE543" s="18" t="inlineStr">
        <is>
          <t>Needs semantic dedupe review</t>
        </is>
      </c>
      <c r="AF543" s="18" t="n"/>
      <c r="AG543" s="18" t="n"/>
      <c r="AH543" s="18" t="inlineStr">
        <is>
          <t>No</t>
        </is>
      </c>
      <c r="AI543" s="18" t="inlineStr">
        <is>
          <t>Not reviewed</t>
        </is>
      </c>
      <c r="AJ543" s="18" t="inlineStr">
        <is>
          <t>Research only</t>
        </is>
      </c>
      <c r="AK543" s="18" t="inlineStr">
        <is>
          <t>Research Pool</t>
        </is>
      </c>
      <c r="AL543" s="18" t="n">
        <v>2</v>
      </c>
      <c r="AM543" s="18" t="inlineStr">
        <is>
          <t>ChatGPT research</t>
        </is>
      </c>
      <c r="AN543" s="18" t="inlineStr">
        <is>
          <t>2026-09-18</t>
        </is>
      </c>
      <c r="AO543" s="18" t="inlineStr">
        <is>
          <t>Day 2 full-scope audit, chapters 21–50.</t>
        </is>
      </c>
      <c r="AP543" s="18" t="n"/>
      <c r="AQ543" s="18" t="n"/>
    </row>
    <row r="544">
      <c r="A544" s="18" t="inlineStr">
        <is>
          <t>research.laozi.day2.ch32.043</t>
        </is>
      </c>
      <c r="B544" s="18" t="inlineStr">
        <is>
          <t>Collected</t>
        </is>
      </c>
      <c r="C544" s="18" t="inlineStr">
        <is>
          <t>Nội tâm &amp; hiểu mình</t>
        </is>
      </c>
      <c r="D544" s="18" t="inlineStr">
        <is>
          <t>Day 2 / Laozi 21–50</t>
        </is>
      </c>
      <c r="E544" s="18" t="n"/>
      <c r="F544" s="18" t="inlineStr">
        <is>
          <t>Không phải điều nền tảng nào cũng cần một nhãn cố định</t>
        </is>
      </c>
      <c r="G544" s="18" t="inlineStr">
        <is>
          <t>Naming</t>
        </is>
      </c>
      <c r="H544" s="18" t="n"/>
      <c r="I544" s="18" t="n"/>
      <c r="J544" s="18" t="n"/>
      <c r="K544" s="18" t="inlineStr">
        <is>
          <t>Permit</t>
        </is>
      </c>
      <c r="L544" s="18" t="n"/>
      <c r="M544" s="18" t="inlineStr">
        <is>
          <t>Trích đoạn triết học</t>
        </is>
      </c>
      <c r="N544" s="18" t="inlineStr">
        <is>
          <t>道常無名。</t>
        </is>
      </c>
      <c r="O544" s="18" t="inlineStr">
        <is>
          <t>Classical Chinese (文言文)</t>
        </is>
      </c>
      <c r="P544" s="18" t="inlineStr">
        <is>
          <t>Đạo thường không có tên cố định.</t>
        </is>
      </c>
      <c r="Q544" s="18" t="inlineStr">
        <is>
          <t>Laozi / 老子</t>
        </is>
      </c>
      <c r="R544" s="18" t="inlineStr">
        <is>
          <t>Taoism</t>
        </is>
      </c>
      <c r="S544" s="18" t="inlineStr">
        <is>
          <t>道德經 / Tao Te Ching</t>
        </is>
      </c>
      <c r="T544" s="18" t="inlineStr">
        <is>
          <t>Chapter 32</t>
        </is>
      </c>
      <c r="U544" s="18" t="inlineStr">
        <is>
          <t>https://zh.wikisource.org/zh-hant/%E9%81%93%E5%BE%B7%E7%B6%93_%28%E7%8E%8B%E5%BC%BC%E6%9C%AC%29</t>
        </is>
      </c>
      <c r="V544" s="18" t="inlineStr">
        <is>
          <t>Primary text</t>
        </is>
      </c>
      <c r="W544" s="18" t="inlineStr">
        <is>
          <t>Working translation</t>
        </is>
      </c>
      <c r="X544" s="18" t="inlineStr">
        <is>
          <t>A - Primary source</t>
        </is>
      </c>
      <c r="Y544" s="18" t="inlineStr">
        <is>
          <t>Original Chinese checked against Wang Bi recension; Vietnamese is Selflo working translation, not a published translation.</t>
        </is>
      </c>
      <c r="Z544" s="18" t="inlineStr">
        <is>
          <t>Public domain / likely</t>
        </is>
      </c>
      <c r="AA544" s="18" t="inlineStr">
        <is>
          <t>Ancient source text. Verify jurisdiction/edition before commercial publication.</t>
        </is>
      </c>
      <c r="AB544" s="18" t="inlineStr">
        <is>
          <t>High</t>
        </is>
      </c>
      <c r="AC544" s="18" t="inlineStr">
        <is>
          <t>Naming.</t>
        </is>
      </c>
      <c r="AD544" s="18" t="inlineStr">
        <is>
          <t>Needs editorial review</t>
        </is>
      </c>
      <c r="AE544" s="18" t="inlineStr">
        <is>
          <t>Needs semantic dedupe review</t>
        </is>
      </c>
      <c r="AF544" s="18" t="n"/>
      <c r="AG544" s="18" t="n"/>
      <c r="AH544" s="18" t="inlineStr">
        <is>
          <t>No</t>
        </is>
      </c>
      <c r="AI544" s="18" t="inlineStr">
        <is>
          <t>Not reviewed</t>
        </is>
      </c>
      <c r="AJ544" s="18" t="inlineStr">
        <is>
          <t>Research only</t>
        </is>
      </c>
      <c r="AK544" s="18" t="inlineStr">
        <is>
          <t>Research Pool</t>
        </is>
      </c>
      <c r="AL544" s="18" t="n">
        <v>2</v>
      </c>
      <c r="AM544" s="18" t="inlineStr">
        <is>
          <t>ChatGPT research</t>
        </is>
      </c>
      <c r="AN544" s="18" t="inlineStr">
        <is>
          <t>2026-09-18</t>
        </is>
      </c>
      <c r="AO544" s="18" t="inlineStr">
        <is>
          <t>Day 2 full-scope audit, chapters 21–50.</t>
        </is>
      </c>
      <c r="AP544" s="18" t="n"/>
      <c r="AQ544" s="18" t="n"/>
    </row>
    <row r="545">
      <c r="A545" s="18" t="inlineStr">
        <is>
          <t>research.laozi.day2.ch32.044</t>
        </is>
      </c>
      <c r="B545" s="18" t="inlineStr">
        <is>
          <t>Collected</t>
        </is>
      </c>
      <c r="C545" s="18" t="inlineStr">
        <is>
          <t>Nội tâm &amp; hiểu mình</t>
        </is>
      </c>
      <c r="D545" s="18" t="inlineStr">
        <is>
          <t>Day 2 / Laozi 21–50</t>
        </is>
      </c>
      <c r="E545" s="18" t="n"/>
      <c r="F545" s="18" t="inlineStr">
        <is>
          <t>Biết giới hạn trước khi quá mức</t>
        </is>
      </c>
      <c r="G545" s="18" t="inlineStr">
        <is>
          <t>Limits</t>
        </is>
      </c>
      <c r="H545" s="18" t="n"/>
      <c r="I545" s="18" t="n"/>
      <c r="J545" s="18" t="n"/>
      <c r="K545" s="18" t="inlineStr">
        <is>
          <t>Distinguish</t>
        </is>
      </c>
      <c r="L545" s="18" t="n"/>
      <c r="M545" s="18" t="inlineStr">
        <is>
          <t>Trích đoạn triết học</t>
        </is>
      </c>
      <c r="N545" s="18" t="inlineStr">
        <is>
          <t>知止所以不殆。</t>
        </is>
      </c>
      <c r="O545" s="18" t="inlineStr">
        <is>
          <t>Classical Chinese (文言文)</t>
        </is>
      </c>
      <c r="P545" s="18" t="inlineStr">
        <is>
          <t>Biết chỗ dừng giúp tránh đi vào nguy hiểm.</t>
        </is>
      </c>
      <c r="Q545" s="18" t="inlineStr">
        <is>
          <t>Laozi / 老子</t>
        </is>
      </c>
      <c r="R545" s="18" t="inlineStr">
        <is>
          <t>Taoism</t>
        </is>
      </c>
      <c r="S545" s="18" t="inlineStr">
        <is>
          <t>道德經 / Tao Te Ching</t>
        </is>
      </c>
      <c r="T545" s="18" t="inlineStr">
        <is>
          <t>Chapter 32</t>
        </is>
      </c>
      <c r="U545" s="18" t="inlineStr">
        <is>
          <t>https://zh.wikisource.org/zh-hant/%E9%81%93%E5%BE%B7%E7%B6%93_%28%E7%8E%8B%E5%BC%BC%E6%9C%AC%29</t>
        </is>
      </c>
      <c r="V545" s="18" t="inlineStr">
        <is>
          <t>Primary text</t>
        </is>
      </c>
      <c r="W545" s="18" t="inlineStr">
        <is>
          <t>Working translation</t>
        </is>
      </c>
      <c r="X545" s="18" t="inlineStr">
        <is>
          <t>A - Primary source</t>
        </is>
      </c>
      <c r="Y545" s="18" t="inlineStr">
        <is>
          <t>Original Chinese checked against Wang Bi recension; Vietnamese is Selflo working translation, not a published translation.</t>
        </is>
      </c>
      <c r="Z545" s="18" t="inlineStr">
        <is>
          <t>Public domain / likely</t>
        </is>
      </c>
      <c r="AA545" s="18" t="inlineStr">
        <is>
          <t>Ancient source text. Verify jurisdiction/edition before commercial publication.</t>
        </is>
      </c>
      <c r="AB545" s="18" t="inlineStr">
        <is>
          <t>High</t>
        </is>
      </c>
      <c r="AC545" s="18" t="inlineStr">
        <is>
          <t>Very strong.</t>
        </is>
      </c>
      <c r="AD545" s="18" t="inlineStr">
        <is>
          <t>Needs editorial review</t>
        </is>
      </c>
      <c r="AE545" s="18" t="inlineStr">
        <is>
          <t>Needs semantic dedupe review</t>
        </is>
      </c>
      <c r="AF545" s="18" t="n"/>
      <c r="AG545" s="18" t="n"/>
      <c r="AH545" s="18" t="inlineStr">
        <is>
          <t>No</t>
        </is>
      </c>
      <c r="AI545" s="18" t="inlineStr">
        <is>
          <t>Not reviewed</t>
        </is>
      </c>
      <c r="AJ545" s="18" t="inlineStr">
        <is>
          <t>Research only</t>
        </is>
      </c>
      <c r="AK545" s="18" t="inlineStr">
        <is>
          <t>Research Pool</t>
        </is>
      </c>
      <c r="AL545" s="18" t="n">
        <v>2</v>
      </c>
      <c r="AM545" s="18" t="inlineStr">
        <is>
          <t>ChatGPT research</t>
        </is>
      </c>
      <c r="AN545" s="18" t="inlineStr">
        <is>
          <t>2026-09-18</t>
        </is>
      </c>
      <c r="AO545" s="18" t="inlineStr">
        <is>
          <t>Day 2 full-scope audit, chapters 21–50.</t>
        </is>
      </c>
      <c r="AP545" s="18" t="n"/>
      <c r="AQ545" s="18" t="n"/>
    </row>
    <row r="546">
      <c r="A546" s="18" t="inlineStr">
        <is>
          <t>research.laozi.day2.ch32.045</t>
        </is>
      </c>
      <c r="B546" s="18" t="inlineStr">
        <is>
          <t>Collected</t>
        </is>
      </c>
      <c r="C546" s="18" t="inlineStr">
        <is>
          <t>Nội tâm &amp; hiểu mình</t>
        </is>
      </c>
      <c r="D546" s="18" t="inlineStr">
        <is>
          <t>Day 2 / Laozi 21–50</t>
        </is>
      </c>
      <c r="E546" s="18" t="n"/>
      <c r="F546" s="18" t="inlineStr">
        <is>
          <t>Nhìn nhiều dòng khác nhau cùng thuộc hệ lớn hơn</t>
        </is>
      </c>
      <c r="G546" s="18" t="inlineStr">
        <is>
          <t>Connection</t>
        </is>
      </c>
      <c r="H546" s="18" t="n"/>
      <c r="I546" s="18" t="n"/>
      <c r="J546" s="18" t="n"/>
      <c r="K546" s="18" t="inlineStr">
        <is>
          <t>Reframe</t>
        </is>
      </c>
      <c r="L546" s="18" t="n"/>
      <c r="M546" s="18" t="inlineStr">
        <is>
          <t>Trích đoạn triết học</t>
        </is>
      </c>
      <c r="N546" s="18" t="inlineStr">
        <is>
          <t>譬道之在天下，猶川谷之於江海。</t>
        </is>
      </c>
      <c r="O546" s="18" t="inlineStr">
        <is>
          <t>Classical Chinese (文言文)</t>
        </is>
      </c>
      <c r="P546" s="18" t="inlineStr">
        <is>
          <t>Đạo trong thiên hạ được ví như khe suối và sông cùng hướng về biển.</t>
        </is>
      </c>
      <c r="Q546" s="18" t="inlineStr">
        <is>
          <t>Laozi / 老子</t>
        </is>
      </c>
      <c r="R546" s="18" t="inlineStr">
        <is>
          <t>Taoism</t>
        </is>
      </c>
      <c r="S546" s="18" t="inlineStr">
        <is>
          <t>道德經 / Tao Te Ching</t>
        </is>
      </c>
      <c r="T546" s="18" t="inlineStr">
        <is>
          <t>Chapter 32</t>
        </is>
      </c>
      <c r="U546" s="18" t="inlineStr">
        <is>
          <t>https://zh.wikisource.org/zh-hant/%E9%81%93%E5%BE%B7%E7%B6%93_%28%E7%8E%8B%E5%BC%BC%E6%9C%AC%29</t>
        </is>
      </c>
      <c r="V546" s="18" t="inlineStr">
        <is>
          <t>Primary text</t>
        </is>
      </c>
      <c r="W546" s="18" t="inlineStr">
        <is>
          <t>Working translation</t>
        </is>
      </c>
      <c r="X546" s="18" t="inlineStr">
        <is>
          <t>A - Primary source</t>
        </is>
      </c>
      <c r="Y546" s="18" t="inlineStr">
        <is>
          <t>Original Chinese checked against Wang Bi recension; Vietnamese is Selflo working translation, not a published translation.</t>
        </is>
      </c>
      <c r="Z546" s="18" t="inlineStr">
        <is>
          <t>Public domain / likely</t>
        </is>
      </c>
      <c r="AA546" s="18" t="inlineStr">
        <is>
          <t>Ancient source text. Verify jurisdiction/edition before commercial publication.</t>
        </is>
      </c>
      <c r="AB546" s="18" t="inlineStr">
        <is>
          <t>Medium</t>
        </is>
      </c>
      <c r="AC546" s="18" t="inlineStr">
        <is>
          <t>Metaphor.</t>
        </is>
      </c>
      <c r="AD546" s="18" t="inlineStr">
        <is>
          <t>Needs editorial review</t>
        </is>
      </c>
      <c r="AE546" s="18" t="inlineStr">
        <is>
          <t>Needs semantic dedupe review</t>
        </is>
      </c>
      <c r="AF546" s="18" t="n"/>
      <c r="AG546" s="18" t="n"/>
      <c r="AH546" s="18" t="inlineStr">
        <is>
          <t>No</t>
        </is>
      </c>
      <c r="AI546" s="18" t="inlineStr">
        <is>
          <t>Not reviewed</t>
        </is>
      </c>
      <c r="AJ546" s="18" t="inlineStr">
        <is>
          <t>Research only</t>
        </is>
      </c>
      <c r="AK546" s="18" t="inlineStr">
        <is>
          <t>Research Pool</t>
        </is>
      </c>
      <c r="AL546" s="18" t="n">
        <v>2</v>
      </c>
      <c r="AM546" s="18" t="inlineStr">
        <is>
          <t>ChatGPT research</t>
        </is>
      </c>
      <c r="AN546" s="18" t="inlineStr">
        <is>
          <t>2026-09-18</t>
        </is>
      </c>
      <c r="AO546" s="18" t="inlineStr">
        <is>
          <t>Day 2 full-scope audit, chapters 21–50.</t>
        </is>
      </c>
      <c r="AP546" s="18" t="n"/>
      <c r="AQ546" s="18" t="n"/>
    </row>
    <row r="547">
      <c r="A547" s="18" t="inlineStr">
        <is>
          <t>research.laozi.day2.ch33.046</t>
        </is>
      </c>
      <c r="B547" s="18" t="inlineStr">
        <is>
          <t>Collected</t>
        </is>
      </c>
      <c r="C547" s="18" t="inlineStr">
        <is>
          <t>Nội tâm &amp; hiểu mình</t>
        </is>
      </c>
      <c r="D547" s="18" t="inlineStr">
        <is>
          <t>Day 2 / Laozi 21–50</t>
        </is>
      </c>
      <c r="E547" s="18" t="n"/>
      <c r="F547" s="18" t="inlineStr">
        <is>
          <t>Tự hiểu mình là một dạng sáng rõ riêng</t>
        </is>
      </c>
      <c r="G547" s="18" t="inlineStr">
        <is>
          <t>Self-understanding</t>
        </is>
      </c>
      <c r="H547" s="18" t="n"/>
      <c r="I547" s="18" t="n"/>
      <c r="J547" s="18" t="n"/>
      <c r="K547" s="18" t="inlineStr">
        <is>
          <t>Recognize</t>
        </is>
      </c>
      <c r="L547" s="18" t="n"/>
      <c r="M547" s="18" t="inlineStr">
        <is>
          <t>Trích đoạn triết học</t>
        </is>
      </c>
      <c r="N547" s="18" t="inlineStr">
        <is>
          <t>知人者智，自知者明。</t>
        </is>
      </c>
      <c r="O547" s="18" t="inlineStr">
        <is>
          <t>Classical Chinese (文言文)</t>
        </is>
      </c>
      <c r="P547" s="18" t="inlineStr">
        <is>
          <t>Biết người là trí; biết mình là sáng.</t>
        </is>
      </c>
      <c r="Q547" s="18" t="inlineStr">
        <is>
          <t>Laozi / 老子</t>
        </is>
      </c>
      <c r="R547" s="18" t="inlineStr">
        <is>
          <t>Taoism</t>
        </is>
      </c>
      <c r="S547" s="18" t="inlineStr">
        <is>
          <t>道德經 / Tao Te Ching</t>
        </is>
      </c>
      <c r="T547" s="18" t="inlineStr">
        <is>
          <t>Chapter 33</t>
        </is>
      </c>
      <c r="U547" s="18" t="inlineStr">
        <is>
          <t>https://zh.wikisource.org/zh-hant/%E9%81%93%E5%BE%B7%E7%B6%93_%28%E7%8E%8B%E5%BC%BC%E6%9C%AC%29</t>
        </is>
      </c>
      <c r="V547" s="18" t="inlineStr">
        <is>
          <t>Primary text</t>
        </is>
      </c>
      <c r="W547" s="18" t="inlineStr">
        <is>
          <t>Working translation</t>
        </is>
      </c>
      <c r="X547" s="18" t="inlineStr">
        <is>
          <t>A - Primary source</t>
        </is>
      </c>
      <c r="Y547" s="18" t="inlineStr">
        <is>
          <t>Original Chinese checked against Wang Bi recension; Vietnamese is Selflo working translation, not a published translation.</t>
        </is>
      </c>
      <c r="Z547" s="18" t="inlineStr">
        <is>
          <t>Public domain / likely</t>
        </is>
      </c>
      <c r="AA547" s="18" t="inlineStr">
        <is>
          <t>Ancient source text. Verify jurisdiction/edition before commercial publication.</t>
        </is>
      </c>
      <c r="AB547" s="18" t="inlineStr">
        <is>
          <t>High</t>
        </is>
      </c>
      <c r="AC547" s="18" t="inlineStr">
        <is>
          <t>Core Selflo.</t>
        </is>
      </c>
      <c r="AD547" s="18" t="inlineStr">
        <is>
          <t>Needs editorial review</t>
        </is>
      </c>
      <c r="AE547" s="18" t="inlineStr">
        <is>
          <t>Needs semantic dedupe review</t>
        </is>
      </c>
      <c r="AF547" s="18" t="n"/>
      <c r="AG547" s="18" t="n"/>
      <c r="AH547" s="18" t="inlineStr">
        <is>
          <t>No</t>
        </is>
      </c>
      <c r="AI547" s="18" t="inlineStr">
        <is>
          <t>Not reviewed</t>
        </is>
      </c>
      <c r="AJ547" s="18" t="inlineStr">
        <is>
          <t>Research only</t>
        </is>
      </c>
      <c r="AK547" s="18" t="inlineStr">
        <is>
          <t>Research Pool</t>
        </is>
      </c>
      <c r="AL547" s="18" t="n">
        <v>2</v>
      </c>
      <c r="AM547" s="18" t="inlineStr">
        <is>
          <t>ChatGPT research</t>
        </is>
      </c>
      <c r="AN547" s="18" t="inlineStr">
        <is>
          <t>2026-09-18</t>
        </is>
      </c>
      <c r="AO547" s="18" t="inlineStr">
        <is>
          <t>Day 2 full-scope audit, chapters 21–50.</t>
        </is>
      </c>
      <c r="AP547" s="18" t="n"/>
      <c r="AQ547" s="18" t="n"/>
    </row>
    <row r="548">
      <c r="A548" s="18" t="inlineStr">
        <is>
          <t>research.laozi.day2.ch33.047</t>
        </is>
      </c>
      <c r="B548" s="18" t="inlineStr">
        <is>
          <t>Collected</t>
        </is>
      </c>
      <c r="C548" s="18" t="inlineStr">
        <is>
          <t>Nội tâm &amp; hiểu mình</t>
        </is>
      </c>
      <c r="D548" s="18" t="inlineStr">
        <is>
          <t>Day 2 / Laozi 21–50</t>
        </is>
      </c>
      <c r="E548" s="18" t="n"/>
      <c r="F548" s="18" t="inlineStr">
        <is>
          <t>Phân biệt sức mạnh bên ngoài và khả năng tự chủ</t>
        </is>
      </c>
      <c r="G548" s="18" t="inlineStr">
        <is>
          <t>Agency</t>
        </is>
      </c>
      <c r="H548" s="18" t="n"/>
      <c r="I548" s="18" t="n"/>
      <c r="J548" s="18" t="n"/>
      <c r="K548" s="18" t="inlineStr">
        <is>
          <t>Distinguish</t>
        </is>
      </c>
      <c r="L548" s="18" t="n"/>
      <c r="M548" s="18" t="inlineStr">
        <is>
          <t>Trích đoạn triết học</t>
        </is>
      </c>
      <c r="N548" s="18" t="inlineStr">
        <is>
          <t>勝人者有力，自勝者強。</t>
        </is>
      </c>
      <c r="O548" s="18" t="inlineStr">
        <is>
          <t>Classical Chinese (文言文)</t>
        </is>
      </c>
      <c r="P548" s="18" t="inlineStr">
        <is>
          <t>Thắng người cần sức; thắng được sự kéo lôi trong chính mình được gọi là mạnh.</t>
        </is>
      </c>
      <c r="Q548" s="18" t="inlineStr">
        <is>
          <t>Laozi / 老子</t>
        </is>
      </c>
      <c r="R548" s="18" t="inlineStr">
        <is>
          <t>Taoism</t>
        </is>
      </c>
      <c r="S548" s="18" t="inlineStr">
        <is>
          <t>道德經 / Tao Te Ching</t>
        </is>
      </c>
      <c r="T548" s="18" t="inlineStr">
        <is>
          <t>Chapter 33</t>
        </is>
      </c>
      <c r="U548" s="18" t="inlineStr">
        <is>
          <t>https://zh.wikisource.org/zh-hant/%E9%81%93%E5%BE%B7%E7%B6%93_%28%E7%8E%8B%E5%BC%BC%E6%9C%AC%29</t>
        </is>
      </c>
      <c r="V548" s="18" t="inlineStr">
        <is>
          <t>Primary text</t>
        </is>
      </c>
      <c r="W548" s="18" t="inlineStr">
        <is>
          <t>Working translation</t>
        </is>
      </c>
      <c r="X548" s="18" t="inlineStr">
        <is>
          <t>A - Primary source</t>
        </is>
      </c>
      <c r="Y548" s="18" t="inlineStr">
        <is>
          <t>Original Chinese checked against Wang Bi recension; Vietnamese is Selflo working translation, not a published translation.</t>
        </is>
      </c>
      <c r="Z548" s="18" t="inlineStr">
        <is>
          <t>Public domain / likely</t>
        </is>
      </c>
      <c r="AA548" s="18" t="inlineStr">
        <is>
          <t>Ancient source text. Verify jurisdiction/edition before commercial publication.</t>
        </is>
      </c>
      <c r="AB548" s="18" t="inlineStr">
        <is>
          <t>High</t>
        </is>
      </c>
      <c r="AC548" s="18" t="inlineStr">
        <is>
          <t>Avoid self-conquest harshness.</t>
        </is>
      </c>
      <c r="AD548" s="18" t="inlineStr">
        <is>
          <t>Needs editorial review</t>
        </is>
      </c>
      <c r="AE548" s="18" t="inlineStr">
        <is>
          <t>Needs semantic dedupe review</t>
        </is>
      </c>
      <c r="AF548" s="18" t="n"/>
      <c r="AG548" s="18" t="n"/>
      <c r="AH548" s="18" t="inlineStr">
        <is>
          <t>No</t>
        </is>
      </c>
      <c r="AI548" s="18" t="inlineStr">
        <is>
          <t>Not reviewed</t>
        </is>
      </c>
      <c r="AJ548" s="18" t="inlineStr">
        <is>
          <t>Research only</t>
        </is>
      </c>
      <c r="AK548" s="18" t="inlineStr">
        <is>
          <t>Research Pool</t>
        </is>
      </c>
      <c r="AL548" s="18" t="n">
        <v>2</v>
      </c>
      <c r="AM548" s="18" t="inlineStr">
        <is>
          <t>ChatGPT research</t>
        </is>
      </c>
      <c r="AN548" s="18" t="inlineStr">
        <is>
          <t>2026-09-18</t>
        </is>
      </c>
      <c r="AO548" s="18" t="inlineStr">
        <is>
          <t>Day 2 full-scope audit, chapters 21–50.</t>
        </is>
      </c>
      <c r="AP548" s="18" t="n"/>
      <c r="AQ548" s="18" t="n"/>
    </row>
    <row r="549">
      <c r="A549" s="18" t="inlineStr">
        <is>
          <t>research.laozi.day2.ch33.048</t>
        </is>
      </c>
      <c r="B549" s="18" t="inlineStr">
        <is>
          <t>Collected</t>
        </is>
      </c>
      <c r="C549" s="18" t="inlineStr">
        <is>
          <t>Nội tâm &amp; hiểu mình</t>
        </is>
      </c>
      <c r="D549" s="18" t="inlineStr">
        <is>
          <t>Day 2 / Laozi 21–50</t>
        </is>
      </c>
      <c r="E549" s="18" t="n"/>
      <c r="F549" s="18" t="inlineStr">
        <is>
          <t>Cảm giác đủ không chỉ phụ thuộc số lượng sở hữu</t>
        </is>
      </c>
      <c r="G549" s="18" t="inlineStr">
        <is>
          <t>Enoughness</t>
        </is>
      </c>
      <c r="H549" s="18" t="n"/>
      <c r="I549" s="18" t="n"/>
      <c r="J549" s="18" t="n"/>
      <c r="K549" s="18" t="inlineStr">
        <is>
          <t>Reframe</t>
        </is>
      </c>
      <c r="L549" s="18" t="n"/>
      <c r="M549" s="18" t="inlineStr">
        <is>
          <t>Trích đoạn triết học</t>
        </is>
      </c>
      <c r="N549" s="18" t="inlineStr">
        <is>
          <t>知足者富。</t>
        </is>
      </c>
      <c r="O549" s="18" t="inlineStr">
        <is>
          <t>Classical Chinese (文言文)</t>
        </is>
      </c>
      <c r="P549" s="18" t="inlineStr">
        <is>
          <t>Biết đủ được gọi là giàu.</t>
        </is>
      </c>
      <c r="Q549" s="18" t="inlineStr">
        <is>
          <t>Laozi / 老子</t>
        </is>
      </c>
      <c r="R549" s="18" t="inlineStr">
        <is>
          <t>Taoism</t>
        </is>
      </c>
      <c r="S549" s="18" t="inlineStr">
        <is>
          <t>道德經 / Tao Te Ching</t>
        </is>
      </c>
      <c r="T549" s="18" t="inlineStr">
        <is>
          <t>Chapter 33</t>
        </is>
      </c>
      <c r="U549" s="18" t="inlineStr">
        <is>
          <t>https://zh.wikisource.org/zh-hant/%E9%81%93%E5%BE%B7%E7%B6%93_%28%E7%8E%8B%E5%BC%BC%E6%9C%AC%29</t>
        </is>
      </c>
      <c r="V549" s="18" t="inlineStr">
        <is>
          <t>Primary text</t>
        </is>
      </c>
      <c r="W549" s="18" t="inlineStr">
        <is>
          <t>Working translation</t>
        </is>
      </c>
      <c r="X549" s="18" t="inlineStr">
        <is>
          <t>A - Primary source</t>
        </is>
      </c>
      <c r="Y549" s="18" t="inlineStr">
        <is>
          <t>Original Chinese checked against Wang Bi recension; Vietnamese is Selflo working translation, not a published translation.</t>
        </is>
      </c>
      <c r="Z549" s="18" t="inlineStr">
        <is>
          <t>Public domain / likely</t>
        </is>
      </c>
      <c r="AA549" s="18" t="inlineStr">
        <is>
          <t>Ancient source text. Verify jurisdiction/edition before commercial publication.</t>
        </is>
      </c>
      <c r="AB549" s="18" t="inlineStr">
        <is>
          <t>High</t>
        </is>
      </c>
      <c r="AC549" s="18" t="inlineStr">
        <is>
          <t>Strong.</t>
        </is>
      </c>
      <c r="AD549" s="18" t="inlineStr">
        <is>
          <t>Needs editorial review</t>
        </is>
      </c>
      <c r="AE549" s="18" t="inlineStr">
        <is>
          <t>Needs semantic dedupe review</t>
        </is>
      </c>
      <c r="AF549" s="18" t="n"/>
      <c r="AG549" s="18" t="n"/>
      <c r="AH549" s="18" t="inlineStr">
        <is>
          <t>No</t>
        </is>
      </c>
      <c r="AI549" s="18" t="inlineStr">
        <is>
          <t>Not reviewed</t>
        </is>
      </c>
      <c r="AJ549" s="18" t="inlineStr">
        <is>
          <t>Research only</t>
        </is>
      </c>
      <c r="AK549" s="18" t="inlineStr">
        <is>
          <t>Research Pool</t>
        </is>
      </c>
      <c r="AL549" s="18" t="n">
        <v>2</v>
      </c>
      <c r="AM549" s="18" t="inlineStr">
        <is>
          <t>ChatGPT research</t>
        </is>
      </c>
      <c r="AN549" s="18" t="inlineStr">
        <is>
          <t>2026-09-18</t>
        </is>
      </c>
      <c r="AO549" s="18" t="inlineStr">
        <is>
          <t>Day 2 full-scope audit, chapters 21–50.</t>
        </is>
      </c>
      <c r="AP549" s="18" t="n"/>
      <c r="AQ549" s="18" t="n"/>
    </row>
    <row r="550">
      <c r="A550" s="18" t="inlineStr">
        <is>
          <t>research.laozi.day2.ch33.049</t>
        </is>
      </c>
      <c r="B550" s="18" t="inlineStr">
        <is>
          <t>Collected</t>
        </is>
      </c>
      <c r="C550" s="18" t="inlineStr">
        <is>
          <t>Nội tâm &amp; hiểu mình</t>
        </is>
      </c>
      <c r="D550" s="18" t="inlineStr">
        <is>
          <t>Day 2 / Laozi 21–50</t>
        </is>
      </c>
      <c r="E550" s="18" t="n"/>
      <c r="F550" s="18" t="inlineStr">
        <is>
          <t>Kiên trì có thể là một dạng định hướng</t>
        </is>
      </c>
      <c r="G550" s="18" t="inlineStr">
        <is>
          <t>Agency</t>
        </is>
      </c>
      <c r="H550" s="18" t="n"/>
      <c r="I550" s="18" t="n"/>
      <c r="J550" s="18" t="n"/>
      <c r="K550" s="18" t="inlineStr">
        <is>
          <t>Recognize</t>
        </is>
      </c>
      <c r="L550" s="18" t="n"/>
      <c r="M550" s="18" t="inlineStr">
        <is>
          <t>Trích đoạn triết học</t>
        </is>
      </c>
      <c r="N550" s="18" t="inlineStr">
        <is>
          <t>強行者有志。</t>
        </is>
      </c>
      <c r="O550" s="18" t="inlineStr">
        <is>
          <t>Classical Chinese (文言文)</t>
        </is>
      </c>
      <c r="P550" s="18" t="inlineStr">
        <is>
          <t>Người có thể kiên trì hành động được gọi là có chí.</t>
        </is>
      </c>
      <c r="Q550" s="18" t="inlineStr">
        <is>
          <t>Laozi / 老子</t>
        </is>
      </c>
      <c r="R550" s="18" t="inlineStr">
        <is>
          <t>Taoism</t>
        </is>
      </c>
      <c r="S550" s="18" t="inlineStr">
        <is>
          <t>道德經 / Tao Te Ching</t>
        </is>
      </c>
      <c r="T550" s="18" t="inlineStr">
        <is>
          <t>Chapter 33</t>
        </is>
      </c>
      <c r="U550" s="18" t="inlineStr">
        <is>
          <t>https://zh.wikisource.org/zh-hant/%E9%81%93%E5%BE%B7%E7%B6%93_%28%E7%8E%8B%E5%BC%BC%E6%9C%AC%29</t>
        </is>
      </c>
      <c r="V550" s="18" t="inlineStr">
        <is>
          <t>Primary text</t>
        </is>
      </c>
      <c r="W550" s="18" t="inlineStr">
        <is>
          <t>Working translation</t>
        </is>
      </c>
      <c r="X550" s="18" t="inlineStr">
        <is>
          <t>A - Primary source</t>
        </is>
      </c>
      <c r="Y550" s="18" t="inlineStr">
        <is>
          <t>Original Chinese checked against Wang Bi recension; Vietnamese is Selflo working translation, not a published translation.</t>
        </is>
      </c>
      <c r="Z550" s="18" t="inlineStr">
        <is>
          <t>Public domain / likely</t>
        </is>
      </c>
      <c r="AA550" s="18" t="inlineStr">
        <is>
          <t>Ancient source text. Verify jurisdiction/edition before commercial publication.</t>
        </is>
      </c>
      <c r="AB550" s="18" t="inlineStr">
        <is>
          <t>Medium</t>
        </is>
      </c>
      <c r="AC550" s="18" t="inlineStr">
        <is>
          <t>Could become productivity-ish.</t>
        </is>
      </c>
      <c r="AD550" s="18" t="inlineStr">
        <is>
          <t>Needs editorial review</t>
        </is>
      </c>
      <c r="AE550" s="18" t="inlineStr">
        <is>
          <t>Needs semantic dedupe review</t>
        </is>
      </c>
      <c r="AF550" s="18" t="n"/>
      <c r="AG550" s="18" t="n"/>
      <c r="AH550" s="18" t="inlineStr">
        <is>
          <t>No</t>
        </is>
      </c>
      <c r="AI550" s="18" t="inlineStr">
        <is>
          <t>Not reviewed</t>
        </is>
      </c>
      <c r="AJ550" s="18" t="inlineStr">
        <is>
          <t>Research only</t>
        </is>
      </c>
      <c r="AK550" s="18" t="inlineStr">
        <is>
          <t>Research Pool</t>
        </is>
      </c>
      <c r="AL550" s="18" t="n">
        <v>2</v>
      </c>
      <c r="AM550" s="18" t="inlineStr">
        <is>
          <t>ChatGPT research</t>
        </is>
      </c>
      <c r="AN550" s="18" t="inlineStr">
        <is>
          <t>2026-09-18</t>
        </is>
      </c>
      <c r="AO550" s="18" t="inlineStr">
        <is>
          <t>Day 2 full-scope audit, chapters 21–50.</t>
        </is>
      </c>
      <c r="AP550" s="18" t="n"/>
      <c r="AQ550" s="18" t="n"/>
    </row>
    <row r="551">
      <c r="A551" s="18" t="inlineStr">
        <is>
          <t>research.laozi.day2.ch33.050</t>
        </is>
      </c>
      <c r="B551" s="18" t="inlineStr">
        <is>
          <t>Collected</t>
        </is>
      </c>
      <c r="C551" s="18" t="inlineStr">
        <is>
          <t>Nội tâm &amp; hiểu mình</t>
        </is>
      </c>
      <c r="D551" s="18" t="inlineStr">
        <is>
          <t>Day 2 / Laozi 21–50</t>
        </is>
      </c>
      <c r="E551" s="18" t="n"/>
      <c r="F551" s="18" t="inlineStr">
        <is>
          <t>Giữ nền tảng giữa thay đổi</t>
        </is>
      </c>
      <c r="G551" s="18" t="inlineStr">
        <is>
          <t>Identity</t>
        </is>
      </c>
      <c r="H551" s="18" t="n"/>
      <c r="I551" s="18" t="n"/>
      <c r="J551" s="18" t="n"/>
      <c r="K551" s="18" t="inlineStr">
        <is>
          <t>Reframe</t>
        </is>
      </c>
      <c r="L551" s="18" t="n"/>
      <c r="M551" s="18" t="inlineStr">
        <is>
          <t>Trích đoạn triết học</t>
        </is>
      </c>
      <c r="N551" s="18" t="inlineStr">
        <is>
          <t>不失其所者久。</t>
        </is>
      </c>
      <c r="O551" s="18" t="inlineStr">
        <is>
          <t>Classical Chinese (文言文)</t>
        </is>
      </c>
      <c r="P551" s="18" t="inlineStr">
        <is>
          <t>Không đánh mất chỗ đứng/nền tảng của mình thì có thể bền.</t>
        </is>
      </c>
      <c r="Q551" s="18" t="inlineStr">
        <is>
          <t>Laozi / 老子</t>
        </is>
      </c>
      <c r="R551" s="18" t="inlineStr">
        <is>
          <t>Taoism</t>
        </is>
      </c>
      <c r="S551" s="18" t="inlineStr">
        <is>
          <t>道德經 / Tao Te Ching</t>
        </is>
      </c>
      <c r="T551" s="18" t="inlineStr">
        <is>
          <t>Chapter 33</t>
        </is>
      </c>
      <c r="U551" s="18" t="inlineStr">
        <is>
          <t>https://zh.wikisource.org/zh-hant/%E9%81%93%E5%BE%B7%E7%B6%93_%28%E7%8E%8B%E5%BC%BC%E6%9C%AC%29</t>
        </is>
      </c>
      <c r="V551" s="18" t="inlineStr">
        <is>
          <t>Primary text</t>
        </is>
      </c>
      <c r="W551" s="18" t="inlineStr">
        <is>
          <t>Working translation</t>
        </is>
      </c>
      <c r="X551" s="18" t="inlineStr">
        <is>
          <t>A - Primary source</t>
        </is>
      </c>
      <c r="Y551" s="18" t="inlineStr">
        <is>
          <t>Original Chinese checked against Wang Bi recension; Vietnamese is Selflo working translation, not a published translation.</t>
        </is>
      </c>
      <c r="Z551" s="18" t="inlineStr">
        <is>
          <t>Public domain / likely</t>
        </is>
      </c>
      <c r="AA551" s="18" t="inlineStr">
        <is>
          <t>Ancient source text. Verify jurisdiction/edition before commercial publication.</t>
        </is>
      </c>
      <c r="AB551" s="18" t="inlineStr">
        <is>
          <t>High</t>
        </is>
      </c>
      <c r="AC551" s="18" t="inlineStr">
        <is>
          <t>Strong.</t>
        </is>
      </c>
      <c r="AD551" s="18" t="inlineStr">
        <is>
          <t>Needs editorial review</t>
        </is>
      </c>
      <c r="AE551" s="18" t="inlineStr">
        <is>
          <t>Needs semantic dedupe review</t>
        </is>
      </c>
      <c r="AF551" s="18" t="n"/>
      <c r="AG551" s="18" t="n"/>
      <c r="AH551" s="18" t="inlineStr">
        <is>
          <t>No</t>
        </is>
      </c>
      <c r="AI551" s="18" t="inlineStr">
        <is>
          <t>Not reviewed</t>
        </is>
      </c>
      <c r="AJ551" s="18" t="inlineStr">
        <is>
          <t>Research only</t>
        </is>
      </c>
      <c r="AK551" s="18" t="inlineStr">
        <is>
          <t>Research Pool</t>
        </is>
      </c>
      <c r="AL551" s="18" t="n">
        <v>2</v>
      </c>
      <c r="AM551" s="18" t="inlineStr">
        <is>
          <t>ChatGPT research</t>
        </is>
      </c>
      <c r="AN551" s="18" t="inlineStr">
        <is>
          <t>2026-09-18</t>
        </is>
      </c>
      <c r="AO551" s="18" t="inlineStr">
        <is>
          <t>Day 2 full-scope audit, chapters 21–50.</t>
        </is>
      </c>
      <c r="AP551" s="18" t="n"/>
      <c r="AQ551" s="18" t="n"/>
    </row>
    <row r="552">
      <c r="A552" s="18" t="inlineStr">
        <is>
          <t>research.laozi.day2.ch33.051</t>
        </is>
      </c>
      <c r="B552" s="18" t="inlineStr">
        <is>
          <t>Collected</t>
        </is>
      </c>
      <c r="C552" s="18" t="inlineStr">
        <is>
          <t>Nội tâm &amp; hiểu mình</t>
        </is>
      </c>
      <c r="D552" s="18" t="inlineStr">
        <is>
          <t>Day 2 / Laozi 21–50</t>
        </is>
      </c>
      <c r="E552" s="18" t="n"/>
      <c r="F552" s="18" t="inlineStr">
        <is>
          <t>Ý nghĩa có thể vượt khỏi thời lượng hiện diện</t>
        </is>
      </c>
      <c r="G552" s="18" t="inlineStr">
        <is>
          <t>Meaning</t>
        </is>
      </c>
      <c r="H552" s="18" t="n"/>
      <c r="I552" s="18" t="n"/>
      <c r="J552" s="18" t="n"/>
      <c r="K552" s="18" t="inlineStr">
        <is>
          <t>Reframe</t>
        </is>
      </c>
      <c r="L552" s="18" t="n"/>
      <c r="M552" s="18" t="inlineStr">
        <is>
          <t>Trích đoạn triết học</t>
        </is>
      </c>
      <c r="N552" s="18" t="inlineStr">
        <is>
          <t>死而不亡者壽。</t>
        </is>
      </c>
      <c r="O552" s="18" t="inlineStr">
        <is>
          <t>Classical Chinese (文言文)</t>
        </is>
      </c>
      <c r="P552" s="18" t="inlineStr">
        <is>
          <t>Chết mà điều mình để lại không mất được gọi là sống lâu.</t>
        </is>
      </c>
      <c r="Q552" s="18" t="inlineStr">
        <is>
          <t>Laozi / 老子</t>
        </is>
      </c>
      <c r="R552" s="18" t="inlineStr">
        <is>
          <t>Taoism</t>
        </is>
      </c>
      <c r="S552" s="18" t="inlineStr">
        <is>
          <t>道德經 / Tao Te Ching</t>
        </is>
      </c>
      <c r="T552" s="18" t="inlineStr">
        <is>
          <t>Chapter 33</t>
        </is>
      </c>
      <c r="U552" s="18" t="inlineStr">
        <is>
          <t>https://zh.wikisource.org/zh-hant/%E9%81%93%E5%BE%B7%E7%B6%93_%28%E7%8E%8B%E5%BC%BC%E6%9C%AC%29</t>
        </is>
      </c>
      <c r="V552" s="18" t="inlineStr">
        <is>
          <t>Primary text</t>
        </is>
      </c>
      <c r="W552" s="18" t="inlineStr">
        <is>
          <t>Working translation</t>
        </is>
      </c>
      <c r="X552" s="18" t="inlineStr">
        <is>
          <t>A - Primary source</t>
        </is>
      </c>
      <c r="Y552" s="18" t="inlineStr">
        <is>
          <t>Original Chinese checked against Wang Bi recension; Vietnamese is Selflo working translation, not a published translation.</t>
        </is>
      </c>
      <c r="Z552" s="18" t="inlineStr">
        <is>
          <t>Public domain / likely</t>
        </is>
      </c>
      <c r="AA552" s="18" t="inlineStr">
        <is>
          <t>Ancient source text. Verify jurisdiction/edition before commercial publication.</t>
        </is>
      </c>
      <c r="AB552" s="18" t="inlineStr">
        <is>
          <t>Medium</t>
        </is>
      </c>
      <c r="AC552" s="18" t="inlineStr">
        <is>
          <t>Existential.</t>
        </is>
      </c>
      <c r="AD552" s="18" t="inlineStr">
        <is>
          <t>Needs editorial review</t>
        </is>
      </c>
      <c r="AE552" s="18" t="inlineStr">
        <is>
          <t>Needs semantic dedupe review</t>
        </is>
      </c>
      <c r="AF552" s="18" t="n"/>
      <c r="AG552" s="18" t="n"/>
      <c r="AH552" s="18" t="inlineStr">
        <is>
          <t>No</t>
        </is>
      </c>
      <c r="AI552" s="18" t="inlineStr">
        <is>
          <t>Not reviewed</t>
        </is>
      </c>
      <c r="AJ552" s="18" t="inlineStr">
        <is>
          <t>Research only</t>
        </is>
      </c>
      <c r="AK552" s="18" t="inlineStr">
        <is>
          <t>Research Pool</t>
        </is>
      </c>
      <c r="AL552" s="18" t="n">
        <v>2</v>
      </c>
      <c r="AM552" s="18" t="inlineStr">
        <is>
          <t>ChatGPT research</t>
        </is>
      </c>
      <c r="AN552" s="18" t="inlineStr">
        <is>
          <t>2026-09-18</t>
        </is>
      </c>
      <c r="AO552" s="18" t="inlineStr">
        <is>
          <t>Day 2 full-scope audit, chapters 21–50.</t>
        </is>
      </c>
      <c r="AP552" s="18" t="n"/>
      <c r="AQ552" s="18" t="n"/>
    </row>
    <row r="553">
      <c r="A553" s="18" t="inlineStr">
        <is>
          <t>research.laozi.day2.ch34.052</t>
        </is>
      </c>
      <c r="B553" s="18" t="inlineStr">
        <is>
          <t>Collected</t>
        </is>
      </c>
      <c r="C553" s="18" t="inlineStr">
        <is>
          <t>Nội tâm &amp; hiểu mình</t>
        </is>
      </c>
      <c r="D553" s="18" t="inlineStr">
        <is>
          <t>Day 2 / Laozi 21–50</t>
        </is>
      </c>
      <c r="E553" s="18" t="n"/>
      <c r="F553" s="18" t="inlineStr">
        <is>
          <t>Không bị khóa vào một hướng duy nhất</t>
        </is>
      </c>
      <c r="G553" s="18" t="inlineStr">
        <is>
          <t>Flexibility</t>
        </is>
      </c>
      <c r="H553" s="18" t="n"/>
      <c r="I553" s="18" t="n"/>
      <c r="J553" s="18" t="n"/>
      <c r="K553" s="18" t="inlineStr">
        <is>
          <t>Permit</t>
        </is>
      </c>
      <c r="L553" s="18" t="n"/>
      <c r="M553" s="18" t="inlineStr">
        <is>
          <t>Trích đoạn triết học</t>
        </is>
      </c>
      <c r="N553" s="18" t="inlineStr">
        <is>
          <t>大道氾兮，其可左右。</t>
        </is>
      </c>
      <c r="O553" s="18" t="inlineStr">
        <is>
          <t>Classical Chinese (文言文)</t>
        </is>
      </c>
      <c r="P553" s="18" t="inlineStr">
        <is>
          <t>Đạo lớn tràn khắp, có thể chảy về cả hai phía.</t>
        </is>
      </c>
      <c r="Q553" s="18" t="inlineStr">
        <is>
          <t>Laozi / 老子</t>
        </is>
      </c>
      <c r="R553" s="18" t="inlineStr">
        <is>
          <t>Taoism</t>
        </is>
      </c>
      <c r="S553" s="18" t="inlineStr">
        <is>
          <t>道德經 / Tao Te Ching</t>
        </is>
      </c>
      <c r="T553" s="18" t="inlineStr">
        <is>
          <t>Chapter 34</t>
        </is>
      </c>
      <c r="U553" s="18" t="inlineStr">
        <is>
          <t>https://zh.wikisource.org/zh-hant/%E9%81%93%E5%BE%B7%E7%B6%93_%28%E7%8E%8B%E5%BC%BC%E6%9C%AC%29</t>
        </is>
      </c>
      <c r="V553" s="18" t="inlineStr">
        <is>
          <t>Primary text</t>
        </is>
      </c>
      <c r="W553" s="18" t="inlineStr">
        <is>
          <t>Working translation</t>
        </is>
      </c>
      <c r="X553" s="18" t="inlineStr">
        <is>
          <t>A - Primary source</t>
        </is>
      </c>
      <c r="Y553" s="18" t="inlineStr">
        <is>
          <t>Original Chinese checked against Wang Bi recension; Vietnamese is Selflo working translation, not a published translation.</t>
        </is>
      </c>
      <c r="Z553" s="18" t="inlineStr">
        <is>
          <t>Public domain / likely</t>
        </is>
      </c>
      <c r="AA553" s="18" t="inlineStr">
        <is>
          <t>Ancient source text. Verify jurisdiction/edition before commercial publication.</t>
        </is>
      </c>
      <c r="AB553" s="18" t="inlineStr">
        <is>
          <t>Medium</t>
        </is>
      </c>
      <c r="AC553" s="18" t="inlineStr">
        <is>
          <t>Metaphysical.</t>
        </is>
      </c>
      <c r="AD553" s="18" t="inlineStr">
        <is>
          <t>Needs editorial review</t>
        </is>
      </c>
      <c r="AE553" s="18" t="inlineStr">
        <is>
          <t>Needs semantic dedupe review</t>
        </is>
      </c>
      <c r="AF553" s="18" t="n"/>
      <c r="AG553" s="18" t="n"/>
      <c r="AH553" s="18" t="inlineStr">
        <is>
          <t>No</t>
        </is>
      </c>
      <c r="AI553" s="18" t="inlineStr">
        <is>
          <t>Not reviewed</t>
        </is>
      </c>
      <c r="AJ553" s="18" t="inlineStr">
        <is>
          <t>Research only</t>
        </is>
      </c>
      <c r="AK553" s="18" t="inlineStr">
        <is>
          <t>Research Pool</t>
        </is>
      </c>
      <c r="AL553" s="18" t="n">
        <v>2</v>
      </c>
      <c r="AM553" s="18" t="inlineStr">
        <is>
          <t>ChatGPT research</t>
        </is>
      </c>
      <c r="AN553" s="18" t="inlineStr">
        <is>
          <t>2026-09-18</t>
        </is>
      </c>
      <c r="AO553" s="18" t="inlineStr">
        <is>
          <t>Day 2 full-scope audit, chapters 21–50.</t>
        </is>
      </c>
      <c r="AP553" s="18" t="n"/>
      <c r="AQ553" s="18" t="n"/>
    </row>
    <row r="554">
      <c r="A554" s="18" t="inlineStr">
        <is>
          <t>research.laozi.day2.ch34.053</t>
        </is>
      </c>
      <c r="B554" s="18" t="inlineStr">
        <is>
          <t>Collected</t>
        </is>
      </c>
      <c r="C554" s="18" t="inlineStr">
        <is>
          <t>Nội tâm &amp; hiểu mình</t>
        </is>
      </c>
      <c r="D554" s="18" t="inlineStr">
        <is>
          <t>Day 2 / Laozi 21–50</t>
        </is>
      </c>
      <c r="E554" s="18" t="n"/>
      <c r="F554" s="18" t="inlineStr">
        <is>
          <t>Tạo giá trị mà không cần chiếm công</t>
        </is>
      </c>
      <c r="G554" s="18" t="inlineStr">
        <is>
          <t>Achievement</t>
        </is>
      </c>
      <c r="H554" s="18" t="n"/>
      <c r="I554" s="18" t="n"/>
      <c r="J554" s="18" t="n"/>
      <c r="K554" s="18" t="inlineStr">
        <is>
          <t>Reframe</t>
        </is>
      </c>
      <c r="L554" s="18" t="n"/>
      <c r="M554" s="18" t="inlineStr">
        <is>
          <t>Trích đoạn triết học</t>
        </is>
      </c>
      <c r="N554" s="18" t="inlineStr">
        <is>
          <t>萬物恃之以生而不辭，功成不名有。</t>
        </is>
      </c>
      <c r="O554" s="18" t="inlineStr">
        <is>
          <t>Classical Chinese (文言文)</t>
        </is>
      </c>
      <c r="P554" s="18" t="inlineStr">
        <is>
          <t>Muôn vật nhờ đó mà sinh; việc thành mà không nhận là sở hữu của mình.</t>
        </is>
      </c>
      <c r="Q554" s="18" t="inlineStr">
        <is>
          <t>Laozi / 老子</t>
        </is>
      </c>
      <c r="R554" s="18" t="inlineStr">
        <is>
          <t>Taoism</t>
        </is>
      </c>
      <c r="S554" s="18" t="inlineStr">
        <is>
          <t>道德經 / Tao Te Ching</t>
        </is>
      </c>
      <c r="T554" s="18" t="inlineStr">
        <is>
          <t>Chapter 34</t>
        </is>
      </c>
      <c r="U554" s="18" t="inlineStr">
        <is>
          <t>https://zh.wikisource.org/zh-hant/%E9%81%93%E5%BE%B7%E7%B6%93_%28%E7%8E%8B%E5%BC%BC%E6%9C%AC%29</t>
        </is>
      </c>
      <c r="V554" s="18" t="inlineStr">
        <is>
          <t>Primary text</t>
        </is>
      </c>
      <c r="W554" s="18" t="inlineStr">
        <is>
          <t>Working translation</t>
        </is>
      </c>
      <c r="X554" s="18" t="inlineStr">
        <is>
          <t>A - Primary source</t>
        </is>
      </c>
      <c r="Y554" s="18" t="inlineStr">
        <is>
          <t>Original Chinese checked against Wang Bi recension; Vietnamese is Selflo working translation, not a published translation.</t>
        </is>
      </c>
      <c r="Z554" s="18" t="inlineStr">
        <is>
          <t>Public domain / likely</t>
        </is>
      </c>
      <c r="AA554" s="18" t="inlineStr">
        <is>
          <t>Ancient source text. Verify jurisdiction/edition before commercial publication.</t>
        </is>
      </c>
      <c r="AB554" s="18" t="inlineStr">
        <is>
          <t>High</t>
        </is>
      </c>
      <c r="AC554" s="18" t="inlineStr">
        <is>
          <t>Strong.</t>
        </is>
      </c>
      <c r="AD554" s="18" t="inlineStr">
        <is>
          <t>Needs editorial review</t>
        </is>
      </c>
      <c r="AE554" s="18" t="inlineStr">
        <is>
          <t>Needs semantic dedupe review</t>
        </is>
      </c>
      <c r="AF554" s="18" t="n"/>
      <c r="AG554" s="18" t="n"/>
      <c r="AH554" s="18" t="inlineStr">
        <is>
          <t>No</t>
        </is>
      </c>
      <c r="AI554" s="18" t="inlineStr">
        <is>
          <t>Not reviewed</t>
        </is>
      </c>
      <c r="AJ554" s="18" t="inlineStr">
        <is>
          <t>Research only</t>
        </is>
      </c>
      <c r="AK554" s="18" t="inlineStr">
        <is>
          <t>Research Pool</t>
        </is>
      </c>
      <c r="AL554" s="18" t="n">
        <v>2</v>
      </c>
      <c r="AM554" s="18" t="inlineStr">
        <is>
          <t>ChatGPT research</t>
        </is>
      </c>
      <c r="AN554" s="18" t="inlineStr">
        <is>
          <t>2026-09-18</t>
        </is>
      </c>
      <c r="AO554" s="18" t="inlineStr">
        <is>
          <t>Day 2 full-scope audit, chapters 21–50.</t>
        </is>
      </c>
      <c r="AP554" s="18" t="n"/>
      <c r="AQ554" s="18" t="n"/>
    </row>
    <row r="555">
      <c r="A555" s="18" t="inlineStr">
        <is>
          <t>research.laozi.day2.ch34.054</t>
        </is>
      </c>
      <c r="B555" s="18" t="inlineStr">
        <is>
          <t>Collected</t>
        </is>
      </c>
      <c r="C555" s="18" t="inlineStr">
        <is>
          <t>Nội tâm &amp; hiểu mình</t>
        </is>
      </c>
      <c r="D555" s="18" t="inlineStr">
        <is>
          <t>Day 2 / Laozi 21–50</t>
        </is>
      </c>
      <c r="E555" s="18" t="n"/>
      <c r="F555" s="18" t="inlineStr">
        <is>
          <t>Hỗ trợ mà không kiểm soát</t>
        </is>
      </c>
      <c r="G555" s="18" t="inlineStr">
        <is>
          <t>Agency</t>
        </is>
      </c>
      <c r="H555" s="18" t="n"/>
      <c r="I555" s="18" t="n"/>
      <c r="J555" s="18" t="n"/>
      <c r="K555" s="18" t="inlineStr">
        <is>
          <t>Return agency</t>
        </is>
      </c>
      <c r="L555" s="18" t="n"/>
      <c r="M555" s="18" t="inlineStr">
        <is>
          <t>Trích đoạn triết học</t>
        </is>
      </c>
      <c r="N555" s="18" t="inlineStr">
        <is>
          <t>衣養萬物而不為主。</t>
        </is>
      </c>
      <c r="O555" s="18" t="inlineStr">
        <is>
          <t>Classical Chinese (文言文)</t>
        </is>
      </c>
      <c r="P555" s="18" t="inlineStr">
        <is>
          <t>Nuôi dưỡng muôn vật mà không tự đặt mình làm chủ.</t>
        </is>
      </c>
      <c r="Q555" s="18" t="inlineStr">
        <is>
          <t>Laozi / 老子</t>
        </is>
      </c>
      <c r="R555" s="18" t="inlineStr">
        <is>
          <t>Taoism</t>
        </is>
      </c>
      <c r="S555" s="18" t="inlineStr">
        <is>
          <t>道德經 / Tao Te Ching</t>
        </is>
      </c>
      <c r="T555" s="18" t="inlineStr">
        <is>
          <t>Chapter 34</t>
        </is>
      </c>
      <c r="U555" s="18" t="inlineStr">
        <is>
          <t>https://zh.wikisource.org/zh-hant/%E9%81%93%E5%BE%B7%E7%B6%93_%28%E7%8E%8B%E5%BC%BC%E6%9C%AC%29</t>
        </is>
      </c>
      <c r="V555" s="18" t="inlineStr">
        <is>
          <t>Primary text</t>
        </is>
      </c>
      <c r="W555" s="18" t="inlineStr">
        <is>
          <t>Working translation</t>
        </is>
      </c>
      <c r="X555" s="18" t="inlineStr">
        <is>
          <t>A - Primary source</t>
        </is>
      </c>
      <c r="Y555" s="18" t="inlineStr">
        <is>
          <t>Original Chinese checked against Wang Bi recension; Vietnamese is Selflo working translation, not a published translation.</t>
        </is>
      </c>
      <c r="Z555" s="18" t="inlineStr">
        <is>
          <t>Public domain / likely</t>
        </is>
      </c>
      <c r="AA555" s="18" t="inlineStr">
        <is>
          <t>Ancient source text. Verify jurisdiction/edition before commercial publication.</t>
        </is>
      </c>
      <c r="AB555" s="18" t="inlineStr">
        <is>
          <t>High</t>
        </is>
      </c>
      <c r="AC555" s="18" t="inlineStr">
        <is>
          <t>Core Selflo.</t>
        </is>
      </c>
      <c r="AD555" s="18" t="inlineStr">
        <is>
          <t>Needs editorial review</t>
        </is>
      </c>
      <c r="AE555" s="18" t="inlineStr">
        <is>
          <t>Needs semantic dedupe review</t>
        </is>
      </c>
      <c r="AF555" s="18" t="n"/>
      <c r="AG555" s="18" t="n"/>
      <c r="AH555" s="18" t="inlineStr">
        <is>
          <t>No</t>
        </is>
      </c>
      <c r="AI555" s="18" t="inlineStr">
        <is>
          <t>Not reviewed</t>
        </is>
      </c>
      <c r="AJ555" s="18" t="inlineStr">
        <is>
          <t>Research only</t>
        </is>
      </c>
      <c r="AK555" s="18" t="inlineStr">
        <is>
          <t>Research Pool</t>
        </is>
      </c>
      <c r="AL555" s="18" t="n">
        <v>2</v>
      </c>
      <c r="AM555" s="18" t="inlineStr">
        <is>
          <t>ChatGPT research</t>
        </is>
      </c>
      <c r="AN555" s="18" t="inlineStr">
        <is>
          <t>2026-09-18</t>
        </is>
      </c>
      <c r="AO555" s="18" t="inlineStr">
        <is>
          <t>Day 2 full-scope audit, chapters 21–50.</t>
        </is>
      </c>
      <c r="AP555" s="18" t="n"/>
      <c r="AQ555" s="18" t="n"/>
    </row>
    <row r="556">
      <c r="A556" s="18" t="inlineStr">
        <is>
          <t>research.laozi.day2.ch34.055</t>
        </is>
      </c>
      <c r="B556" s="18" t="inlineStr">
        <is>
          <t>Collected</t>
        </is>
      </c>
      <c r="C556" s="18" t="inlineStr">
        <is>
          <t>Nội tâm &amp; hiểu mình</t>
        </is>
      </c>
      <c r="D556" s="18" t="inlineStr">
        <is>
          <t>Day 2 / Laozi 21–50</t>
        </is>
      </c>
      <c r="E556" s="18" t="n"/>
      <c r="F556" s="18" t="inlineStr">
        <is>
          <t>Ảnh hưởng không cần đồng nghĩa với kiểm soát</t>
        </is>
      </c>
      <c r="G556" s="18" t="inlineStr">
        <is>
          <t>Leadership</t>
        </is>
      </c>
      <c r="H556" s="18" t="n"/>
      <c r="I556" s="18" t="n"/>
      <c r="J556" s="18" t="n"/>
      <c r="K556" s="18" t="inlineStr">
        <is>
          <t>Reframe</t>
        </is>
      </c>
      <c r="L556" s="18" t="n"/>
      <c r="M556" s="18" t="inlineStr">
        <is>
          <t>Trích đoạn triết học</t>
        </is>
      </c>
      <c r="N556" s="18" t="inlineStr">
        <is>
          <t>常無欲，可名於小；萬物歸焉而不為主，可名為大。</t>
        </is>
      </c>
      <c r="O556" s="18" t="inlineStr">
        <is>
          <t>Classical Chinese (文言文)</t>
        </is>
      </c>
      <c r="P556" s="18" t="inlineStr">
        <is>
          <t>Không tự đặt mình ở trung tâm có thể trông nhỏ; đón nhận mà không làm chủ lại có thể là một dạng lớn.</t>
        </is>
      </c>
      <c r="Q556" s="18" t="inlineStr">
        <is>
          <t>Laozi / 老子</t>
        </is>
      </c>
      <c r="R556" s="18" t="inlineStr">
        <is>
          <t>Taoism</t>
        </is>
      </c>
      <c r="S556" s="18" t="inlineStr">
        <is>
          <t>道德經 / Tao Te Ching</t>
        </is>
      </c>
      <c r="T556" s="18" t="inlineStr">
        <is>
          <t>Chapter 34</t>
        </is>
      </c>
      <c r="U556" s="18" t="inlineStr">
        <is>
          <t>https://zh.wikisource.org/zh-hant/%E9%81%93%E5%BE%B7%E7%B6%93_%28%E7%8E%8B%E5%BC%BC%E6%9C%AC%29</t>
        </is>
      </c>
      <c r="V556" s="18" t="inlineStr">
        <is>
          <t>Primary text</t>
        </is>
      </c>
      <c r="W556" s="18" t="inlineStr">
        <is>
          <t>Working translation</t>
        </is>
      </c>
      <c r="X556" s="18" t="inlineStr">
        <is>
          <t>A - Primary source</t>
        </is>
      </c>
      <c r="Y556" s="18" t="inlineStr">
        <is>
          <t>Original Chinese checked against Wang Bi recension; Vietnamese is Selflo working translation, not a published translation.</t>
        </is>
      </c>
      <c r="Z556" s="18" t="inlineStr">
        <is>
          <t>Public domain / likely</t>
        </is>
      </c>
      <c r="AA556" s="18" t="inlineStr">
        <is>
          <t>Ancient source text. Verify jurisdiction/edition before commercial publication.</t>
        </is>
      </c>
      <c r="AB556" s="18" t="inlineStr">
        <is>
          <t>High</t>
        </is>
      </c>
      <c r="AC556" s="18" t="inlineStr">
        <is>
          <t>Strong product philosophy.</t>
        </is>
      </c>
      <c r="AD556" s="18" t="inlineStr">
        <is>
          <t>Needs editorial review</t>
        </is>
      </c>
      <c r="AE556" s="18" t="inlineStr">
        <is>
          <t>Needs semantic dedupe review</t>
        </is>
      </c>
      <c r="AF556" s="18" t="n"/>
      <c r="AG556" s="18" t="n"/>
      <c r="AH556" s="18" t="inlineStr">
        <is>
          <t>No</t>
        </is>
      </c>
      <c r="AI556" s="18" t="inlineStr">
        <is>
          <t>Not reviewed</t>
        </is>
      </c>
      <c r="AJ556" s="18" t="inlineStr">
        <is>
          <t>Research only</t>
        </is>
      </c>
      <c r="AK556" s="18" t="inlineStr">
        <is>
          <t>Research Pool</t>
        </is>
      </c>
      <c r="AL556" s="18" t="n">
        <v>2</v>
      </c>
      <c r="AM556" s="18" t="inlineStr">
        <is>
          <t>ChatGPT research</t>
        </is>
      </c>
      <c r="AN556" s="18" t="inlineStr">
        <is>
          <t>2026-09-18</t>
        </is>
      </c>
      <c r="AO556" s="18" t="inlineStr">
        <is>
          <t>Day 2 full-scope audit, chapters 21–50.</t>
        </is>
      </c>
      <c r="AP556" s="18" t="n"/>
      <c r="AQ556" s="18" t="n"/>
    </row>
    <row r="557">
      <c r="A557" s="18" t="inlineStr">
        <is>
          <t>research.laozi.day2.ch35.056</t>
        </is>
      </c>
      <c r="B557" s="18" t="inlineStr">
        <is>
          <t>Collected</t>
        </is>
      </c>
      <c r="C557" s="18" t="inlineStr">
        <is>
          <t>Nội tâm &amp; hiểu mình</t>
        </is>
      </c>
      <c r="D557" s="18" t="inlineStr">
        <is>
          <t>Day 2 / Laozi 21–50</t>
        </is>
      </c>
      <c r="E557" s="18" t="n"/>
      <c r="F557" s="18" t="inlineStr">
        <is>
          <t>Một định hướng lớn có thể tạo không gian an toàn</t>
        </is>
      </c>
      <c r="G557" s="18" t="inlineStr">
        <is>
          <t>Values</t>
        </is>
      </c>
      <c r="H557" s="18" t="n"/>
      <c r="I557" s="18" t="n"/>
      <c r="J557" s="18" t="n"/>
      <c r="K557" s="18" t="inlineStr">
        <is>
          <t>Reframe</t>
        </is>
      </c>
      <c r="L557" s="18" t="n"/>
      <c r="M557" s="18" t="inlineStr">
        <is>
          <t>Trích đoạn triết học</t>
        </is>
      </c>
      <c r="N557" s="18" t="inlineStr">
        <is>
          <t>執大象，天下往。往而不害，安平泰。</t>
        </is>
      </c>
      <c r="O557" s="18" t="inlineStr">
        <is>
          <t>Classical Chinese (文言文)</t>
        </is>
      </c>
      <c r="P557" s="18" t="inlineStr">
        <is>
          <t>Giữ được hình dung lớn, người ta có thể tìm đến mà không bị hại, có chỗ yên.</t>
        </is>
      </c>
      <c r="Q557" s="18" t="inlineStr">
        <is>
          <t>Laozi / 老子</t>
        </is>
      </c>
      <c r="R557" s="18" t="inlineStr">
        <is>
          <t>Taoism</t>
        </is>
      </c>
      <c r="S557" s="18" t="inlineStr">
        <is>
          <t>道德經 / Tao Te Ching</t>
        </is>
      </c>
      <c r="T557" s="18" t="inlineStr">
        <is>
          <t>Chapter 35</t>
        </is>
      </c>
      <c r="U557" s="18" t="inlineStr">
        <is>
          <t>https://zh.wikisource.org/zh-hant/%E9%81%93%E5%BE%B7%E7%B6%93_%28%E7%8E%8B%E5%BC%BC%E6%9C%AC%29</t>
        </is>
      </c>
      <c r="V557" s="18" t="inlineStr">
        <is>
          <t>Primary text</t>
        </is>
      </c>
      <c r="W557" s="18" t="inlineStr">
        <is>
          <t>Working translation</t>
        </is>
      </c>
      <c r="X557" s="18" t="inlineStr">
        <is>
          <t>A - Primary source</t>
        </is>
      </c>
      <c r="Y557" s="18" t="inlineStr">
        <is>
          <t>Original Chinese checked against Wang Bi recension; Vietnamese is Selflo working translation, not a published translation.</t>
        </is>
      </c>
      <c r="Z557" s="18" t="inlineStr">
        <is>
          <t>Public domain / likely</t>
        </is>
      </c>
      <c r="AA557" s="18" t="inlineStr">
        <is>
          <t>Ancient source text. Verify jurisdiction/edition before commercial publication.</t>
        </is>
      </c>
      <c r="AB557" s="18" t="inlineStr">
        <is>
          <t>Medium</t>
        </is>
      </c>
      <c r="AC557" s="18" t="inlineStr">
        <is>
          <t>Metaphysical/leadership.</t>
        </is>
      </c>
      <c r="AD557" s="18" t="inlineStr">
        <is>
          <t>Needs editorial review</t>
        </is>
      </c>
      <c r="AE557" s="18" t="inlineStr">
        <is>
          <t>Needs semantic dedupe review</t>
        </is>
      </c>
      <c r="AF557" s="18" t="n"/>
      <c r="AG557" s="18" t="n"/>
      <c r="AH557" s="18" t="inlineStr">
        <is>
          <t>No</t>
        </is>
      </c>
      <c r="AI557" s="18" t="inlineStr">
        <is>
          <t>Not reviewed</t>
        </is>
      </c>
      <c r="AJ557" s="18" t="inlineStr">
        <is>
          <t>Research only</t>
        </is>
      </c>
      <c r="AK557" s="18" t="inlineStr">
        <is>
          <t>Research Pool</t>
        </is>
      </c>
      <c r="AL557" s="18" t="n">
        <v>2</v>
      </c>
      <c r="AM557" s="18" t="inlineStr">
        <is>
          <t>ChatGPT research</t>
        </is>
      </c>
      <c r="AN557" s="18" t="inlineStr">
        <is>
          <t>2026-09-18</t>
        </is>
      </c>
      <c r="AO557" s="18" t="inlineStr">
        <is>
          <t>Day 2 full-scope audit, chapters 21–50.</t>
        </is>
      </c>
      <c r="AP557" s="18" t="n"/>
      <c r="AQ557" s="18" t="n"/>
    </row>
    <row r="558">
      <c r="A558" s="18" t="inlineStr">
        <is>
          <t>research.laozi.day2.ch35.057</t>
        </is>
      </c>
      <c r="B558" s="18" t="inlineStr">
        <is>
          <t>Collected</t>
        </is>
      </c>
      <c r="C558" s="18" t="inlineStr">
        <is>
          <t>Nội tâm &amp; hiểu mình</t>
        </is>
      </c>
      <c r="D558" s="18" t="inlineStr">
        <is>
          <t>Day 2 / Laozi 21–50</t>
        </is>
      </c>
      <c r="E558" s="18" t="n"/>
      <c r="F558" s="18" t="inlineStr">
        <is>
          <t>Điều hấp dẫn dễ giữ chú ý</t>
        </is>
      </c>
      <c r="G558" s="18" t="inlineStr">
        <is>
          <t>Attention</t>
        </is>
      </c>
      <c r="H558" s="18" t="n"/>
      <c r="I558" s="18" t="n"/>
      <c r="J558" s="18" t="n"/>
      <c r="K558" s="18" t="inlineStr">
        <is>
          <t>Recognize</t>
        </is>
      </c>
      <c r="L558" s="18" t="n"/>
      <c r="M558" s="18" t="inlineStr">
        <is>
          <t>Trích đoạn triết học</t>
        </is>
      </c>
      <c r="N558" s="18" t="inlineStr">
        <is>
          <t>樂與餌，過客止。</t>
        </is>
      </c>
      <c r="O558" s="18" t="inlineStr">
        <is>
          <t>Classical Chinese (文言文)</t>
        </is>
      </c>
      <c r="P558" s="18" t="inlineStr">
        <is>
          <t>Âm nhạc và món ngon có thể khiến người qua đường dừng lại.</t>
        </is>
      </c>
      <c r="Q558" s="18" t="inlineStr">
        <is>
          <t>Laozi / 老子</t>
        </is>
      </c>
      <c r="R558" s="18" t="inlineStr">
        <is>
          <t>Taoism</t>
        </is>
      </c>
      <c r="S558" s="18" t="inlineStr">
        <is>
          <t>道德經 / Tao Te Ching</t>
        </is>
      </c>
      <c r="T558" s="18" t="inlineStr">
        <is>
          <t>Chapter 35</t>
        </is>
      </c>
      <c r="U558" s="18" t="inlineStr">
        <is>
          <t>https://zh.wikisource.org/zh-hant/%E9%81%93%E5%BE%B7%E7%B6%93_%28%E7%8E%8B%E5%BC%BC%E6%9C%AC%29</t>
        </is>
      </c>
      <c r="V558" s="18" t="inlineStr">
        <is>
          <t>Primary text</t>
        </is>
      </c>
      <c r="W558" s="18" t="inlineStr">
        <is>
          <t>Working translation</t>
        </is>
      </c>
      <c r="X558" s="18" t="inlineStr">
        <is>
          <t>A - Primary source</t>
        </is>
      </c>
      <c r="Y558" s="18" t="inlineStr">
        <is>
          <t>Original Chinese checked against Wang Bi recension; Vietnamese is Selflo working translation, not a published translation.</t>
        </is>
      </c>
      <c r="Z558" s="18" t="inlineStr">
        <is>
          <t>Public domain / likely</t>
        </is>
      </c>
      <c r="AA558" s="18" t="inlineStr">
        <is>
          <t>Ancient source text. Verify jurisdiction/edition before commercial publication.</t>
        </is>
      </c>
      <c r="AB558" s="18" t="inlineStr">
        <is>
          <t>Medium</t>
        </is>
      </c>
      <c r="AC558" s="18" t="inlineStr">
        <is>
          <t>Useful for attention.</t>
        </is>
      </c>
      <c r="AD558" s="18" t="inlineStr">
        <is>
          <t>Needs editorial review</t>
        </is>
      </c>
      <c r="AE558" s="18" t="inlineStr">
        <is>
          <t>Needs semantic dedupe review</t>
        </is>
      </c>
      <c r="AF558" s="18" t="n"/>
      <c r="AG558" s="18" t="n"/>
      <c r="AH558" s="18" t="inlineStr">
        <is>
          <t>No</t>
        </is>
      </c>
      <c r="AI558" s="18" t="inlineStr">
        <is>
          <t>Not reviewed</t>
        </is>
      </c>
      <c r="AJ558" s="18" t="inlineStr">
        <is>
          <t>Research only</t>
        </is>
      </c>
      <c r="AK558" s="18" t="inlineStr">
        <is>
          <t>Research Pool</t>
        </is>
      </c>
      <c r="AL558" s="18" t="n">
        <v>2</v>
      </c>
      <c r="AM558" s="18" t="inlineStr">
        <is>
          <t>ChatGPT research</t>
        </is>
      </c>
      <c r="AN558" s="18" t="inlineStr">
        <is>
          <t>2026-09-18</t>
        </is>
      </c>
      <c r="AO558" s="18" t="inlineStr">
        <is>
          <t>Day 2 full-scope audit, chapters 21–50.</t>
        </is>
      </c>
      <c r="AP558" s="18" t="n"/>
      <c r="AQ558" s="18" t="n"/>
    </row>
    <row r="559">
      <c r="A559" s="18" t="inlineStr">
        <is>
          <t>research.laozi.day2.ch35.058</t>
        </is>
      </c>
      <c r="B559" s="18" t="inlineStr">
        <is>
          <t>Collected</t>
        </is>
      </c>
      <c r="C559" s="18" t="inlineStr">
        <is>
          <t>Nội tâm &amp; hiểu mình</t>
        </is>
      </c>
      <c r="D559" s="18" t="inlineStr">
        <is>
          <t>Day 2 / Laozi 21–50</t>
        </is>
      </c>
      <c r="E559" s="18" t="n"/>
      <c r="F559" s="18" t="inlineStr">
        <is>
          <t>Điều có giá trị không phải lúc nào cũng gây kích thích</t>
        </is>
      </c>
      <c r="G559" s="18" t="inlineStr">
        <is>
          <t>Attention</t>
        </is>
      </c>
      <c r="H559" s="18" t="n"/>
      <c r="I559" s="18" t="n"/>
      <c r="J559" s="18" t="n"/>
      <c r="K559" s="18" t="inlineStr">
        <is>
          <t>Distinguish</t>
        </is>
      </c>
      <c r="L559" s="18" t="n"/>
      <c r="M559" s="18" t="inlineStr">
        <is>
          <t>Trích đoạn triết học</t>
        </is>
      </c>
      <c r="N559" s="18" t="inlineStr">
        <is>
          <t>道之出口，淡乎其無味。</t>
        </is>
      </c>
      <c r="O559" s="18" t="inlineStr">
        <is>
          <t>Classical Chinese (文言文)</t>
        </is>
      </c>
      <c r="P559" s="18" t="inlineStr">
        <is>
          <t>Đạo khi nói ra nghe nhạt như không vị.</t>
        </is>
      </c>
      <c r="Q559" s="18" t="inlineStr">
        <is>
          <t>Laozi / 老子</t>
        </is>
      </c>
      <c r="R559" s="18" t="inlineStr">
        <is>
          <t>Taoism</t>
        </is>
      </c>
      <c r="S559" s="18" t="inlineStr">
        <is>
          <t>道德經 / Tao Te Ching</t>
        </is>
      </c>
      <c r="T559" s="18" t="inlineStr">
        <is>
          <t>Chapter 35</t>
        </is>
      </c>
      <c r="U559" s="18" t="inlineStr">
        <is>
          <t>https://zh.wikisource.org/zh-hant/%E9%81%93%E5%BE%B7%E7%B6%93_%28%E7%8E%8B%E5%BC%BC%E6%9C%AC%29</t>
        </is>
      </c>
      <c r="V559" s="18" t="inlineStr">
        <is>
          <t>Primary text</t>
        </is>
      </c>
      <c r="W559" s="18" t="inlineStr">
        <is>
          <t>Working translation</t>
        </is>
      </c>
      <c r="X559" s="18" t="inlineStr">
        <is>
          <t>A - Primary source</t>
        </is>
      </c>
      <c r="Y559" s="18" t="inlineStr">
        <is>
          <t>Original Chinese checked against Wang Bi recension; Vietnamese is Selflo working translation, not a published translation.</t>
        </is>
      </c>
      <c r="Z559" s="18" t="inlineStr">
        <is>
          <t>Public domain / likely</t>
        </is>
      </c>
      <c r="AA559" s="18" t="inlineStr">
        <is>
          <t>Ancient source text. Verify jurisdiction/edition before commercial publication.</t>
        </is>
      </c>
      <c r="AB559" s="18" t="inlineStr">
        <is>
          <t>High</t>
        </is>
      </c>
      <c r="AC559" s="18" t="inlineStr">
        <is>
          <t>Excellent AI/content age.</t>
        </is>
      </c>
      <c r="AD559" s="18" t="inlineStr">
        <is>
          <t>Needs editorial review</t>
        </is>
      </c>
      <c r="AE559" s="18" t="inlineStr">
        <is>
          <t>Needs semantic dedupe review</t>
        </is>
      </c>
      <c r="AF559" s="18" t="n"/>
      <c r="AG559" s="18" t="n"/>
      <c r="AH559" s="18" t="inlineStr">
        <is>
          <t>No</t>
        </is>
      </c>
      <c r="AI559" s="18" t="inlineStr">
        <is>
          <t>Not reviewed</t>
        </is>
      </c>
      <c r="AJ559" s="18" t="inlineStr">
        <is>
          <t>Research only</t>
        </is>
      </c>
      <c r="AK559" s="18" t="inlineStr">
        <is>
          <t>Research Pool</t>
        </is>
      </c>
      <c r="AL559" s="18" t="n">
        <v>2</v>
      </c>
      <c r="AM559" s="18" t="inlineStr">
        <is>
          <t>ChatGPT research</t>
        </is>
      </c>
      <c r="AN559" s="18" t="inlineStr">
        <is>
          <t>2026-09-18</t>
        </is>
      </c>
      <c r="AO559" s="18" t="inlineStr">
        <is>
          <t>Day 2 full-scope audit, chapters 21–50.</t>
        </is>
      </c>
      <c r="AP559" s="18" t="n"/>
      <c r="AQ559" s="18" t="n"/>
    </row>
    <row r="560">
      <c r="A560" s="18" t="inlineStr">
        <is>
          <t>research.laozi.day2.ch35.059</t>
        </is>
      </c>
      <c r="B560" s="18" t="inlineStr">
        <is>
          <t>Collected</t>
        </is>
      </c>
      <c r="C560" s="18" t="inlineStr">
        <is>
          <t>Nội tâm &amp; hiểu mình</t>
        </is>
      </c>
      <c r="D560" s="18" t="inlineStr">
        <is>
          <t>Day 2 / Laozi 21–50</t>
        </is>
      </c>
      <c r="E560" s="18" t="n"/>
      <c r="F560" s="18" t="inlineStr">
        <is>
          <t>Phân biệt thứ gây chú ý với thứ có giá trị lâu dài</t>
        </is>
      </c>
      <c r="G560" s="18" t="inlineStr">
        <is>
          <t>Values</t>
        </is>
      </c>
      <c r="H560" s="18" t="n"/>
      <c r="I560" s="18" t="n"/>
      <c r="J560" s="18" t="n"/>
      <c r="K560" s="18" t="inlineStr">
        <is>
          <t>Distinguish</t>
        </is>
      </c>
      <c r="L560" s="18" t="n"/>
      <c r="M560" s="18" t="inlineStr">
        <is>
          <t>Trích đoạn triết học</t>
        </is>
      </c>
      <c r="N560" s="18" t="inlineStr">
        <is>
          <t>視之不足見，聽之不足聞，用之不足既。</t>
        </is>
      </c>
      <c r="O560" s="18" t="inlineStr">
        <is>
          <t>Classical Chinese (文言文)</t>
        </is>
      </c>
      <c r="P560" s="18" t="inlineStr">
        <is>
          <t>Nhìn không đủ bắt mắt, nghe không đủ gây chú ý, nhưng dùng đến thì không dễ cạn.</t>
        </is>
      </c>
      <c r="Q560" s="18" t="inlineStr">
        <is>
          <t>Laozi / 老子</t>
        </is>
      </c>
      <c r="R560" s="18" t="inlineStr">
        <is>
          <t>Taoism</t>
        </is>
      </c>
      <c r="S560" s="18" t="inlineStr">
        <is>
          <t>道德經 / Tao Te Ching</t>
        </is>
      </c>
      <c r="T560" s="18" t="inlineStr">
        <is>
          <t>Chapter 35</t>
        </is>
      </c>
      <c r="U560" s="18" t="inlineStr">
        <is>
          <t>https://zh.wikisource.org/zh-hant/%E9%81%93%E5%BE%B7%E7%B6%93_%28%E7%8E%8B%E5%BC%BC%E6%9C%AC%29</t>
        </is>
      </c>
      <c r="V560" s="18" t="inlineStr">
        <is>
          <t>Primary text</t>
        </is>
      </c>
      <c r="W560" s="18" t="inlineStr">
        <is>
          <t>Working translation</t>
        </is>
      </c>
      <c r="X560" s="18" t="inlineStr">
        <is>
          <t>A - Primary source</t>
        </is>
      </c>
      <c r="Y560" s="18" t="inlineStr">
        <is>
          <t>Original Chinese checked against Wang Bi recension; Vietnamese is Selflo working translation, not a published translation.</t>
        </is>
      </c>
      <c r="Z560" s="18" t="inlineStr">
        <is>
          <t>Public domain / likely</t>
        </is>
      </c>
      <c r="AA560" s="18" t="inlineStr">
        <is>
          <t>Ancient source text. Verify jurisdiction/edition before commercial publication.</t>
        </is>
      </c>
      <c r="AB560" s="18" t="inlineStr">
        <is>
          <t>High</t>
        </is>
      </c>
      <c r="AC560" s="18" t="inlineStr">
        <is>
          <t>Very strong.</t>
        </is>
      </c>
      <c r="AD560" s="18" t="inlineStr">
        <is>
          <t>Needs editorial review</t>
        </is>
      </c>
      <c r="AE560" s="18" t="inlineStr">
        <is>
          <t>Needs semantic dedupe review</t>
        </is>
      </c>
      <c r="AF560" s="18" t="n"/>
      <c r="AG560" s="18" t="n"/>
      <c r="AH560" s="18" t="inlineStr">
        <is>
          <t>No</t>
        </is>
      </c>
      <c r="AI560" s="18" t="inlineStr">
        <is>
          <t>Not reviewed</t>
        </is>
      </c>
      <c r="AJ560" s="18" t="inlineStr">
        <is>
          <t>Research only</t>
        </is>
      </c>
      <c r="AK560" s="18" t="inlineStr">
        <is>
          <t>Research Pool</t>
        </is>
      </c>
      <c r="AL560" s="18" t="n">
        <v>2</v>
      </c>
      <c r="AM560" s="18" t="inlineStr">
        <is>
          <t>ChatGPT research</t>
        </is>
      </c>
      <c r="AN560" s="18" t="inlineStr">
        <is>
          <t>2026-09-18</t>
        </is>
      </c>
      <c r="AO560" s="18" t="inlineStr">
        <is>
          <t>Day 2 full-scope audit, chapters 21–50.</t>
        </is>
      </c>
      <c r="AP560" s="18" t="n"/>
      <c r="AQ560" s="18" t="n"/>
    </row>
    <row r="561">
      <c r="A561" s="18" t="inlineStr">
        <is>
          <t>research.laozi.day2.ch36.060</t>
        </is>
      </c>
      <c r="B561" s="18" t="inlineStr">
        <is>
          <t>Collected</t>
        </is>
      </c>
      <c r="C561" s="18" t="inlineStr">
        <is>
          <t>Nội tâm &amp; hiểu mình</t>
        </is>
      </c>
      <c r="D561" s="18" t="inlineStr">
        <is>
          <t>Day 2 / Laozi 21–50</t>
        </is>
      </c>
      <c r="E561" s="18" t="n"/>
      <c r="F561" s="18" t="inlineStr">
        <is>
          <t>Một chuyển động có thể chứa mầm của chuyển động ngược</t>
        </is>
      </c>
      <c r="G561" s="18" t="inlineStr">
        <is>
          <t>Change</t>
        </is>
      </c>
      <c r="H561" s="18" t="n"/>
      <c r="I561" s="18" t="n"/>
      <c r="J561" s="18" t="n"/>
      <c r="K561" s="18" t="inlineStr">
        <is>
          <t>Reframe</t>
        </is>
      </c>
      <c r="L561" s="18" t="n"/>
      <c r="M561" s="18" t="inlineStr">
        <is>
          <t>Trích đoạn triết học</t>
        </is>
      </c>
      <c r="N561" s="18" t="inlineStr">
        <is>
          <t>將欲歙之，必固張之；將欲弱之，必固強之。</t>
        </is>
      </c>
      <c r="O561" s="18" t="inlineStr">
        <is>
          <t>Classical Chinese (文言文)</t>
        </is>
      </c>
      <c r="P561" s="18" t="inlineStr">
        <is>
          <t>Muốn co lại, trước đó có thể đã có lúc mở ra; muốn yếu đi, trước đó có thể đã có lúc mạnh lên.</t>
        </is>
      </c>
      <c r="Q561" s="18" t="inlineStr">
        <is>
          <t>Laozi / 老子</t>
        </is>
      </c>
      <c r="R561" s="18" t="inlineStr">
        <is>
          <t>Taoism</t>
        </is>
      </c>
      <c r="S561" s="18" t="inlineStr">
        <is>
          <t>道德經 / Tao Te Ching</t>
        </is>
      </c>
      <c r="T561" s="18" t="inlineStr">
        <is>
          <t>Chapter 36</t>
        </is>
      </c>
      <c r="U561" s="18" t="inlineStr">
        <is>
          <t>https://zh.wikisource.org/zh-hant/%E9%81%93%E5%BE%B7%E7%B6%93_%28%E7%8E%8B%E5%BC%BC%E6%9C%AC%29</t>
        </is>
      </c>
      <c r="V561" s="18" t="inlineStr">
        <is>
          <t>Primary text</t>
        </is>
      </c>
      <c r="W561" s="18" t="inlineStr">
        <is>
          <t>Working translation</t>
        </is>
      </c>
      <c r="X561" s="18" t="inlineStr">
        <is>
          <t>A - Primary source</t>
        </is>
      </c>
      <c r="Y561" s="18" t="inlineStr">
        <is>
          <t>Original Chinese checked against Wang Bi recension; Vietnamese is Selflo working translation, not a published translation.</t>
        </is>
      </c>
      <c r="Z561" s="18" t="inlineStr">
        <is>
          <t>Public domain / likely</t>
        </is>
      </c>
      <c r="AA561" s="18" t="inlineStr">
        <is>
          <t>Ancient source text. Verify jurisdiction/edition before commercial publication.</t>
        </is>
      </c>
      <c r="AB561" s="18" t="inlineStr">
        <is>
          <t>Medium</t>
        </is>
      </c>
      <c r="AC561" s="18" t="inlineStr">
        <is>
          <t>Dialectical; political context.</t>
        </is>
      </c>
      <c r="AD561" s="18" t="inlineStr">
        <is>
          <t>Needs editorial review</t>
        </is>
      </c>
      <c r="AE561" s="18" t="inlineStr">
        <is>
          <t>Needs semantic dedupe review</t>
        </is>
      </c>
      <c r="AF561" s="18" t="n"/>
      <c r="AG561" s="18" t="n"/>
      <c r="AH561" s="18" t="inlineStr">
        <is>
          <t>No</t>
        </is>
      </c>
      <c r="AI561" s="18" t="inlineStr">
        <is>
          <t>Not reviewed</t>
        </is>
      </c>
      <c r="AJ561" s="18" t="inlineStr">
        <is>
          <t>Research only</t>
        </is>
      </c>
      <c r="AK561" s="18" t="inlineStr">
        <is>
          <t>Research Pool</t>
        </is>
      </c>
      <c r="AL561" s="18" t="n">
        <v>2</v>
      </c>
      <c r="AM561" s="18" t="inlineStr">
        <is>
          <t>ChatGPT research</t>
        </is>
      </c>
      <c r="AN561" s="18" t="inlineStr">
        <is>
          <t>2026-09-18</t>
        </is>
      </c>
      <c r="AO561" s="18" t="inlineStr">
        <is>
          <t>Day 2 full-scope audit, chapters 21–50.</t>
        </is>
      </c>
      <c r="AP561" s="18" t="n"/>
      <c r="AQ561" s="18" t="n"/>
    </row>
    <row r="562">
      <c r="A562" s="18" t="inlineStr">
        <is>
          <t>research.laozi.day2.ch36.061</t>
        </is>
      </c>
      <c r="B562" s="18" t="inlineStr">
        <is>
          <t>Collected</t>
        </is>
      </c>
      <c r="C562" s="18" t="inlineStr">
        <is>
          <t>Nội tâm &amp; hiểu mình</t>
        </is>
      </c>
      <c r="D562" s="18" t="inlineStr">
        <is>
          <t>Day 2 / Laozi 21–50</t>
        </is>
      </c>
      <c r="E562" s="18" t="n"/>
      <c r="F562" s="18" t="inlineStr">
        <is>
          <t>Mềm không đồng nghĩa bất lực</t>
        </is>
      </c>
      <c r="G562" s="18" t="inlineStr">
        <is>
          <t>Strength</t>
        </is>
      </c>
      <c r="H562" s="18" t="n"/>
      <c r="I562" s="18" t="n"/>
      <c r="J562" s="18" t="n"/>
      <c r="K562" s="18" t="inlineStr">
        <is>
          <t>Reframe</t>
        </is>
      </c>
      <c r="L562" s="18" t="n"/>
      <c r="M562" s="18" t="inlineStr">
        <is>
          <t>Trích đoạn triết học</t>
        </is>
      </c>
      <c r="N562" s="18" t="inlineStr">
        <is>
          <t>柔弱勝剛強。</t>
        </is>
      </c>
      <c r="O562" s="18" t="inlineStr">
        <is>
          <t>Classical Chinese (文言文)</t>
        </is>
      </c>
      <c r="P562" s="18" t="inlineStr">
        <is>
          <t>Mềm và yếu có lúc thắng cứng và mạnh.</t>
        </is>
      </c>
      <c r="Q562" s="18" t="inlineStr">
        <is>
          <t>Laozi / 老子</t>
        </is>
      </c>
      <c r="R562" s="18" t="inlineStr">
        <is>
          <t>Taoism</t>
        </is>
      </c>
      <c r="S562" s="18" t="inlineStr">
        <is>
          <t>道德經 / Tao Te Ching</t>
        </is>
      </c>
      <c r="T562" s="18" t="inlineStr">
        <is>
          <t>Chapter 36</t>
        </is>
      </c>
      <c r="U562" s="18" t="inlineStr">
        <is>
          <t>https://zh.wikisource.org/zh-hant/%E9%81%93%E5%BE%B7%E7%B6%93_%28%E7%8E%8B%E5%BC%BC%E6%9C%AC%29</t>
        </is>
      </c>
      <c r="V562" s="18" t="inlineStr">
        <is>
          <t>Primary text</t>
        </is>
      </c>
      <c r="W562" s="18" t="inlineStr">
        <is>
          <t>Working translation</t>
        </is>
      </c>
      <c r="X562" s="18" t="inlineStr">
        <is>
          <t>A - Primary source</t>
        </is>
      </c>
      <c r="Y562" s="18" t="inlineStr">
        <is>
          <t>Original Chinese checked against Wang Bi recension; Vietnamese is Selflo working translation, not a published translation.</t>
        </is>
      </c>
      <c r="Z562" s="18" t="inlineStr">
        <is>
          <t>Public domain / likely</t>
        </is>
      </c>
      <c r="AA562" s="18" t="inlineStr">
        <is>
          <t>Ancient source text. Verify jurisdiction/edition before commercial publication.</t>
        </is>
      </c>
      <c r="AB562" s="18" t="inlineStr">
        <is>
          <t>High</t>
        </is>
      </c>
      <c r="AC562" s="18" t="inlineStr">
        <is>
          <t>Strong.</t>
        </is>
      </c>
      <c r="AD562" s="18" t="inlineStr">
        <is>
          <t>Needs editorial review</t>
        </is>
      </c>
      <c r="AE562" s="18" t="inlineStr">
        <is>
          <t>Needs semantic dedupe review</t>
        </is>
      </c>
      <c r="AF562" s="18" t="n"/>
      <c r="AG562" s="18" t="n"/>
      <c r="AH562" s="18" t="inlineStr">
        <is>
          <t>No</t>
        </is>
      </c>
      <c r="AI562" s="18" t="inlineStr">
        <is>
          <t>Not reviewed</t>
        </is>
      </c>
      <c r="AJ562" s="18" t="inlineStr">
        <is>
          <t>Research only</t>
        </is>
      </c>
      <c r="AK562" s="18" t="inlineStr">
        <is>
          <t>Research Pool</t>
        </is>
      </c>
      <c r="AL562" s="18" t="n">
        <v>2</v>
      </c>
      <c r="AM562" s="18" t="inlineStr">
        <is>
          <t>ChatGPT research</t>
        </is>
      </c>
      <c r="AN562" s="18" t="inlineStr">
        <is>
          <t>2026-09-18</t>
        </is>
      </c>
      <c r="AO562" s="18" t="inlineStr">
        <is>
          <t>Day 2 full-scope audit, chapters 21–50.</t>
        </is>
      </c>
      <c r="AP562" s="18" t="n"/>
      <c r="AQ562" s="18" t="n"/>
    </row>
    <row r="563">
      <c r="A563" s="18" t="inlineStr">
        <is>
          <t>research.laozi.day2.ch36.062</t>
        </is>
      </c>
      <c r="B563" s="18" t="inlineStr">
        <is>
          <t>Collected</t>
        </is>
      </c>
      <c r="C563" s="18" t="inlineStr">
        <is>
          <t>Nội tâm &amp; hiểu mình</t>
        </is>
      </c>
      <c r="D563" s="18" t="inlineStr">
        <is>
          <t>Day 2 / Laozi 21–50</t>
        </is>
      </c>
      <c r="E563" s="18" t="n"/>
      <c r="F563" s="18" t="inlineStr">
        <is>
          <t>Có những điều chỉ sống được trong đúng môi trường</t>
        </is>
      </c>
      <c r="G563" s="18" t="inlineStr">
        <is>
          <t>Context</t>
        </is>
      </c>
      <c r="H563" s="18" t="n"/>
      <c r="I563" s="18" t="n"/>
      <c r="J563" s="18" t="n"/>
      <c r="K563" s="18" t="inlineStr">
        <is>
          <t>Distinguish</t>
        </is>
      </c>
      <c r="L563" s="18" t="n"/>
      <c r="M563" s="18" t="inlineStr">
        <is>
          <t>Trích đoạn triết học</t>
        </is>
      </c>
      <c r="N563" s="18" t="inlineStr">
        <is>
          <t>魚不可脫於淵。</t>
        </is>
      </c>
      <c r="O563" s="18" t="inlineStr">
        <is>
          <t>Classical Chinese (文言文)</t>
        </is>
      </c>
      <c r="P563" s="18" t="inlineStr">
        <is>
          <t>Cá không thể rời vực sâu của nó.</t>
        </is>
      </c>
      <c r="Q563" s="18" t="inlineStr">
        <is>
          <t>Laozi / 老子</t>
        </is>
      </c>
      <c r="R563" s="18" t="inlineStr">
        <is>
          <t>Taoism</t>
        </is>
      </c>
      <c r="S563" s="18" t="inlineStr">
        <is>
          <t>道德經 / Tao Te Ching</t>
        </is>
      </c>
      <c r="T563" s="18" t="inlineStr">
        <is>
          <t>Chapter 36</t>
        </is>
      </c>
      <c r="U563" s="18" t="inlineStr">
        <is>
          <t>https://zh.wikisource.org/zh-hant/%E9%81%93%E5%BE%B7%E7%B6%93_%28%E7%8E%8B%E5%BC%BC%E6%9C%AC%29</t>
        </is>
      </c>
      <c r="V563" s="18" t="inlineStr">
        <is>
          <t>Primary text</t>
        </is>
      </c>
      <c r="W563" s="18" t="inlineStr">
        <is>
          <t>Working translation</t>
        </is>
      </c>
      <c r="X563" s="18" t="inlineStr">
        <is>
          <t>A - Primary source</t>
        </is>
      </c>
      <c r="Y563" s="18" t="inlineStr">
        <is>
          <t>Original Chinese checked against Wang Bi recension; Vietnamese is Selflo working translation, not a published translation.</t>
        </is>
      </c>
      <c r="Z563" s="18" t="inlineStr">
        <is>
          <t>Public domain / likely</t>
        </is>
      </c>
      <c r="AA563" s="18" t="inlineStr">
        <is>
          <t>Ancient source text. Verify jurisdiction/edition before commercial publication.</t>
        </is>
      </c>
      <c r="AB563" s="18" t="inlineStr">
        <is>
          <t>High</t>
        </is>
      </c>
      <c r="AC563" s="18" t="inlineStr">
        <is>
          <t>Context/capacity metaphor.</t>
        </is>
      </c>
      <c r="AD563" s="18" t="inlineStr">
        <is>
          <t>Needs editorial review</t>
        </is>
      </c>
      <c r="AE563" s="18" t="inlineStr">
        <is>
          <t>Needs semantic dedupe review</t>
        </is>
      </c>
      <c r="AF563" s="18" t="n"/>
      <c r="AG563" s="18" t="n"/>
      <c r="AH563" s="18" t="inlineStr">
        <is>
          <t>No</t>
        </is>
      </c>
      <c r="AI563" s="18" t="inlineStr">
        <is>
          <t>Not reviewed</t>
        </is>
      </c>
      <c r="AJ563" s="18" t="inlineStr">
        <is>
          <t>Research only</t>
        </is>
      </c>
      <c r="AK563" s="18" t="inlineStr">
        <is>
          <t>Research Pool</t>
        </is>
      </c>
      <c r="AL563" s="18" t="n">
        <v>2</v>
      </c>
      <c r="AM563" s="18" t="inlineStr">
        <is>
          <t>ChatGPT research</t>
        </is>
      </c>
      <c r="AN563" s="18" t="inlineStr">
        <is>
          <t>2026-09-18</t>
        </is>
      </c>
      <c r="AO563" s="18" t="inlineStr">
        <is>
          <t>Day 2 full-scope audit, chapters 21–50.</t>
        </is>
      </c>
      <c r="AP563" s="18" t="n"/>
      <c r="AQ563" s="18" t="n"/>
    </row>
    <row r="564">
      <c r="A564" s="18" t="inlineStr">
        <is>
          <t>research.laozi.day2.ch36.063</t>
        </is>
      </c>
      <c r="B564" s="18" t="inlineStr">
        <is>
          <t>Collected</t>
        </is>
      </c>
      <c r="C564" s="18" t="inlineStr">
        <is>
          <t>Nội tâm &amp; hiểu mình</t>
        </is>
      </c>
      <c r="D564" s="18" t="inlineStr">
        <is>
          <t>Day 2 / Laozi 21–50</t>
        </is>
      </c>
      <c r="E564" s="18" t="n"/>
      <c r="F564" s="18" t="inlineStr">
        <is>
          <t>Không mọi năng lực đều cần được phô bày</t>
        </is>
      </c>
      <c r="G564" s="18" t="inlineStr">
        <is>
          <t>Simplicity</t>
        </is>
      </c>
      <c r="H564" s="18" t="n"/>
      <c r="I564" s="18" t="n"/>
      <c r="J564" s="18" t="n"/>
      <c r="K564" s="18" t="inlineStr">
        <is>
          <t>Distinguish</t>
        </is>
      </c>
      <c r="L564" s="18" t="n"/>
      <c r="M564" s="18" t="inlineStr">
        <is>
          <t>Trích đoạn triết học</t>
        </is>
      </c>
      <c r="N564" s="18" t="inlineStr">
        <is>
          <t>國之利器不可以示人。</t>
        </is>
      </c>
      <c r="O564" s="18" t="inlineStr">
        <is>
          <t>Classical Chinese (文言文)</t>
        </is>
      </c>
      <c r="P564" s="18" t="inlineStr">
        <is>
          <t>Công cụ sắc bén của một hệ thống không nhất thiết nên đem phô ra.</t>
        </is>
      </c>
      <c r="Q564" s="18" t="inlineStr">
        <is>
          <t>Laozi / 老子</t>
        </is>
      </c>
      <c r="R564" s="18" t="inlineStr">
        <is>
          <t>Taoism</t>
        </is>
      </c>
      <c r="S564" s="18" t="inlineStr">
        <is>
          <t>道德經 / Tao Te Ching</t>
        </is>
      </c>
      <c r="T564" s="18" t="inlineStr">
        <is>
          <t>Chapter 36</t>
        </is>
      </c>
      <c r="U564" s="18" t="inlineStr">
        <is>
          <t>https://zh.wikisource.org/zh-hant/%E9%81%93%E5%BE%B7%E7%B6%93_%28%E7%8E%8B%E5%BC%BC%E6%9C%AC%29</t>
        </is>
      </c>
      <c r="V564" s="18" t="inlineStr">
        <is>
          <t>Primary text</t>
        </is>
      </c>
      <c r="W564" s="18" t="inlineStr">
        <is>
          <t>Working translation</t>
        </is>
      </c>
      <c r="X564" s="18" t="inlineStr">
        <is>
          <t>A - Primary source</t>
        </is>
      </c>
      <c r="Y564" s="18" t="inlineStr">
        <is>
          <t>Original Chinese checked against Wang Bi recension; Vietnamese is Selflo working translation, not a published translation.</t>
        </is>
      </c>
      <c r="Z564" s="18" t="inlineStr">
        <is>
          <t>Public domain / likely</t>
        </is>
      </c>
      <c r="AA564" s="18" t="inlineStr">
        <is>
          <t>Ancient source text. Verify jurisdiction/edition before commercial publication.</t>
        </is>
      </c>
      <c r="AB564" s="18" t="inlineStr">
        <is>
          <t>Low</t>
        </is>
      </c>
      <c r="AC564" s="18" t="inlineStr">
        <is>
          <t>Political; possible misuse.</t>
        </is>
      </c>
      <c r="AD564" s="18" t="inlineStr">
        <is>
          <t>Needs editorial review</t>
        </is>
      </c>
      <c r="AE564" s="18" t="inlineStr">
        <is>
          <t>Needs semantic dedupe review</t>
        </is>
      </c>
      <c r="AF564" s="18" t="n"/>
      <c r="AG564" s="18" t="n"/>
      <c r="AH564" s="18" t="inlineStr">
        <is>
          <t>No</t>
        </is>
      </c>
      <c r="AI564" s="18" t="inlineStr">
        <is>
          <t>Not reviewed</t>
        </is>
      </c>
      <c r="AJ564" s="18" t="inlineStr">
        <is>
          <t>Research only</t>
        </is>
      </c>
      <c r="AK564" s="18" t="inlineStr">
        <is>
          <t>Research Pool</t>
        </is>
      </c>
      <c r="AL564" s="18" t="n">
        <v>2</v>
      </c>
      <c r="AM564" s="18" t="inlineStr">
        <is>
          <t>ChatGPT research</t>
        </is>
      </c>
      <c r="AN564" s="18" t="inlineStr">
        <is>
          <t>2026-09-18</t>
        </is>
      </c>
      <c r="AO564" s="18" t="inlineStr">
        <is>
          <t>Day 2 full-scope audit, chapters 21–50.</t>
        </is>
      </c>
      <c r="AP564" s="18" t="n"/>
      <c r="AQ564" s="18" t="n"/>
    </row>
    <row r="565">
      <c r="A565" s="18" t="inlineStr">
        <is>
          <t>research.laozi.day2.ch37.064</t>
        </is>
      </c>
      <c r="B565" s="18" t="inlineStr">
        <is>
          <t>Collected</t>
        </is>
      </c>
      <c r="C565" s="18" t="inlineStr">
        <is>
          <t>Nội tâm &amp; hiểu mình</t>
        </is>
      </c>
      <c r="D565" s="18" t="inlineStr">
        <is>
          <t>Day 2 / Laozi 21–50</t>
        </is>
      </c>
      <c r="E565" s="18" t="n"/>
      <c r="F565" s="18" t="inlineStr">
        <is>
          <t>Không cưỡng ép không đồng nghĩa không có tác động</t>
        </is>
      </c>
      <c r="G565" s="18" t="inlineStr">
        <is>
          <t>Agency</t>
        </is>
      </c>
      <c r="H565" s="18" t="n"/>
      <c r="I565" s="18" t="n"/>
      <c r="J565" s="18" t="n"/>
      <c r="K565" s="18" t="inlineStr">
        <is>
          <t>Distinguish</t>
        </is>
      </c>
      <c r="L565" s="18" t="n"/>
      <c r="M565" s="18" t="inlineStr">
        <is>
          <t>Trích đoạn triết học</t>
        </is>
      </c>
      <c r="N565" s="18" t="inlineStr">
        <is>
          <t>道常無為而無不為。</t>
        </is>
      </c>
      <c r="O565" s="18" t="inlineStr">
        <is>
          <t>Classical Chinese (文言文)</t>
        </is>
      </c>
      <c r="P565" s="18" t="inlineStr">
        <is>
          <t>Đạo thường không cưỡng làm, mà không gì bị bỏ khỏi quá trình vận hành.</t>
        </is>
      </c>
      <c r="Q565" s="18" t="inlineStr">
        <is>
          <t>Laozi / 老子</t>
        </is>
      </c>
      <c r="R565" s="18" t="inlineStr">
        <is>
          <t>Taoism</t>
        </is>
      </c>
      <c r="S565" s="18" t="inlineStr">
        <is>
          <t>道德經 / Tao Te Ching</t>
        </is>
      </c>
      <c r="T565" s="18" t="inlineStr">
        <is>
          <t>Chapter 37</t>
        </is>
      </c>
      <c r="U565" s="18" t="inlineStr">
        <is>
          <t>https://zh.wikisource.org/zh-hant/%E9%81%93%E5%BE%B7%E7%B6%93_%28%E7%8E%8B%E5%BC%BC%E6%9C%AC%29</t>
        </is>
      </c>
      <c r="V565" s="18" t="inlineStr">
        <is>
          <t>Primary text</t>
        </is>
      </c>
      <c r="W565" s="18" t="inlineStr">
        <is>
          <t>Working translation</t>
        </is>
      </c>
      <c r="X565" s="18" t="inlineStr">
        <is>
          <t>A - Primary source</t>
        </is>
      </c>
      <c r="Y565" s="18" t="inlineStr">
        <is>
          <t>Original Chinese checked against Wang Bi recension; Vietnamese is Selflo working translation, not a published translation.</t>
        </is>
      </c>
      <c r="Z565" s="18" t="inlineStr">
        <is>
          <t>Public domain / likely</t>
        </is>
      </c>
      <c r="AA565" s="18" t="inlineStr">
        <is>
          <t>Ancient source text. Verify jurisdiction/edition before commercial publication.</t>
        </is>
      </c>
      <c r="AB565" s="18" t="inlineStr">
        <is>
          <t>High</t>
        </is>
      </c>
      <c r="AC565" s="18" t="inlineStr">
        <is>
          <t>Wu-wei nuance.</t>
        </is>
      </c>
      <c r="AD565" s="18" t="inlineStr">
        <is>
          <t>Needs editorial review</t>
        </is>
      </c>
      <c r="AE565" s="18" t="inlineStr">
        <is>
          <t>Needs semantic dedupe review</t>
        </is>
      </c>
      <c r="AF565" s="18" t="n"/>
      <c r="AG565" s="18" t="n"/>
      <c r="AH565" s="18" t="inlineStr">
        <is>
          <t>No</t>
        </is>
      </c>
      <c r="AI565" s="18" t="inlineStr">
        <is>
          <t>Not reviewed</t>
        </is>
      </c>
      <c r="AJ565" s="18" t="inlineStr">
        <is>
          <t>Research only</t>
        </is>
      </c>
      <c r="AK565" s="18" t="inlineStr">
        <is>
          <t>Research Pool</t>
        </is>
      </c>
      <c r="AL565" s="18" t="n">
        <v>2</v>
      </c>
      <c r="AM565" s="18" t="inlineStr">
        <is>
          <t>ChatGPT research</t>
        </is>
      </c>
      <c r="AN565" s="18" t="inlineStr">
        <is>
          <t>2026-09-18</t>
        </is>
      </c>
      <c r="AO565" s="18" t="inlineStr">
        <is>
          <t>Day 2 full-scope audit, chapters 21–50.</t>
        </is>
      </c>
      <c r="AP565" s="18" t="n"/>
      <c r="AQ565" s="18" t="n"/>
    </row>
    <row r="566">
      <c r="A566" s="18" t="inlineStr">
        <is>
          <t>research.laozi.day2.ch37.065</t>
        </is>
      </c>
      <c r="B566" s="18" t="inlineStr">
        <is>
          <t>Collected</t>
        </is>
      </c>
      <c r="C566" s="18" t="inlineStr">
        <is>
          <t>Nội tâm &amp; hiểu mình</t>
        </is>
      </c>
      <c r="D566" s="18" t="inlineStr">
        <is>
          <t>Day 2 / Laozi 21–50</t>
        </is>
      </c>
      <c r="E566" s="18" t="n"/>
      <c r="F566" s="18" t="inlineStr">
        <is>
          <t>Tạo điều kiện thay vì điều khiển từng bước</t>
        </is>
      </c>
      <c r="G566" s="18" t="inlineStr">
        <is>
          <t>Agency</t>
        </is>
      </c>
      <c r="H566" s="18" t="n"/>
      <c r="I566" s="18" t="n"/>
      <c r="J566" s="18" t="n"/>
      <c r="K566" s="18" t="inlineStr">
        <is>
          <t>Return agency</t>
        </is>
      </c>
      <c r="L566" s="18" t="n"/>
      <c r="M566" s="18" t="inlineStr">
        <is>
          <t>Trích đoạn triết học</t>
        </is>
      </c>
      <c r="N566" s="18" t="inlineStr">
        <is>
          <t>侯王若能守之，萬物將自化。</t>
        </is>
      </c>
      <c r="O566" s="18" t="inlineStr">
        <is>
          <t>Classical Chinese (文言文)</t>
        </is>
      </c>
      <c r="P566" s="18" t="inlineStr">
        <is>
          <t>Nếu người cầm quyền giữ được nguyên tắc ấy, sự vật có thể tự chuyển hóa.</t>
        </is>
      </c>
      <c r="Q566" s="18" t="inlineStr">
        <is>
          <t>Laozi / 老子</t>
        </is>
      </c>
      <c r="R566" s="18" t="inlineStr">
        <is>
          <t>Taoism</t>
        </is>
      </c>
      <c r="S566" s="18" t="inlineStr">
        <is>
          <t>道德經 / Tao Te Ching</t>
        </is>
      </c>
      <c r="T566" s="18" t="inlineStr">
        <is>
          <t>Chapter 37</t>
        </is>
      </c>
      <c r="U566" s="18" t="inlineStr">
        <is>
          <t>https://zh.wikisource.org/zh-hant/%E9%81%93%E5%BE%B7%E7%B6%93_%28%E7%8E%8B%E5%BC%BC%E6%9C%AC%29</t>
        </is>
      </c>
      <c r="V566" s="18" t="inlineStr">
        <is>
          <t>Primary text</t>
        </is>
      </c>
      <c r="W566" s="18" t="inlineStr">
        <is>
          <t>Working translation</t>
        </is>
      </c>
      <c r="X566" s="18" t="inlineStr">
        <is>
          <t>A - Primary source</t>
        </is>
      </c>
      <c r="Y566" s="18" t="inlineStr">
        <is>
          <t>Original Chinese checked against Wang Bi recension; Vietnamese is Selflo working translation, not a published translation.</t>
        </is>
      </c>
      <c r="Z566" s="18" t="inlineStr">
        <is>
          <t>Public domain / likely</t>
        </is>
      </c>
      <c r="AA566" s="18" t="inlineStr">
        <is>
          <t>Ancient source text. Verify jurisdiction/edition before commercial publication.</t>
        </is>
      </c>
      <c r="AB566" s="18" t="inlineStr">
        <is>
          <t>High</t>
        </is>
      </c>
      <c r="AC566" s="18" t="inlineStr">
        <is>
          <t>Product philosophy; political context.</t>
        </is>
      </c>
      <c r="AD566" s="18" t="inlineStr">
        <is>
          <t>Needs editorial review</t>
        </is>
      </c>
      <c r="AE566" s="18" t="inlineStr">
        <is>
          <t>Needs semantic dedupe review</t>
        </is>
      </c>
      <c r="AF566" s="18" t="n"/>
      <c r="AG566" s="18" t="n"/>
      <c r="AH566" s="18" t="inlineStr">
        <is>
          <t>No</t>
        </is>
      </c>
      <c r="AI566" s="18" t="inlineStr">
        <is>
          <t>Not reviewed</t>
        </is>
      </c>
      <c r="AJ566" s="18" t="inlineStr">
        <is>
          <t>Research only</t>
        </is>
      </c>
      <c r="AK566" s="18" t="inlineStr">
        <is>
          <t>Research Pool</t>
        </is>
      </c>
      <c r="AL566" s="18" t="n">
        <v>2</v>
      </c>
      <c r="AM566" s="18" t="inlineStr">
        <is>
          <t>ChatGPT research</t>
        </is>
      </c>
      <c r="AN566" s="18" t="inlineStr">
        <is>
          <t>2026-09-18</t>
        </is>
      </c>
      <c r="AO566" s="18" t="inlineStr">
        <is>
          <t>Day 2 full-scope audit, chapters 21–50.</t>
        </is>
      </c>
      <c r="AP566" s="18" t="n"/>
      <c r="AQ566" s="18" t="n"/>
    </row>
    <row r="567">
      <c r="A567" s="18" t="inlineStr">
        <is>
          <t>research.laozi.day2.ch37.066</t>
        </is>
      </c>
      <c r="B567" s="18" t="inlineStr">
        <is>
          <t>Collected</t>
        </is>
      </c>
      <c r="C567" s="18" t="inlineStr">
        <is>
          <t>Nội tâm &amp; hiểu mình</t>
        </is>
      </c>
      <c r="D567" s="18" t="inlineStr">
        <is>
          <t>Day 2 / Laozi 21–50</t>
        </is>
      </c>
      <c r="E567" s="18" t="n"/>
      <c r="F567" s="18" t="inlineStr">
        <is>
          <t>Trở về phần đơn giản khi bị kéo bởi quá nhiều ham muốn</t>
        </is>
      </c>
      <c r="G567" s="18" t="inlineStr">
        <is>
          <t>Simplicity</t>
        </is>
      </c>
      <c r="H567" s="18" t="n"/>
      <c r="I567" s="18" t="n"/>
      <c r="J567" s="18" t="n"/>
      <c r="K567" s="18" t="inlineStr">
        <is>
          <t>Reframe</t>
        </is>
      </c>
      <c r="L567" s="18" t="n"/>
      <c r="M567" s="18" t="inlineStr">
        <is>
          <t>Trích đoạn triết học</t>
        </is>
      </c>
      <c r="N567" s="18" t="inlineStr">
        <is>
          <t>化而欲作，吾將鎮之以無名之樸。</t>
        </is>
      </c>
      <c r="O567" s="18" t="inlineStr">
        <is>
          <t>Classical Chinese (文言文)</t>
        </is>
      </c>
      <c r="P567" s="18" t="inlineStr">
        <is>
          <t>Khi ham muốn lại nổi lên, văn bản trở về hình ảnh cái mộc chưa đặt tên.</t>
        </is>
      </c>
      <c r="Q567" s="18" t="inlineStr">
        <is>
          <t>Laozi / 老子</t>
        </is>
      </c>
      <c r="R567" s="18" t="inlineStr">
        <is>
          <t>Taoism</t>
        </is>
      </c>
      <c r="S567" s="18" t="inlineStr">
        <is>
          <t>道德經 / Tao Te Ching</t>
        </is>
      </c>
      <c r="T567" s="18" t="inlineStr">
        <is>
          <t>Chapter 37</t>
        </is>
      </c>
      <c r="U567" s="18" t="inlineStr">
        <is>
          <t>https://zh.wikisource.org/zh-hant/%E9%81%93%E5%BE%B7%E7%B6%93_%28%E7%8E%8B%E5%BC%BC%E6%9C%AC%29</t>
        </is>
      </c>
      <c r="V567" s="18" t="inlineStr">
        <is>
          <t>Primary text</t>
        </is>
      </c>
      <c r="W567" s="18" t="inlineStr">
        <is>
          <t>Working translation</t>
        </is>
      </c>
      <c r="X567" s="18" t="inlineStr">
        <is>
          <t>A - Primary source</t>
        </is>
      </c>
      <c r="Y567" s="18" t="inlineStr">
        <is>
          <t>Original Chinese checked against Wang Bi recension; Vietnamese is Selflo working translation, not a published translation.</t>
        </is>
      </c>
      <c r="Z567" s="18" t="inlineStr">
        <is>
          <t>Public domain / likely</t>
        </is>
      </c>
      <c r="AA567" s="18" t="inlineStr">
        <is>
          <t>Ancient source text. Verify jurisdiction/edition before commercial publication.</t>
        </is>
      </c>
      <c r="AB567" s="18" t="inlineStr">
        <is>
          <t>Medium</t>
        </is>
      </c>
      <c r="AC567" s="18" t="inlineStr">
        <is>
          <t>Metaphysical.</t>
        </is>
      </c>
      <c r="AD567" s="18" t="inlineStr">
        <is>
          <t>Needs editorial review</t>
        </is>
      </c>
      <c r="AE567" s="18" t="inlineStr">
        <is>
          <t>Needs semantic dedupe review</t>
        </is>
      </c>
      <c r="AF567" s="18" t="n"/>
      <c r="AG567" s="18" t="n"/>
      <c r="AH567" s="18" t="inlineStr">
        <is>
          <t>No</t>
        </is>
      </c>
      <c r="AI567" s="18" t="inlineStr">
        <is>
          <t>Not reviewed</t>
        </is>
      </c>
      <c r="AJ567" s="18" t="inlineStr">
        <is>
          <t>Research only</t>
        </is>
      </c>
      <c r="AK567" s="18" t="inlineStr">
        <is>
          <t>Research Pool</t>
        </is>
      </c>
      <c r="AL567" s="18" t="n">
        <v>2</v>
      </c>
      <c r="AM567" s="18" t="inlineStr">
        <is>
          <t>ChatGPT research</t>
        </is>
      </c>
      <c r="AN567" s="18" t="inlineStr">
        <is>
          <t>2026-09-18</t>
        </is>
      </c>
      <c r="AO567" s="18" t="inlineStr">
        <is>
          <t>Day 2 full-scope audit, chapters 21–50.</t>
        </is>
      </c>
      <c r="AP567" s="18" t="n"/>
      <c r="AQ567" s="18" t="n"/>
    </row>
    <row r="568">
      <c r="A568" s="18" t="inlineStr">
        <is>
          <t>research.laozi.day2.ch37.067</t>
        </is>
      </c>
      <c r="B568" s="18" t="inlineStr">
        <is>
          <t>Collected</t>
        </is>
      </c>
      <c r="C568" s="18" t="inlineStr">
        <is>
          <t>Nội tâm &amp; hiểu mình</t>
        </is>
      </c>
      <c r="D568" s="18" t="inlineStr">
        <is>
          <t>Day 2 / Laozi 21–50</t>
        </is>
      </c>
      <c r="E568" s="18" t="n"/>
      <c r="F568" s="18" t="inlineStr">
        <is>
          <t>Giảm nhiễu để thấy điều đang tự sắp xếp</t>
        </is>
      </c>
      <c r="G568" s="18" t="inlineStr">
        <is>
          <t>Attention</t>
        </is>
      </c>
      <c r="H568" s="18" t="n"/>
      <c r="I568" s="18" t="n"/>
      <c r="J568" s="18" t="n"/>
      <c r="K568" s="18" t="inlineStr">
        <is>
          <t>Permit</t>
        </is>
      </c>
      <c r="L568" s="18" t="n"/>
      <c r="M568" s="18" t="inlineStr">
        <is>
          <t>Trích đoạn triết học</t>
        </is>
      </c>
      <c r="N568" s="18" t="inlineStr">
        <is>
          <t>不欲以靜，天下將自定。</t>
        </is>
      </c>
      <c r="O568" s="18" t="inlineStr">
        <is>
          <t>Classical Chinese (文言文)</t>
        </is>
      </c>
      <c r="P568" s="18" t="inlineStr">
        <is>
          <t>Khi bớt bị ham muốn kéo đi, sự tĩnh có thể mở chỗ cho trật tự xuất hiện.</t>
        </is>
      </c>
      <c r="Q568" s="18" t="inlineStr">
        <is>
          <t>Laozi / 老子</t>
        </is>
      </c>
      <c r="R568" s="18" t="inlineStr">
        <is>
          <t>Taoism</t>
        </is>
      </c>
      <c r="S568" s="18" t="inlineStr">
        <is>
          <t>道德經 / Tao Te Ching</t>
        </is>
      </c>
      <c r="T568" s="18" t="inlineStr">
        <is>
          <t>Chapter 37</t>
        </is>
      </c>
      <c r="U568" s="18" t="inlineStr">
        <is>
          <t>https://zh.wikisource.org/zh-hant/%E9%81%93%E5%BE%B7%E7%B6%93_%28%E7%8E%8B%E5%BC%BC%E6%9C%AC%29</t>
        </is>
      </c>
      <c r="V568" s="18" t="inlineStr">
        <is>
          <t>Primary text</t>
        </is>
      </c>
      <c r="W568" s="18" t="inlineStr">
        <is>
          <t>Working translation</t>
        </is>
      </c>
      <c r="X568" s="18" t="inlineStr">
        <is>
          <t>A - Primary source</t>
        </is>
      </c>
      <c r="Y568" s="18" t="inlineStr">
        <is>
          <t>Original Chinese checked against Wang Bi recension; Vietnamese is Selflo working translation, not a published translation.</t>
        </is>
      </c>
      <c r="Z568" s="18" t="inlineStr">
        <is>
          <t>Public domain / likely</t>
        </is>
      </c>
      <c r="AA568" s="18" t="inlineStr">
        <is>
          <t>Ancient source text. Verify jurisdiction/edition before commercial publication.</t>
        </is>
      </c>
      <c r="AB568" s="18" t="inlineStr">
        <is>
          <t>High</t>
        </is>
      </c>
      <c r="AC568" s="18" t="inlineStr">
        <is>
          <t>Avoid promise.</t>
        </is>
      </c>
      <c r="AD568" s="18" t="inlineStr">
        <is>
          <t>Needs editorial review</t>
        </is>
      </c>
      <c r="AE568" s="18" t="inlineStr">
        <is>
          <t>Needs semantic dedupe review</t>
        </is>
      </c>
      <c r="AF568" s="18" t="n"/>
      <c r="AG568" s="18" t="n"/>
      <c r="AH568" s="18" t="inlineStr">
        <is>
          <t>No</t>
        </is>
      </c>
      <c r="AI568" s="18" t="inlineStr">
        <is>
          <t>Not reviewed</t>
        </is>
      </c>
      <c r="AJ568" s="18" t="inlineStr">
        <is>
          <t>Research only</t>
        </is>
      </c>
      <c r="AK568" s="18" t="inlineStr">
        <is>
          <t>Research Pool</t>
        </is>
      </c>
      <c r="AL568" s="18" t="n">
        <v>2</v>
      </c>
      <c r="AM568" s="18" t="inlineStr">
        <is>
          <t>ChatGPT research</t>
        </is>
      </c>
      <c r="AN568" s="18" t="inlineStr">
        <is>
          <t>2026-09-18</t>
        </is>
      </c>
      <c r="AO568" s="18" t="inlineStr">
        <is>
          <t>Day 2 full-scope audit, chapters 21–50.</t>
        </is>
      </c>
      <c r="AP568" s="18" t="n"/>
      <c r="AQ568" s="18" t="n"/>
    </row>
    <row r="569">
      <c r="A569" s="18" t="inlineStr">
        <is>
          <t>research.laozi.day2.ch38.068</t>
        </is>
      </c>
      <c r="B569" s="18" t="inlineStr">
        <is>
          <t>Collected</t>
        </is>
      </c>
      <c r="C569" s="18" t="inlineStr">
        <is>
          <t>Nội tâm &amp; hiểu mình</t>
        </is>
      </c>
      <c r="D569" s="18" t="inlineStr">
        <is>
          <t>Day 2 / Laozi 21–50</t>
        </is>
      </c>
      <c r="E569" s="18" t="n"/>
      <c r="F569" s="18" t="inlineStr">
        <is>
          <t>Giá trị không nhất thiết cần tự gắn nhãn giá trị</t>
        </is>
      </c>
      <c r="G569" s="18" t="inlineStr">
        <is>
          <t>Identity</t>
        </is>
      </c>
      <c r="H569" s="18" t="n"/>
      <c r="I569" s="18" t="n"/>
      <c r="J569" s="18" t="n"/>
      <c r="K569" s="18" t="inlineStr">
        <is>
          <t>Distinguish</t>
        </is>
      </c>
      <c r="L569" s="18" t="n"/>
      <c r="M569" s="18" t="inlineStr">
        <is>
          <t>Trích đoạn triết học</t>
        </is>
      </c>
      <c r="N569" s="18" t="inlineStr">
        <is>
          <t>上德不德，是以有德。</t>
        </is>
      </c>
      <c r="O569" s="18" t="inlineStr">
        <is>
          <t>Classical Chinese (文言文)</t>
        </is>
      </c>
      <c r="P569" s="18" t="inlineStr">
        <is>
          <t>Đức cao không bám vào việc mình có đức, nên mới có đức.</t>
        </is>
      </c>
      <c r="Q569" s="18" t="inlineStr">
        <is>
          <t>Laozi / 老子</t>
        </is>
      </c>
      <c r="R569" s="18" t="inlineStr">
        <is>
          <t>Taoism</t>
        </is>
      </c>
      <c r="S569" s="18" t="inlineStr">
        <is>
          <t>道德經 / Tao Te Ching</t>
        </is>
      </c>
      <c r="T569" s="18" t="inlineStr">
        <is>
          <t>Chapter 38</t>
        </is>
      </c>
      <c r="U569" s="18" t="inlineStr">
        <is>
          <t>https://zh.wikisource.org/zh-hant/%E9%81%93%E5%BE%B7%E7%B6%93_%28%E7%8E%8B%E5%BC%BC%E6%9C%AC%29</t>
        </is>
      </c>
      <c r="V569" s="18" t="inlineStr">
        <is>
          <t>Primary text</t>
        </is>
      </c>
      <c r="W569" s="18" t="inlineStr">
        <is>
          <t>Working translation</t>
        </is>
      </c>
      <c r="X569" s="18" t="inlineStr">
        <is>
          <t>A - Primary source</t>
        </is>
      </c>
      <c r="Y569" s="18" t="inlineStr">
        <is>
          <t>Original Chinese checked against Wang Bi recension; Vietnamese is Selflo working translation, not a published translation.</t>
        </is>
      </c>
      <c r="Z569" s="18" t="inlineStr">
        <is>
          <t>Public domain / likely</t>
        </is>
      </c>
      <c r="AA569" s="18" t="inlineStr">
        <is>
          <t>Ancient source text. Verify jurisdiction/edition before commercial publication.</t>
        </is>
      </c>
      <c r="AB569" s="18" t="inlineStr">
        <is>
          <t>High</t>
        </is>
      </c>
      <c r="AC569" s="18" t="inlineStr">
        <is>
          <t>Strong.</t>
        </is>
      </c>
      <c r="AD569" s="18" t="inlineStr">
        <is>
          <t>Needs editorial review</t>
        </is>
      </c>
      <c r="AE569" s="18" t="inlineStr">
        <is>
          <t>Needs semantic dedupe review</t>
        </is>
      </c>
      <c r="AF569" s="18" t="n"/>
      <c r="AG569" s="18" t="n"/>
      <c r="AH569" s="18" t="inlineStr">
        <is>
          <t>No</t>
        </is>
      </c>
      <c r="AI569" s="18" t="inlineStr">
        <is>
          <t>Not reviewed</t>
        </is>
      </c>
      <c r="AJ569" s="18" t="inlineStr">
        <is>
          <t>Research only</t>
        </is>
      </c>
      <c r="AK569" s="18" t="inlineStr">
        <is>
          <t>Research Pool</t>
        </is>
      </c>
      <c r="AL569" s="18" t="n">
        <v>2</v>
      </c>
      <c r="AM569" s="18" t="inlineStr">
        <is>
          <t>ChatGPT research</t>
        </is>
      </c>
      <c r="AN569" s="18" t="inlineStr">
        <is>
          <t>2026-09-18</t>
        </is>
      </c>
      <c r="AO569" s="18" t="inlineStr">
        <is>
          <t>Day 2 full-scope audit, chapters 21–50.</t>
        </is>
      </c>
      <c r="AP569" s="18" t="n"/>
      <c r="AQ569" s="18" t="n"/>
    </row>
    <row r="570">
      <c r="A570" s="18" t="inlineStr">
        <is>
          <t>research.laozi.day2.ch38.069</t>
        </is>
      </c>
      <c r="B570" s="18" t="inlineStr">
        <is>
          <t>Collected</t>
        </is>
      </c>
      <c r="C570" s="18" t="inlineStr">
        <is>
          <t>Nội tâm &amp; hiểu mình</t>
        </is>
      </c>
      <c r="D570" s="18" t="inlineStr">
        <is>
          <t>Day 2 / Laozi 21–50</t>
        </is>
      </c>
      <c r="E570" s="18" t="n"/>
      <c r="F570" s="18" t="inlineStr">
        <is>
          <t>Phân biệt hành động từ giá trị và hành động để chứng minh bản thân</t>
        </is>
      </c>
      <c r="G570" s="18" t="inlineStr">
        <is>
          <t>Values</t>
        </is>
      </c>
      <c r="H570" s="18" t="n"/>
      <c r="I570" s="18" t="n"/>
      <c r="J570" s="18" t="n"/>
      <c r="K570" s="18" t="inlineStr">
        <is>
          <t>Distinguish</t>
        </is>
      </c>
      <c r="L570" s="18" t="n"/>
      <c r="M570" s="18" t="inlineStr">
        <is>
          <t>Trích đoạn triết học</t>
        </is>
      </c>
      <c r="N570" s="18" t="inlineStr">
        <is>
          <t>上德無為而無以為；下德為之而有以為。</t>
        </is>
      </c>
      <c r="O570" s="18" t="inlineStr">
        <is>
          <t>Classical Chinese (文言文)</t>
        </is>
      </c>
      <c r="P570" s="18" t="inlineStr">
        <is>
          <t>Đức cao không cưỡng làm vì một cái cớ để chứng minh mình; đức thấp hơn hành động với sự bám vào mục đích ấy.</t>
        </is>
      </c>
      <c r="Q570" s="18" t="inlineStr">
        <is>
          <t>Laozi / 老子</t>
        </is>
      </c>
      <c r="R570" s="18" t="inlineStr">
        <is>
          <t>Taoism</t>
        </is>
      </c>
      <c r="S570" s="18" t="inlineStr">
        <is>
          <t>道德經 / Tao Te Ching</t>
        </is>
      </c>
      <c r="T570" s="18" t="inlineStr">
        <is>
          <t>Chapter 38</t>
        </is>
      </c>
      <c r="U570" s="18" t="inlineStr">
        <is>
          <t>https://zh.wikisource.org/zh-hant/%E9%81%93%E5%BE%B7%E7%B6%93_%28%E7%8E%8B%E5%BC%BC%E6%9C%AC%29</t>
        </is>
      </c>
      <c r="V570" s="18" t="inlineStr">
        <is>
          <t>Primary text</t>
        </is>
      </c>
      <c r="W570" s="18" t="inlineStr">
        <is>
          <t>Working translation</t>
        </is>
      </c>
      <c r="X570" s="18" t="inlineStr">
        <is>
          <t>A - Primary source</t>
        </is>
      </c>
      <c r="Y570" s="18" t="inlineStr">
        <is>
          <t>Original Chinese checked against Wang Bi recension; Vietnamese is Selflo working translation, not a published translation.</t>
        </is>
      </c>
      <c r="Z570" s="18" t="inlineStr">
        <is>
          <t>Public domain / likely</t>
        </is>
      </c>
      <c r="AA570" s="18" t="inlineStr">
        <is>
          <t>Ancient source text. Verify jurisdiction/edition before commercial publication.</t>
        </is>
      </c>
      <c r="AB570" s="18" t="inlineStr">
        <is>
          <t>High</t>
        </is>
      </c>
      <c r="AC570" s="18" t="inlineStr">
        <is>
          <t>Interpretive but useful.</t>
        </is>
      </c>
      <c r="AD570" s="18" t="inlineStr">
        <is>
          <t>Needs editorial review</t>
        </is>
      </c>
      <c r="AE570" s="18" t="inlineStr">
        <is>
          <t>Needs semantic dedupe review</t>
        </is>
      </c>
      <c r="AF570" s="18" t="n"/>
      <c r="AG570" s="18" t="n"/>
      <c r="AH570" s="18" t="inlineStr">
        <is>
          <t>No</t>
        </is>
      </c>
      <c r="AI570" s="18" t="inlineStr">
        <is>
          <t>Not reviewed</t>
        </is>
      </c>
      <c r="AJ570" s="18" t="inlineStr">
        <is>
          <t>Research only</t>
        </is>
      </c>
      <c r="AK570" s="18" t="inlineStr">
        <is>
          <t>Research Pool</t>
        </is>
      </c>
      <c r="AL570" s="18" t="n">
        <v>2</v>
      </c>
      <c r="AM570" s="18" t="inlineStr">
        <is>
          <t>ChatGPT research</t>
        </is>
      </c>
      <c r="AN570" s="18" t="inlineStr">
        <is>
          <t>2026-09-18</t>
        </is>
      </c>
      <c r="AO570" s="18" t="inlineStr">
        <is>
          <t>Day 2 full-scope audit, chapters 21–50.</t>
        </is>
      </c>
      <c r="AP570" s="18" t="n"/>
      <c r="AQ570" s="18" t="n"/>
    </row>
    <row r="571">
      <c r="A571" s="18" t="inlineStr">
        <is>
          <t>research.laozi.day2.ch38.070</t>
        </is>
      </c>
      <c r="B571" s="18" t="inlineStr">
        <is>
          <t>Collected</t>
        </is>
      </c>
      <c r="C571" s="18" t="inlineStr">
        <is>
          <t>Nội tâm &amp; hiểu mình</t>
        </is>
      </c>
      <c r="D571" s="18" t="inlineStr">
        <is>
          <t>Day 2 / Laozi 21–50</t>
        </is>
      </c>
      <c r="E571" s="18" t="n"/>
      <c r="F571" s="18" t="inlineStr">
        <is>
          <t>Quy tắc bên ngoài có thể xuất hiện khi nền tảng bên trong yếu đi</t>
        </is>
      </c>
      <c r="G571" s="18" t="inlineStr">
        <is>
          <t>Values</t>
        </is>
      </c>
      <c r="H571" s="18" t="n"/>
      <c r="I571" s="18" t="n"/>
      <c r="J571" s="18" t="n"/>
      <c r="K571" s="18" t="inlineStr">
        <is>
          <t>Reframe</t>
        </is>
      </c>
      <c r="L571" s="18" t="n"/>
      <c r="M571" s="18" t="inlineStr">
        <is>
          <t>Trích đoạn triết học</t>
        </is>
      </c>
      <c r="N571" s="18" t="inlineStr">
        <is>
          <t>失道而後德，失德而後仁，失仁而後義，失義而後禮。</t>
        </is>
      </c>
      <c r="O571" s="18" t="inlineStr">
        <is>
          <t>Classical Chinese (文言文)</t>
        </is>
      </c>
      <c r="P571" s="18" t="inlineStr">
        <is>
          <t>Khi mất tầng nền, người ta lần lượt dựa vào những lớp quy tắc bên ngoài hơn.</t>
        </is>
      </c>
      <c r="Q571" s="18" t="inlineStr">
        <is>
          <t>Laozi / 老子</t>
        </is>
      </c>
      <c r="R571" s="18" t="inlineStr">
        <is>
          <t>Taoism</t>
        </is>
      </c>
      <c r="S571" s="18" t="inlineStr">
        <is>
          <t>道德經 / Tao Te Ching</t>
        </is>
      </c>
      <c r="T571" s="18" t="inlineStr">
        <is>
          <t>Chapter 38</t>
        </is>
      </c>
      <c r="U571" s="18" t="inlineStr">
        <is>
          <t>https://zh.wikisource.org/zh-hant/%E9%81%93%E5%BE%B7%E7%B6%93_%28%E7%8E%8B%E5%BC%BC%E6%9C%AC%29</t>
        </is>
      </c>
      <c r="V571" s="18" t="inlineStr">
        <is>
          <t>Primary text</t>
        </is>
      </c>
      <c r="W571" s="18" t="inlineStr">
        <is>
          <t>Working translation</t>
        </is>
      </c>
      <c r="X571" s="18" t="inlineStr">
        <is>
          <t>A - Primary source</t>
        </is>
      </c>
      <c r="Y571" s="18" t="inlineStr">
        <is>
          <t>Original Chinese checked against Wang Bi recension; Vietnamese is Selflo working translation, not a published translation.</t>
        </is>
      </c>
      <c r="Z571" s="18" t="inlineStr">
        <is>
          <t>Public domain / likely</t>
        </is>
      </c>
      <c r="AA571" s="18" t="inlineStr">
        <is>
          <t>Ancient source text. Verify jurisdiction/edition before commercial publication.</t>
        </is>
      </c>
      <c r="AB571" s="18" t="inlineStr">
        <is>
          <t>Medium</t>
        </is>
      </c>
      <c r="AC571" s="18" t="inlineStr">
        <is>
          <t>Needs context.</t>
        </is>
      </c>
      <c r="AD571" s="18" t="inlineStr">
        <is>
          <t>Needs editorial review</t>
        </is>
      </c>
      <c r="AE571" s="18" t="inlineStr">
        <is>
          <t>Needs semantic dedupe review</t>
        </is>
      </c>
      <c r="AF571" s="18" t="n"/>
      <c r="AG571" s="18" t="n"/>
      <c r="AH571" s="18" t="inlineStr">
        <is>
          <t>No</t>
        </is>
      </c>
      <c r="AI571" s="18" t="inlineStr">
        <is>
          <t>Not reviewed</t>
        </is>
      </c>
      <c r="AJ571" s="18" t="inlineStr">
        <is>
          <t>Research only</t>
        </is>
      </c>
      <c r="AK571" s="18" t="inlineStr">
        <is>
          <t>Research Pool</t>
        </is>
      </c>
      <c r="AL571" s="18" t="n">
        <v>2</v>
      </c>
      <c r="AM571" s="18" t="inlineStr">
        <is>
          <t>ChatGPT research</t>
        </is>
      </c>
      <c r="AN571" s="18" t="inlineStr">
        <is>
          <t>2026-09-18</t>
        </is>
      </c>
      <c r="AO571" s="18" t="inlineStr">
        <is>
          <t>Day 2 full-scope audit, chapters 21–50.</t>
        </is>
      </c>
      <c r="AP571" s="18" t="n"/>
      <c r="AQ571" s="18" t="n"/>
    </row>
    <row r="572">
      <c r="A572" s="18" t="inlineStr">
        <is>
          <t>research.laozi.day2.ch38.071</t>
        </is>
      </c>
      <c r="B572" s="18" t="inlineStr">
        <is>
          <t>Collected</t>
        </is>
      </c>
      <c r="C572" s="18" t="inlineStr">
        <is>
          <t>Nội tâm &amp; hiểu mình</t>
        </is>
      </c>
      <c r="D572" s="18" t="inlineStr">
        <is>
          <t>Day 2 / Laozi 21–50</t>
        </is>
      </c>
      <c r="E572" s="18" t="n"/>
      <c r="F572" s="18" t="inlineStr">
        <is>
          <t>Hình thức không thay thế được lòng tin</t>
        </is>
      </c>
      <c r="G572" s="18" t="inlineStr">
        <is>
          <t>Trust</t>
        </is>
      </c>
      <c r="H572" s="18" t="n"/>
      <c r="I572" s="18" t="n"/>
      <c r="J572" s="18" t="n"/>
      <c r="K572" s="18" t="inlineStr">
        <is>
          <t>Distinguish</t>
        </is>
      </c>
      <c r="L572" s="18" t="n"/>
      <c r="M572" s="18" t="inlineStr">
        <is>
          <t>Trích đoạn triết học</t>
        </is>
      </c>
      <c r="N572" s="18" t="inlineStr">
        <is>
          <t>夫禮者，忠信之薄而亂之首。</t>
        </is>
      </c>
      <c r="O572" s="18" t="inlineStr">
        <is>
          <t>Classical Chinese (文言文)</t>
        </is>
      </c>
      <c r="P572" s="18" t="inlineStr">
        <is>
          <t>Nghi lễ hình thức, khi lòng tin đã mỏng, có thể trở thành dấu hiệu của rối loạn chứ không phải bằng chứng của chân thành.</t>
        </is>
      </c>
      <c r="Q572" s="18" t="inlineStr">
        <is>
          <t>Laozi / 老子</t>
        </is>
      </c>
      <c r="R572" s="18" t="inlineStr">
        <is>
          <t>Taoism</t>
        </is>
      </c>
      <c r="S572" s="18" t="inlineStr">
        <is>
          <t>道德經 / Tao Te Ching</t>
        </is>
      </c>
      <c r="T572" s="18" t="inlineStr">
        <is>
          <t>Chapter 38</t>
        </is>
      </c>
      <c r="U572" s="18" t="inlineStr">
        <is>
          <t>https://zh.wikisource.org/zh-hant/%E9%81%93%E5%BE%B7%E7%B6%93_%28%E7%8E%8B%E5%BC%BC%E6%9C%AC%29</t>
        </is>
      </c>
      <c r="V572" s="18" t="inlineStr">
        <is>
          <t>Primary text</t>
        </is>
      </c>
      <c r="W572" s="18" t="inlineStr">
        <is>
          <t>Working translation</t>
        </is>
      </c>
      <c r="X572" s="18" t="inlineStr">
        <is>
          <t>A - Primary source</t>
        </is>
      </c>
      <c r="Y572" s="18" t="inlineStr">
        <is>
          <t>Original Chinese checked against Wang Bi recension; Vietnamese is Selflo working translation, not a published translation.</t>
        </is>
      </c>
      <c r="Z572" s="18" t="inlineStr">
        <is>
          <t>Public domain / likely</t>
        </is>
      </c>
      <c r="AA572" s="18" t="inlineStr">
        <is>
          <t>Ancient source text. Verify jurisdiction/edition before commercial publication.</t>
        </is>
      </c>
      <c r="AB572" s="18" t="inlineStr">
        <is>
          <t>High</t>
        </is>
      </c>
      <c r="AC572" s="18" t="inlineStr">
        <is>
          <t>Strong for culture/organizations.</t>
        </is>
      </c>
      <c r="AD572" s="18" t="inlineStr">
        <is>
          <t>Needs editorial review</t>
        </is>
      </c>
      <c r="AE572" s="18" t="inlineStr">
        <is>
          <t>Needs semantic dedupe review</t>
        </is>
      </c>
      <c r="AF572" s="18" t="n"/>
      <c r="AG572" s="18" t="n"/>
      <c r="AH572" s="18" t="inlineStr">
        <is>
          <t>No</t>
        </is>
      </c>
      <c r="AI572" s="18" t="inlineStr">
        <is>
          <t>Not reviewed</t>
        </is>
      </c>
      <c r="AJ572" s="18" t="inlineStr">
        <is>
          <t>Research only</t>
        </is>
      </c>
      <c r="AK572" s="18" t="inlineStr">
        <is>
          <t>Research Pool</t>
        </is>
      </c>
      <c r="AL572" s="18" t="n">
        <v>2</v>
      </c>
      <c r="AM572" s="18" t="inlineStr">
        <is>
          <t>ChatGPT research</t>
        </is>
      </c>
      <c r="AN572" s="18" t="inlineStr">
        <is>
          <t>2026-09-18</t>
        </is>
      </c>
      <c r="AO572" s="18" t="inlineStr">
        <is>
          <t>Day 2 full-scope audit, chapters 21–50.</t>
        </is>
      </c>
      <c r="AP572" s="18" t="n"/>
      <c r="AQ572" s="18" t="n"/>
    </row>
    <row r="573">
      <c r="A573" s="18" t="inlineStr">
        <is>
          <t>research.laozi.day2.ch38.072</t>
        </is>
      </c>
      <c r="B573" s="18" t="inlineStr">
        <is>
          <t>Collected</t>
        </is>
      </c>
      <c r="C573" s="18" t="inlineStr">
        <is>
          <t>Nội tâm &amp; hiểu mình</t>
        </is>
      </c>
      <c r="D573" s="18" t="inlineStr">
        <is>
          <t>Day 2 / Laozi 21–50</t>
        </is>
      </c>
      <c r="E573" s="18" t="n"/>
      <c r="F573" s="18" t="inlineStr">
        <is>
          <t>Biết nhiều không đồng nghĩa thấy đúng</t>
        </is>
      </c>
      <c r="G573" s="18" t="inlineStr">
        <is>
          <t>Judgment</t>
        </is>
      </c>
      <c r="H573" s="18" t="n"/>
      <c r="I573" s="18" t="n"/>
      <c r="J573" s="18" t="n"/>
      <c r="K573" s="18" t="inlineStr">
        <is>
          <t>Distinguish</t>
        </is>
      </c>
      <c r="L573" s="18" t="n"/>
      <c r="M573" s="18" t="inlineStr">
        <is>
          <t>Trích đoạn triết học</t>
        </is>
      </c>
      <c r="N573" s="18" t="inlineStr">
        <is>
          <t>前識者，道之華而愚之始。</t>
        </is>
      </c>
      <c r="O573" s="18" t="inlineStr">
        <is>
          <t>Classical Chinese (文言文)</t>
        </is>
      </c>
      <c r="P573" s="18" t="inlineStr">
        <is>
          <t>Biết trước và phô diễn tri thức có thể chỉ là phần hoa bên ngoài; bám vào nó có thể mở đầu cho mê lầm.</t>
        </is>
      </c>
      <c r="Q573" s="18" t="inlineStr">
        <is>
          <t>Laozi / 老子</t>
        </is>
      </c>
      <c r="R573" s="18" t="inlineStr">
        <is>
          <t>Taoism</t>
        </is>
      </c>
      <c r="S573" s="18" t="inlineStr">
        <is>
          <t>道德經 / Tao Te Ching</t>
        </is>
      </c>
      <c r="T573" s="18" t="inlineStr">
        <is>
          <t>Chapter 38</t>
        </is>
      </c>
      <c r="U573" s="18" t="inlineStr">
        <is>
          <t>https://zh.wikisource.org/zh-hant/%E9%81%93%E5%BE%B7%E7%B6%93_%28%E7%8E%8B%E5%BC%BC%E6%9C%AC%29</t>
        </is>
      </c>
      <c r="V573" s="18" t="inlineStr">
        <is>
          <t>Primary text</t>
        </is>
      </c>
      <c r="W573" s="18" t="inlineStr">
        <is>
          <t>Working translation</t>
        </is>
      </c>
      <c r="X573" s="18" t="inlineStr">
        <is>
          <t>A - Primary source</t>
        </is>
      </c>
      <c r="Y573" s="18" t="inlineStr">
        <is>
          <t>Original Chinese checked against Wang Bi recension; Vietnamese is Selflo working translation, not a published translation.</t>
        </is>
      </c>
      <c r="Z573" s="18" t="inlineStr">
        <is>
          <t>Public domain / likely</t>
        </is>
      </c>
      <c r="AA573" s="18" t="inlineStr">
        <is>
          <t>Ancient source text. Verify jurisdiction/edition before commercial publication.</t>
        </is>
      </c>
      <c r="AB573" s="18" t="inlineStr">
        <is>
          <t>High</t>
        </is>
      </c>
      <c r="AC573" s="18" t="inlineStr">
        <is>
          <t>Excellent AI-age.</t>
        </is>
      </c>
      <c r="AD573" s="18" t="inlineStr">
        <is>
          <t>Needs editorial review</t>
        </is>
      </c>
      <c r="AE573" s="18" t="inlineStr">
        <is>
          <t>Needs semantic dedupe review</t>
        </is>
      </c>
      <c r="AF573" s="18" t="n"/>
      <c r="AG573" s="18" t="n"/>
      <c r="AH573" s="18" t="inlineStr">
        <is>
          <t>No</t>
        </is>
      </c>
      <c r="AI573" s="18" t="inlineStr">
        <is>
          <t>Not reviewed</t>
        </is>
      </c>
      <c r="AJ573" s="18" t="inlineStr">
        <is>
          <t>Research only</t>
        </is>
      </c>
      <c r="AK573" s="18" t="inlineStr">
        <is>
          <t>Research Pool</t>
        </is>
      </c>
      <c r="AL573" s="18" t="n">
        <v>2</v>
      </c>
      <c r="AM573" s="18" t="inlineStr">
        <is>
          <t>ChatGPT research</t>
        </is>
      </c>
      <c r="AN573" s="18" t="inlineStr">
        <is>
          <t>2026-09-18</t>
        </is>
      </c>
      <c r="AO573" s="18" t="inlineStr">
        <is>
          <t>Day 2 full-scope audit, chapters 21–50.</t>
        </is>
      </c>
      <c r="AP573" s="18" t="n"/>
      <c r="AQ573" s="18" t="n"/>
    </row>
    <row r="574">
      <c r="A574" s="18" t="inlineStr">
        <is>
          <t>research.laozi.day2.ch38.073</t>
        </is>
      </c>
      <c r="B574" s="18" t="inlineStr">
        <is>
          <t>Collected</t>
        </is>
      </c>
      <c r="C574" s="18" t="inlineStr">
        <is>
          <t>Nội tâm &amp; hiểu mình</t>
        </is>
      </c>
      <c r="D574" s="18" t="inlineStr">
        <is>
          <t>Day 2 / Laozi 21–50</t>
        </is>
      </c>
      <c r="E574" s="18" t="n"/>
      <c r="F574" s="18" t="inlineStr">
        <is>
          <t>Chọn chiều sâu thay vì chỉ chọn phần gây ấn tượng</t>
        </is>
      </c>
      <c r="G574" s="18" t="inlineStr">
        <is>
          <t>Values</t>
        </is>
      </c>
      <c r="H574" s="18" t="n"/>
      <c r="I574" s="18" t="n"/>
      <c r="J574" s="18" t="n"/>
      <c r="K574" s="18" t="inlineStr">
        <is>
          <t>Return agency</t>
        </is>
      </c>
      <c r="L574" s="18" t="n"/>
      <c r="M574" s="18" t="inlineStr">
        <is>
          <t>Trích đoạn triết học</t>
        </is>
      </c>
      <c r="N574" s="18" t="inlineStr">
        <is>
          <t>處其厚，不居其薄；處其實，不居其華。</t>
        </is>
      </c>
      <c r="O574" s="18" t="inlineStr">
        <is>
          <t>Classical Chinese (文言文)</t>
        </is>
      </c>
      <c r="P574" s="18" t="inlineStr">
        <is>
          <t>Ở với phần dày và thật, không chỉ ở phần mỏng và hào nhoáng.</t>
        </is>
      </c>
      <c r="Q574" s="18" t="inlineStr">
        <is>
          <t>Laozi / 老子</t>
        </is>
      </c>
      <c r="R574" s="18" t="inlineStr">
        <is>
          <t>Taoism</t>
        </is>
      </c>
      <c r="S574" s="18" t="inlineStr">
        <is>
          <t>道德經 / Tao Te Ching</t>
        </is>
      </c>
      <c r="T574" s="18" t="inlineStr">
        <is>
          <t>Chapter 38</t>
        </is>
      </c>
      <c r="U574" s="18" t="inlineStr">
        <is>
          <t>https://zh.wikisource.org/zh-hant/%E9%81%93%E5%BE%B7%E7%B6%93_%28%E7%8E%8B%E5%BC%BC%E6%9C%AC%29</t>
        </is>
      </c>
      <c r="V574" s="18" t="inlineStr">
        <is>
          <t>Primary text</t>
        </is>
      </c>
      <c r="W574" s="18" t="inlineStr">
        <is>
          <t>Working translation</t>
        </is>
      </c>
      <c r="X574" s="18" t="inlineStr">
        <is>
          <t>A - Primary source</t>
        </is>
      </c>
      <c r="Y574" s="18" t="inlineStr">
        <is>
          <t>Original Chinese checked against Wang Bi recension; Vietnamese is Selflo working translation, not a published translation.</t>
        </is>
      </c>
      <c r="Z574" s="18" t="inlineStr">
        <is>
          <t>Public domain / likely</t>
        </is>
      </c>
      <c r="AA574" s="18" t="inlineStr">
        <is>
          <t>Ancient source text. Verify jurisdiction/edition before commercial publication.</t>
        </is>
      </c>
      <c r="AB574" s="18" t="inlineStr">
        <is>
          <t>High</t>
        </is>
      </c>
      <c r="AC574" s="18" t="inlineStr">
        <is>
          <t>Very strong.</t>
        </is>
      </c>
      <c r="AD574" s="18" t="inlineStr">
        <is>
          <t>Needs editorial review</t>
        </is>
      </c>
      <c r="AE574" s="18" t="inlineStr">
        <is>
          <t>Needs semantic dedupe review</t>
        </is>
      </c>
      <c r="AF574" s="18" t="n"/>
      <c r="AG574" s="18" t="n"/>
      <c r="AH574" s="18" t="inlineStr">
        <is>
          <t>No</t>
        </is>
      </c>
      <c r="AI574" s="18" t="inlineStr">
        <is>
          <t>Not reviewed</t>
        </is>
      </c>
      <c r="AJ574" s="18" t="inlineStr">
        <is>
          <t>Research only</t>
        </is>
      </c>
      <c r="AK574" s="18" t="inlineStr">
        <is>
          <t>Research Pool</t>
        </is>
      </c>
      <c r="AL574" s="18" t="n">
        <v>2</v>
      </c>
      <c r="AM574" s="18" t="inlineStr">
        <is>
          <t>ChatGPT research</t>
        </is>
      </c>
      <c r="AN574" s="18" t="inlineStr">
        <is>
          <t>2026-09-18</t>
        </is>
      </c>
      <c r="AO574" s="18" t="inlineStr">
        <is>
          <t>Day 2 full-scope audit, chapters 21–50.</t>
        </is>
      </c>
      <c r="AP574" s="18" t="n"/>
      <c r="AQ574" s="18" t="n"/>
    </row>
    <row r="575">
      <c r="A575" s="18" t="inlineStr">
        <is>
          <t>research.laozi.day2.ch39.074</t>
        </is>
      </c>
      <c r="B575" s="18" t="inlineStr">
        <is>
          <t>Collected</t>
        </is>
      </c>
      <c r="C575" s="18" t="inlineStr">
        <is>
          <t>Nội tâm &amp; hiểu mình</t>
        </is>
      </c>
      <c r="D575" s="18" t="inlineStr">
        <is>
          <t>Day 2 / Laozi 21–50</t>
        </is>
      </c>
      <c r="E575" s="18" t="n"/>
      <c r="F575" s="18" t="inlineStr">
        <is>
          <t>Giữ một nền thống nhất giữa nhiều phần</t>
        </is>
      </c>
      <c r="G575" s="18" t="inlineStr">
        <is>
          <t>Integration</t>
        </is>
      </c>
      <c r="H575" s="18" t="n"/>
      <c r="I575" s="18" t="n"/>
      <c r="J575" s="18" t="n"/>
      <c r="K575" s="18" t="inlineStr">
        <is>
          <t>Recognize</t>
        </is>
      </c>
      <c r="L575" s="18" t="n"/>
      <c r="M575" s="18" t="inlineStr">
        <is>
          <t>Trích đoạn triết học</t>
        </is>
      </c>
      <c r="N575" s="18" t="inlineStr">
        <is>
          <t>昔之得一者：天得一以清，地得一以寧。</t>
        </is>
      </c>
      <c r="O575" s="18" t="inlineStr">
        <is>
          <t>Classical Chinese (文言文)</t>
        </is>
      </c>
      <c r="P575" s="18" t="inlineStr">
        <is>
          <t>Theo văn bản, sự ổn định của trời đất và muôn vật được gắn với việc giữ được một nền thống nhất.</t>
        </is>
      </c>
      <c r="Q575" s="18" t="inlineStr">
        <is>
          <t>Laozi / 老子</t>
        </is>
      </c>
      <c r="R575" s="18" t="inlineStr">
        <is>
          <t>Taoism</t>
        </is>
      </c>
      <c r="S575" s="18" t="inlineStr">
        <is>
          <t>道德經 / Tao Te Ching</t>
        </is>
      </c>
      <c r="T575" s="18" t="inlineStr">
        <is>
          <t>Chapter 39</t>
        </is>
      </c>
      <c r="U575" s="18" t="inlineStr">
        <is>
          <t>https://zh.wikisource.org/zh-hant/%E9%81%93%E5%BE%B7%E7%B6%93_%28%E7%8E%8B%E5%BC%BC%E6%9C%AC%29</t>
        </is>
      </c>
      <c r="V575" s="18" t="inlineStr">
        <is>
          <t>Primary text</t>
        </is>
      </c>
      <c r="W575" s="18" t="inlineStr">
        <is>
          <t>Working translation</t>
        </is>
      </c>
      <c r="X575" s="18" t="inlineStr">
        <is>
          <t>A - Primary source</t>
        </is>
      </c>
      <c r="Y575" s="18" t="inlineStr">
        <is>
          <t>Original Chinese checked against Wang Bi recension; Vietnamese is Selflo working translation, not a published translation.</t>
        </is>
      </c>
      <c r="Z575" s="18" t="inlineStr">
        <is>
          <t>Public domain / likely</t>
        </is>
      </c>
      <c r="AA575" s="18" t="inlineStr">
        <is>
          <t>Ancient source text. Verify jurisdiction/edition before commercial publication.</t>
        </is>
      </c>
      <c r="AB575" s="18" t="inlineStr">
        <is>
          <t>Medium</t>
        </is>
      </c>
      <c r="AC575" s="18" t="inlineStr">
        <is>
          <t>Metaphysical.</t>
        </is>
      </c>
      <c r="AD575" s="18" t="inlineStr">
        <is>
          <t>Needs editorial review</t>
        </is>
      </c>
      <c r="AE575" s="18" t="inlineStr">
        <is>
          <t>Needs semantic dedupe review</t>
        </is>
      </c>
      <c r="AF575" s="18" t="n"/>
      <c r="AG575" s="18" t="n"/>
      <c r="AH575" s="18" t="inlineStr">
        <is>
          <t>No</t>
        </is>
      </c>
      <c r="AI575" s="18" t="inlineStr">
        <is>
          <t>Not reviewed</t>
        </is>
      </c>
      <c r="AJ575" s="18" t="inlineStr">
        <is>
          <t>Research only</t>
        </is>
      </c>
      <c r="AK575" s="18" t="inlineStr">
        <is>
          <t>Research Pool</t>
        </is>
      </c>
      <c r="AL575" s="18" t="n">
        <v>2</v>
      </c>
      <c r="AM575" s="18" t="inlineStr">
        <is>
          <t>ChatGPT research</t>
        </is>
      </c>
      <c r="AN575" s="18" t="inlineStr">
        <is>
          <t>2026-09-18</t>
        </is>
      </c>
      <c r="AO575" s="18" t="inlineStr">
        <is>
          <t>Day 2 full-scope audit, chapters 21–50.</t>
        </is>
      </c>
      <c r="AP575" s="18" t="n"/>
      <c r="AQ575" s="18" t="n"/>
    </row>
    <row r="576">
      <c r="A576" s="18" t="inlineStr">
        <is>
          <t>research.laozi.day2.ch39.075</t>
        </is>
      </c>
      <c r="B576" s="18" t="inlineStr">
        <is>
          <t>Collected</t>
        </is>
      </c>
      <c r="C576" s="18" t="inlineStr">
        <is>
          <t>Nội tâm &amp; hiểu mình</t>
        </is>
      </c>
      <c r="D576" s="18" t="inlineStr">
        <is>
          <t>Day 2 / Laozi 21–50</t>
        </is>
      </c>
      <c r="E576" s="18" t="n"/>
      <c r="F576" s="18" t="inlineStr">
        <is>
          <t>Giá trị và vị trí phụ thuộc vào nền thường bị bỏ qua</t>
        </is>
      </c>
      <c r="G576" s="18" t="inlineStr">
        <is>
          <t>Context</t>
        </is>
      </c>
      <c r="H576" s="18" t="n"/>
      <c r="I576" s="18" t="n"/>
      <c r="J576" s="18" t="n"/>
      <c r="K576" s="18" t="inlineStr">
        <is>
          <t>Reframe</t>
        </is>
      </c>
      <c r="L576" s="18" t="n"/>
      <c r="M576" s="18" t="inlineStr">
        <is>
          <t>Trích đoạn triết học</t>
        </is>
      </c>
      <c r="N576" s="18" t="inlineStr">
        <is>
          <t>貴以賤為本，高以下為基。</t>
        </is>
      </c>
      <c r="O576" s="18" t="inlineStr">
        <is>
          <t>Classical Chinese (文言文)</t>
        </is>
      </c>
      <c r="P576" s="18" t="inlineStr">
        <is>
          <t>Cái được xem là quý dựa trên cái bị xem là thấp; cái cao có nền ở cái thấp.</t>
        </is>
      </c>
      <c r="Q576" s="18" t="inlineStr">
        <is>
          <t>Laozi / 老子</t>
        </is>
      </c>
      <c r="R576" s="18" t="inlineStr">
        <is>
          <t>Taoism</t>
        </is>
      </c>
      <c r="S576" s="18" t="inlineStr">
        <is>
          <t>道德經 / Tao Te Ching</t>
        </is>
      </c>
      <c r="T576" s="18" t="inlineStr">
        <is>
          <t>Chapter 39</t>
        </is>
      </c>
      <c r="U576" s="18" t="inlineStr">
        <is>
          <t>https://zh.wikisource.org/zh-hant/%E9%81%93%E5%BE%B7%E7%B6%93_%28%E7%8E%8B%E5%BC%BC%E6%9C%AC%29</t>
        </is>
      </c>
      <c r="V576" s="18" t="inlineStr">
        <is>
          <t>Primary text</t>
        </is>
      </c>
      <c r="W576" s="18" t="inlineStr">
        <is>
          <t>Working translation</t>
        </is>
      </c>
      <c r="X576" s="18" t="inlineStr">
        <is>
          <t>A - Primary source</t>
        </is>
      </c>
      <c r="Y576" s="18" t="inlineStr">
        <is>
          <t>Original Chinese checked against Wang Bi recension; Vietnamese is Selflo working translation, not a published translation.</t>
        </is>
      </c>
      <c r="Z576" s="18" t="inlineStr">
        <is>
          <t>Public domain / likely</t>
        </is>
      </c>
      <c r="AA576" s="18" t="inlineStr">
        <is>
          <t>Ancient source text. Verify jurisdiction/edition before commercial publication.</t>
        </is>
      </c>
      <c r="AB576" s="18" t="inlineStr">
        <is>
          <t>High</t>
        </is>
      </c>
      <c r="AC576" s="18" t="inlineStr">
        <is>
          <t>Relational opposites.</t>
        </is>
      </c>
      <c r="AD576" s="18" t="inlineStr">
        <is>
          <t>Needs editorial review</t>
        </is>
      </c>
      <c r="AE576" s="18" t="inlineStr">
        <is>
          <t>Needs semantic dedupe review</t>
        </is>
      </c>
      <c r="AF576" s="18" t="n"/>
      <c r="AG576" s="18" t="n"/>
      <c r="AH576" s="18" t="inlineStr">
        <is>
          <t>No</t>
        </is>
      </c>
      <c r="AI576" s="18" t="inlineStr">
        <is>
          <t>Not reviewed</t>
        </is>
      </c>
      <c r="AJ576" s="18" t="inlineStr">
        <is>
          <t>Research only</t>
        </is>
      </c>
      <c r="AK576" s="18" t="inlineStr">
        <is>
          <t>Research Pool</t>
        </is>
      </c>
      <c r="AL576" s="18" t="n">
        <v>2</v>
      </c>
      <c r="AM576" s="18" t="inlineStr">
        <is>
          <t>ChatGPT research</t>
        </is>
      </c>
      <c r="AN576" s="18" t="inlineStr">
        <is>
          <t>2026-09-18</t>
        </is>
      </c>
      <c r="AO576" s="18" t="inlineStr">
        <is>
          <t>Day 2 full-scope audit, chapters 21–50.</t>
        </is>
      </c>
      <c r="AP576" s="18" t="n"/>
      <c r="AQ576" s="18" t="n"/>
    </row>
    <row r="577">
      <c r="A577" s="18" t="inlineStr">
        <is>
          <t>research.laozi.day2.ch39.076</t>
        </is>
      </c>
      <c r="B577" s="18" t="inlineStr">
        <is>
          <t>Collected</t>
        </is>
      </c>
      <c r="C577" s="18" t="inlineStr">
        <is>
          <t>Nội tâm &amp; hiểu mình</t>
        </is>
      </c>
      <c r="D577" s="18" t="inlineStr">
        <is>
          <t>Day 2 / Laozi 21–50</t>
        </is>
      </c>
      <c r="E577" s="18" t="n"/>
      <c r="F577" s="18" t="inlineStr">
        <is>
          <t>Phân tích nhiều phần không thay thế được cái nhìn toàn thể</t>
        </is>
      </c>
      <c r="G577" s="18" t="inlineStr">
        <is>
          <t>Systems</t>
        </is>
      </c>
      <c r="H577" s="18" t="n"/>
      <c r="I577" s="18" t="n"/>
      <c r="J577" s="18" t="n"/>
      <c r="K577" s="18" t="inlineStr">
        <is>
          <t>Distinguish</t>
        </is>
      </c>
      <c r="L577" s="18" t="n"/>
      <c r="M577" s="18" t="inlineStr">
        <is>
          <t>Trích đoạn triết học</t>
        </is>
      </c>
      <c r="N577" s="18" t="inlineStr">
        <is>
          <t>故致數輿無輿。不欲琭琭如玉，珞珞如石。</t>
        </is>
      </c>
      <c r="O577" s="18" t="inlineStr">
        <is>
          <t>Classical Chinese (文言文)</t>
        </is>
      </c>
      <c r="P577" s="18" t="inlineStr">
        <is>
          <t>Chia chiếc xe thành quá nhiều bộ phận thì có thể không còn thấy chiếc xe; không nhất thiết phải luôn bóng như ngọc hay thô như đá.</t>
        </is>
      </c>
      <c r="Q577" s="18" t="inlineStr">
        <is>
          <t>Laozi / 老子</t>
        </is>
      </c>
      <c r="R577" s="18" t="inlineStr">
        <is>
          <t>Taoism</t>
        </is>
      </c>
      <c r="S577" s="18" t="inlineStr">
        <is>
          <t>道德經 / Tao Te Ching</t>
        </is>
      </c>
      <c r="T577" s="18" t="inlineStr">
        <is>
          <t>Chapter 39</t>
        </is>
      </c>
      <c r="U577" s="18" t="inlineStr">
        <is>
          <t>https://zh.wikisource.org/zh-hant/%E9%81%93%E5%BE%B7%E7%B6%93_%28%E7%8E%8B%E5%BC%BC%E6%9C%AC%29</t>
        </is>
      </c>
      <c r="V577" s="18" t="inlineStr">
        <is>
          <t>Primary text</t>
        </is>
      </c>
      <c r="W577" s="18" t="inlineStr">
        <is>
          <t>Working translation</t>
        </is>
      </c>
      <c r="X577" s="18" t="inlineStr">
        <is>
          <t>A - Primary source</t>
        </is>
      </c>
      <c r="Y577" s="18" t="inlineStr">
        <is>
          <t>Original Chinese checked against Wang Bi recension; Vietnamese is Selflo working translation, not a published translation.</t>
        </is>
      </c>
      <c r="Z577" s="18" t="inlineStr">
        <is>
          <t>Public domain / likely</t>
        </is>
      </c>
      <c r="AA577" s="18" t="inlineStr">
        <is>
          <t>Ancient source text. Verify jurisdiction/edition before commercial publication.</t>
        </is>
      </c>
      <c r="AB577" s="18" t="inlineStr">
        <is>
          <t>High</t>
        </is>
      </c>
      <c r="AC577" s="18" t="inlineStr">
        <is>
          <t>Excellent for architecture/AI reasoning; textual nuance.</t>
        </is>
      </c>
      <c r="AD577" s="18" t="inlineStr">
        <is>
          <t>Needs editorial review</t>
        </is>
      </c>
      <c r="AE577" s="18" t="inlineStr">
        <is>
          <t>Needs semantic dedupe review</t>
        </is>
      </c>
      <c r="AF577" s="18" t="n"/>
      <c r="AG577" s="18" t="n"/>
      <c r="AH577" s="18" t="inlineStr">
        <is>
          <t>No</t>
        </is>
      </c>
      <c r="AI577" s="18" t="inlineStr">
        <is>
          <t>Not reviewed</t>
        </is>
      </c>
      <c r="AJ577" s="18" t="inlineStr">
        <is>
          <t>Research only</t>
        </is>
      </c>
      <c r="AK577" s="18" t="inlineStr">
        <is>
          <t>Research Pool</t>
        </is>
      </c>
      <c r="AL577" s="18" t="n">
        <v>2</v>
      </c>
      <c r="AM577" s="18" t="inlineStr">
        <is>
          <t>ChatGPT research</t>
        </is>
      </c>
      <c r="AN577" s="18" t="inlineStr">
        <is>
          <t>2026-09-18</t>
        </is>
      </c>
      <c r="AO577" s="18" t="inlineStr">
        <is>
          <t>Day 2 full-scope audit, chapters 21–50.</t>
        </is>
      </c>
      <c r="AP577" s="18" t="n"/>
      <c r="AQ577" s="18" t="n"/>
    </row>
    <row r="578">
      <c r="A578" s="18" t="inlineStr">
        <is>
          <t>research.laozi.day2.ch40.077</t>
        </is>
      </c>
      <c r="B578" s="18" t="inlineStr">
        <is>
          <t>Collected</t>
        </is>
      </c>
      <c r="C578" s="18" t="inlineStr">
        <is>
          <t>Nội tâm &amp; hiểu mình</t>
        </is>
      </c>
      <c r="D578" s="18" t="inlineStr">
        <is>
          <t>Day 2 / Laozi 21–50</t>
        </is>
      </c>
      <c r="E578" s="18" t="n"/>
      <c r="F578" s="18" t="inlineStr">
        <is>
          <t>Trở lại và mềm đi cũng có thể là chuyển động</t>
        </is>
      </c>
      <c r="G578" s="18" t="inlineStr">
        <is>
          <t>Change</t>
        </is>
      </c>
      <c r="H578" s="18" t="n"/>
      <c r="I578" s="18" t="n"/>
      <c r="J578" s="18" t="n"/>
      <c r="K578" s="18" t="inlineStr">
        <is>
          <t>Reframe</t>
        </is>
      </c>
      <c r="L578" s="18" t="n"/>
      <c r="M578" s="18" t="inlineStr">
        <is>
          <t>Trích đoạn triết học</t>
        </is>
      </c>
      <c r="N578" s="18" t="inlineStr">
        <is>
          <t>反者道之動，弱者道之用。</t>
        </is>
      </c>
      <c r="O578" s="18" t="inlineStr">
        <is>
          <t>Classical Chinese (文言文)</t>
        </is>
      </c>
      <c r="P578" s="18" t="inlineStr">
        <is>
          <t>Trở lại là chuyển động của Đạo; mềm/yếu là cách Đạo vận hành.</t>
        </is>
      </c>
      <c r="Q578" s="18" t="inlineStr">
        <is>
          <t>Laozi / 老子</t>
        </is>
      </c>
      <c r="R578" s="18" t="inlineStr">
        <is>
          <t>Taoism</t>
        </is>
      </c>
      <c r="S578" s="18" t="inlineStr">
        <is>
          <t>道德經 / Tao Te Ching</t>
        </is>
      </c>
      <c r="T578" s="18" t="inlineStr">
        <is>
          <t>Chapter 40</t>
        </is>
      </c>
      <c r="U578" s="18" t="inlineStr">
        <is>
          <t>https://zh.wikisource.org/zh-hant/%E9%81%93%E5%BE%B7%E7%B6%93_%28%E7%8E%8B%E5%BC%BC%E6%9C%AC%29</t>
        </is>
      </c>
      <c r="V578" s="18" t="inlineStr">
        <is>
          <t>Primary text</t>
        </is>
      </c>
      <c r="W578" s="18" t="inlineStr">
        <is>
          <t>Working translation</t>
        </is>
      </c>
      <c r="X578" s="18" t="inlineStr">
        <is>
          <t>A - Primary source</t>
        </is>
      </c>
      <c r="Y578" s="18" t="inlineStr">
        <is>
          <t>Original Chinese checked against Wang Bi recension; Vietnamese is Selflo working translation, not a published translation.</t>
        </is>
      </c>
      <c r="Z578" s="18" t="inlineStr">
        <is>
          <t>Public domain / likely</t>
        </is>
      </c>
      <c r="AA578" s="18" t="inlineStr">
        <is>
          <t>Ancient source text. Verify jurisdiction/edition before commercial publication.</t>
        </is>
      </c>
      <c r="AB578" s="18" t="inlineStr">
        <is>
          <t>High</t>
        </is>
      </c>
      <c r="AC578" s="18" t="inlineStr">
        <is>
          <t>Core.</t>
        </is>
      </c>
      <c r="AD578" s="18" t="inlineStr">
        <is>
          <t>Needs editorial review</t>
        </is>
      </c>
      <c r="AE578" s="18" t="inlineStr">
        <is>
          <t>Needs semantic dedupe review</t>
        </is>
      </c>
      <c r="AF578" s="18" t="n"/>
      <c r="AG578" s="18" t="n"/>
      <c r="AH578" s="18" t="inlineStr">
        <is>
          <t>No</t>
        </is>
      </c>
      <c r="AI578" s="18" t="inlineStr">
        <is>
          <t>Not reviewed</t>
        </is>
      </c>
      <c r="AJ578" s="18" t="inlineStr">
        <is>
          <t>Research only</t>
        </is>
      </c>
      <c r="AK578" s="18" t="inlineStr">
        <is>
          <t>Research Pool</t>
        </is>
      </c>
      <c r="AL578" s="18" t="n">
        <v>2</v>
      </c>
      <c r="AM578" s="18" t="inlineStr">
        <is>
          <t>ChatGPT research</t>
        </is>
      </c>
      <c r="AN578" s="18" t="inlineStr">
        <is>
          <t>2026-09-18</t>
        </is>
      </c>
      <c r="AO578" s="18" t="inlineStr">
        <is>
          <t>Day 2 full-scope audit, chapters 21–50.</t>
        </is>
      </c>
      <c r="AP578" s="18" t="n"/>
      <c r="AQ578" s="18" t="n"/>
    </row>
    <row r="579">
      <c r="A579" s="18" t="inlineStr">
        <is>
          <t>research.laozi.day2.ch40.078</t>
        </is>
      </c>
      <c r="B579" s="18" t="inlineStr">
        <is>
          <t>Collected</t>
        </is>
      </c>
      <c r="C579" s="18" t="inlineStr">
        <is>
          <t>Nội tâm &amp; hiểu mình</t>
        </is>
      </c>
      <c r="D579" s="18" t="inlineStr">
        <is>
          <t>Day 2 / Laozi 21–50</t>
        </is>
      </c>
      <c r="E579" s="18" t="n"/>
      <c r="F579" s="18" t="inlineStr">
        <is>
          <t>Cái hiện hữu và khoảng trống không tách rời tuyệt đối</t>
        </is>
      </c>
      <c r="G579" s="18" t="inlineStr">
        <is>
          <t>Enoughness</t>
        </is>
      </c>
      <c r="H579" s="18" t="n"/>
      <c r="I579" s="18" t="n"/>
      <c r="J579" s="18" t="n"/>
      <c r="K579" s="18" t="inlineStr">
        <is>
          <t>Reframe</t>
        </is>
      </c>
      <c r="L579" s="18" t="n"/>
      <c r="M579" s="18" t="inlineStr">
        <is>
          <t>Trích đoạn triết học</t>
        </is>
      </c>
      <c r="N579" s="18" t="inlineStr">
        <is>
          <t>天下萬物生於有，有生於無。</t>
        </is>
      </c>
      <c r="O579" s="18" t="inlineStr">
        <is>
          <t>Classical Chinese (文言文)</t>
        </is>
      </c>
      <c r="P579" s="18" t="inlineStr">
        <is>
          <t>Muôn vật sinh từ cái có; cái có lại được nói là sinh từ cái không.</t>
        </is>
      </c>
      <c r="Q579" s="18" t="inlineStr">
        <is>
          <t>Laozi / 老子</t>
        </is>
      </c>
      <c r="R579" s="18" t="inlineStr">
        <is>
          <t>Taoism</t>
        </is>
      </c>
      <c r="S579" s="18" t="inlineStr">
        <is>
          <t>道德經 / Tao Te Ching</t>
        </is>
      </c>
      <c r="T579" s="18" t="inlineStr">
        <is>
          <t>Chapter 40</t>
        </is>
      </c>
      <c r="U579" s="18" t="inlineStr">
        <is>
          <t>https://zh.wikisource.org/zh-hant/%E9%81%93%E5%BE%B7%E7%B6%93_%28%E7%8E%8B%E5%BC%BC%E6%9C%AC%29</t>
        </is>
      </c>
      <c r="V579" s="18" t="inlineStr">
        <is>
          <t>Primary text</t>
        </is>
      </c>
      <c r="W579" s="18" t="inlineStr">
        <is>
          <t>Working translation</t>
        </is>
      </c>
      <c r="X579" s="18" t="inlineStr">
        <is>
          <t>A - Primary source</t>
        </is>
      </c>
      <c r="Y579" s="18" t="inlineStr">
        <is>
          <t>Original Chinese checked against Wang Bi recension; Vietnamese is Selflo working translation, not a published translation.</t>
        </is>
      </c>
      <c r="Z579" s="18" t="inlineStr">
        <is>
          <t>Public domain / likely</t>
        </is>
      </c>
      <c r="AA579" s="18" t="inlineStr">
        <is>
          <t>Ancient source text. Verify jurisdiction/edition before commercial publication.</t>
        </is>
      </c>
      <c r="AB579" s="18" t="inlineStr">
        <is>
          <t>High</t>
        </is>
      </c>
      <c r="AC579" s="18" t="inlineStr">
        <is>
          <t>Links ch11.</t>
        </is>
      </c>
      <c r="AD579" s="18" t="inlineStr">
        <is>
          <t>Needs editorial review</t>
        </is>
      </c>
      <c r="AE579" s="18" t="inlineStr">
        <is>
          <t>Needs semantic dedupe review</t>
        </is>
      </c>
      <c r="AF579" s="18" t="n"/>
      <c r="AG579" s="18" t="n"/>
      <c r="AH579" s="18" t="inlineStr">
        <is>
          <t>No</t>
        </is>
      </c>
      <c r="AI579" s="18" t="inlineStr">
        <is>
          <t>Not reviewed</t>
        </is>
      </c>
      <c r="AJ579" s="18" t="inlineStr">
        <is>
          <t>Research only</t>
        </is>
      </c>
      <c r="AK579" s="18" t="inlineStr">
        <is>
          <t>Research Pool</t>
        </is>
      </c>
      <c r="AL579" s="18" t="n">
        <v>2</v>
      </c>
      <c r="AM579" s="18" t="inlineStr">
        <is>
          <t>ChatGPT research</t>
        </is>
      </c>
      <c r="AN579" s="18" t="inlineStr">
        <is>
          <t>2026-09-18</t>
        </is>
      </c>
      <c r="AO579" s="18" t="inlineStr">
        <is>
          <t>Day 2 full-scope audit, chapters 21–50.</t>
        </is>
      </c>
      <c r="AP579" s="18" t="n"/>
      <c r="AQ579" s="18" t="n"/>
    </row>
    <row r="580">
      <c r="A580" s="18" t="inlineStr">
        <is>
          <t>research.laozi.day2.ch41.079</t>
        </is>
      </c>
      <c r="B580" s="18" t="inlineStr">
        <is>
          <t>Collected</t>
        </is>
      </c>
      <c r="C580" s="18" t="inlineStr">
        <is>
          <t>Nội tâm &amp; hiểu mình</t>
        </is>
      </c>
      <c r="D580" s="18" t="inlineStr">
        <is>
          <t>Day 2 / Laozi 21–50</t>
        </is>
      </c>
      <c r="E580" s="18" t="n"/>
      <c r="F580" s="18" t="inlineStr">
        <is>
          <t>Một thông điệp không tạo cùng phản ứng ở mọi người</t>
        </is>
      </c>
      <c r="G580" s="18" t="inlineStr">
        <is>
          <t>Context</t>
        </is>
      </c>
      <c r="H580" s="18" t="n"/>
      <c r="I580" s="18" t="n"/>
      <c r="J580" s="18" t="n"/>
      <c r="K580" s="18" t="inlineStr">
        <is>
          <t>Recognize</t>
        </is>
      </c>
      <c r="L580" s="18" t="n"/>
      <c r="M580" s="18" t="inlineStr">
        <is>
          <t>Trích đoạn triết học</t>
        </is>
      </c>
      <c r="N580" s="18" t="inlineStr">
        <is>
          <t>上士聞道，勤而行之；中士聞道，若存若亡；下士聞道，大笑之。</t>
        </is>
      </c>
      <c r="O580" s="18" t="inlineStr">
        <is>
          <t>Classical Chinese (文言文)</t>
        </is>
      </c>
      <c r="P580" s="18" t="inlineStr">
        <is>
          <t>Cùng một điều, người khác nhau có thể nghe và đáp lại rất khác nhau.</t>
        </is>
      </c>
      <c r="Q580" s="18" t="inlineStr">
        <is>
          <t>Laozi / 老子</t>
        </is>
      </c>
      <c r="R580" s="18" t="inlineStr">
        <is>
          <t>Taoism</t>
        </is>
      </c>
      <c r="S580" s="18" t="inlineStr">
        <is>
          <t>道德經 / Tao Te Ching</t>
        </is>
      </c>
      <c r="T580" s="18" t="inlineStr">
        <is>
          <t>Chapter 41</t>
        </is>
      </c>
      <c r="U580" s="18" t="inlineStr">
        <is>
          <t>https://zh.wikisource.org/zh-hant/%E9%81%93%E5%BE%B7%E7%B6%93_%28%E7%8E%8B%E5%BC%BC%E6%9C%AC%29</t>
        </is>
      </c>
      <c r="V580" s="18" t="inlineStr">
        <is>
          <t>Primary text</t>
        </is>
      </c>
      <c r="W580" s="18" t="inlineStr">
        <is>
          <t>Working translation</t>
        </is>
      </c>
      <c r="X580" s="18" t="inlineStr">
        <is>
          <t>A - Primary source</t>
        </is>
      </c>
      <c r="Y580" s="18" t="inlineStr">
        <is>
          <t>Original Chinese checked against Wang Bi recension; Vietnamese is Selflo working translation, not a published translation.</t>
        </is>
      </c>
      <c r="Z580" s="18" t="inlineStr">
        <is>
          <t>Public domain / likely</t>
        </is>
      </c>
      <c r="AA580" s="18" t="inlineStr">
        <is>
          <t>Ancient source text. Verify jurisdiction/edition before commercial publication.</t>
        </is>
      </c>
      <c r="AB580" s="18" t="inlineStr">
        <is>
          <t>High</t>
        </is>
      </c>
      <c r="AC580" s="18" t="inlineStr">
        <is>
          <t>Personalization/non-universal.</t>
        </is>
      </c>
      <c r="AD580" s="18" t="inlineStr">
        <is>
          <t>Needs editorial review</t>
        </is>
      </c>
      <c r="AE580" s="18" t="inlineStr">
        <is>
          <t>Needs semantic dedupe review</t>
        </is>
      </c>
      <c r="AF580" s="18" t="n"/>
      <c r="AG580" s="18" t="n"/>
      <c r="AH580" s="18" t="inlineStr">
        <is>
          <t>No</t>
        </is>
      </c>
      <c r="AI580" s="18" t="inlineStr">
        <is>
          <t>Not reviewed</t>
        </is>
      </c>
      <c r="AJ580" s="18" t="inlineStr">
        <is>
          <t>Research only</t>
        </is>
      </c>
      <c r="AK580" s="18" t="inlineStr">
        <is>
          <t>Research Pool</t>
        </is>
      </c>
      <c r="AL580" s="18" t="n">
        <v>2</v>
      </c>
      <c r="AM580" s="18" t="inlineStr">
        <is>
          <t>ChatGPT research</t>
        </is>
      </c>
      <c r="AN580" s="18" t="inlineStr">
        <is>
          <t>2026-09-18</t>
        </is>
      </c>
      <c r="AO580" s="18" t="inlineStr">
        <is>
          <t>Day 2 full-scope audit, chapters 21–50.</t>
        </is>
      </c>
      <c r="AP580" s="18" t="n"/>
      <c r="AQ580" s="18" t="n"/>
    </row>
    <row r="581">
      <c r="A581" s="18" t="inlineStr">
        <is>
          <t>research.laozi.day2.ch41.080</t>
        </is>
      </c>
      <c r="B581" s="18" t="inlineStr">
        <is>
          <t>Collected</t>
        </is>
      </c>
      <c r="C581" s="18" t="inlineStr">
        <is>
          <t>Nội tâm &amp; hiểu mình</t>
        </is>
      </c>
      <c r="D581" s="18" t="inlineStr">
        <is>
          <t>Day 2 / Laozi 21–50</t>
        </is>
      </c>
      <c r="E581" s="18" t="n"/>
      <c r="F581" s="18" t="inlineStr">
        <is>
          <t>Tiến bộ không phải lúc nào trông giống tiến bộ</t>
        </is>
      </c>
      <c r="G581" s="18" t="inlineStr">
        <is>
          <t>Growth</t>
        </is>
      </c>
      <c r="H581" s="18" t="n"/>
      <c r="I581" s="18" t="n"/>
      <c r="J581" s="18" t="n"/>
      <c r="K581" s="18" t="inlineStr">
        <is>
          <t>Reframe</t>
        </is>
      </c>
      <c r="L581" s="18" t="n"/>
      <c r="M581" s="18" t="inlineStr">
        <is>
          <t>Trích đoạn triết học</t>
        </is>
      </c>
      <c r="N581" s="18" t="inlineStr">
        <is>
          <t>明道若昧，進道若退，夷道若纇。</t>
        </is>
      </c>
      <c r="O581" s="18" t="inlineStr">
        <is>
          <t>Classical Chinese (文言文)</t>
        </is>
      </c>
      <c r="P581" s="18" t="inlineStr">
        <is>
          <t>Con đường sáng có lúc trông như tối; tiến có lúc trông như lùi; đường phẳng có lúc trông gồ ghề.</t>
        </is>
      </c>
      <c r="Q581" s="18" t="inlineStr">
        <is>
          <t>Laozi / 老子</t>
        </is>
      </c>
      <c r="R581" s="18" t="inlineStr">
        <is>
          <t>Taoism</t>
        </is>
      </c>
      <c r="S581" s="18" t="inlineStr">
        <is>
          <t>道德經 / Tao Te Ching</t>
        </is>
      </c>
      <c r="T581" s="18" t="inlineStr">
        <is>
          <t>Chapter 41</t>
        </is>
      </c>
      <c r="U581" s="18" t="inlineStr">
        <is>
          <t>https://zh.wikisource.org/zh-hant/%E9%81%93%E5%BE%B7%E7%B6%93_%28%E7%8E%8B%E5%BC%BC%E6%9C%AC%29</t>
        </is>
      </c>
      <c r="V581" s="18" t="inlineStr">
        <is>
          <t>Primary text</t>
        </is>
      </c>
      <c r="W581" s="18" t="inlineStr">
        <is>
          <t>Working translation</t>
        </is>
      </c>
      <c r="X581" s="18" t="inlineStr">
        <is>
          <t>A - Primary source</t>
        </is>
      </c>
      <c r="Y581" s="18" t="inlineStr">
        <is>
          <t>Original Chinese checked against Wang Bi recension; Vietnamese is Selflo working translation, not a published translation.</t>
        </is>
      </c>
      <c r="Z581" s="18" t="inlineStr">
        <is>
          <t>Public domain / likely</t>
        </is>
      </c>
      <c r="AA581" s="18" t="inlineStr">
        <is>
          <t>Ancient source text. Verify jurisdiction/edition before commercial publication.</t>
        </is>
      </c>
      <c r="AB581" s="18" t="inlineStr">
        <is>
          <t>High</t>
        </is>
      </c>
      <c r="AC581" s="18" t="inlineStr">
        <is>
          <t>Very Selflo.</t>
        </is>
      </c>
      <c r="AD581" s="18" t="inlineStr">
        <is>
          <t>Needs editorial review</t>
        </is>
      </c>
      <c r="AE581" s="18" t="inlineStr">
        <is>
          <t>Needs semantic dedupe review</t>
        </is>
      </c>
      <c r="AF581" s="18" t="n"/>
      <c r="AG581" s="18" t="n"/>
      <c r="AH581" s="18" t="inlineStr">
        <is>
          <t>No</t>
        </is>
      </c>
      <c r="AI581" s="18" t="inlineStr">
        <is>
          <t>Not reviewed</t>
        </is>
      </c>
      <c r="AJ581" s="18" t="inlineStr">
        <is>
          <t>Research only</t>
        </is>
      </c>
      <c r="AK581" s="18" t="inlineStr">
        <is>
          <t>Research Pool</t>
        </is>
      </c>
      <c r="AL581" s="18" t="n">
        <v>2</v>
      </c>
      <c r="AM581" s="18" t="inlineStr">
        <is>
          <t>ChatGPT research</t>
        </is>
      </c>
      <c r="AN581" s="18" t="inlineStr">
        <is>
          <t>2026-09-18</t>
        </is>
      </c>
      <c r="AO581" s="18" t="inlineStr">
        <is>
          <t>Day 2 full-scope audit, chapters 21–50.</t>
        </is>
      </c>
      <c r="AP581" s="18" t="n"/>
      <c r="AQ581" s="18" t="n"/>
    </row>
    <row r="582">
      <c r="A582" s="18" t="inlineStr">
        <is>
          <t>research.laozi.day2.ch41.081</t>
        </is>
      </c>
      <c r="B582" s="18" t="inlineStr">
        <is>
          <t>Collected</t>
        </is>
      </c>
      <c r="C582" s="18" t="inlineStr">
        <is>
          <t>Nội tâm &amp; hiểu mình</t>
        </is>
      </c>
      <c r="D582" s="18" t="inlineStr">
        <is>
          <t>Day 2 / Laozi 21–50</t>
        </is>
      </c>
      <c r="E582" s="18" t="n"/>
      <c r="F582" s="18" t="inlineStr">
        <is>
          <t>Bề ngoài không luôn phản ánh chiều sâu</t>
        </is>
      </c>
      <c r="G582" s="18" t="inlineStr">
        <is>
          <t>Self-worth</t>
        </is>
      </c>
      <c r="H582" s="18" t="n"/>
      <c r="I582" s="18" t="n"/>
      <c r="J582" s="18" t="n"/>
      <c r="K582" s="18" t="inlineStr">
        <is>
          <t>Reframe</t>
        </is>
      </c>
      <c r="L582" s="18" t="n"/>
      <c r="M582" s="18" t="inlineStr">
        <is>
          <t>Trích đoạn triết học</t>
        </is>
      </c>
      <c r="N582" s="18" t="inlineStr">
        <is>
          <t>上德若谷，大白若辱，廣德若不足。</t>
        </is>
      </c>
      <c r="O582" s="18" t="inlineStr">
        <is>
          <t>Classical Chinese (文言文)</t>
        </is>
      </c>
      <c r="P582" s="18" t="inlineStr">
        <is>
          <t>Đức lớn có thể trông như thung lũng; cái rất sáng có thể trông như bị hạ; cái rộng có thể trông như còn thiếu.</t>
        </is>
      </c>
      <c r="Q582" s="18" t="inlineStr">
        <is>
          <t>Laozi / 老子</t>
        </is>
      </c>
      <c r="R582" s="18" t="inlineStr">
        <is>
          <t>Taoism</t>
        </is>
      </c>
      <c r="S582" s="18" t="inlineStr">
        <is>
          <t>道德經 / Tao Te Ching</t>
        </is>
      </c>
      <c r="T582" s="18" t="inlineStr">
        <is>
          <t>Chapter 41</t>
        </is>
      </c>
      <c r="U582" s="18" t="inlineStr">
        <is>
          <t>https://zh.wikisource.org/zh-hant/%E9%81%93%E5%BE%B7%E7%B6%93_%28%E7%8E%8B%E5%BC%BC%E6%9C%AC%29</t>
        </is>
      </c>
      <c r="V582" s="18" t="inlineStr">
        <is>
          <t>Primary text</t>
        </is>
      </c>
      <c r="W582" s="18" t="inlineStr">
        <is>
          <t>Working translation</t>
        </is>
      </c>
      <c r="X582" s="18" t="inlineStr">
        <is>
          <t>A - Primary source</t>
        </is>
      </c>
      <c r="Y582" s="18" t="inlineStr">
        <is>
          <t>Original Chinese checked against Wang Bi recension; Vietnamese is Selflo working translation, not a published translation.</t>
        </is>
      </c>
      <c r="Z582" s="18" t="inlineStr">
        <is>
          <t>Public domain / likely</t>
        </is>
      </c>
      <c r="AA582" s="18" t="inlineStr">
        <is>
          <t>Ancient source text. Verify jurisdiction/edition before commercial publication.</t>
        </is>
      </c>
      <c r="AB582" s="18" t="inlineStr">
        <is>
          <t>High</t>
        </is>
      </c>
      <c r="AC582" s="18" t="inlineStr">
        <is>
          <t>Strong.</t>
        </is>
      </c>
      <c r="AD582" s="18" t="inlineStr">
        <is>
          <t>Needs editorial review</t>
        </is>
      </c>
      <c r="AE582" s="18" t="inlineStr">
        <is>
          <t>Needs semantic dedupe review</t>
        </is>
      </c>
      <c r="AF582" s="18" t="n"/>
      <c r="AG582" s="18" t="n"/>
      <c r="AH582" s="18" t="inlineStr">
        <is>
          <t>No</t>
        </is>
      </c>
      <c r="AI582" s="18" t="inlineStr">
        <is>
          <t>Not reviewed</t>
        </is>
      </c>
      <c r="AJ582" s="18" t="inlineStr">
        <is>
          <t>Research only</t>
        </is>
      </c>
      <c r="AK582" s="18" t="inlineStr">
        <is>
          <t>Research Pool</t>
        </is>
      </c>
      <c r="AL582" s="18" t="n">
        <v>2</v>
      </c>
      <c r="AM582" s="18" t="inlineStr">
        <is>
          <t>ChatGPT research</t>
        </is>
      </c>
      <c r="AN582" s="18" t="inlineStr">
        <is>
          <t>2026-09-18</t>
        </is>
      </c>
      <c r="AO582" s="18" t="inlineStr">
        <is>
          <t>Day 2 full-scope audit, chapters 21–50.</t>
        </is>
      </c>
      <c r="AP582" s="18" t="n"/>
      <c r="AQ582" s="18" t="n"/>
    </row>
    <row r="583">
      <c r="A583" s="18" t="inlineStr">
        <is>
          <t>research.laozi.day2.ch41.082</t>
        </is>
      </c>
      <c r="B583" s="18" t="inlineStr">
        <is>
          <t>Collected</t>
        </is>
      </c>
      <c r="C583" s="18" t="inlineStr">
        <is>
          <t>Nội tâm &amp; hiểu mình</t>
        </is>
      </c>
      <c r="D583" s="18" t="inlineStr">
        <is>
          <t>Day 2 / Laozi 21–50</t>
        </is>
      </c>
      <c r="E583" s="18" t="n"/>
      <c r="F583" s="18" t="inlineStr">
        <is>
          <t>Điều lớn có thể cần thời gian và không phô bày rõ</t>
        </is>
      </c>
      <c r="G583" s="18" t="inlineStr">
        <is>
          <t>Patience</t>
        </is>
      </c>
      <c r="H583" s="18" t="n"/>
      <c r="I583" s="18" t="n"/>
      <c r="J583" s="18" t="n"/>
      <c r="K583" s="18" t="inlineStr">
        <is>
          <t>Permit</t>
        </is>
      </c>
      <c r="L583" s="18" t="n"/>
      <c r="M583" s="18" t="inlineStr">
        <is>
          <t>Trích đoạn triết học</t>
        </is>
      </c>
      <c r="N583" s="18" t="inlineStr">
        <is>
          <t>大方無隅，大器晚成，大音希聲，大象無形。</t>
        </is>
      </c>
      <c r="O583" s="18" t="inlineStr">
        <is>
          <t>Classical Chinese (文言文)</t>
        </is>
      </c>
      <c r="P583" s="18" t="inlineStr">
        <is>
          <t>Hình lớn không bị giới hạn bởi góc; vật lớn thành muộn; âm lớn nghe như ít tiếng; hình lớn như không hình.</t>
        </is>
      </c>
      <c r="Q583" s="18" t="inlineStr">
        <is>
          <t>Laozi / 老子</t>
        </is>
      </c>
      <c r="R583" s="18" t="inlineStr">
        <is>
          <t>Taoism</t>
        </is>
      </c>
      <c r="S583" s="18" t="inlineStr">
        <is>
          <t>道德經 / Tao Te Ching</t>
        </is>
      </c>
      <c r="T583" s="18" t="inlineStr">
        <is>
          <t>Chapter 41</t>
        </is>
      </c>
      <c r="U583" s="18" t="inlineStr">
        <is>
          <t>https://zh.wikisource.org/zh-hant/%E9%81%93%E5%BE%B7%E7%B6%93_%28%E7%8E%8B%E5%BC%BC%E6%9C%AC%29</t>
        </is>
      </c>
      <c r="V583" s="18" t="inlineStr">
        <is>
          <t>Primary text</t>
        </is>
      </c>
      <c r="W583" s="18" t="inlineStr">
        <is>
          <t>Working translation</t>
        </is>
      </c>
      <c r="X583" s="18" t="inlineStr">
        <is>
          <t>A - Primary source</t>
        </is>
      </c>
      <c r="Y583" s="18" t="inlineStr">
        <is>
          <t>Original Chinese checked against Wang Bi recension; Vietnamese is Selflo working translation, not a published translation.</t>
        </is>
      </c>
      <c r="Z583" s="18" t="inlineStr">
        <is>
          <t>Public domain / likely</t>
        </is>
      </c>
      <c r="AA583" s="18" t="inlineStr">
        <is>
          <t>Ancient source text. Verify jurisdiction/edition before commercial publication.</t>
        </is>
      </c>
      <c r="AB583" s="18" t="inlineStr">
        <is>
          <t>High</t>
        </is>
      </c>
      <c r="AC583" s="18" t="inlineStr">
        <is>
          <t>大器晚成 textual variant famous; keep source.</t>
        </is>
      </c>
      <c r="AD583" s="18" t="inlineStr">
        <is>
          <t>Needs editorial review</t>
        </is>
      </c>
      <c r="AE583" s="18" t="inlineStr">
        <is>
          <t>Needs semantic dedupe review</t>
        </is>
      </c>
      <c r="AF583" s="18" t="n"/>
      <c r="AG583" s="18" t="n"/>
      <c r="AH583" s="18" t="inlineStr">
        <is>
          <t>No</t>
        </is>
      </c>
      <c r="AI583" s="18" t="inlineStr">
        <is>
          <t>Not reviewed</t>
        </is>
      </c>
      <c r="AJ583" s="18" t="inlineStr">
        <is>
          <t>Research only</t>
        </is>
      </c>
      <c r="AK583" s="18" t="inlineStr">
        <is>
          <t>Research Pool</t>
        </is>
      </c>
      <c r="AL583" s="18" t="n">
        <v>2</v>
      </c>
      <c r="AM583" s="18" t="inlineStr">
        <is>
          <t>ChatGPT research</t>
        </is>
      </c>
      <c r="AN583" s="18" t="inlineStr">
        <is>
          <t>2026-09-18</t>
        </is>
      </c>
      <c r="AO583" s="18" t="inlineStr">
        <is>
          <t>Day 2 full-scope audit, chapters 21–50.</t>
        </is>
      </c>
      <c r="AP583" s="18" t="n"/>
      <c r="AQ583" s="18" t="n"/>
    </row>
    <row r="584">
      <c r="A584" s="18" t="inlineStr">
        <is>
          <t>research.laozi.day2.ch41.083</t>
        </is>
      </c>
      <c r="B584" s="18" t="inlineStr">
        <is>
          <t>Collected</t>
        </is>
      </c>
      <c r="C584" s="18" t="inlineStr">
        <is>
          <t>Nội tâm &amp; hiểu mình</t>
        </is>
      </c>
      <c r="D584" s="18" t="inlineStr">
        <is>
          <t>Day 2 / Laozi 21–50</t>
        </is>
      </c>
      <c r="E584" s="18" t="n"/>
      <c r="F584" s="18" t="inlineStr">
        <is>
          <t>Hỗ trợ không cần chiếm vị trí trung tâm</t>
        </is>
      </c>
      <c r="G584" s="18" t="inlineStr">
        <is>
          <t>Agency</t>
        </is>
      </c>
      <c r="H584" s="18" t="n"/>
      <c r="I584" s="18" t="n"/>
      <c r="J584" s="18" t="n"/>
      <c r="K584" s="18" t="inlineStr">
        <is>
          <t>Return agency</t>
        </is>
      </c>
      <c r="L584" s="18" t="n"/>
      <c r="M584" s="18" t="inlineStr">
        <is>
          <t>Trích đoạn triết học</t>
        </is>
      </c>
      <c r="N584" s="18" t="inlineStr">
        <is>
          <t>道隱無名。夫唯道，善貸且成。</t>
        </is>
      </c>
      <c r="O584" s="18" t="inlineStr">
        <is>
          <t>Classical Chinese (文言文)</t>
        </is>
      </c>
      <c r="P584" s="18" t="inlineStr">
        <is>
          <t>Đạo ẩn và không tên; chính vì vậy nó có thể nâng đỡ sự thành hình mà không chiếm tên.</t>
        </is>
      </c>
      <c r="Q584" s="18" t="inlineStr">
        <is>
          <t>Laozi / 老子</t>
        </is>
      </c>
      <c r="R584" s="18" t="inlineStr">
        <is>
          <t>Taoism</t>
        </is>
      </c>
      <c r="S584" s="18" t="inlineStr">
        <is>
          <t>道德經 / Tao Te Ching</t>
        </is>
      </c>
      <c r="T584" s="18" t="inlineStr">
        <is>
          <t>Chapter 41</t>
        </is>
      </c>
      <c r="U584" s="18" t="inlineStr">
        <is>
          <t>https://zh.wikisource.org/zh-hant/%E9%81%93%E5%BE%B7%E7%B6%93_%28%E7%8E%8B%E5%BC%BC%E6%9C%AC%29</t>
        </is>
      </c>
      <c r="V584" s="18" t="inlineStr">
        <is>
          <t>Primary text</t>
        </is>
      </c>
      <c r="W584" s="18" t="inlineStr">
        <is>
          <t>Working translation</t>
        </is>
      </c>
      <c r="X584" s="18" t="inlineStr">
        <is>
          <t>A - Primary source</t>
        </is>
      </c>
      <c r="Y584" s="18" t="inlineStr">
        <is>
          <t>Original Chinese checked against Wang Bi recension; Vietnamese is Selflo working translation, not a published translation.</t>
        </is>
      </c>
      <c r="Z584" s="18" t="inlineStr">
        <is>
          <t>Public domain / likely</t>
        </is>
      </c>
      <c r="AA584" s="18" t="inlineStr">
        <is>
          <t>Ancient source text. Verify jurisdiction/edition before commercial publication.</t>
        </is>
      </c>
      <c r="AB584" s="18" t="inlineStr">
        <is>
          <t>High</t>
        </is>
      </c>
      <c r="AC584" s="18" t="inlineStr">
        <is>
          <t>Core Selflo.</t>
        </is>
      </c>
      <c r="AD584" s="18" t="inlineStr">
        <is>
          <t>Needs editorial review</t>
        </is>
      </c>
      <c r="AE584" s="18" t="inlineStr">
        <is>
          <t>Needs semantic dedupe review</t>
        </is>
      </c>
      <c r="AF584" s="18" t="n"/>
      <c r="AG584" s="18" t="n"/>
      <c r="AH584" s="18" t="inlineStr">
        <is>
          <t>No</t>
        </is>
      </c>
      <c r="AI584" s="18" t="inlineStr">
        <is>
          <t>Not reviewed</t>
        </is>
      </c>
      <c r="AJ584" s="18" t="inlineStr">
        <is>
          <t>Research only</t>
        </is>
      </c>
      <c r="AK584" s="18" t="inlineStr">
        <is>
          <t>Research Pool</t>
        </is>
      </c>
      <c r="AL584" s="18" t="n">
        <v>2</v>
      </c>
      <c r="AM584" s="18" t="inlineStr">
        <is>
          <t>ChatGPT research</t>
        </is>
      </c>
      <c r="AN584" s="18" t="inlineStr">
        <is>
          <t>2026-09-18</t>
        </is>
      </c>
      <c r="AO584" s="18" t="inlineStr">
        <is>
          <t>Day 2 full-scope audit, chapters 21–50.</t>
        </is>
      </c>
      <c r="AP584" s="18" t="n"/>
      <c r="AQ584" s="18" t="n"/>
    </row>
    <row r="585">
      <c r="A585" s="18" t="inlineStr">
        <is>
          <t>research.laozi.day2.ch42.084</t>
        </is>
      </c>
      <c r="B585" s="18" t="inlineStr">
        <is>
          <t>Collected</t>
        </is>
      </c>
      <c r="C585" s="18" t="inlineStr">
        <is>
          <t>Nội tâm &amp; hiểu mình</t>
        </is>
      </c>
      <c r="D585" s="18" t="inlineStr">
        <is>
          <t>Day 2 / Laozi 21–50</t>
        </is>
      </c>
      <c r="E585" s="18" t="n"/>
      <c r="F585" s="18" t="inlineStr">
        <is>
          <t>Sự đa dạng có thể phát triển từ những nền đơn giản</t>
        </is>
      </c>
      <c r="G585" s="18" t="inlineStr">
        <is>
          <t>Complexity</t>
        </is>
      </c>
      <c r="H585" s="18" t="n"/>
      <c r="I585" s="18" t="n"/>
      <c r="J585" s="18" t="n"/>
      <c r="K585" s="18" t="inlineStr">
        <is>
          <t>Reframe</t>
        </is>
      </c>
      <c r="L585" s="18" t="n"/>
      <c r="M585" s="18" t="inlineStr">
        <is>
          <t>Trích đoạn triết học</t>
        </is>
      </c>
      <c r="N585" s="18" t="inlineStr">
        <is>
          <t>道生一，一生二，二生三，三生萬物。</t>
        </is>
      </c>
      <c r="O585" s="18" t="inlineStr">
        <is>
          <t>Classical Chinese (文言文)</t>
        </is>
      </c>
      <c r="P585" s="18" t="inlineStr">
        <is>
          <t>Đạo sinh một; một sinh hai; hai sinh ba; ba sinh muôn vật.</t>
        </is>
      </c>
      <c r="Q585" s="18" t="inlineStr">
        <is>
          <t>Laozi / 老子</t>
        </is>
      </c>
      <c r="R585" s="18" t="inlineStr">
        <is>
          <t>Taoism</t>
        </is>
      </c>
      <c r="S585" s="18" t="inlineStr">
        <is>
          <t>道德經 / Tao Te Ching</t>
        </is>
      </c>
      <c r="T585" s="18" t="inlineStr">
        <is>
          <t>Chapter 42</t>
        </is>
      </c>
      <c r="U585" s="18" t="inlineStr">
        <is>
          <t>https://zh.wikisource.org/zh-hant/%E9%81%93%E5%BE%B7%E7%B6%93_%28%E7%8E%8B%E5%BC%BC%E6%9C%AC%29</t>
        </is>
      </c>
      <c r="V585" s="18" t="inlineStr">
        <is>
          <t>Primary text</t>
        </is>
      </c>
      <c r="W585" s="18" t="inlineStr">
        <is>
          <t>Working translation</t>
        </is>
      </c>
      <c r="X585" s="18" t="inlineStr">
        <is>
          <t>A - Primary source</t>
        </is>
      </c>
      <c r="Y585" s="18" t="inlineStr">
        <is>
          <t>Original Chinese checked against Wang Bi recension; Vietnamese is Selflo working translation, not a published translation.</t>
        </is>
      </c>
      <c r="Z585" s="18" t="inlineStr">
        <is>
          <t>Public domain / likely</t>
        </is>
      </c>
      <c r="AA585" s="18" t="inlineStr">
        <is>
          <t>Ancient source text. Verify jurisdiction/edition before commercial publication.</t>
        </is>
      </c>
      <c r="AB585" s="18" t="inlineStr">
        <is>
          <t>Medium</t>
        </is>
      </c>
      <c r="AC585" s="18" t="inlineStr">
        <is>
          <t>Metaphysical.</t>
        </is>
      </c>
      <c r="AD585" s="18" t="inlineStr">
        <is>
          <t>Needs editorial review</t>
        </is>
      </c>
      <c r="AE585" s="18" t="inlineStr">
        <is>
          <t>Needs semantic dedupe review</t>
        </is>
      </c>
      <c r="AF585" s="18" t="n"/>
      <c r="AG585" s="18" t="n"/>
      <c r="AH585" s="18" t="inlineStr">
        <is>
          <t>No</t>
        </is>
      </c>
      <c r="AI585" s="18" t="inlineStr">
        <is>
          <t>Not reviewed</t>
        </is>
      </c>
      <c r="AJ585" s="18" t="inlineStr">
        <is>
          <t>Research only</t>
        </is>
      </c>
      <c r="AK585" s="18" t="inlineStr">
        <is>
          <t>Research Pool</t>
        </is>
      </c>
      <c r="AL585" s="18" t="n">
        <v>2</v>
      </c>
      <c r="AM585" s="18" t="inlineStr">
        <is>
          <t>ChatGPT research</t>
        </is>
      </c>
      <c r="AN585" s="18" t="inlineStr">
        <is>
          <t>2026-09-18</t>
        </is>
      </c>
      <c r="AO585" s="18" t="inlineStr">
        <is>
          <t>Day 2 full-scope audit, chapters 21–50.</t>
        </is>
      </c>
      <c r="AP585" s="18" t="n"/>
      <c r="AQ585" s="18" t="n"/>
    </row>
    <row r="586">
      <c r="A586" s="18" t="inlineStr">
        <is>
          <t>research.laozi.day2.ch42.085</t>
        </is>
      </c>
      <c r="B586" s="18" t="inlineStr">
        <is>
          <t>Collected</t>
        </is>
      </c>
      <c r="C586" s="18" t="inlineStr">
        <is>
          <t>Nội tâm &amp; hiểu mình</t>
        </is>
      </c>
      <c r="D586" s="18" t="inlineStr">
        <is>
          <t>Day 2 / Laozi 21–50</t>
        </is>
      </c>
      <c r="E586" s="18" t="n"/>
      <c r="F586" s="18" t="inlineStr">
        <is>
          <t>Hai phía đối lập có thể cùng nằm trong một thể</t>
        </is>
      </c>
      <c r="G586" s="18" t="inlineStr">
        <is>
          <t>Acceptance</t>
        </is>
      </c>
      <c r="H586" s="18" t="n"/>
      <c r="I586" s="18" t="n"/>
      <c r="J586" s="18" t="n"/>
      <c r="K586" s="18" t="inlineStr">
        <is>
          <t>Distinguish</t>
        </is>
      </c>
      <c r="L586" s="18" t="n"/>
      <c r="M586" s="18" t="inlineStr">
        <is>
          <t>Trích đoạn triết học</t>
        </is>
      </c>
      <c r="N586" s="18" t="inlineStr">
        <is>
          <t>萬物負陰而抱陽，沖氣以為和。</t>
        </is>
      </c>
      <c r="O586" s="18" t="inlineStr">
        <is>
          <t>Classical Chinese (文言文)</t>
        </is>
      </c>
      <c r="P586" s="18" t="inlineStr">
        <is>
          <t>Muôn vật mang âm và ôm dương; sự hòa được tạo trong quan hệ giữa hai phía.</t>
        </is>
      </c>
      <c r="Q586" s="18" t="inlineStr">
        <is>
          <t>Laozi / 老子</t>
        </is>
      </c>
      <c r="R586" s="18" t="inlineStr">
        <is>
          <t>Taoism</t>
        </is>
      </c>
      <c r="S586" s="18" t="inlineStr">
        <is>
          <t>道德經 / Tao Te Ching</t>
        </is>
      </c>
      <c r="T586" s="18" t="inlineStr">
        <is>
          <t>Chapter 42</t>
        </is>
      </c>
      <c r="U586" s="18" t="inlineStr">
        <is>
          <t>https://zh.wikisource.org/zh-hant/%E9%81%93%E5%BE%B7%E7%B6%93_%28%E7%8E%8B%E5%BC%BC%E6%9C%AC%29</t>
        </is>
      </c>
      <c r="V586" s="18" t="inlineStr">
        <is>
          <t>Primary text</t>
        </is>
      </c>
      <c r="W586" s="18" t="inlineStr">
        <is>
          <t>Working translation</t>
        </is>
      </c>
      <c r="X586" s="18" t="inlineStr">
        <is>
          <t>A - Primary source</t>
        </is>
      </c>
      <c r="Y586" s="18" t="inlineStr">
        <is>
          <t>Original Chinese checked against Wang Bi recension; Vietnamese is Selflo working translation, not a published translation.</t>
        </is>
      </c>
      <c r="Z586" s="18" t="inlineStr">
        <is>
          <t>Public domain / likely</t>
        </is>
      </c>
      <c r="AA586" s="18" t="inlineStr">
        <is>
          <t>Ancient source text. Verify jurisdiction/edition before commercial publication.</t>
        </is>
      </c>
      <c r="AB586" s="18" t="inlineStr">
        <is>
          <t>High</t>
        </is>
      </c>
      <c r="AC586" s="18" t="inlineStr">
        <is>
          <t>Directly relevant yin-yang.</t>
        </is>
      </c>
      <c r="AD586" s="18" t="inlineStr">
        <is>
          <t>Needs editorial review</t>
        </is>
      </c>
      <c r="AE586" s="18" t="inlineStr">
        <is>
          <t>Needs semantic dedupe review</t>
        </is>
      </c>
      <c r="AF586" s="18" t="n"/>
      <c r="AG586" s="18" t="n"/>
      <c r="AH586" s="18" t="inlineStr">
        <is>
          <t>No</t>
        </is>
      </c>
      <c r="AI586" s="18" t="inlineStr">
        <is>
          <t>Not reviewed</t>
        </is>
      </c>
      <c r="AJ586" s="18" t="inlineStr">
        <is>
          <t>Research only</t>
        </is>
      </c>
      <c r="AK586" s="18" t="inlineStr">
        <is>
          <t>Research Pool</t>
        </is>
      </c>
      <c r="AL586" s="18" t="n">
        <v>2</v>
      </c>
      <c r="AM586" s="18" t="inlineStr">
        <is>
          <t>ChatGPT research</t>
        </is>
      </c>
      <c r="AN586" s="18" t="inlineStr">
        <is>
          <t>2026-09-18</t>
        </is>
      </c>
      <c r="AO586" s="18" t="inlineStr">
        <is>
          <t>Day 2 full-scope audit, chapters 21–50.</t>
        </is>
      </c>
      <c r="AP586" s="18" t="n"/>
      <c r="AQ586" s="18" t="n"/>
    </row>
    <row r="587">
      <c r="A587" s="18" t="inlineStr">
        <is>
          <t>research.laozi.day2.ch42.086</t>
        </is>
      </c>
      <c r="B587" s="18" t="inlineStr">
        <is>
          <t>Collected</t>
        </is>
      </c>
      <c r="C587" s="18" t="inlineStr">
        <is>
          <t>Nội tâm &amp; hiểu mình</t>
        </is>
      </c>
      <c r="D587" s="18" t="inlineStr">
        <is>
          <t>Day 2 / Laozi 21–50</t>
        </is>
      </c>
      <c r="E587" s="18" t="n"/>
      <c r="F587" s="18" t="inlineStr">
        <is>
          <t>Điều bị xem là thấp có thể mang chức năng khác trong bối cảnh khác</t>
        </is>
      </c>
      <c r="G587" s="18" t="inlineStr">
        <is>
          <t>Context</t>
        </is>
      </c>
      <c r="H587" s="18" t="n"/>
      <c r="I587" s="18" t="n"/>
      <c r="J587" s="18" t="n"/>
      <c r="K587" s="18" t="inlineStr">
        <is>
          <t>Reframe</t>
        </is>
      </c>
      <c r="L587" s="18" t="n"/>
      <c r="M587" s="18" t="inlineStr">
        <is>
          <t>Trích đoạn triết học</t>
        </is>
      </c>
      <c r="N587" s="18" t="inlineStr">
        <is>
          <t>人之所惡，唯孤寡不穀，而王公以為稱。</t>
        </is>
      </c>
      <c r="O587" s="18" t="inlineStr">
        <is>
          <t>Classical Chinese (文言文)</t>
        </is>
      </c>
      <c r="P587" s="18" t="inlineStr">
        <is>
          <t>Những danh xưng người ta không muốn lại từng được bậc vua chúa dùng để tự gọi mình.</t>
        </is>
      </c>
      <c r="Q587" s="18" t="inlineStr">
        <is>
          <t>Laozi / 老子</t>
        </is>
      </c>
      <c r="R587" s="18" t="inlineStr">
        <is>
          <t>Taoism</t>
        </is>
      </c>
      <c r="S587" s="18" t="inlineStr">
        <is>
          <t>道德經 / Tao Te Ching</t>
        </is>
      </c>
      <c r="T587" s="18" t="inlineStr">
        <is>
          <t>Chapter 42</t>
        </is>
      </c>
      <c r="U587" s="18" t="inlineStr">
        <is>
          <t>https://zh.wikisource.org/zh-hant/%E9%81%93%E5%BE%B7%E7%B6%93_%28%E7%8E%8B%E5%BC%BC%E6%9C%AC%29</t>
        </is>
      </c>
      <c r="V587" s="18" t="inlineStr">
        <is>
          <t>Primary text</t>
        </is>
      </c>
      <c r="W587" s="18" t="inlineStr">
        <is>
          <t>Working translation</t>
        </is>
      </c>
      <c r="X587" s="18" t="inlineStr">
        <is>
          <t>A - Primary source</t>
        </is>
      </c>
      <c r="Y587" s="18" t="inlineStr">
        <is>
          <t>Original Chinese checked against Wang Bi recension; Vietnamese is Selflo working translation, not a published translation.</t>
        </is>
      </c>
      <c r="Z587" s="18" t="inlineStr">
        <is>
          <t>Public domain / likely</t>
        </is>
      </c>
      <c r="AA587" s="18" t="inlineStr">
        <is>
          <t>Ancient source text. Verify jurisdiction/edition before commercial publication.</t>
        </is>
      </c>
      <c r="AB587" s="18" t="inlineStr">
        <is>
          <t>Medium</t>
        </is>
      </c>
      <c r="AC587" s="18" t="inlineStr">
        <is>
          <t>Historical context.</t>
        </is>
      </c>
      <c r="AD587" s="18" t="inlineStr">
        <is>
          <t>Needs editorial review</t>
        </is>
      </c>
      <c r="AE587" s="18" t="inlineStr">
        <is>
          <t>Needs semantic dedupe review</t>
        </is>
      </c>
      <c r="AF587" s="18" t="n"/>
      <c r="AG587" s="18" t="n"/>
      <c r="AH587" s="18" t="inlineStr">
        <is>
          <t>No</t>
        </is>
      </c>
      <c r="AI587" s="18" t="inlineStr">
        <is>
          <t>Not reviewed</t>
        </is>
      </c>
      <c r="AJ587" s="18" t="inlineStr">
        <is>
          <t>Research only</t>
        </is>
      </c>
      <c r="AK587" s="18" t="inlineStr">
        <is>
          <t>Research Pool</t>
        </is>
      </c>
      <c r="AL587" s="18" t="n">
        <v>2</v>
      </c>
      <c r="AM587" s="18" t="inlineStr">
        <is>
          <t>ChatGPT research</t>
        </is>
      </c>
      <c r="AN587" s="18" t="inlineStr">
        <is>
          <t>2026-09-18</t>
        </is>
      </c>
      <c r="AO587" s="18" t="inlineStr">
        <is>
          <t>Day 2 full-scope audit, chapters 21–50.</t>
        </is>
      </c>
      <c r="AP587" s="18" t="n"/>
      <c r="AQ587" s="18" t="n"/>
    </row>
    <row r="588">
      <c r="A588" s="18" t="inlineStr">
        <is>
          <t>research.laozi.day2.ch42.087</t>
        </is>
      </c>
      <c r="B588" s="18" t="inlineStr">
        <is>
          <t>Collected</t>
        </is>
      </c>
      <c r="C588" s="18" t="inlineStr">
        <is>
          <t>Nội tâm &amp; hiểu mình</t>
        </is>
      </c>
      <c r="D588" s="18" t="inlineStr">
        <is>
          <t>Day 2 / Laozi 21–50</t>
        </is>
      </c>
      <c r="E588" s="18" t="n"/>
      <c r="F588" s="18" t="inlineStr">
        <is>
          <t>Thêm và bớt không đồng nghĩa đơn giản với tốt và xấu</t>
        </is>
      </c>
      <c r="G588" s="18" t="inlineStr">
        <is>
          <t>Enoughness</t>
        </is>
      </c>
      <c r="H588" s="18" t="n"/>
      <c r="I588" s="18" t="n"/>
      <c r="J588" s="18" t="n"/>
      <c r="K588" s="18" t="inlineStr">
        <is>
          <t>Reframe</t>
        </is>
      </c>
      <c r="L588" s="18" t="n"/>
      <c r="M588" s="18" t="inlineStr">
        <is>
          <t>Trích đoạn triết học</t>
        </is>
      </c>
      <c r="N588" s="18" t="inlineStr">
        <is>
          <t>故物或損之而益，或益之而損。</t>
        </is>
      </c>
      <c r="O588" s="18" t="inlineStr">
        <is>
          <t>Classical Chinese (文言文)</t>
        </is>
      </c>
      <c r="P588" s="18" t="inlineStr">
        <is>
          <t>Có khi bớt lại thành thêm; có khi thêm lại thành bớt.</t>
        </is>
      </c>
      <c r="Q588" s="18" t="inlineStr">
        <is>
          <t>Laozi / 老子</t>
        </is>
      </c>
      <c r="R588" s="18" t="inlineStr">
        <is>
          <t>Taoism</t>
        </is>
      </c>
      <c r="S588" s="18" t="inlineStr">
        <is>
          <t>道德經 / Tao Te Ching</t>
        </is>
      </c>
      <c r="T588" s="18" t="inlineStr">
        <is>
          <t>Chapter 42</t>
        </is>
      </c>
      <c r="U588" s="18" t="inlineStr">
        <is>
          <t>https://zh.wikisource.org/zh-hant/%E9%81%93%E5%BE%B7%E7%B6%93_%28%E7%8E%8B%E5%BC%BC%E6%9C%AC%29</t>
        </is>
      </c>
      <c r="V588" s="18" t="inlineStr">
        <is>
          <t>Primary text</t>
        </is>
      </c>
      <c r="W588" s="18" t="inlineStr">
        <is>
          <t>Working translation</t>
        </is>
      </c>
      <c r="X588" s="18" t="inlineStr">
        <is>
          <t>A - Primary source</t>
        </is>
      </c>
      <c r="Y588" s="18" t="inlineStr">
        <is>
          <t>Original Chinese checked against Wang Bi recension; Vietnamese is Selflo working translation, not a published translation.</t>
        </is>
      </c>
      <c r="Z588" s="18" t="inlineStr">
        <is>
          <t>Public domain / likely</t>
        </is>
      </c>
      <c r="AA588" s="18" t="inlineStr">
        <is>
          <t>Ancient source text. Verify jurisdiction/edition before commercial publication.</t>
        </is>
      </c>
      <c r="AB588" s="18" t="inlineStr">
        <is>
          <t>High</t>
        </is>
      </c>
      <c r="AC588" s="18" t="inlineStr">
        <is>
          <t>Excellent.</t>
        </is>
      </c>
      <c r="AD588" s="18" t="inlineStr">
        <is>
          <t>Needs editorial review</t>
        </is>
      </c>
      <c r="AE588" s="18" t="inlineStr">
        <is>
          <t>Needs semantic dedupe review</t>
        </is>
      </c>
      <c r="AF588" s="18" t="n"/>
      <c r="AG588" s="18" t="n"/>
      <c r="AH588" s="18" t="inlineStr">
        <is>
          <t>No</t>
        </is>
      </c>
      <c r="AI588" s="18" t="inlineStr">
        <is>
          <t>Not reviewed</t>
        </is>
      </c>
      <c r="AJ588" s="18" t="inlineStr">
        <is>
          <t>Research only</t>
        </is>
      </c>
      <c r="AK588" s="18" t="inlineStr">
        <is>
          <t>Research Pool</t>
        </is>
      </c>
      <c r="AL588" s="18" t="n">
        <v>2</v>
      </c>
      <c r="AM588" s="18" t="inlineStr">
        <is>
          <t>ChatGPT research</t>
        </is>
      </c>
      <c r="AN588" s="18" t="inlineStr">
        <is>
          <t>2026-09-18</t>
        </is>
      </c>
      <c r="AO588" s="18" t="inlineStr">
        <is>
          <t>Day 2 full-scope audit, chapters 21–50.</t>
        </is>
      </c>
      <c r="AP588" s="18" t="n"/>
      <c r="AQ588" s="18" t="n"/>
    </row>
    <row r="589">
      <c r="A589" s="18" t="inlineStr">
        <is>
          <t>research.laozi.day2.ch42.088</t>
        </is>
      </c>
      <c r="B589" s="18" t="inlineStr">
        <is>
          <t>Collected</t>
        </is>
      </c>
      <c r="C589" s="18" t="inlineStr">
        <is>
          <t>Nội tâm &amp; hiểu mình</t>
        </is>
      </c>
      <c r="D589" s="18" t="inlineStr">
        <is>
          <t>Day 2 / Laozi 21–50</t>
        </is>
      </c>
      <c r="E589" s="18" t="n"/>
      <c r="F589" s="18" t="inlineStr">
        <is>
          <t>Sức ép không phải nền bền vững</t>
        </is>
      </c>
      <c r="G589" s="18" t="inlineStr">
        <is>
          <t>Strength</t>
        </is>
      </c>
      <c r="H589" s="18" t="n"/>
      <c r="I589" s="18" t="n"/>
      <c r="J589" s="18" t="n"/>
      <c r="K589" s="18" t="inlineStr">
        <is>
          <t>Distinguish</t>
        </is>
      </c>
      <c r="L589" s="18" t="n"/>
      <c r="M589" s="18" t="inlineStr">
        <is>
          <t>Trích đoạn triết học</t>
        </is>
      </c>
      <c r="N589" s="18" t="inlineStr">
        <is>
          <t>強梁者不得其死。</t>
        </is>
      </c>
      <c r="O589" s="18" t="inlineStr">
        <is>
          <t>Classical Chinese (文言文)</t>
        </is>
      </c>
      <c r="P589" s="18" t="inlineStr">
        <is>
          <t>Kẻ chỉ dựa vào cường bạo khó đi đến kết cục lành.</t>
        </is>
      </c>
      <c r="Q589" s="18" t="inlineStr">
        <is>
          <t>Laozi / 老子</t>
        </is>
      </c>
      <c r="R589" s="18" t="inlineStr">
        <is>
          <t>Taoism</t>
        </is>
      </c>
      <c r="S589" s="18" t="inlineStr">
        <is>
          <t>道德經 / Tao Te Ching</t>
        </is>
      </c>
      <c r="T589" s="18" t="inlineStr">
        <is>
          <t>Chapter 42</t>
        </is>
      </c>
      <c r="U589" s="18" t="inlineStr">
        <is>
          <t>https://zh.wikisource.org/zh-hant/%E9%81%93%E5%BE%B7%E7%B6%93_%28%E7%8E%8B%E5%BC%BC%E6%9C%AC%29</t>
        </is>
      </c>
      <c r="V589" s="18" t="inlineStr">
        <is>
          <t>Primary text</t>
        </is>
      </c>
      <c r="W589" s="18" t="inlineStr">
        <is>
          <t>Working translation</t>
        </is>
      </c>
      <c r="X589" s="18" t="inlineStr">
        <is>
          <t>A - Primary source</t>
        </is>
      </c>
      <c r="Y589" s="18" t="inlineStr">
        <is>
          <t>Original Chinese checked against Wang Bi recension; Vietnamese is Selflo working translation, not a published translation.</t>
        </is>
      </c>
      <c r="Z589" s="18" t="inlineStr">
        <is>
          <t>Public domain / likely</t>
        </is>
      </c>
      <c r="AA589" s="18" t="inlineStr">
        <is>
          <t>Ancient source text. Verify jurisdiction/edition before commercial publication.</t>
        </is>
      </c>
      <c r="AB589" s="18" t="inlineStr">
        <is>
          <t>Medium</t>
        </is>
      </c>
      <c r="AC589" s="18" t="inlineStr">
        <is>
          <t>Harsh/moral.</t>
        </is>
      </c>
      <c r="AD589" s="18" t="inlineStr">
        <is>
          <t>Needs editorial review</t>
        </is>
      </c>
      <c r="AE589" s="18" t="inlineStr">
        <is>
          <t>Needs semantic dedupe review</t>
        </is>
      </c>
      <c r="AF589" s="18" t="n"/>
      <c r="AG589" s="18" t="n"/>
      <c r="AH589" s="18" t="inlineStr">
        <is>
          <t>No</t>
        </is>
      </c>
      <c r="AI589" s="18" t="inlineStr">
        <is>
          <t>Not reviewed</t>
        </is>
      </c>
      <c r="AJ589" s="18" t="inlineStr">
        <is>
          <t>Research only</t>
        </is>
      </c>
      <c r="AK589" s="18" t="inlineStr">
        <is>
          <t>Research Pool</t>
        </is>
      </c>
      <c r="AL589" s="18" t="n">
        <v>2</v>
      </c>
      <c r="AM589" s="18" t="inlineStr">
        <is>
          <t>ChatGPT research</t>
        </is>
      </c>
      <c r="AN589" s="18" t="inlineStr">
        <is>
          <t>2026-09-18</t>
        </is>
      </c>
      <c r="AO589" s="18" t="inlineStr">
        <is>
          <t>Day 2 full-scope audit, chapters 21–50.</t>
        </is>
      </c>
      <c r="AP589" s="18" t="n"/>
      <c r="AQ589" s="18" t="n"/>
    </row>
    <row r="590">
      <c r="A590" s="18" t="inlineStr">
        <is>
          <t>research.laozi.day2.ch43.089</t>
        </is>
      </c>
      <c r="B590" s="18" t="inlineStr">
        <is>
          <t>Collected</t>
        </is>
      </c>
      <c r="C590" s="18" t="inlineStr">
        <is>
          <t>Nội tâm &amp; hiểu mình</t>
        </is>
      </c>
      <c r="D590" s="18" t="inlineStr">
        <is>
          <t>Day 2 / Laozi 21–50</t>
        </is>
      </c>
      <c r="E590" s="18" t="n"/>
      <c r="F590" s="18" t="inlineStr">
        <is>
          <t>Mềm có thể là một dạng sức mạnh</t>
        </is>
      </c>
      <c r="G590" s="18" t="inlineStr">
        <is>
          <t>Strength</t>
        </is>
      </c>
      <c r="H590" s="18" t="n"/>
      <c r="I590" s="18" t="n"/>
      <c r="J590" s="18" t="n"/>
      <c r="K590" s="18" t="inlineStr">
        <is>
          <t>Reframe</t>
        </is>
      </c>
      <c r="L590" s="18" t="n"/>
      <c r="M590" s="18" t="inlineStr">
        <is>
          <t>Trích đoạn triết học</t>
        </is>
      </c>
      <c r="N590" s="18" t="inlineStr">
        <is>
          <t>天下之至柔，馳騁天下之至堅。</t>
        </is>
      </c>
      <c r="O590" s="18" t="inlineStr">
        <is>
          <t>Classical Chinese (文言文)</t>
        </is>
      </c>
      <c r="P590" s="18" t="inlineStr">
        <is>
          <t>Thứ mềm nhất có thể đi xuyên qua thứ cứng nhất.</t>
        </is>
      </c>
      <c r="Q590" s="18" t="inlineStr">
        <is>
          <t>Laozi / 老子</t>
        </is>
      </c>
      <c r="R590" s="18" t="inlineStr">
        <is>
          <t>Taoism</t>
        </is>
      </c>
      <c r="S590" s="18" t="inlineStr">
        <is>
          <t>道德經 / Tao Te Ching</t>
        </is>
      </c>
      <c r="T590" s="18" t="inlineStr">
        <is>
          <t>Chapter 43</t>
        </is>
      </c>
      <c r="U590" s="18" t="inlineStr">
        <is>
          <t>https://zh.wikisource.org/zh-hant/%E9%81%93%E5%BE%B7%E7%B6%93_%28%E7%8E%8B%E5%BC%BC%E6%9C%AC%29</t>
        </is>
      </c>
      <c r="V590" s="18" t="inlineStr">
        <is>
          <t>Primary text</t>
        </is>
      </c>
      <c r="W590" s="18" t="inlineStr">
        <is>
          <t>Working translation</t>
        </is>
      </c>
      <c r="X590" s="18" t="inlineStr">
        <is>
          <t>A - Primary source</t>
        </is>
      </c>
      <c r="Y590" s="18" t="inlineStr">
        <is>
          <t>Original Chinese checked against Wang Bi recension; Vietnamese is Selflo working translation, not a published translation.</t>
        </is>
      </c>
      <c r="Z590" s="18" t="inlineStr">
        <is>
          <t>Public domain / likely</t>
        </is>
      </c>
      <c r="AA590" s="18" t="inlineStr">
        <is>
          <t>Ancient source text. Verify jurisdiction/edition before commercial publication.</t>
        </is>
      </c>
      <c r="AB590" s="18" t="inlineStr">
        <is>
          <t>High</t>
        </is>
      </c>
      <c r="AC590" s="18" t="inlineStr">
        <is>
          <t>Strong.</t>
        </is>
      </c>
      <c r="AD590" s="18" t="inlineStr">
        <is>
          <t>Needs editorial review</t>
        </is>
      </c>
      <c r="AE590" s="18" t="inlineStr">
        <is>
          <t>Needs semantic dedupe review</t>
        </is>
      </c>
      <c r="AF590" s="18" t="n"/>
      <c r="AG590" s="18" t="n"/>
      <c r="AH590" s="18" t="inlineStr">
        <is>
          <t>No</t>
        </is>
      </c>
      <c r="AI590" s="18" t="inlineStr">
        <is>
          <t>Not reviewed</t>
        </is>
      </c>
      <c r="AJ590" s="18" t="inlineStr">
        <is>
          <t>Research only</t>
        </is>
      </c>
      <c r="AK590" s="18" t="inlineStr">
        <is>
          <t>Research Pool</t>
        </is>
      </c>
      <c r="AL590" s="18" t="n">
        <v>2</v>
      </c>
      <c r="AM590" s="18" t="inlineStr">
        <is>
          <t>ChatGPT research</t>
        </is>
      </c>
      <c r="AN590" s="18" t="inlineStr">
        <is>
          <t>2026-09-18</t>
        </is>
      </c>
      <c r="AO590" s="18" t="inlineStr">
        <is>
          <t>Day 2 full-scope audit, chapters 21–50.</t>
        </is>
      </c>
      <c r="AP590" s="18" t="n"/>
      <c r="AQ590" s="18" t="n"/>
    </row>
    <row r="591">
      <c r="A591" s="18" t="inlineStr">
        <is>
          <t>research.laozi.day2.ch43.090</t>
        </is>
      </c>
      <c r="B591" s="18" t="inlineStr">
        <is>
          <t>Collected</t>
        </is>
      </c>
      <c r="C591" s="18" t="inlineStr">
        <is>
          <t>Nội tâm &amp; hiểu mình</t>
        </is>
      </c>
      <c r="D591" s="18" t="inlineStr">
        <is>
          <t>Day 2 / Laozi 21–50</t>
        </is>
      </c>
      <c r="E591" s="18" t="n"/>
      <c r="F591" s="18" t="inlineStr">
        <is>
          <t>Ảnh hưởng không phải lúc nào cũng đến từ lực trực tiếp</t>
        </is>
      </c>
      <c r="G591" s="18" t="inlineStr">
        <is>
          <t>Influence</t>
        </is>
      </c>
      <c r="H591" s="18" t="n"/>
      <c r="I591" s="18" t="n"/>
      <c r="J591" s="18" t="n"/>
      <c r="K591" s="18" t="inlineStr">
        <is>
          <t>Reframe</t>
        </is>
      </c>
      <c r="L591" s="18" t="n"/>
      <c r="M591" s="18" t="inlineStr">
        <is>
          <t>Trích đoạn triết học</t>
        </is>
      </c>
      <c r="N591" s="18" t="inlineStr">
        <is>
          <t>無有入無間。</t>
        </is>
      </c>
      <c r="O591" s="18" t="inlineStr">
        <is>
          <t>Classical Chinese (文言文)</t>
        </is>
      </c>
      <c r="P591" s="18" t="inlineStr">
        <is>
          <t>Cái không hình có thể đi vào nơi tưởng như không có khe.</t>
        </is>
      </c>
      <c r="Q591" s="18" t="inlineStr">
        <is>
          <t>Laozi / 老子</t>
        </is>
      </c>
      <c r="R591" s="18" t="inlineStr">
        <is>
          <t>Taoism</t>
        </is>
      </c>
      <c r="S591" s="18" t="inlineStr">
        <is>
          <t>道德經 / Tao Te Ching</t>
        </is>
      </c>
      <c r="T591" s="18" t="inlineStr">
        <is>
          <t>Chapter 43</t>
        </is>
      </c>
      <c r="U591" s="18" t="inlineStr">
        <is>
          <t>https://zh.wikisource.org/zh-hant/%E9%81%93%E5%BE%B7%E7%B6%93_%28%E7%8E%8B%E5%BC%BC%E6%9C%AC%29</t>
        </is>
      </c>
      <c r="V591" s="18" t="inlineStr">
        <is>
          <t>Primary text</t>
        </is>
      </c>
      <c r="W591" s="18" t="inlineStr">
        <is>
          <t>Working translation</t>
        </is>
      </c>
      <c r="X591" s="18" t="inlineStr">
        <is>
          <t>A - Primary source</t>
        </is>
      </c>
      <c r="Y591" s="18" t="inlineStr">
        <is>
          <t>Original Chinese checked against Wang Bi recension; Vietnamese is Selflo working translation, not a published translation.</t>
        </is>
      </c>
      <c r="Z591" s="18" t="inlineStr">
        <is>
          <t>Public domain / likely</t>
        </is>
      </c>
      <c r="AA591" s="18" t="inlineStr">
        <is>
          <t>Ancient source text. Verify jurisdiction/edition before commercial publication.</t>
        </is>
      </c>
      <c r="AB591" s="18" t="inlineStr">
        <is>
          <t>Medium</t>
        </is>
      </c>
      <c r="AC591" s="18" t="inlineStr">
        <is>
          <t>Metaphysical.</t>
        </is>
      </c>
      <c r="AD591" s="18" t="inlineStr">
        <is>
          <t>Needs editorial review</t>
        </is>
      </c>
      <c r="AE591" s="18" t="inlineStr">
        <is>
          <t>Needs semantic dedupe review</t>
        </is>
      </c>
      <c r="AF591" s="18" t="n"/>
      <c r="AG591" s="18" t="n"/>
      <c r="AH591" s="18" t="inlineStr">
        <is>
          <t>No</t>
        </is>
      </c>
      <c r="AI591" s="18" t="inlineStr">
        <is>
          <t>Not reviewed</t>
        </is>
      </c>
      <c r="AJ591" s="18" t="inlineStr">
        <is>
          <t>Research only</t>
        </is>
      </c>
      <c r="AK591" s="18" t="inlineStr">
        <is>
          <t>Research Pool</t>
        </is>
      </c>
      <c r="AL591" s="18" t="n">
        <v>2</v>
      </c>
      <c r="AM591" s="18" t="inlineStr">
        <is>
          <t>ChatGPT research</t>
        </is>
      </c>
      <c r="AN591" s="18" t="inlineStr">
        <is>
          <t>2026-09-18</t>
        </is>
      </c>
      <c r="AO591" s="18" t="inlineStr">
        <is>
          <t>Day 2 full-scope audit, chapters 21–50.</t>
        </is>
      </c>
      <c r="AP591" s="18" t="n"/>
      <c r="AQ591" s="18" t="n"/>
    </row>
    <row r="592">
      <c r="A592" s="18" t="inlineStr">
        <is>
          <t>research.laozi.day2.ch43.091</t>
        </is>
      </c>
      <c r="B592" s="18" t="inlineStr">
        <is>
          <t>Collected</t>
        </is>
      </c>
      <c r="C592" s="18" t="inlineStr">
        <is>
          <t>Nội tâm &amp; hiểu mình</t>
        </is>
      </c>
      <c r="D592" s="18" t="inlineStr">
        <is>
          <t>Day 2 / Laozi 21–50</t>
        </is>
      </c>
      <c r="E592" s="18" t="n"/>
      <c r="F592" s="18" t="inlineStr">
        <is>
          <t>Không phải mọi học hỏi đều cần thêm lời hay chỉ dẫn</t>
        </is>
      </c>
      <c r="G592" s="18" t="inlineStr">
        <is>
          <t>Learning</t>
        </is>
      </c>
      <c r="H592" s="18" t="n"/>
      <c r="I592" s="18" t="n"/>
      <c r="J592" s="18" t="n"/>
      <c r="K592" s="18" t="inlineStr">
        <is>
          <t>Distinguish</t>
        </is>
      </c>
      <c r="L592" s="18" t="n"/>
      <c r="M592" s="18" t="inlineStr">
        <is>
          <t>Trích đoạn triết học</t>
        </is>
      </c>
      <c r="N592" s="18" t="inlineStr">
        <is>
          <t>不言之教，無為之益，天下希及之。</t>
        </is>
      </c>
      <c r="O592" s="18" t="inlineStr">
        <is>
          <t>Classical Chinese (文言文)</t>
        </is>
      </c>
      <c r="P592" s="18" t="inlineStr">
        <is>
          <t>Có những điều được truyền không bằng lời, và có ích lợi đến từ không cưỡng làm.</t>
        </is>
      </c>
      <c r="Q592" s="18" t="inlineStr">
        <is>
          <t>Laozi / 老子</t>
        </is>
      </c>
      <c r="R592" s="18" t="inlineStr">
        <is>
          <t>Taoism</t>
        </is>
      </c>
      <c r="S592" s="18" t="inlineStr">
        <is>
          <t>道德經 / Tao Te Ching</t>
        </is>
      </c>
      <c r="T592" s="18" t="inlineStr">
        <is>
          <t>Chapter 43</t>
        </is>
      </c>
      <c r="U592" s="18" t="inlineStr">
        <is>
          <t>https://zh.wikisource.org/zh-hant/%E9%81%93%E5%BE%B7%E7%B6%93_%28%E7%8E%8B%E5%BC%BC%E6%9C%AC%29</t>
        </is>
      </c>
      <c r="V592" s="18" t="inlineStr">
        <is>
          <t>Primary text</t>
        </is>
      </c>
      <c r="W592" s="18" t="inlineStr">
        <is>
          <t>Working translation</t>
        </is>
      </c>
      <c r="X592" s="18" t="inlineStr">
        <is>
          <t>A - Primary source</t>
        </is>
      </c>
      <c r="Y592" s="18" t="inlineStr">
        <is>
          <t>Original Chinese checked against Wang Bi recension; Vietnamese is Selflo working translation, not a published translation.</t>
        </is>
      </c>
      <c r="Z592" s="18" t="inlineStr">
        <is>
          <t>Public domain / likely</t>
        </is>
      </c>
      <c r="AA592" s="18" t="inlineStr">
        <is>
          <t>Ancient source text. Verify jurisdiction/edition before commercial publication.</t>
        </is>
      </c>
      <c r="AB592" s="18" t="inlineStr">
        <is>
          <t>High</t>
        </is>
      </c>
      <c r="AC592" s="18" t="inlineStr">
        <is>
          <t>Selflo product philosophy.</t>
        </is>
      </c>
      <c r="AD592" s="18" t="inlineStr">
        <is>
          <t>Needs editorial review</t>
        </is>
      </c>
      <c r="AE592" s="18" t="inlineStr">
        <is>
          <t>Needs semantic dedupe review</t>
        </is>
      </c>
      <c r="AF592" s="18" t="n"/>
      <c r="AG592" s="18" t="n"/>
      <c r="AH592" s="18" t="inlineStr">
        <is>
          <t>No</t>
        </is>
      </c>
      <c r="AI592" s="18" t="inlineStr">
        <is>
          <t>Not reviewed</t>
        </is>
      </c>
      <c r="AJ592" s="18" t="inlineStr">
        <is>
          <t>Research only</t>
        </is>
      </c>
      <c r="AK592" s="18" t="inlineStr">
        <is>
          <t>Research Pool</t>
        </is>
      </c>
      <c r="AL592" s="18" t="n">
        <v>2</v>
      </c>
      <c r="AM592" s="18" t="inlineStr">
        <is>
          <t>ChatGPT research</t>
        </is>
      </c>
      <c r="AN592" s="18" t="inlineStr">
        <is>
          <t>2026-09-18</t>
        </is>
      </c>
      <c r="AO592" s="18" t="inlineStr">
        <is>
          <t>Day 2 full-scope audit, chapters 21–50.</t>
        </is>
      </c>
      <c r="AP592" s="18" t="n"/>
      <c r="AQ592" s="18" t="n"/>
    </row>
    <row r="593">
      <c r="A593" s="18" t="inlineStr">
        <is>
          <t>research.laozi.day2.ch44.092</t>
        </is>
      </c>
      <c r="B593" s="18" t="inlineStr">
        <is>
          <t>Collected</t>
        </is>
      </c>
      <c r="C593" s="18" t="inlineStr">
        <is>
          <t>Nội tâm &amp; hiểu mình</t>
        </is>
      </c>
      <c r="D593" s="18" t="inlineStr">
        <is>
          <t>Day 2 / Laozi 21–50</t>
        </is>
      </c>
      <c r="E593" s="18" t="n"/>
      <c r="F593" s="18" t="inlineStr">
        <is>
          <t>Đặt lại câu hỏi về thứ mình đang ưu tiên</t>
        </is>
      </c>
      <c r="G593" s="18" t="inlineStr">
        <is>
          <t>Values</t>
        </is>
      </c>
      <c r="H593" s="18" t="n"/>
      <c r="I593" s="18" t="n"/>
      <c r="J593" s="18" t="n"/>
      <c r="K593" s="18" t="inlineStr">
        <is>
          <t>Return agency</t>
        </is>
      </c>
      <c r="L593" s="18" t="n"/>
      <c r="M593" s="18" t="inlineStr">
        <is>
          <t>Trích đoạn triết học</t>
        </is>
      </c>
      <c r="N593" s="18" t="inlineStr">
        <is>
          <t>名與身孰親？身與貨孰多？得與亡孰病？</t>
        </is>
      </c>
      <c r="O593" s="18" t="inlineStr">
        <is>
          <t>Classical Chinese (文言文)</t>
        </is>
      </c>
      <c r="P593" s="18" t="inlineStr">
        <is>
          <t>Danh và thân, điều nào gần mình hơn? Thân và của cải, điều nào đáng giữ hơn? Được và mất, phía nào thực sự gây tổn hại?</t>
        </is>
      </c>
      <c r="Q593" s="18" t="inlineStr">
        <is>
          <t>Laozi / 老子</t>
        </is>
      </c>
      <c r="R593" s="18" t="inlineStr">
        <is>
          <t>Taoism</t>
        </is>
      </c>
      <c r="S593" s="18" t="inlineStr">
        <is>
          <t>道德經 / Tao Te Ching</t>
        </is>
      </c>
      <c r="T593" s="18" t="inlineStr">
        <is>
          <t>Chapter 44</t>
        </is>
      </c>
      <c r="U593" s="18" t="inlineStr">
        <is>
          <t>https://zh.wikisource.org/zh-hant/%E9%81%93%E5%BE%B7%E7%B6%93_%28%E7%8E%8B%E5%BC%BC%E6%9C%AC%29</t>
        </is>
      </c>
      <c r="V593" s="18" t="inlineStr">
        <is>
          <t>Primary text</t>
        </is>
      </c>
      <c r="W593" s="18" t="inlineStr">
        <is>
          <t>Working translation</t>
        </is>
      </c>
      <c r="X593" s="18" t="inlineStr">
        <is>
          <t>A - Primary source</t>
        </is>
      </c>
      <c r="Y593" s="18" t="inlineStr">
        <is>
          <t>Original Chinese checked against Wang Bi recension; Vietnamese is Selflo working translation, not a published translation.</t>
        </is>
      </c>
      <c r="Z593" s="18" t="inlineStr">
        <is>
          <t>Public domain / likely</t>
        </is>
      </c>
      <c r="AA593" s="18" t="inlineStr">
        <is>
          <t>Ancient source text. Verify jurisdiction/edition before commercial publication.</t>
        </is>
      </c>
      <c r="AB593" s="18" t="inlineStr">
        <is>
          <t>High</t>
        </is>
      </c>
      <c r="AC593" s="18" t="inlineStr">
        <is>
          <t>Excellent reflection prompt.</t>
        </is>
      </c>
      <c r="AD593" s="18" t="inlineStr">
        <is>
          <t>Needs editorial review</t>
        </is>
      </c>
      <c r="AE593" s="18" t="inlineStr">
        <is>
          <t>Needs semantic dedupe review</t>
        </is>
      </c>
      <c r="AF593" s="18" t="n"/>
      <c r="AG593" s="18" t="n"/>
      <c r="AH593" s="18" t="inlineStr">
        <is>
          <t>No</t>
        </is>
      </c>
      <c r="AI593" s="18" t="inlineStr">
        <is>
          <t>Not reviewed</t>
        </is>
      </c>
      <c r="AJ593" s="18" t="inlineStr">
        <is>
          <t>Research only</t>
        </is>
      </c>
      <c r="AK593" s="18" t="inlineStr">
        <is>
          <t>Research Pool</t>
        </is>
      </c>
      <c r="AL593" s="18" t="n">
        <v>2</v>
      </c>
      <c r="AM593" s="18" t="inlineStr">
        <is>
          <t>ChatGPT research</t>
        </is>
      </c>
      <c r="AN593" s="18" t="inlineStr">
        <is>
          <t>2026-09-18</t>
        </is>
      </c>
      <c r="AO593" s="18" t="inlineStr">
        <is>
          <t>Day 2 full-scope audit, chapters 21–50.</t>
        </is>
      </c>
      <c r="AP593" s="18" t="n"/>
      <c r="AQ593" s="18" t="n"/>
    </row>
    <row r="594">
      <c r="A594" s="18" t="inlineStr">
        <is>
          <t>research.laozi.day2.ch44.093</t>
        </is>
      </c>
      <c r="B594" s="18" t="inlineStr">
        <is>
          <t>Collected</t>
        </is>
      </c>
      <c r="C594" s="18" t="inlineStr">
        <is>
          <t>Nội tâm &amp; hiểu mình</t>
        </is>
      </c>
      <c r="D594" s="18" t="inlineStr">
        <is>
          <t>Day 2 / Laozi 21–50</t>
        </is>
      </c>
      <c r="E594" s="18" t="n"/>
      <c r="F594" s="18" t="inlineStr">
        <is>
          <t>Nhìn chi phí của việc nắm giữ</t>
        </is>
      </c>
      <c r="G594" s="18" t="inlineStr">
        <is>
          <t>Attachment</t>
        </is>
      </c>
      <c r="H594" s="18" t="n"/>
      <c r="I594" s="18" t="n"/>
      <c r="J594" s="18" t="n"/>
      <c r="K594" s="18" t="inlineStr">
        <is>
          <t>Recognize</t>
        </is>
      </c>
      <c r="L594" s="18" t="n"/>
      <c r="M594" s="18" t="inlineStr">
        <is>
          <t>Trích đoạn triết học</t>
        </is>
      </c>
      <c r="N594" s="18" t="inlineStr">
        <is>
          <t>甚愛必大費，多藏必厚亡。</t>
        </is>
      </c>
      <c r="O594" s="18" t="inlineStr">
        <is>
          <t>Classical Chinese (文言文)</t>
        </is>
      </c>
      <c r="P594" s="18" t="inlineStr">
        <is>
          <t>Bám quá chặt có thể phải trả giá lớn; tích quá nhiều có thể làm phần mất mát lớn hơn.</t>
        </is>
      </c>
      <c r="Q594" s="18" t="inlineStr">
        <is>
          <t>Laozi / 老子</t>
        </is>
      </c>
      <c r="R594" s="18" t="inlineStr">
        <is>
          <t>Taoism</t>
        </is>
      </c>
      <c r="S594" s="18" t="inlineStr">
        <is>
          <t>道德經 / Tao Te Ching</t>
        </is>
      </c>
      <c r="T594" s="18" t="inlineStr">
        <is>
          <t>Chapter 44</t>
        </is>
      </c>
      <c r="U594" s="18" t="inlineStr">
        <is>
          <t>https://zh.wikisource.org/zh-hant/%E9%81%93%E5%BE%B7%E7%B6%93_%28%E7%8E%8B%E5%BC%BC%E6%9C%AC%29</t>
        </is>
      </c>
      <c r="V594" s="18" t="inlineStr">
        <is>
          <t>Primary text</t>
        </is>
      </c>
      <c r="W594" s="18" t="inlineStr">
        <is>
          <t>Working translation</t>
        </is>
      </c>
      <c r="X594" s="18" t="inlineStr">
        <is>
          <t>A - Primary source</t>
        </is>
      </c>
      <c r="Y594" s="18" t="inlineStr">
        <is>
          <t>Original Chinese checked against Wang Bi recension; Vietnamese is Selflo working translation, not a published translation.</t>
        </is>
      </c>
      <c r="Z594" s="18" t="inlineStr">
        <is>
          <t>Public domain / likely</t>
        </is>
      </c>
      <c r="AA594" s="18" t="inlineStr">
        <is>
          <t>Ancient source text. Verify jurisdiction/edition before commercial publication.</t>
        </is>
      </c>
      <c r="AB594" s="18" t="inlineStr">
        <is>
          <t>High</t>
        </is>
      </c>
      <c r="AC594" s="18" t="inlineStr">
        <is>
          <t>Avoid absolutism.</t>
        </is>
      </c>
      <c r="AD594" s="18" t="inlineStr">
        <is>
          <t>Needs editorial review</t>
        </is>
      </c>
      <c r="AE594" s="18" t="inlineStr">
        <is>
          <t>Needs semantic dedupe review</t>
        </is>
      </c>
      <c r="AF594" s="18" t="n"/>
      <c r="AG594" s="18" t="n"/>
      <c r="AH594" s="18" t="inlineStr">
        <is>
          <t>No</t>
        </is>
      </c>
      <c r="AI594" s="18" t="inlineStr">
        <is>
          <t>Not reviewed</t>
        </is>
      </c>
      <c r="AJ594" s="18" t="inlineStr">
        <is>
          <t>Research only</t>
        </is>
      </c>
      <c r="AK594" s="18" t="inlineStr">
        <is>
          <t>Research Pool</t>
        </is>
      </c>
      <c r="AL594" s="18" t="n">
        <v>2</v>
      </c>
      <c r="AM594" s="18" t="inlineStr">
        <is>
          <t>ChatGPT research</t>
        </is>
      </c>
      <c r="AN594" s="18" t="inlineStr">
        <is>
          <t>2026-09-18</t>
        </is>
      </c>
      <c r="AO594" s="18" t="inlineStr">
        <is>
          <t>Day 2 full-scope audit, chapters 21–50.</t>
        </is>
      </c>
      <c r="AP594" s="18" t="n"/>
      <c r="AQ594" s="18" t="n"/>
    </row>
    <row r="595">
      <c r="A595" s="18" t="inlineStr">
        <is>
          <t>research.laozi.day2.ch44.094</t>
        </is>
      </c>
      <c r="B595" s="18" t="inlineStr">
        <is>
          <t>Collected</t>
        </is>
      </c>
      <c r="C595" s="18" t="inlineStr">
        <is>
          <t>Nội tâm &amp; hiểu mình</t>
        </is>
      </c>
      <c r="D595" s="18" t="inlineStr">
        <is>
          <t>Day 2 / Laozi 21–50</t>
        </is>
      </c>
      <c r="E595" s="18" t="n"/>
      <c r="F595" s="18" t="inlineStr">
        <is>
          <t>Biết đủ và biết dừng như điều kiện của bền vững</t>
        </is>
      </c>
      <c r="G595" s="18" t="inlineStr">
        <is>
          <t>Enoughness</t>
        </is>
      </c>
      <c r="H595" s="18" t="n"/>
      <c r="I595" s="18" t="n"/>
      <c r="J595" s="18" t="n"/>
      <c r="K595" s="18" t="inlineStr">
        <is>
          <t>Distinguish</t>
        </is>
      </c>
      <c r="L595" s="18" t="n"/>
      <c r="M595" s="18" t="inlineStr">
        <is>
          <t>Trích đoạn triết học</t>
        </is>
      </c>
      <c r="N595" s="18" t="inlineStr">
        <is>
          <t>知足不辱，知止不殆，可以長久。</t>
        </is>
      </c>
      <c r="O595" s="18" t="inlineStr">
        <is>
          <t>Classical Chinese (文言文)</t>
        </is>
      </c>
      <c r="P595" s="18" t="inlineStr">
        <is>
          <t>Biết đủ giúp tránh tự hạ mình; biết dừng giúp tránh nguy; nhờ đó có thể bền lâu.</t>
        </is>
      </c>
      <c r="Q595" s="18" t="inlineStr">
        <is>
          <t>Laozi / 老子</t>
        </is>
      </c>
      <c r="R595" s="18" t="inlineStr">
        <is>
          <t>Taoism</t>
        </is>
      </c>
      <c r="S595" s="18" t="inlineStr">
        <is>
          <t>道德經 / Tao Te Ching</t>
        </is>
      </c>
      <c r="T595" s="18" t="inlineStr">
        <is>
          <t>Chapter 44</t>
        </is>
      </c>
      <c r="U595" s="18" t="inlineStr">
        <is>
          <t>https://zh.wikisource.org/zh-hant/%E9%81%93%E5%BE%B7%E7%B6%93_%28%E7%8E%8B%E5%BC%BC%E6%9C%AC%29</t>
        </is>
      </c>
      <c r="V595" s="18" t="inlineStr">
        <is>
          <t>Primary text</t>
        </is>
      </c>
      <c r="W595" s="18" t="inlineStr">
        <is>
          <t>Working translation</t>
        </is>
      </c>
      <c r="X595" s="18" t="inlineStr">
        <is>
          <t>A - Primary source</t>
        </is>
      </c>
      <c r="Y595" s="18" t="inlineStr">
        <is>
          <t>Original Chinese checked against Wang Bi recension; Vietnamese is Selflo working translation, not a published translation.</t>
        </is>
      </c>
      <c r="Z595" s="18" t="inlineStr">
        <is>
          <t>Public domain / likely</t>
        </is>
      </c>
      <c r="AA595" s="18" t="inlineStr">
        <is>
          <t>Ancient source text. Verify jurisdiction/edition before commercial publication.</t>
        </is>
      </c>
      <c r="AB595" s="18" t="inlineStr">
        <is>
          <t>High</t>
        </is>
      </c>
      <c r="AC595" s="18" t="inlineStr">
        <is>
          <t>Very strong.</t>
        </is>
      </c>
      <c r="AD595" s="18" t="inlineStr">
        <is>
          <t>Needs editorial review</t>
        </is>
      </c>
      <c r="AE595" s="18" t="inlineStr">
        <is>
          <t>Needs semantic dedupe review</t>
        </is>
      </c>
      <c r="AF595" s="18" t="n"/>
      <c r="AG595" s="18" t="n"/>
      <c r="AH595" s="18" t="inlineStr">
        <is>
          <t>No</t>
        </is>
      </c>
      <c r="AI595" s="18" t="inlineStr">
        <is>
          <t>Not reviewed</t>
        </is>
      </c>
      <c r="AJ595" s="18" t="inlineStr">
        <is>
          <t>Research only</t>
        </is>
      </c>
      <c r="AK595" s="18" t="inlineStr">
        <is>
          <t>Research Pool</t>
        </is>
      </c>
      <c r="AL595" s="18" t="n">
        <v>2</v>
      </c>
      <c r="AM595" s="18" t="inlineStr">
        <is>
          <t>ChatGPT research</t>
        </is>
      </c>
      <c r="AN595" s="18" t="inlineStr">
        <is>
          <t>2026-09-18</t>
        </is>
      </c>
      <c r="AO595" s="18" t="inlineStr">
        <is>
          <t>Day 2 full-scope audit, chapters 21–50.</t>
        </is>
      </c>
      <c r="AP595" s="18" t="n"/>
      <c r="AQ595" s="18" t="n"/>
    </row>
    <row r="596">
      <c r="A596" s="18" t="inlineStr">
        <is>
          <t>research.laozi.day2.ch45.095</t>
        </is>
      </c>
      <c r="B596" s="18" t="inlineStr">
        <is>
          <t>Collected</t>
        </is>
      </c>
      <c r="C596" s="18" t="inlineStr">
        <is>
          <t>Nội tâm &amp; hiểu mình</t>
        </is>
      </c>
      <c r="D596" s="18" t="inlineStr">
        <is>
          <t>Day 2 / Laozi 21–50</t>
        </is>
      </c>
      <c r="E596" s="18" t="n"/>
      <c r="F596" s="18" t="inlineStr">
        <is>
          <t>Không hoàn hảo bề ngoài không đồng nghĩa vô dụng</t>
        </is>
      </c>
      <c r="G596" s="18" t="inlineStr">
        <is>
          <t>Self-worth</t>
        </is>
      </c>
      <c r="H596" s="18" t="n"/>
      <c r="I596" s="18" t="n"/>
      <c r="J596" s="18" t="n"/>
      <c r="K596" s="18" t="inlineStr">
        <is>
          <t>Reframe</t>
        </is>
      </c>
      <c r="L596" s="18" t="n"/>
      <c r="M596" s="18" t="inlineStr">
        <is>
          <t>Trích đoạn triết học</t>
        </is>
      </c>
      <c r="N596" s="18" t="inlineStr">
        <is>
          <t>大成若缺，其用不弊。</t>
        </is>
      </c>
      <c r="O596" s="18" t="inlineStr">
        <is>
          <t>Classical Chinese (文言文)</t>
        </is>
      </c>
      <c r="P596" s="18" t="inlineStr">
        <is>
          <t>Điều thành tựu lớn có thể trông như còn thiếu mà công dụng không suy.</t>
        </is>
      </c>
      <c r="Q596" s="18" t="inlineStr">
        <is>
          <t>Laozi / 老子</t>
        </is>
      </c>
      <c r="R596" s="18" t="inlineStr">
        <is>
          <t>Taoism</t>
        </is>
      </c>
      <c r="S596" s="18" t="inlineStr">
        <is>
          <t>道德經 / Tao Te Ching</t>
        </is>
      </c>
      <c r="T596" s="18" t="inlineStr">
        <is>
          <t>Chapter 45</t>
        </is>
      </c>
      <c r="U596" s="18" t="inlineStr">
        <is>
          <t>https://zh.wikisource.org/zh-hant/%E9%81%93%E5%BE%B7%E7%B6%93_%28%E7%8E%8B%E5%BC%BC%E6%9C%AC%29</t>
        </is>
      </c>
      <c r="V596" s="18" t="inlineStr">
        <is>
          <t>Primary text</t>
        </is>
      </c>
      <c r="W596" s="18" t="inlineStr">
        <is>
          <t>Working translation</t>
        </is>
      </c>
      <c r="X596" s="18" t="inlineStr">
        <is>
          <t>A - Primary source</t>
        </is>
      </c>
      <c r="Y596" s="18" t="inlineStr">
        <is>
          <t>Original Chinese checked against Wang Bi recension; Vietnamese is Selflo working translation, not a published translation.</t>
        </is>
      </c>
      <c r="Z596" s="18" t="inlineStr">
        <is>
          <t>Public domain / likely</t>
        </is>
      </c>
      <c r="AA596" s="18" t="inlineStr">
        <is>
          <t>Ancient source text. Verify jurisdiction/edition before commercial publication.</t>
        </is>
      </c>
      <c r="AB596" s="18" t="inlineStr">
        <is>
          <t>High</t>
        </is>
      </c>
      <c r="AC596" s="18" t="inlineStr">
        <is>
          <t>Excellent.</t>
        </is>
      </c>
      <c r="AD596" s="18" t="inlineStr">
        <is>
          <t>Needs editorial review</t>
        </is>
      </c>
      <c r="AE596" s="18" t="inlineStr">
        <is>
          <t>Needs semantic dedupe review</t>
        </is>
      </c>
      <c r="AF596" s="18" t="n"/>
      <c r="AG596" s="18" t="n"/>
      <c r="AH596" s="18" t="inlineStr">
        <is>
          <t>No</t>
        </is>
      </c>
      <c r="AI596" s="18" t="inlineStr">
        <is>
          <t>Not reviewed</t>
        </is>
      </c>
      <c r="AJ596" s="18" t="inlineStr">
        <is>
          <t>Research only</t>
        </is>
      </c>
      <c r="AK596" s="18" t="inlineStr">
        <is>
          <t>Research Pool</t>
        </is>
      </c>
      <c r="AL596" s="18" t="n">
        <v>2</v>
      </c>
      <c r="AM596" s="18" t="inlineStr">
        <is>
          <t>ChatGPT research</t>
        </is>
      </c>
      <c r="AN596" s="18" t="inlineStr">
        <is>
          <t>2026-09-18</t>
        </is>
      </c>
      <c r="AO596" s="18" t="inlineStr">
        <is>
          <t>Day 2 full-scope audit, chapters 21–50.</t>
        </is>
      </c>
      <c r="AP596" s="18" t="n"/>
      <c r="AQ596" s="18" t="n"/>
    </row>
    <row r="597">
      <c r="A597" s="18" t="inlineStr">
        <is>
          <t>research.laozi.day2.ch45.096</t>
        </is>
      </c>
      <c r="B597" s="18" t="inlineStr">
        <is>
          <t>Collected</t>
        </is>
      </c>
      <c r="C597" s="18" t="inlineStr">
        <is>
          <t>Nội tâm &amp; hiểu mình</t>
        </is>
      </c>
      <c r="D597" s="18" t="inlineStr">
        <is>
          <t>Day 2 / Laozi 21–50</t>
        </is>
      </c>
      <c r="E597" s="18" t="n"/>
      <c r="F597" s="18" t="inlineStr">
        <is>
          <t>Đầy và rỗng không phải lúc nào đối nghịch đơn giản</t>
        </is>
      </c>
      <c r="G597" s="18" t="inlineStr">
        <is>
          <t>Enoughness</t>
        </is>
      </c>
      <c r="H597" s="18" t="n"/>
      <c r="I597" s="18" t="n"/>
      <c r="J597" s="18" t="n"/>
      <c r="K597" s="18" t="inlineStr">
        <is>
          <t>Reframe</t>
        </is>
      </c>
      <c r="L597" s="18" t="n"/>
      <c r="M597" s="18" t="inlineStr">
        <is>
          <t>Trích đoạn triết học</t>
        </is>
      </c>
      <c r="N597" s="18" t="inlineStr">
        <is>
          <t>大盈若沖，其用不窮。</t>
        </is>
      </c>
      <c r="O597" s="18" t="inlineStr">
        <is>
          <t>Classical Chinese (文言文)</t>
        </is>
      </c>
      <c r="P597" s="18" t="inlineStr">
        <is>
          <t>Cái đầy lớn có thể trông như rỗng mà dùng không cạn.</t>
        </is>
      </c>
      <c r="Q597" s="18" t="inlineStr">
        <is>
          <t>Laozi / 老子</t>
        </is>
      </c>
      <c r="R597" s="18" t="inlineStr">
        <is>
          <t>Taoism</t>
        </is>
      </c>
      <c r="S597" s="18" t="inlineStr">
        <is>
          <t>道德經 / Tao Te Ching</t>
        </is>
      </c>
      <c r="T597" s="18" t="inlineStr">
        <is>
          <t>Chapter 45</t>
        </is>
      </c>
      <c r="U597" s="18" t="inlineStr">
        <is>
          <t>https://zh.wikisource.org/zh-hant/%E9%81%93%E5%BE%B7%E7%B6%93_%28%E7%8E%8B%E5%BC%BC%E6%9C%AC%29</t>
        </is>
      </c>
      <c r="V597" s="18" t="inlineStr">
        <is>
          <t>Primary text</t>
        </is>
      </c>
      <c r="W597" s="18" t="inlineStr">
        <is>
          <t>Working translation</t>
        </is>
      </c>
      <c r="X597" s="18" t="inlineStr">
        <is>
          <t>A - Primary source</t>
        </is>
      </c>
      <c r="Y597" s="18" t="inlineStr">
        <is>
          <t>Original Chinese checked against Wang Bi recension; Vietnamese is Selflo working translation, not a published translation.</t>
        </is>
      </c>
      <c r="Z597" s="18" t="inlineStr">
        <is>
          <t>Public domain / likely</t>
        </is>
      </c>
      <c r="AA597" s="18" t="inlineStr">
        <is>
          <t>Ancient source text. Verify jurisdiction/edition before commercial publication.</t>
        </is>
      </c>
      <c r="AB597" s="18" t="inlineStr">
        <is>
          <t>High</t>
        </is>
      </c>
      <c r="AC597" s="18" t="inlineStr">
        <is>
          <t>Strong.</t>
        </is>
      </c>
      <c r="AD597" s="18" t="inlineStr">
        <is>
          <t>Needs editorial review</t>
        </is>
      </c>
      <c r="AE597" s="18" t="inlineStr">
        <is>
          <t>Needs semantic dedupe review</t>
        </is>
      </c>
      <c r="AF597" s="18" t="n"/>
      <c r="AG597" s="18" t="n"/>
      <c r="AH597" s="18" t="inlineStr">
        <is>
          <t>No</t>
        </is>
      </c>
      <c r="AI597" s="18" t="inlineStr">
        <is>
          <t>Not reviewed</t>
        </is>
      </c>
      <c r="AJ597" s="18" t="inlineStr">
        <is>
          <t>Research only</t>
        </is>
      </c>
      <c r="AK597" s="18" t="inlineStr">
        <is>
          <t>Research Pool</t>
        </is>
      </c>
      <c r="AL597" s="18" t="n">
        <v>2</v>
      </c>
      <c r="AM597" s="18" t="inlineStr">
        <is>
          <t>ChatGPT research</t>
        </is>
      </c>
      <c r="AN597" s="18" t="inlineStr">
        <is>
          <t>2026-09-18</t>
        </is>
      </c>
      <c r="AO597" s="18" t="inlineStr">
        <is>
          <t>Day 2 full-scope audit, chapters 21–50.</t>
        </is>
      </c>
      <c r="AP597" s="18" t="n"/>
      <c r="AQ597" s="18" t="n"/>
    </row>
    <row r="598">
      <c r="A598" s="18" t="inlineStr">
        <is>
          <t>research.laozi.day2.ch45.097</t>
        </is>
      </c>
      <c r="B598" s="18" t="inlineStr">
        <is>
          <t>Collected</t>
        </is>
      </c>
      <c r="C598" s="18" t="inlineStr">
        <is>
          <t>Nội tâm &amp; hiểu mình</t>
        </is>
      </c>
      <c r="D598" s="18" t="inlineStr">
        <is>
          <t>Day 2 / Laozi 21–50</t>
        </is>
      </c>
      <c r="E598" s="18" t="n"/>
      <c r="F598" s="18" t="inlineStr">
        <is>
          <t>Bề ngoài vụng hoặc ít lời không quyết định năng lực</t>
        </is>
      </c>
      <c r="G598" s="18" t="inlineStr">
        <is>
          <t>Self-worth</t>
        </is>
      </c>
      <c r="H598" s="18" t="n"/>
      <c r="I598" s="18" t="n"/>
      <c r="J598" s="18" t="n"/>
      <c r="K598" s="18" t="inlineStr">
        <is>
          <t>Reframe</t>
        </is>
      </c>
      <c r="L598" s="18" t="n"/>
      <c r="M598" s="18" t="inlineStr">
        <is>
          <t>Trích đoạn triết học</t>
        </is>
      </c>
      <c r="N598" s="18" t="inlineStr">
        <is>
          <t>大直若屈，大巧若拙，大辯若訥。</t>
        </is>
      </c>
      <c r="O598" s="18" t="inlineStr">
        <is>
          <t>Classical Chinese (文言文)</t>
        </is>
      </c>
      <c r="P598" s="18" t="inlineStr">
        <is>
          <t>Cái thẳng lớn có thể trông cong; khéo lớn có thể trông vụng; biện lớn có thể trông ít lời.</t>
        </is>
      </c>
      <c r="Q598" s="18" t="inlineStr">
        <is>
          <t>Laozi / 老子</t>
        </is>
      </c>
      <c r="R598" s="18" t="inlineStr">
        <is>
          <t>Taoism</t>
        </is>
      </c>
      <c r="S598" s="18" t="inlineStr">
        <is>
          <t>道德經 / Tao Te Ching</t>
        </is>
      </c>
      <c r="T598" s="18" t="inlineStr">
        <is>
          <t>Chapter 45</t>
        </is>
      </c>
      <c r="U598" s="18" t="inlineStr">
        <is>
          <t>https://zh.wikisource.org/zh-hant/%E9%81%93%E5%BE%B7%E7%B6%93_%28%E7%8E%8B%E5%BC%BC%E6%9C%AC%29</t>
        </is>
      </c>
      <c r="V598" s="18" t="inlineStr">
        <is>
          <t>Primary text</t>
        </is>
      </c>
      <c r="W598" s="18" t="inlineStr">
        <is>
          <t>Working translation</t>
        </is>
      </c>
      <c r="X598" s="18" t="inlineStr">
        <is>
          <t>A - Primary source</t>
        </is>
      </c>
      <c r="Y598" s="18" t="inlineStr">
        <is>
          <t>Original Chinese checked against Wang Bi recension; Vietnamese is Selflo working translation, not a published translation.</t>
        </is>
      </c>
      <c r="Z598" s="18" t="inlineStr">
        <is>
          <t>Public domain / likely</t>
        </is>
      </c>
      <c r="AA598" s="18" t="inlineStr">
        <is>
          <t>Ancient source text. Verify jurisdiction/edition before commercial publication.</t>
        </is>
      </c>
      <c r="AB598" s="18" t="inlineStr">
        <is>
          <t>High</t>
        </is>
      </c>
      <c r="AC598" s="18" t="inlineStr">
        <is>
          <t>Very Selflo.</t>
        </is>
      </c>
      <c r="AD598" s="18" t="inlineStr">
        <is>
          <t>Needs editorial review</t>
        </is>
      </c>
      <c r="AE598" s="18" t="inlineStr">
        <is>
          <t>Needs semantic dedupe review</t>
        </is>
      </c>
      <c r="AF598" s="18" t="n"/>
      <c r="AG598" s="18" t="n"/>
      <c r="AH598" s="18" t="inlineStr">
        <is>
          <t>No</t>
        </is>
      </c>
      <c r="AI598" s="18" t="inlineStr">
        <is>
          <t>Not reviewed</t>
        </is>
      </c>
      <c r="AJ598" s="18" t="inlineStr">
        <is>
          <t>Research only</t>
        </is>
      </c>
      <c r="AK598" s="18" t="inlineStr">
        <is>
          <t>Research Pool</t>
        </is>
      </c>
      <c r="AL598" s="18" t="n">
        <v>2</v>
      </c>
      <c r="AM598" s="18" t="inlineStr">
        <is>
          <t>ChatGPT research</t>
        </is>
      </c>
      <c r="AN598" s="18" t="inlineStr">
        <is>
          <t>2026-09-18</t>
        </is>
      </c>
      <c r="AO598" s="18" t="inlineStr">
        <is>
          <t>Day 2 full-scope audit, chapters 21–50.</t>
        </is>
      </c>
      <c r="AP598" s="18" t="n"/>
      <c r="AQ598" s="18" t="n"/>
    </row>
    <row r="599">
      <c r="A599" s="18" t="inlineStr">
        <is>
          <t>research.laozi.day2.ch45.098</t>
        </is>
      </c>
      <c r="B599" s="18" t="inlineStr">
        <is>
          <t>Collected</t>
        </is>
      </c>
      <c r="C599" s="18" t="inlineStr">
        <is>
          <t>Nội tâm &amp; hiểu mình</t>
        </is>
      </c>
      <c r="D599" s="18" t="inlineStr">
        <is>
          <t>Day 2 / Laozi 21–50</t>
        </is>
      </c>
      <c r="E599" s="18" t="n"/>
      <c r="F599" s="18" t="inlineStr">
        <is>
          <t>Trạng thái phù hợp phụ thuộc điều đang cần cân bằng</t>
        </is>
      </c>
      <c r="G599" s="18" t="inlineStr">
        <is>
          <t>Context</t>
        </is>
      </c>
      <c r="H599" s="18" t="n"/>
      <c r="I599" s="18" t="n"/>
      <c r="J599" s="18" t="n"/>
      <c r="K599" s="18" t="inlineStr">
        <is>
          <t>Distinguish</t>
        </is>
      </c>
      <c r="L599" s="18" t="n"/>
      <c r="M599" s="18" t="inlineStr">
        <is>
          <t>Trích đoạn triết học</t>
        </is>
      </c>
      <c r="N599" s="18" t="inlineStr">
        <is>
          <t>躁勝寒，靜勝熱，清靜為天下正。</t>
        </is>
      </c>
      <c r="O599" s="18" t="inlineStr">
        <is>
          <t>Classical Chinese (文言文)</t>
        </is>
      </c>
      <c r="P599" s="18" t="inlineStr">
        <is>
          <t>Động có thể thắng lạnh, tĩnh có thể thắng nóng; văn bản đặt sự trong và tĩnh ở vị trí cân bằng.</t>
        </is>
      </c>
      <c r="Q599" s="18" t="inlineStr">
        <is>
          <t>Laozi / 老子</t>
        </is>
      </c>
      <c r="R599" s="18" t="inlineStr">
        <is>
          <t>Taoism</t>
        </is>
      </c>
      <c r="S599" s="18" t="inlineStr">
        <is>
          <t>道德經 / Tao Te Ching</t>
        </is>
      </c>
      <c r="T599" s="18" t="inlineStr">
        <is>
          <t>Chapter 45</t>
        </is>
      </c>
      <c r="U599" s="18" t="inlineStr">
        <is>
          <t>https://zh.wikisource.org/zh-hant/%E9%81%93%E5%BE%B7%E7%B6%93_%28%E7%8E%8B%E5%BC%BC%E6%9C%AC%29</t>
        </is>
      </c>
      <c r="V599" s="18" t="inlineStr">
        <is>
          <t>Primary text</t>
        </is>
      </c>
      <c r="W599" s="18" t="inlineStr">
        <is>
          <t>Working translation</t>
        </is>
      </c>
      <c r="X599" s="18" t="inlineStr">
        <is>
          <t>A - Primary source</t>
        </is>
      </c>
      <c r="Y599" s="18" t="inlineStr">
        <is>
          <t>Original Chinese checked against Wang Bi recension; Vietnamese is Selflo working translation, not a published translation.</t>
        </is>
      </c>
      <c r="Z599" s="18" t="inlineStr">
        <is>
          <t>Public domain / likely</t>
        </is>
      </c>
      <c r="AA599" s="18" t="inlineStr">
        <is>
          <t>Ancient source text. Verify jurisdiction/edition before commercial publication.</t>
        </is>
      </c>
      <c r="AB599" s="18" t="inlineStr">
        <is>
          <t>Medium</t>
        </is>
      </c>
      <c r="AC599" s="18" t="inlineStr">
        <is>
          <t>Do not turn into health advice.</t>
        </is>
      </c>
      <c r="AD599" s="18" t="inlineStr">
        <is>
          <t>Needs editorial review</t>
        </is>
      </c>
      <c r="AE599" s="18" t="inlineStr">
        <is>
          <t>Needs semantic dedupe review</t>
        </is>
      </c>
      <c r="AF599" s="18" t="n"/>
      <c r="AG599" s="18" t="n"/>
      <c r="AH599" s="18" t="inlineStr">
        <is>
          <t>No</t>
        </is>
      </c>
      <c r="AI599" s="18" t="inlineStr">
        <is>
          <t>Not reviewed</t>
        </is>
      </c>
      <c r="AJ599" s="18" t="inlineStr">
        <is>
          <t>Research only</t>
        </is>
      </c>
      <c r="AK599" s="18" t="inlineStr">
        <is>
          <t>Research Pool</t>
        </is>
      </c>
      <c r="AL599" s="18" t="n">
        <v>2</v>
      </c>
      <c r="AM599" s="18" t="inlineStr">
        <is>
          <t>ChatGPT research</t>
        </is>
      </c>
      <c r="AN599" s="18" t="inlineStr">
        <is>
          <t>2026-09-18</t>
        </is>
      </c>
      <c r="AO599" s="18" t="inlineStr">
        <is>
          <t>Day 2 full-scope audit, chapters 21–50.</t>
        </is>
      </c>
      <c r="AP599" s="18" t="n"/>
      <c r="AQ599" s="18" t="n"/>
    </row>
    <row r="600">
      <c r="A600" s="18" t="inlineStr">
        <is>
          <t>research.laozi.day2.ch46.099</t>
        </is>
      </c>
      <c r="B600" s="18" t="inlineStr">
        <is>
          <t>Collected</t>
        </is>
      </c>
      <c r="C600" s="18" t="inlineStr">
        <is>
          <t>Nội tâm &amp; hiểu mình</t>
        </is>
      </c>
      <c r="D600" s="18" t="inlineStr">
        <is>
          <t>Day 2 / Laozi 21–50</t>
        </is>
      </c>
      <c r="E600" s="18" t="n"/>
      <c r="F600" s="18" t="inlineStr">
        <is>
          <t>Cùng một nguồn lực có thể phục vụ nuôi dưỡng hoặc xung đột</t>
        </is>
      </c>
      <c r="G600" s="18" t="inlineStr">
        <is>
          <t>Values</t>
        </is>
      </c>
      <c r="H600" s="18" t="n"/>
      <c r="I600" s="18" t="n"/>
      <c r="J600" s="18" t="n"/>
      <c r="K600" s="18" t="inlineStr">
        <is>
          <t>Distinguish</t>
        </is>
      </c>
      <c r="L600" s="18" t="n"/>
      <c r="M600" s="18" t="inlineStr">
        <is>
          <t>Trích đoạn triết học</t>
        </is>
      </c>
      <c r="N600" s="18" t="inlineStr">
        <is>
          <t>天下有道，卻走馬以糞；天下無道，戎馬生於郊。</t>
        </is>
      </c>
      <c r="O600" s="18" t="inlineStr">
        <is>
          <t>Classical Chinese (文言文)</t>
        </is>
      </c>
      <c r="P600" s="18" t="inlineStr">
        <is>
          <t>Khi trật tự tốt, ngựa được dùng cho ruộng; khi trật tự rối, ngựa chiến xuất hiện ngoài đồng.</t>
        </is>
      </c>
      <c r="Q600" s="18" t="inlineStr">
        <is>
          <t>Laozi / 老子</t>
        </is>
      </c>
      <c r="R600" s="18" t="inlineStr">
        <is>
          <t>Taoism</t>
        </is>
      </c>
      <c r="S600" s="18" t="inlineStr">
        <is>
          <t>道德經 / Tao Te Ching</t>
        </is>
      </c>
      <c r="T600" s="18" t="inlineStr">
        <is>
          <t>Chapter 46</t>
        </is>
      </c>
      <c r="U600" s="18" t="inlineStr">
        <is>
          <t>https://zh.wikisource.org/zh-hant/%E9%81%93%E5%BE%B7%E7%B6%93_%28%E7%8E%8B%E5%BC%BC%E6%9C%AC%29</t>
        </is>
      </c>
      <c r="V600" s="18" t="inlineStr">
        <is>
          <t>Primary text</t>
        </is>
      </c>
      <c r="W600" s="18" t="inlineStr">
        <is>
          <t>Working translation</t>
        </is>
      </c>
      <c r="X600" s="18" t="inlineStr">
        <is>
          <t>A - Primary source</t>
        </is>
      </c>
      <c r="Y600" s="18" t="inlineStr">
        <is>
          <t>Original Chinese checked against Wang Bi recension; Vietnamese is Selflo working translation, not a published translation.</t>
        </is>
      </c>
      <c r="Z600" s="18" t="inlineStr">
        <is>
          <t>Public domain / likely</t>
        </is>
      </c>
      <c r="AA600" s="18" t="inlineStr">
        <is>
          <t>Ancient source text. Verify jurisdiction/edition before commercial publication.</t>
        </is>
      </c>
      <c r="AB600" s="18" t="inlineStr">
        <is>
          <t>Medium</t>
        </is>
      </c>
      <c r="AC600" s="18" t="inlineStr">
        <is>
          <t>Societal/political.</t>
        </is>
      </c>
      <c r="AD600" s="18" t="inlineStr">
        <is>
          <t>Needs editorial review</t>
        </is>
      </c>
      <c r="AE600" s="18" t="inlineStr">
        <is>
          <t>Needs semantic dedupe review</t>
        </is>
      </c>
      <c r="AF600" s="18" t="n"/>
      <c r="AG600" s="18" t="n"/>
      <c r="AH600" s="18" t="inlineStr">
        <is>
          <t>No</t>
        </is>
      </c>
      <c r="AI600" s="18" t="inlineStr">
        <is>
          <t>Not reviewed</t>
        </is>
      </c>
      <c r="AJ600" s="18" t="inlineStr">
        <is>
          <t>Research only</t>
        </is>
      </c>
      <c r="AK600" s="18" t="inlineStr">
        <is>
          <t>Research Pool</t>
        </is>
      </c>
      <c r="AL600" s="18" t="n">
        <v>2</v>
      </c>
      <c r="AM600" s="18" t="inlineStr">
        <is>
          <t>ChatGPT research</t>
        </is>
      </c>
      <c r="AN600" s="18" t="inlineStr">
        <is>
          <t>2026-09-18</t>
        </is>
      </c>
      <c r="AO600" s="18" t="inlineStr">
        <is>
          <t>Day 2 full-scope audit, chapters 21–50.</t>
        </is>
      </c>
      <c r="AP600" s="18" t="n"/>
      <c r="AQ600" s="18" t="n"/>
    </row>
    <row r="601">
      <c r="A601" s="18" t="inlineStr">
        <is>
          <t>research.laozi.day2.ch46.100</t>
        </is>
      </c>
      <c r="B601" s="18" t="inlineStr">
        <is>
          <t>Collected</t>
        </is>
      </c>
      <c r="C601" s="18" t="inlineStr">
        <is>
          <t>Nội tâm &amp; hiểu mình</t>
        </is>
      </c>
      <c r="D601" s="18" t="inlineStr">
        <is>
          <t>Day 2 / Laozi 21–50</t>
        </is>
      </c>
      <c r="E601" s="18" t="n"/>
      <c r="F601" s="18" t="inlineStr">
        <is>
          <t>Ham muốn không giới hạn có thể tự tạo áp lực</t>
        </is>
      </c>
      <c r="G601" s="18" t="inlineStr">
        <is>
          <t>Enoughness</t>
        </is>
      </c>
      <c r="H601" s="18" t="n"/>
      <c r="I601" s="18" t="n"/>
      <c r="J601" s="18" t="n"/>
      <c r="K601" s="18" t="inlineStr">
        <is>
          <t>Recognize</t>
        </is>
      </c>
      <c r="L601" s="18" t="n"/>
      <c r="M601" s="18" t="inlineStr">
        <is>
          <t>Trích đoạn triết học</t>
        </is>
      </c>
      <c r="N601" s="18" t="inlineStr">
        <is>
          <t>罪莫大於可欲，禍莫大於不知足，咎莫大於欲得。</t>
        </is>
      </c>
      <c r="O601" s="18" t="inlineStr">
        <is>
          <t>Classical Chinese (文言文)</t>
        </is>
      </c>
      <c r="P601" s="18" t="inlineStr">
        <is>
          <t>Văn bản cảnh báo mạnh về ham muốn không giới hạn, không biết đủ và luôn muốn có thêm.</t>
        </is>
      </c>
      <c r="Q601" s="18" t="inlineStr">
        <is>
          <t>Laozi / 老子</t>
        </is>
      </c>
      <c r="R601" s="18" t="inlineStr">
        <is>
          <t>Taoism</t>
        </is>
      </c>
      <c r="S601" s="18" t="inlineStr">
        <is>
          <t>道德經 / Tao Te Ching</t>
        </is>
      </c>
      <c r="T601" s="18" t="inlineStr">
        <is>
          <t>Chapter 46</t>
        </is>
      </c>
      <c r="U601" s="18" t="inlineStr">
        <is>
          <t>https://zh.wikisource.org/zh-hant/%E9%81%93%E5%BE%B7%E7%B6%93_%28%E7%8E%8B%E5%BC%BC%E6%9C%AC%29</t>
        </is>
      </c>
      <c r="V601" s="18" t="inlineStr">
        <is>
          <t>Primary text</t>
        </is>
      </c>
      <c r="W601" s="18" t="inlineStr">
        <is>
          <t>Working translation</t>
        </is>
      </c>
      <c r="X601" s="18" t="inlineStr">
        <is>
          <t>A - Primary source</t>
        </is>
      </c>
      <c r="Y601" s="18" t="inlineStr">
        <is>
          <t>Original Chinese checked against Wang Bi recension; Vietnamese is Selflo working translation, not a published translation.</t>
        </is>
      </c>
      <c r="Z601" s="18" t="inlineStr">
        <is>
          <t>Public domain / likely</t>
        </is>
      </c>
      <c r="AA601" s="18" t="inlineStr">
        <is>
          <t>Ancient source text. Verify jurisdiction/edition before commercial publication.</t>
        </is>
      </c>
      <c r="AB601" s="18" t="inlineStr">
        <is>
          <t>Medium</t>
        </is>
      </c>
      <c r="AC601" s="18" t="inlineStr">
        <is>
          <t>Moralizing; research.</t>
        </is>
      </c>
      <c r="AD601" s="18" t="inlineStr">
        <is>
          <t>Needs editorial review</t>
        </is>
      </c>
      <c r="AE601" s="18" t="inlineStr">
        <is>
          <t>Needs semantic dedupe review</t>
        </is>
      </c>
      <c r="AF601" s="18" t="n"/>
      <c r="AG601" s="18" t="n"/>
      <c r="AH601" s="18" t="inlineStr">
        <is>
          <t>No</t>
        </is>
      </c>
      <c r="AI601" s="18" t="inlineStr">
        <is>
          <t>Not reviewed</t>
        </is>
      </c>
      <c r="AJ601" s="18" t="inlineStr">
        <is>
          <t>Research only</t>
        </is>
      </c>
      <c r="AK601" s="18" t="inlineStr">
        <is>
          <t>Research Pool</t>
        </is>
      </c>
      <c r="AL601" s="18" t="n">
        <v>2</v>
      </c>
      <c r="AM601" s="18" t="inlineStr">
        <is>
          <t>ChatGPT research</t>
        </is>
      </c>
      <c r="AN601" s="18" t="inlineStr">
        <is>
          <t>2026-09-18</t>
        </is>
      </c>
      <c r="AO601" s="18" t="inlineStr">
        <is>
          <t>Day 2 full-scope audit, chapters 21–50.</t>
        </is>
      </c>
      <c r="AP601" s="18" t="n"/>
      <c r="AQ601" s="18" t="n"/>
    </row>
    <row r="602">
      <c r="A602" s="18" t="inlineStr">
        <is>
          <t>research.laozi.day2.ch46.101</t>
        </is>
      </c>
      <c r="B602" s="18" t="inlineStr">
        <is>
          <t>Collected</t>
        </is>
      </c>
      <c r="C602" s="18" t="inlineStr">
        <is>
          <t>Nội tâm &amp; hiểu mình</t>
        </is>
      </c>
      <c r="D602" s="18" t="inlineStr">
        <is>
          <t>Day 2 / Laozi 21–50</t>
        </is>
      </c>
      <c r="E602" s="18" t="n"/>
      <c r="F602" s="18" t="inlineStr">
        <is>
          <t>Cảm giác đủ có thể là một năng lực phân định</t>
        </is>
      </c>
      <c r="G602" s="18" t="inlineStr">
        <is>
          <t>Enoughness</t>
        </is>
      </c>
      <c r="H602" s="18" t="n"/>
      <c r="I602" s="18" t="n"/>
      <c r="J602" s="18" t="n"/>
      <c r="K602" s="18" t="inlineStr">
        <is>
          <t>Reframe</t>
        </is>
      </c>
      <c r="L602" s="18" t="n"/>
      <c r="M602" s="18" t="inlineStr">
        <is>
          <t>Trích đoạn triết học</t>
        </is>
      </c>
      <c r="N602" s="18" t="inlineStr">
        <is>
          <t>知足之足，常足矣。</t>
        </is>
      </c>
      <c r="O602" s="18" t="inlineStr">
        <is>
          <t>Classical Chinese (文言文)</t>
        </is>
      </c>
      <c r="P602" s="18" t="inlineStr">
        <is>
          <t>Biết thế nào là đủ có thể tạo một dạng đủ bền hơn việc cứ thêm.</t>
        </is>
      </c>
      <c r="Q602" s="18" t="inlineStr">
        <is>
          <t>Laozi / 老子</t>
        </is>
      </c>
      <c r="R602" s="18" t="inlineStr">
        <is>
          <t>Taoism</t>
        </is>
      </c>
      <c r="S602" s="18" t="inlineStr">
        <is>
          <t>道德經 / Tao Te Ching</t>
        </is>
      </c>
      <c r="T602" s="18" t="inlineStr">
        <is>
          <t>Chapter 46</t>
        </is>
      </c>
      <c r="U602" s="18" t="inlineStr">
        <is>
          <t>https://zh.wikisource.org/zh-hant/%E9%81%93%E5%BE%B7%E7%B6%93_%28%E7%8E%8B%E5%BC%BC%E6%9C%AC%29</t>
        </is>
      </c>
      <c r="V602" s="18" t="inlineStr">
        <is>
          <t>Primary text</t>
        </is>
      </c>
      <c r="W602" s="18" t="inlineStr">
        <is>
          <t>Working translation</t>
        </is>
      </c>
      <c r="X602" s="18" t="inlineStr">
        <is>
          <t>A - Primary source</t>
        </is>
      </c>
      <c r="Y602" s="18" t="inlineStr">
        <is>
          <t>Original Chinese checked against Wang Bi recension; Vietnamese is Selflo working translation, not a published translation.</t>
        </is>
      </c>
      <c r="Z602" s="18" t="inlineStr">
        <is>
          <t>Public domain / likely</t>
        </is>
      </c>
      <c r="AA602" s="18" t="inlineStr">
        <is>
          <t>Ancient source text. Verify jurisdiction/edition before commercial publication.</t>
        </is>
      </c>
      <c r="AB602" s="18" t="inlineStr">
        <is>
          <t>High</t>
        </is>
      </c>
      <c r="AC602" s="18" t="inlineStr">
        <is>
          <t>Strong.</t>
        </is>
      </c>
      <c r="AD602" s="18" t="inlineStr">
        <is>
          <t>Needs editorial review</t>
        </is>
      </c>
      <c r="AE602" s="18" t="inlineStr">
        <is>
          <t>Needs semantic dedupe review</t>
        </is>
      </c>
      <c r="AF602" s="18" t="n"/>
      <c r="AG602" s="18" t="n"/>
      <c r="AH602" s="18" t="inlineStr">
        <is>
          <t>No</t>
        </is>
      </c>
      <c r="AI602" s="18" t="inlineStr">
        <is>
          <t>Not reviewed</t>
        </is>
      </c>
      <c r="AJ602" s="18" t="inlineStr">
        <is>
          <t>Research only</t>
        </is>
      </c>
      <c r="AK602" s="18" t="inlineStr">
        <is>
          <t>Research Pool</t>
        </is>
      </c>
      <c r="AL602" s="18" t="n">
        <v>2</v>
      </c>
      <c r="AM602" s="18" t="inlineStr">
        <is>
          <t>ChatGPT research</t>
        </is>
      </c>
      <c r="AN602" s="18" t="inlineStr">
        <is>
          <t>2026-09-18</t>
        </is>
      </c>
      <c r="AO602" s="18" t="inlineStr">
        <is>
          <t>Day 2 full-scope audit, chapters 21–50.</t>
        </is>
      </c>
      <c r="AP602" s="18" t="n"/>
      <c r="AQ602" s="18" t="n"/>
    </row>
    <row r="603">
      <c r="A603" s="18" t="inlineStr">
        <is>
          <t>research.laozi.day2.ch47.102</t>
        </is>
      </c>
      <c r="B603" s="18" t="inlineStr">
        <is>
          <t>Collected</t>
        </is>
      </c>
      <c r="C603" s="18" t="inlineStr">
        <is>
          <t>Nội tâm &amp; hiểu mình</t>
        </is>
      </c>
      <c r="D603" s="18" t="inlineStr">
        <is>
          <t>Day 2 / Laozi 21–50</t>
        </is>
      </c>
      <c r="E603" s="18" t="n"/>
      <c r="F603" s="18" t="inlineStr">
        <is>
          <t>Thông tin nhiều hơn không phải điều kiện duy nhất của hiểu biết</t>
        </is>
      </c>
      <c r="G603" s="18" t="inlineStr">
        <is>
          <t>Judgment</t>
        </is>
      </c>
      <c r="H603" s="18" t="n"/>
      <c r="I603" s="18" t="n"/>
      <c r="J603" s="18" t="n"/>
      <c r="K603" s="18" t="inlineStr">
        <is>
          <t>Distinguish</t>
        </is>
      </c>
      <c r="L603" s="18" t="n"/>
      <c r="M603" s="18" t="inlineStr">
        <is>
          <t>Trích đoạn triết học</t>
        </is>
      </c>
      <c r="N603" s="18" t="inlineStr">
        <is>
          <t>不出戶，知天下；不闚牖，見天道。</t>
        </is>
      </c>
      <c r="O603" s="18" t="inlineStr">
        <is>
          <t>Classical Chinese (文言文)</t>
        </is>
      </c>
      <c r="P603" s="18" t="inlineStr">
        <is>
          <t>Không bước khỏi cửa vẫn có thể hiểu một phần thế giới; không nhìn qua cửa sổ vẫn có thể nhận ra quy luật.</t>
        </is>
      </c>
      <c r="Q603" s="18" t="inlineStr">
        <is>
          <t>Laozi / 老子</t>
        </is>
      </c>
      <c r="R603" s="18" t="inlineStr">
        <is>
          <t>Taoism</t>
        </is>
      </c>
      <c r="S603" s="18" t="inlineStr">
        <is>
          <t>道德經 / Tao Te Ching</t>
        </is>
      </c>
      <c r="T603" s="18" t="inlineStr">
        <is>
          <t>Chapter 47</t>
        </is>
      </c>
      <c r="U603" s="18" t="inlineStr">
        <is>
          <t>https://zh.wikisource.org/zh-hant/%E9%81%93%E5%BE%B7%E7%B6%93_%28%E7%8E%8B%E5%BC%BC%E6%9C%AC%29</t>
        </is>
      </c>
      <c r="V603" s="18" t="inlineStr">
        <is>
          <t>Primary text</t>
        </is>
      </c>
      <c r="W603" s="18" t="inlineStr">
        <is>
          <t>Working translation</t>
        </is>
      </c>
      <c r="X603" s="18" t="inlineStr">
        <is>
          <t>A - Primary source</t>
        </is>
      </c>
      <c r="Y603" s="18" t="inlineStr">
        <is>
          <t>Original Chinese checked against Wang Bi recension; Vietnamese is Selflo working translation, not a published translation.</t>
        </is>
      </c>
      <c r="Z603" s="18" t="inlineStr">
        <is>
          <t>Public domain / likely</t>
        </is>
      </c>
      <c r="AA603" s="18" t="inlineStr">
        <is>
          <t>Ancient source text. Verify jurisdiction/edition before commercial publication.</t>
        </is>
      </c>
      <c r="AB603" s="18" t="inlineStr">
        <is>
          <t>High</t>
        </is>
      </c>
      <c r="AC603" s="18" t="inlineStr">
        <is>
          <t>Very relevant AI/info age; ancient epistemology.</t>
        </is>
      </c>
      <c r="AD603" s="18" t="inlineStr">
        <is>
          <t>Needs editorial review</t>
        </is>
      </c>
      <c r="AE603" s="18" t="inlineStr">
        <is>
          <t>Needs semantic dedupe review</t>
        </is>
      </c>
      <c r="AF603" s="18" t="n"/>
      <c r="AG603" s="18" t="n"/>
      <c r="AH603" s="18" t="inlineStr">
        <is>
          <t>No</t>
        </is>
      </c>
      <c r="AI603" s="18" t="inlineStr">
        <is>
          <t>Not reviewed</t>
        </is>
      </c>
      <c r="AJ603" s="18" t="inlineStr">
        <is>
          <t>Research only</t>
        </is>
      </c>
      <c r="AK603" s="18" t="inlineStr">
        <is>
          <t>Research Pool</t>
        </is>
      </c>
      <c r="AL603" s="18" t="n">
        <v>2</v>
      </c>
      <c r="AM603" s="18" t="inlineStr">
        <is>
          <t>ChatGPT research</t>
        </is>
      </c>
      <c r="AN603" s="18" t="inlineStr">
        <is>
          <t>2026-09-18</t>
        </is>
      </c>
      <c r="AO603" s="18" t="inlineStr">
        <is>
          <t>Day 2 full-scope audit, chapters 21–50.</t>
        </is>
      </c>
      <c r="AP603" s="18" t="n"/>
      <c r="AQ603" s="18" t="n"/>
    </row>
    <row r="604">
      <c r="A604" s="18" t="inlineStr">
        <is>
          <t>research.laozi.day2.ch47.103</t>
        </is>
      </c>
      <c r="B604" s="18" t="inlineStr">
        <is>
          <t>Collected</t>
        </is>
      </c>
      <c r="C604" s="18" t="inlineStr">
        <is>
          <t>Nội tâm &amp; hiểu mình</t>
        </is>
      </c>
      <c r="D604" s="18" t="inlineStr">
        <is>
          <t>Day 2 / Laozi 21–50</t>
        </is>
      </c>
      <c r="E604" s="18" t="n"/>
      <c r="F604" s="18" t="inlineStr">
        <is>
          <t>Thu thập thêm không bảo đảm hiểu sâu hơn</t>
        </is>
      </c>
      <c r="G604" s="18" t="inlineStr">
        <is>
          <t>Attention</t>
        </is>
      </c>
      <c r="H604" s="18" t="n"/>
      <c r="I604" s="18" t="n"/>
      <c r="J604" s="18" t="n"/>
      <c r="K604" s="18" t="inlineStr">
        <is>
          <t>Distinguish</t>
        </is>
      </c>
      <c r="L604" s="18" t="n"/>
      <c r="M604" s="18" t="inlineStr">
        <is>
          <t>Trích đoạn triết học</t>
        </is>
      </c>
      <c r="N604" s="18" t="inlineStr">
        <is>
          <t>其出彌遠，其知彌少。</t>
        </is>
      </c>
      <c r="O604" s="18" t="inlineStr">
        <is>
          <t>Classical Chinese (文言文)</t>
        </is>
      </c>
      <c r="P604" s="18" t="inlineStr">
        <is>
          <t>Đi càng xa chưa chắc biết càng nhiều; có lúc càng tìm rộng lại càng rời điều cần hiểu.</t>
        </is>
      </c>
      <c r="Q604" s="18" t="inlineStr">
        <is>
          <t>Laozi / 老子</t>
        </is>
      </c>
      <c r="R604" s="18" t="inlineStr">
        <is>
          <t>Taoism</t>
        </is>
      </c>
      <c r="S604" s="18" t="inlineStr">
        <is>
          <t>道德經 / Tao Te Ching</t>
        </is>
      </c>
      <c r="T604" s="18" t="inlineStr">
        <is>
          <t>Chapter 47</t>
        </is>
      </c>
      <c r="U604" s="18" t="inlineStr">
        <is>
          <t>https://zh.wikisource.org/zh-hant/%E9%81%93%E5%BE%B7%E7%B6%93_%28%E7%8E%8B%E5%BC%BC%E6%9C%AC%29</t>
        </is>
      </c>
      <c r="V604" s="18" t="inlineStr">
        <is>
          <t>Primary text</t>
        </is>
      </c>
      <c r="W604" s="18" t="inlineStr">
        <is>
          <t>Working translation</t>
        </is>
      </c>
      <c r="X604" s="18" t="inlineStr">
        <is>
          <t>A - Primary source</t>
        </is>
      </c>
      <c r="Y604" s="18" t="inlineStr">
        <is>
          <t>Original Chinese checked against Wang Bi recension; Vietnamese is Selflo working translation, not a published translation.</t>
        </is>
      </c>
      <c r="Z604" s="18" t="inlineStr">
        <is>
          <t>Public domain / likely</t>
        </is>
      </c>
      <c r="AA604" s="18" t="inlineStr">
        <is>
          <t>Ancient source text. Verify jurisdiction/edition before commercial publication.</t>
        </is>
      </c>
      <c r="AB604" s="18" t="inlineStr">
        <is>
          <t>High</t>
        </is>
      </c>
      <c r="AC604" s="18" t="inlineStr">
        <is>
          <t>Excellent for research/AI.</t>
        </is>
      </c>
      <c r="AD604" s="18" t="inlineStr">
        <is>
          <t>Needs editorial review</t>
        </is>
      </c>
      <c r="AE604" s="18" t="inlineStr">
        <is>
          <t>Needs semantic dedupe review</t>
        </is>
      </c>
      <c r="AF604" s="18" t="n"/>
      <c r="AG604" s="18" t="n"/>
      <c r="AH604" s="18" t="inlineStr">
        <is>
          <t>No</t>
        </is>
      </c>
      <c r="AI604" s="18" t="inlineStr">
        <is>
          <t>Not reviewed</t>
        </is>
      </c>
      <c r="AJ604" s="18" t="inlineStr">
        <is>
          <t>Research only</t>
        </is>
      </c>
      <c r="AK604" s="18" t="inlineStr">
        <is>
          <t>Research Pool</t>
        </is>
      </c>
      <c r="AL604" s="18" t="n">
        <v>2</v>
      </c>
      <c r="AM604" s="18" t="inlineStr">
        <is>
          <t>ChatGPT research</t>
        </is>
      </c>
      <c r="AN604" s="18" t="inlineStr">
        <is>
          <t>2026-09-18</t>
        </is>
      </c>
      <c r="AO604" s="18" t="inlineStr">
        <is>
          <t>Day 2 full-scope audit, chapters 21–50.</t>
        </is>
      </c>
      <c r="AP604" s="18" t="n"/>
      <c r="AQ604" s="18" t="n"/>
    </row>
    <row r="605">
      <c r="A605" s="18" t="inlineStr">
        <is>
          <t>research.laozi.day2.ch47.104</t>
        </is>
      </c>
      <c r="B605" s="18" t="inlineStr">
        <is>
          <t>Collected</t>
        </is>
      </c>
      <c r="C605" s="18" t="inlineStr">
        <is>
          <t>Nội tâm &amp; hiểu mình</t>
        </is>
      </c>
      <c r="D605" s="18" t="inlineStr">
        <is>
          <t>Day 2 / Laozi 21–50</t>
        </is>
      </c>
      <c r="E605" s="18" t="n"/>
      <c r="F605" s="18" t="inlineStr">
        <is>
          <t>Phân biệt hiểu biết với lượng hoạt động bề ngoài</t>
        </is>
      </c>
      <c r="G605" s="18" t="inlineStr">
        <is>
          <t>Judgment</t>
        </is>
      </c>
      <c r="H605" s="18" t="n"/>
      <c r="I605" s="18" t="n"/>
      <c r="J605" s="18" t="n"/>
      <c r="K605" s="18" t="inlineStr">
        <is>
          <t>Reframe</t>
        </is>
      </c>
      <c r="L605" s="18" t="n"/>
      <c r="M605" s="18" t="inlineStr">
        <is>
          <t>Trích đoạn triết học</t>
        </is>
      </c>
      <c r="N605" s="18" t="inlineStr">
        <is>
          <t>不行而知，不見而名，不為而成。</t>
        </is>
      </c>
      <c r="O605" s="18" t="inlineStr">
        <is>
          <t>Classical Chinese (文言文)</t>
        </is>
      </c>
      <c r="P605" s="18" t="inlineStr">
        <is>
          <t>Có thể biết mà không chạy khắp nơi, gọi tên mà không cần thấy mọi thứ, tạo điều kiện cho việc thành mà không cưỡng làm.</t>
        </is>
      </c>
      <c r="Q605" s="18" t="inlineStr">
        <is>
          <t>Laozi / 老子</t>
        </is>
      </c>
      <c r="R605" s="18" t="inlineStr">
        <is>
          <t>Taoism</t>
        </is>
      </c>
      <c r="S605" s="18" t="inlineStr">
        <is>
          <t>道德經 / Tao Te Ching</t>
        </is>
      </c>
      <c r="T605" s="18" t="inlineStr">
        <is>
          <t>Chapter 47</t>
        </is>
      </c>
      <c r="U605" s="18" t="inlineStr">
        <is>
          <t>https://zh.wikisource.org/zh-hant/%E9%81%93%E5%BE%B7%E7%B6%93_%28%E7%8E%8B%E5%BC%BC%E6%9C%AC%29</t>
        </is>
      </c>
      <c r="V605" s="18" t="inlineStr">
        <is>
          <t>Primary text</t>
        </is>
      </c>
      <c r="W605" s="18" t="inlineStr">
        <is>
          <t>Working translation</t>
        </is>
      </c>
      <c r="X605" s="18" t="inlineStr">
        <is>
          <t>A - Primary source</t>
        </is>
      </c>
      <c r="Y605" s="18" t="inlineStr">
        <is>
          <t>Original Chinese checked against Wang Bi recension; Vietnamese is Selflo working translation, not a published translation.</t>
        </is>
      </c>
      <c r="Z605" s="18" t="inlineStr">
        <is>
          <t>Public domain / likely</t>
        </is>
      </c>
      <c r="AA605" s="18" t="inlineStr">
        <is>
          <t>Ancient source text. Verify jurisdiction/edition before commercial publication.</t>
        </is>
      </c>
      <c r="AB605" s="18" t="inlineStr">
        <is>
          <t>High</t>
        </is>
      </c>
      <c r="AC605" s="18" t="inlineStr">
        <is>
          <t>Interpretive.</t>
        </is>
      </c>
      <c r="AD605" s="18" t="inlineStr">
        <is>
          <t>Needs editorial review</t>
        </is>
      </c>
      <c r="AE605" s="18" t="inlineStr">
        <is>
          <t>Needs semantic dedupe review</t>
        </is>
      </c>
      <c r="AF605" s="18" t="n"/>
      <c r="AG605" s="18" t="n"/>
      <c r="AH605" s="18" t="inlineStr">
        <is>
          <t>No</t>
        </is>
      </c>
      <c r="AI605" s="18" t="inlineStr">
        <is>
          <t>Not reviewed</t>
        </is>
      </c>
      <c r="AJ605" s="18" t="inlineStr">
        <is>
          <t>Research only</t>
        </is>
      </c>
      <c r="AK605" s="18" t="inlineStr">
        <is>
          <t>Research Pool</t>
        </is>
      </c>
      <c r="AL605" s="18" t="n">
        <v>2</v>
      </c>
      <c r="AM605" s="18" t="inlineStr">
        <is>
          <t>ChatGPT research</t>
        </is>
      </c>
      <c r="AN605" s="18" t="inlineStr">
        <is>
          <t>2026-09-18</t>
        </is>
      </c>
      <c r="AO605" s="18" t="inlineStr">
        <is>
          <t>Day 2 full-scope audit, chapters 21–50.</t>
        </is>
      </c>
      <c r="AP605" s="18" t="n"/>
      <c r="AQ605" s="18" t="n"/>
    </row>
    <row r="606">
      <c r="A606" s="18" t="inlineStr">
        <is>
          <t>research.laozi.day2.ch48.105</t>
        </is>
      </c>
      <c r="B606" s="18" t="inlineStr">
        <is>
          <t>Collected</t>
        </is>
      </c>
      <c r="C606" s="18" t="inlineStr">
        <is>
          <t>Nội tâm &amp; hiểu mình</t>
        </is>
      </c>
      <c r="D606" s="18" t="inlineStr">
        <is>
          <t>Day 2 / Laozi 21–50</t>
        </is>
      </c>
      <c r="E606" s="18" t="n"/>
      <c r="F606" s="18" t="inlineStr">
        <is>
          <t>Có lúc phát triển bằng thêm, có lúc bằng bớt</t>
        </is>
      </c>
      <c r="G606" s="18" t="inlineStr">
        <is>
          <t>Learning</t>
        </is>
      </c>
      <c r="H606" s="18" t="n"/>
      <c r="I606" s="18" t="n"/>
      <c r="J606" s="18" t="n"/>
      <c r="K606" s="18" t="inlineStr">
        <is>
          <t>Distinguish</t>
        </is>
      </c>
      <c r="L606" s="18" t="n"/>
      <c r="M606" s="18" t="inlineStr">
        <is>
          <t>Trích đoạn triết học</t>
        </is>
      </c>
      <c r="N606" s="18" t="inlineStr">
        <is>
          <t>為學日益，為道日損。</t>
        </is>
      </c>
      <c r="O606" s="18" t="inlineStr">
        <is>
          <t>Classical Chinese (文言文)</t>
        </is>
      </c>
      <c r="P606" s="18" t="inlineStr">
        <is>
          <t>Theo việc học, mỗi ngày có thể thêm; theo Đạo, mỗi ngày lại bớt.</t>
        </is>
      </c>
      <c r="Q606" s="18" t="inlineStr">
        <is>
          <t>Laozi / 老子</t>
        </is>
      </c>
      <c r="R606" s="18" t="inlineStr">
        <is>
          <t>Taoism</t>
        </is>
      </c>
      <c r="S606" s="18" t="inlineStr">
        <is>
          <t>道德經 / Tao Te Ching</t>
        </is>
      </c>
      <c r="T606" s="18" t="inlineStr">
        <is>
          <t>Chapter 48</t>
        </is>
      </c>
      <c r="U606" s="18" t="inlineStr">
        <is>
          <t>https://zh.wikisource.org/zh-hant/%E9%81%93%E5%BE%B7%E7%B6%93_%28%E7%8E%8B%E5%BC%BC%E6%9C%AC%29</t>
        </is>
      </c>
      <c r="V606" s="18" t="inlineStr">
        <is>
          <t>Primary text</t>
        </is>
      </c>
      <c r="W606" s="18" t="inlineStr">
        <is>
          <t>Working translation</t>
        </is>
      </c>
      <c r="X606" s="18" t="inlineStr">
        <is>
          <t>A - Primary source</t>
        </is>
      </c>
      <c r="Y606" s="18" t="inlineStr">
        <is>
          <t>Original Chinese checked against Wang Bi recension; Vietnamese is Selflo working translation, not a published translation.</t>
        </is>
      </c>
      <c r="Z606" s="18" t="inlineStr">
        <is>
          <t>Public domain / likely</t>
        </is>
      </c>
      <c r="AA606" s="18" t="inlineStr">
        <is>
          <t>Ancient source text. Verify jurisdiction/edition before commercial publication.</t>
        </is>
      </c>
      <c r="AB606" s="18" t="inlineStr">
        <is>
          <t>High</t>
        </is>
      </c>
      <c r="AC606" s="18" t="inlineStr">
        <is>
          <t>Core AI-age principle.</t>
        </is>
      </c>
      <c r="AD606" s="18" t="inlineStr">
        <is>
          <t>Needs editorial review</t>
        </is>
      </c>
      <c r="AE606" s="18" t="inlineStr">
        <is>
          <t>Needs semantic dedupe review</t>
        </is>
      </c>
      <c r="AF606" s="18" t="n"/>
      <c r="AG606" s="18" t="n"/>
      <c r="AH606" s="18" t="inlineStr">
        <is>
          <t>No</t>
        </is>
      </c>
      <c r="AI606" s="18" t="inlineStr">
        <is>
          <t>Not reviewed</t>
        </is>
      </c>
      <c r="AJ606" s="18" t="inlineStr">
        <is>
          <t>Research only</t>
        </is>
      </c>
      <c r="AK606" s="18" t="inlineStr">
        <is>
          <t>Research Pool</t>
        </is>
      </c>
      <c r="AL606" s="18" t="n">
        <v>2</v>
      </c>
      <c r="AM606" s="18" t="inlineStr">
        <is>
          <t>ChatGPT research</t>
        </is>
      </c>
      <c r="AN606" s="18" t="inlineStr">
        <is>
          <t>2026-09-18</t>
        </is>
      </c>
      <c r="AO606" s="18" t="inlineStr">
        <is>
          <t>Day 2 full-scope audit, chapters 21–50.</t>
        </is>
      </c>
      <c r="AP606" s="18" t="n"/>
      <c r="AQ606" s="18" t="n"/>
    </row>
    <row r="607">
      <c r="A607" s="18" t="inlineStr">
        <is>
          <t>research.laozi.day2.ch48.106</t>
        </is>
      </c>
      <c r="B607" s="18" t="inlineStr">
        <is>
          <t>Collected</t>
        </is>
      </c>
      <c r="C607" s="18" t="inlineStr">
        <is>
          <t>Nội tâm &amp; hiểu mình</t>
        </is>
      </c>
      <c r="D607" s="18" t="inlineStr">
        <is>
          <t>Day 2 / Laozi 21–50</t>
        </is>
      </c>
      <c r="E607" s="18" t="n"/>
      <c r="F607" s="18" t="inlineStr">
        <is>
          <t>Loại bớt nhiễu và can thiệp thừa</t>
        </is>
      </c>
      <c r="G607" s="18" t="inlineStr">
        <is>
          <t>Simplicity</t>
        </is>
      </c>
      <c r="H607" s="18" t="n"/>
      <c r="I607" s="18" t="n"/>
      <c r="J607" s="18" t="n"/>
      <c r="K607" s="18" t="inlineStr">
        <is>
          <t>Reframe</t>
        </is>
      </c>
      <c r="L607" s="18" t="n"/>
      <c r="M607" s="18" t="inlineStr">
        <is>
          <t>Trích đoạn triết học</t>
        </is>
      </c>
      <c r="N607" s="18" t="inlineStr">
        <is>
          <t>損之又損，以至於無為。</t>
        </is>
      </c>
      <c r="O607" s="18" t="inlineStr">
        <is>
          <t>Classical Chinese (文言文)</t>
        </is>
      </c>
      <c r="P607" s="18" t="inlineStr">
        <is>
          <t>Bớt rồi lại bớt, cho đến khi không còn phải cưỡng làm.</t>
        </is>
      </c>
      <c r="Q607" s="18" t="inlineStr">
        <is>
          <t>Laozi / 老子</t>
        </is>
      </c>
      <c r="R607" s="18" t="inlineStr">
        <is>
          <t>Taoism</t>
        </is>
      </c>
      <c r="S607" s="18" t="inlineStr">
        <is>
          <t>道德經 / Tao Te Ching</t>
        </is>
      </c>
      <c r="T607" s="18" t="inlineStr">
        <is>
          <t>Chapter 48</t>
        </is>
      </c>
      <c r="U607" s="18" t="inlineStr">
        <is>
          <t>https://zh.wikisource.org/zh-hant/%E9%81%93%E5%BE%B7%E7%B6%93_%28%E7%8E%8B%E5%BC%BC%E6%9C%AC%29</t>
        </is>
      </c>
      <c r="V607" s="18" t="inlineStr">
        <is>
          <t>Primary text</t>
        </is>
      </c>
      <c r="W607" s="18" t="inlineStr">
        <is>
          <t>Working translation</t>
        </is>
      </c>
      <c r="X607" s="18" t="inlineStr">
        <is>
          <t>A - Primary source</t>
        </is>
      </c>
      <c r="Y607" s="18" t="inlineStr">
        <is>
          <t>Original Chinese checked against Wang Bi recension; Vietnamese is Selflo working translation, not a published translation.</t>
        </is>
      </c>
      <c r="Z607" s="18" t="inlineStr">
        <is>
          <t>Public domain / likely</t>
        </is>
      </c>
      <c r="AA607" s="18" t="inlineStr">
        <is>
          <t>Ancient source text. Verify jurisdiction/edition before commercial publication.</t>
        </is>
      </c>
      <c r="AB607" s="18" t="inlineStr">
        <is>
          <t>High</t>
        </is>
      </c>
      <c r="AC607" s="18" t="inlineStr">
        <is>
          <t>Strong.</t>
        </is>
      </c>
      <c r="AD607" s="18" t="inlineStr">
        <is>
          <t>Needs editorial review</t>
        </is>
      </c>
      <c r="AE607" s="18" t="inlineStr">
        <is>
          <t>Needs semantic dedupe review</t>
        </is>
      </c>
      <c r="AF607" s="18" t="n"/>
      <c r="AG607" s="18" t="n"/>
      <c r="AH607" s="18" t="inlineStr">
        <is>
          <t>No</t>
        </is>
      </c>
      <c r="AI607" s="18" t="inlineStr">
        <is>
          <t>Not reviewed</t>
        </is>
      </c>
      <c r="AJ607" s="18" t="inlineStr">
        <is>
          <t>Research only</t>
        </is>
      </c>
      <c r="AK607" s="18" t="inlineStr">
        <is>
          <t>Research Pool</t>
        </is>
      </c>
      <c r="AL607" s="18" t="n">
        <v>2</v>
      </c>
      <c r="AM607" s="18" t="inlineStr">
        <is>
          <t>ChatGPT research</t>
        </is>
      </c>
      <c r="AN607" s="18" t="inlineStr">
        <is>
          <t>2026-09-18</t>
        </is>
      </c>
      <c r="AO607" s="18" t="inlineStr">
        <is>
          <t>Day 2 full-scope audit, chapters 21–50.</t>
        </is>
      </c>
      <c r="AP607" s="18" t="n"/>
      <c r="AQ607" s="18" t="n"/>
    </row>
    <row r="608">
      <c r="A608" s="18" t="inlineStr">
        <is>
          <t>research.laozi.day2.ch48.107</t>
        </is>
      </c>
      <c r="B608" s="18" t="inlineStr">
        <is>
          <t>Collected</t>
        </is>
      </c>
      <c r="C608" s="18" t="inlineStr">
        <is>
          <t>Nội tâm &amp; hiểu mình</t>
        </is>
      </c>
      <c r="D608" s="18" t="inlineStr">
        <is>
          <t>Day 2 / Laozi 21–50</t>
        </is>
      </c>
      <c r="E608" s="18" t="n"/>
      <c r="F608" s="18" t="inlineStr">
        <is>
          <t>Không hành động cưỡng ép vẫn có thể tạo tác động</t>
        </is>
      </c>
      <c r="G608" s="18" t="inlineStr">
        <is>
          <t>Agency</t>
        </is>
      </c>
      <c r="H608" s="18" t="n"/>
      <c r="I608" s="18" t="n"/>
      <c r="J608" s="18" t="n"/>
      <c r="K608" s="18" t="inlineStr">
        <is>
          <t>Distinguish</t>
        </is>
      </c>
      <c r="L608" s="18" t="n"/>
      <c r="M608" s="18" t="inlineStr">
        <is>
          <t>Trích đoạn triết học</t>
        </is>
      </c>
      <c r="N608" s="18" t="inlineStr">
        <is>
          <t>無為而無不為。</t>
        </is>
      </c>
      <c r="O608" s="18" t="inlineStr">
        <is>
          <t>Classical Chinese (文言文)</t>
        </is>
      </c>
      <c r="P608" s="18" t="inlineStr">
        <is>
          <t>Không cưỡng làm không đồng nghĩa không có gì được thực hiện.</t>
        </is>
      </c>
      <c r="Q608" s="18" t="inlineStr">
        <is>
          <t>Laozi / 老子</t>
        </is>
      </c>
      <c r="R608" s="18" t="inlineStr">
        <is>
          <t>Taoism</t>
        </is>
      </c>
      <c r="S608" s="18" t="inlineStr">
        <is>
          <t>道德經 / Tao Te Ching</t>
        </is>
      </c>
      <c r="T608" s="18" t="inlineStr">
        <is>
          <t>Chapter 48</t>
        </is>
      </c>
      <c r="U608" s="18" t="inlineStr">
        <is>
          <t>https://zh.wikisource.org/zh-hant/%E9%81%93%E5%BE%B7%E7%B6%93_%28%E7%8E%8B%E5%BC%BC%E6%9C%AC%29</t>
        </is>
      </c>
      <c r="V608" s="18" t="inlineStr">
        <is>
          <t>Primary text</t>
        </is>
      </c>
      <c r="W608" s="18" t="inlineStr">
        <is>
          <t>Working translation</t>
        </is>
      </c>
      <c r="X608" s="18" t="inlineStr">
        <is>
          <t>A - Primary source</t>
        </is>
      </c>
      <c r="Y608" s="18" t="inlineStr">
        <is>
          <t>Original Chinese checked against Wang Bi recension; Vietnamese is Selflo working translation, not a published translation.</t>
        </is>
      </c>
      <c r="Z608" s="18" t="inlineStr">
        <is>
          <t>Public domain / likely</t>
        </is>
      </c>
      <c r="AA608" s="18" t="inlineStr">
        <is>
          <t>Ancient source text. Verify jurisdiction/edition before commercial publication.</t>
        </is>
      </c>
      <c r="AB608" s="18" t="inlineStr">
        <is>
          <t>High</t>
        </is>
      </c>
      <c r="AC608" s="18" t="inlineStr">
        <is>
          <t>Core.</t>
        </is>
      </c>
      <c r="AD608" s="18" t="inlineStr">
        <is>
          <t>Needs editorial review</t>
        </is>
      </c>
      <c r="AE608" s="18" t="inlineStr">
        <is>
          <t>Needs semantic dedupe review</t>
        </is>
      </c>
      <c r="AF608" s="18" t="n"/>
      <c r="AG608" s="18" t="n"/>
      <c r="AH608" s="18" t="inlineStr">
        <is>
          <t>No</t>
        </is>
      </c>
      <c r="AI608" s="18" t="inlineStr">
        <is>
          <t>Not reviewed</t>
        </is>
      </c>
      <c r="AJ608" s="18" t="inlineStr">
        <is>
          <t>Research only</t>
        </is>
      </c>
      <c r="AK608" s="18" t="inlineStr">
        <is>
          <t>Research Pool</t>
        </is>
      </c>
      <c r="AL608" s="18" t="n">
        <v>2</v>
      </c>
      <c r="AM608" s="18" t="inlineStr">
        <is>
          <t>ChatGPT research</t>
        </is>
      </c>
      <c r="AN608" s="18" t="inlineStr">
        <is>
          <t>2026-09-18</t>
        </is>
      </c>
      <c r="AO608" s="18" t="inlineStr">
        <is>
          <t>Day 2 full-scope audit, chapters 21–50.</t>
        </is>
      </c>
      <c r="AP608" s="18" t="n"/>
      <c r="AQ608" s="18" t="n"/>
    </row>
    <row r="609">
      <c r="A609" s="18" t="inlineStr">
        <is>
          <t>research.laozi.day2.ch48.108</t>
        </is>
      </c>
      <c r="B609" s="18" t="inlineStr">
        <is>
          <t>Collected</t>
        </is>
      </c>
      <c r="C609" s="18" t="inlineStr">
        <is>
          <t>Nội tâm &amp; hiểu mình</t>
        </is>
      </c>
      <c r="D609" s="18" t="inlineStr">
        <is>
          <t>Day 2 / Laozi 21–50</t>
        </is>
      </c>
      <c r="E609" s="18" t="n"/>
      <c r="F609" s="18" t="inlineStr">
        <is>
          <t>Can thiệp nhiều không luôn tạo kiểm soát tốt hơn</t>
        </is>
      </c>
      <c r="G609" s="18" t="inlineStr">
        <is>
          <t>Control</t>
        </is>
      </c>
      <c r="H609" s="18" t="n"/>
      <c r="I609" s="18" t="n"/>
      <c r="J609" s="18" t="n"/>
      <c r="K609" s="18" t="inlineStr">
        <is>
          <t>Distinguish</t>
        </is>
      </c>
      <c r="L609" s="18" t="n"/>
      <c r="M609" s="18" t="inlineStr">
        <is>
          <t>Trích đoạn triết học</t>
        </is>
      </c>
      <c r="N609" s="18" t="inlineStr">
        <is>
          <t>取天下常以無事；及其有事，不足以取天下。</t>
        </is>
      </c>
      <c r="O609" s="18" t="inlineStr">
        <is>
          <t>Classical Chinese (文言文)</t>
        </is>
      </c>
      <c r="P609" s="18" t="inlineStr">
        <is>
          <t>Muốn giữ một hệ lớn không thể mặc định càng can thiệp càng tốt.</t>
        </is>
      </c>
      <c r="Q609" s="18" t="inlineStr">
        <is>
          <t>Laozi / 老子</t>
        </is>
      </c>
      <c r="R609" s="18" t="inlineStr">
        <is>
          <t>Taoism</t>
        </is>
      </c>
      <c r="S609" s="18" t="inlineStr">
        <is>
          <t>道德經 / Tao Te Ching</t>
        </is>
      </c>
      <c r="T609" s="18" t="inlineStr">
        <is>
          <t>Chapter 48</t>
        </is>
      </c>
      <c r="U609" s="18" t="inlineStr">
        <is>
          <t>https://zh.wikisource.org/zh-hant/%E9%81%93%E5%BE%B7%E7%B6%93_%28%E7%8E%8B%E5%BC%BC%E6%9C%AC%29</t>
        </is>
      </c>
      <c r="V609" s="18" t="inlineStr">
        <is>
          <t>Primary text</t>
        </is>
      </c>
      <c r="W609" s="18" t="inlineStr">
        <is>
          <t>Working translation</t>
        </is>
      </c>
      <c r="X609" s="18" t="inlineStr">
        <is>
          <t>A - Primary source</t>
        </is>
      </c>
      <c r="Y609" s="18" t="inlineStr">
        <is>
          <t>Original Chinese checked against Wang Bi recension; Vietnamese is Selflo working translation, not a published translation.</t>
        </is>
      </c>
      <c r="Z609" s="18" t="inlineStr">
        <is>
          <t>Public domain / likely</t>
        </is>
      </c>
      <c r="AA609" s="18" t="inlineStr">
        <is>
          <t>Ancient source text. Verify jurisdiction/edition before commercial publication.</t>
        </is>
      </c>
      <c r="AB609" s="18" t="inlineStr">
        <is>
          <t>High</t>
        </is>
      </c>
      <c r="AC609" s="18" t="inlineStr">
        <is>
          <t>Political origin; useful systems principle.</t>
        </is>
      </c>
      <c r="AD609" s="18" t="inlineStr">
        <is>
          <t>Needs editorial review</t>
        </is>
      </c>
      <c r="AE609" s="18" t="inlineStr">
        <is>
          <t>Needs semantic dedupe review</t>
        </is>
      </c>
      <c r="AF609" s="18" t="n"/>
      <c r="AG609" s="18" t="n"/>
      <c r="AH609" s="18" t="inlineStr">
        <is>
          <t>No</t>
        </is>
      </c>
      <c r="AI609" s="18" t="inlineStr">
        <is>
          <t>Not reviewed</t>
        </is>
      </c>
      <c r="AJ609" s="18" t="inlineStr">
        <is>
          <t>Research only</t>
        </is>
      </c>
      <c r="AK609" s="18" t="inlineStr">
        <is>
          <t>Research Pool</t>
        </is>
      </c>
      <c r="AL609" s="18" t="n">
        <v>2</v>
      </c>
      <c r="AM609" s="18" t="inlineStr">
        <is>
          <t>ChatGPT research</t>
        </is>
      </c>
      <c r="AN609" s="18" t="inlineStr">
        <is>
          <t>2026-09-18</t>
        </is>
      </c>
      <c r="AO609" s="18" t="inlineStr">
        <is>
          <t>Day 2 full-scope audit, chapters 21–50.</t>
        </is>
      </c>
      <c r="AP609" s="18" t="n"/>
      <c r="AQ609" s="18" t="n"/>
    </row>
    <row r="610">
      <c r="A610" s="18" t="inlineStr">
        <is>
          <t>research.laozi.day2.ch49.109</t>
        </is>
      </c>
      <c r="B610" s="18" t="inlineStr">
        <is>
          <t>Collected</t>
        </is>
      </c>
      <c r="C610" s="18" t="inlineStr">
        <is>
          <t>Nội tâm &amp; hiểu mình</t>
        </is>
      </c>
      <c r="D610" s="18" t="inlineStr">
        <is>
          <t>Day 2 / Laozi 21–50</t>
        </is>
      </c>
      <c r="E610" s="18" t="n"/>
      <c r="F610" s="18" t="inlineStr">
        <is>
          <t>Không áp một khuôn cố định lên mọi người</t>
        </is>
      </c>
      <c r="G610" s="18" t="inlineStr">
        <is>
          <t>Empathy</t>
        </is>
      </c>
      <c r="H610" s="18" t="n"/>
      <c r="I610" s="18" t="n"/>
      <c r="J610" s="18" t="n"/>
      <c r="K610" s="18" t="inlineStr">
        <is>
          <t>Return agency</t>
        </is>
      </c>
      <c r="L610" s="18" t="n"/>
      <c r="M610" s="18" t="inlineStr">
        <is>
          <t>Trích đoạn triết học</t>
        </is>
      </c>
      <c r="N610" s="18" t="inlineStr">
        <is>
          <t>聖人無常心，以百姓心為心。</t>
        </is>
      </c>
      <c r="O610" s="18" t="inlineStr">
        <is>
          <t>Classical Chinese (文言文)</t>
        </is>
      </c>
      <c r="P610" s="18" t="inlineStr">
        <is>
          <t>Người theo Đạo không cố giữ một tâm thế cố định; lấy lòng của người khác làm điều mình lắng nghe.</t>
        </is>
      </c>
      <c r="Q610" s="18" t="inlineStr">
        <is>
          <t>Laozi / 老子</t>
        </is>
      </c>
      <c r="R610" s="18" t="inlineStr">
        <is>
          <t>Taoism</t>
        </is>
      </c>
      <c r="S610" s="18" t="inlineStr">
        <is>
          <t>道德經 / Tao Te Ching</t>
        </is>
      </c>
      <c r="T610" s="18" t="inlineStr">
        <is>
          <t>Chapter 49</t>
        </is>
      </c>
      <c r="U610" s="18" t="inlineStr">
        <is>
          <t>https://zh.wikisource.org/zh-hant/%E9%81%93%E5%BE%B7%E7%B6%93_%28%E7%8E%8B%E5%BC%BC%E6%9C%AC%29</t>
        </is>
      </c>
      <c r="V610" s="18" t="inlineStr">
        <is>
          <t>Primary text</t>
        </is>
      </c>
      <c r="W610" s="18" t="inlineStr">
        <is>
          <t>Working translation</t>
        </is>
      </c>
      <c r="X610" s="18" t="inlineStr">
        <is>
          <t>A - Primary source</t>
        </is>
      </c>
      <c r="Y610" s="18" t="inlineStr">
        <is>
          <t>Original Chinese checked against Wang Bi recension; Vietnamese is Selflo working translation, not a published translation.</t>
        </is>
      </c>
      <c r="Z610" s="18" t="inlineStr">
        <is>
          <t>Public domain / likely</t>
        </is>
      </c>
      <c r="AA610" s="18" t="inlineStr">
        <is>
          <t>Ancient source text. Verify jurisdiction/edition before commercial publication.</t>
        </is>
      </c>
      <c r="AB610" s="18" t="inlineStr">
        <is>
          <t>High</t>
        </is>
      </c>
      <c r="AC610" s="18" t="inlineStr">
        <is>
          <t>Excellent Selflo personalization.</t>
        </is>
      </c>
      <c r="AD610" s="18" t="inlineStr">
        <is>
          <t>Needs editorial review</t>
        </is>
      </c>
      <c r="AE610" s="18" t="inlineStr">
        <is>
          <t>Needs semantic dedupe review</t>
        </is>
      </c>
      <c r="AF610" s="18" t="n"/>
      <c r="AG610" s="18" t="n"/>
      <c r="AH610" s="18" t="inlineStr">
        <is>
          <t>No</t>
        </is>
      </c>
      <c r="AI610" s="18" t="inlineStr">
        <is>
          <t>Not reviewed</t>
        </is>
      </c>
      <c r="AJ610" s="18" t="inlineStr">
        <is>
          <t>Research only</t>
        </is>
      </c>
      <c r="AK610" s="18" t="inlineStr">
        <is>
          <t>Research Pool</t>
        </is>
      </c>
      <c r="AL610" s="18" t="n">
        <v>2</v>
      </c>
      <c r="AM610" s="18" t="inlineStr">
        <is>
          <t>ChatGPT research</t>
        </is>
      </c>
      <c r="AN610" s="18" t="inlineStr">
        <is>
          <t>2026-09-18</t>
        </is>
      </c>
      <c r="AO610" s="18" t="inlineStr">
        <is>
          <t>Day 2 full-scope audit, chapters 21–50.</t>
        </is>
      </c>
      <c r="AP610" s="18" t="n"/>
      <c r="AQ610" s="18" t="n"/>
    </row>
    <row r="611">
      <c r="A611" s="18" t="inlineStr">
        <is>
          <t>research.laozi.day2.ch49.110</t>
        </is>
      </c>
      <c r="B611" s="18" t="inlineStr">
        <is>
          <t>Collected</t>
        </is>
      </c>
      <c r="C611" s="18" t="inlineStr">
        <is>
          <t>Nội tâm &amp; hiểu mình</t>
        </is>
      </c>
      <c r="D611" s="18" t="inlineStr">
        <is>
          <t>Day 2 / Laozi 21–50</t>
        </is>
      </c>
      <c r="E611" s="18" t="n"/>
      <c r="F611" s="18" t="inlineStr">
        <is>
          <t>Không rút phẩm giá chỉ vì một người chưa làm tốt</t>
        </is>
      </c>
      <c r="G611" s="18" t="inlineStr">
        <is>
          <t>Compassion</t>
        </is>
      </c>
      <c r="H611" s="18" t="n"/>
      <c r="I611" s="18" t="n"/>
      <c r="J611" s="18" t="n"/>
      <c r="K611" s="18" t="inlineStr">
        <is>
          <t>Permit</t>
        </is>
      </c>
      <c r="L611" s="18" t="n"/>
      <c r="M611" s="18" t="inlineStr">
        <is>
          <t>Trích đoạn triết học</t>
        </is>
      </c>
      <c r="N611" s="18" t="inlineStr">
        <is>
          <t>善者吾善之，不善者吾亦善之，德善。</t>
        </is>
      </c>
      <c r="O611" s="18" t="inlineStr">
        <is>
          <t>Classical Chinese (文言文)</t>
        </is>
      </c>
      <c r="P611" s="18" t="inlineStr">
        <is>
          <t>Với người được xem là tốt thì đối xử tốt; với người chưa được xem là tốt cũng không vội bỏ sự thiện.</t>
        </is>
      </c>
      <c r="Q611" s="18" t="inlineStr">
        <is>
          <t>Laozi / 老子</t>
        </is>
      </c>
      <c r="R611" s="18" t="inlineStr">
        <is>
          <t>Taoism</t>
        </is>
      </c>
      <c r="S611" s="18" t="inlineStr">
        <is>
          <t>道德經 / Tao Te Ching</t>
        </is>
      </c>
      <c r="T611" s="18" t="inlineStr">
        <is>
          <t>Chapter 49</t>
        </is>
      </c>
      <c r="U611" s="18" t="inlineStr">
        <is>
          <t>https://zh.wikisource.org/zh-hant/%E9%81%93%E5%BE%B7%E7%B6%93_%28%E7%8E%8B%E5%BC%BC%E6%9C%AC%29</t>
        </is>
      </c>
      <c r="V611" s="18" t="inlineStr">
        <is>
          <t>Primary text</t>
        </is>
      </c>
      <c r="W611" s="18" t="inlineStr">
        <is>
          <t>Working translation</t>
        </is>
      </c>
      <c r="X611" s="18" t="inlineStr">
        <is>
          <t>A - Primary source</t>
        </is>
      </c>
      <c r="Y611" s="18" t="inlineStr">
        <is>
          <t>Original Chinese checked against Wang Bi recension; Vietnamese is Selflo working translation, not a published translation.</t>
        </is>
      </c>
      <c r="Z611" s="18" t="inlineStr">
        <is>
          <t>Public domain / likely</t>
        </is>
      </c>
      <c r="AA611" s="18" t="inlineStr">
        <is>
          <t>Ancient source text. Verify jurisdiction/edition before commercial publication.</t>
        </is>
      </c>
      <c r="AB611" s="18" t="inlineStr">
        <is>
          <t>High</t>
        </is>
      </c>
      <c r="AC611" s="18" t="inlineStr">
        <is>
          <t>Strong self-compassion/relationships.</t>
        </is>
      </c>
      <c r="AD611" s="18" t="inlineStr">
        <is>
          <t>Needs editorial review</t>
        </is>
      </c>
      <c r="AE611" s="18" t="inlineStr">
        <is>
          <t>Needs semantic dedupe review</t>
        </is>
      </c>
      <c r="AF611" s="18" t="n"/>
      <c r="AG611" s="18" t="n"/>
      <c r="AH611" s="18" t="inlineStr">
        <is>
          <t>No</t>
        </is>
      </c>
      <c r="AI611" s="18" t="inlineStr">
        <is>
          <t>Not reviewed</t>
        </is>
      </c>
      <c r="AJ611" s="18" t="inlineStr">
        <is>
          <t>Research only</t>
        </is>
      </c>
      <c r="AK611" s="18" t="inlineStr">
        <is>
          <t>Research Pool</t>
        </is>
      </c>
      <c r="AL611" s="18" t="n">
        <v>2</v>
      </c>
      <c r="AM611" s="18" t="inlineStr">
        <is>
          <t>ChatGPT research</t>
        </is>
      </c>
      <c r="AN611" s="18" t="inlineStr">
        <is>
          <t>2026-09-18</t>
        </is>
      </c>
      <c r="AO611" s="18" t="inlineStr">
        <is>
          <t>Day 2 full-scope audit, chapters 21–50.</t>
        </is>
      </c>
      <c r="AP611" s="18" t="n"/>
      <c r="AQ611" s="18" t="n"/>
    </row>
    <row r="612">
      <c r="A612" s="18" t="inlineStr">
        <is>
          <t>research.laozi.day2.ch49.111</t>
        </is>
      </c>
      <c r="B612" s="18" t="inlineStr">
        <is>
          <t>Collected</t>
        </is>
      </c>
      <c r="C612" s="18" t="inlineStr">
        <is>
          <t>Nội tâm &amp; hiểu mình</t>
        </is>
      </c>
      <c r="D612" s="18" t="inlineStr">
        <is>
          <t>Day 2 / Laozi 21–50</t>
        </is>
      </c>
      <c r="E612" s="18" t="n"/>
      <c r="F612" s="18" t="inlineStr">
        <is>
          <t>Không đóng một con người vào một nhãn cố định</t>
        </is>
      </c>
      <c r="G612" s="18" t="inlineStr">
        <is>
          <t>Trust</t>
        </is>
      </c>
      <c r="H612" s="18" t="n"/>
      <c r="I612" s="18" t="n"/>
      <c r="J612" s="18" t="n"/>
      <c r="K612" s="18" t="inlineStr">
        <is>
          <t>Reframe</t>
        </is>
      </c>
      <c r="L612" s="18" t="n"/>
      <c r="M612" s="18" t="inlineStr">
        <is>
          <t>Trích đoạn triết học</t>
        </is>
      </c>
      <c r="N612" s="18" t="inlineStr">
        <is>
          <t>信者吾信之，不信者吾亦信之，德信。</t>
        </is>
      </c>
      <c r="O612" s="18" t="inlineStr">
        <is>
          <t>Classical Chinese (文言文)</t>
        </is>
      </c>
      <c r="P612" s="18" t="inlineStr">
        <is>
          <t>Với người đáng tin thì giữ lòng tin; với người chưa đáng tin, văn bản vẫn hướng đến một cách đối xử không đóng kín hoàn toàn.</t>
        </is>
      </c>
      <c r="Q612" s="18" t="inlineStr">
        <is>
          <t>Laozi / 老子</t>
        </is>
      </c>
      <c r="R612" s="18" t="inlineStr">
        <is>
          <t>Taoism</t>
        </is>
      </c>
      <c r="S612" s="18" t="inlineStr">
        <is>
          <t>道德經 / Tao Te Ching</t>
        </is>
      </c>
      <c r="T612" s="18" t="inlineStr">
        <is>
          <t>Chapter 49</t>
        </is>
      </c>
      <c r="U612" s="18" t="inlineStr">
        <is>
          <t>https://zh.wikisource.org/zh-hant/%E9%81%93%E5%BE%B7%E7%B6%93_%28%E7%8E%8B%E5%BC%BC%E6%9C%AC%29</t>
        </is>
      </c>
      <c r="V612" s="18" t="inlineStr">
        <is>
          <t>Primary text</t>
        </is>
      </c>
      <c r="W612" s="18" t="inlineStr">
        <is>
          <t>Working translation</t>
        </is>
      </c>
      <c r="X612" s="18" t="inlineStr">
        <is>
          <t>A - Primary source</t>
        </is>
      </c>
      <c r="Y612" s="18" t="inlineStr">
        <is>
          <t>Original Chinese checked against Wang Bi recension; Vietnamese is Selflo working translation, not a published translation.</t>
        </is>
      </c>
      <c r="Z612" s="18" t="inlineStr">
        <is>
          <t>Public domain / likely</t>
        </is>
      </c>
      <c r="AA612" s="18" t="inlineStr">
        <is>
          <t>Ancient source text. Verify jurisdiction/edition before commercial publication.</t>
        </is>
      </c>
      <c r="AB612" s="18" t="inlineStr">
        <is>
          <t>Medium</t>
        </is>
      </c>
      <c r="AC612" s="18" t="inlineStr">
        <is>
          <t>Translation contested; needs scholarly review.</t>
        </is>
      </c>
      <c r="AD612" s="18" t="inlineStr">
        <is>
          <t>Needs editorial review</t>
        </is>
      </c>
      <c r="AE612" s="18" t="inlineStr">
        <is>
          <t>Needs semantic dedupe review</t>
        </is>
      </c>
      <c r="AF612" s="18" t="n"/>
      <c r="AG612" s="18" t="n"/>
      <c r="AH612" s="18" t="inlineStr">
        <is>
          <t>No</t>
        </is>
      </c>
      <c r="AI612" s="18" t="inlineStr">
        <is>
          <t>Not reviewed</t>
        </is>
      </c>
      <c r="AJ612" s="18" t="inlineStr">
        <is>
          <t>Research only</t>
        </is>
      </c>
      <c r="AK612" s="18" t="inlineStr">
        <is>
          <t>Research Pool</t>
        </is>
      </c>
      <c r="AL612" s="18" t="n">
        <v>2</v>
      </c>
      <c r="AM612" s="18" t="inlineStr">
        <is>
          <t>ChatGPT research</t>
        </is>
      </c>
      <c r="AN612" s="18" t="inlineStr">
        <is>
          <t>2026-09-18</t>
        </is>
      </c>
      <c r="AO612" s="18" t="inlineStr">
        <is>
          <t>Day 2 full-scope audit, chapters 21–50.</t>
        </is>
      </c>
      <c r="AP612" s="18" t="n"/>
      <c r="AQ612" s="18" t="n"/>
    </row>
    <row r="613">
      <c r="A613" s="18" t="inlineStr">
        <is>
          <t>research.laozi.day2.ch49.112</t>
        </is>
      </c>
      <c r="B613" s="18" t="inlineStr">
        <is>
          <t>Collected</t>
        </is>
      </c>
      <c r="C613" s="18" t="inlineStr">
        <is>
          <t>Nội tâm &amp; hiểu mình</t>
        </is>
      </c>
      <c r="D613" s="18" t="inlineStr">
        <is>
          <t>Day 2 / Laozi 21–50</t>
        </is>
      </c>
      <c r="E613" s="18" t="n"/>
      <c r="F613" s="18" t="inlineStr">
        <is>
          <t>Giữ không gian trước khi phán xét</t>
        </is>
      </c>
      <c r="G613" s="18" t="inlineStr">
        <is>
          <t>Judgment</t>
        </is>
      </c>
      <c r="H613" s="18" t="n"/>
      <c r="I613" s="18" t="n"/>
      <c r="J613" s="18" t="n"/>
      <c r="K613" s="18" t="inlineStr">
        <is>
          <t>Permit</t>
        </is>
      </c>
      <c r="L613" s="18" t="n"/>
      <c r="M613" s="18" t="inlineStr">
        <is>
          <t>Trích đoạn triết học</t>
        </is>
      </c>
      <c r="N613" s="18" t="inlineStr">
        <is>
          <t>聖人在天下歙歙焉，為天下渾其心。</t>
        </is>
      </c>
      <c r="O613" s="18" t="inlineStr">
        <is>
          <t>Classical Chinese (文言文)</t>
        </is>
      </c>
      <c r="P613" s="18" t="inlineStr">
        <is>
          <t>Người theo Đạo làm mềm các phân chia cứng và giữ một tâm không vội đóng khung.</t>
        </is>
      </c>
      <c r="Q613" s="18" t="inlineStr">
        <is>
          <t>Laozi / 老子</t>
        </is>
      </c>
      <c r="R613" s="18" t="inlineStr">
        <is>
          <t>Taoism</t>
        </is>
      </c>
      <c r="S613" s="18" t="inlineStr">
        <is>
          <t>道德經 / Tao Te Ching</t>
        </is>
      </c>
      <c r="T613" s="18" t="inlineStr">
        <is>
          <t>Chapter 49</t>
        </is>
      </c>
      <c r="U613" s="18" t="inlineStr">
        <is>
          <t>https://zh.wikisource.org/zh-hant/%E9%81%93%E5%BE%B7%E7%B6%93_%28%E7%8E%8B%E5%BC%BC%E6%9C%AC%29</t>
        </is>
      </c>
      <c r="V613" s="18" t="inlineStr">
        <is>
          <t>Primary text</t>
        </is>
      </c>
      <c r="W613" s="18" t="inlineStr">
        <is>
          <t>Working translation</t>
        </is>
      </c>
      <c r="X613" s="18" t="inlineStr">
        <is>
          <t>A - Primary source</t>
        </is>
      </c>
      <c r="Y613" s="18" t="inlineStr">
        <is>
          <t>Original Chinese checked against Wang Bi recension; Vietnamese is Selflo working translation, not a published translation.</t>
        </is>
      </c>
      <c r="Z613" s="18" t="inlineStr">
        <is>
          <t>Public domain / likely</t>
        </is>
      </c>
      <c r="AA613" s="18" t="inlineStr">
        <is>
          <t>Ancient source text. Verify jurisdiction/edition before commercial publication.</t>
        </is>
      </c>
      <c r="AB613" s="18" t="inlineStr">
        <is>
          <t>High</t>
        </is>
      </c>
      <c r="AC613" s="18" t="inlineStr">
        <is>
          <t>Interpretive.</t>
        </is>
      </c>
      <c r="AD613" s="18" t="inlineStr">
        <is>
          <t>Needs editorial review</t>
        </is>
      </c>
      <c r="AE613" s="18" t="inlineStr">
        <is>
          <t>Needs semantic dedupe review</t>
        </is>
      </c>
      <c r="AF613" s="18" t="n"/>
      <c r="AG613" s="18" t="n"/>
      <c r="AH613" s="18" t="inlineStr">
        <is>
          <t>No</t>
        </is>
      </c>
      <c r="AI613" s="18" t="inlineStr">
        <is>
          <t>Not reviewed</t>
        </is>
      </c>
      <c r="AJ613" s="18" t="inlineStr">
        <is>
          <t>Research only</t>
        </is>
      </c>
      <c r="AK613" s="18" t="inlineStr">
        <is>
          <t>Research Pool</t>
        </is>
      </c>
      <c r="AL613" s="18" t="n">
        <v>2</v>
      </c>
      <c r="AM613" s="18" t="inlineStr">
        <is>
          <t>ChatGPT research</t>
        </is>
      </c>
      <c r="AN613" s="18" t="inlineStr">
        <is>
          <t>2026-09-18</t>
        </is>
      </c>
      <c r="AO613" s="18" t="inlineStr">
        <is>
          <t>Day 2 full-scope audit, chapters 21–50.</t>
        </is>
      </c>
      <c r="AP613" s="18" t="n"/>
      <c r="AQ613" s="18" t="n"/>
    </row>
    <row r="614">
      <c r="A614" s="18" t="inlineStr">
        <is>
          <t>research.laozi.day2.ch49.113</t>
        </is>
      </c>
      <c r="B614" s="18" t="inlineStr">
        <is>
          <t>Collected</t>
        </is>
      </c>
      <c r="C614" s="18" t="inlineStr">
        <is>
          <t>Nội tâm &amp; hiểu mình</t>
        </is>
      </c>
      <c r="D614" s="18" t="inlineStr">
        <is>
          <t>Day 2 / Laozi 21–50</t>
        </is>
      </c>
      <c r="E614" s="18" t="n"/>
      <c r="F614" s="18" t="inlineStr">
        <is>
          <t>Giữ sự mềm với con người giữa nhiều phán xét</t>
        </is>
      </c>
      <c r="G614" s="18" t="inlineStr">
        <is>
          <t>Compassion</t>
        </is>
      </c>
      <c r="H614" s="18" t="n"/>
      <c r="I614" s="18" t="n"/>
      <c r="J614" s="18" t="n"/>
      <c r="K614" s="18" t="inlineStr">
        <is>
          <t>Permit</t>
        </is>
      </c>
      <c r="L614" s="18" t="n"/>
      <c r="M614" s="18" t="inlineStr">
        <is>
          <t>Trích đoạn triết học</t>
        </is>
      </c>
      <c r="N614" s="18" t="inlineStr">
        <is>
          <t>百姓皆注其耳目，聖人皆孩之。</t>
        </is>
      </c>
      <c r="O614" s="18" t="inlineStr">
        <is>
          <t>Classical Chinese (文言文)</t>
        </is>
      </c>
      <c r="P614" s="18" t="inlineStr">
        <is>
          <t>Khi mọi người dồn mắt tai vào phân biệt, người theo Đạo nhìn họ với sự mềm như nhìn trẻ nhỏ.</t>
        </is>
      </c>
      <c r="Q614" s="18" t="inlineStr">
        <is>
          <t>Laozi / 老子</t>
        </is>
      </c>
      <c r="R614" s="18" t="inlineStr">
        <is>
          <t>Taoism</t>
        </is>
      </c>
      <c r="S614" s="18" t="inlineStr">
        <is>
          <t>道德經 / Tao Te Ching</t>
        </is>
      </c>
      <c r="T614" s="18" t="inlineStr">
        <is>
          <t>Chapter 49</t>
        </is>
      </c>
      <c r="U614" s="18" t="inlineStr">
        <is>
          <t>https://zh.wikisource.org/zh-hant/%E9%81%93%E5%BE%B7%E7%B6%93_%28%E7%8E%8B%E5%BC%BC%E6%9C%AC%29</t>
        </is>
      </c>
      <c r="V614" s="18" t="inlineStr">
        <is>
          <t>Primary text</t>
        </is>
      </c>
      <c r="W614" s="18" t="inlineStr">
        <is>
          <t>Working translation</t>
        </is>
      </c>
      <c r="X614" s="18" t="inlineStr">
        <is>
          <t>A - Primary source</t>
        </is>
      </c>
      <c r="Y614" s="18" t="inlineStr">
        <is>
          <t>Original Chinese checked against Wang Bi recension; Vietnamese is Selflo working translation, not a published translation.</t>
        </is>
      </c>
      <c r="Z614" s="18" t="inlineStr">
        <is>
          <t>Public domain / likely</t>
        </is>
      </c>
      <c r="AA614" s="18" t="inlineStr">
        <is>
          <t>Ancient source text. Verify jurisdiction/edition before commercial publication.</t>
        </is>
      </c>
      <c r="AB614" s="18" t="inlineStr">
        <is>
          <t>Medium</t>
        </is>
      </c>
      <c r="AC614" s="18" t="inlineStr">
        <is>
          <t>Paternalism risk; research only.</t>
        </is>
      </c>
      <c r="AD614" s="18" t="inlineStr">
        <is>
          <t>Needs editorial review</t>
        </is>
      </c>
      <c r="AE614" s="18" t="inlineStr">
        <is>
          <t>Needs semantic dedupe review</t>
        </is>
      </c>
      <c r="AF614" s="18" t="n"/>
      <c r="AG614" s="18" t="n"/>
      <c r="AH614" s="18" t="inlineStr">
        <is>
          <t>No</t>
        </is>
      </c>
      <c r="AI614" s="18" t="inlineStr">
        <is>
          <t>Not reviewed</t>
        </is>
      </c>
      <c r="AJ614" s="18" t="inlineStr">
        <is>
          <t>Research only</t>
        </is>
      </c>
      <c r="AK614" s="18" t="inlineStr">
        <is>
          <t>Research Pool</t>
        </is>
      </c>
      <c r="AL614" s="18" t="n">
        <v>2</v>
      </c>
      <c r="AM614" s="18" t="inlineStr">
        <is>
          <t>ChatGPT research</t>
        </is>
      </c>
      <c r="AN614" s="18" t="inlineStr">
        <is>
          <t>2026-09-18</t>
        </is>
      </c>
      <c r="AO614" s="18" t="inlineStr">
        <is>
          <t>Day 2 full-scope audit, chapters 21–50.</t>
        </is>
      </c>
      <c r="AP614" s="18" t="n"/>
      <c r="AQ614" s="18" t="n"/>
    </row>
    <row r="615">
      <c r="A615" s="18" t="inlineStr">
        <is>
          <t>research.laozi.day2.ch50.114</t>
        </is>
      </c>
      <c r="B615" s="18" t="inlineStr">
        <is>
          <t>Collected</t>
        </is>
      </c>
      <c r="C615" s="18" t="inlineStr">
        <is>
          <t>Nội tâm &amp; hiểu mình</t>
        </is>
      </c>
      <c r="D615" s="18" t="inlineStr">
        <is>
          <t>Day 2 / Laozi 21–50</t>
        </is>
      </c>
      <c r="E615" s="18" t="n"/>
      <c r="F615" s="18" t="inlineStr">
        <is>
          <t>Sống luôn đi cùng tính hữu hạn</t>
        </is>
      </c>
      <c r="G615" s="18" t="inlineStr">
        <is>
          <t>Mortality</t>
        </is>
      </c>
      <c r="H615" s="18" t="n"/>
      <c r="I615" s="18" t="n"/>
      <c r="J615" s="18" t="n"/>
      <c r="K615" s="18" t="inlineStr">
        <is>
          <t>Recognize</t>
        </is>
      </c>
      <c r="L615" s="18" t="n"/>
      <c r="M615" s="18" t="inlineStr">
        <is>
          <t>Trích đoạn triết học</t>
        </is>
      </c>
      <c r="N615" s="18" t="inlineStr">
        <is>
          <t>出生入死。</t>
        </is>
      </c>
      <c r="O615" s="18" t="inlineStr">
        <is>
          <t>Classical Chinese (文言文)</t>
        </is>
      </c>
      <c r="P615" s="18" t="inlineStr">
        <is>
          <t>Đi ra với sự sống và đi vào với cái chết.</t>
        </is>
      </c>
      <c r="Q615" s="18" t="inlineStr">
        <is>
          <t>Laozi / 老子</t>
        </is>
      </c>
      <c r="R615" s="18" t="inlineStr">
        <is>
          <t>Taoism</t>
        </is>
      </c>
      <c r="S615" s="18" t="inlineStr">
        <is>
          <t>道德經 / Tao Te Ching</t>
        </is>
      </c>
      <c r="T615" s="18" t="inlineStr">
        <is>
          <t>Chapter 50</t>
        </is>
      </c>
      <c r="U615" s="18" t="inlineStr">
        <is>
          <t>https://zh.wikisource.org/zh-hant/%E9%81%93%E5%BE%B7%E7%B6%93_%28%E7%8E%8B%E5%BC%BC%E6%9C%AC%29</t>
        </is>
      </c>
      <c r="V615" s="18" t="inlineStr">
        <is>
          <t>Primary text</t>
        </is>
      </c>
      <c r="W615" s="18" t="inlineStr">
        <is>
          <t>Working translation</t>
        </is>
      </c>
      <c r="X615" s="18" t="inlineStr">
        <is>
          <t>A - Primary source</t>
        </is>
      </c>
      <c r="Y615" s="18" t="inlineStr">
        <is>
          <t>Original Chinese checked against Wang Bi recension; Vietnamese is Selflo working translation, not a published translation.</t>
        </is>
      </c>
      <c r="Z615" s="18" t="inlineStr">
        <is>
          <t>Public domain / likely</t>
        </is>
      </c>
      <c r="AA615" s="18" t="inlineStr">
        <is>
          <t>Ancient source text. Verify jurisdiction/edition before commercial publication.</t>
        </is>
      </c>
      <c r="AB615" s="18" t="inlineStr">
        <is>
          <t>Medium</t>
        </is>
      </c>
      <c r="AC615" s="18" t="inlineStr">
        <is>
          <t>Existential.</t>
        </is>
      </c>
      <c r="AD615" s="18" t="inlineStr">
        <is>
          <t>Needs editorial review</t>
        </is>
      </c>
      <c r="AE615" s="18" t="inlineStr">
        <is>
          <t>Needs semantic dedupe review</t>
        </is>
      </c>
      <c r="AF615" s="18" t="n"/>
      <c r="AG615" s="18" t="n"/>
      <c r="AH615" s="18" t="inlineStr">
        <is>
          <t>No</t>
        </is>
      </c>
      <c r="AI615" s="18" t="inlineStr">
        <is>
          <t>Not reviewed</t>
        </is>
      </c>
      <c r="AJ615" s="18" t="inlineStr">
        <is>
          <t>Research only</t>
        </is>
      </c>
      <c r="AK615" s="18" t="inlineStr">
        <is>
          <t>Research Pool</t>
        </is>
      </c>
      <c r="AL615" s="18" t="n">
        <v>2</v>
      </c>
      <c r="AM615" s="18" t="inlineStr">
        <is>
          <t>ChatGPT research</t>
        </is>
      </c>
      <c r="AN615" s="18" t="inlineStr">
        <is>
          <t>2026-09-18</t>
        </is>
      </c>
      <c r="AO615" s="18" t="inlineStr">
        <is>
          <t>Day 2 full-scope audit, chapters 21–50.</t>
        </is>
      </c>
      <c r="AP615" s="18" t="n"/>
      <c r="AQ615" s="18" t="n"/>
    </row>
    <row r="616">
      <c r="A616" s="18" t="inlineStr">
        <is>
          <t>research.laozi.day2.ch50.115</t>
        </is>
      </c>
      <c r="B616" s="18" t="inlineStr">
        <is>
          <t>Collected</t>
        </is>
      </c>
      <c r="C616" s="18" t="inlineStr">
        <is>
          <t>Nội tâm &amp; hiểu mình</t>
        </is>
      </c>
      <c r="D616" s="18" t="inlineStr">
        <is>
          <t>Day 2 / Laozi 21–50</t>
        </is>
      </c>
      <c r="E616" s="18" t="n"/>
      <c r="F616" s="18" t="inlineStr">
        <is>
          <t>Nhìn tính hữu hạn và cách mình sống với nó</t>
        </is>
      </c>
      <c r="G616" s="18" t="inlineStr">
        <is>
          <t>Mortality</t>
        </is>
      </c>
      <c r="H616" s="18" t="n"/>
      <c r="I616" s="18" t="n"/>
      <c r="J616" s="18" t="n"/>
      <c r="K616" s="18" t="inlineStr">
        <is>
          <t>Recognize</t>
        </is>
      </c>
      <c r="L616" s="18" t="n"/>
      <c r="M616" s="18" t="inlineStr">
        <is>
          <t>Trích đoạn triết học</t>
        </is>
      </c>
      <c r="N616" s="18" t="inlineStr">
        <is>
          <t>生之徒，十有三；死之徒，十有三；人之生，動之死地，亦十有三。</t>
        </is>
      </c>
      <c r="O616" s="18" t="inlineStr">
        <is>
          <t>Classical Chinese (文言文)</t>
        </is>
      </c>
      <c r="P616" s="18" t="inlineStr">
        <is>
          <t>Văn bản đặt sự sống, cái chết và những cách tự đưa mình vào nguy hiểm cạnh nhau.</t>
        </is>
      </c>
      <c r="Q616" s="18" t="inlineStr">
        <is>
          <t>Laozi / 老子</t>
        </is>
      </c>
      <c r="R616" s="18" t="inlineStr">
        <is>
          <t>Taoism</t>
        </is>
      </c>
      <c r="S616" s="18" t="inlineStr">
        <is>
          <t>道德經 / Tao Te Ching</t>
        </is>
      </c>
      <c r="T616" s="18" t="inlineStr">
        <is>
          <t>Chapter 50</t>
        </is>
      </c>
      <c r="U616" s="18" t="inlineStr">
        <is>
          <t>https://zh.wikisource.org/zh-hant/%E9%81%93%E5%BE%B7%E7%B6%93_%28%E7%8E%8B%E5%BC%BC%E6%9C%AC%29</t>
        </is>
      </c>
      <c r="V616" s="18" t="inlineStr">
        <is>
          <t>Primary text</t>
        </is>
      </c>
      <c r="W616" s="18" t="inlineStr">
        <is>
          <t>Working translation</t>
        </is>
      </c>
      <c r="X616" s="18" t="inlineStr">
        <is>
          <t>A - Primary source</t>
        </is>
      </c>
      <c r="Y616" s="18" t="inlineStr">
        <is>
          <t>Original Chinese checked against Wang Bi recension; Vietnamese is Selflo working translation, not a published translation.</t>
        </is>
      </c>
      <c r="Z616" s="18" t="inlineStr">
        <is>
          <t>Public domain / likely</t>
        </is>
      </c>
      <c r="AA616" s="18" t="inlineStr">
        <is>
          <t>Ancient source text. Verify jurisdiction/edition before commercial publication.</t>
        </is>
      </c>
      <c r="AB616" s="18" t="inlineStr">
        <is>
          <t>Low</t>
        </is>
      </c>
      <c r="AC616" s="18" t="inlineStr">
        <is>
          <t>Textual interpretation disputed.</t>
        </is>
      </c>
      <c r="AD616" s="18" t="inlineStr">
        <is>
          <t>Needs editorial review</t>
        </is>
      </c>
      <c r="AE616" s="18" t="inlineStr">
        <is>
          <t>Needs semantic dedupe review</t>
        </is>
      </c>
      <c r="AF616" s="18" t="n"/>
      <c r="AG616" s="18" t="n"/>
      <c r="AH616" s="18" t="inlineStr">
        <is>
          <t>No</t>
        </is>
      </c>
      <c r="AI616" s="18" t="inlineStr">
        <is>
          <t>Not reviewed</t>
        </is>
      </c>
      <c r="AJ616" s="18" t="inlineStr">
        <is>
          <t>Research only</t>
        </is>
      </c>
      <c r="AK616" s="18" t="inlineStr">
        <is>
          <t>Research Pool</t>
        </is>
      </c>
      <c r="AL616" s="18" t="n">
        <v>2</v>
      </c>
      <c r="AM616" s="18" t="inlineStr">
        <is>
          <t>ChatGPT research</t>
        </is>
      </c>
      <c r="AN616" s="18" t="inlineStr">
        <is>
          <t>2026-09-18</t>
        </is>
      </c>
      <c r="AO616" s="18" t="inlineStr">
        <is>
          <t>Day 2 full-scope audit, chapters 21–50.</t>
        </is>
      </c>
      <c r="AP616" s="18" t="n"/>
      <c r="AQ616" s="18" t="n"/>
    </row>
    <row r="617">
      <c r="A617" s="18" t="inlineStr">
        <is>
          <t>research.laozi.day2.ch50.116</t>
        </is>
      </c>
      <c r="B617" s="18" t="inlineStr">
        <is>
          <t>Collected</t>
        </is>
      </c>
      <c r="C617" s="18" t="inlineStr">
        <is>
          <t>Nội tâm &amp; hiểu mình</t>
        </is>
      </c>
      <c r="D617" s="18" t="inlineStr">
        <is>
          <t>Day 2 / Laozi 21–50</t>
        </is>
      </c>
      <c r="E617" s="18" t="n"/>
      <c r="F617" s="18" t="inlineStr">
        <is>
          <t>Nắm quá chặt điều muốn bảo vệ có thể tạo rủi ro khác</t>
        </is>
      </c>
      <c r="G617" s="18" t="inlineStr">
        <is>
          <t>Attachment</t>
        </is>
      </c>
      <c r="H617" s="18" t="n"/>
      <c r="I617" s="18" t="n"/>
      <c r="J617" s="18" t="n"/>
      <c r="K617" s="18" t="inlineStr">
        <is>
          <t>Reframe</t>
        </is>
      </c>
      <c r="L617" s="18" t="n"/>
      <c r="M617" s="18" t="inlineStr">
        <is>
          <t>Trích đoạn triết học</t>
        </is>
      </c>
      <c r="N617" s="18" t="inlineStr">
        <is>
          <t>夫何故？以其生生之厚。</t>
        </is>
      </c>
      <c r="O617" s="18" t="inlineStr">
        <is>
          <t>Classical Chinese (文言文)</t>
        </is>
      </c>
      <c r="P617" s="18" t="inlineStr">
        <is>
          <t>Vì sao? Văn bản gợi rằng có khi chính sự bám quá dày vào việc giữ sự sống lại đưa người ta vào chỗ nguy.</t>
        </is>
      </c>
      <c r="Q617" s="18" t="inlineStr">
        <is>
          <t>Laozi / 老子</t>
        </is>
      </c>
      <c r="R617" s="18" t="inlineStr">
        <is>
          <t>Taoism</t>
        </is>
      </c>
      <c r="S617" s="18" t="inlineStr">
        <is>
          <t>道德經 / Tao Te Ching</t>
        </is>
      </c>
      <c r="T617" s="18" t="inlineStr">
        <is>
          <t>Chapter 50</t>
        </is>
      </c>
      <c r="U617" s="18" t="inlineStr">
        <is>
          <t>https://zh.wikisource.org/zh-hant/%E9%81%93%E5%BE%B7%E7%B6%93_%28%E7%8E%8B%E5%BC%BC%E6%9C%AC%29</t>
        </is>
      </c>
      <c r="V617" s="18" t="inlineStr">
        <is>
          <t>Primary text</t>
        </is>
      </c>
      <c r="W617" s="18" t="inlineStr">
        <is>
          <t>Working translation</t>
        </is>
      </c>
      <c r="X617" s="18" t="inlineStr">
        <is>
          <t>A - Primary source</t>
        </is>
      </c>
      <c r="Y617" s="18" t="inlineStr">
        <is>
          <t>Original Chinese checked against Wang Bi recension; Vietnamese is Selflo working translation, not a published translation.</t>
        </is>
      </c>
      <c r="Z617" s="18" t="inlineStr">
        <is>
          <t>Public domain / likely</t>
        </is>
      </c>
      <c r="AA617" s="18" t="inlineStr">
        <is>
          <t>Ancient source text. Verify jurisdiction/edition before commercial publication.</t>
        </is>
      </c>
      <c r="AB617" s="18" t="inlineStr">
        <is>
          <t>Medium</t>
        </is>
      </c>
      <c r="AC617" s="18" t="inlineStr">
        <is>
          <t>Difficult ancient passage.</t>
        </is>
      </c>
      <c r="AD617" s="18" t="inlineStr">
        <is>
          <t>Needs editorial review</t>
        </is>
      </c>
      <c r="AE617" s="18" t="inlineStr">
        <is>
          <t>Needs semantic dedupe review</t>
        </is>
      </c>
      <c r="AF617" s="18" t="n"/>
      <c r="AG617" s="18" t="n"/>
      <c r="AH617" s="18" t="inlineStr">
        <is>
          <t>No</t>
        </is>
      </c>
      <c r="AI617" s="18" t="inlineStr">
        <is>
          <t>Not reviewed</t>
        </is>
      </c>
      <c r="AJ617" s="18" t="inlineStr">
        <is>
          <t>Research only</t>
        </is>
      </c>
      <c r="AK617" s="18" t="inlineStr">
        <is>
          <t>Research Pool</t>
        </is>
      </c>
      <c r="AL617" s="18" t="n">
        <v>2</v>
      </c>
      <c r="AM617" s="18" t="inlineStr">
        <is>
          <t>ChatGPT research</t>
        </is>
      </c>
      <c r="AN617" s="18" t="inlineStr">
        <is>
          <t>2026-09-18</t>
        </is>
      </c>
      <c r="AO617" s="18" t="inlineStr">
        <is>
          <t>Day 2 full-scope audit, chapters 21–50.</t>
        </is>
      </c>
      <c r="AP617" s="18" t="n"/>
      <c r="AQ617" s="18" t="n"/>
    </row>
    <row r="618">
      <c r="A618" s="18" t="inlineStr">
        <is>
          <t>research.laozi.day2.ch50.117</t>
        </is>
      </c>
      <c r="B618" s="18" t="inlineStr">
        <is>
          <t>Collected</t>
        </is>
      </c>
      <c r="C618" s="18" t="inlineStr">
        <is>
          <t>Nội tâm &amp; hiểu mình</t>
        </is>
      </c>
      <c r="D618" s="18" t="inlineStr">
        <is>
          <t>Day 2 / Laozi 21–50</t>
        </is>
      </c>
      <c r="E618" s="18" t="n"/>
      <c r="F618" s="18" t="inlineStr">
        <is>
          <t>Sống khéo không đồng nghĩa kiểm soát mọi nguy cơ</t>
        </is>
      </c>
      <c r="G618" s="18" t="inlineStr">
        <is>
          <t>Mortality</t>
        </is>
      </c>
      <c r="H618" s="18" t="n"/>
      <c r="I618" s="18" t="n"/>
      <c r="J618" s="18" t="n"/>
      <c r="K618" s="18" t="inlineStr">
        <is>
          <t>Reframe</t>
        </is>
      </c>
      <c r="L618" s="18" t="n"/>
      <c r="M618" s="18" t="inlineStr">
        <is>
          <t>Trích đoạn triết học</t>
        </is>
      </c>
      <c r="N618" s="18" t="inlineStr">
        <is>
          <t>蓋聞善攝生者，陸行不遇兕虎，入軍不被甲兵。</t>
        </is>
      </c>
      <c r="O618" s="18" t="inlineStr">
        <is>
          <t>Classical Chinese (文言文)</t>
        </is>
      </c>
      <c r="P618" s="18" t="inlineStr">
        <is>
          <t>Văn bản dùng hình ảnh người biết giữ đời sống đi giữa hiểm nguy mà không bị hiểm nguy chiếm lấy.</t>
        </is>
      </c>
      <c r="Q618" s="18" t="inlineStr">
        <is>
          <t>Laozi / 老子</t>
        </is>
      </c>
      <c r="R618" s="18" t="inlineStr">
        <is>
          <t>Taoism</t>
        </is>
      </c>
      <c r="S618" s="18" t="inlineStr">
        <is>
          <t>道德經 / Tao Te Ching</t>
        </is>
      </c>
      <c r="T618" s="18" t="inlineStr">
        <is>
          <t>Chapter 50</t>
        </is>
      </c>
      <c r="U618" s="18" t="inlineStr">
        <is>
          <t>https://zh.wikisource.org/zh-hant/%E9%81%93%E5%BE%B7%E7%B6%93_%28%E7%8E%8B%E5%BC%BC%E6%9C%AC%29</t>
        </is>
      </c>
      <c r="V618" s="18" t="inlineStr">
        <is>
          <t>Primary text</t>
        </is>
      </c>
      <c r="W618" s="18" t="inlineStr">
        <is>
          <t>Working translation</t>
        </is>
      </c>
      <c r="X618" s="18" t="inlineStr">
        <is>
          <t>A - Primary source</t>
        </is>
      </c>
      <c r="Y618" s="18" t="inlineStr">
        <is>
          <t>Original Chinese checked against Wang Bi recension; Vietnamese is Selflo working translation, not a published translation.</t>
        </is>
      </c>
      <c r="Z618" s="18" t="inlineStr">
        <is>
          <t>Public domain / likely</t>
        </is>
      </c>
      <c r="AA618" s="18" t="inlineStr">
        <is>
          <t>Ancient source text. Verify jurisdiction/edition before commercial publication.</t>
        </is>
      </c>
      <c r="AB618" s="18" t="inlineStr">
        <is>
          <t>Low</t>
        </is>
      </c>
      <c r="AC618" s="18" t="inlineStr">
        <is>
          <t>Mythic/metaphorical; not factual safety advice.</t>
        </is>
      </c>
      <c r="AD618" s="18" t="inlineStr">
        <is>
          <t>Needs editorial review</t>
        </is>
      </c>
      <c r="AE618" s="18" t="inlineStr">
        <is>
          <t>Needs semantic dedupe review</t>
        </is>
      </c>
      <c r="AF618" s="18" t="n"/>
      <c r="AG618" s="18" t="n"/>
      <c r="AH618" s="18" t="inlineStr">
        <is>
          <t>No</t>
        </is>
      </c>
      <c r="AI618" s="18" t="inlineStr">
        <is>
          <t>Not reviewed</t>
        </is>
      </c>
      <c r="AJ618" s="18" t="inlineStr">
        <is>
          <t>Research only</t>
        </is>
      </c>
      <c r="AK618" s="18" t="inlineStr">
        <is>
          <t>Research Pool</t>
        </is>
      </c>
      <c r="AL618" s="18" t="n">
        <v>2</v>
      </c>
      <c r="AM618" s="18" t="inlineStr">
        <is>
          <t>ChatGPT research</t>
        </is>
      </c>
      <c r="AN618" s="18" t="inlineStr">
        <is>
          <t>2026-09-18</t>
        </is>
      </c>
      <c r="AO618" s="18" t="inlineStr">
        <is>
          <t>Day 2 full-scope audit, chapters 21–50.</t>
        </is>
      </c>
      <c r="AP618" s="18" t="n"/>
      <c r="AQ618" s="18" t="n"/>
    </row>
    <row r="619">
      <c r="A619" s="18" t="inlineStr">
        <is>
          <t>research.laozi.day2.ch50.118</t>
        </is>
      </c>
      <c r="B619" s="18" t="inlineStr">
        <is>
          <t>Collected</t>
        </is>
      </c>
      <c r="C619" s="18" t="inlineStr">
        <is>
          <t>Nội tâm &amp; hiểu mình</t>
        </is>
      </c>
      <c r="D619" s="18" t="inlineStr">
        <is>
          <t>Day 2 / Laozi 21–50</t>
        </is>
      </c>
      <c r="E619" s="18" t="n"/>
      <c r="F619" s="18" t="inlineStr">
        <is>
          <t>Không tự tạo thêm nơi mắc kẹt bằng bám chấp</t>
        </is>
      </c>
      <c r="G619" s="18" t="inlineStr">
        <is>
          <t>Attachment</t>
        </is>
      </c>
      <c r="H619" s="18" t="n"/>
      <c r="I619" s="18" t="n"/>
      <c r="J619" s="18" t="n"/>
      <c r="K619" s="18" t="inlineStr">
        <is>
          <t>Reframe</t>
        </is>
      </c>
      <c r="L619" s="18" t="n"/>
      <c r="M619" s="18" t="inlineStr">
        <is>
          <t>Trích đoạn triết học</t>
        </is>
      </c>
      <c r="N619" s="18" t="inlineStr">
        <is>
          <t>夫何故？以其無死地。</t>
        </is>
      </c>
      <c r="O619" s="18" t="inlineStr">
        <is>
          <t>Classical Chinese (文言文)</t>
        </is>
      </c>
      <c r="P619" s="18" t="inlineStr">
        <is>
          <t>Vì sao? Vì không tự đặt mình vào 'đất chết' của sự bám chấp ấy.</t>
        </is>
      </c>
      <c r="Q619" s="18" t="inlineStr">
        <is>
          <t>Laozi / 老子</t>
        </is>
      </c>
      <c r="R619" s="18" t="inlineStr">
        <is>
          <t>Taoism</t>
        </is>
      </c>
      <c r="S619" s="18" t="inlineStr">
        <is>
          <t>道德經 / Tao Te Ching</t>
        </is>
      </c>
      <c r="T619" s="18" t="inlineStr">
        <is>
          <t>Chapter 50</t>
        </is>
      </c>
      <c r="U619" s="18" t="inlineStr">
        <is>
          <t>https://zh.wikisource.org/zh-hant/%E9%81%93%E5%BE%B7%E7%B6%93_%28%E7%8E%8B%E5%BC%BC%E6%9C%AC%29</t>
        </is>
      </c>
      <c r="V619" s="18" t="inlineStr">
        <is>
          <t>Primary text</t>
        </is>
      </c>
      <c r="W619" s="18" t="inlineStr">
        <is>
          <t>Working translation</t>
        </is>
      </c>
      <c r="X619" s="18" t="inlineStr">
        <is>
          <t>A - Primary source</t>
        </is>
      </c>
      <c r="Y619" s="18" t="inlineStr">
        <is>
          <t>Original Chinese checked against Wang Bi recension; Vietnamese is Selflo working translation, not a published translation.</t>
        </is>
      </c>
      <c r="Z619" s="18" t="inlineStr">
        <is>
          <t>Public domain / likely</t>
        </is>
      </c>
      <c r="AA619" s="18" t="inlineStr">
        <is>
          <t>Ancient source text. Verify jurisdiction/edition before commercial publication.</t>
        </is>
      </c>
      <c r="AB619" s="18" t="inlineStr">
        <is>
          <t>Medium</t>
        </is>
      </c>
      <c r="AC619" s="18" t="inlineStr">
        <is>
          <t>Metaphorical; not safety guidance.</t>
        </is>
      </c>
      <c r="AD619" s="18" t="inlineStr">
        <is>
          <t>Needs editorial review</t>
        </is>
      </c>
      <c r="AE619" s="18" t="inlineStr">
        <is>
          <t>Needs semantic dedupe review</t>
        </is>
      </c>
      <c r="AF619" s="18" t="n"/>
      <c r="AG619" s="18" t="n"/>
      <c r="AH619" s="18" t="inlineStr">
        <is>
          <t>No</t>
        </is>
      </c>
      <c r="AI619" s="18" t="inlineStr">
        <is>
          <t>Not reviewed</t>
        </is>
      </c>
      <c r="AJ619" s="18" t="inlineStr">
        <is>
          <t>Research only</t>
        </is>
      </c>
      <c r="AK619" s="18" t="inlineStr">
        <is>
          <t>Research Pool</t>
        </is>
      </c>
      <c r="AL619" s="18" t="n">
        <v>2</v>
      </c>
      <c r="AM619" s="18" t="inlineStr">
        <is>
          <t>ChatGPT research</t>
        </is>
      </c>
      <c r="AN619" s="18" t="inlineStr">
        <is>
          <t>2026-09-18</t>
        </is>
      </c>
      <c r="AO619" s="18" t="inlineStr">
        <is>
          <t>Day 2 full-scope audit, chapters 21–50.</t>
        </is>
      </c>
      <c r="AP619" s="18" t="n"/>
      <c r="AQ619" s="18" t="n"/>
    </row>
  </sheetData>
  <dataValidations count="20">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E2:E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G2:G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H2:H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I2:I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J2:J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K2:K500" showDropDown="0" showInputMessage="0" showErrorMessage="0" allowBlank="0" type="list">
      <formula1>"Recognize,Name,Permit,Reframe,Distinguish,Return agency"</formula1>
    </dataValidation>
    <dataValidation sqref="L2:L500" showDropDown="0" showInputMessage="0" showErrorMessage="0" allowBlank="0" type="list">
      <formula1>"Recognize,Name,Permit,Reframe,Distinguish,Return agency"</formula1>
    </dataValidation>
    <dataValidation sqref="M2:M500" showDropDown="0" showInputMessage="0" showErrorMessage="0" allowBlank="0" type="list">
      <formula1>"Quan sát trực tiếp,Ẩn dụ,Câu hỏi,Nghịch lý,Tục ngữ / ca dao / thành ngữ,Thơ / văn vần,Đối thoại,Trích đoạn triết học,Research-informed observation,Story-derived insight,Traditional wisdom,Selflo Original"</formula1>
    </dataValidation>
    <dataValidation sqref="R2:R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V2:V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W2:W500" showDropDown="0" showInputMessage="0" showErrorMessage="0" allowBlank="0" type="list">
      <formula1>"Verbatim,Working translation,Published translation,Paraphrase,Proverb / traditional,Selflo Original - AI-assisted draft,Selflo Original - owner edited"</formula1>
    </dataValidation>
    <dataValidation sqref="X2:X500" showDropDown="0" showInputMessage="0" showErrorMessage="0" allowBlank="0" type="list">
      <formula1>"A - Primary source,B - Authoritative secondary,C - Plausible / needs primary,D - Disputed / internet-only,N/A - Selflo Original"</formula1>
    </dataValidation>
    <dataValidation sqref="Z2:Z500" showDropDown="0" showInputMessage="0" showErrorMessage="0" allowBlank="0" type="list">
      <formula1>"Public domain / likely,Copyrighted / research only,Permission needed,Selflo owned,Unknown / verify"</formula1>
    </dataValidation>
    <dataValidation sqref="AB2:AB500" showDropDown="0" showInputMessage="0" showErrorMessage="0" allowBlank="0" type="list">
      <formula1>"High,Medium,Low,Not reviewed"</formula1>
    </dataValidation>
    <dataValidation sqref="AH2:AH500" showDropDown="0" showInputMessage="0" showErrorMessage="0" allowBlank="0" type="list">
      <formula1>"No,Yes - story must pass gate,Unknown"</formula1>
    </dataValidation>
    <dataValidation sqref="AI2:AI500" showDropDown="0" showInputMessage="0" showErrorMessage="0" allowBlank="0" type="list">
      <formula1>"Not reviewed,Needs owner review,Approved,Rejected"</formula1>
    </dataValidation>
    <dataValidation sqref="AJ2:AJ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style="42" min="1" max="1"/>
    <col width="16" customWidth="1" style="42" min="2" max="2"/>
    <col width="16" customWidth="1" style="42" min="3" max="3"/>
    <col width="16" customWidth="1" style="42" min="4" max="4"/>
    <col width="16" customWidth="1" style="42" min="5" max="5"/>
    <col width="16" customWidth="1" style="42" min="6" max="6"/>
    <col width="16" customWidth="1" style="42" min="7" max="7"/>
    <col width="18" customWidth="1" style="42" min="8" max="8"/>
  </cols>
  <sheetData>
    <row r="1">
      <c r="A1" s="70" t="inlineStr">
        <is>
          <t>COVERAGE MATRIX — HUMAN EXPERIENCE × EDITORIAL ROLE</t>
        </is>
      </c>
      <c r="B1" s="1" t="n"/>
      <c r="C1" s="1" t="n"/>
      <c r="D1" s="1" t="n"/>
      <c r="E1" s="1" t="n"/>
      <c r="F1" s="1" t="n"/>
      <c r="G1" s="1" t="n"/>
      <c r="H1" s="1" t="n"/>
    </row>
    <row r="3">
      <c r="A3" s="50" t="inlineStr">
        <is>
          <t>Trải nghiệm con người</t>
        </is>
      </c>
      <c r="B3" s="50" t="inlineStr">
        <is>
          <t>Recognize</t>
        </is>
      </c>
      <c r="C3" s="50" t="inlineStr">
        <is>
          <t>Name</t>
        </is>
      </c>
      <c r="D3" s="50" t="inlineStr">
        <is>
          <t>Permit</t>
        </is>
      </c>
      <c r="E3" s="50" t="inlineStr">
        <is>
          <t>Reframe</t>
        </is>
      </c>
      <c r="F3" s="50" t="inlineStr">
        <is>
          <t>Distinguish</t>
        </is>
      </c>
      <c r="G3" s="50" t="inlineStr">
        <is>
          <t>Return agency</t>
        </is>
      </c>
      <c r="H3" s="50" t="inlineStr">
        <is>
          <t>Coverage Level</t>
        </is>
      </c>
    </row>
    <row r="4">
      <c r="A4" t="inlineStr">
        <is>
          <t>Những việc nhỏ tích lũy làm cạn năng lượng</t>
        </is>
      </c>
      <c r="B4">
        <f>COUNTIFS('Quote Library v2'!$F$2:$F$500,$A4,'Quote Library v2'!$K$2:$K$500,B$3)+COUNTIFS('Quote Library v2'!$F$2:$F$500,$A4,'Quote Library v2'!$L$2:$L$500,B$3)</f>
        <v/>
      </c>
      <c r="C4">
        <f>COUNTIFS('Quote Library v2'!$F$2:$F$500,$A4,'Quote Library v2'!$K$2:$K$500,C$3)+COUNTIFS('Quote Library v2'!$F$2:$F$500,$A4,'Quote Library v2'!$L$2:$L$500,C$3)</f>
        <v/>
      </c>
      <c r="D4">
        <f>COUNTIFS('Quote Library v2'!$F$2:$F$500,$A4,'Quote Library v2'!$K$2:$K$500,D$3)+COUNTIFS('Quote Library v2'!$F$2:$F$500,$A4,'Quote Library v2'!$L$2:$L$500,D$3)</f>
        <v/>
      </c>
      <c r="E4">
        <f>COUNTIFS('Quote Library v2'!$F$2:$F$500,$A4,'Quote Library v2'!$K$2:$K$500,E$3)+COUNTIFS('Quote Library v2'!$F$2:$F$500,$A4,'Quote Library v2'!$L$2:$L$500,E$3)</f>
        <v/>
      </c>
      <c r="F4">
        <f>COUNTIFS('Quote Library v2'!$F$2:$F$500,$A4,'Quote Library v2'!$K$2:$K$500,F$3)+COUNTIFS('Quote Library v2'!$F$2:$F$500,$A4,'Quote Library v2'!$L$2:$L$500,F$3)</f>
        <v/>
      </c>
      <c r="G4">
        <f>COUNTIFS('Quote Library v2'!$F$2:$F$500,$A4,'Quote Library v2'!$K$2:$K$500,G$3)+COUNTIFS('Quote Library v2'!$F$2:$F$500,$A4,'Quote Library v2'!$L$2:$L$500,G$3)</f>
        <v/>
      </c>
      <c r="H4">
        <f>IF(SUM(B4:G4)=0,"Missing",IF(COUNTIF(B4:G4,"&gt;0")=1,"Thin",IF(COUNTIF(B4:G4,"&gt;0")&gt;=4,"Rich","Covered")))</f>
        <v/>
      </c>
    </row>
    <row r="5">
      <c r="A5" t="inlineStr">
        <is>
          <t>Công việc còn ở lại trong đầu sau giờ làm</t>
        </is>
      </c>
      <c r="B5">
        <f>COUNTIFS('Quote Library v2'!$F$2:$F$500,$A5,'Quote Library v2'!$K$2:$K$500,B$3)+COUNTIFS('Quote Library v2'!$F$2:$F$500,$A5,'Quote Library v2'!$L$2:$L$500,B$3)</f>
        <v/>
      </c>
      <c r="C5">
        <f>COUNTIFS('Quote Library v2'!$F$2:$F$500,$A5,'Quote Library v2'!$K$2:$K$500,C$3)+COUNTIFS('Quote Library v2'!$F$2:$F$500,$A5,'Quote Library v2'!$L$2:$L$500,C$3)</f>
        <v/>
      </c>
      <c r="D5">
        <f>COUNTIFS('Quote Library v2'!$F$2:$F$500,$A5,'Quote Library v2'!$K$2:$K$500,D$3)+COUNTIFS('Quote Library v2'!$F$2:$F$500,$A5,'Quote Library v2'!$L$2:$L$500,D$3)</f>
        <v/>
      </c>
      <c r="E5">
        <f>COUNTIFS('Quote Library v2'!$F$2:$F$500,$A5,'Quote Library v2'!$K$2:$K$500,E$3)+COUNTIFS('Quote Library v2'!$F$2:$F$500,$A5,'Quote Library v2'!$L$2:$L$500,E$3)</f>
        <v/>
      </c>
      <c r="F5">
        <f>COUNTIFS('Quote Library v2'!$F$2:$F$500,$A5,'Quote Library v2'!$K$2:$K$500,F$3)+COUNTIFS('Quote Library v2'!$F$2:$F$500,$A5,'Quote Library v2'!$L$2:$L$500,F$3)</f>
        <v/>
      </c>
      <c r="G5">
        <f>COUNTIFS('Quote Library v2'!$F$2:$F$500,$A5,'Quote Library v2'!$K$2:$K$500,G$3)+COUNTIFS('Quote Library v2'!$F$2:$F$500,$A5,'Quote Library v2'!$L$2:$L$500,G$3)</f>
        <v/>
      </c>
      <c r="H5">
        <f>IF(SUM(B5:G5)=0,"Missing",IF(COUNTIF(B5:G5,"&gt;0")=1,"Thin",IF(COUNTIF(B5:G5,"&gt;0")&gt;=4,"Rich","Covered")))</f>
        <v/>
      </c>
    </row>
    <row r="6">
      <c r="A6" t="inlineStr">
        <is>
          <t>Chuyện đã qua nhưng mình chưa hồi phục</t>
        </is>
      </c>
      <c r="B6">
        <f>COUNTIFS('Quote Library v2'!$F$2:$F$500,$A6,'Quote Library v2'!$K$2:$K$500,B$3)+COUNTIFS('Quote Library v2'!$F$2:$F$500,$A6,'Quote Library v2'!$L$2:$L$500,B$3)</f>
        <v/>
      </c>
      <c r="C6">
        <f>COUNTIFS('Quote Library v2'!$F$2:$F$500,$A6,'Quote Library v2'!$K$2:$K$500,C$3)+COUNTIFS('Quote Library v2'!$F$2:$F$500,$A6,'Quote Library v2'!$L$2:$L$500,C$3)</f>
        <v/>
      </c>
      <c r="D6">
        <f>COUNTIFS('Quote Library v2'!$F$2:$F$500,$A6,'Quote Library v2'!$K$2:$K$500,D$3)+COUNTIFS('Quote Library v2'!$F$2:$F$500,$A6,'Quote Library v2'!$L$2:$L$500,D$3)</f>
        <v/>
      </c>
      <c r="E6">
        <f>COUNTIFS('Quote Library v2'!$F$2:$F$500,$A6,'Quote Library v2'!$K$2:$K$500,E$3)+COUNTIFS('Quote Library v2'!$F$2:$F$500,$A6,'Quote Library v2'!$L$2:$L$500,E$3)</f>
        <v/>
      </c>
      <c r="F6">
        <f>COUNTIFS('Quote Library v2'!$F$2:$F$500,$A6,'Quote Library v2'!$K$2:$K$500,F$3)+COUNTIFS('Quote Library v2'!$F$2:$F$500,$A6,'Quote Library v2'!$L$2:$L$500,F$3)</f>
        <v/>
      </c>
      <c r="G6">
        <f>COUNTIFS('Quote Library v2'!$F$2:$F$500,$A6,'Quote Library v2'!$K$2:$K$500,G$3)+COUNTIFS('Quote Library v2'!$F$2:$F$500,$A6,'Quote Library v2'!$L$2:$L$500,G$3)</f>
        <v/>
      </c>
      <c r="H6">
        <f>IF(SUM(B6:G6)=0,"Missing",IF(COUNTIF(B6:G6,"&gt;0")=1,"Thin",IF(COUNTIF(B6:G6,"&gt;0")&gt;=4,"Rich","Covered")))</f>
        <v/>
      </c>
    </row>
    <row r="7">
      <c r="A7" t="inlineStr">
        <is>
          <t>Đã gây hậu quả và đang tự trách</t>
        </is>
      </c>
      <c r="B7">
        <f>COUNTIFS('Quote Library v2'!$F$2:$F$500,$A7,'Quote Library v2'!$K$2:$K$500,B$3)+COUNTIFS('Quote Library v2'!$F$2:$F$500,$A7,'Quote Library v2'!$L$2:$L$500,B$3)</f>
        <v/>
      </c>
      <c r="C7">
        <f>COUNTIFS('Quote Library v2'!$F$2:$F$500,$A7,'Quote Library v2'!$K$2:$K$500,C$3)+COUNTIFS('Quote Library v2'!$F$2:$F$500,$A7,'Quote Library v2'!$L$2:$L$500,C$3)</f>
        <v/>
      </c>
      <c r="D7">
        <f>COUNTIFS('Quote Library v2'!$F$2:$F$500,$A7,'Quote Library v2'!$K$2:$K$500,D$3)+COUNTIFS('Quote Library v2'!$F$2:$F$500,$A7,'Quote Library v2'!$L$2:$L$500,D$3)</f>
        <v/>
      </c>
      <c r="E7">
        <f>COUNTIFS('Quote Library v2'!$F$2:$F$500,$A7,'Quote Library v2'!$K$2:$K$500,E$3)+COUNTIFS('Quote Library v2'!$F$2:$F$500,$A7,'Quote Library v2'!$L$2:$L$500,E$3)</f>
        <v/>
      </c>
      <c r="F7">
        <f>COUNTIFS('Quote Library v2'!$F$2:$F$500,$A7,'Quote Library v2'!$K$2:$K$500,F$3)+COUNTIFS('Quote Library v2'!$F$2:$F$500,$A7,'Quote Library v2'!$L$2:$L$500,F$3)</f>
        <v/>
      </c>
      <c r="G7">
        <f>COUNTIFS('Quote Library v2'!$F$2:$F$500,$A7,'Quote Library v2'!$K$2:$K$500,G$3)+COUNTIFS('Quote Library v2'!$F$2:$F$500,$A7,'Quote Library v2'!$L$2:$L$500,G$3)</f>
        <v/>
      </c>
      <c r="H7">
        <f>IF(SUM(B7:G7)=0,"Missing",IF(COUNTIF(B7:G7,"&gt;0")=1,"Thin",IF(COUNTIF(B7:G7,"&gt;0")&gt;=4,"Rich","Covered")))</f>
        <v/>
      </c>
    </row>
    <row r="8">
      <c r="A8" t="inlineStr">
        <is>
          <t>Đang học nhưng cảm thấy mình kém</t>
        </is>
      </c>
      <c r="B8">
        <f>COUNTIFS('Quote Library v2'!$F$2:$F$500,$A8,'Quote Library v2'!$K$2:$K$500,B$3)+COUNTIFS('Quote Library v2'!$F$2:$F$500,$A8,'Quote Library v2'!$L$2:$L$500,B$3)</f>
        <v/>
      </c>
      <c r="C8">
        <f>COUNTIFS('Quote Library v2'!$F$2:$F$500,$A8,'Quote Library v2'!$K$2:$K$500,C$3)+COUNTIFS('Quote Library v2'!$F$2:$F$500,$A8,'Quote Library v2'!$L$2:$L$500,C$3)</f>
        <v/>
      </c>
      <c r="D8">
        <f>COUNTIFS('Quote Library v2'!$F$2:$F$500,$A8,'Quote Library v2'!$K$2:$K$500,D$3)+COUNTIFS('Quote Library v2'!$F$2:$F$500,$A8,'Quote Library v2'!$L$2:$L$500,D$3)</f>
        <v/>
      </c>
      <c r="E8">
        <f>COUNTIFS('Quote Library v2'!$F$2:$F$500,$A8,'Quote Library v2'!$K$2:$K$500,E$3)+COUNTIFS('Quote Library v2'!$F$2:$F$500,$A8,'Quote Library v2'!$L$2:$L$500,E$3)</f>
        <v/>
      </c>
      <c r="F8">
        <f>COUNTIFS('Quote Library v2'!$F$2:$F$500,$A8,'Quote Library v2'!$K$2:$K$500,F$3)+COUNTIFS('Quote Library v2'!$F$2:$F$500,$A8,'Quote Library v2'!$L$2:$L$500,F$3)</f>
        <v/>
      </c>
      <c r="G8">
        <f>COUNTIFS('Quote Library v2'!$F$2:$F$500,$A8,'Quote Library v2'!$K$2:$K$500,G$3)+COUNTIFS('Quote Library v2'!$F$2:$F$500,$A8,'Quote Library v2'!$L$2:$L$500,G$3)</f>
        <v/>
      </c>
      <c r="H8">
        <f>IF(SUM(B8:G8)=0,"Missing",IF(COUNTIF(B8:G8,"&gt;0")=1,"Thin",IF(COUNTIF(B8:G8,"&gt;0")&gt;=4,"Rich","Covered")))</f>
        <v/>
      </c>
    </row>
    <row r="9">
      <c r="A9" t="inlineStr">
        <is>
          <t>Capacity thấp bị hiểu thành giá trị bản thân thấp</t>
        </is>
      </c>
      <c r="B9">
        <f>COUNTIFS('Quote Library v2'!$F$2:$F$500,$A9,'Quote Library v2'!$K$2:$K$500,B$3)+COUNTIFS('Quote Library v2'!$F$2:$F$500,$A9,'Quote Library v2'!$L$2:$L$500,B$3)</f>
        <v/>
      </c>
      <c r="C9">
        <f>COUNTIFS('Quote Library v2'!$F$2:$F$500,$A9,'Quote Library v2'!$K$2:$K$500,C$3)+COUNTIFS('Quote Library v2'!$F$2:$F$500,$A9,'Quote Library v2'!$L$2:$L$500,C$3)</f>
        <v/>
      </c>
      <c r="D9">
        <f>COUNTIFS('Quote Library v2'!$F$2:$F$500,$A9,'Quote Library v2'!$K$2:$K$500,D$3)+COUNTIFS('Quote Library v2'!$F$2:$F$500,$A9,'Quote Library v2'!$L$2:$L$500,D$3)</f>
        <v/>
      </c>
      <c r="E9">
        <f>COUNTIFS('Quote Library v2'!$F$2:$F$500,$A9,'Quote Library v2'!$K$2:$K$500,E$3)+COUNTIFS('Quote Library v2'!$F$2:$F$500,$A9,'Quote Library v2'!$L$2:$L$500,E$3)</f>
        <v/>
      </c>
      <c r="F9">
        <f>COUNTIFS('Quote Library v2'!$F$2:$F$500,$A9,'Quote Library v2'!$K$2:$K$500,F$3)+COUNTIFS('Quote Library v2'!$F$2:$F$500,$A9,'Quote Library v2'!$L$2:$L$500,F$3)</f>
        <v/>
      </c>
      <c r="G9">
        <f>COUNTIFS('Quote Library v2'!$F$2:$F$500,$A9,'Quote Library v2'!$K$2:$K$500,G$3)+COUNTIFS('Quote Library v2'!$F$2:$F$500,$A9,'Quote Library v2'!$L$2:$L$500,G$3)</f>
        <v/>
      </c>
      <c r="H9">
        <f>IF(SUM(B9:G9)=0,"Missing",IF(COUNTIF(B9:G9,"&gt;0")=1,"Thin",IF(COUNTIF(B9:G9,"&gt;0")&gt;=4,"Rich","Covered")))</f>
        <v/>
      </c>
    </row>
    <row r="10">
      <c r="A10" t="inlineStr">
        <is>
          <t>Thành công của người khác làm mình thấy nhỏ đi</t>
        </is>
      </c>
      <c r="B10">
        <f>COUNTIFS('Quote Library v2'!$F$2:$F$500,$A10,'Quote Library v2'!$K$2:$K$500,B$3)+COUNTIFS('Quote Library v2'!$F$2:$F$500,$A10,'Quote Library v2'!$L$2:$L$500,B$3)</f>
        <v/>
      </c>
      <c r="C10">
        <f>COUNTIFS('Quote Library v2'!$F$2:$F$500,$A10,'Quote Library v2'!$K$2:$K$500,C$3)+COUNTIFS('Quote Library v2'!$F$2:$F$500,$A10,'Quote Library v2'!$L$2:$L$500,C$3)</f>
        <v/>
      </c>
      <c r="D10">
        <f>COUNTIFS('Quote Library v2'!$F$2:$F$500,$A10,'Quote Library v2'!$K$2:$K$500,D$3)+COUNTIFS('Quote Library v2'!$F$2:$F$500,$A10,'Quote Library v2'!$L$2:$L$500,D$3)</f>
        <v/>
      </c>
      <c r="E10">
        <f>COUNTIFS('Quote Library v2'!$F$2:$F$500,$A10,'Quote Library v2'!$K$2:$K$500,E$3)+COUNTIFS('Quote Library v2'!$F$2:$F$500,$A10,'Quote Library v2'!$L$2:$L$500,E$3)</f>
        <v/>
      </c>
      <c r="F10">
        <f>COUNTIFS('Quote Library v2'!$F$2:$F$500,$A10,'Quote Library v2'!$K$2:$K$500,F$3)+COUNTIFS('Quote Library v2'!$F$2:$F$500,$A10,'Quote Library v2'!$L$2:$L$500,F$3)</f>
        <v/>
      </c>
      <c r="G10">
        <f>COUNTIFS('Quote Library v2'!$F$2:$F$500,$A10,'Quote Library v2'!$K$2:$K$500,G$3)+COUNTIFS('Quote Library v2'!$F$2:$F$500,$A10,'Quote Library v2'!$L$2:$L$500,G$3)</f>
        <v/>
      </c>
      <c r="H10">
        <f>IF(SUM(B10:G10)=0,"Missing",IF(COUNTIF(B10:G10,"&gt;0")=1,"Thin",IF(COUNTIF(B10:G10,"&gt;0")&gt;=4,"Rich","Covered")))</f>
        <v/>
      </c>
    </row>
    <row r="11">
      <c r="A11" t="inlineStr">
        <is>
          <t>Đang sống bằng thước đo bên ngoài</t>
        </is>
      </c>
      <c r="B11">
        <f>COUNTIFS('Quote Library v2'!$F$2:$F$500,$A11,'Quote Library v2'!$K$2:$K$500,B$3)+COUNTIFS('Quote Library v2'!$F$2:$F$500,$A11,'Quote Library v2'!$L$2:$L$500,B$3)</f>
        <v/>
      </c>
      <c r="C11">
        <f>COUNTIFS('Quote Library v2'!$F$2:$F$500,$A11,'Quote Library v2'!$K$2:$K$500,C$3)+COUNTIFS('Quote Library v2'!$F$2:$F$500,$A11,'Quote Library v2'!$L$2:$L$500,C$3)</f>
        <v/>
      </c>
      <c r="D11">
        <f>COUNTIFS('Quote Library v2'!$F$2:$F$500,$A11,'Quote Library v2'!$K$2:$K$500,D$3)+COUNTIFS('Quote Library v2'!$F$2:$F$500,$A11,'Quote Library v2'!$L$2:$L$500,D$3)</f>
        <v/>
      </c>
      <c r="E11">
        <f>COUNTIFS('Quote Library v2'!$F$2:$F$500,$A11,'Quote Library v2'!$K$2:$K$500,E$3)+COUNTIFS('Quote Library v2'!$F$2:$F$500,$A11,'Quote Library v2'!$L$2:$L$500,E$3)</f>
        <v/>
      </c>
      <c r="F11">
        <f>COUNTIFS('Quote Library v2'!$F$2:$F$500,$A11,'Quote Library v2'!$K$2:$K$500,F$3)+COUNTIFS('Quote Library v2'!$F$2:$F$500,$A11,'Quote Library v2'!$L$2:$L$500,F$3)</f>
        <v/>
      </c>
      <c r="G11">
        <f>COUNTIFS('Quote Library v2'!$F$2:$F$500,$A11,'Quote Library v2'!$K$2:$K$500,G$3)+COUNTIFS('Quote Library v2'!$F$2:$F$500,$A11,'Quote Library v2'!$L$2:$L$500,G$3)</f>
        <v/>
      </c>
      <c r="H11">
        <f>IF(SUM(B11:G11)=0,"Missing",IF(COUNTIF(B11:G11,"&gt;0")=1,"Thin",IF(COUNTIF(B11:G11,"&gt;0")&gt;=4,"Rich","Covered")))</f>
        <v/>
      </c>
    </row>
    <row r="12">
      <c r="A12" t="inlineStr">
        <is>
          <t>Chưa biết mình muốn gì</t>
        </is>
      </c>
      <c r="B12">
        <f>COUNTIFS('Quote Library v2'!$F$2:$F$500,$A12,'Quote Library v2'!$K$2:$K$500,B$3)+COUNTIFS('Quote Library v2'!$F$2:$F$500,$A12,'Quote Library v2'!$L$2:$L$500,B$3)</f>
        <v/>
      </c>
      <c r="C12">
        <f>COUNTIFS('Quote Library v2'!$F$2:$F$500,$A12,'Quote Library v2'!$K$2:$K$500,C$3)+COUNTIFS('Quote Library v2'!$F$2:$F$500,$A12,'Quote Library v2'!$L$2:$L$500,C$3)</f>
        <v/>
      </c>
      <c r="D12">
        <f>COUNTIFS('Quote Library v2'!$F$2:$F$500,$A12,'Quote Library v2'!$K$2:$K$500,D$3)+COUNTIFS('Quote Library v2'!$F$2:$F$500,$A12,'Quote Library v2'!$L$2:$L$500,D$3)</f>
        <v/>
      </c>
      <c r="E12">
        <f>COUNTIFS('Quote Library v2'!$F$2:$F$500,$A12,'Quote Library v2'!$K$2:$K$500,E$3)+COUNTIFS('Quote Library v2'!$F$2:$F$500,$A12,'Quote Library v2'!$L$2:$L$500,E$3)</f>
        <v/>
      </c>
      <c r="F12">
        <f>COUNTIFS('Quote Library v2'!$F$2:$F$500,$A12,'Quote Library v2'!$K$2:$K$500,F$3)+COUNTIFS('Quote Library v2'!$F$2:$F$500,$A12,'Quote Library v2'!$L$2:$L$500,F$3)</f>
        <v/>
      </c>
      <c r="G12">
        <f>COUNTIFS('Quote Library v2'!$F$2:$F$500,$A12,'Quote Library v2'!$K$2:$K$500,G$3)+COUNTIFS('Quote Library v2'!$F$2:$F$500,$A12,'Quote Library v2'!$L$2:$L$500,G$3)</f>
        <v/>
      </c>
      <c r="H12">
        <f>IF(SUM(B12:G12)=0,"Missing",IF(COUNTIF(B12:G12,"&gt;0")=1,"Thin",IF(COUNTIF(B12:G12,"&gt;0")&gt;=4,"Rich","Covered")))</f>
        <v/>
      </c>
    </row>
    <row r="13">
      <c r="A13" t="inlineStr">
        <is>
          <t>Có quá nhiều câu trả lời / lựa chọn</t>
        </is>
      </c>
      <c r="B13">
        <f>COUNTIFS('Quote Library v2'!$F$2:$F$500,$A13,'Quote Library v2'!$K$2:$K$500,B$3)+COUNTIFS('Quote Library v2'!$F$2:$F$500,$A13,'Quote Library v2'!$L$2:$L$500,B$3)</f>
        <v/>
      </c>
      <c r="C13">
        <f>COUNTIFS('Quote Library v2'!$F$2:$F$500,$A13,'Quote Library v2'!$K$2:$K$500,C$3)+COUNTIFS('Quote Library v2'!$F$2:$F$500,$A13,'Quote Library v2'!$L$2:$L$500,C$3)</f>
        <v/>
      </c>
      <c r="D13">
        <f>COUNTIFS('Quote Library v2'!$F$2:$F$500,$A13,'Quote Library v2'!$K$2:$K$500,D$3)+COUNTIFS('Quote Library v2'!$F$2:$F$500,$A13,'Quote Library v2'!$L$2:$L$500,D$3)</f>
        <v/>
      </c>
      <c r="E13">
        <f>COUNTIFS('Quote Library v2'!$F$2:$F$500,$A13,'Quote Library v2'!$K$2:$K$500,E$3)+COUNTIFS('Quote Library v2'!$F$2:$F$500,$A13,'Quote Library v2'!$L$2:$L$500,E$3)</f>
        <v/>
      </c>
      <c r="F13">
        <f>COUNTIFS('Quote Library v2'!$F$2:$F$500,$A13,'Quote Library v2'!$K$2:$K$500,F$3)+COUNTIFS('Quote Library v2'!$F$2:$F$500,$A13,'Quote Library v2'!$L$2:$L$500,F$3)</f>
        <v/>
      </c>
      <c r="G13">
        <f>COUNTIFS('Quote Library v2'!$F$2:$F$500,$A13,'Quote Library v2'!$K$2:$K$500,G$3)+COUNTIFS('Quote Library v2'!$F$2:$F$500,$A13,'Quote Library v2'!$L$2:$L$500,G$3)</f>
        <v/>
      </c>
      <c r="H13">
        <f>IF(SUM(B13:G13)=0,"Missing",IF(COUNTIF(B13:G13,"&gt;0")=1,"Thin",IF(COUNTIF(B13:G13,"&gt;0")&gt;=4,"Rich","Covered")))</f>
        <v/>
      </c>
    </row>
    <row r="14">
      <c r="A14" t="inlineStr">
        <is>
          <t>Hai lựa chọn đều có điều đáng giữ và cái mất</t>
        </is>
      </c>
      <c r="B14">
        <f>COUNTIFS('Quote Library v2'!$F$2:$F$500,$A14,'Quote Library v2'!$K$2:$K$500,B$3)+COUNTIFS('Quote Library v2'!$F$2:$F$500,$A14,'Quote Library v2'!$L$2:$L$500,B$3)</f>
        <v/>
      </c>
      <c r="C14">
        <f>COUNTIFS('Quote Library v2'!$F$2:$F$500,$A14,'Quote Library v2'!$K$2:$K$500,C$3)+COUNTIFS('Quote Library v2'!$F$2:$F$500,$A14,'Quote Library v2'!$L$2:$L$500,C$3)</f>
        <v/>
      </c>
      <c r="D14">
        <f>COUNTIFS('Quote Library v2'!$F$2:$F$500,$A14,'Quote Library v2'!$K$2:$K$500,D$3)+COUNTIFS('Quote Library v2'!$F$2:$F$500,$A14,'Quote Library v2'!$L$2:$L$500,D$3)</f>
        <v/>
      </c>
      <c r="E14">
        <f>COUNTIFS('Quote Library v2'!$F$2:$F$500,$A14,'Quote Library v2'!$K$2:$K$500,E$3)+COUNTIFS('Quote Library v2'!$F$2:$F$500,$A14,'Quote Library v2'!$L$2:$L$500,E$3)</f>
        <v/>
      </c>
      <c r="F14">
        <f>COUNTIFS('Quote Library v2'!$F$2:$F$500,$A14,'Quote Library v2'!$K$2:$K$500,F$3)+COUNTIFS('Quote Library v2'!$F$2:$F$500,$A14,'Quote Library v2'!$L$2:$L$500,F$3)</f>
        <v/>
      </c>
      <c r="G14">
        <f>COUNTIFS('Quote Library v2'!$F$2:$F$500,$A14,'Quote Library v2'!$K$2:$K$500,G$3)+COUNTIFS('Quote Library v2'!$F$2:$F$500,$A14,'Quote Library v2'!$L$2:$L$500,G$3)</f>
        <v/>
      </c>
      <c r="H14">
        <f>IF(SUM(B14:G14)=0,"Missing",IF(COUNTIF(B14:G14,"&gt;0")=1,"Thin",IF(COUNTIF(B14:G14,"&gt;0")&gt;=4,"Rich","Covered")))</f>
        <v/>
      </c>
    </row>
    <row r="15">
      <c r="A15" t="inlineStr">
        <is>
          <t>Đã chọn nhưng vẫn tiếc lựa chọn còn lại</t>
        </is>
      </c>
      <c r="B15">
        <f>COUNTIFS('Quote Library v2'!$F$2:$F$500,$A15,'Quote Library v2'!$K$2:$K$500,B$3)+COUNTIFS('Quote Library v2'!$F$2:$F$500,$A15,'Quote Library v2'!$L$2:$L$500,B$3)</f>
        <v/>
      </c>
      <c r="C15">
        <f>COUNTIFS('Quote Library v2'!$F$2:$F$500,$A15,'Quote Library v2'!$K$2:$K$500,C$3)+COUNTIFS('Quote Library v2'!$F$2:$F$500,$A15,'Quote Library v2'!$L$2:$L$500,C$3)</f>
        <v/>
      </c>
      <c r="D15">
        <f>COUNTIFS('Quote Library v2'!$F$2:$F$500,$A15,'Quote Library v2'!$K$2:$K$500,D$3)+COUNTIFS('Quote Library v2'!$F$2:$F$500,$A15,'Quote Library v2'!$L$2:$L$500,D$3)</f>
        <v/>
      </c>
      <c r="E15">
        <f>COUNTIFS('Quote Library v2'!$F$2:$F$500,$A15,'Quote Library v2'!$K$2:$K$500,E$3)+COUNTIFS('Quote Library v2'!$F$2:$F$500,$A15,'Quote Library v2'!$L$2:$L$500,E$3)</f>
        <v/>
      </c>
      <c r="F15">
        <f>COUNTIFS('Quote Library v2'!$F$2:$F$500,$A15,'Quote Library v2'!$K$2:$K$500,F$3)+COUNTIFS('Quote Library v2'!$F$2:$F$500,$A15,'Quote Library v2'!$L$2:$L$500,F$3)</f>
        <v/>
      </c>
      <c r="G15">
        <f>COUNTIFS('Quote Library v2'!$F$2:$F$500,$A15,'Quote Library v2'!$K$2:$K$500,G$3)+COUNTIFS('Quote Library v2'!$F$2:$F$500,$A15,'Quote Library v2'!$L$2:$L$500,G$3)</f>
        <v/>
      </c>
      <c r="H15">
        <f>IF(SUM(B15:G15)=0,"Missing",IF(COUNTIF(B15:G15,"&gt;0")=1,"Thin",IF(COUNTIF(B15:G15,"&gt;0")&gt;=4,"Rich","Covered")))</f>
        <v/>
      </c>
    </row>
    <row r="16">
      <c r="A16" t="inlineStr">
        <is>
          <t>Tiếp nhận quá nhiều nên khó nghe được mình</t>
        </is>
      </c>
      <c r="B16">
        <f>COUNTIFS('Quote Library v2'!$F$2:$F$500,$A16,'Quote Library v2'!$K$2:$K$500,B$3)+COUNTIFS('Quote Library v2'!$F$2:$F$500,$A16,'Quote Library v2'!$L$2:$L$500,B$3)</f>
        <v/>
      </c>
      <c r="C16">
        <f>COUNTIFS('Quote Library v2'!$F$2:$F$500,$A16,'Quote Library v2'!$K$2:$K$500,C$3)+COUNTIFS('Quote Library v2'!$F$2:$F$500,$A16,'Quote Library v2'!$L$2:$L$500,C$3)</f>
        <v/>
      </c>
      <c r="D16">
        <f>COUNTIFS('Quote Library v2'!$F$2:$F$500,$A16,'Quote Library v2'!$K$2:$K$500,D$3)+COUNTIFS('Quote Library v2'!$F$2:$F$500,$A16,'Quote Library v2'!$L$2:$L$500,D$3)</f>
        <v/>
      </c>
      <c r="E16">
        <f>COUNTIFS('Quote Library v2'!$F$2:$F$500,$A16,'Quote Library v2'!$K$2:$K$500,E$3)+COUNTIFS('Quote Library v2'!$F$2:$F$500,$A16,'Quote Library v2'!$L$2:$L$500,E$3)</f>
        <v/>
      </c>
      <c r="F16">
        <f>COUNTIFS('Quote Library v2'!$F$2:$F$500,$A16,'Quote Library v2'!$K$2:$K$500,F$3)+COUNTIFS('Quote Library v2'!$F$2:$F$500,$A16,'Quote Library v2'!$L$2:$L$500,F$3)</f>
        <v/>
      </c>
      <c r="G16">
        <f>COUNTIFS('Quote Library v2'!$F$2:$F$500,$A16,'Quote Library v2'!$K$2:$K$500,G$3)+COUNTIFS('Quote Library v2'!$F$2:$F$500,$A16,'Quote Library v2'!$L$2:$L$500,G$3)</f>
        <v/>
      </c>
      <c r="H16">
        <f>IF(SUM(B16:G16)=0,"Missing",IF(COUNTIF(B16:G16,"&gt;0")=1,"Thin",IF(COUNTIF(B16:G16,"&gt;0")&gt;=4,"Rich","Covered")))</f>
        <v/>
      </c>
    </row>
    <row r="17">
      <c r="A17" t="inlineStr">
        <is>
          <t>Tiến bộ diễn ra âm thầm</t>
        </is>
      </c>
      <c r="B17">
        <f>COUNTIFS('Quote Library v2'!$F$2:$F$500,$A17,'Quote Library v2'!$K$2:$K$500,B$3)+COUNTIFS('Quote Library v2'!$F$2:$F$500,$A17,'Quote Library v2'!$L$2:$L$500,B$3)</f>
        <v/>
      </c>
      <c r="C17">
        <f>COUNTIFS('Quote Library v2'!$F$2:$F$500,$A17,'Quote Library v2'!$K$2:$K$500,C$3)+COUNTIFS('Quote Library v2'!$F$2:$F$500,$A17,'Quote Library v2'!$L$2:$L$500,C$3)</f>
        <v/>
      </c>
      <c r="D17">
        <f>COUNTIFS('Quote Library v2'!$F$2:$F$500,$A17,'Quote Library v2'!$K$2:$K$500,D$3)+COUNTIFS('Quote Library v2'!$F$2:$F$500,$A17,'Quote Library v2'!$L$2:$L$500,D$3)</f>
        <v/>
      </c>
      <c r="E17">
        <f>COUNTIFS('Quote Library v2'!$F$2:$F$500,$A17,'Quote Library v2'!$K$2:$K$500,E$3)+COUNTIFS('Quote Library v2'!$F$2:$F$500,$A17,'Quote Library v2'!$L$2:$L$500,E$3)</f>
        <v/>
      </c>
      <c r="F17">
        <f>COUNTIFS('Quote Library v2'!$F$2:$F$500,$A17,'Quote Library v2'!$K$2:$K$500,F$3)+COUNTIFS('Quote Library v2'!$F$2:$F$500,$A17,'Quote Library v2'!$L$2:$L$500,F$3)</f>
        <v/>
      </c>
      <c r="G17">
        <f>COUNTIFS('Quote Library v2'!$F$2:$F$500,$A17,'Quote Library v2'!$K$2:$K$500,G$3)+COUNTIFS('Quote Library v2'!$F$2:$F$500,$A17,'Quote Library v2'!$L$2:$L$500,G$3)</f>
        <v/>
      </c>
      <c r="H17">
        <f>IF(SUM(B17:G17)=0,"Missing",IF(COUNTIF(B17:G17,"&gt;0")=1,"Thin",IF(COUNTIF(B17:G17,"&gt;0")&gt;=4,"Rich","Covered")))</f>
        <v/>
      </c>
    </row>
    <row r="18">
      <c r="A18" t="inlineStr">
        <is>
          <t>Thất bại khi đang học</t>
        </is>
      </c>
      <c r="B18">
        <f>COUNTIFS('Quote Library v2'!$F$2:$F$500,$A18,'Quote Library v2'!$K$2:$K$500,B$3)+COUNTIFS('Quote Library v2'!$F$2:$F$500,$A18,'Quote Library v2'!$L$2:$L$500,B$3)</f>
        <v/>
      </c>
      <c r="C18">
        <f>COUNTIFS('Quote Library v2'!$F$2:$F$500,$A18,'Quote Library v2'!$K$2:$K$500,C$3)+COUNTIFS('Quote Library v2'!$F$2:$F$500,$A18,'Quote Library v2'!$L$2:$L$500,C$3)</f>
        <v/>
      </c>
      <c r="D18">
        <f>COUNTIFS('Quote Library v2'!$F$2:$F$500,$A18,'Quote Library v2'!$K$2:$K$500,D$3)+COUNTIFS('Quote Library v2'!$F$2:$F$500,$A18,'Quote Library v2'!$L$2:$L$500,D$3)</f>
        <v/>
      </c>
      <c r="E18">
        <f>COUNTIFS('Quote Library v2'!$F$2:$F$500,$A18,'Quote Library v2'!$K$2:$K$500,E$3)+COUNTIFS('Quote Library v2'!$F$2:$F$500,$A18,'Quote Library v2'!$L$2:$L$500,E$3)</f>
        <v/>
      </c>
      <c r="F18">
        <f>COUNTIFS('Quote Library v2'!$F$2:$F$500,$A18,'Quote Library v2'!$K$2:$K$500,F$3)+COUNTIFS('Quote Library v2'!$F$2:$F$500,$A18,'Quote Library v2'!$L$2:$L$500,F$3)</f>
        <v/>
      </c>
      <c r="G18">
        <f>COUNTIFS('Quote Library v2'!$F$2:$F$500,$A18,'Quote Library v2'!$K$2:$K$500,G$3)+COUNTIFS('Quote Library v2'!$F$2:$F$500,$A18,'Quote Library v2'!$L$2:$L$500,G$3)</f>
        <v/>
      </c>
      <c r="H18">
        <f>IF(SUM(B18:G18)=0,"Missing",IF(COUNTIF(B18:G18,"&gt;0")=1,"Thin",IF(COUNTIF(B18:G18,"&gt;0")&gt;=4,"Rich","Covered")))</f>
        <v/>
      </c>
    </row>
    <row r="19">
      <c r="A19" t="inlineStr">
        <is>
          <t>Vừa nhẹ nhõm vừa buồn</t>
        </is>
      </c>
      <c r="B19">
        <f>COUNTIFS('Quote Library v2'!$F$2:$F$500,$A19,'Quote Library v2'!$K$2:$K$500,B$3)+COUNTIFS('Quote Library v2'!$F$2:$F$500,$A19,'Quote Library v2'!$L$2:$L$500,B$3)</f>
        <v/>
      </c>
      <c r="C19">
        <f>COUNTIFS('Quote Library v2'!$F$2:$F$500,$A19,'Quote Library v2'!$K$2:$K$500,C$3)+COUNTIFS('Quote Library v2'!$F$2:$F$500,$A19,'Quote Library v2'!$L$2:$L$500,C$3)</f>
        <v/>
      </c>
      <c r="D19">
        <f>COUNTIFS('Quote Library v2'!$F$2:$F$500,$A19,'Quote Library v2'!$K$2:$K$500,D$3)+COUNTIFS('Quote Library v2'!$F$2:$F$500,$A19,'Quote Library v2'!$L$2:$L$500,D$3)</f>
        <v/>
      </c>
      <c r="E19">
        <f>COUNTIFS('Quote Library v2'!$F$2:$F$500,$A19,'Quote Library v2'!$K$2:$K$500,E$3)+COUNTIFS('Quote Library v2'!$F$2:$F$500,$A19,'Quote Library v2'!$L$2:$L$500,E$3)</f>
        <v/>
      </c>
      <c r="F19">
        <f>COUNTIFS('Quote Library v2'!$F$2:$F$500,$A19,'Quote Library v2'!$K$2:$K$500,F$3)+COUNTIFS('Quote Library v2'!$F$2:$F$500,$A19,'Quote Library v2'!$L$2:$L$500,F$3)</f>
        <v/>
      </c>
      <c r="G19">
        <f>COUNTIFS('Quote Library v2'!$F$2:$F$500,$A19,'Quote Library v2'!$K$2:$K$500,G$3)+COUNTIFS('Quote Library v2'!$F$2:$F$500,$A19,'Quote Library v2'!$L$2:$L$500,G$3)</f>
        <v/>
      </c>
      <c r="H19">
        <f>IF(SUM(B19:G19)=0,"Missing",IF(COUNTIF(B19:G19,"&gt;0")=1,"Thin",IF(COUNTIF(B19:G19,"&gt;0")&gt;=4,"Rich","Covered")))</f>
        <v/>
      </c>
    </row>
    <row r="20">
      <c r="A20" t="inlineStr">
        <is>
          <t>Vừa muốn ở lại vừa muốn rời đi</t>
        </is>
      </c>
      <c r="B20">
        <f>COUNTIFS('Quote Library v2'!$F$2:$F$500,$A20,'Quote Library v2'!$K$2:$K$500,B$3)+COUNTIFS('Quote Library v2'!$F$2:$F$500,$A20,'Quote Library v2'!$L$2:$L$500,B$3)</f>
        <v/>
      </c>
      <c r="C20">
        <f>COUNTIFS('Quote Library v2'!$F$2:$F$500,$A20,'Quote Library v2'!$K$2:$K$500,C$3)+COUNTIFS('Quote Library v2'!$F$2:$F$500,$A20,'Quote Library v2'!$L$2:$L$500,C$3)</f>
        <v/>
      </c>
      <c r="D20">
        <f>COUNTIFS('Quote Library v2'!$F$2:$F$500,$A20,'Quote Library v2'!$K$2:$K$500,D$3)+COUNTIFS('Quote Library v2'!$F$2:$F$500,$A20,'Quote Library v2'!$L$2:$L$500,D$3)</f>
        <v/>
      </c>
      <c r="E20">
        <f>COUNTIFS('Quote Library v2'!$F$2:$F$500,$A20,'Quote Library v2'!$K$2:$K$500,E$3)+COUNTIFS('Quote Library v2'!$F$2:$F$500,$A20,'Quote Library v2'!$L$2:$L$500,E$3)</f>
        <v/>
      </c>
      <c r="F20">
        <f>COUNTIFS('Quote Library v2'!$F$2:$F$500,$A20,'Quote Library v2'!$K$2:$K$500,F$3)+COUNTIFS('Quote Library v2'!$F$2:$F$500,$A20,'Quote Library v2'!$L$2:$L$500,F$3)</f>
        <v/>
      </c>
      <c r="G20">
        <f>COUNTIFS('Quote Library v2'!$F$2:$F$500,$A20,'Quote Library v2'!$K$2:$K$500,G$3)+COUNTIFS('Quote Library v2'!$F$2:$F$500,$A20,'Quote Library v2'!$L$2:$L$500,G$3)</f>
        <v/>
      </c>
      <c r="H20">
        <f>IF(SUM(B20:G20)=0,"Missing",IF(COUNTIF(B20:G20,"&gt;0")=1,"Thin",IF(COUNTIF(B20:G20,"&gt;0")&gt;=4,"Rich","Covered")))</f>
        <v/>
      </c>
    </row>
    <row r="21">
      <c r="A21" t="inlineStr">
        <is>
          <t>Yêu thương và tức giận cùng tồn tại</t>
        </is>
      </c>
      <c r="B21">
        <f>COUNTIFS('Quote Library v2'!$F$2:$F$500,$A21,'Quote Library v2'!$K$2:$K$500,B$3)+COUNTIFS('Quote Library v2'!$F$2:$F$500,$A21,'Quote Library v2'!$L$2:$L$500,B$3)</f>
        <v/>
      </c>
      <c r="C21">
        <f>COUNTIFS('Quote Library v2'!$F$2:$F$500,$A21,'Quote Library v2'!$K$2:$K$500,C$3)+COUNTIFS('Quote Library v2'!$F$2:$F$500,$A21,'Quote Library v2'!$L$2:$L$500,C$3)</f>
        <v/>
      </c>
      <c r="D21">
        <f>COUNTIFS('Quote Library v2'!$F$2:$F$500,$A21,'Quote Library v2'!$K$2:$K$500,D$3)+COUNTIFS('Quote Library v2'!$F$2:$F$500,$A21,'Quote Library v2'!$L$2:$L$500,D$3)</f>
        <v/>
      </c>
      <c r="E21">
        <f>COUNTIFS('Quote Library v2'!$F$2:$F$500,$A21,'Quote Library v2'!$K$2:$K$500,E$3)+COUNTIFS('Quote Library v2'!$F$2:$F$500,$A21,'Quote Library v2'!$L$2:$L$500,E$3)</f>
        <v/>
      </c>
      <c r="F21">
        <f>COUNTIFS('Quote Library v2'!$F$2:$F$500,$A21,'Quote Library v2'!$K$2:$K$500,F$3)+COUNTIFS('Quote Library v2'!$F$2:$F$500,$A21,'Quote Library v2'!$L$2:$L$500,F$3)</f>
        <v/>
      </c>
      <c r="G21">
        <f>COUNTIFS('Quote Library v2'!$F$2:$F$500,$A21,'Quote Library v2'!$K$2:$K$500,G$3)+COUNTIFS('Quote Library v2'!$F$2:$F$500,$A21,'Quote Library v2'!$L$2:$L$500,G$3)</f>
        <v/>
      </c>
      <c r="H21">
        <f>IF(SUM(B21:G21)=0,"Missing",IF(COUNTIF(B21:G21,"&gt;0")=1,"Thin",IF(COUNTIF(B21:G21,"&gt;0")&gt;=4,"Rich","Covered")))</f>
        <v/>
      </c>
    </row>
    <row r="22">
      <c r="A22" t="inlineStr">
        <is>
          <t>Trải nghiệm cũ đi vào phản ứng hiện tại</t>
        </is>
      </c>
      <c r="B22">
        <f>COUNTIFS('Quote Library v2'!$F$2:$F$500,$A22,'Quote Library v2'!$K$2:$K$500,B$3)+COUNTIFS('Quote Library v2'!$F$2:$F$500,$A22,'Quote Library v2'!$L$2:$L$500,B$3)</f>
        <v/>
      </c>
      <c r="C22">
        <f>COUNTIFS('Quote Library v2'!$F$2:$F$500,$A22,'Quote Library v2'!$K$2:$K$500,C$3)+COUNTIFS('Quote Library v2'!$F$2:$F$500,$A22,'Quote Library v2'!$L$2:$L$500,C$3)</f>
        <v/>
      </c>
      <c r="D22">
        <f>COUNTIFS('Quote Library v2'!$F$2:$F$500,$A22,'Quote Library v2'!$K$2:$K$500,D$3)+COUNTIFS('Quote Library v2'!$F$2:$F$500,$A22,'Quote Library v2'!$L$2:$L$500,D$3)</f>
        <v/>
      </c>
      <c r="E22">
        <f>COUNTIFS('Quote Library v2'!$F$2:$F$500,$A22,'Quote Library v2'!$K$2:$K$500,E$3)+COUNTIFS('Quote Library v2'!$F$2:$F$500,$A22,'Quote Library v2'!$L$2:$L$500,E$3)</f>
        <v/>
      </c>
      <c r="F22">
        <f>COUNTIFS('Quote Library v2'!$F$2:$F$500,$A22,'Quote Library v2'!$K$2:$K$500,F$3)+COUNTIFS('Quote Library v2'!$F$2:$F$500,$A22,'Quote Library v2'!$L$2:$L$500,F$3)</f>
        <v/>
      </c>
      <c r="G22">
        <f>COUNTIFS('Quote Library v2'!$F$2:$F$500,$A22,'Quote Library v2'!$K$2:$K$500,G$3)+COUNTIFS('Quote Library v2'!$F$2:$F$500,$A22,'Quote Library v2'!$L$2:$L$500,G$3)</f>
        <v/>
      </c>
      <c r="H22">
        <f>IF(SUM(B22:G22)=0,"Missing",IF(COUNTIF(B22:G22,"&gt;0")=1,"Thin",IF(COUNTIF(B22:G22,"&gt;0")&gt;=4,"Rich","Covered")))</f>
        <v/>
      </c>
    </row>
    <row r="23">
      <c r="A23" t="inlineStr">
        <is>
          <t>Bản sắc thay đổi khi công việc thay đổi</t>
        </is>
      </c>
      <c r="B23">
        <f>COUNTIFS('Quote Library v2'!$F$2:$F$500,$A23,'Quote Library v2'!$K$2:$K$500,B$3)+COUNTIFS('Quote Library v2'!$F$2:$F$500,$A23,'Quote Library v2'!$L$2:$L$500,B$3)</f>
        <v/>
      </c>
      <c r="C23">
        <f>COUNTIFS('Quote Library v2'!$F$2:$F$500,$A23,'Quote Library v2'!$K$2:$K$500,C$3)+COUNTIFS('Quote Library v2'!$F$2:$F$500,$A23,'Quote Library v2'!$L$2:$L$500,C$3)</f>
        <v/>
      </c>
      <c r="D23">
        <f>COUNTIFS('Quote Library v2'!$F$2:$F$500,$A23,'Quote Library v2'!$K$2:$K$500,D$3)+COUNTIFS('Quote Library v2'!$F$2:$F$500,$A23,'Quote Library v2'!$L$2:$L$500,D$3)</f>
        <v/>
      </c>
      <c r="E23">
        <f>COUNTIFS('Quote Library v2'!$F$2:$F$500,$A23,'Quote Library v2'!$K$2:$K$500,E$3)+COUNTIFS('Quote Library v2'!$F$2:$F$500,$A23,'Quote Library v2'!$L$2:$L$500,E$3)</f>
        <v/>
      </c>
      <c r="F23">
        <f>COUNTIFS('Quote Library v2'!$F$2:$F$500,$A23,'Quote Library v2'!$K$2:$K$500,F$3)+COUNTIFS('Quote Library v2'!$F$2:$F$500,$A23,'Quote Library v2'!$L$2:$L$500,F$3)</f>
        <v/>
      </c>
      <c r="G23">
        <f>COUNTIFS('Quote Library v2'!$F$2:$F$500,$A23,'Quote Library v2'!$K$2:$K$500,G$3)+COUNTIFS('Quote Library v2'!$F$2:$F$500,$A23,'Quote Library v2'!$L$2:$L$500,G$3)</f>
        <v/>
      </c>
      <c r="H23">
        <f>IF(SUM(B23:G23)=0,"Missing",IF(COUNTIF(B23:G23,"&gt;0")=1,"Thin",IF(COUNTIF(B23:G23,"&gt;0")&gt;=4,"Rich","Covered")))</f>
        <v/>
      </c>
    </row>
    <row r="24">
      <c r="A24" t="inlineStr">
        <is>
          <t>Không còn thấy ý nghĩa trong điều từng quan trọng</t>
        </is>
      </c>
      <c r="B24">
        <f>COUNTIFS('Quote Library v2'!$F$2:$F$500,$A24,'Quote Library v2'!$K$2:$K$500,B$3)+COUNTIFS('Quote Library v2'!$F$2:$F$500,$A24,'Quote Library v2'!$L$2:$L$500,B$3)</f>
        <v/>
      </c>
      <c r="C24">
        <f>COUNTIFS('Quote Library v2'!$F$2:$F$500,$A24,'Quote Library v2'!$K$2:$K$500,C$3)+COUNTIFS('Quote Library v2'!$F$2:$F$500,$A24,'Quote Library v2'!$L$2:$L$500,C$3)</f>
        <v/>
      </c>
      <c r="D24">
        <f>COUNTIFS('Quote Library v2'!$F$2:$F$500,$A24,'Quote Library v2'!$K$2:$K$500,D$3)+COUNTIFS('Quote Library v2'!$F$2:$F$500,$A24,'Quote Library v2'!$L$2:$L$500,D$3)</f>
        <v/>
      </c>
      <c r="E24">
        <f>COUNTIFS('Quote Library v2'!$F$2:$F$500,$A24,'Quote Library v2'!$K$2:$K$500,E$3)+COUNTIFS('Quote Library v2'!$F$2:$F$500,$A24,'Quote Library v2'!$L$2:$L$500,E$3)</f>
        <v/>
      </c>
      <c r="F24">
        <f>COUNTIFS('Quote Library v2'!$F$2:$F$500,$A24,'Quote Library v2'!$K$2:$K$500,F$3)+COUNTIFS('Quote Library v2'!$F$2:$F$500,$A24,'Quote Library v2'!$L$2:$L$500,F$3)</f>
        <v/>
      </c>
      <c r="G24">
        <f>COUNTIFS('Quote Library v2'!$F$2:$F$500,$A24,'Quote Library v2'!$K$2:$K$500,G$3)+COUNTIFS('Quote Library v2'!$F$2:$F$500,$A24,'Quote Library v2'!$L$2:$L$500,G$3)</f>
        <v/>
      </c>
      <c r="H24">
        <f>IF(SUM(B24:G24)=0,"Missing",IF(COUNTIF(B24:G24,"&gt;0")=1,"Thin",IF(COUNTIF(B24:G24,"&gt;0")&gt;=4,"Rich","Covered")))</f>
        <v/>
      </c>
    </row>
    <row r="25">
      <c r="A25" t="inlineStr">
        <is>
          <t>Muốn nghỉ nhưng cảm thấy có lỗi</t>
        </is>
      </c>
      <c r="B25">
        <f>COUNTIFS('Quote Library v2'!$F$2:$F$500,$A25,'Quote Library v2'!$K$2:$K$500,B$3)+COUNTIFS('Quote Library v2'!$F$2:$F$500,$A25,'Quote Library v2'!$L$2:$L$500,B$3)</f>
        <v/>
      </c>
      <c r="C25">
        <f>COUNTIFS('Quote Library v2'!$F$2:$F$500,$A25,'Quote Library v2'!$K$2:$K$500,C$3)+COUNTIFS('Quote Library v2'!$F$2:$F$500,$A25,'Quote Library v2'!$L$2:$L$500,C$3)</f>
        <v/>
      </c>
      <c r="D25">
        <f>COUNTIFS('Quote Library v2'!$F$2:$F$500,$A25,'Quote Library v2'!$K$2:$K$500,D$3)+COUNTIFS('Quote Library v2'!$F$2:$F$500,$A25,'Quote Library v2'!$L$2:$L$500,D$3)</f>
        <v/>
      </c>
      <c r="E25">
        <f>COUNTIFS('Quote Library v2'!$F$2:$F$500,$A25,'Quote Library v2'!$K$2:$K$500,E$3)+COUNTIFS('Quote Library v2'!$F$2:$F$500,$A25,'Quote Library v2'!$L$2:$L$500,E$3)</f>
        <v/>
      </c>
      <c r="F25">
        <f>COUNTIFS('Quote Library v2'!$F$2:$F$500,$A25,'Quote Library v2'!$K$2:$K$500,F$3)+COUNTIFS('Quote Library v2'!$F$2:$F$500,$A25,'Quote Library v2'!$L$2:$L$500,F$3)</f>
        <v/>
      </c>
      <c r="G25">
        <f>COUNTIFS('Quote Library v2'!$F$2:$F$500,$A25,'Quote Library v2'!$K$2:$K$500,G$3)+COUNTIFS('Quote Library v2'!$F$2:$F$500,$A25,'Quote Library v2'!$L$2:$L$500,G$3)</f>
        <v/>
      </c>
      <c r="H25">
        <f>IF(SUM(B25:G25)=0,"Missing",IF(COUNTIF(B25:G25,"&gt;0")=1,"Thin",IF(COUNTIF(B25:G25,"&gt;0")&gt;=4,"Rich","Covered")))</f>
        <v/>
      </c>
    </row>
    <row r="26">
      <c r="A26" t="inlineStr">
        <is>
          <t>Giới hạn năng lượng / cần nghỉ</t>
        </is>
      </c>
      <c r="B26">
        <f>COUNTIFS('Quote Library v2'!$F$2:$F$500,$A26,'Quote Library v2'!$K$2:$K$500,B$3)+COUNTIFS('Quote Library v2'!$F$2:$F$500,$A26,'Quote Library v2'!$L$2:$L$500,B$3)</f>
        <v/>
      </c>
      <c r="C26">
        <f>COUNTIFS('Quote Library v2'!$F$2:$F$500,$A26,'Quote Library v2'!$K$2:$K$500,C$3)+COUNTIFS('Quote Library v2'!$F$2:$F$500,$A26,'Quote Library v2'!$L$2:$L$500,C$3)</f>
        <v/>
      </c>
      <c r="D26">
        <f>COUNTIFS('Quote Library v2'!$F$2:$F$500,$A26,'Quote Library v2'!$K$2:$K$500,D$3)+COUNTIFS('Quote Library v2'!$F$2:$F$500,$A26,'Quote Library v2'!$L$2:$L$500,D$3)</f>
        <v/>
      </c>
      <c r="E26">
        <f>COUNTIFS('Quote Library v2'!$F$2:$F$500,$A26,'Quote Library v2'!$K$2:$K$500,E$3)+COUNTIFS('Quote Library v2'!$F$2:$F$500,$A26,'Quote Library v2'!$L$2:$L$500,E$3)</f>
        <v/>
      </c>
      <c r="F26">
        <f>COUNTIFS('Quote Library v2'!$F$2:$F$500,$A26,'Quote Library v2'!$K$2:$K$500,F$3)+COUNTIFS('Quote Library v2'!$F$2:$F$500,$A26,'Quote Library v2'!$L$2:$L$500,F$3)</f>
        <v/>
      </c>
      <c r="G26">
        <f>COUNTIFS('Quote Library v2'!$F$2:$F$500,$A26,'Quote Library v2'!$K$2:$K$500,G$3)+COUNTIFS('Quote Library v2'!$F$2:$F$500,$A26,'Quote Library v2'!$L$2:$L$500,G$3)</f>
        <v/>
      </c>
      <c r="H26">
        <f>IF(SUM(B26:G26)=0,"Missing",IF(COUNTIF(B26:G26,"&gt;0")=1,"Thin",IF(COUNTIF(B26:G26,"&gt;0")&gt;=4,"Rich","Covered")))</f>
        <v/>
      </c>
    </row>
    <row r="27">
      <c r="A27" t="inlineStr">
        <is>
          <t>Không gọi tên được điều đang xảy ra bên trong</t>
        </is>
      </c>
      <c r="B27">
        <f>COUNTIFS('Quote Library v2'!$F$2:$F$500,$A27,'Quote Library v2'!$K$2:$K$500,B$3)+COUNTIFS('Quote Library v2'!$F$2:$F$500,$A27,'Quote Library v2'!$L$2:$L$500,B$3)</f>
        <v/>
      </c>
      <c r="C27">
        <f>COUNTIFS('Quote Library v2'!$F$2:$F$500,$A27,'Quote Library v2'!$K$2:$K$500,C$3)+COUNTIFS('Quote Library v2'!$F$2:$F$500,$A27,'Quote Library v2'!$L$2:$L$500,C$3)</f>
        <v/>
      </c>
      <c r="D27">
        <f>COUNTIFS('Quote Library v2'!$F$2:$F$500,$A27,'Quote Library v2'!$K$2:$K$500,D$3)+COUNTIFS('Quote Library v2'!$F$2:$F$500,$A27,'Quote Library v2'!$L$2:$L$500,D$3)</f>
        <v/>
      </c>
      <c r="E27">
        <f>COUNTIFS('Quote Library v2'!$F$2:$F$500,$A27,'Quote Library v2'!$K$2:$K$500,E$3)+COUNTIFS('Quote Library v2'!$F$2:$F$500,$A27,'Quote Library v2'!$L$2:$L$500,E$3)</f>
        <v/>
      </c>
      <c r="F27">
        <f>COUNTIFS('Quote Library v2'!$F$2:$F$500,$A27,'Quote Library v2'!$K$2:$K$500,F$3)+COUNTIFS('Quote Library v2'!$F$2:$F$500,$A27,'Quote Library v2'!$L$2:$L$500,F$3)</f>
        <v/>
      </c>
      <c r="G27">
        <f>COUNTIFS('Quote Library v2'!$F$2:$F$500,$A27,'Quote Library v2'!$K$2:$K$500,G$3)+COUNTIFS('Quote Library v2'!$F$2:$F$500,$A27,'Quote Library v2'!$L$2:$L$500,G$3)</f>
        <v/>
      </c>
      <c r="H27">
        <f>IF(SUM(B27:G27)=0,"Missing",IF(COUNTIF(B27:G27,"&gt;0")=1,"Thin",IF(COUNTIF(B27:G27,"&gt;0")&gt;=4,"Rich","Covered")))</f>
        <v/>
      </c>
    </row>
    <row r="28">
      <c r="A28" t="inlineStr">
        <is>
          <t>Nhiều output/AI answer nhưng judgment vẫn thuộc về mình</t>
        </is>
      </c>
      <c r="B28">
        <f>COUNTIFS('Quote Library v2'!$F$2:$F$500,$A28,'Quote Library v2'!$K$2:$K$500,B$3)+COUNTIFS('Quote Library v2'!$F$2:$F$500,$A28,'Quote Library v2'!$L$2:$L$500,B$3)</f>
        <v/>
      </c>
      <c r="C28">
        <f>COUNTIFS('Quote Library v2'!$F$2:$F$500,$A28,'Quote Library v2'!$K$2:$K$500,C$3)+COUNTIFS('Quote Library v2'!$F$2:$F$500,$A28,'Quote Library v2'!$L$2:$L$500,C$3)</f>
        <v/>
      </c>
      <c r="D28">
        <f>COUNTIFS('Quote Library v2'!$F$2:$F$500,$A28,'Quote Library v2'!$K$2:$K$500,D$3)+COUNTIFS('Quote Library v2'!$F$2:$F$500,$A28,'Quote Library v2'!$L$2:$L$500,D$3)</f>
        <v/>
      </c>
      <c r="E28">
        <f>COUNTIFS('Quote Library v2'!$F$2:$F$500,$A28,'Quote Library v2'!$K$2:$K$500,E$3)+COUNTIFS('Quote Library v2'!$F$2:$F$500,$A28,'Quote Library v2'!$L$2:$L$500,E$3)</f>
        <v/>
      </c>
      <c r="F28">
        <f>COUNTIFS('Quote Library v2'!$F$2:$F$500,$A28,'Quote Library v2'!$K$2:$K$500,F$3)+COUNTIFS('Quote Library v2'!$F$2:$F$500,$A28,'Quote Library v2'!$L$2:$L$500,F$3)</f>
        <v/>
      </c>
      <c r="G28">
        <f>COUNTIFS('Quote Library v2'!$F$2:$F$500,$A28,'Quote Library v2'!$K$2:$K$500,G$3)+COUNTIFS('Quote Library v2'!$F$2:$F$500,$A28,'Quote Library v2'!$L$2:$L$500,G$3)</f>
        <v/>
      </c>
      <c r="H28">
        <f>IF(SUM(B28:G28)=0,"Missing",IF(COUNTIF(B28:G28,"&gt;0")=1,"Thin",IF(COUNTIF(B28:G28,"&gt;0")&gt;=4,"Rich","Covered")))</f>
        <v/>
      </c>
    </row>
  </sheetData>
  <mergeCells count="1">
    <mergeCell ref="A1:H1"/>
  </mergeCells>
  <conditionalFormatting sqref="B4:G28">
    <cfRule type="colorScale" priority="1">
      <colorScale>
        <cfvo type="min"/>
        <cfvo type="percentile" val="50"/>
        <cfvo type="max"/>
        <color rgb="FFFEE2E2"/>
        <color rgb="FFFEF3C7"/>
        <color rgb="FFDCFCE7"/>
      </colorScale>
    </cfRule>
  </conditionalFormatting>
  <conditionalFormatting sqref="H4:H28">
    <cfRule type="expression" priority="2" dxfId="1">
      <formula>H4="Missing"</formula>
    </cfRule>
    <cfRule type="expression" priority="3" dxfId="5">
      <formula>H4="Thin"</formula>
    </cfRule>
    <cfRule type="expression" priority="4" dxfId="6">
      <formula>H4="Covered"</formula>
    </cfRule>
    <cfRule type="expression" priority="5" dxfId="7">
      <formula>H4="Rich"</formula>
    </cfRule>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style="42" min="1" max="1"/>
    <col width="14" customWidth="1" style="42" min="2" max="2"/>
    <col width="14" customWidth="1" style="42" min="3" max="3"/>
    <col width="34" customWidth="1" style="42" min="5" max="5"/>
    <col width="14" customWidth="1" style="42" min="6" max="6"/>
    <col width="14" customWidth="1" style="42" min="7" max="7"/>
  </cols>
  <sheetData>
    <row r="1">
      <c r="A1" s="70" t="inlineStr">
        <is>
          <t>DIVERSITY DASHBOARD — NGUỒN, HÌNH THỨC, LIFE AREA</t>
        </is>
      </c>
      <c r="B1" s="1" t="n"/>
      <c r="C1" s="1" t="n"/>
      <c r="D1" s="1" t="n"/>
      <c r="E1" s="1" t="n"/>
      <c r="F1" s="1" t="n"/>
      <c r="G1" s="1" t="n"/>
      <c r="H1" s="1" t="n"/>
    </row>
    <row r="3">
      <c r="A3" s="50" t="inlineStr">
        <is>
          <t>Lĩnh vực cuộc sống</t>
        </is>
      </c>
      <c r="B3" s="50" t="inlineStr">
        <is>
          <t>Số quote</t>
        </is>
      </c>
      <c r="C3" s="50" t="inlineStr">
        <is>
          <t>Tỷ trọng</t>
        </is>
      </c>
      <c r="E3" s="50" t="inlineStr">
        <is>
          <t>Editorial Role</t>
        </is>
      </c>
      <c r="F3" s="50" t="inlineStr">
        <is>
          <t>Số quote</t>
        </is>
      </c>
      <c r="G3" s="50" t="inlineStr">
        <is>
          <t>Tỷ trọng</t>
        </is>
      </c>
    </row>
    <row r="4">
      <c r="A4" t="inlineStr">
        <is>
          <t>Nội tâm &amp; hiểu mình</t>
        </is>
      </c>
      <c r="B4">
        <f>COUNTIF('Quote Library v2'!$C$2:$C$500,A4)</f>
        <v/>
      </c>
      <c r="C4" s="67">
        <f>IFERROR(B4/SUM($B$4:$B$15),0)</f>
        <v/>
      </c>
      <c r="E4" t="inlineStr">
        <is>
          <t>Recognize</t>
        </is>
      </c>
      <c r="F4">
        <f>COUNTIF('Quote Library v2'!$K$2:$K$500,E4)+COUNTIF('Quote Library v2'!$L$2:$L$500,E4)</f>
        <v/>
      </c>
      <c r="G4" s="67">
        <f>IFERROR(F4/SUM($F$4:$F$9),0)</f>
        <v/>
      </c>
    </row>
    <row r="5">
      <c r="A5" t="inlineStr">
        <is>
          <t>Cảm xúc</t>
        </is>
      </c>
      <c r="B5">
        <f>COUNTIF('Quote Library v2'!$C$2:$C$500,A5)</f>
        <v/>
      </c>
      <c r="C5" s="67">
        <f>IFERROR(B5/SUM($B$4:$B$15),0)</f>
        <v/>
      </c>
      <c r="E5" t="inlineStr">
        <is>
          <t>Name</t>
        </is>
      </c>
      <c r="F5">
        <f>COUNTIF('Quote Library v2'!$K$2:$K$500,E5)+COUNTIF('Quote Library v2'!$L$2:$L$500,E5)</f>
        <v/>
      </c>
      <c r="G5" s="67">
        <f>IFERROR(F5/SUM($F$4:$F$9),0)</f>
        <v/>
      </c>
    </row>
    <row r="6">
      <c r="A6" t="inlineStr">
        <is>
          <t>Công việc &amp; mục đích</t>
        </is>
      </c>
      <c r="B6">
        <f>COUNTIF('Quote Library v2'!$C$2:$C$500,A6)</f>
        <v/>
      </c>
      <c r="C6" s="67">
        <f>IFERROR(B6/SUM($B$4:$B$15),0)</f>
        <v/>
      </c>
      <c r="E6" t="inlineStr">
        <is>
          <t>Permit</t>
        </is>
      </c>
      <c r="F6">
        <f>COUNTIF('Quote Library v2'!$K$2:$K$500,E6)+COUNTIF('Quote Library v2'!$L$2:$L$500,E6)</f>
        <v/>
      </c>
      <c r="G6" s="67">
        <f>IFERROR(F6/SUM($F$4:$F$9),0)</f>
        <v/>
      </c>
    </row>
    <row r="7">
      <c r="A7" t="inlineStr">
        <is>
          <t>Quan hệ</t>
        </is>
      </c>
      <c r="B7">
        <f>COUNTIF('Quote Library v2'!$C$2:$C$500,A7)</f>
        <v/>
      </c>
      <c r="C7" s="67">
        <f>IFERROR(B7/SUM($B$4:$B$15),0)</f>
        <v/>
      </c>
      <c r="E7" t="inlineStr">
        <is>
          <t>Reframe</t>
        </is>
      </c>
      <c r="F7">
        <f>COUNTIF('Quote Library v2'!$K$2:$K$500,E7)+COUNTIF('Quote Library v2'!$L$2:$L$500,E7)</f>
        <v/>
      </c>
      <c r="G7" s="67">
        <f>IFERROR(F7/SUM($F$4:$F$9),0)</f>
        <v/>
      </c>
    </row>
    <row r="8">
      <c r="A8" t="inlineStr">
        <is>
          <t>Gia đình</t>
        </is>
      </c>
      <c r="B8">
        <f>COUNTIF('Quote Library v2'!$C$2:$C$500,A8)</f>
        <v/>
      </c>
      <c r="C8" s="67">
        <f>IFERROR(B8/SUM($B$4:$B$15),0)</f>
        <v/>
      </c>
      <c r="E8" t="inlineStr">
        <is>
          <t>Distinguish</t>
        </is>
      </c>
      <c r="F8">
        <f>COUNTIF('Quote Library v2'!$K$2:$K$500,E8)+COUNTIF('Quote Library v2'!$L$2:$L$500,E8)</f>
        <v/>
      </c>
      <c r="G8" s="67">
        <f>IFERROR(F8/SUM($F$4:$F$9),0)</f>
        <v/>
      </c>
    </row>
    <row r="9">
      <c r="A9" t="inlineStr">
        <is>
          <t>Lựa chọn &amp; định hướng</t>
        </is>
      </c>
      <c r="B9">
        <f>COUNTIF('Quote Library v2'!$C$2:$C$500,A9)</f>
        <v/>
      </c>
      <c r="C9" s="67">
        <f>IFERROR(B9/SUM($B$4:$B$15),0)</f>
        <v/>
      </c>
      <c r="E9" t="inlineStr">
        <is>
          <t>Return agency</t>
        </is>
      </c>
      <c r="F9">
        <f>COUNTIF('Quote Library v2'!$K$2:$K$500,E9)+COUNTIF('Quote Library v2'!$L$2:$L$500,E9)</f>
        <v/>
      </c>
      <c r="G9" s="67">
        <f>IFERROR(F9/SUM($F$4:$F$9),0)</f>
        <v/>
      </c>
    </row>
    <row r="10">
      <c r="A10" t="inlineStr">
        <is>
          <t>Học hỏi &amp; phát triển</t>
        </is>
      </c>
      <c r="B10">
        <f>COUNTIF('Quote Library v2'!$C$2:$C$500,A10)</f>
        <v/>
      </c>
      <c r="C10" s="67">
        <f>IFERROR(B10/SUM($B$4:$B$15),0)</f>
        <v/>
      </c>
    </row>
    <row r="11">
      <c r="A11" t="inlineStr">
        <is>
          <t>Nghỉ ngơi &amp; sức khỏe tinh thần</t>
        </is>
      </c>
      <c r="B11">
        <f>COUNTIF('Quote Library v2'!$C$2:$C$500,A11)</f>
        <v/>
      </c>
      <c r="C11" s="67">
        <f>IFERROR(B11/SUM($B$4:$B$15),0)</f>
        <v/>
      </c>
    </row>
    <row r="12">
      <c r="A12" t="inlineStr">
        <is>
          <t>Ý nghĩa &amp; bản sắc</t>
        </is>
      </c>
      <c r="B12">
        <f>COUNTIF('Quote Library v2'!$C$2:$C$500,A12)</f>
        <v/>
      </c>
      <c r="C12" s="67">
        <f>IFERROR(B12/SUM($B$4:$B$15),0)</f>
        <v/>
      </c>
      <c r="E12" s="50" t="inlineStr">
        <is>
          <t>Nguồn / truyền thống</t>
        </is>
      </c>
      <c r="F12" s="50" t="inlineStr">
        <is>
          <t>Số quote</t>
        </is>
      </c>
      <c r="G12" s="50" t="inlineStr">
        <is>
          <t>Tỷ trọng</t>
        </is>
      </c>
    </row>
    <row r="13">
      <c r="A13" t="inlineStr">
        <is>
          <t>Thay đổi / mất mát / chuyển tiếp</t>
        </is>
      </c>
      <c r="B13">
        <f>COUNTIF('Quote Library v2'!$C$2:$C$500,A13)</f>
        <v/>
      </c>
      <c r="C13" s="67">
        <f>IFERROR(B13/SUM($B$4:$B$15),0)</f>
        <v/>
      </c>
      <c r="E13" t="inlineStr">
        <is>
          <t>Taoism</t>
        </is>
      </c>
      <c r="F13">
        <f>COUNTIF('Quote Library v2'!$R$2:$R$500,E13)</f>
        <v/>
      </c>
      <c r="G13" s="67">
        <f>IFERROR(F13/SUM($F$13:$F$25),0)</f>
        <v/>
      </c>
    </row>
    <row r="14">
      <c r="A14" t="inlineStr">
        <is>
          <t>Xã hội &amp; văn hóa</t>
        </is>
      </c>
      <c r="B14">
        <f>COUNTIF('Quote Library v2'!$C$2:$C$500,A14)</f>
        <v/>
      </c>
      <c r="C14" s="67">
        <f>IFERROR(B14/SUM($B$4:$B$15),0)</f>
        <v/>
      </c>
      <c r="E14" t="inlineStr">
        <is>
          <t>Stoicism</t>
        </is>
      </c>
      <c r="F14">
        <f>COUNTIF('Quote Library v2'!$R$2:$R$500,E14)</f>
        <v/>
      </c>
      <c r="G14" s="67">
        <f>IFERROR(F14/SUM($F$13:$F$25),0)</f>
        <v/>
      </c>
    </row>
    <row r="15">
      <c r="A15" t="inlineStr">
        <is>
          <t>AI &amp; tương lai</t>
        </is>
      </c>
      <c r="B15">
        <f>COUNTIF('Quote Library v2'!$C$2:$C$500,A15)</f>
        <v/>
      </c>
      <c r="C15" s="67">
        <f>IFERROR(B15/SUM($B$4:$B$15),0)</f>
        <v/>
      </c>
      <c r="E15" t="inlineStr">
        <is>
          <t>Early Buddhism</t>
        </is>
      </c>
      <c r="F15">
        <f>COUNTIF('Quote Library v2'!$R$2:$R$500,E15)</f>
        <v/>
      </c>
      <c r="G15" s="67">
        <f>IFERROR(F15/SUM($F$13:$F$25),0)</f>
        <v/>
      </c>
    </row>
    <row r="16">
      <c r="E16" t="inlineStr">
        <is>
          <t>Vietnamese wisdom</t>
        </is>
      </c>
      <c r="F16">
        <f>COUNTIF('Quote Library v2'!$R$2:$R$500,E16)</f>
        <v/>
      </c>
      <c r="G16" s="67">
        <f>IFERROR(F16/SUM($F$13:$F$25),0)</f>
        <v/>
      </c>
    </row>
    <row r="17">
      <c r="E17" t="inlineStr">
        <is>
          <t>Chinese classics</t>
        </is>
      </c>
      <c r="F17">
        <f>COUNTIF('Quote Library v2'!$R$2:$R$500,E17)</f>
        <v/>
      </c>
      <c r="G17" s="67">
        <f>IFERROR(F17/SUM($F$13:$F$25),0)</f>
        <v/>
      </c>
    </row>
    <row r="18">
      <c r="A18" s="50" t="inlineStr">
        <is>
          <t>Hình thức nội dung</t>
        </is>
      </c>
      <c r="B18" s="50" t="inlineStr">
        <is>
          <t>Số quote</t>
        </is>
      </c>
      <c r="C18" s="50" t="inlineStr">
        <is>
          <t>Tỷ trọng</t>
        </is>
      </c>
      <c r="E18" t="inlineStr">
        <is>
          <t>Japanese wisdom / Zen</t>
        </is>
      </c>
      <c r="F18">
        <f>COUNTIF('Quote Library v2'!$R$2:$R$500,E18)</f>
        <v/>
      </c>
      <c r="G18" s="67">
        <f>IFERROR(F18/SUM($F$13:$F$25),0)</f>
        <v/>
      </c>
    </row>
    <row r="19">
      <c r="A19" t="inlineStr">
        <is>
          <t>Quan sát trực tiếp</t>
        </is>
      </c>
      <c r="B19">
        <f>COUNTIF('Quote Library v2'!$M$2:$M$500,A19)</f>
        <v/>
      </c>
      <c r="C19" s="67">
        <f>IFERROR(B19/SUM($B$19:$B$30),0)</f>
        <v/>
      </c>
      <c r="E19" t="inlineStr">
        <is>
          <t>Persian</t>
        </is>
      </c>
      <c r="F19">
        <f>COUNTIF('Quote Library v2'!$R$2:$R$500,E19)</f>
        <v/>
      </c>
      <c r="G19" s="67">
        <f>IFERROR(F19/SUM($F$13:$F$25),0)</f>
        <v/>
      </c>
    </row>
    <row r="20">
      <c r="A20" t="inlineStr">
        <is>
          <t>Ẩn dụ</t>
        </is>
      </c>
      <c r="B20">
        <f>COUNTIF('Quote Library v2'!$M$2:$M$500,A20)</f>
        <v/>
      </c>
      <c r="C20" s="67">
        <f>IFERROR(B20/SUM($B$19:$B$30),0)</f>
        <v/>
      </c>
      <c r="E20" t="inlineStr">
        <is>
          <t>African traditions</t>
        </is>
      </c>
      <c r="F20">
        <f>COUNTIF('Quote Library v2'!$R$2:$R$500,E20)</f>
        <v/>
      </c>
      <c r="G20" s="67">
        <f>IFERROR(F20/SUM($F$13:$F$25),0)</f>
        <v/>
      </c>
    </row>
    <row r="21">
      <c r="A21" t="inlineStr">
        <is>
          <t>Câu hỏi</t>
        </is>
      </c>
      <c r="B21">
        <f>COUNTIF('Quote Library v2'!$M$2:$M$500,A21)</f>
        <v/>
      </c>
      <c r="C21" s="67">
        <f>IFERROR(B21/SUM($B$19:$B$30),0)</f>
        <v/>
      </c>
      <c r="E21" t="inlineStr">
        <is>
          <t>World literature</t>
        </is>
      </c>
      <c r="F21">
        <f>COUNTIF('Quote Library v2'!$R$2:$R$500,E21)</f>
        <v/>
      </c>
      <c r="G21" s="67">
        <f>IFERROR(F21/SUM($F$13:$F$25),0)</f>
        <v/>
      </c>
    </row>
    <row r="22">
      <c r="A22" t="inlineStr">
        <is>
          <t>Nghịch lý</t>
        </is>
      </c>
      <c r="B22">
        <f>COUNTIF('Quote Library v2'!$M$2:$M$500,A22)</f>
        <v/>
      </c>
      <c r="C22" s="67">
        <f>IFERROR(B22/SUM($B$19:$B$30),0)</f>
        <v/>
      </c>
      <c r="E22" t="inlineStr">
        <is>
          <t>Modern philosophy</t>
        </is>
      </c>
      <c r="F22">
        <f>COUNTIF('Quote Library v2'!$R$2:$R$500,E22)</f>
        <v/>
      </c>
      <c r="G22" s="67">
        <f>IFERROR(F22/SUM($F$13:$F$25),0)</f>
        <v/>
      </c>
    </row>
    <row r="23">
      <c r="A23" t="inlineStr">
        <is>
          <t>Tục ngữ / ca dao / thành ngữ</t>
        </is>
      </c>
      <c r="B23">
        <f>COUNTIF('Quote Library v2'!$M$2:$M$500,A23)</f>
        <v/>
      </c>
      <c r="C23" s="67">
        <f>IFERROR(B23/SUM($B$19:$B$30),0)</f>
        <v/>
      </c>
      <c r="E23" t="inlineStr">
        <is>
          <t>Psychology</t>
        </is>
      </c>
      <c r="F23">
        <f>COUNTIF('Quote Library v2'!$R$2:$R$500,E23)</f>
        <v/>
      </c>
      <c r="G23" s="67">
        <f>IFERROR(F23/SUM($F$13:$F$25),0)</f>
        <v/>
      </c>
    </row>
    <row r="24">
      <c r="A24" t="inlineStr">
        <is>
          <t>Thơ / văn vần</t>
        </is>
      </c>
      <c r="B24">
        <f>COUNTIF('Quote Library v2'!$M$2:$M$500,A24)</f>
        <v/>
      </c>
      <c r="C24" s="67">
        <f>IFERROR(B24/SUM($B$19:$B$30),0)</f>
        <v/>
      </c>
      <c r="E24" t="inlineStr">
        <is>
          <t>AI-era research</t>
        </is>
      </c>
      <c r="F24">
        <f>COUNTIF('Quote Library v2'!$R$2:$R$500,E24)</f>
        <v/>
      </c>
      <c r="G24" s="67">
        <f>IFERROR(F24/SUM($F$13:$F$25),0)</f>
        <v/>
      </c>
    </row>
    <row r="25">
      <c r="A25" t="inlineStr">
        <is>
          <t>Đối thoại</t>
        </is>
      </c>
      <c r="B25">
        <f>COUNTIF('Quote Library v2'!$M$2:$M$500,A25)</f>
        <v/>
      </c>
      <c r="C25" s="67">
        <f>IFERROR(B25/SUM($B$19:$B$30),0)</f>
        <v/>
      </c>
      <c r="E25" t="inlineStr">
        <is>
          <t>Other</t>
        </is>
      </c>
      <c r="F25">
        <f>COUNTIF('Quote Library v2'!$R$2:$R$500,E25)</f>
        <v/>
      </c>
      <c r="G25" s="67">
        <f>IFERROR(F25/SUM($F$13:$F$25),0)</f>
        <v/>
      </c>
    </row>
    <row r="26">
      <c r="A26" t="inlineStr">
        <is>
          <t>Trích đoạn triết học</t>
        </is>
      </c>
      <c r="B26">
        <f>COUNTIF('Quote Library v2'!$M$2:$M$500,A26)</f>
        <v/>
      </c>
      <c r="C26" s="67">
        <f>IFERROR(B26/SUM($B$19:$B$30),0)</f>
        <v/>
      </c>
    </row>
    <row r="27">
      <c r="A27" t="inlineStr">
        <is>
          <t>Research-informed observation</t>
        </is>
      </c>
      <c r="B27">
        <f>COUNTIF('Quote Library v2'!$M$2:$M$500,A27)</f>
        <v/>
      </c>
      <c r="C27" s="67">
        <f>IFERROR(B27/SUM($B$19:$B$30),0)</f>
        <v/>
      </c>
    </row>
    <row r="28">
      <c r="A28" t="inlineStr">
        <is>
          <t>Story-derived insight</t>
        </is>
      </c>
      <c r="B28">
        <f>COUNTIF('Quote Library v2'!$M$2:$M$500,A28)</f>
        <v/>
      </c>
      <c r="C28" s="67">
        <f>IFERROR(B28/SUM($B$19:$B$30),0)</f>
        <v/>
      </c>
    </row>
    <row r="29">
      <c r="A29" t="inlineStr">
        <is>
          <t>Traditional wisdom</t>
        </is>
      </c>
      <c r="B29">
        <f>COUNTIF('Quote Library v2'!$M$2:$M$500,A29)</f>
        <v/>
      </c>
      <c r="C29" s="67">
        <f>IFERROR(B29/SUM($B$19:$B$30),0)</f>
        <v/>
      </c>
    </row>
    <row r="30">
      <c r="A30" t="inlineStr">
        <is>
          <t>Selflo Original</t>
        </is>
      </c>
      <c r="B30">
        <f>COUNTIF('Quote Library v2'!$M$2:$M$500,A30)</f>
        <v/>
      </c>
      <c r="C30" s="67">
        <f>IFERROR(B30/SUM($B$19:$B$30),0)</f>
        <v/>
      </c>
    </row>
  </sheetData>
  <mergeCells count="1">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style="42" min="1" max="1"/>
    <col width="12" customWidth="1" style="42" min="2" max="2"/>
    <col width="55" customWidth="1" style="42" min="3" max="3"/>
    <col width="16" customWidth="1" style="42" min="4" max="4"/>
    <col width="38" customWidth="1" style="42" min="5" max="5"/>
    <col width="12" customWidth="1" style="42" min="6" max="6"/>
  </cols>
  <sheetData>
    <row r="1">
      <c r="A1" s="71" t="inlineStr">
        <is>
          <t>DAY 1 — LÃO TỬ / ĐẠO ĐỨC KINH CHƯƠNG 1–20 — FULL SCOPE AUDIT</t>
        </is>
      </c>
      <c r="B1" s="1" t="n"/>
      <c r="C1" s="1" t="n"/>
      <c r="D1" s="1" t="n"/>
      <c r="E1" s="1" t="n"/>
      <c r="F1" s="1" t="n"/>
      <c r="G1" s="1" t="n"/>
      <c r="H1" s="1" t="n"/>
    </row>
    <row r="3">
      <c r="A3" s="60" t="inlineStr">
        <is>
          <t>Hạng mục</t>
        </is>
      </c>
      <c r="B3" s="60" t="inlineStr">
        <is>
          <t>Kết quả</t>
        </is>
      </c>
    </row>
    <row r="4">
      <c r="A4" t="inlineStr">
        <is>
          <t>Scope</t>
        </is>
      </c>
      <c r="B4" t="inlineStr">
        <is>
          <t>Đạo Đức Kinh chương 1–20, audit toàn bộ phạm vi chứ không dừng theo quota.</t>
        </is>
      </c>
    </row>
    <row r="5">
      <c r="A5" t="inlineStr">
        <is>
          <t>Candidate passages</t>
        </is>
      </c>
      <c r="B5" t="n">
        <v>63</v>
      </c>
    </row>
    <row r="6">
      <c r="A6" t="inlineStr">
        <is>
          <t>Story thực sự</t>
        </is>
      </c>
      <c r="B6" t="inlineStr">
        <is>
          <t>0 — không ép primary text thành story.</t>
        </is>
      </c>
    </row>
    <row r="7">
      <c r="A7" t="inlineStr">
        <is>
          <t>Metaphor / philosophical passage</t>
        </is>
      </c>
      <c r="B7" t="inlineStr">
        <is>
          <t>Ống bễ (ch.5), nước (ch.8), bình/mũi nhọn (ch.9), bánh xe–bình–phòng (ch.11), nước đục (ch.15), chu kỳ trở về (ch.16).</t>
        </is>
      </c>
    </row>
    <row r="8">
      <c r="A8" t="inlineStr">
        <is>
          <t>Principle seeds</t>
        </is>
      </c>
      <c r="B8" t="n">
        <v>10</v>
      </c>
    </row>
    <row r="9">
      <c r="A9" t="inlineStr">
        <is>
          <t>Primary Chinese source</t>
        </is>
      </c>
      <c r="B9" t="inlineStr">
        <is>
          <t>Wang Bi recension on Chinese Wikisource</t>
        </is>
      </c>
    </row>
    <row r="10">
      <c r="A10" t="inlineStr">
        <is>
          <t>Cross-check</t>
        </is>
      </c>
      <c r="B10" t="inlineStr">
        <is>
          <t>Chinese Text Project; James Legge 1891 via Project Gutenberg</t>
        </is>
      </c>
    </row>
    <row r="11">
      <c r="A11" t="inlineStr">
        <is>
          <t>Translation policy</t>
        </is>
      </c>
      <c r="B11" t="inlineStr">
        <is>
          <t>Mỗi record giữ nguyên văn Classical Chinese + working Vietnamese. Working Vietnamese KHÔNG phải published translation.</t>
        </is>
      </c>
    </row>
    <row r="12">
      <c r="A12" t="inlineStr">
        <is>
          <t>Completion gate</t>
        </is>
      </c>
      <c r="B12" t="inlineStr">
        <is>
          <t>PASS — chapters 1–20 reviewed end-to-end; candidates stored; principles stored; sources registered; story count truthfully 0.</t>
        </is>
      </c>
    </row>
    <row r="13">
      <c r="A13" t="inlineStr">
        <is>
          <t>Day status</t>
        </is>
      </c>
      <c r="B13" t="inlineStr">
        <is>
          <t>DONE</t>
        </is>
      </c>
    </row>
    <row r="16">
      <c r="A16" s="62" t="inlineStr">
        <is>
          <t>Chapter</t>
        </is>
      </c>
      <c r="B16" s="62" t="inlineStr">
        <is>
          <t>Candidates</t>
        </is>
      </c>
      <c r="C16" s="62" t="inlineStr">
        <is>
          <t>Primary themes</t>
        </is>
      </c>
      <c r="D16" s="62" t="inlineStr">
        <is>
          <t>High Selflo Fit</t>
        </is>
      </c>
      <c r="E16" s="62" t="inlineStr">
        <is>
          <t>Notes</t>
        </is>
      </c>
      <c r="F16" s="62" t="inlineStr">
        <is>
          <t>Audit</t>
        </is>
      </c>
    </row>
    <row r="17">
      <c r="A17" s="18" t="n">
        <v>1</v>
      </c>
      <c r="B17" s="18" t="n">
        <v>4</v>
      </c>
      <c r="C17" s="18" t="inlineStr">
        <is>
          <t>Acceptance, Attention, Change, Identity, Judgment, Meaning, Uncertainty</t>
        </is>
      </c>
      <c r="D17" s="18" t="n">
        <v>2</v>
      </c>
      <c r="E17" s="18" t="inlineStr">
        <is>
          <t>Research pool; curate later.</t>
        </is>
      </c>
      <c r="F17" s="18" t="inlineStr">
        <is>
          <t>DONE</t>
        </is>
      </c>
    </row>
    <row r="18">
      <c r="A18" s="18" t="n">
        <v>2</v>
      </c>
      <c r="B18" s="18" t="n">
        <v>4</v>
      </c>
      <c r="C18" s="18" t="inlineStr">
        <is>
          <t>Acceptance, Agency, Change, Comparison, Connection, Enoughness, Identity, Judgment</t>
        </is>
      </c>
      <c r="D18" s="18" t="n">
        <v>3</v>
      </c>
      <c r="E18" s="18" t="inlineStr">
        <is>
          <t>Research pool; curate later.</t>
        </is>
      </c>
      <c r="F18" s="18" t="inlineStr">
        <is>
          <t>DONE</t>
        </is>
      </c>
    </row>
    <row r="19">
      <c r="A19" s="18" t="n">
        <v>3</v>
      </c>
      <c r="B19" s="18" t="n">
        <v>2</v>
      </c>
      <c r="C19" s="18" t="inlineStr">
        <is>
          <t>Agency, Attention, Comparison, Control</t>
        </is>
      </c>
      <c r="D19" s="18" t="n">
        <v>0</v>
      </c>
      <c r="E19" s="18" t="inlineStr">
        <is>
          <t>Research pool; curate later.</t>
        </is>
      </c>
      <c r="F19" s="18" t="inlineStr">
        <is>
          <t>DONE</t>
        </is>
      </c>
    </row>
    <row r="20">
      <c r="A20" s="18" t="n">
        <v>4</v>
      </c>
      <c r="B20" s="18" t="n">
        <v>2</v>
      </c>
      <c r="C20" s="18" t="inlineStr">
        <is>
          <t>Enoughness, Rest, Simplicity</t>
        </is>
      </c>
      <c r="D20" s="18" t="n">
        <v>1</v>
      </c>
      <c r="E20" s="18" t="inlineStr">
        <is>
          <t>Research pool; curate later.</t>
        </is>
      </c>
      <c r="F20" s="18" t="inlineStr">
        <is>
          <t>DONE</t>
        </is>
      </c>
    </row>
    <row r="21">
      <c r="A21" s="18" t="n">
        <v>5</v>
      </c>
      <c r="B21" s="18" t="n">
        <v>2</v>
      </c>
      <c r="C21" s="18" t="inlineStr">
        <is>
          <t>Attention, Enoughness, Simplicity</t>
        </is>
      </c>
      <c r="D21" s="18" t="n">
        <v>2</v>
      </c>
      <c r="E21" s="18" t="inlineStr">
        <is>
          <t>Research pool; curate later.</t>
        </is>
      </c>
      <c r="F21" s="18" t="inlineStr">
        <is>
          <t>DONE</t>
        </is>
      </c>
    </row>
    <row r="22">
      <c r="A22" s="18" t="n">
        <v>6</v>
      </c>
      <c r="B22" s="18" t="n">
        <v>2</v>
      </c>
      <c r="C22" s="18" t="inlineStr">
        <is>
          <t>Change, Enoughness, Meaning, Rest</t>
        </is>
      </c>
      <c r="D22" s="18" t="n">
        <v>0</v>
      </c>
      <c r="E22" s="18" t="inlineStr">
        <is>
          <t>Research pool; curate later.</t>
        </is>
      </c>
      <c r="F22" s="18" t="inlineStr">
        <is>
          <t>DONE</t>
        </is>
      </c>
    </row>
    <row r="23">
      <c r="A23" s="18" t="n">
        <v>7</v>
      </c>
      <c r="B23" s="18" t="n">
        <v>2</v>
      </c>
      <c r="C23" s="18" t="inlineStr">
        <is>
          <t>Agency, Connection, Meaning</t>
        </is>
      </c>
      <c r="D23" s="18" t="n">
        <v>0</v>
      </c>
      <c r="E23" s="18" t="inlineStr">
        <is>
          <t>Research pool; curate later.</t>
        </is>
      </c>
      <c r="F23" s="18" t="inlineStr">
        <is>
          <t>DONE</t>
        </is>
      </c>
    </row>
    <row r="24">
      <c r="A24" s="18" t="n">
        <v>8</v>
      </c>
      <c r="B24" s="18" t="n">
        <v>3</v>
      </c>
      <c r="C24" s="18" t="inlineStr">
        <is>
          <t>Change, Comparison, Connection, Judgment, Simplicity, Values</t>
        </is>
      </c>
      <c r="D24" s="18" t="n">
        <v>1</v>
      </c>
      <c r="E24" s="18" t="inlineStr">
        <is>
          <t>Research pool; curate later.</t>
        </is>
      </c>
      <c r="F24" s="18" t="inlineStr">
        <is>
          <t>DONE</t>
        </is>
      </c>
    </row>
    <row r="25">
      <c r="A25" s="18" t="n">
        <v>9</v>
      </c>
      <c r="B25" s="18" t="n">
        <v>5</v>
      </c>
      <c r="C25" s="18" t="inlineStr">
        <is>
          <t>Change, Enoughness, Impermanence, Responsibility, Rest, Values</t>
        </is>
      </c>
      <c r="D25" s="18" t="n">
        <v>3</v>
      </c>
      <c r="E25" s="18" t="inlineStr">
        <is>
          <t>Research pool; curate later.</t>
        </is>
      </c>
      <c r="F25" s="18" t="inlineStr">
        <is>
          <t>DONE</t>
        </is>
      </c>
    </row>
    <row r="26">
      <c r="A26" s="18" t="n">
        <v>10</v>
      </c>
      <c r="B26" s="18" t="n">
        <v>3</v>
      </c>
      <c r="C26" s="18" t="inlineStr">
        <is>
          <t>Acceptance, Boundaries, Change, Connection, Identity, Rest</t>
        </is>
      </c>
      <c r="D26" s="18" t="n">
        <v>1</v>
      </c>
      <c r="E26" s="18" t="inlineStr">
        <is>
          <t>Research pool; curate later.</t>
        </is>
      </c>
      <c r="F26" s="18" t="inlineStr">
        <is>
          <t>DONE</t>
        </is>
      </c>
    </row>
    <row r="27">
      <c r="A27" s="18" t="n">
        <v>11</v>
      </c>
      <c r="B27" s="18" t="n">
        <v>4</v>
      </c>
      <c r="C27" s="18" t="inlineStr">
        <is>
          <t>Attention, Enoughness, Rest</t>
        </is>
      </c>
      <c r="D27" s="18" t="n">
        <v>4</v>
      </c>
      <c r="E27" s="18" t="inlineStr">
        <is>
          <t>Research pool; curate later.</t>
        </is>
      </c>
      <c r="F27" s="18" t="inlineStr">
        <is>
          <t>DONE</t>
        </is>
      </c>
    </row>
    <row r="28">
      <c r="A28" s="18" t="n">
        <v>12</v>
      </c>
      <c r="B28" s="18" t="n">
        <v>3</v>
      </c>
      <c r="C28" s="18" t="inlineStr">
        <is>
          <t>Attention, Enoughness, Values</t>
        </is>
      </c>
      <c r="D28" s="18" t="n">
        <v>2</v>
      </c>
      <c r="E28" s="18" t="inlineStr">
        <is>
          <t>Research pool; curate later.</t>
        </is>
      </c>
      <c r="F28" s="18" t="inlineStr">
        <is>
          <t>DONE</t>
        </is>
      </c>
    </row>
    <row r="29">
      <c r="A29" s="18" t="n">
        <v>13</v>
      </c>
      <c r="B29" s="18" t="n">
        <v>3</v>
      </c>
      <c r="C29" s="18" t="inlineStr">
        <is>
          <t>Comparison, Control, Fear, Responsibility, Rest, Self-worth</t>
        </is>
      </c>
      <c r="D29" s="18" t="n">
        <v>2</v>
      </c>
      <c r="E29" s="18" t="inlineStr">
        <is>
          <t>Research pool; curate later.</t>
        </is>
      </c>
      <c r="F29" s="18" t="inlineStr">
        <is>
          <t>DONE</t>
        </is>
      </c>
    </row>
    <row r="30">
      <c r="A30" s="18" t="n">
        <v>14</v>
      </c>
      <c r="B30" s="18" t="n">
        <v>3</v>
      </c>
      <c r="C30" s="18" t="inlineStr">
        <is>
          <t>Identity, Judgment, Meaning, Uncertainty, Values</t>
        </is>
      </c>
      <c r="D30" s="18" t="n">
        <v>1</v>
      </c>
      <c r="E30" s="18" t="inlineStr">
        <is>
          <t>Research pool; curate later.</t>
        </is>
      </c>
      <c r="F30" s="18" t="inlineStr">
        <is>
          <t>DONE</t>
        </is>
      </c>
    </row>
    <row r="31">
      <c r="A31" s="18" t="n">
        <v>15</v>
      </c>
      <c r="B31" s="18" t="n">
        <v>5</v>
      </c>
      <c r="C31" s="18" t="inlineStr">
        <is>
          <t>Acceptance, Attention, Change, Enoughness, Patience, Self-worth, Uncertainty</t>
        </is>
      </c>
      <c r="D31" s="18" t="n">
        <v>5</v>
      </c>
      <c r="E31" s="18" t="inlineStr">
        <is>
          <t>Research pool; curate later.</t>
        </is>
      </c>
      <c r="F31" s="18" t="inlineStr">
        <is>
          <t>DONE</t>
        </is>
      </c>
    </row>
    <row r="32">
      <c r="A32" s="18" t="n">
        <v>16</v>
      </c>
      <c r="B32" s="18" t="n">
        <v>4</v>
      </c>
      <c r="C32" s="18" t="inlineStr">
        <is>
          <t>Attention, Change, Impermanence, Judgment, Recovery, Rest</t>
        </is>
      </c>
      <c r="D32" s="18" t="n">
        <v>3</v>
      </c>
      <c r="E32" s="18" t="inlineStr">
        <is>
          <t>Research pool; curate later.</t>
        </is>
      </c>
      <c r="F32" s="18" t="inlineStr">
        <is>
          <t>DONE</t>
        </is>
      </c>
    </row>
    <row r="33">
      <c r="A33" s="18" t="n">
        <v>17</v>
      </c>
      <c r="B33" s="18" t="n">
        <v>3</v>
      </c>
      <c r="C33" s="18" t="inlineStr">
        <is>
          <t>Agency, Responsibility, Trust</t>
        </is>
      </c>
      <c r="D33" s="18" t="n">
        <v>2</v>
      </c>
      <c r="E33" s="18" t="inlineStr">
        <is>
          <t>Research pool; curate later.</t>
        </is>
      </c>
      <c r="F33" s="18" t="inlineStr">
        <is>
          <t>DONE</t>
        </is>
      </c>
    </row>
    <row r="34">
      <c r="A34" s="18" t="n">
        <v>18</v>
      </c>
      <c r="B34" s="18" t="n">
        <v>2</v>
      </c>
      <c r="C34" s="18" t="inlineStr">
        <is>
          <t>Change, Judgment, Trust, Values</t>
        </is>
      </c>
      <c r="D34" s="18" t="n">
        <v>0</v>
      </c>
      <c r="E34" s="18" t="inlineStr">
        <is>
          <t>Research pool; curate later.</t>
        </is>
      </c>
      <c r="F34" s="18" t="inlineStr">
        <is>
          <t>DONE</t>
        </is>
      </c>
    </row>
    <row r="35">
      <c r="A35" s="18" t="n">
        <v>19</v>
      </c>
      <c r="B35" s="18" t="n">
        <v>1</v>
      </c>
      <c r="C35" s="18" t="inlineStr">
        <is>
          <t>Enoughness, Simplicity</t>
        </is>
      </c>
      <c r="D35" s="18" t="n">
        <v>0</v>
      </c>
      <c r="E35" s="18" t="inlineStr">
        <is>
          <t>Research pool; curate later.</t>
        </is>
      </c>
      <c r="F35" s="18" t="inlineStr">
        <is>
          <t>DONE</t>
        </is>
      </c>
    </row>
    <row r="36">
      <c r="A36" s="18" t="n">
        <v>20</v>
      </c>
      <c r="B36" s="18" t="n">
        <v>6</v>
      </c>
      <c r="C36" s="18" t="inlineStr">
        <is>
          <t>Comparison, Fear, Identity, Meaning, Self-worth, Uncertainty</t>
        </is>
      </c>
      <c r="D36" s="18" t="n">
        <v>6</v>
      </c>
      <c r="E36" s="18" t="inlineStr">
        <is>
          <t>Research pool; curate later.</t>
        </is>
      </c>
      <c r="F36" s="18" t="inlineStr">
        <is>
          <t>DONE</t>
        </is>
      </c>
    </row>
  </sheetData>
  <mergeCells count="1">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pane="bottomLeft" activeCell="A1" sqref="A1"/>
    </sheetView>
  </sheetViews>
  <sheetFormatPr baseColWidth="8" defaultRowHeight="15"/>
  <cols>
    <col width="24" customWidth="1" style="42" min="1" max="1"/>
    <col width="100" customWidth="1" style="42" min="2" max="2"/>
    <col width="15" customWidth="1" style="42" min="3" max="3"/>
    <col width="12" customWidth="1" style="42" min="4" max="4"/>
  </cols>
  <sheetData>
    <row r="1">
      <c r="A1" s="60" t="inlineStr">
        <is>
          <t>DAY 2 — LÃO TỬ / ĐẠO ĐỨC KINH CHƯƠNG 21–50 — FULL SCOPE AUDIT</t>
        </is>
      </c>
      <c r="B1" s="60" t="n"/>
      <c r="C1" s="60" t="n"/>
      <c r="D1" s="60" t="n"/>
    </row>
    <row r="3">
      <c r="A3" s="60" t="inlineStr">
        <is>
          <t>Hạng mục</t>
        </is>
      </c>
      <c r="B3" s="60" t="inlineStr">
        <is>
          <t>Kết quả</t>
        </is>
      </c>
      <c r="C3" s="60" t="n"/>
      <c r="D3" s="60" t="n"/>
    </row>
    <row r="4">
      <c r="A4" t="inlineStr">
        <is>
          <t>Scope</t>
        </is>
      </c>
      <c r="B4" t="inlineStr">
        <is>
          <t>Đạo Đức Kinh chương 21–50; audit toàn bộ phạm vi, không dừng theo quota.</t>
        </is>
      </c>
    </row>
    <row r="5">
      <c r="A5" t="inlineStr">
        <is>
          <t>Candidate passages</t>
        </is>
      </c>
      <c r="B5" t="n">
        <v>118</v>
      </c>
    </row>
    <row r="6">
      <c r="A6" t="inlineStr">
        <is>
          <t>Story thực sự</t>
        </is>
      </c>
      <c r="B6" t="inlineStr">
        <is>
          <t>0 — source là aphoristic/philosophical text; không tự biến metaphor thành story.</t>
        </is>
      </c>
    </row>
    <row r="7">
      <c r="A7" t="inlineStr">
        <is>
          <t>Principle seeds</t>
        </is>
      </c>
      <c r="B7" t="n">
        <v>12</v>
      </c>
    </row>
    <row r="8">
      <c r="A8" t="inlineStr">
        <is>
          <t>Nguyên văn</t>
        </is>
      </c>
      <c r="B8" t="inlineStr">
        <is>
          <t>Giữ Classical Chinese cho từng candidate.</t>
        </is>
      </c>
    </row>
    <row r="9">
      <c r="A9" t="inlineStr">
        <is>
          <t>Bản tiếng Việt</t>
        </is>
      </c>
      <c r="B9" t="inlineStr">
        <is>
          <t>Selflo working translation; không phải published translation.</t>
        </is>
      </c>
    </row>
    <row r="10">
      <c r="A10" t="inlineStr">
        <is>
          <t>Primary source</t>
        </is>
      </c>
      <c r="B10" t="inlineStr">
        <is>
          <t>Wang Bi recension / Chinese Wikisource; cross-check nên tiếp tục ở curation phase với CText/Legge và scholarly editions cho câu khó.</t>
        </is>
      </c>
    </row>
    <row r="11">
      <c r="A11" t="inlineStr">
        <is>
          <t>Day status</t>
        </is>
      </c>
      <c r="B11" t="inlineStr">
        <is>
          <t>DONE</t>
        </is>
      </c>
    </row>
    <row r="13">
      <c r="A13" t="inlineStr">
        <is>
          <t>Chapter</t>
        </is>
      </c>
      <c r="B13" t="inlineStr">
        <is>
          <t>Candidates</t>
        </is>
      </c>
      <c r="C13" t="inlineStr">
        <is>
          <t>High fit</t>
        </is>
      </c>
      <c r="D13" t="inlineStr">
        <is>
          <t>Audit</t>
        </is>
      </c>
    </row>
    <row r="14">
      <c r="A14" t="n">
        <v>21</v>
      </c>
      <c r="B14" t="n">
        <v>5</v>
      </c>
      <c r="C14" t="n">
        <v>3</v>
      </c>
      <c r="D14" t="inlineStr">
        <is>
          <t>DONE</t>
        </is>
      </c>
    </row>
    <row r="15">
      <c r="A15" t="n">
        <v>22</v>
      </c>
      <c r="B15" t="n">
        <v>3</v>
      </c>
      <c r="C15" t="n">
        <v>2</v>
      </c>
      <c r="D15" t="inlineStr">
        <is>
          <t>DONE</t>
        </is>
      </c>
    </row>
    <row r="16">
      <c r="A16" t="n">
        <v>23</v>
      </c>
      <c r="B16" t="n">
        <v>4</v>
      </c>
      <c r="C16" t="n">
        <v>4</v>
      </c>
      <c r="D16" t="inlineStr">
        <is>
          <t>DONE</t>
        </is>
      </c>
    </row>
    <row r="17">
      <c r="A17" t="n">
        <v>24</v>
      </c>
      <c r="B17" t="n">
        <v>3</v>
      </c>
      <c r="C17" t="n">
        <v>1</v>
      </c>
      <c r="D17" t="inlineStr">
        <is>
          <t>DONE</t>
        </is>
      </c>
    </row>
    <row r="18">
      <c r="A18" t="n">
        <v>25</v>
      </c>
      <c r="B18" t="n">
        <v>3</v>
      </c>
      <c r="C18" t="n">
        <v>2</v>
      </c>
      <c r="D18" t="inlineStr">
        <is>
          <t>DONE</t>
        </is>
      </c>
    </row>
    <row r="19">
      <c r="A19" t="n">
        <v>26</v>
      </c>
      <c r="B19" t="n">
        <v>3</v>
      </c>
      <c r="C19" t="n">
        <v>3</v>
      </c>
      <c r="D19" t="inlineStr">
        <is>
          <t>DONE</t>
        </is>
      </c>
    </row>
    <row r="20">
      <c r="A20" t="n">
        <v>27</v>
      </c>
      <c r="B20" t="n">
        <v>4</v>
      </c>
      <c r="C20" t="n">
        <v>3</v>
      </c>
      <c r="D20" t="inlineStr">
        <is>
          <t>DONE</t>
        </is>
      </c>
    </row>
    <row r="21">
      <c r="A21" t="n">
        <v>28</v>
      </c>
      <c r="B21" t="n">
        <v>6</v>
      </c>
      <c r="C21" t="n">
        <v>5</v>
      </c>
      <c r="D21" t="inlineStr">
        <is>
          <t>DONE</t>
        </is>
      </c>
    </row>
    <row r="22">
      <c r="A22" t="n">
        <v>29</v>
      </c>
      <c r="B22" t="n">
        <v>5</v>
      </c>
      <c r="C22" t="n">
        <v>4</v>
      </c>
      <c r="D22" t="inlineStr">
        <is>
          <t>DONE</t>
        </is>
      </c>
    </row>
    <row r="23">
      <c r="A23" t="n">
        <v>30</v>
      </c>
      <c r="B23" t="n">
        <v>3</v>
      </c>
      <c r="C23" t="n">
        <v>2</v>
      </c>
      <c r="D23" t="inlineStr">
        <is>
          <t>DONE</t>
        </is>
      </c>
    </row>
    <row r="24">
      <c r="A24" t="n">
        <v>31</v>
      </c>
      <c r="B24" t="n">
        <v>3</v>
      </c>
      <c r="C24" t="n">
        <v>1</v>
      </c>
      <c r="D24" t="inlineStr">
        <is>
          <t>DONE</t>
        </is>
      </c>
    </row>
    <row r="25">
      <c r="A25" t="n">
        <v>32</v>
      </c>
      <c r="B25" t="n">
        <v>3</v>
      </c>
      <c r="C25" t="n">
        <v>2</v>
      </c>
      <c r="D25" t="inlineStr">
        <is>
          <t>DONE</t>
        </is>
      </c>
    </row>
    <row r="26">
      <c r="A26" t="n">
        <v>33</v>
      </c>
      <c r="B26" t="n">
        <v>6</v>
      </c>
      <c r="C26" t="n">
        <v>4</v>
      </c>
      <c r="D26" t="inlineStr">
        <is>
          <t>DONE</t>
        </is>
      </c>
    </row>
    <row r="27">
      <c r="A27" t="n">
        <v>34</v>
      </c>
      <c r="B27" t="n">
        <v>4</v>
      </c>
      <c r="C27" t="n">
        <v>3</v>
      </c>
      <c r="D27" t="inlineStr">
        <is>
          <t>DONE</t>
        </is>
      </c>
    </row>
    <row r="28">
      <c r="A28" t="n">
        <v>35</v>
      </c>
      <c r="B28" t="n">
        <v>4</v>
      </c>
      <c r="C28" t="n">
        <v>2</v>
      </c>
      <c r="D28" t="inlineStr">
        <is>
          <t>DONE</t>
        </is>
      </c>
    </row>
    <row r="29">
      <c r="A29" t="n">
        <v>36</v>
      </c>
      <c r="B29" t="n">
        <v>4</v>
      </c>
      <c r="C29" t="n">
        <v>2</v>
      </c>
      <c r="D29" t="inlineStr">
        <is>
          <t>DONE</t>
        </is>
      </c>
    </row>
    <row r="30">
      <c r="A30" t="n">
        <v>37</v>
      </c>
      <c r="B30" t="n">
        <v>4</v>
      </c>
      <c r="C30" t="n">
        <v>3</v>
      </c>
      <c r="D30" t="inlineStr">
        <is>
          <t>DONE</t>
        </is>
      </c>
    </row>
    <row r="31">
      <c r="A31" t="n">
        <v>38</v>
      </c>
      <c r="B31" t="n">
        <v>6</v>
      </c>
      <c r="C31" t="n">
        <v>5</v>
      </c>
      <c r="D31" t="inlineStr">
        <is>
          <t>DONE</t>
        </is>
      </c>
    </row>
    <row r="32">
      <c r="A32" t="n">
        <v>39</v>
      </c>
      <c r="B32" t="n">
        <v>3</v>
      </c>
      <c r="C32" t="n">
        <v>2</v>
      </c>
      <c r="D32" t="inlineStr">
        <is>
          <t>DONE</t>
        </is>
      </c>
    </row>
    <row r="33">
      <c r="A33" t="n">
        <v>40</v>
      </c>
      <c r="B33" t="n">
        <v>2</v>
      </c>
      <c r="C33" t="n">
        <v>2</v>
      </c>
      <c r="D33" t="inlineStr">
        <is>
          <t>DONE</t>
        </is>
      </c>
    </row>
    <row r="34">
      <c r="A34" t="n">
        <v>41</v>
      </c>
      <c r="B34" t="n">
        <v>5</v>
      </c>
      <c r="C34" t="n">
        <v>5</v>
      </c>
      <c r="D34" t="inlineStr">
        <is>
          <t>DONE</t>
        </is>
      </c>
    </row>
    <row r="35">
      <c r="A35" t="n">
        <v>42</v>
      </c>
      <c r="B35" t="n">
        <v>5</v>
      </c>
      <c r="C35" t="n">
        <v>2</v>
      </c>
      <c r="D35" t="inlineStr">
        <is>
          <t>DONE</t>
        </is>
      </c>
    </row>
    <row r="36">
      <c r="A36" t="n">
        <v>43</v>
      </c>
      <c r="B36" t="n">
        <v>3</v>
      </c>
      <c r="C36" t="n">
        <v>2</v>
      </c>
      <c r="D36" t="inlineStr">
        <is>
          <t>DONE</t>
        </is>
      </c>
    </row>
    <row r="37">
      <c r="A37" t="n">
        <v>44</v>
      </c>
      <c r="B37" t="n">
        <v>3</v>
      </c>
      <c r="C37" t="n">
        <v>3</v>
      </c>
      <c r="D37" t="inlineStr">
        <is>
          <t>DONE</t>
        </is>
      </c>
    </row>
    <row r="38">
      <c r="A38" t="n">
        <v>45</v>
      </c>
      <c r="B38" t="n">
        <v>4</v>
      </c>
      <c r="C38" t="n">
        <v>3</v>
      </c>
      <c r="D38" t="inlineStr">
        <is>
          <t>DONE</t>
        </is>
      </c>
    </row>
    <row r="39">
      <c r="A39" t="n">
        <v>46</v>
      </c>
      <c r="B39" t="n">
        <v>3</v>
      </c>
      <c r="C39" t="n">
        <v>1</v>
      </c>
      <c r="D39" t="inlineStr">
        <is>
          <t>DONE</t>
        </is>
      </c>
    </row>
    <row r="40">
      <c r="A40" t="n">
        <v>47</v>
      </c>
      <c r="B40" t="n">
        <v>3</v>
      </c>
      <c r="C40" t="n">
        <v>3</v>
      </c>
      <c r="D40" t="inlineStr">
        <is>
          <t>DONE</t>
        </is>
      </c>
    </row>
    <row r="41">
      <c r="A41" t="n">
        <v>48</v>
      </c>
      <c r="B41" t="n">
        <v>4</v>
      </c>
      <c r="C41" t="n">
        <v>4</v>
      </c>
      <c r="D41" t="inlineStr">
        <is>
          <t>DONE</t>
        </is>
      </c>
    </row>
    <row r="42">
      <c r="A42" t="n">
        <v>49</v>
      </c>
      <c r="B42" t="n">
        <v>5</v>
      </c>
      <c r="C42" t="n">
        <v>3</v>
      </c>
      <c r="D42" t="inlineStr">
        <is>
          <t>DONE</t>
        </is>
      </c>
    </row>
    <row r="43">
      <c r="A43" t="n">
        <v>50</v>
      </c>
      <c r="B43" t="n">
        <v>5</v>
      </c>
      <c r="C43" t="n">
        <v>0</v>
      </c>
      <c r="D43"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2026-09-17T22:17:46Z</dcterms:created>
  <dcterms:modified xmlns:dcterms="http://purl.org/dc/terms/" xmlns:xsi="http://www.w3.org/2001/XMLSchema-instance" xsi:type="dcterms:W3CDTF">2026-09-17T22:17:48Z</dcterms:modified>
</cp:coreProperties>
</file>