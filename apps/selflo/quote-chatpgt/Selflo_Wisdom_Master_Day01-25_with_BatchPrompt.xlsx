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ccf0113c9745bf" /></Relationships>
</file>

<file path=xl/workbook.xml><?xml version="1.0" encoding="utf-8"?>
<x:workbook xmlns:x="http://schemas.openxmlformats.org/spreadsheetml/2006/main">
  <x:sheets>
    <x:sheet xmlns:r="http://schemas.openxmlformats.org/officeDocument/2006/relationships" name="Research Playbook" sheetId="1" r:id="Ra16bd3efaf25448c"/>
    <x:sheet xmlns:r="http://schemas.openxmlformats.org/officeDocument/2006/relationships" name="Improvement Log" sheetId="2" r:id="R750d841eb1014f47"/>
    <x:sheet xmlns:r="http://schemas.openxmlformats.org/officeDocument/2006/relationships" name="Taxonomy" sheetId="3" r:id="R9ee7cd9991fc47ad"/>
    <x:sheet xmlns:r="http://schemas.openxmlformats.org/officeDocument/2006/relationships" name="README" sheetId="4" r:id="R2977822c92b64fc1"/>
    <x:sheet xmlns:r="http://schemas.openxmlformats.org/officeDocument/2006/relationships" name="90-Day Plan" sheetId="5" r:id="R229ca4772f494a61"/>
    <x:sheet xmlns:r="http://schemas.openxmlformats.org/officeDocument/2006/relationships" name="Quote Library" sheetId="6" r:id="R8d078540bd1e40c3"/>
    <x:sheet xmlns:r="http://schemas.openxmlformats.org/officeDocument/2006/relationships" name="Story Library" sheetId="7" r:id="R276bddd8430443dc"/>
    <x:sheet xmlns:r="http://schemas.openxmlformats.org/officeDocument/2006/relationships" name="Principle Library" sheetId="8" r:id="R7a349ea154474480"/>
    <x:sheet xmlns:r="http://schemas.openxmlformats.org/officeDocument/2006/relationships" name="Source Registry" sheetId="9" r:id="R1362442591724d6a"/>
    <x:sheet xmlns:r="http://schemas.openxmlformats.org/officeDocument/2006/relationships" name="Coverage Map" sheetId="10" r:id="R86d63d9838904e5f"/>
    <x:sheet xmlns:r="http://schemas.openxmlformats.org/officeDocument/2006/relationships" name="Dashboard" sheetId="11" r:id="R3c956fabfad5460f"/>
    <x:sheet xmlns:r="http://schemas.openxmlformats.org/officeDocument/2006/relationships" name="AI Collection Guide" sheetId="12" r:id="R62288e7c0f49466a"/>
    <x:sheet xmlns:r="http://schemas.openxmlformats.org/officeDocument/2006/relationships" name="Daily Log" sheetId="13" r:id="R7a6da901ec0149fe"/>
    <x:sheet xmlns:r="http://schemas.openxmlformats.org/officeDocument/2006/relationships" name="Human Experience Map" sheetId="14" r:id="R420d715b3dfd429d"/>
    <x:sheet xmlns:r="http://schemas.openxmlformats.org/officeDocument/2006/relationships" name="Taxonomy VN" sheetId="15" r:id="R48a1c2e83a084246"/>
    <x:sheet xmlns:r="http://schemas.openxmlformats.org/officeDocument/2006/relationships" name="Quote Library v2" sheetId="16" r:id="Rf4f2ca0891d9453c"/>
    <x:sheet xmlns:r="http://schemas.openxmlformats.org/officeDocument/2006/relationships" name="Coverage Matrix" sheetId="17" r:id="Race578c5327746a6"/>
    <x:sheet xmlns:r="http://schemas.openxmlformats.org/officeDocument/2006/relationships" name="Diversity Dashboard" sheetId="18" r:id="R2dd01d06430340f5"/>
    <x:sheet xmlns:r="http://schemas.openxmlformats.org/officeDocument/2006/relationships" name="Day 1 Audit" sheetId="19" r:id="Rc984e3aff40c4337"/>
    <x:sheet xmlns:r="http://schemas.openxmlformats.org/officeDocument/2006/relationships" name="Day 2 Audit" sheetId="20" r:id="Rd32890dc254a48dc"/>
    <x:sheet xmlns:r="http://schemas.openxmlformats.org/officeDocument/2006/relationships" name="Day 3 Audit" sheetId="21" r:id="R4ed67312b9f44142"/>
    <x:sheet xmlns:r="http://schemas.openxmlformats.org/officeDocument/2006/relationships" name="Day 4 Audit" sheetId="22" r:id="R8c1fc10b3f064401"/>
    <x:sheet xmlns:r="http://schemas.openxmlformats.org/officeDocument/2006/relationships" name="Day 5 Audit" sheetId="23" r:id="Re745b435c3b845f7"/>
    <x:sheet xmlns:r="http://schemas.openxmlformats.org/officeDocument/2006/relationships" name="Day 6 Audit" sheetId="24" r:id="R0bc3291cca06488c"/>
    <x:sheet xmlns:r="http://schemas.openxmlformats.org/officeDocument/2006/relationships" name="Day 7 Audit" sheetId="25" r:id="R8b2d05f4325c412b"/>
    <x:sheet xmlns:r="http://schemas.openxmlformats.org/officeDocument/2006/relationships" name="Day 8 Audit" sheetId="26" r:id="Re1f775b7fd4041c6"/>
    <x:sheet xmlns:r="http://schemas.openxmlformats.org/officeDocument/2006/relationships" name="Day 9 Audit" sheetId="27" r:id="R01f58a4d24ea41d3"/>
    <x:sheet xmlns:r="http://schemas.openxmlformats.org/officeDocument/2006/relationships" name="Day 10 Audit" sheetId="28" r:id="Rb23341c74eae4ee2"/>
    <x:sheet xmlns:r="http://schemas.openxmlformats.org/officeDocument/2006/relationships" name="Day 11 Audit" sheetId="29" r:id="R494a86d2fa414fb6"/>
    <x:sheet xmlns:r="http://schemas.openxmlformats.org/officeDocument/2006/relationships" name="Day 12 Audit" sheetId="30" r:id="Rdb409b6db7da40b0"/>
    <x:sheet xmlns:r="http://schemas.openxmlformats.org/officeDocument/2006/relationships" name="Day 13 Audit" sheetId="31" r:id="Rdc598e2b45b7423c"/>
    <x:sheet xmlns:r="http://schemas.openxmlformats.org/officeDocument/2006/relationships" name="Day 14 Audit" sheetId="32" r:id="R70f284c356ff43b1"/>
    <x:sheet xmlns:r="http://schemas.openxmlformats.org/officeDocument/2006/relationships" name="Day 15 Audit" sheetId="33" r:id="R51829af403124703"/>
    <x:sheet xmlns:r="http://schemas.openxmlformats.org/officeDocument/2006/relationships" name="Day 16 Audit" sheetId="34" r:id="Rf14b67efea16477a"/>
    <x:sheet xmlns:r="http://schemas.openxmlformats.org/officeDocument/2006/relationships" name="Day 17 Audit" sheetId="35" r:id="Re2c088d18f2f4a03"/>
    <x:sheet xmlns:r="http://schemas.openxmlformats.org/officeDocument/2006/relationships" name="Day 18 Audit" sheetId="36" r:id="R2d8b79162c794cbf"/>
    <x:sheet xmlns:r="http://schemas.openxmlformats.org/officeDocument/2006/relationships" name="Day 19 Audit" sheetId="37" r:id="Rba6194492fce40ef"/>
    <x:sheet xmlns:r="http://schemas.openxmlformats.org/officeDocument/2006/relationships" name="Day 20 Audit" sheetId="38" r:id="R7d8585ebd84140bc"/>
    <x:sheet xmlns:r="http://schemas.openxmlformats.org/officeDocument/2006/relationships" name="Day 16-20 Coverage Audit" sheetId="39" r:id="R26a8c4ebeb01406b"/>
    <x:sheet xmlns:r="http://schemas.openxmlformats.org/officeDocument/2006/relationships" name="Day 21 Audit" sheetId="40" r:id="R1623112c89ac418e"/>
    <x:sheet xmlns:r="http://schemas.openxmlformats.org/officeDocument/2006/relationships" name="Day 22 Audit" sheetId="41" r:id="Rf1d38deb84984b08"/>
    <x:sheet xmlns:r="http://schemas.openxmlformats.org/officeDocument/2006/relationships" name="Day 23 Audit" sheetId="42" r:id="R549fa31adb124c9f"/>
    <x:sheet xmlns:r="http://schemas.openxmlformats.org/officeDocument/2006/relationships" name="Day 24 Audit" sheetId="43" r:id="Rc2688215970c4c80"/>
    <x:sheet xmlns:r="http://schemas.openxmlformats.org/officeDocument/2006/relationships" name="Day 25 Audit" sheetId="44" r:id="R6e94a65a9cdd4447"/>
    <x:sheet xmlns:r="http://schemas.openxmlformats.org/officeDocument/2006/relationships" name="Day 21-25 Coverage Audit" sheetId="45" r:id="R0916d81944f2482d"/>
    <x:sheet xmlns:r="http://schemas.openxmlformats.org/officeDocument/2006/relationships" name="AI Prompt Templates" sheetId="46" r:id="R10cef4bff32a40e2"/>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s>
  <x:fills count="46">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s>
  <x:borders count="2">
    <x:border/>
    <x:border/>
  </x:borders>
  <x:cellStyleXfs count="1">
    <x:xf numFmtId="0" fontId="0" fillId="0" borderId="1"/>
  </x:cellStyleXfs>
  <x:cellXfs count="274">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6e35d06e19644ef" /><Relationship Type="http://schemas.openxmlformats.org/officeDocument/2006/relationships/theme" Target="/xl/theme/theme1.xml" Id="R66ebbf4549624b01" /><Relationship Type="http://schemas.openxmlformats.org/officeDocument/2006/relationships/sharedStrings" Target="/xl/sharedStrings.xml" Id="Rbdd032596e9d4b12" /><Relationship Type="http://schemas.openxmlformats.org/officeDocument/2006/relationships/worksheet" Target="/xl/worksheets/sheet1.xml" Id="Ra16bd3efaf25448c" /><Relationship Type="http://schemas.openxmlformats.org/officeDocument/2006/relationships/worksheet" Target="/xl/worksheets/sheet2.xml" Id="R750d841eb1014f47" /><Relationship Type="http://schemas.openxmlformats.org/officeDocument/2006/relationships/worksheet" Target="/xl/worksheets/sheet3.xml" Id="R9ee7cd9991fc47ad" /><Relationship Type="http://schemas.openxmlformats.org/officeDocument/2006/relationships/worksheet" Target="/xl/worksheets/sheet4.xml" Id="R2977822c92b64fc1" /><Relationship Type="http://schemas.openxmlformats.org/officeDocument/2006/relationships/worksheet" Target="/xl/worksheets/sheet5.xml" Id="R229ca4772f494a61" /><Relationship Type="http://schemas.openxmlformats.org/officeDocument/2006/relationships/worksheet" Target="/xl/worksheets/sheet6.xml" Id="R8d078540bd1e40c3" /><Relationship Type="http://schemas.openxmlformats.org/officeDocument/2006/relationships/worksheet" Target="/xl/worksheets/sheet7.xml" Id="R276bddd8430443dc" /><Relationship Type="http://schemas.openxmlformats.org/officeDocument/2006/relationships/worksheet" Target="/xl/worksheets/sheet8.xml" Id="R7a349ea154474480" /><Relationship Type="http://schemas.openxmlformats.org/officeDocument/2006/relationships/worksheet" Target="/xl/worksheets/sheet9.xml" Id="R1362442591724d6a" /><Relationship Type="http://schemas.openxmlformats.org/officeDocument/2006/relationships/worksheet" Target="/xl/worksheets/sheet10.xml" Id="R86d63d9838904e5f" /><Relationship Type="http://schemas.openxmlformats.org/officeDocument/2006/relationships/worksheet" Target="/xl/worksheets/sheet11.xml" Id="R3c956fabfad5460f" /><Relationship Type="http://schemas.openxmlformats.org/officeDocument/2006/relationships/worksheet" Target="/xl/worksheets/sheet12.xml" Id="R62288e7c0f49466a" /><Relationship Type="http://schemas.openxmlformats.org/officeDocument/2006/relationships/worksheet" Target="/xl/worksheets/sheet13.xml" Id="R7a6da901ec0149fe" /><Relationship Type="http://schemas.openxmlformats.org/officeDocument/2006/relationships/worksheet" Target="/xl/worksheets/sheet14.xml" Id="R420d715b3dfd429d" /><Relationship Type="http://schemas.openxmlformats.org/officeDocument/2006/relationships/worksheet" Target="/xl/worksheets/sheet15.xml" Id="R48a1c2e83a084246" /><Relationship Type="http://schemas.openxmlformats.org/officeDocument/2006/relationships/worksheet" Target="/xl/worksheets/sheet16.xml" Id="Rf4f2ca0891d9453c" /><Relationship Type="http://schemas.openxmlformats.org/officeDocument/2006/relationships/worksheet" Target="/xl/worksheets/sheet17.xml" Id="Race578c5327746a6" /><Relationship Type="http://schemas.openxmlformats.org/officeDocument/2006/relationships/worksheet" Target="/xl/worksheets/sheet18.xml" Id="R2dd01d06430340f5" /><Relationship Type="http://schemas.openxmlformats.org/officeDocument/2006/relationships/worksheet" Target="/xl/worksheets/sheet19.xml" Id="Rc984e3aff40c4337" /><Relationship Type="http://schemas.openxmlformats.org/officeDocument/2006/relationships/worksheet" Target="/xl/worksheets/sheet20.xml" Id="Rd32890dc254a48dc" /><Relationship Type="http://schemas.openxmlformats.org/officeDocument/2006/relationships/worksheet" Target="/xl/worksheets/sheet21.xml" Id="R4ed67312b9f44142" /><Relationship Type="http://schemas.openxmlformats.org/officeDocument/2006/relationships/worksheet" Target="/xl/worksheets/sheet22.xml" Id="R8c1fc10b3f064401" /><Relationship Type="http://schemas.openxmlformats.org/officeDocument/2006/relationships/worksheet" Target="/xl/worksheets/sheet23.xml" Id="Re745b435c3b845f7" /><Relationship Type="http://schemas.openxmlformats.org/officeDocument/2006/relationships/worksheet" Target="/xl/worksheets/sheet24.xml" Id="R0bc3291cca06488c" /><Relationship Type="http://schemas.openxmlformats.org/officeDocument/2006/relationships/worksheet" Target="/xl/worksheets/sheet25.xml" Id="R8b2d05f4325c412b" /><Relationship Type="http://schemas.openxmlformats.org/officeDocument/2006/relationships/worksheet" Target="/xl/worksheets/sheet26.xml" Id="Re1f775b7fd4041c6" /><Relationship Type="http://schemas.openxmlformats.org/officeDocument/2006/relationships/worksheet" Target="/xl/worksheets/sheet27.xml" Id="R01f58a4d24ea41d3" /><Relationship Type="http://schemas.openxmlformats.org/officeDocument/2006/relationships/worksheet" Target="/xl/worksheets/sheet28.xml" Id="Rb23341c74eae4ee2" /><Relationship Type="http://schemas.openxmlformats.org/officeDocument/2006/relationships/worksheet" Target="/xl/worksheets/sheet29.xml" Id="R494a86d2fa414fb6" /><Relationship Type="http://schemas.openxmlformats.org/officeDocument/2006/relationships/worksheet" Target="/xl/worksheets/sheet30.xml" Id="Rdb409b6db7da40b0" /><Relationship Type="http://schemas.openxmlformats.org/officeDocument/2006/relationships/worksheet" Target="/xl/worksheets/sheet31.xml" Id="Rdc598e2b45b7423c" /><Relationship Type="http://schemas.openxmlformats.org/officeDocument/2006/relationships/worksheet" Target="/xl/worksheets/sheet32.xml" Id="R70f284c356ff43b1" /><Relationship Type="http://schemas.openxmlformats.org/officeDocument/2006/relationships/worksheet" Target="/xl/worksheets/sheet33.xml" Id="R51829af403124703" /><Relationship Type="http://schemas.openxmlformats.org/officeDocument/2006/relationships/worksheet" Target="/xl/worksheets/sheet34.xml" Id="Rf14b67efea16477a" /><Relationship Type="http://schemas.openxmlformats.org/officeDocument/2006/relationships/worksheet" Target="/xl/worksheets/sheet35.xml" Id="Re2c088d18f2f4a03" /><Relationship Type="http://schemas.openxmlformats.org/officeDocument/2006/relationships/worksheet" Target="/xl/worksheets/sheet36.xml" Id="R2d8b79162c794cbf" /><Relationship Type="http://schemas.openxmlformats.org/officeDocument/2006/relationships/worksheet" Target="/xl/worksheets/sheet37.xml" Id="Rba6194492fce40ef" /><Relationship Type="http://schemas.openxmlformats.org/officeDocument/2006/relationships/worksheet" Target="/xl/worksheets/sheet38.xml" Id="R7d8585ebd84140bc" /><Relationship Type="http://schemas.openxmlformats.org/officeDocument/2006/relationships/worksheet" Target="/xl/worksheets/sheet39.xml" Id="R26a8c4ebeb01406b" /><Relationship Type="http://schemas.openxmlformats.org/officeDocument/2006/relationships/worksheet" Target="/xl/worksheets/sheet40.xml" Id="R1623112c89ac418e" /><Relationship Type="http://schemas.openxmlformats.org/officeDocument/2006/relationships/worksheet" Target="/xl/worksheets/sheet41.xml" Id="Rf1d38deb84984b08" /><Relationship Type="http://schemas.openxmlformats.org/officeDocument/2006/relationships/worksheet" Target="/xl/worksheets/sheet42.xml" Id="R549fa31adb124c9f" /><Relationship Type="http://schemas.openxmlformats.org/officeDocument/2006/relationships/worksheet" Target="/xl/worksheets/sheet43.xml" Id="Rc2688215970c4c80" /><Relationship Type="http://schemas.openxmlformats.org/officeDocument/2006/relationships/worksheet" Target="/xl/worksheets/sheet44.xml" Id="R6e94a65a9cdd4447" /><Relationship Type="http://schemas.openxmlformats.org/officeDocument/2006/relationships/worksheet" Target="/xl/worksheets/sheet45.xml" Id="R0916d81944f2482d" /><Relationship Type="http://schemas.openxmlformats.org/officeDocument/2006/relationships/worksheet" Target="/xl/worksheets/sheet46.xml" Id="R10cef4bff32a40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825d2c5444491b"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825d2c5444491b"/>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cba26057a0174369" /></Relationships>
</file>

<file path=xl/worksheets/_rels/sheet6.xml.rels>&#65279;<?xml version="1.0" encoding="utf-8"?><Relationships xmlns="http://schemas.openxmlformats.org/package/2006/relationships"><Relationship Type="http://schemas.openxmlformats.org/officeDocument/2006/relationships/table" Target="/xl/tables/table2.xml" Id="R82aa93208398473d" /></Relationships>
</file>

<file path=xl/worksheets/_rels/sheet7.xml.rels>&#65279;<?xml version="1.0" encoding="utf-8"?><Relationships xmlns="http://schemas.openxmlformats.org/package/2006/relationships"><Relationship Type="http://schemas.openxmlformats.org/officeDocument/2006/relationships/table" Target="/xl/tables/table3.xml" Id="Rdbd4d419a5a549ff" /></Relationships>
</file>

<file path=xl/worksheets/_rels/sheet8.xml.rels>&#65279;<?xml version="1.0" encoding="utf-8"?><Relationships xmlns="http://schemas.openxmlformats.org/package/2006/relationships"><Relationship Type="http://schemas.openxmlformats.org/officeDocument/2006/relationships/table" Target="/xl/tables/table4.xml" Id="Re2b05d523d024722" /></Relationships>
</file>

<file path=xl/worksheets/_rels/sheet9.xml.rels>&#65279;<?xml version="1.0" encoding="utf-8"?><Relationships xmlns="http://schemas.openxmlformats.org/package/2006/relationships"><Relationship Type="http://schemas.openxmlformats.org/officeDocument/2006/relationships/table" Target="/xl/tables/table5.xml" Id="R440b4179a79b42b6" /></Relationships>
</file>

<file path=xl/worksheets/_rels/sheet11.xml.rels>&#65279;<?xml version="1.0" encoding="utf-8"?><Relationships xmlns="http://schemas.openxmlformats.org/package/2006/relationships"><Relationship Type="http://schemas.openxmlformats.org/officeDocument/2006/relationships/drawing" Target="/xl/drawings/drawing1.xml" Id="R6126ea972af446ed" /></Relationships>
</file>

<file path=xl/worksheets/_rels/sheet13.xml.rels>&#65279;<?xml version="1.0" encoding="utf-8"?><Relationships xmlns="http://schemas.openxmlformats.org/package/2006/relationships"><Relationship Type="http://schemas.openxmlformats.org/officeDocument/2006/relationships/table" Target="/xl/tables/table6.xml" Id="Rc2eb7b6e08bb4d96" /></Relationships>
</file>

<file path=xl/worksheets/_rels/sheet14.xml.rels>&#65279;<?xml version="1.0" encoding="utf-8"?><Relationships xmlns="http://schemas.openxmlformats.org/package/2006/relationships"><Relationship Type="http://schemas.openxmlformats.org/officeDocument/2006/relationships/table" Target="/xl/tables/table7.xml" Id="R38a08f003aa2425e" /></Relationships>
</file>

<file path=xl/worksheets/_rels/sheet16.xml.rels>&#65279;<?xml version="1.0" encoding="utf-8"?><Relationships xmlns="http://schemas.openxmlformats.org/package/2006/relationships"><Relationship Type="http://schemas.openxmlformats.org/officeDocument/2006/relationships/table" Target="/xl/tables/table8.xml" Id="Ra640bc4bd04f4a06"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20</x:v>
      </x:c>
      <x:c r="J17" s="155" t="n">
        <x:v>3</x:v>
      </x:c>
      <x:c r="K17" s="155" t="n">
        <x:v>6</x:v>
      </x:c>
      <x:c r="L17" s="155" t="str">
        <x:v>Done</x:v>
      </x:c>
      <x:c r="M17" s="157" t="n">
        <x:v>1</x:v>
      </x:c>
      <x:c r="N17" s="155" t="str">
        <x:v>FULL Day 16 completed. 20 quote/passages, 3 stories/analogies, 6 principles. NEW: flourishing as long-horizon activity; feelings ≠ character; practical wisdom needs particulars; graded agency under constraint; finite deep-friend capacity. Semantic dedupe still required at Release-curation phase.</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20</x:v>
      </x:c>
      <x:c r="J18" s="155" t="n">
        <x:v>2</x:v>
      </x:c>
      <x:c r="K18" s="155" t="n">
        <x:v>5</x:v>
      </x:c>
      <x:c r="L18" s="155" t="str">
        <x:v>Done</x:v>
      </x:c>
      <x:c r="M18" s="157" t="n">
        <x:v>1</x:v>
      </x:c>
      <x:c r="N18" s="155" t="str">
        <x:v>FULL Day 17 completed. 20 quote/passages, 2 stories/analogies, 5 principles. NEW: future as partial agency; desire taxonomy; enoughness boundary; pleasure/consequence distinction; friendship as security. Semantic dedupe still required at Release-curation phase.</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20</x:v>
      </x:c>
      <x:c r="J19" s="155" t="n">
        <x:v>3</x:v>
      </x:c>
      <x:c r="K19" s="155" t="n">
        <x:v>5</x:v>
      </x:c>
      <x:c r="L19" s="155" t="str">
        <x:v>Done</x:v>
      </x:c>
      <x:c r="M19" s="157" t="n">
        <x:v>1</x:v>
      </x:c>
      <x:c r="N19" s="155" t="str">
        <x:v>FULL Day 18 completed. 20 quote/passages, 3 stories/analogies, 5 principles. NEW: action/outcome distinction with explicit anti-inaction context; attention-as-returning practice; teaching that returns choice; religious-context gate for agency. Semantic dedupe still required at Release-curation phase.</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21</x:v>
      </x:c>
      <x:c r="J20" s="155" t="n">
        <x:v>4</x:v>
      </x:c>
      <x:c r="K20" s="155" t="n">
        <x:v>5</x:v>
      </x:c>
      <x:c r="L20" s="155" t="str">
        <x:v>Done</x:v>
      </x:c>
      <x:c r="M20" s="157" t="n">
        <x:v>1</x:v>
      </x:c>
      <x:c r="N20" s="155" t="str">
        <x:v>FULL Day 19 completed. 21 quote/passages, 4 stories/analogies, 5 principles. NEW: pleasant vs beneficial; layered self-regulation metaphors; experiencing vs observing; modes of knowledge; explicit metaphysics→psychology editorial gate. Semantic dedupe still required at Release-curation phase.</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18</x:v>
      </x:c>
      <x:c r="J21" s="155" t="n">
        <x:v>8</x:v>
      </x:c>
      <x:c r="K21" s="155" t="n">
        <x:v>5</x:v>
      </x:c>
      <x:c r="L21" s="155" t="str">
        <x:v>Done</x:v>
      </x:c>
      <x:c r="M21" s="157" t="n">
        <x:v>1</x:v>
      </x:c>
      <x:c r="N21" s="155" t="str">
        <x:v>FULL Day 20 completed. 18 quote/passages, 8 stories/analogies, 5 principles. NEW: repeated claim ≠ evidence; capability ≠ judgment; irreversible action under incomplete evidence; complementary capacity; simple usable judgment vs complexity. Semantic dedupe still required at Release-curation phase.</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25</x:v>
      </x:c>
      <x:c r="J22" s="155" t="n">
        <x:v>3</x:v>
      </x:c>
      <x:c r="K22" s="155" t="n">
        <x:v>4</x:v>
      </x:c>
      <x:c r="L22" s="155" t="str">
        <x:v>Done</x:v>
      </x:c>
      <x:c r="M22" s="157" t="n">
        <x:v>1</x:v>
      </x:c>
      <x:c r="N22" s="155" t="str">
        <x:v>FULL Day 21 completed. 25 candidates, 3 stories, 4 principles. NEW: invisible domestic/care labor; seasonal work; economic/weather conditions vs effort; homesickness/belonging; gendered power in folk material. Folk tradition treated as collection witness, not a single original.</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25</x:v>
      </x:c>
      <x:c r="J23" s="155" t="n">
        <x:v>2</x:v>
      </x:c>
      <x:c r="K23" s="155" t="n">
        <x:v>4</x:v>
      </x:c>
      <x:c r="L23" s="155" t="str">
        <x:v>Done</x:v>
      </x:c>
      <x:c r="M23" s="157" t="n">
        <x:v>1</x:v>
      </x:c>
      <x:c r="N23" s="155" t="str">
        <x:v>FULL Day 22 completed. 25 proverb candidates, 2 story-images, 4 principles. NEW: scarcity→capacity; help timing; conflict-of-interest; overcorrection after error; representation vs reality; variant tracking gate.</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20</x:v>
      </x:c>
      <x:c r="J24" s="155" t="n">
        <x:v>2</x:v>
      </x:c>
      <x:c r="K24" s="155" t="n">
        <x:v>4</x:v>
      </x:c>
      <x:c r="L24" s="155" t="str">
        <x:v>Done</x:v>
      </x:c>
      <x:c r="M24" s="157" t="n">
        <x:v>1</x:v>
      </x:c>
      <x:c r="N24" s="155" t="str">
        <x:v>FULL Day 23 completed. 20 passages, 2 story candidates, 4 principles. NEW: enoughness outside status; public/private duty tension; conditional social belonging; classical Nôm edition-awareness.</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20</x:v>
      </x:c>
      <x:c r="J25" s="155" t="n">
        <x:v>3</x:v>
      </x:c>
      <x:c r="K25" s="155" t="n">
        <x:v>5</x:v>
      </x:c>
      <x:c r="L25" s="155" t="str">
        <x:v>Done</x:v>
      </x:c>
      <x:c r="M25" s="157" t="n">
        <x:v>1</x:v>
      </x:c>
      <x:c r="N25" s="155" t="str">
        <x:v>FULL Day 24 completed. 20 passages, 3 story scenes, 5 principles. NEW: self-compassion under coercion; value conflict; loneliness/masking; mood-perception; relationship changing form; power/safety gate before moral judgment.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25</x:v>
      </x:c>
      <x:c r="J26" s="155" t="n">
        <x:v>2</x:v>
      </x:c>
      <x:c r="K26" s="155" t="n">
        <x:v>6</x:v>
      </x:c>
      <x:c r="L26" s="155" t="str">
        <x:v>Done</x:v>
      </x:c>
      <x:c r="M26" s="157" t="n">
        <x:v>1</x:v>
      </x:c>
      <x:c r="N26" s="155" t="str">
        <x:v>FULL Day 25 completed. 25 Analects passages, 2 scenes, 6 principles. NEW: learning+reflection loop; explicit uncertainty; words vs behavioral evidence; comparison as self-review; relational space; stopping rule for overthinking.</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str"/>
      <x:c r="J27" s="155" t="str"/>
      <x:c r="K27" s="155" t="str"/>
      <x:c r="L27" s="155" t="inlineStr">
        <x:is>
          <x:t xml:space="preserve">Planned</x:t>
        </x:is>
      </x:c>
      <x:c r="M27" s="157" t="n">
        <x:f>IFERROR((I27+J27+K27)/(F27+G27+H27),0)</x:f>
        <x:v>0</x:v>
      </x:c>
      <x:c r="N27" s="155" t="str"/>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str"/>
      <x:c r="J28" s="155" t="str"/>
      <x:c r="K28" s="155" t="str"/>
      <x:c r="L28" s="155" t="inlineStr">
        <x:is>
          <x:t xml:space="preserve">Planned</x:t>
        </x:is>
      </x:c>
      <x:c r="M28" s="157" t="n">
        <x:f>IFERROR((I28+J28+K28)/(F28+G28+H28),0)</x:f>
        <x:v>0</x:v>
      </x:c>
      <x:c r="N28" s="155" t="str"/>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str"/>
      <x:c r="J29" s="155" t="str"/>
      <x:c r="K29" s="155" t="str"/>
      <x:c r="L29" s="155" t="inlineStr">
        <x:is>
          <x:t xml:space="preserve">Planned</x:t>
        </x:is>
      </x:c>
      <x:c r="M29" s="157" t="n">
        <x:f>IFERROR((I29+J29+K29)/(F29+G29+H29),0)</x:f>
        <x:v>0</x:v>
      </x:c>
      <x:c r="N29" s="155" t="str"/>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str"/>
      <x:c r="J30" s="155" t="str"/>
      <x:c r="K30" s="155" t="str"/>
      <x:c r="L30" s="155" t="inlineStr">
        <x:is>
          <x:t xml:space="preserve">Planned</x:t>
        </x:is>
      </x:c>
      <x:c r="M30" s="157" t="n">
        <x:f>IFERROR((I30+J30+K30)/(F30+G30+H30),0)</x:f>
        <x:v>0</x:v>
      </x:c>
      <x:c r="N30" s="155" t="str"/>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str"/>
      <x:c r="J31" s="155" t="str"/>
      <x:c r="K31" s="155" t="str"/>
      <x:c r="L31" s="155" t="inlineStr">
        <x:is>
          <x:t xml:space="preserve">Planned</x:t>
        </x:is>
      </x:c>
      <x:c r="M31" s="157" t="n">
        <x:f>IFERROR((I31+J31+K31)/(F31+G31+H31),0)</x:f>
        <x:v>0</x:v>
      </x:c>
      <x:c r="N31" s="155" t="str"/>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str"/>
      <x:c r="J32" s="155" t="str"/>
      <x:c r="K32" s="155" t="str"/>
      <x:c r="L32" s="155" t="inlineStr">
        <x:is>
          <x:t xml:space="preserve">Planned</x:t>
        </x:is>
      </x:c>
      <x:c r="M32" s="157" t="n">
        <x:f>IFERROR((I32+J32+K32)/(F32+G32+H32),0)</x:f>
        <x:v>0</x:v>
      </x:c>
      <x:c r="N32" s="155" t="str"/>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str"/>
      <x:c r="J33" s="155" t="str"/>
      <x:c r="K33" s="155" t="str"/>
      <x:c r="L33" s="155" t="inlineStr">
        <x:is>
          <x:t xml:space="preserve">Planned</x:t>
        </x:is>
      </x:c>
      <x:c r="M33" s="157" t="n">
        <x:f>IFERROR((I33+J33+K33)/(F33+G33+H33),0)</x:f>
        <x:v>0</x:v>
      </x:c>
      <x:c r="N33" s="155" t="str"/>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str"/>
      <x:c r="J34" s="155" t="str"/>
      <x:c r="K34" s="155" t="str"/>
      <x:c r="L34" s="155" t="inlineStr">
        <x:is>
          <x:t xml:space="preserve">Planned</x:t>
        </x:is>
      </x:c>
      <x:c r="M34" s="157" t="n">
        <x:f>IFERROR((I34+J34+K34)/(F34+G34+H34),0)</x:f>
        <x:v>0</x:v>
      </x:c>
      <x:c r="N34" s="155" t="str"/>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str"/>
      <x:c r="J35" s="155" t="str"/>
      <x:c r="K35" s="155" t="str"/>
      <x:c r="L35" s="155" t="inlineStr">
        <x:is>
          <x:t xml:space="preserve">Planned</x:t>
        </x:is>
      </x:c>
      <x:c r="M35" s="157" t="n">
        <x:f>IFERROR((I35+J35+K35)/(F35+G35+H35),0)</x:f>
        <x:v>0</x:v>
      </x:c>
      <x:c r="N35" s="155" t="str"/>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str"/>
      <x:c r="J36" s="155" t="str"/>
      <x:c r="K36" s="155" t="str"/>
      <x:c r="L36" s="155" t="inlineStr">
        <x:is>
          <x:t xml:space="preserve">Planned</x:t>
        </x:is>
      </x:c>
      <x:c r="M36" s="157" t="n">
        <x:f>IFERROR((I36+J36+K36)/(F36+G36+H36),0)</x:f>
        <x:v>0</x:v>
      </x:c>
      <x:c r="N36" s="155" t="str"/>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str"/>
      <x:c r="J37" s="155" t="str"/>
      <x:c r="K37" s="155" t="str"/>
      <x:c r="L37" s="155" t="inlineStr">
        <x:is>
          <x:t xml:space="preserve">Planned</x:t>
        </x:is>
      </x:c>
      <x:c r="M37" s="157" t="n">
        <x:f>IFERROR((I37+J37+K37)/(F37+G37+H37),0)</x:f>
        <x:v>0</x:v>
      </x:c>
      <x:c r="N37" s="155" t="str"/>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str"/>
      <x:c r="J38" s="155" t="str"/>
      <x:c r="K38" s="155" t="str"/>
      <x:c r="L38" s="155" t="inlineStr">
        <x:is>
          <x:t xml:space="preserve">Planned</x:t>
        </x:is>
      </x:c>
      <x:c r="M38" s="157" t="n">
        <x:f>IFERROR((I38+J38+K38)/(F38+G38+H38),0)</x:f>
        <x:v>0</x:v>
      </x:c>
      <x:c r="N38" s="155" t="str"/>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str"/>
      <x:c r="J39" s="155" t="str"/>
      <x:c r="K39" s="155" t="str"/>
      <x:c r="L39" s="155" t="inlineStr">
        <x:is>
          <x:t xml:space="preserve">Planned</x:t>
        </x:is>
      </x:c>
      <x:c r="M39" s="157" t="n">
        <x:f>IFERROR((I39+J39+K39)/(F39+G39+H39),0)</x:f>
        <x:v>0</x:v>
      </x:c>
      <x:c r="N39" s="155" t="str"/>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str"/>
      <x:c r="J40" s="155" t="str"/>
      <x:c r="K40" s="155" t="str"/>
      <x:c r="L40" s="155" t="inlineStr">
        <x:is>
          <x:t xml:space="preserve">Planned</x:t>
        </x:is>
      </x:c>
      <x:c r="M40" s="157" t="n">
        <x:f>IFERROR((I40+J40+K40)/(F40+G40+H40),0)</x:f>
        <x:v>0</x:v>
      </x:c>
      <x:c r="N40" s="155" t="str"/>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str"/>
      <x:c r="J41" s="155" t="str"/>
      <x:c r="K41" s="155" t="str"/>
      <x:c r="L41" s="155" t="inlineStr">
        <x:is>
          <x:t xml:space="preserve">Planned</x:t>
        </x:is>
      </x:c>
      <x:c r="M41" s="157" t="n">
        <x:f>IFERROR((I41+J41+K41)/(F41+G41+H41),0)</x:f>
        <x:v>0</x:v>
      </x:c>
      <x:c r="N41" s="155" t="str"/>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str"/>
      <x:c r="J42" s="155" t="str"/>
      <x:c r="K42" s="155" t="str"/>
      <x:c r="L42" s="155" t="inlineStr">
        <x:is>
          <x:t xml:space="preserve">Planned</x:t>
        </x:is>
      </x:c>
      <x:c r="M42" s="157" t="n">
        <x:f>IFERROR((I42+J42+K42)/(F42+G42+H42),0)</x:f>
        <x:v>0</x:v>
      </x:c>
      <x:c r="N42" s="155" t="str"/>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str"/>
      <x:c r="J43" s="155" t="str"/>
      <x:c r="K43" s="155" t="str"/>
      <x:c r="L43" s="155" t="inlineStr">
        <x:is>
          <x:t xml:space="preserve">Planned</x:t>
        </x:is>
      </x:c>
      <x:c r="M43" s="157" t="n">
        <x:f>IFERROR((I43+J43+K43)/(F43+G43+H43),0)</x:f>
        <x:v>0</x:v>
      </x:c>
      <x:c r="N43" s="155" t="str"/>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str"/>
      <x:c r="J44" s="155" t="str"/>
      <x:c r="K44" s="155" t="str"/>
      <x:c r="L44" s="155" t="inlineStr">
        <x:is>
          <x:t xml:space="preserve">Planned</x:t>
        </x:is>
      </x:c>
      <x:c r="M44" s="157" t="n">
        <x:f>IFERROR((I44+J44+K44)/(F44+G44+H44),0)</x:f>
        <x:v>0</x:v>
      </x:c>
      <x:c r="N44" s="155" t="str"/>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str"/>
      <x:c r="J45" s="155" t="str"/>
      <x:c r="K45" s="155" t="str"/>
      <x:c r="L45" s="155" t="inlineStr">
        <x:is>
          <x:t xml:space="preserve">Planned</x:t>
        </x:is>
      </x:c>
      <x:c r="M45" s="157" t="n">
        <x:f>IFERROR((I45+J45+K45)/(F45+G45+H45),0)</x:f>
        <x:v>0</x:v>
      </x:c>
      <x:c r="N45" s="155" t="str"/>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str"/>
      <x:c r="J46" s="155" t="str"/>
      <x:c r="K46" s="155" t="str"/>
      <x:c r="L46" s="155" t="inlineStr">
        <x:is>
          <x:t xml:space="preserve">Planned</x:t>
        </x:is>
      </x:c>
      <x:c r="M46" s="157" t="n">
        <x:f>IFERROR((I46+J46+K46)/(F46+G46+H46),0)</x:f>
        <x:v>0</x:v>
      </x:c>
      <x:c r="N46" s="155" t="str"/>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str"/>
      <x:c r="J47" s="155" t="str"/>
      <x:c r="K47" s="155" t="str"/>
      <x:c r="L47" s="155" t="inlineStr">
        <x:is>
          <x:t xml:space="preserve">Planned</x:t>
        </x:is>
      </x:c>
      <x:c r="M47" s="157" t="n">
        <x:f>IFERROR((I47+J47+K47)/(F47+G47+H47),0)</x:f>
        <x:v>0</x:v>
      </x:c>
      <x:c r="N47" s="155" t="str"/>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str"/>
      <x:c r="J48" s="155" t="str"/>
      <x:c r="K48" s="155" t="str"/>
      <x:c r="L48" s="155" t="inlineStr">
        <x:is>
          <x:t xml:space="preserve">Planned</x:t>
        </x:is>
      </x:c>
      <x:c r="M48" s="157" t="n">
        <x:f>IFERROR((I48+J48+K48)/(F48+G48+H48),0)</x:f>
        <x:v>0</x:v>
      </x:c>
      <x:c r="N48" s="155" t="str"/>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str"/>
      <x:c r="J49" s="155" t="str"/>
      <x:c r="K49" s="155" t="str"/>
      <x:c r="L49" s="155" t="inlineStr">
        <x:is>
          <x:t xml:space="preserve">Planned</x:t>
        </x:is>
      </x:c>
      <x:c r="M49" s="157" t="n">
        <x:f>IFERROR((I49+J49+K49)/(F49+G49+H49),0)</x:f>
        <x:v>0</x:v>
      </x:c>
      <x:c r="N49" s="155" t="str"/>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str"/>
      <x:c r="J50" s="155" t="str"/>
      <x:c r="K50" s="155" t="str"/>
      <x:c r="L50" s="155" t="inlineStr">
        <x:is>
          <x:t xml:space="preserve">Planned</x:t>
        </x:is>
      </x:c>
      <x:c r="M50" s="157" t="n">
        <x:f>IFERROR((I50+J50+K50)/(F50+G50+H50),0)</x:f>
        <x:v>0</x:v>
      </x:c>
      <x:c r="N50" s="155" t="str"/>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str"/>
      <x:c r="J51" s="155" t="str"/>
      <x:c r="K51" s="155" t="str"/>
      <x:c r="L51" s="155" t="inlineStr">
        <x:is>
          <x:t xml:space="preserve">Planned</x:t>
        </x:is>
      </x:c>
      <x:c r="M51" s="157" t="n">
        <x:f>IFERROR((I51+J51+K51)/(F51+G51+H51),0)</x:f>
        <x:v>0</x:v>
      </x:c>
      <x:c r="N51" s="155" t="str"/>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str"/>
      <x:c r="J52" s="155" t="str"/>
      <x:c r="K52" s="155" t="str"/>
      <x:c r="L52" s="155" t="inlineStr">
        <x:is>
          <x:t xml:space="preserve">Planned</x:t>
        </x:is>
      </x:c>
      <x:c r="M52" s="157" t="n">
        <x:f>IFERROR((I52+J52+K52)/(F52+G52+H52),0)</x:f>
        <x:v>0</x:v>
      </x:c>
      <x:c r="N52" s="155" t="str"/>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str"/>
      <x:c r="J53" s="155" t="str"/>
      <x:c r="K53" s="155" t="str"/>
      <x:c r="L53" s="155" t="inlineStr">
        <x:is>
          <x:t xml:space="preserve">Planned</x:t>
        </x:is>
      </x:c>
      <x:c r="M53" s="157" t="n">
        <x:f>IFERROR((I53+J53+K53)/(F53+G53+H53),0)</x:f>
        <x:v>0</x:v>
      </x:c>
      <x:c r="N53" s="155" t="str"/>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str"/>
      <x:c r="J54" s="155" t="str"/>
      <x:c r="K54" s="155" t="str"/>
      <x:c r="L54" s="155" t="inlineStr">
        <x:is>
          <x:t xml:space="preserve">Planned</x:t>
        </x:is>
      </x:c>
      <x:c r="M54" s="157" t="n">
        <x:f>IFERROR((I54+J54+K54)/(F54+G54+H54),0)</x:f>
        <x:v>0</x:v>
      </x:c>
      <x:c r="N54" s="155" t="str"/>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str"/>
      <x:c r="J55" s="155" t="str"/>
      <x:c r="K55" s="155" t="str"/>
      <x:c r="L55" s="155" t="inlineStr">
        <x:is>
          <x:t xml:space="preserve">Planned</x:t>
        </x:is>
      </x:c>
      <x:c r="M55" s="157" t="n">
        <x:f>IFERROR((I55+J55+K55)/(F55+G55+H55),0)</x:f>
        <x:v>0</x:v>
      </x:c>
      <x:c r="N55" s="155" t="str"/>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str"/>
      <x:c r="J56" s="155" t="str"/>
      <x:c r="K56" s="155" t="str"/>
      <x:c r="L56" s="155" t="inlineStr">
        <x:is>
          <x:t xml:space="preserve">Planned</x:t>
        </x:is>
      </x:c>
      <x:c r="M56" s="157" t="n">
        <x:f>IFERROR((I56+J56+K56)/(F56+G56+H56),0)</x:f>
        <x:v>0</x:v>
      </x:c>
      <x:c r="N56" s="155" t="str"/>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str"/>
      <x:c r="J57" s="155" t="str"/>
      <x:c r="K57" s="155" t="str"/>
      <x:c r="L57" s="155" t="inlineStr">
        <x:is>
          <x:t xml:space="preserve">Planned</x:t>
        </x:is>
      </x:c>
      <x:c r="M57" s="157" t="n">
        <x:f>IFERROR((I57+J57+K57)/(F57+G57+H57),0)</x:f>
        <x:v>0</x:v>
      </x:c>
      <x:c r="N57" s="155" t="str"/>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str"/>
      <x:c r="J58" s="155" t="str"/>
      <x:c r="K58" s="155" t="str"/>
      <x:c r="L58" s="155" t="inlineStr">
        <x:is>
          <x:t xml:space="preserve">Planned</x:t>
        </x:is>
      </x:c>
      <x:c r="M58" s="157" t="n">
        <x:f>IFERROR((I58+J58+K58)/(F58+G58+H58),0)</x:f>
        <x:v>0</x:v>
      </x:c>
      <x:c r="N58" s="155" t="str"/>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str"/>
      <x:c r="J59" s="155" t="str"/>
      <x:c r="K59" s="155" t="str"/>
      <x:c r="L59" s="155" t="inlineStr">
        <x:is>
          <x:t xml:space="preserve">Planned</x:t>
        </x:is>
      </x:c>
      <x:c r="M59" s="157" t="n">
        <x:f>IFERROR((I59+J59+K59)/(F59+G59+H59),0)</x:f>
        <x:v>0</x:v>
      </x:c>
      <x:c r="N59" s="155" t="str"/>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str"/>
      <x:c r="J60" s="155" t="str"/>
      <x:c r="K60" s="155" t="str"/>
      <x:c r="L60" s="155" t="inlineStr">
        <x:is>
          <x:t xml:space="preserve">Planned</x:t>
        </x:is>
      </x:c>
      <x:c r="M60" s="157" t="n">
        <x:f>IFERROR((I60+J60+K60)/(F60+G60+H60),0)</x:f>
        <x:v>0</x:v>
      </x:c>
      <x:c r="N60" s="155" t="str"/>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str"/>
      <x:c r="J61" s="155" t="str"/>
      <x:c r="K61" s="155" t="str"/>
      <x:c r="L61" s="155" t="inlineStr">
        <x:is>
          <x:t xml:space="preserve">Planned</x:t>
        </x:is>
      </x:c>
      <x:c r="M61" s="157" t="n">
        <x:f>IFERROR((I61+J61+K61)/(F61+G61+H61),0)</x:f>
        <x:v>0</x:v>
      </x:c>
      <x:c r="N61" s="155" t="str"/>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str"/>
      <x:c r="J62" s="155" t="str"/>
      <x:c r="K62" s="155" t="str"/>
      <x:c r="L62" s="155" t="inlineStr">
        <x:is>
          <x:t xml:space="preserve">Planned</x:t>
        </x:is>
      </x:c>
      <x:c r="M62" s="157" t="n">
        <x:f>IFERROR((I62+J62+K62)/(F62+G62+H62),0)</x:f>
        <x:v>0</x:v>
      </x:c>
      <x:c r="N62" s="155" t="str"/>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str"/>
      <x:c r="J63" s="155" t="str"/>
      <x:c r="K63" s="155" t="str"/>
      <x:c r="L63" s="155" t="inlineStr">
        <x:is>
          <x:t xml:space="preserve">Planned</x:t>
        </x:is>
      </x:c>
      <x:c r="M63" s="157" t="n">
        <x:f>IFERROR((I63+J63+K63)/(F63+G63+H63),0)</x:f>
        <x:v>0</x:v>
      </x:c>
      <x:c r="N63" s="155" t="str"/>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str"/>
      <x:c r="J64" s="155" t="str"/>
      <x:c r="K64" s="155" t="str"/>
      <x:c r="L64" s="155" t="inlineStr">
        <x:is>
          <x:t xml:space="preserve">Planned</x:t>
        </x:is>
      </x:c>
      <x:c r="M64" s="157" t="n">
        <x:f>IFERROR((I64+J64+K64)/(F64+G64+H64),0)</x:f>
        <x:v>0</x:v>
      </x:c>
      <x:c r="N64" s="155" t="str"/>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str"/>
      <x:c r="J65" s="155" t="str"/>
      <x:c r="K65" s="155" t="str"/>
      <x:c r="L65" s="155" t="inlineStr">
        <x:is>
          <x:t xml:space="preserve">Planned</x:t>
        </x:is>
      </x:c>
      <x:c r="M65" s="157" t="n">
        <x:f>IFERROR((I65+J65+K65)/(F65+G65+H65),0)</x:f>
        <x:v>0</x:v>
      </x:c>
      <x:c r="N65" s="155" t="str"/>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str"/>
      <x:c r="J66" s="155" t="str"/>
      <x:c r="K66" s="155" t="str"/>
      <x:c r="L66" s="155" t="inlineStr">
        <x:is>
          <x:t xml:space="preserve">Planned</x:t>
        </x:is>
      </x:c>
      <x:c r="M66" s="157" t="n">
        <x:f>IFERROR((I66+J66+K66)/(F66+G66+H66),0)</x:f>
        <x:v>0</x:v>
      </x:c>
      <x:c r="N66" s="155" t="str"/>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cba26057a0174369"/>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82aa93208398473d"/>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dbd4d419a5a549ff"/>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e2b05d523d024722"/>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440b4179a79b42b6"/>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116</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229</x:v>
      </x:c>
    </x:row>
    <x:row r="11">
      <x:c r="A11" t="inlineStr">
        <x:is>
          <x:t xml:space="preserve">Sources registered</x:t>
        </x:is>
      </x:c>
      <x:c r="B11" t="n">
        <x:f>COUNTIF('Source Registry'!$A$2:$A$300,"&lt;&gt;")</x:f>
        <x:v>41</x:v>
      </x:c>
    </x:row>
    <x:row r="12">
      <x:c r="A12" t="inlineStr">
        <x:is>
          <x:t xml:space="preserve">90-day tasks done</x:t>
        </x:is>
      </x:c>
      <x:c r="B12" t="n">
        <x:f>COUNTIF('90-Day Plan'!$L$2:$L$91,"Done")</x:f>
        <x:v>25</x:v>
      </x:c>
    </x:row>
    <x:row r="13">
      <x:c r="A13" t="inlineStr">
        <x:is>
          <x:t xml:space="preserve">90-day progress</x:t>
        </x:is>
      </x:c>
      <x:c r="B13" s="156" t="n">
        <x:f>COUNTIF('90-Day Plan'!$L$2:$L$91,"Done")/90</x:f>
        <x:v>0.2777777777777778</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6126ea972af446ed"/>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sheetData>
  <x:pageMargins left="0.7" right="0.7" top="0.75" bottom="0.75" header="0.3" footer="0.3"/>
  <x:tableParts count="1">
    <x:tablePart xmlns:r="http://schemas.openxmlformats.org/officeDocument/2006/relationships" r:id="Rc2eb7b6e08bb4d96"/>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38a08f003aa2425e"/>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a640bc4bd04f4a06"/>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