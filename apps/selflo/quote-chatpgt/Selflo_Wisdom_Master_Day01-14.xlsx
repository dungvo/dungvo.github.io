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8.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aa7add0de5f473f" /></Relationships>
</file>

<file path=xl/workbook.xml><?xml version="1.0" encoding="utf-8"?>
<x:workbook xmlns:x="http://schemas.openxmlformats.org/spreadsheetml/2006/main">
  <x:sheets>
    <x:sheet xmlns:r="http://schemas.openxmlformats.org/officeDocument/2006/relationships" name="Taxonomy" sheetId="1" r:id="Rcc7dabfedb274d6a"/>
    <x:sheet xmlns:r="http://schemas.openxmlformats.org/officeDocument/2006/relationships" name="README" sheetId="2" r:id="Rebee2cc7fbae438b"/>
    <x:sheet xmlns:r="http://schemas.openxmlformats.org/officeDocument/2006/relationships" name="90-Day Plan" sheetId="3" r:id="R8d4cb67772e24e37"/>
    <x:sheet xmlns:r="http://schemas.openxmlformats.org/officeDocument/2006/relationships" name="Quote Library" sheetId="4" r:id="Rc481d8aaeb0c4176"/>
    <x:sheet xmlns:r="http://schemas.openxmlformats.org/officeDocument/2006/relationships" name="Story Library" sheetId="5" r:id="R62a12b8fe0f14d47"/>
    <x:sheet xmlns:r="http://schemas.openxmlformats.org/officeDocument/2006/relationships" name="Principle Library" sheetId="6" r:id="R7f63a41de85c4316"/>
    <x:sheet xmlns:r="http://schemas.openxmlformats.org/officeDocument/2006/relationships" name="Source Registry" sheetId="7" r:id="R36345db901b241dc"/>
    <x:sheet xmlns:r="http://schemas.openxmlformats.org/officeDocument/2006/relationships" name="Coverage Map" sheetId="8" r:id="R56973626f1d14c3a"/>
    <x:sheet xmlns:r="http://schemas.openxmlformats.org/officeDocument/2006/relationships" name="Dashboard" sheetId="9" r:id="R29ed95094f5b44d7"/>
    <x:sheet xmlns:r="http://schemas.openxmlformats.org/officeDocument/2006/relationships" name="AI Collection Guide" sheetId="10" r:id="R5d266f2f99764645"/>
    <x:sheet xmlns:r="http://schemas.openxmlformats.org/officeDocument/2006/relationships" name="Daily Log" sheetId="11" r:id="R4150b697d89a4209"/>
    <x:sheet xmlns:r="http://schemas.openxmlformats.org/officeDocument/2006/relationships" name="Human Experience Map" sheetId="12" r:id="Rf1bc910f49cf490c"/>
    <x:sheet xmlns:r="http://schemas.openxmlformats.org/officeDocument/2006/relationships" name="Taxonomy VN" sheetId="13" r:id="Ra466c0cfb1cf4f89"/>
    <x:sheet xmlns:r="http://schemas.openxmlformats.org/officeDocument/2006/relationships" name="Quote Library v2" sheetId="14" r:id="Rc0a98b72d7ab47ac"/>
    <x:sheet xmlns:r="http://schemas.openxmlformats.org/officeDocument/2006/relationships" name="Coverage Matrix" sheetId="15" r:id="Rdc176c2d856e46f2"/>
    <x:sheet xmlns:r="http://schemas.openxmlformats.org/officeDocument/2006/relationships" name="Diversity Dashboard" sheetId="16" r:id="R62d85d5ed789438b"/>
    <x:sheet xmlns:r="http://schemas.openxmlformats.org/officeDocument/2006/relationships" name="Day 1 Audit" sheetId="17" r:id="R93c9cdeb15ac4b67"/>
    <x:sheet xmlns:r="http://schemas.openxmlformats.org/officeDocument/2006/relationships" name="Day 2 Audit" sheetId="18" r:id="R8e477011e27c4bfa"/>
    <x:sheet xmlns:r="http://schemas.openxmlformats.org/officeDocument/2006/relationships" name="Day 3 Audit" sheetId="19" r:id="R5aa4c18655684b6f"/>
    <x:sheet xmlns:r="http://schemas.openxmlformats.org/officeDocument/2006/relationships" name="Day 4 Audit" sheetId="20" r:id="R9645b5fb874645ae"/>
    <x:sheet xmlns:r="http://schemas.openxmlformats.org/officeDocument/2006/relationships" name="Day 5 Audit" sheetId="21" r:id="R20a1b8b42572426a"/>
    <x:sheet xmlns:r="http://schemas.openxmlformats.org/officeDocument/2006/relationships" name="Day 6 Audit" sheetId="22" r:id="R63369c6a71d24fc6"/>
    <x:sheet xmlns:r="http://schemas.openxmlformats.org/officeDocument/2006/relationships" name="Day 7 Audit" sheetId="23" r:id="R497de02956fd46c7"/>
    <x:sheet xmlns:r="http://schemas.openxmlformats.org/officeDocument/2006/relationships" name="Day 8 Audit" sheetId="24" r:id="R3111173a1cd643f1"/>
    <x:sheet xmlns:r="http://schemas.openxmlformats.org/officeDocument/2006/relationships" name="Day 9 Audit" sheetId="25" r:id="R97b6bb32a85244f3"/>
    <x:sheet xmlns:r="http://schemas.openxmlformats.org/officeDocument/2006/relationships" name="Day 10 Audit" sheetId="26" r:id="R931bd9a06eef4dce"/>
    <x:sheet xmlns:r="http://schemas.openxmlformats.org/officeDocument/2006/relationships" name="Day 11 Audit" sheetId="27" r:id="Rf6e7656524544f72"/>
    <x:sheet xmlns:r="http://schemas.openxmlformats.org/officeDocument/2006/relationships" name="Day 12 Audit" sheetId="28" r:id="R4ae175e4d2d5434b"/>
    <x:sheet xmlns:r="http://schemas.openxmlformats.org/officeDocument/2006/relationships" name="Day 13 Audit" sheetId="29" r:id="Rb55332d52a6d4a15"/>
    <x:sheet xmlns:r="http://schemas.openxmlformats.org/officeDocument/2006/relationships" name="Day 14 Audit" sheetId="30" r:id="R20854bd06bbc4d98"/>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
      <x:b/>
      <x:sz val="15"/>
      <x:color rgb="FFFFFFFF"/>
      <x:name val="Carlito"/>
    </x:font>
    <x:font>
      <x:b/>
      <x:sz val="15"/>
      <x:color rgb="FFFFFFFF"/>
    </x:font>
  </x:fonts>
  <x:fills count="33">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EAF0F8"/>
      </x:patternFill>
    </x:fill>
  </x:fills>
  <x:borders count="2">
    <x:border/>
    <x:border/>
  </x:borders>
  <x:cellStyleXfs count="1">
    <x:xf numFmtId="0" fontId="0" fillId="0" borderId="1"/>
  </x:cellStyleXfs>
  <x:cellXfs count="183">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3" borderId="1" xfId="0"/>
    <x:xf numFmtId="0" fontId="2" fillId="3" borderId="1" xfId="0"/>
    <x:xf numFmtId="0" fontId="2" fillId="3" borderId="1" xfId="0" applyAlignment="1">
      <x:alignment vertical="center"/>
    </x:xf>
    <x:xf numFmtId="0" fontId="0" fillId="0" borderId="0" xfId="0" applyAlignment="1">
      <x:alignment wrapText="1"/>
    </x:xf>
    <x:xf numFmtId="0" fontId="0" fillId="0" borderId="1" xfId="0" applyAlignment="1">
      <x:alignment wrapText="1"/>
    </x:xf>
    <x:xf numFmtId="9" fontId="0" fillId="0" borderId="0" xfId="0"/>
    <x:xf numFmtId="9" fontId="0" fillId="0" borderId="1" xfId="0"/>
    <x:xf numFmtId="9" fontId="0" fillId="0" borderId="0" xfId="0" applyAlignment="1">
      <x:alignment wrapText="1"/>
    </x:xf>
    <x:xf numFmtId="9"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2" fillId="3" borderId="0" xfId="0" applyAlignment="1">
      <x:alignment vertical="center" wrapText="1"/>
    </x:xf>
    <x:xf numFmtId="0" fontId="2" fillId="3" borderId="1" xfId="0" applyAlignment="1">
      <x:alignment vertical="center" wrapText="1"/>
    </x:xf>
    <x:xf numFmtId="0" fontId="0" fillId="5" borderId="0" xfId="0"/>
    <x:xf numFmtId="0" fontId="4" fillId="5" borderId="0" xfId="0"/>
    <x:xf numFmtId="0" fontId="4" fillId="5" borderId="0" xfId="0" applyAlignment="1">
      <x:alignment vertical="center"/>
    </x:xf>
    <x:xf numFmtId="0" fontId="0" fillId="5" borderId="1" xfId="0"/>
    <x:xf numFmtId="0" fontId="4" fillId="5" borderId="1" xfId="0"/>
    <x:xf numFmtId="0" fontId="4" fillId="5" borderId="1" xfId="0" applyAlignment="1">
      <x:alignment vertical="center"/>
    </x:xf>
    <x:xf numFmtId="0" fontId="0" fillId="0" borderId="0" xfId="0"/>
    <x:xf numFmtId="0" fontId="0" fillId="6" borderId="0" xfId="0"/>
    <x:xf numFmtId="0" fontId="2" fillId="6" borderId="0" xfId="0"/>
    <x:xf numFmtId="0" fontId="2" fillId="6" borderId="0" xfId="0" applyAlignment="1">
      <x:alignment vertical="center"/>
    </x:xf>
    <x:xf numFmtId="0" fontId="0" fillId="7" borderId="0" xfId="0"/>
    <x:xf numFmtId="0" fontId="1" fillId="7" borderId="0" xfId="0"/>
    <x:xf numFmtId="0" fontId="1" fillId="7" borderId="0" xfId="0" applyAlignment="1">
      <x:alignment wrapText="1"/>
    </x:xf>
    <x:xf numFmtId="0" fontId="1" fillId="7" borderId="0" xfId="0" applyAlignment="1">
      <x:alignment horizontal="center" wrapText="1"/>
    </x:xf>
    <x:xf numFmtId="0" fontId="1" fillId="7" borderId="0" xfId="0" applyAlignment="1">
      <x:alignment horizontal="center" vertical="center" wrapText="1"/>
    </x:xf>
    <x:xf numFmtId="0" fontId="2" fillId="6" borderId="0" xfId="0" applyAlignment="1">
      <x:alignment vertical="center" wrapText="1"/>
    </x:xf>
    <x:xf numFmtId="0" fontId="0" fillId="8" borderId="0" xfId="0"/>
    <x:xf numFmtId="0" fontId="4" fillId="8" borderId="0" xfId="0"/>
    <x:xf numFmtId="0" fontId="4" fillId="8" borderId="0" xfId="0" applyAlignment="1">
      <x:alignment vertical="center"/>
    </x:xf>
    <x:xf numFmtId="0" fontId="0" fillId="9" borderId="0" xfId="0"/>
    <x:xf numFmtId="0" fontId="5" fillId="9" borderId="0" xfId="0"/>
    <x:xf numFmtId="0" fontId="0" fillId="10" borderId="0" xfId="0"/>
    <x:xf numFmtId="0" fontId="6" fillId="10" borderId="0" xfId="0"/>
    <x:xf numFmtId="0" fontId="0" fillId="11" borderId="0" xfId="0"/>
    <x:xf numFmtId="0" fontId="1" fillId="11" borderId="0" xfId="0"/>
    <x:xf numFmtId="0" fontId="6" fillId="10" borderId="0" xfId="0" applyAlignment="1">
      <x:alignment wrapText="1"/>
    </x:xf>
    <x:xf numFmtId="0" fontId="1" fillId="11" borderId="0" xfId="0" applyAlignment="1">
      <x:alignment wrapText="1"/>
    </x:xf>
    <x:xf numFmtId="0" fontId="0" fillId="12" borderId="0" xfId="0"/>
    <x:xf numFmtId="0" fontId="4" fillId="12" borderId="0" xfId="0"/>
    <x:xf numFmtId="0" fontId="4" fillId="8" borderId="1" xfId="0" applyAlignment="1">
      <x:alignment vertical="center"/>
    </x:xf>
    <x:xf numFmtId="9" fontId="0" fillId="0" borderId="0" xfId="0" applyAlignment="1">
      <x:alignment wrapText="1"/>
    </x:xf>
    <x:xf numFmtId="9" fontId="0" fillId="0" borderId="0" xfId="0"/>
    <x:xf numFmtId="0" fontId="4" fillId="12" borderId="1" xfId="0"/>
    <x:xf numFmtId="0" fontId="2" fillId="6" borderId="1" xfId="0" applyAlignment="1">
      <x:alignment vertical="center" wrapText="1"/>
    </x:xf>
    <x:xf numFmtId="0" fontId="2" fillId="6" borderId="1" xfId="0" applyAlignment="1">
      <x:alignment vertical="center"/>
    </x:xf>
    <x:xf numFmtId="0" fontId="6" fillId="10" borderId="1" xfId="0" applyAlignment="1">
      <x:alignment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3" borderId="0" xfId="0"/>
    <x:xf numFmtId="0" fontId="6" fillId="13" borderId="0" xfId="0"/>
    <x:xf numFmtId="0" fontId="0" fillId="14" borderId="0" xfId="0"/>
    <x:xf numFmtId="0" fontId="1" fillId="14" borderId="0" xfId="0"/>
    <x:xf numFmtId="0" fontId="6" fillId="13" borderId="0" xfId="0" applyAlignment="1">
      <x:alignment wrapText="1"/>
    </x:xf>
    <x:xf numFmtId="9" fontId="0" fillId="0" borderId="0" xfId="0" applyAlignment="1">
      <x:alignment wrapText="1"/>
    </x:xf>
    <x:xf numFmtId="0" fontId="0" fillId="15" borderId="0" xfId="0"/>
    <x:xf numFmtId="0" fontId="6" fillId="15" borderId="0" xfId="0"/>
    <x:xf numFmtId="0" fontId="0" fillId="16" borderId="0" xfId="0"/>
    <x:xf numFmtId="0" fontId="1" fillId="16" borderId="0" xfId="0"/>
    <x:xf numFmtId="0" fontId="0" fillId="17" borderId="0" xfId="0"/>
    <x:xf numFmtId="0" fontId="1" fillId="17" borderId="0" xfId="0"/>
    <x:xf numFmtId="0" fontId="6" fillId="15" borderId="0" xfId="0" applyAlignment="1">
      <x:alignment wrapText="1"/>
    </x:xf>
    <x:xf numFmtId="0" fontId="0" fillId="18" borderId="0" xfId="0"/>
    <x:xf numFmtId="0" fontId="6" fillId="18" borderId="0" xfId="0"/>
    <x:xf numFmtId="0" fontId="0" fillId="19" borderId="0" xfId="0"/>
    <x:xf numFmtId="0" fontId="1" fillId="19" borderId="0" xfId="0"/>
    <x:xf numFmtId="0" fontId="0" fillId="20" borderId="0" xfId="0"/>
    <x:xf numFmtId="0" fontId="1" fillId="20" borderId="0" xfId="0"/>
    <x:xf numFmtId="0" fontId="6" fillId="18" borderId="0" xfId="0" applyAlignment="1">
      <x:alignment wrapText="1"/>
    </x:xf>
    <x:xf numFmtId="0" fontId="0" fillId="21" borderId="0" xfId="0"/>
    <x:xf numFmtId="0" fontId="6" fillId="21" borderId="0" xfId="0"/>
    <x:xf numFmtId="0" fontId="0" fillId="22" borderId="0" xfId="0"/>
    <x:xf numFmtId="0" fontId="1" fillId="22" borderId="0" xfId="0"/>
    <x:xf numFmtId="0" fontId="6" fillId="21" borderId="0" xfId="0" applyAlignment="1">
      <x:alignment wrapText="1"/>
    </x:xf>
    <x:xf numFmtId="0" fontId="0" fillId="23" borderId="0" xfId="0"/>
    <x:xf numFmtId="0" fontId="6" fillId="23" borderId="0" xfId="0"/>
    <x:xf numFmtId="0" fontId="0" fillId="24" borderId="0" xfId="0"/>
    <x:xf numFmtId="0" fontId="1" fillId="24" borderId="0" xfId="0"/>
    <x:xf numFmtId="0" fontId="0" fillId="25" borderId="0" xfId="0"/>
    <x:xf numFmtId="0" fontId="1" fillId="25" borderId="0" xfId="0"/>
    <x:xf numFmtId="0" fontId="6" fillId="23" borderId="0" xfId="0" applyAlignment="1">
      <x:alignment wrapText="1"/>
    </x:xf>
    <x:xf numFmtId="0" fontId="0" fillId="26" borderId="0" xfId="0"/>
    <x:xf numFmtId="0" fontId="6" fillId="26" borderId="0" xfId="0"/>
    <x:xf numFmtId="0" fontId="0" fillId="27" borderId="0" xfId="0"/>
    <x:xf numFmtId="0" fontId="1" fillId="27" borderId="0" xfId="0"/>
    <x:xf numFmtId="0" fontId="0" fillId="28" borderId="0" xfId="0"/>
    <x:xf numFmtId="0" fontId="1" fillId="28" borderId="0" xfId="0"/>
    <x:xf numFmtId="0" fontId="6" fillId="26" borderId="0" xfId="0" applyAlignment="1">
      <x:alignment wrapText="1"/>
    </x:xf>
    <x:xf numFmtId="0" fontId="0" fillId="0" borderId="0" xfId="0" applyAlignment="1">
      <x:alignment vertical="top" wrapText="1"/>
    </x:xf>
    <x:xf numFmtId="0" fontId="6" fillId="13" borderId="1" xfId="0" applyAlignment="1">
      <x:alignment wrapText="1"/>
    </x:xf>
    <x:xf numFmtId="0" fontId="6" fillId="15" borderId="1" xfId="0" applyAlignment="1">
      <x:alignment wrapText="1"/>
    </x:xf>
    <x:xf numFmtId="0" fontId="6" fillId="18" borderId="1" xfId="0" applyAlignment="1">
      <x:alignment wrapText="1"/>
    </x:xf>
    <x:xf numFmtId="0" fontId="6" fillId="21" borderId="1" xfId="0" applyAlignment="1">
      <x:alignment wrapText="1"/>
    </x:xf>
    <x:xf numFmtId="0" fontId="6" fillId="23" borderId="1" xfId="0" applyAlignment="1">
      <x:alignment wrapText="1"/>
    </x:xf>
    <x:xf numFmtId="0" fontId="6" fillId="26" borderId="1" xfId="0" applyAlignment="1">
      <x:alignment wrapText="1"/>
    </x:xf>
    <x:xf numFmtId="0" fontId="7" fillId="29" borderId="1" xfId="0" applyAlignment="1">
      <x:alignment vertical="top" wrapText="1"/>
    </x:xf>
    <x:xf numFmtId="0" fontId="0" fillId="0" borderId="1" xfId="0" applyAlignment="1">
      <x:alignment vertical="top" wrapText="1"/>
    </x:xf>
    <x:xf numFmtId="0" fontId="0" fillId="30" borderId="0" xfId="0" applyAlignment="1">
      <x:alignment vertical="top"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0" xfId="0" applyNumberFormat="1" applyFont="1" applyFill="1" applyBorder="1" applyAlignment="1">
      <x:alignment wrapText="1"/>
    </x:xf>
    <x:xf numFmtId="9" fontId="0" fillId="0" borderId="0" xfId="0" applyNumberFormat="1" applyFont="1" applyFill="1" applyBorder="1"/>
    <x:xf numFmtId="9"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0"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0" fillId="31" borderId="0" xfId="0" applyNumberFormat="1" applyFont="1" applyFill="1" applyBorder="1"/>
    <x:xf numFmtId="0" fontId="6" fillId="31" borderId="0" xfId="0" applyNumberFormat="1" applyFont="1" applyFill="1" applyBorder="1"/>
    <x:xf numFmtId="0" fontId="6" fillId="31" borderId="0" xfId="0" applyNumberFormat="1" applyFont="1" applyFill="1" applyBorder="1" applyAlignment="1">
      <x:alignment vertical="center"/>
    </x:xf>
    <x:xf numFmtId="0" fontId="0" fillId="32" borderId="0" xfId="0" applyNumberFormat="1" applyFont="1" applyFill="1" applyBorder="1"/>
    <x:xf numFmtId="0" fontId="5" fillId="32" borderId="0" xfId="0" applyNumberFormat="1" applyFont="1" applyFill="1" applyBorder="1"/>
    <x:xf numFmtId="0" fontId="5" fillId="32" borderId="0" xfId="0" applyNumberFormat="1" applyFont="1" applyFill="1" applyBorder="1" applyAlignment="1">
      <x:alignment wrapText="1"/>
    </x:xf>
    <x:xf numFmtId="0" fontId="5" fillId="32" borderId="0" xfId="0" applyNumberFormat="1" applyFont="1" applyFill="1" applyBorder="1" applyAlignment="1">
      <x:alignment vertical="top" wrapText="1"/>
    </x:xf>
  </x:cellXfs>
  <x:cellStyles count="1">
    <x:cellStyle name="Normal" xfId="0"/>
  </x:cellStyles>
  <x:dxfs count="8">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056b640477a4cd9" /><Relationship Type="http://schemas.openxmlformats.org/officeDocument/2006/relationships/theme" Target="/xl/theme/theme1.xml" Id="R92a1a97365354d0d" /><Relationship Type="http://schemas.openxmlformats.org/officeDocument/2006/relationships/sharedStrings" Target="/xl/sharedStrings.xml" Id="R0fa7141022ce4c99" /><Relationship Type="http://schemas.openxmlformats.org/officeDocument/2006/relationships/worksheet" Target="/xl/worksheets/sheet1.xml" Id="Rcc7dabfedb274d6a" /><Relationship Type="http://schemas.openxmlformats.org/officeDocument/2006/relationships/worksheet" Target="/xl/worksheets/sheet2.xml" Id="Rebee2cc7fbae438b" /><Relationship Type="http://schemas.openxmlformats.org/officeDocument/2006/relationships/worksheet" Target="/xl/worksheets/sheet3.xml" Id="R8d4cb67772e24e37" /><Relationship Type="http://schemas.openxmlformats.org/officeDocument/2006/relationships/worksheet" Target="/xl/worksheets/sheet4.xml" Id="Rc481d8aaeb0c4176" /><Relationship Type="http://schemas.openxmlformats.org/officeDocument/2006/relationships/worksheet" Target="/xl/worksheets/sheet5.xml" Id="R62a12b8fe0f14d47" /><Relationship Type="http://schemas.openxmlformats.org/officeDocument/2006/relationships/worksheet" Target="/xl/worksheets/sheet6.xml" Id="R7f63a41de85c4316" /><Relationship Type="http://schemas.openxmlformats.org/officeDocument/2006/relationships/worksheet" Target="/xl/worksheets/sheet7.xml" Id="R36345db901b241dc" /><Relationship Type="http://schemas.openxmlformats.org/officeDocument/2006/relationships/worksheet" Target="/xl/worksheets/sheet8.xml" Id="R56973626f1d14c3a" /><Relationship Type="http://schemas.openxmlformats.org/officeDocument/2006/relationships/worksheet" Target="/xl/worksheets/sheet9.xml" Id="R29ed95094f5b44d7" /><Relationship Type="http://schemas.openxmlformats.org/officeDocument/2006/relationships/worksheet" Target="/xl/worksheets/sheet10.xml" Id="R5d266f2f99764645" /><Relationship Type="http://schemas.openxmlformats.org/officeDocument/2006/relationships/worksheet" Target="/xl/worksheets/sheet11.xml" Id="R4150b697d89a4209" /><Relationship Type="http://schemas.openxmlformats.org/officeDocument/2006/relationships/worksheet" Target="/xl/worksheets/sheet12.xml" Id="Rf1bc910f49cf490c" /><Relationship Type="http://schemas.openxmlformats.org/officeDocument/2006/relationships/worksheet" Target="/xl/worksheets/sheet13.xml" Id="Ra466c0cfb1cf4f89" /><Relationship Type="http://schemas.openxmlformats.org/officeDocument/2006/relationships/worksheet" Target="/xl/worksheets/sheet14.xml" Id="Rc0a98b72d7ab47ac" /><Relationship Type="http://schemas.openxmlformats.org/officeDocument/2006/relationships/worksheet" Target="/xl/worksheets/sheet15.xml" Id="Rdc176c2d856e46f2" /><Relationship Type="http://schemas.openxmlformats.org/officeDocument/2006/relationships/worksheet" Target="/xl/worksheets/sheet16.xml" Id="R62d85d5ed789438b" /><Relationship Type="http://schemas.openxmlformats.org/officeDocument/2006/relationships/worksheet" Target="/xl/worksheets/sheet17.xml" Id="R93c9cdeb15ac4b67" /><Relationship Type="http://schemas.openxmlformats.org/officeDocument/2006/relationships/worksheet" Target="/xl/worksheets/sheet18.xml" Id="R8e477011e27c4bfa" /><Relationship Type="http://schemas.openxmlformats.org/officeDocument/2006/relationships/worksheet" Target="/xl/worksheets/sheet19.xml" Id="R5aa4c18655684b6f" /><Relationship Type="http://schemas.openxmlformats.org/officeDocument/2006/relationships/worksheet" Target="/xl/worksheets/sheet20.xml" Id="R9645b5fb874645ae" /><Relationship Type="http://schemas.openxmlformats.org/officeDocument/2006/relationships/worksheet" Target="/xl/worksheets/sheet21.xml" Id="R20a1b8b42572426a" /><Relationship Type="http://schemas.openxmlformats.org/officeDocument/2006/relationships/worksheet" Target="/xl/worksheets/sheet22.xml" Id="R63369c6a71d24fc6" /><Relationship Type="http://schemas.openxmlformats.org/officeDocument/2006/relationships/worksheet" Target="/xl/worksheets/sheet23.xml" Id="R497de02956fd46c7" /><Relationship Type="http://schemas.openxmlformats.org/officeDocument/2006/relationships/worksheet" Target="/xl/worksheets/sheet24.xml" Id="R3111173a1cd643f1" /><Relationship Type="http://schemas.openxmlformats.org/officeDocument/2006/relationships/worksheet" Target="/xl/worksheets/sheet25.xml" Id="R97b6bb32a85244f3" /><Relationship Type="http://schemas.openxmlformats.org/officeDocument/2006/relationships/worksheet" Target="/xl/worksheets/sheet26.xml" Id="R931bd9a06eef4dce" /><Relationship Type="http://schemas.openxmlformats.org/officeDocument/2006/relationships/worksheet" Target="/xl/worksheets/sheet27.xml" Id="Rf6e7656524544f72" /><Relationship Type="http://schemas.openxmlformats.org/officeDocument/2006/relationships/worksheet" Target="/xl/worksheets/sheet28.xml" Id="R4ae175e4d2d5434b" /><Relationship Type="http://schemas.openxmlformats.org/officeDocument/2006/relationships/worksheet" Target="/xl/worksheets/sheet29.xml" Id="Rb55332d52a6d4a15" /><Relationship Type="http://schemas.openxmlformats.org/officeDocument/2006/relationships/worksheet" Target="/xl/worksheets/sheet30.xml" Id="R20854bd06bbc4d98" /></Relationships>
</file>

<file path=xl/drawings/_rels/drawing1.xml.rels>&#65279;<?xml version="1.0" encoding="utf-8"?><Relationships xmlns="http://schemas.openxmlformats.org/package/2006/relationships"><Relationship Type="http://schemas.openxmlformats.org/officeDocument/2006/relationships/chart" Target="/xl/drawings/charts/chart1.xml" Id="R2b3139e836e3402c"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grouping val="clustered"/>
        <c:varyColors val="0"/>
        <c:ser>
          <c:idx val="0"/>
          <c:order val="0"/>
          <c:tx>
            <c:v>Quote Count</c:v>
          </c:tx>
          <c:spPr>
            <a:ln xmlns:a="http://schemas.openxmlformats.org/drawingml/2006/main">
              <a:prstDash val="solid"/>
            </a:ln>
          </c:spPr>
          <c:cat>
            <c:strRef>
              <c:f>'Dashboard'!$A$17:$A$28</c:f>
              <c:strCache>
                <c:ptCount val="0"/>
              </c:strCache>
            </c:strRef>
          </c:cat>
          <c:val>
            <c:numRef>
              <c:f>'Dashboard'!$B$17:$B$28</c:f>
              <c:numCache>
                <c:formatCode>General</c:formatCode>
                <c:ptCount val="0"/>
              </c:numCache>
            </c:numRef>
          </c:val>
        </c:ser>
        <c:ser>
          <c:idx val="1"/>
          <c:order val="1"/>
          <c:tx>
            <c:v>Target</c:v>
          </c:tx>
          <c:spPr>
            <a:ln xmlns:a="http://schemas.openxmlformats.org/drawingml/2006/main">
              <a:prstDash val="solid"/>
            </a:ln>
          </c:spPr>
          <c:cat>
            <c:strRef>
              <c:f>'Dashboard'!$A$17:$A$28</c:f>
              <c:strCache>
                <c:ptCount val="0"/>
              </c:strCache>
            </c:strRef>
          </c:cat>
          <c:val>
            <c:numRef>
              <c:f>'Dashboard'!$C$17:$C$28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b3139e836e3402c"/>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e7eb705c278f4647" /></Relationships>
</file>

<file path=xl/worksheets/_rels/sheet4.xml.rels>&#65279;<?xml version="1.0" encoding="utf-8"?><Relationships xmlns="http://schemas.openxmlformats.org/package/2006/relationships"><Relationship Type="http://schemas.openxmlformats.org/officeDocument/2006/relationships/table" Target="/xl/tables/table2.xml" Id="R733cfa8c91b248f7" /></Relationships>
</file>

<file path=xl/worksheets/_rels/sheet5.xml.rels>&#65279;<?xml version="1.0" encoding="utf-8"?><Relationships xmlns="http://schemas.openxmlformats.org/package/2006/relationships"><Relationship Type="http://schemas.openxmlformats.org/officeDocument/2006/relationships/table" Target="/xl/tables/table3.xml" Id="R36fd3e4139674ce0" /></Relationships>
</file>

<file path=xl/worksheets/_rels/sheet6.xml.rels>&#65279;<?xml version="1.0" encoding="utf-8"?><Relationships xmlns="http://schemas.openxmlformats.org/package/2006/relationships"><Relationship Type="http://schemas.openxmlformats.org/officeDocument/2006/relationships/table" Target="/xl/tables/table4.xml" Id="R5abdf4d57aa84cbd" /></Relationships>
</file>

<file path=xl/worksheets/_rels/sheet7.xml.rels>&#65279;<?xml version="1.0" encoding="utf-8"?><Relationships xmlns="http://schemas.openxmlformats.org/package/2006/relationships"><Relationship Type="http://schemas.openxmlformats.org/officeDocument/2006/relationships/table" Target="/xl/tables/table5.xml" Id="R17b13218663045e0" /></Relationships>
</file>

<file path=xl/worksheets/_rels/sheet9.xml.rels>&#65279;<?xml version="1.0" encoding="utf-8"?><Relationships xmlns="http://schemas.openxmlformats.org/package/2006/relationships"><Relationship Type="http://schemas.openxmlformats.org/officeDocument/2006/relationships/drawing" Target="/xl/drawings/drawing1.xml" Id="Rc65fb4f25a1d4ecf" /></Relationships>
</file>

<file path=xl/worksheets/_rels/sheet11.xml.rels>&#65279;<?xml version="1.0" encoding="utf-8"?><Relationships xmlns="http://schemas.openxmlformats.org/package/2006/relationships"><Relationship Type="http://schemas.openxmlformats.org/officeDocument/2006/relationships/table" Target="/xl/tables/table6.xml" Id="Rb155b83ed2f846f1" /></Relationships>
</file>

<file path=xl/worksheets/_rels/sheet12.xml.rels>&#65279;<?xml version="1.0" encoding="utf-8"?><Relationships xmlns="http://schemas.openxmlformats.org/package/2006/relationships"><Relationship Type="http://schemas.openxmlformats.org/officeDocument/2006/relationships/table" Target="/xl/tables/table7.xml" Id="R6445c57992b8435b" /></Relationships>
</file>

<file path=xl/worksheets/_rels/sheet14.xml.rels>&#65279;<?xml version="1.0" encoding="utf-8"?><Relationships xmlns="http://schemas.openxmlformats.org/package/2006/relationships"><Relationship Type="http://schemas.openxmlformats.org/officeDocument/2006/relationships/table" Target="/xl/tables/table8.xml" Id="Rdb0f7fb55db3458a" /></Relationships>
</file>

<file path=xl/worksheets/sheet1.xml><?xml version="1.0" encoding="utf-8"?>
<x:worksheet xmlns:x="http://schemas.openxmlformats.org/spreadsheetml/2006/main">
  <x:sheetFormatPr baseColWidth="8" defaultRowHeight="15"/>
  <x:cols>
    <x:col min="1" max="1" width="34" style="72" customWidth="1"/>
    <x:col min="2" max="2" width="20" style="72" customWidth="1"/>
    <x:col min="3" max="3" width="20" style="72" customWidth="1"/>
    <x:col min="4" max="4" width="30" style="72" customWidth="1"/>
    <x:col min="5" max="5" width="26" style="72" customWidth="1"/>
    <x:col min="6" max="6" width="16" style="72" customWidth="1"/>
    <x:col min="7" max="7" width="24" style="72" customWidth="1"/>
    <x:col min="8" max="8" width="32" style="72" customWidth="1"/>
    <x:col min="9" max="9" width="26" style="72" customWidth="1"/>
    <x:col min="10" max="10" width="28" style="72" customWidth="1"/>
    <x:col min="11" max="11" width="28" style="72" customWidth="1"/>
    <x:col min="12" max="12" width="34" style="72" customWidth="1"/>
    <x:col min="13" max="13" width="24" style="72" customWidth="1"/>
    <x:col min="14" max="14" width="28" style="72" customWidth="1"/>
    <x:col min="15" max="15" width="34" style="72" customWidth="1"/>
    <x:col min="16" max="16" width="18" style="72" customWidth="1"/>
  </x:cols>
  <x:sheetData>
    <x:row r="1">
      <x:c r="A1" s="77" t="inlineStr">
        <x:is>
          <x:t xml:space="preserve">Cluster</x:t>
        </x:is>
      </x:c>
      <x:c r="B1" s="77" t="inlineStr">
        <x:is>
          <x:t xml:space="preserve">Editorial Role</x:t>
        </x:is>
      </x:c>
      <x:c r="C1" s="77" t="inlineStr">
        <x:is>
          <x:t xml:space="preserve">Item Status</x:t>
        </x:is>
      </x:c>
      <x:c r="D1" s="77" t="inlineStr">
        <x:is>
          <x:t xml:space="preserve">Verification Grade</x:t>
        </x:is>
      </x:c>
      <x:c r="E1" s="77" t="inlineStr">
        <x:is>
          <x:t xml:space="preserve">Rights Status</x:t>
        </x:is>
      </x:c>
      <x:c r="F1" s="77" t="inlineStr">
        <x:is>
          <x:t xml:space="preserve">Selflo Fit</x:t>
        </x:is>
      </x:c>
      <x:c r="G1" s="77" t="inlineStr">
        <x:is>
          <x:t xml:space="preserve">Source Type</x:t>
        </x:is>
      </x:c>
      <x:c r="H1" s="77" t="inlineStr">
        <x:is>
          <x:t xml:space="preserve">Quote Type</x:t>
        </x:is>
      </x:c>
      <x:c r="I1" s="77" t="inlineStr">
        <x:is>
          <x:t xml:space="preserve">Story Type</x:t>
        </x:is>
      </x:c>
      <x:c r="J1" s="77" t="inlineStr">
        <x:is>
          <x:t xml:space="preserve">Tradition / Region</x:t>
        </x:is>
      </x:c>
      <x:c r="K1" s="77" t="inlineStr">
        <x:is>
          <x:t xml:space="preserve">Release Readiness</x:t>
        </x:is>
      </x:c>
      <x:c r="L1" s="50" t="inlineStr">
        <x:is>
          <x:t xml:space="preserve">Lĩnh vực cuộc sống (Life Area)</x:t>
        </x:is>
      </x:c>
      <x:c r="M1" s="50" t="inlineStr">
        <x:is>
          <x:t xml:space="preserve">Chủ đề (Theme)</x:t>
        </x:is>
      </x:c>
      <x:c r="N1" s="50" t="inlineStr">
        <x:is>
          <x:t xml:space="preserve">Cảm xúc / trạng thái (Emotion / State)</x:t>
        </x:is>
      </x:c>
      <x:c r="O1" s="50" t="inlineStr">
        <x:is>
          <x:t xml:space="preserve">Hình thức nội dung (Content Form)</x:t>
        </x:is>
      </x:c>
      <x:c r="P1" s="50" t="inlineStr">
        <x:is>
          <x:t xml:space="preserve">Mức Coverage</x:t>
        </x:is>
      </x:c>
    </x:row>
    <x:row r="2">
      <x:c r="A2" t="inlineStr">
        <x:is>
          <x:t xml:space="preserve">Exhaustion / Recovery / Work carryover</x:t>
        </x:is>
      </x:c>
      <x:c r="B2" t="inlineStr">
        <x:is>
          <x:t xml:space="preserve">Recognize</x:t>
        </x:is>
      </x:c>
      <x:c r="C2" t="inlineStr">
        <x:is>
          <x:t xml:space="preserve">Planned</x:t>
        </x:is>
      </x:c>
      <x:c r="D2" t="inlineStr">
        <x:is>
          <x:t xml:space="preserve">A - Primary source</x:t>
        </x:is>
      </x:c>
      <x:c r="E2" t="inlineStr">
        <x:is>
          <x:t xml:space="preserve">Public domain / likely</x:t>
        </x:is>
      </x:c>
      <x:c r="F2" t="inlineStr">
        <x:is>
          <x:t xml:space="preserve">High</x:t>
        </x:is>
      </x:c>
      <x:c r="G2" t="inlineStr">
        <x:is>
          <x:t xml:space="preserve">Primary text</x:t>
        </x:is>
      </x:c>
      <x:c r="H2" t="inlineStr">
        <x:is>
          <x:t xml:space="preserve">Verbatim</x:t>
        </x:is>
      </x:c>
      <x:c r="I2" t="inlineStr">
        <x:is>
          <x:t xml:space="preserve">Parable</x:t>
        </x:is>
      </x:c>
      <x:c r="J2" t="inlineStr">
        <x:is>
          <x:t xml:space="preserve">Taoism</x:t>
        </x:is>
      </x:c>
      <x:c r="K2" t="inlineStr">
        <x:is>
          <x:t xml:space="preserve">Not reviewed</x:t>
        </x:is>
      </x:c>
      <x:c r="L2" t="inlineStr">
        <x:is>
          <x:t xml:space="preserve">Nội tâm &amp; hiểu mình</x:t>
        </x:is>
      </x:c>
      <x:c r="M2" t="inlineStr">
        <x:is>
          <x:t xml:space="preserve">Acceptance</x:t>
        </x:is>
      </x:c>
      <x:c r="N2" t="inlineStr">
        <x:is>
          <x:t xml:space="preserve">Mệt mỏi</x:t>
        </x:is>
      </x:c>
      <x:c r="O2" t="inlineStr">
        <x:is>
          <x:t xml:space="preserve">Quan sát trực tiếp</x:t>
        </x:is>
      </x:c>
      <x:c r="P2" t="inlineStr">
        <x:is>
          <x:t xml:space="preserve">Missing</x:t>
        </x:is>
      </x:c>
    </x:row>
    <x:row r="3">
      <x:c r="A3" t="inlineStr">
        <x:is>
          <x:t xml:space="preserve">Self-compassion / Self-blame</x:t>
        </x:is>
      </x:c>
      <x:c r="B3" t="inlineStr">
        <x:is>
          <x:t xml:space="preserve">Name</x:t>
        </x:is>
      </x:c>
      <x:c r="C3" t="inlineStr">
        <x:is>
          <x:t xml:space="preserve">Collected</x:t>
        </x:is>
      </x:c>
      <x:c r="D3" t="inlineStr">
        <x:is>
          <x:t xml:space="preserve">B - Authoritative secondary</x:t>
        </x:is>
      </x:c>
      <x:c r="E3" t="inlineStr">
        <x:is>
          <x:t xml:space="preserve">Copyrighted / research only</x:t>
        </x:is>
      </x:c>
      <x:c r="F3" t="inlineStr">
        <x:is>
          <x:t xml:space="preserve">Medium</x:t>
        </x:is>
      </x:c>
      <x:c r="G3" t="inlineStr">
        <x:is>
          <x:t xml:space="preserve">Book</x:t>
        </x:is>
      </x:c>
      <x:c r="H3" t="inlineStr">
        <x:is>
          <x:t xml:space="preserve">Working translation</x:t>
        </x:is>
      </x:c>
      <x:c r="I3" t="inlineStr">
        <x:is>
          <x:t xml:space="preserve">Folktale</x:t>
        </x:is>
      </x:c>
      <x:c r="J3" t="inlineStr">
        <x:is>
          <x:t xml:space="preserve">Stoicism</x:t>
        </x:is>
      </x:c>
      <x:c r="K3" t="inlineStr">
        <x:is>
          <x:t xml:space="preserve">Research only</x:t>
        </x:is>
      </x:c>
      <x:c r="L3" t="inlineStr">
        <x:is>
          <x:t xml:space="preserve">Cảm xúc</x:t>
        </x:is>
      </x:c>
      <x:c r="M3" t="inlineStr">
        <x:is>
          <x:t xml:space="preserve">Agency</x:t>
        </x:is>
      </x:c>
      <x:c r="N3" t="inlineStr">
        <x:is>
          <x:t xml:space="preserve">Cạn năng lượng</x:t>
        </x:is>
      </x:c>
      <x:c r="O3" t="inlineStr">
        <x:is>
          <x:t xml:space="preserve">Ẩn dụ</x:t>
        </x:is>
      </x:c>
      <x:c r="P3" t="inlineStr">
        <x:is>
          <x:t xml:space="preserve">Thin</x:t>
        </x:is>
      </x:c>
    </x:row>
    <x:row r="4">
      <x:c r="A4" t="inlineStr">
        <x:is>
          <x:t xml:space="preserve">Uncertainty / Choice / Agency</x:t>
        </x:is>
      </x:c>
      <x:c r="B4" t="inlineStr">
        <x:is>
          <x:t xml:space="preserve">Permit</x:t>
        </x:is>
      </x:c>
      <x:c r="C4" t="inlineStr">
        <x:is>
          <x:t xml:space="preserve">Needs Verification</x:t>
        </x:is>
      </x:c>
      <x:c r="D4" t="inlineStr">
        <x:is>
          <x:t xml:space="preserve">C - Plausible / needs primary</x:t>
        </x:is>
      </x:c>
      <x:c r="E4" t="inlineStr">
        <x:is>
          <x:t xml:space="preserve">Permission needed</x:t>
        </x:is>
      </x:c>
      <x:c r="F4" t="inlineStr">
        <x:is>
          <x:t xml:space="preserve">Low</x:t>
        </x:is>
      </x:c>
      <x:c r="G4" t="inlineStr">
        <x:is>
          <x:t xml:space="preserve">Speech</x:t>
        </x:is>
      </x:c>
      <x:c r="H4" t="inlineStr">
        <x:is>
          <x:t xml:space="preserve">Published translation</x:t>
        </x:is>
      </x:c>
      <x:c r="I4" t="inlineStr">
        <x:is>
          <x:t xml:space="preserve">Historical episode</x:t>
        </x:is>
      </x:c>
      <x:c r="J4" t="inlineStr">
        <x:is>
          <x:t xml:space="preserve">Early Buddhism</x:t>
        </x:is>
      </x:c>
      <x:c r="K4" t="inlineStr">
        <x:is>
          <x:t xml:space="preserve">Blocked - source</x:t>
        </x:is>
      </x:c>
      <x:c r="L4" t="inlineStr">
        <x:is>
          <x:t xml:space="preserve">Công việc &amp; mục đích</x:t>
        </x:is>
      </x:c>
      <x:c r="M4" t="inlineStr">
        <x:is>
          <x:t xml:space="preserve">Attention</x:t>
        </x:is>
      </x:c>
      <x:c r="N4" t="inlineStr">
        <x:is>
          <x:t xml:space="preserve">Lo lắng</x:t>
        </x:is>
      </x:c>
      <x:c r="O4" t="inlineStr">
        <x:is>
          <x:t xml:space="preserve">Câu hỏi</x:t>
        </x:is>
      </x:c>
      <x:c r="P4" t="inlineStr">
        <x:is>
          <x:t xml:space="preserve">Covered</x:t>
        </x:is>
      </x:c>
    </x:row>
    <x:row r="5">
      <x:c r="A5" t="inlineStr">
        <x:is>
          <x:t xml:space="preserve">Comparison / External standards / Values</x:t>
        </x:is>
      </x:c>
      <x:c r="B5" t="inlineStr">
        <x:is>
          <x:t xml:space="preserve">Reframe</x:t>
        </x:is>
      </x:c>
      <x:c r="C5" t="inlineStr">
        <x:is>
          <x:t xml:space="preserve">Verified</x:t>
        </x:is>
      </x:c>
      <x:c r="D5" t="inlineStr">
        <x:is>
          <x:t xml:space="preserve">D - Disputed / internet-only</x:t>
        </x:is>
      </x:c>
      <x:c r="E5" t="inlineStr">
        <x:is>
          <x:t xml:space="preserve">Selflo owned</x:t>
        </x:is>
      </x:c>
      <x:c r="F5" t="inlineStr">
        <x:is>
          <x:t xml:space="preserve">Not reviewed</x:t>
        </x:is>
      </x:c>
      <x:c r="G5" t="inlineStr">
        <x:is>
          <x:t xml:space="preserve">Letter</x:t>
        </x:is>
      </x:c>
      <x:c r="H5" t="inlineStr">
        <x:is>
          <x:t xml:space="preserve">Paraphrase</x:t>
        </x:is>
      </x:c>
      <x:c r="I5" t="inlineStr">
        <x:is>
          <x:t xml:space="preserve">Biography episode</x:t>
        </x:is>
      </x:c>
      <x:c r="J5" t="inlineStr">
        <x:is>
          <x:t xml:space="preserve">Greek philosophy</x:t>
        </x:is>
      </x:c>
      <x:c r="K5" t="inlineStr">
        <x:is>
          <x:t xml:space="preserve">Blocked - rights</x:t>
        </x:is>
      </x:c>
      <x:c r="L5" t="inlineStr">
        <x:is>
          <x:t xml:space="preserve">Quan hệ</x:t>
        </x:is>
      </x:c>
      <x:c r="M5" t="inlineStr">
        <x:is>
          <x:t xml:space="preserve">Boundaries</x:t>
        </x:is>
      </x:c>
      <x:c r="N5" t="inlineStr">
        <x:is>
          <x:t xml:space="preserve">Sợ hãi</x:t>
        </x:is>
      </x:c>
      <x:c r="O5" t="inlineStr">
        <x:is>
          <x:t xml:space="preserve">Nghịch lý</x:t>
        </x:is>
      </x:c>
      <x:c r="P5" t="inlineStr">
        <x:is>
          <x:t xml:space="preserve">Rich</x:t>
        </x:is>
      </x:c>
    </x:row>
    <x:row r="6">
      <x:c r="A6" t="inlineStr">
        <x:is>
          <x:t xml:space="preserve">Attention / Noise / Deep focus</x:t>
        </x:is>
      </x:c>
      <x:c r="B6" t="inlineStr">
        <x:is>
          <x:t xml:space="preserve">Distinguish</x:t>
        </x:is>
      </x:c>
      <x:c r="C6" t="inlineStr">
        <x:is>
          <x:t xml:space="preserve">Needs Edit</x:t>
        </x:is>
      </x:c>
      <x:c r="D6" t="inlineStr">
        <x:is>
          <x:t xml:space="preserve">N/A - Selflo Original</x:t>
        </x:is>
      </x:c>
      <x:c r="E6" t="inlineStr">
        <x:is>
          <x:t xml:space="preserve">Unknown / verify</x:t>
        </x:is>
      </x:c>
      <x:c r="G6" t="inlineStr">
        <x:is>
          <x:t xml:space="preserve">Poem</x:t>
        </x:is>
      </x:c>
      <x:c r="H6" t="inlineStr">
        <x:is>
          <x:t xml:space="preserve">Proverb / traditional</x:t>
        </x:is>
      </x:c>
      <x:c r="I6" t="inlineStr">
        <x:is>
          <x:t xml:space="preserve">Research case</x:t>
        </x:is>
      </x:c>
      <x:c r="J6" t="inlineStr">
        <x:is>
          <x:t xml:space="preserve">Indian philosophy</x:t>
        </x:is>
      </x:c>
      <x:c r="K6" t="inlineStr">
        <x:is>
          <x:t xml:space="preserve">Blocked - story dependency</x:t>
        </x:is>
      </x:c>
      <x:c r="L6" t="inlineStr">
        <x:is>
          <x:t xml:space="preserve">Gia đình</x:t>
        </x:is>
      </x:c>
      <x:c r="M6" t="inlineStr">
        <x:is>
          <x:t xml:space="preserve">Change</x:t>
        </x:is>
      </x:c>
      <x:c r="N6" t="inlineStr">
        <x:is>
          <x:t xml:space="preserve">Bối rối</x:t>
        </x:is>
      </x:c>
      <x:c r="O6" t="inlineStr">
        <x:is>
          <x:t xml:space="preserve">Tục ngữ / ca dao / thành ngữ</x:t>
        </x:is>
      </x:c>
    </x:row>
    <x:row r="7">
      <x:c r="A7" t="inlineStr">
        <x:is>
          <x:t xml:space="preserve">Learning / Failure / Quiet growth</x:t>
        </x:is>
      </x:c>
      <x:c r="B7" t="inlineStr">
        <x:is>
          <x:t xml:space="preserve">Return agency</x:t>
        </x:is>
      </x:c>
      <x:c r="C7" t="inlineStr">
        <x:is>
          <x:t xml:space="preserve">Shortlisted</x:t>
        </x:is>
      </x:c>
      <x:c r="G7" t="inlineStr">
        <x:is>
          <x:t xml:space="preserve">Proverb</x:t>
        </x:is>
      </x:c>
      <x:c r="H7" t="inlineStr">
        <x:is>
          <x:t xml:space="preserve">Selflo Original - AI-assisted draft</x:t>
        </x:is>
      </x:c>
      <x:c r="I7" t="inlineStr">
        <x:is>
          <x:t xml:space="preserve">Journalism case</x:t>
        </x:is>
      </x:c>
      <x:c r="J7" t="inlineStr">
        <x:is>
          <x:t xml:space="preserve">Vietnamese wisdom</x:t>
        </x:is>
      </x:c>
      <x:c r="K7" t="inlineStr">
        <x:is>
          <x:t xml:space="preserve">Needs owner review</x:t>
        </x:is>
      </x:c>
      <x:c r="L7" t="inlineStr">
        <x:is>
          <x:t xml:space="preserve">Lựa chọn &amp; định hướng</x:t>
        </x:is>
      </x:c>
      <x:c r="M7" t="inlineStr">
        <x:is>
          <x:t xml:space="preserve">Choice</x:t>
        </x:is>
      </x:c>
      <x:c r="N7" t="inlineStr">
        <x:is>
          <x:t xml:space="preserve">Không chắc chắn</x:t>
        </x:is>
      </x:c>
      <x:c r="O7" t="inlineStr">
        <x:is>
          <x:t xml:space="preserve">Thơ / văn vần</x:t>
        </x:is>
      </x:c>
    </x:row>
    <x:row r="8">
      <x:c r="A8" t="inlineStr">
        <x:is>
          <x:t xml:space="preserve">Change / Impermanence / Recovery</x:t>
        </x:is>
      </x:c>
      <x:c r="C8" t="inlineStr">
        <x:is>
          <x:t xml:space="preserve">Release</x:t>
        </x:is>
      </x:c>
      <x:c r="G8" t="inlineStr">
        <x:is>
          <x:t xml:space="preserve">Folk tradition</x:t>
        </x:is>
      </x:c>
      <x:c r="H8" t="inlineStr">
        <x:is>
          <x:t xml:space="preserve">Selflo Original - owner edited</x:t>
        </x:is>
      </x:c>
      <x:c r="I8" t="inlineStr">
        <x:is>
          <x:t xml:space="preserve">Documented personal account</x:t>
        </x:is>
      </x:c>
      <x:c r="J8" t="inlineStr">
        <x:is>
          <x:t xml:space="preserve">Chinese classics</x:t>
        </x:is>
      </x:c>
      <x:c r="K8" t="inlineStr">
        <x:is>
          <x:t xml:space="preserve">Ready candidate</x:t>
        </x:is>
      </x:c>
      <x:c r="L8" t="inlineStr">
        <x:is>
          <x:t xml:space="preserve">Học hỏi &amp; phát triển</x:t>
        </x:is>
      </x:c>
      <x:c r="M8" t="inlineStr">
        <x:is>
          <x:t xml:space="preserve">Comparison</x:t>
        </x:is>
      </x:c>
      <x:c r="N8" t="inlineStr">
        <x:is>
          <x:t xml:space="preserve">Tội lỗi</x:t>
        </x:is>
      </x:c>
      <x:c r="O8" t="inlineStr">
        <x:is>
          <x:t xml:space="preserve">Đối thoại</x:t>
        </x:is>
      </x:c>
    </x:row>
    <x:row r="9">
      <x:c r="A9" t="inlineStr">
        <x:is>
          <x:t xml:space="preserve">Mixed emotions / Emotional memory</x:t>
        </x:is>
      </x:c>
      <x:c r="C9" t="inlineStr">
        <x:is>
          <x:t xml:space="preserve">Hold</x:t>
        </x:is>
      </x:c>
      <x:c r="G9" t="inlineStr">
        <x:is>
          <x:t xml:space="preserve">Parable</x:t>
        </x:is>
      </x:c>
      <x:c r="I9" t="inlineStr">
        <x:is>
          <x:t xml:space="preserve">Literary episode</x:t>
        </x:is>
      </x:c>
      <x:c r="J9" t="inlineStr">
        <x:is>
          <x:t xml:space="preserve">Japanese wisdom / Zen</x:t>
        </x:is>
      </x:c>
      <x:c r="K9" t="inlineStr">
        <x:is>
          <x:t xml:space="preserve">Released</x:t>
        </x:is>
      </x:c>
      <x:c r="L9" t="inlineStr">
        <x:is>
          <x:t xml:space="preserve">Nghỉ ngơi &amp; sức khỏe tinh thần</x:t>
        </x:is>
      </x:c>
      <x:c r="M9" t="inlineStr">
        <x:is>
          <x:t xml:space="preserve">Compassion</x:t>
        </x:is>
      </x:c>
      <x:c r="N9" t="inlineStr">
        <x:is>
          <x:t xml:space="preserve">Xấu hổ</x:t>
        </x:is>
      </x:c>
      <x:c r="O9" t="inlineStr">
        <x:is>
          <x:t xml:space="preserve">Trích đoạn triết học</x:t>
        </x:is>
      </x:c>
    </x:row>
    <x:row r="10">
      <x:c r="A10" t="inlineStr">
        <x:is>
          <x:t xml:space="preserve">Meaning / Identity / Work</x:t>
        </x:is>
      </x:c>
      <x:c r="C10" t="inlineStr">
        <x:is>
          <x:t xml:space="preserve">Rejected</x:t>
        </x:is>
      </x:c>
      <x:c r="G10" t="inlineStr">
        <x:is>
          <x:t xml:space="preserve">Historical case</x:t>
        </x:is>
      </x:c>
      <x:c r="J10" t="inlineStr">
        <x:is>
          <x:t xml:space="preserve">Persian</x:t>
        </x:is>
      </x:c>
      <x:c r="L10" t="inlineStr">
        <x:is>
          <x:t xml:space="preserve">Ý nghĩa &amp; bản sắc</x:t>
        </x:is>
      </x:c>
      <x:c r="M10" t="inlineStr">
        <x:is>
          <x:t xml:space="preserve">Control</x:t>
        </x:is>
      </x:c>
      <x:c r="N10" t="inlineStr">
        <x:is>
          <x:t xml:space="preserve">Tức giận</x:t>
        </x:is>
      </x:c>
      <x:c r="O10" t="inlineStr">
        <x:is>
          <x:t xml:space="preserve">Research-informed observation</x:t>
        </x:is>
      </x:c>
    </x:row>
    <x:row r="11">
      <x:c r="A11" t="inlineStr">
        <x:is>
          <x:t xml:space="preserve">AI-age Human Judgment</x:t>
        </x:is>
      </x:c>
      <x:c r="G11" t="inlineStr">
        <x:is>
          <x:t xml:space="preserve">Biography</x:t>
        </x:is>
      </x:c>
      <x:c r="J11" t="inlineStr">
        <x:is>
          <x:t xml:space="preserve">Middle Eastern / Arabic</x:t>
        </x:is>
      </x:c>
      <x:c r="L11" t="inlineStr">
        <x:is>
          <x:t xml:space="preserve">Thay đổi / mất mát / chuyển tiếp</x:t>
        </x:is>
      </x:c>
      <x:c r="M11" t="inlineStr">
        <x:is>
          <x:t xml:space="preserve">Enoughness</x:t>
        </x:is>
      </x:c>
      <x:c r="N11" t="inlineStr">
        <x:is>
          <x:t xml:space="preserve">Buồn</x:t>
        </x:is>
      </x:c>
      <x:c r="O11" t="inlineStr">
        <x:is>
          <x:t xml:space="preserve">Story-derived insight</x:t>
        </x:is>
      </x:c>
    </x:row>
    <x:row r="12">
      <x:c r="A12" t="inlineStr">
        <x:is>
          <x:t xml:space="preserve">Relationships / Boundaries / Connection</x:t>
        </x:is>
      </x:c>
      <x:c r="G12" t="inlineStr">
        <x:is>
          <x:t xml:space="preserve">Research paper</x:t>
        </x:is>
      </x:c>
      <x:c r="J12" t="inlineStr">
        <x:is>
          <x:t xml:space="preserve">African traditions</x:t>
        </x:is>
      </x:c>
      <x:c r="L12" t="inlineStr">
        <x:is>
          <x:t xml:space="preserve">Xã hội &amp; văn hóa</x:t>
        </x:is>
      </x:c>
      <x:c r="M12" t="inlineStr">
        <x:is>
          <x:t xml:space="preserve">Failure</x:t>
        </x:is>
      </x:c>
      <x:c r="N12" t="inlineStr">
        <x:is>
          <x:t xml:space="preserve">Cô đơn</x:t>
        </x:is>
      </x:c>
      <x:c r="O12" t="inlineStr">
        <x:is>
          <x:t xml:space="preserve">Traditional wisdom</x:t>
        </x:is>
      </x:c>
    </x:row>
    <x:row r="13">
      <x:c r="A13" t="inlineStr">
        <x:is>
          <x:t xml:space="preserve">Rest / Limits / Wellbeing</x:t>
        </x:is>
      </x:c>
      <x:c r="G13" t="inlineStr">
        <x:is>
          <x:t xml:space="preserve">Institutional source</x:t>
        </x:is>
      </x:c>
      <x:c r="J13" t="inlineStr">
        <x:is>
          <x:t xml:space="preserve">Jewish wisdom</x:t>
        </x:is>
      </x:c>
      <x:c r="L13" t="inlineStr">
        <x:is>
          <x:t xml:space="preserve">AI &amp; tương lai</x:t>
        </x:is>
      </x:c>
      <x:c r="M13" t="inlineStr">
        <x:is>
          <x:t xml:space="preserve">Fear</x:t>
        </x:is>
      </x:c>
      <x:c r="N13" t="inlineStr">
        <x:is>
          <x:t xml:space="preserve">Trống rỗng</x:t>
        </x:is>
      </x:c>
      <x:c r="O13" t="inlineStr">
        <x:is>
          <x:t xml:space="preserve">Selflo Original</x:t>
        </x:is>
      </x:c>
    </x:row>
    <x:row r="14">
      <x:c r="G14" t="inlineStr">
        <x:is>
          <x:t xml:space="preserve">Journalism</x:t>
        </x:is>
      </x:c>
      <x:c r="J14" t="inlineStr">
        <x:is>
          <x:t xml:space="preserve">European folk</x:t>
        </x:is>
      </x:c>
      <x:c r="M14" t="inlineStr">
        <x:is>
          <x:t xml:space="preserve">Grief</x:t>
        </x:is>
      </x:c>
      <x:c r="N14" t="inlineStr">
        <x:is>
          <x:t xml:space="preserve">Tê liệt</x:t>
        </x:is>
      </x:c>
    </x:row>
    <x:row r="15">
      <x:c r="G15" t="inlineStr">
        <x:is>
          <x:t xml:space="preserve">Secondary scholarship</x:t>
        </x:is>
      </x:c>
      <x:c r="J15" t="inlineStr">
        <x:is>
          <x:t xml:space="preserve">World literature</x:t>
        </x:is>
      </x:c>
      <x:c r="M15" t="inlineStr">
        <x:is>
          <x:t xml:space="preserve">Identity</x:t>
        </x:is>
      </x:c>
      <x:c r="N15" t="inlineStr">
        <x:is>
          <x:t xml:space="preserve">Tiếc nuối</x:t>
        </x:is>
      </x:c>
    </x:row>
    <x:row r="16">
      <x:c r="G16" t="inlineStr">
        <x:is>
          <x:t xml:space="preserve">Selflo Original</x:t>
        </x:is>
      </x:c>
      <x:c r="J16" t="inlineStr">
        <x:is>
          <x:t xml:space="preserve">Modern philosophy</x:t>
        </x:is>
      </x:c>
      <x:c r="M16" t="inlineStr">
        <x:is>
          <x:t xml:space="preserve">Impermanence</x:t>
        </x:is>
      </x:c>
      <x:c r="N16" t="inlineStr">
        <x:is>
          <x:t xml:space="preserve">Nhẹ nhõm</x:t>
        </x:is>
      </x:c>
    </x:row>
    <x:row r="17">
      <x:c r="J17" t="inlineStr">
        <x:is>
          <x:t xml:space="preserve">Psychology</x:t>
        </x:is>
      </x:c>
      <x:c r="M17" t="inlineStr">
        <x:is>
          <x:t xml:space="preserve">Judgment</x:t>
        </x:is>
      </x:c>
      <x:c r="N17" t="inlineStr">
        <x:is>
          <x:t xml:space="preserve">Hy vọng</x:t>
        </x:is>
      </x:c>
    </x:row>
    <x:row r="18">
      <x:c r="J18" t="inlineStr">
        <x:is>
          <x:t xml:space="preserve">Human sciences</x:t>
        </x:is>
      </x:c>
      <x:c r="M18" t="inlineStr">
        <x:is>
          <x:t xml:space="preserve">Meaning</x:t>
        </x:is>
      </x:c>
      <x:c r="N18" t="inlineStr">
        <x:is>
          <x:t xml:space="preserve">Biết ơn</x:t>
        </x:is>
      </x:c>
    </x:row>
    <x:row r="19">
      <x:c r="J19" t="inlineStr">
        <x:is>
          <x:t xml:space="preserve">Modern work</x:t>
        </x:is>
      </x:c>
      <x:c r="M19" t="inlineStr">
        <x:is>
          <x:t xml:space="preserve">Patience</x:t>
        </x:is>
      </x:c>
      <x:c r="N19" t="inlineStr">
        <x:is>
          <x:t xml:space="preserve">Áp lực</x:t>
        </x:is>
      </x:c>
    </x:row>
    <x:row r="20">
      <x:c r="J20" t="inlineStr">
        <x:is>
          <x:t xml:space="preserve">AI-era research</x:t>
        </x:is>
      </x:c>
      <x:c r="M20" t="inlineStr">
        <x:is>
          <x:t xml:space="preserve">Recovery</x:t>
        </x:is>
      </x:c>
      <x:c r="N20" t="inlineStr">
        <x:is>
          <x:t xml:space="preserve">Quá tải</x:t>
        </x:is>
      </x:c>
    </x:row>
    <x:row r="21">
      <x:c r="J21" t="inlineStr">
        <x:is>
          <x:t xml:space="preserve">Other</x:t>
        </x:is>
      </x:c>
      <x:c r="M21" t="inlineStr">
        <x:is>
          <x:t xml:space="preserve">Responsibility</x:t>
        </x:is>
      </x:c>
      <x:c r="N21" t="inlineStr">
        <x:is>
          <x:t xml:space="preserve">Bình yên</x:t>
        </x:is>
      </x:c>
    </x:row>
    <x:row r="22">
      <x:c r="M22" t="inlineStr">
        <x:is>
          <x:t xml:space="preserve">Rest</x:t>
        </x:is>
      </x:c>
      <x:c r="N22" t="inlineStr">
        <x:is>
          <x:t xml:space="preserve">Mixed / contradictory</x:t>
        </x:is>
      </x:c>
    </x:row>
    <x:row r="23">
      <x:c r="M23" t="inlineStr">
        <x:is>
          <x:t xml:space="preserve">Self-worth</x:t>
        </x:is>
      </x:c>
      <x:c r="N23" t="inlineStr">
        <x:is>
          <x:t xml:space="preserve">Lingering emotion</x:t>
        </x:is>
      </x:c>
    </x:row>
    <x:row r="24">
      <x:c r="M24" t="inlineStr">
        <x:is>
          <x:t xml:space="preserve">Simplicity</x:t>
        </x:is>
      </x:c>
      <x:c r="N24" t="inlineStr">
        <x:is>
          <x:t xml:space="preserve">Không gọi tên được</x:t>
        </x:is>
      </x:c>
    </x:row>
    <x:row r="25">
      <x:c r="M25" t="inlineStr">
        <x:is>
          <x:t xml:space="preserve">Trust</x:t>
        </x:is>
      </x:c>
    </x:row>
    <x:row r="26">
      <x:c r="M26" t="inlineStr">
        <x:is>
          <x:t xml:space="preserve">Uncertainty</x:t>
        </x:is>
      </x:c>
    </x:row>
    <x:row r="27">
      <x:c r="M27" t="inlineStr">
        <x:is>
          <x:t xml:space="preserve">Values</x:t>
        </x:is>
      </x:c>
    </x:row>
    <x:row r="28">
      <x:c r="M28" t="inlineStr">
        <x:is>
          <x:t xml:space="preserve">Connection</x:t>
        </x:is>
      </x:c>
    </x:row>
    <x:row r="29">
      <x:c r="M29" t="inlineStr">
        <x:is>
          <x:t xml:space="preserve">Learning</x:t>
        </x:is>
      </x:c>
    </x:row>
    <x:row r="30">
      <x:c r="M30" t="inlineStr">
        <x:is>
          <x:t xml:space="preserve">Hope</x:t>
        </x:is>
      </x:c>
    </x:row>
    <x:row r="31">
      <x:c r="M31" t="inlineStr">
        <x:is>
          <x:t xml:space="preserve">Mortality</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5" style="72" customWidth="1"/>
    <x:col min="2" max="2" width="100" style="72" customWidth="1"/>
    <x:col min="4" max="4" width="24" style="72" customWidth="1"/>
    <x:col min="5" max="5" width="22" style="72" customWidth="1"/>
    <x:col min="6" max="6" width="22" style="72" customWidth="1"/>
    <x:col min="7" max="7" width="22" style="72" customWidth="1"/>
    <x:col min="8" max="8" width="22" style="72" customWidth="1"/>
  </x:cols>
  <x:sheetData>
    <x:row r="1">
      <x:c r="A1" s="17" t="inlineStr">
        <x:is>
          <x:t xml:space="preserve">SELFLO — Wisdom, Quote &amp; Story Research Library</x:t>
        </x:is>
      </x:c>
      <x:c r="B1" s="1" t="n"/>
      <x:c r="C1" s="1" t="n"/>
      <x:c r="D1" s="1" t="n"/>
      <x:c r="E1" s="1" t="n"/>
      <x:c r="F1" s="1" t="n"/>
      <x:c r="G1" s="1" t="n"/>
      <x:c r="H1" s="1" t="n"/>
    </x:row>
    <x:row r="3">
      <x:c r="A3" s="77" t="inlineStr">
        <x:is>
          <x:t xml:space="preserve">Mục</x:t>
        </x:is>
      </x:c>
      <x:c r="B3" s="77" t="inlineStr">
        <x:is>
          <x:t xml:space="preserve">Giải thích</x:t>
        </x:is>
      </x:c>
      <x:c r="D3" s="65" t="inlineStr">
        <x:is>
          <x:t xml:space="preserve">V2 — CÁCH HIỂU TAXONOMY</x:t>
        </x:is>
      </x:c>
      <x:c r="E3" s="1" t="n"/>
      <x:c r="F3" s="1" t="n"/>
      <x:c r="G3" s="1" t="n"/>
      <x:c r="H3" s="1" t="n"/>
    </x:row>
    <x:row r="4">
      <x:c r="A4" s="81" t="inlineStr">
        <x:is>
          <x:t xml:space="preserve">Mục tiêu</x:t>
        </x:is>
      </x:c>
      <x:c r="B4" s="81" t="inlineStr">
        <x:is>
          <x:t xml:space="preserve">Xây kho nguyên liệu lớn cho Selflo trước khi curate Release. Thu thập rộng, xác minh nguồn, chuẩn hóa, phân loại; KHÔNG mặc định nội dung thu thập sẽ được Release.</x:t>
        </x:is>
      </x:c>
      <x:c r="D4" s="94" t="inlineStr">
        <x:is>
          <x:t xml:space="preserve">Life Area</x:t>
        </x:is>
      </x:c>
      <x:c r="E4" s="1" t="inlineStr">
        <x:is>
          <x:t xml:space="preserve">Vùng đời sống rộng: Công việc, Quan hệ, Nội tâm...</x:t>
        </x:is>
      </x:c>
      <x:c r="F4" s="1" t="n"/>
      <x:c r="G4" s="1" t="n"/>
      <x:c r="H4" s="1" t="n"/>
    </x:row>
    <x:row r="5">
      <x:c r="A5" s="81" t="inlineStr">
        <x:is>
          <x:t xml:space="preserve">Pipeline</x:t>
        </x:is>
      </x:c>
      <x:c r="B5" s="81" t="inlineStr">
        <x:is>
          <x:t xml:space="preserve">Collect → Verify &amp; Normalize → Classify → Selflo Fit Review → Release Curation → Story Selection/Adaptation.</x:t>
        </x:is>
      </x:c>
      <x:c r="D5" s="94" t="inlineStr">
        <x:is>
          <x:t xml:space="preserve">Human Experience</x:t>
        </x:is>
      </x:c>
      <x:c r="E5" s="1" t="inlineStr">
        <x:is>
          <x:t xml:space="preserve">Trải nghiệm cụ thể. Đây là đơn vị coverage chính.</x:t>
        </x:is>
      </x:c>
      <x:c r="F5" s="1" t="n"/>
      <x:c r="G5" s="1" t="n"/>
      <x:c r="H5" s="1" t="n"/>
    </x:row>
    <x:row r="6">
      <x:c r="A6" s="81" t="inlineStr">
        <x:is>
          <x:t xml:space="preserve">Ưu tiên nguồn</x:t>
        </x:is>
      </x:c>
      <x:c r="B6" s="81" t="inlineStr">
        <x:is>
          <x:t xml:space="preserve">Primary/authoritative source trước. Tránh Pinterest/quote-card/random quote aggregators nếu không truy được nguồn gốc.</x:t>
        </x:is>
      </x:c>
      <x:c r="D6" s="94" t="inlineStr">
        <x:is>
          <x:t xml:space="preserve">Theme</x:t>
        </x:is>
      </x:c>
      <x:c r="E6" s="1" t="inlineStr">
        <x:is>
          <x:t xml:space="preserve">Ý tưởng/khái niệm được content chạm tới.</x:t>
        </x:is>
      </x:c>
      <x:c r="F6" s="1" t="n"/>
      <x:c r="G6" s="1" t="n"/>
      <x:c r="H6" s="1" t="n"/>
    </x:row>
    <x:row r="7">
      <x:c r="A7" s="81" t="inlineStr">
        <x:is>
          <x:t xml:space="preserve">Quote hiện đại</x:t>
        </x:is>
      </x:c>
      <x:c r="B7" s="81" t="inlineStr">
        <x:is>
          <x:t xml:space="preserve">Đặc biệt kiểm tra fake attribution. Một câu hay nhưng nguồn yếu vẫn có thể giữ Research Pool với Verification C/D, không được tự động Release.</x:t>
        </x:is>
      </x:c>
      <x:c r="D7" s="94" t="inlineStr">
        <x:is>
          <x:t xml:space="preserve">Emotion / State</x:t>
        </x:is>
      </x:c>
      <x:c r="E7" s="1" t="inlineStr">
        <x:is>
          <x:t xml:space="preserve">Cảm xúc/trạng thái biên tập; không phải chẩn đoán.</x:t>
        </x:is>
      </x:c>
      <x:c r="F7" s="1" t="n"/>
      <x:c r="G7" s="1" t="n"/>
      <x:c r="H7" s="1" t="n"/>
    </x:row>
    <x:row r="8">
      <x:c r="A8" s="81" t="inlineStr">
        <x:is>
          <x:t xml:space="preserve">Selflo Original</x:t>
        </x:is>
      </x:c>
      <x:c r="B8" s="81" t="inlineStr">
        <x:is>
          <x:t xml:space="preserve">Chỉ tạo khi external source không phủ tốt. Phải ghi rõ Selflo Original / AI-assisted draft; không gán cho tác giả khác và không paraphrase để né copyright.</x:t>
        </x:is>
      </x:c>
      <x:c r="D8" s="94" t="inlineStr">
        <x:is>
          <x:t xml:space="preserve">Editorial Role</x:t>
        </x:is>
      </x:c>
      <x:c r="E8" s="1" t="inlineStr">
        <x:is>
          <x:t xml:space="preserve">Quote làm gì: nhận ra, gọi tên, cho phép, đổi góc nhìn, phân biệt, trả quyền lựa chọn.</x:t>
        </x:is>
      </x:c>
      <x:c r="F8" s="1" t="n"/>
      <x:c r="G8" s="1" t="n"/>
      <x:c r="H8" s="1" t="n"/>
    </x:row>
    <x:row r="9">
      <x:c r="A9" s="81" t="inlineStr">
        <x:is>
          <x:t xml:space="preserve">Story</x:t>
        </x:is>
      </x:c>
      <x:c r="B9" s="81" t="inlineStr">
        <x:is>
          <x:t xml:space="preserve">Chỉ lưu story/parables/historical/research/journalism có provenance rõ. Không tự bịa story để lấp coverage.</x:t>
        </x:is>
      </x:c>
      <x:c r="D9" s="94" t="inlineStr">
        <x:is>
          <x:t xml:space="preserve">Content Form</x:t>
        </x:is>
      </x:c>
      <x:c r="E9" s="1" t="inlineStr">
        <x:is>
          <x:t xml:space="preserve">Cách thể hiện: quan sát, ẩn dụ, câu hỏi, tục ngữ, thơ...</x:t>
        </x:is>
      </x:c>
      <x:c r="F9" s="1" t="n"/>
      <x:c r="G9" s="1" t="n"/>
      <x:c r="H9" s="1" t="n"/>
    </x:row>
    <x:row r="10">
      <x:c r="A10" s="81" t="inlineStr">
        <x:is>
          <x:t xml:space="preserve">Principle Library</x:t>
        </x:is>
      </x:c>
      <x:c r="B10" s="81" t="inlineStr">
        <x:is>
          <x:t xml:space="preserve">Lưu nguyên lý từ philosophy, psychology, human sciences và tài liệu AI. Principle là research seed; không mặc định là quote cho user.</x:t>
        </x:is>
      </x:c>
      <x:c r="D10" s="94" t="inlineStr">
        <x:is>
          <x:t xml:space="preserve">Principle</x:t>
        </x:is>
      </x:c>
      <x:c r="E10" s="1" t="inlineStr">
        <x:is>
          <x:t xml:space="preserve">Triết lý/research đứng phía sau.</x:t>
        </x:is>
      </x:c>
      <x:c r="F10" s="1" t="n"/>
      <x:c r="G10" s="1" t="n"/>
      <x:c r="H10" s="1" t="n"/>
    </x:row>
    <x:row r="11">
      <x:c r="A11" s="81" t="inlineStr">
        <x:is>
          <x:t xml:space="preserve">Coverage</x:t>
        </x:is>
      </x:c>
      <x:c r="B11" s="81" t="inlineStr">
        <x:is>
          <x:t xml:space="preserve">Theo dõi cả cluster và human experience. Mục tiêu 50 item/cluster là target research pool, không phải quota Release.</x:t>
        </x:is>
      </x:c>
      <x:c r="D11" s="94" t="inlineStr">
        <x:is>
          <x:t xml:space="preserve">Coverage</x:t>
        </x:is>
      </x:c>
      <x:c r="E11" s="1" t="inlineStr">
        <x:is>
          <x:t xml:space="preserve">Không phải chỉ đếm quote. Xem breadth + role diversity + source diversity + form diversity + quality.</x:t>
        </x:is>
      </x:c>
      <x:c r="F11" s="1" t="n"/>
      <x:c r="G11" s="1" t="n"/>
      <x:c r="H11" s="1" t="n"/>
    </x:row>
    <x:row r="12">
      <x:c r="A12" s="81" t="inlineStr">
        <x:is>
          <x:t xml:space="preserve">Editorial roles</x:t>
        </x:is>
      </x:c>
      <x:c r="B12" s="81" t="inlineStr">
        <x:is>
          <x:t xml:space="preserve">Recognize / Name / Permit / Reframe / Distinguish / Return agency. Một item có thể có Primary Role + Secondary Role.</x:t>
        </x:is>
      </x:c>
    </x:row>
    <x:row r="13">
      <x:c r="A13" s="81" t="inlineStr">
        <x:is>
          <x:t xml:space="preserve">Verification</x:t>
        </x:is>
      </x:c>
      <x:c r="B13" s="81" t="inlineStr">
        <x:is>
          <x:t xml:space="preserve">A = primary source; B = authoritative secondary; C = plausible nhưng chưa có primary; D = disputed/internet-only; N/A = Selflo Original.</x:t>
        </x:is>
      </x:c>
    </x:row>
    <x:row r="14">
      <x:c r="A14" s="81" t="inlineStr">
        <x:is>
          <x:t xml:space="preserve">Rights</x:t>
        </x:is>
      </x:c>
      <x:c r="B14" s="81" t="inlineStr">
        <x:is>
          <x:t xml:space="preserve">Tách quality khỏi rights. Nội dung copyrighted vẫn có thể lưu Research Pool nhưng phải đánh dấu research-only/permission needed.</x:t>
        </x:is>
      </x:c>
    </x:row>
    <x:row r="15">
      <x:c r="A15" s="81" t="inlineStr">
        <x:is>
          <x:t xml:space="preserve">Cách dùng với AI</x:t>
        </x:is>
      </x:c>
      <x:c r="B15" s="81" t="inlineStr">
        <x:is>
          <x:t xml:space="preserve">Chọn một dòng trong 90-Day Plan, giao AI thực hiện theo AI Collection Guide, sau đó nhập kết quả vào Quote/Story/Principle/Source Library và cập nhật Actual.</x:t>
        </x:is>
      </x:c>
    </x:row>
    <x:row r="16">
      <x:c r="A16" s="81" t="inlineStr">
        <x:is>
          <x:t xml:space="preserve">Quy tắc không bịa</x:t>
        </x:is>
      </x:c>
      <x:c r="B16" s="81" t="inlineStr">
        <x:is>
          <x:t xml:space="preserve">Nếu không tìm được source URL/work/chapter đáng tin: để trống hoặc đánh dấu Needs Verification. Không tự tạo URL, tác giả, tác phẩm, câu chuyện hay provenance.</x:t>
        </x:is>
      </x:c>
    </x:row>
    <x:row r="17">
      <x:c r="A17" s="81" t="n"/>
      <x:c r="B17" s="81" t="n"/>
    </x:row>
    <x:row r="18">
      <x:c r="A18" s="81" t="n"/>
      <x:c r="B18" s="81" t="n"/>
    </x:row>
    <x:row r="19">
      <x:c r="A19" s="81" t="n"/>
      <x:c r="B19" s="81" t="n"/>
    </x:row>
    <x:row r="20">
      <x:c r="A20" s="81" t="n"/>
      <x:c r="B20" s="81" t="n"/>
    </x:row>
    <x:row r="21">
      <x:c r="A21" s="81" t="n"/>
      <x:c r="B21" s="81" t="n"/>
    </x:row>
    <x:row r="22">
      <x:c r="A22" s="81" t="n"/>
      <x:c r="B22" s="81" t="n"/>
    </x:row>
    <x:row r="23">
      <x:c r="A23" s="81" t="n"/>
      <x:c r="B23" s="81" t="n"/>
    </x:row>
    <x:row r="24">
      <x:c r="A24" s="81" t="n"/>
      <x:c r="B24" s="81" t="n"/>
    </x:row>
    <x:row r="25">
      <x:c r="A25" s="81" t="n"/>
      <x:c r="B25" s="81" t="n"/>
    </x:row>
    <x:row r="26">
      <x:c r="A26" s="81" t="n"/>
      <x:c r="B26" s="81" t="n"/>
    </x:row>
    <x:row r="27">
      <x:c r="A27" s="81" t="n"/>
      <x:c r="B27" s="81" t="n"/>
    </x:row>
    <x:row r="28">
      <x:c r="A28" s="81" t="n"/>
      <x:c r="B28" s="81" t="n"/>
    </x:row>
    <x:row r="29">
      <x:c r="A29" s="81" t="n"/>
      <x:c r="B29" s="81" t="n"/>
    </x:row>
    <x:row r="30">
      <x:c r="A30" s="81" t="n"/>
      <x:c r="B30" s="81" t="n"/>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7" style="72" customWidth="1"/>
    <x:col min="2" max="2" width="26" style="72" customWidth="1"/>
    <x:col min="3" max="3" width="28" style="72" customWidth="1"/>
    <x:col min="4" max="4" width="42" style="72" customWidth="1"/>
    <x:col min="5" max="5" width="58" style="72" customWidth="1"/>
    <x:col min="6" max="6" width="12" style="72" customWidth="1"/>
    <x:col min="7" max="7" width="12" style="72" customWidth="1"/>
    <x:col min="8" max="8" width="14" style="72" customWidth="1"/>
    <x:col min="9" max="9" width="12" style="72" customWidth="1"/>
    <x:col min="10" max="10" width="12" style="72" customWidth="1"/>
    <x:col min="11" max="11" width="14" style="72" customWidth="1"/>
    <x:col min="12" max="12" width="15" style="72" customWidth="1"/>
    <x:col min="13" max="13" width="12" style="72" customWidth="1"/>
    <x:col min="14" max="14" width="36" style="72" customWidth="1"/>
  </x:cols>
  <x:sheetData>
    <x:row r="1">
      <x:c r="A1" s="77" t="inlineStr">
        <x:is>
          <x:t xml:space="preserve">Day</x:t>
        </x:is>
      </x:c>
      <x:c r="B1" s="77" t="inlineStr">
        <x:is>
          <x:t xml:space="preserve">Phase</x:t>
        </x:is>
      </x:c>
      <x:c r="C1" s="77" t="inlineStr">
        <x:is>
          <x:t xml:space="preserve">Collection Focus</x:t>
        </x:is>
      </x:c>
      <x:c r="D1" s="77" t="inlineStr">
        <x:is>
          <x:t xml:space="preserve">Primary Sources / Traditions</x:t>
        </x:is>
      </x:c>
      <x:c r="E1" s="77" t="inlineStr">
        <x:is>
          <x:t xml:space="preserve">What to Collect</x:t>
        </x:is>
      </x:c>
      <x:c r="F1" s="77" t="inlineStr">
        <x:is>
          <x:t xml:space="preserve">Quote Target</x:t>
        </x:is>
      </x:c>
      <x:c r="G1" s="77" t="inlineStr">
        <x:is>
          <x:t xml:space="preserve">Story Target</x:t>
        </x:is>
      </x:c>
      <x:c r="H1" s="77" t="inlineStr">
        <x:is>
          <x:t xml:space="preserve">Principle Target</x:t>
        </x:is>
      </x:c>
      <x:c r="I1" s="77" t="inlineStr">
        <x:is>
          <x:t xml:space="preserve">Quote Actual</x:t>
        </x:is>
      </x:c>
      <x:c r="J1" s="77" t="inlineStr">
        <x:is>
          <x:t xml:space="preserve">Story Actual</x:t>
        </x:is>
      </x:c>
      <x:c r="K1" s="77" t="inlineStr">
        <x:is>
          <x:t xml:space="preserve">Principle Actual</x:t>
        </x:is>
      </x:c>
      <x:c r="L1" s="77" t="inlineStr">
        <x:is>
          <x:t xml:space="preserve">Status</x:t>
        </x:is>
      </x:c>
      <x:c r="M1" s="77" t="inlineStr">
        <x:is>
          <x:t xml:space="preserve">Progress %</x:t>
        </x:is>
      </x:c>
      <x:c r="N1" s="77" t="inlineStr">
        <x:is>
          <x:t xml:space="preserve">Notes</x:t>
        </x:is>
      </x:c>
    </x:row>
    <x:row r="2">
      <x:c r="A2" s="81" t="n">
        <x:v>1</x:v>
      </x:c>
      <x:c r="B2" s="81" t="inlineStr">
        <x:is>
          <x:t xml:space="preserve">A. Ancient Foundations</x:t>
        </x:is>
      </x:c>
      <x:c r="C2" s="81" t="inlineStr">
        <x:is>
          <x:t xml:space="preserve">Laozi I</x:t>
        </x:is>
      </x:c>
      <x:c r="D2" s="81" t="inlineStr">
        <x:is>
          <x:t xml:space="preserve">Tao Te Ching ch. 1–20</x:t>
        </x:is>
      </x:c>
      <x:c r="E2" s="81" t="inlineStr">
        <x:is>
          <x:t xml:space="preserve">Passages on opposites, desire, knowing, simplicity; original Chinese + chapter + working VI</x:t>
        </x:is>
      </x:c>
      <x:c r="F2" s="81" t="n">
        <x:v>20</x:v>
      </x:c>
      <x:c r="G2" s="81" t="n">
        <x:v>1</x:v>
      </x:c>
      <x:c r="H2" s="81" t="n">
        <x:v>4</x:v>
      </x:c>
      <x:c r="I2" s="81" t="n">
        <x:v>63</x:v>
      </x:c>
      <x:c r="J2" s="81" t="n">
        <x:v>0</x:v>
      </x:c>
      <x:c r="K2" s="81" t="n">
        <x:v>10</x:v>
      </x:c>
      <x:c r="L2" s="81" t="inlineStr">
        <x:is>
          <x:t xml:space="preserve">Done</x:t>
        </x:is>
      </x:c>
      <x:c r="M2" s="102" t="n">
        <x:f>1</x:f>
        <x:v>1</x:v>
      </x:c>
      <x:c r="N2" s="81" t="inlineStr">
        <x:is>
          <x:t xml:space="preserve">FULL SCOPE AUDIT complete. 63 candidate passages; 0 true stories; 10 principle seeds. Original Classical Chinese retained; Vietnamese is working translation.</x:t>
        </x:is>
      </x:c>
    </x:row>
    <x:row r="3">
      <x:c r="A3" s="81" t="n">
        <x:v>2</x:v>
      </x:c>
      <x:c r="B3" s="81" t="inlineStr">
        <x:is>
          <x:t xml:space="preserve">A. Ancient Foundations</x:t>
        </x:is>
      </x:c>
      <x:c r="C3" s="81" t="inlineStr">
        <x:is>
          <x:t xml:space="preserve">Laozi II</x:t>
        </x:is>
      </x:c>
      <x:c r="D3" s="81" t="inlineStr">
        <x:is>
          <x:t xml:space="preserve">Tao Te Ching ch. 21–50</x:t>
        </x:is>
      </x:c>
      <x:c r="E3" s="81" t="inlineStr">
        <x:is>
          <x:t xml:space="preserve">Non-action, softness, enoughness, humility, change</x:t>
        </x:is>
      </x:c>
      <x:c r="F3" s="81" t="n">
        <x:v>20</x:v>
      </x:c>
      <x:c r="G3" s="81" t="n">
        <x:v>1</x:v>
      </x:c>
      <x:c r="H3" s="81" t="n">
        <x:v>4</x:v>
      </x:c>
      <x:c r="I3" s="81" t="n">
        <x:v>118</x:v>
      </x:c>
      <x:c r="J3" s="81" t="n">
        <x:v>0</x:v>
      </x:c>
      <x:c r="K3" s="81" t="n">
        <x:v>12</x:v>
      </x:c>
      <x:c r="L3" s="81" t="inlineStr">
        <x:is>
          <x:t xml:space="preserve">Done</x:t>
        </x:is>
      </x:c>
      <x:c r="M3" s="102" t="n">
        <x:v>1</x:v>
      </x:c>
      <x:c r="N3" s="81" t="inlineStr">
        <x:is>
          <x:t xml:space="preserve">FULL SCOPE AUDIT complete for Laozi chapters 21–50. 118 candidates; 0 true stories; 12 principle seeds. Original Chinese retained; Vietnamese is working translation.</x:t>
        </x:is>
      </x:c>
    </x:row>
    <x:row r="4">
      <x:c r="A4" s="81" t="n">
        <x:v>3</x:v>
      </x:c>
      <x:c r="B4" s="81" t="inlineStr">
        <x:is>
          <x:t xml:space="preserve">A. Ancient Foundations</x:t>
        </x:is>
      </x:c>
      <x:c r="C4" s="81" t="inlineStr">
        <x:is>
          <x:t xml:space="preserve">Laozi III</x:t>
        </x:is>
      </x:c>
      <x:c r="D4" s="81" t="inlineStr">
        <x:is>
          <x:t xml:space="preserve">Tao Te Ching ch. 51–81</x:t>
        </x:is>
      </x:c>
      <x:c r="E4" s="81" t="inlineStr">
        <x:is>
          <x:t xml:space="preserve">Loss/gain, control, contentment, strength/softness; deduplicate Laozi</x:t>
        </x:is>
      </x:c>
      <x:c r="F4" s="81" t="n">
        <x:v>20</x:v>
      </x:c>
      <x:c r="G4" s="81" t="n">
        <x:v>1</x:v>
      </x:c>
      <x:c r="H4" s="81" t="n">
        <x:v>4</x:v>
      </x:c>
      <x:c r="I4" s="81" t="n">
        <x:v>136</x:v>
      </x:c>
      <x:c r="J4" s="81" t="n">
        <x:v>0</x:v>
      </x:c>
      <x:c r="K4" s="81" t="n">
        <x:v>14</x:v>
      </x:c>
      <x:c r="L4" s="81" t="inlineStr">
        <x:is>
          <x:t xml:space="preserve">Done</x:t>
        </x:is>
      </x:c>
      <x:c r="M4" s="102" t="n">
        <x:v>1</x:v>
      </x:c>
      <x:c r="N4" s="81" t="inlineStr">
        <x:is>
          <x:t xml:space="preserve">FULL SCOPE AUDIT complete for Laozi chapters 51–81. 136 candidates; 0 true stories; 14 Day 3 principle seeds. Full Tao Te Ching 1–81 now has first-pass collection coverage.</x:t>
        </x:is>
      </x:c>
    </x:row>
    <x:row r="5">
      <x:c r="A5" s="81" t="n">
        <x:v>4</x:v>
      </x:c>
      <x:c r="B5" s="81" t="inlineStr">
        <x:is>
          <x:t xml:space="preserve">A. Ancient Foundations</x:t>
        </x:is>
      </x:c>
      <x:c r="C5" s="81" t="inlineStr">
        <x:is>
          <x:t xml:space="preserve">Zhuangzi</x:t>
        </x:is>
      </x:c>
      <x:c r="D5" s="81" t="inlineStr">
        <x:is>
          <x:t xml:space="preserve">Zhuangzi primary text</x:t>
        </x:is>
      </x:c>
      <x:c r="E5" s="81" t="inlineStr">
        <x:is>
          <x:t xml:space="preserve">Passages + parables: Butterfly Dream, Empty Boat, Useless Tree, Cook Ding, etc.</x:t>
        </x:is>
      </x:c>
      <x:c r="F5" s="81" t="n">
        <x:v>20</x:v>
      </x:c>
      <x:c r="G5" s="81" t="n">
        <x:v>7</x:v>
      </x:c>
      <x:c r="H5" s="81" t="n">
        <x:v>5</x:v>
      </x:c>
      <x:c r="I5" s="81" t="n">
        <x:v>60</x:v>
      </x:c>
      <x:c r="J5" s="81" t="n">
        <x:v>10</x:v>
      </x:c>
      <x:c r="K5" s="81" t="n">
        <x:v>14</x:v>
      </x:c>
      <x:c r="L5" s="81" t="inlineStr">
        <x:is>
          <x:t xml:space="preserve">Done</x:t>
        </x:is>
      </x:c>
      <x:c r="M5" s="102" t="n">
        <x:v>1</x:v>
      </x:c>
      <x:c r="N5" s="81" t="inlineStr">
        <x:is>
          <x:t xml:space="preserve">FULL SCOPE AUDIT complete for Zhuangzi Inner Chapters 1–7. 60 quote/passages; 10 sourced story candidates; 14 principle seeds. Original Classical Chinese retained; Vietnamese is Selflo working translation.</x:t>
        </x:is>
      </x:c>
    </x:row>
    <x:row r="6">
      <x:c r="A6" s="81" t="n">
        <x:v>5</x:v>
      </x:c>
      <x:c r="B6" s="81" t="inlineStr">
        <x:is>
          <x:t xml:space="preserve">A. Ancient Foundations</x:t>
        </x:is>
      </x:c>
      <x:c r="C6" s="81" t="inlineStr">
        <x:is>
          <x:t xml:space="preserve">Liezi</x:t>
        </x:is>
      </x:c>
      <x:c r="D6" s="81" t="inlineStr">
        <x:is>
          <x:t xml:space="preserve">Liezi</x:t>
        </x:is>
      </x:c>
      <x:c r="E6" s="81" t="inlineStr">
        <x:is>
          <x:t xml:space="preserve">Passages + traceable stories</x:t>
        </x:is>
      </x:c>
      <x:c r="F6" s="81" t="n">
        <x:v>20</x:v>
      </x:c>
      <x:c r="G6" s="81" t="n">
        <x:v>4</x:v>
      </x:c>
      <x:c r="H6" s="81" t="n">
        <x:v>4</x:v>
      </x:c>
      <x:c r="I6" s="81" t="n">
        <x:v>74</x:v>
      </x:c>
      <x:c r="J6" s="81" t="n">
        <x:v>9</x:v>
      </x:c>
      <x:c r="K6" s="81" t="n">
        <x:v>12</x:v>
      </x:c>
      <x:c r="L6" s="81" t="inlineStr">
        <x:is>
          <x:t xml:space="preserve">Done</x:t>
        </x:is>
      </x:c>
      <x:c r="M6" s="102" t="n">
        <x:v>1</x:v>
      </x:c>
      <x:c r="N6" s="81" t="inlineStr">
        <x:is>
          <x:t xml:space="preserve">FULL SCOPE first-pass audit complete for all 8 Liezi chapters. 74 quote/passages; 9 sourced story candidates; 12 principle seeds. Original Classical Chinese retained; Vietnamese is Selflo working translation. Received-text attribution/date flagged for review.</x:t>
        </x:is>
      </x:c>
    </x:row>
    <x:row r="7">
      <x:c r="A7" s="81" t="n">
        <x:v>6</x:v>
      </x:c>
      <x:c r="B7" s="81" t="inlineStr">
        <x:is>
          <x:t xml:space="preserve">A. Ancient Foundations</x:t>
        </x:is>
      </x:c>
      <x:c r="C7" s="81" t="inlineStr">
        <x:is>
          <x:t xml:space="preserve">Huainanzi</x:t>
        </x:is>
      </x:c>
      <x:c r="D7" s="81" t="inlineStr">
        <x:is>
          <x:t xml:space="preserve">Huainanzi</x:t>
        </x:is>
      </x:c>
      <x:c r="E7" s="81" t="inlineStr">
        <x:is>
          <x:t xml:space="preserve">Passages + parables including Sai Weng; change/judgment/fortune</x:t>
        </x:is>
      </x:c>
      <x:c r="F7" s="81" t="n">
        <x:v>20</x:v>
      </x:c>
      <x:c r="G7" s="81" t="n">
        <x:v>5</x:v>
      </x:c>
      <x:c r="H7" s="81" t="n">
        <x:v>4</x:v>
      </x:c>
      <x:c r="I7" s="81" t="n">
        <x:v>50</x:v>
      </x:c>
      <x:c r="J7" s="81" t="n">
        <x:v>6</x:v>
      </x:c>
      <x:c r="K7" s="81" t="n">
        <x:v>10</x:v>
      </x:c>
      <x:c r="L7" s="81" t="inlineStr">
        <x:is>
          <x:t xml:space="preserve">Done</x:t>
        </x:is>
      </x:c>
      <x:c r="M7" s="102" t="n">
        <x:v>1</x:v>
      </x:c>
      <x:c r="N7" s="81" t="inlineStr">
        <x:is>
          <x:t xml:space="preserve">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x:t>
        </x:is>
      </x:c>
    </x:row>
    <x:row r="8">
      <x:c r="A8" s="81" t="n">
        <x:v>7</x:v>
      </x:c>
      <x:c r="B8" s="81" t="inlineStr">
        <x:is>
          <x:t xml:space="preserve">A. Ancient Foundations</x:t>
        </x:is>
      </x:c>
      <x:c r="C8" s="81" t="inlineStr">
        <x:is>
          <x:t xml:space="preserve">Epictetus</x:t>
        </x:is>
      </x:c>
      <x:c r="D8" s="81" t="inlineStr">
        <x:is>
          <x:t xml:space="preserve">Enchiridion / Discourses</x:t>
        </x:is>
      </x:c>
      <x:c r="E8" s="81" t="inlineStr">
        <x:is>
          <x:t xml:space="preserve">Control, judgment, desire, externals, agency</x:t>
        </x:is>
      </x:c>
      <x:c r="F8" s="81" t="n">
        <x:v>22</x:v>
      </x:c>
      <x:c r="G8" s="81" t="n">
        <x:v>2</x:v>
      </x:c>
      <x:c r="H8" s="81" t="n">
        <x:v>4</x:v>
      </x:c>
      <x:c r="I8" s="81" t="n">
        <x:v>46</x:v>
      </x:c>
      <x:c r="J8" s="81" t="n">
        <x:v>5</x:v>
      </x:c>
      <x:c r="K8" s="81" t="n">
        <x:v>12</x:v>
      </x:c>
      <x:c r="L8" s="81" t="inlineStr">
        <x:is>
          <x:t xml:space="preserve">Done</x:t>
        </x:is>
      </x:c>
      <x:c r="M8" s="102" t="n">
        <x:v>1</x:v>
      </x:c>
      <x:c r="N8" s="81" t="inlineStr">
        <x:is>
          <x:t xml:space="preserve">FULL Day 7 first-pass collection complete. All 53 Enchiridion chapters + all 4 surviving Discourses books screened; 46 Selflo-relevant quote/passages materialized, 5 traceable teaching stories/metaphors, 12 principle seeds. Greek retained; VI is Selflo working translation. Not exhaustive extraction of every Discourses paragraph.</x:t>
        </x:is>
      </x:c>
    </x:row>
    <x:row r="9">
      <x:c r="A9" s="81" t="n">
        <x:v>8</x:v>
      </x:c>
      <x:c r="B9" s="81" t="inlineStr">
        <x:is>
          <x:t xml:space="preserve">A. Ancient Foundations</x:t>
        </x:is>
      </x:c>
      <x:c r="C9" s="81" t="inlineStr">
        <x:is>
          <x:t xml:space="preserve">Marcus Aurelius</x:t>
        </x:is>
      </x:c>
      <x:c r="D9" s="81" t="inlineStr">
        <x:is>
          <x:t xml:space="preserve">Meditations</x:t>
        </x:is>
      </x:c>
      <x:c r="E9" s="81" t="inlineStr">
        <x:is>
          <x:t xml:space="preserve">Time, judgment, change, mortality, social life</x:t>
        </x:is>
      </x:c>
      <x:c r="F9" s="81" t="n">
        <x:v>22</x:v>
      </x:c>
      <x:c r="G9" s="81" t="n">
        <x:v>1</x:v>
      </x:c>
      <x:c r="H9" s="81" t="n">
        <x:v>4</x:v>
      </x:c>
      <x:c r="I9" s="81" t="n">
        <x:v>47</x:v>
      </x:c>
      <x:c r="J9" s="81" t="n">
        <x:v>4</x:v>
      </x:c>
      <x:c r="K9" s="81" t="n">
        <x:v>12</x:v>
      </x:c>
      <x:c r="L9" s="81" t="inlineStr">
        <x:is>
          <x:t xml:space="preserve">Done</x:t>
        </x:is>
      </x:c>
      <x:c r="M9" s="102" t="n">
        <x:v>1</x:v>
      </x:c>
      <x:c r="N9" s="81" t="inlineStr">
        <x:is>
          <x:t xml:space="preserve">FULL Day 8 first-pass collection complete. All 12 books of Marcus Aurelius' Meditations screened; 47 Selflo-relevant Greek quote/passages materialized, 4 traceable meditative scenes/images, 12 principle seeds. Greek retained; VI is Selflo working translation. Meditations is not treated as a story collection; no invented biography added.</x:t>
        </x:is>
      </x:c>
    </x:row>
    <x:row r="10">
      <x:c r="A10" s="81" t="n">
        <x:v>9</x:v>
      </x:c>
      <x:c r="B10" s="81" t="inlineStr">
        <x:is>
          <x:t xml:space="preserve">A. Ancient Foundations</x:t>
        </x:is>
      </x:c>
      <x:c r="C10" s="81" t="inlineStr">
        <x:is>
          <x:t xml:space="preserve">Seneca</x:t>
        </x:is>
      </x:c>
      <x:c r="D10" s="81" t="inlineStr">
        <x:is>
          <x:t xml:space="preserve">Letters / Essays</x:t>
        </x:is>
      </x:c>
      <x:c r="E10" s="81" t="inlineStr">
        <x:is>
          <x:t xml:space="preserve">Time, adversity, wealth, anger, friendship, mortality</x:t>
        </x:is>
      </x:c>
      <x:c r="F10" s="81" t="n">
        <x:v>22</x:v>
      </x:c>
      <x:c r="G10" s="81" t="n">
        <x:v>2</x:v>
      </x:c>
      <x:c r="H10" s="81" t="n">
        <x:v>4</x:v>
      </x:c>
      <x:c r="I10" s="81" t="n">
        <x:v>61</x:v>
      </x:c>
      <x:c r="J10" s="81" t="n">
        <x:v>6</x:v>
      </x:c>
      <x:c r="K10" s="81" t="n">
        <x:v>12</x:v>
      </x:c>
      <x:c r="L10" s="81" t="inlineStr">
        <x:is>
          <x:t xml:space="preserve">Done</x:t>
        </x:is>
      </x:c>
      <x:c r="M10" s="102" t="n">
        <x:v>1</x:v>
      </x:c>
      <x:c r="N10" s="81" t="inlineStr">
        <x:is>
          <x:t xml:space="preserve">FULL Day 9 Seneca completed: 61 quote/passages, 6 traceable textual scenes, 12 principle seeds. Primary Latin prioritized; Vietnamese is Selflo working translation. No invented stories.</x:t>
        </x:is>
      </x:c>
    </x:row>
    <x:row r="11">
      <x:c r="A11" s="81" t="n">
        <x:v>10</x:v>
      </x:c>
      <x:c r="B11" s="81" t="inlineStr">
        <x:is>
          <x:t xml:space="preserve">A. Ancient Foundations</x:t>
        </x:is>
      </x:c>
      <x:c r="C11" s="81" t="inlineStr">
        <x:is>
          <x:t xml:space="preserve">Musonius Rufus + Stoic fragments</x:t>
        </x:is>
      </x:c>
      <x:c r="D11" s="81" t="inlineStr">
        <x:is>
          <x:t xml:space="preserve">Lectures / fragments</x:t>
        </x:is>
      </x:c>
      <x:c r="E11" s="81" t="inlineStr">
        <x:is>
          <x:t xml:space="preserve">Practice, simplicity, character; disputed attribution review</x:t>
        </x:is>
      </x:c>
      <x:c r="F11" s="81" t="n">
        <x:v>18</x:v>
      </x:c>
      <x:c r="G11" s="81" t="n">
        <x:v>1</x:v>
      </x:c>
      <x:c r="H11" s="81" t="n">
        <x:v>3</x:v>
      </x:c>
      <x:c r="I11" s="81" t="n">
        <x:v>38</x:v>
      </x:c>
      <x:c r="J11" s="81" t="n">
        <x:v>5</x:v>
      </x:c>
      <x:c r="K11" s="81" t="n">
        <x:v>12</x:v>
      </x:c>
      <x:c r="L11" s="81" t="inlineStr">
        <x:is>
          <x:t xml:space="preserve">Done</x:t>
        </x:is>
      </x:c>
      <x:c r="M11" s="102" t="n">
        <x:v>1</x:v>
      </x:c>
      <x:c r="N11" s="81" t="inlineStr">
        <x:is>
          <x:t xml:space="preserve">FULL Day 10 Musonius Rufus completed: all 21 discourse topics + fragment tradition screened first-pass; 38 source-anchored paraphrase candidates, 5 traceable scenes/testimonia, 12 principle seeds. Original Greek deliberately NOT invented; passage-level Hense verification required before Release.</x:t>
        </x:is>
      </x:c>
    </x:row>
    <x:row r="12">
      <x:c r="A12" s="81" t="n">
        <x:v>11</x:v>
      </x:c>
      <x:c r="B12" s="81" t="inlineStr">
        <x:is>
          <x:t xml:space="preserve">A. Ancient Foundations</x:t>
        </x:is>
      </x:c>
      <x:c r="C12" s="81" t="inlineStr">
        <x:is>
          <x:t xml:space="preserve">Dhammapada</x:t>
        </x:is>
      </x:c>
      <x:c r="D12" s="81" t="inlineStr">
        <x:is>
          <x:t xml:space="preserve">Dhammapada</x:t>
        </x:is>
      </x:c>
      <x:c r="E12" s="81" t="inlineStr">
        <x:is>
          <x:t xml:space="preserve">Mind, attention, impermanence, conduct, suffering</x:t>
        </x:is>
      </x:c>
      <x:c r="F12" s="81" t="n">
        <x:v>22</x:v>
      </x:c>
      <x:c r="G12" s="81" t="n">
        <x:v>1</x:v>
      </x:c>
      <x:c r="H12" s="81" t="n">
        <x:v>4</x:v>
      </x:c>
      <x:c r="I12" s="81" t="n">
        <x:v>49</x:v>
      </x:c>
      <x:c r="J12" s="81" t="n">
        <x:v>6</x:v>
      </x:c>
      <x:c r="K12" s="81" t="n">
        <x:v>12</x:v>
      </x:c>
      <x:c r="L12" s="81" t="inlineStr">
        <x:is>
          <x:t xml:space="preserve">Done</x:t>
        </x:is>
      </x:c>
      <x:c r="M12" s="102" t="n">
        <x:v>1</x:v>
      </x:c>
      <x:c r="N12" s="81" t="inlineStr">
        <x:is>
          <x:t xml:space="preserve">FULL Day 11 Dhammapada: all 26 chapters / 423 verses screened thematically; 49 source-verified Pāḷi candidates retained, 6 traceable teaching images/commentarial stories, 12 Selflo principle seeds. Commentary stories kept distinct from canonical verses.</x:t>
        </x:is>
      </x:c>
    </x:row>
    <x:row r="13">
      <x:c r="A13" s="81" t="n">
        <x:v>12</x:v>
      </x:c>
      <x:c r="B13" s="81" t="inlineStr">
        <x:is>
          <x:t xml:space="preserve">A. Ancient Foundations</x:t>
        </x:is>
      </x:c>
      <x:c r="C13" s="81" t="inlineStr">
        <x:is>
          <x:t xml:space="preserve">Majjhima Nikaya</x:t>
        </x:is>
      </x:c>
      <x:c r="D13" s="81" t="inlineStr">
        <x:is>
          <x:t xml:space="preserve">Selected suttas</x:t>
        </x:is>
      </x:c>
      <x:c r="E13" s="81" t="inlineStr">
        <x:is>
          <x:t xml:space="preserve">Passages + metaphors/parables such as raft where sourced</x:t>
        </x:is>
      </x:c>
      <x:c r="F13" s="81" t="n">
        <x:v>18</x:v>
      </x:c>
      <x:c r="G13" s="81" t="n">
        <x:v>4</x:v>
      </x:c>
      <x:c r="H13" s="81" t="n">
        <x:v>4</x:v>
      </x:c>
      <x:c r="I13" s="81" t="n">
        <x:v>30</x:v>
      </x:c>
      <x:c r="J13" s="81" t="n">
        <x:v>7</x:v>
      </x:c>
      <x:c r="K13" s="81" t="n">
        <x:v>13</x:v>
      </x:c>
      <x:c r="L13" s="81" t="inlineStr">
        <x:is>
          <x:t xml:space="preserve">Done</x:t>
        </x:is>
      </x:c>
      <x:c r="M13" s="102" t="n">
        <x:v>1</x:v>
      </x:c>
      <x:c r="N13" s="81" t="inlineStr">
        <x:is>
          <x:t xml:space="preserve">FULL Day 12 Majjhima Nikāya selected-sutta scope completed: 30 quote/passage candidates, 7 canonical simile/story candidates, 13 Selflo principle seeds. Exact Pāḷi retained only where passage-level verified; other rows explicitly marked research paraphrase. No invented stories.</x:t>
        </x:is>
      </x:c>
    </x:row>
    <x:row r="14">
      <x:c r="A14" s="81" t="n">
        <x:v>13</x:v>
      </x:c>
      <x:c r="B14" s="81" t="inlineStr">
        <x:is>
          <x:t xml:space="preserve">A. Ancient Foundations</x:t>
        </x:is>
      </x:c>
      <x:c r="C14" s="81" t="inlineStr">
        <x:is>
          <x:t xml:space="preserve">Samyutta / Anguttara Nikaya</x:t>
        </x:is>
      </x:c>
      <x:c r="D14" s="81" t="inlineStr">
        <x:is>
          <x:t xml:space="preserve">Selected suttas</x:t>
        </x:is>
      </x:c>
      <x:c r="E14" s="81" t="inlineStr">
        <x:is>
          <x:t xml:space="preserve">Impermanence, attachment, perception, compassion, attention</x:t>
        </x:is>
      </x:c>
      <x:c r="F14" s="81" t="n">
        <x:v>20</x:v>
      </x:c>
      <x:c r="G14" s="81" t="n">
        <x:v>3</x:v>
      </x:c>
      <x:c r="H14" s="81" t="n">
        <x:v>4</x:v>
      </x:c>
      <x:c r="I14" s="81" t="n">
        <x:v>34</x:v>
      </x:c>
      <x:c r="J14" s="81" t="n">
        <x:v>6</x:v>
      </x:c>
      <x:c r="K14" s="81" t="n">
        <x:v>13</x:v>
      </x:c>
      <x:c r="L14" s="81" t="inlineStr">
        <x:is>
          <x:t xml:space="preserve">Done</x:t>
        </x:is>
      </x:c>
      <x:c r="M14" s="102" t="n">
        <x:v>1</x:v>
      </x:c>
      <x:c r="N14" s="81" t="inlineStr">
        <x:is>
          <x:t xml:space="preserve">FULL Day 13 selected SN/AN scope completed: 34 source-anchored research quote/passages, 6 canonical simile/story candidates, 13 Selflo principle seeds. Focus: impermanence, attachment, perception, compassion, attention + strong judgment/AI-age material. Exact Pāli not fabricated; direct-quote release requires passage-level verification.</x:t>
        </x:is>
      </x:c>
    </x:row>
    <x:row r="15">
      <x:c r="A15" s="81" t="n">
        <x:v>14</x:v>
      </x:c>
      <x:c r="B15" s="81" t="inlineStr">
        <x:is>
          <x:t xml:space="preserve">A. Ancient Foundations</x:t>
        </x:is>
      </x:c>
      <x:c r="C15" s="81" t="inlineStr">
        <x:is>
          <x:t xml:space="preserve">Early Buddhist parables</x:t>
        </x:is>
      </x:c>
      <x:c r="D15" s="81" t="inlineStr">
        <x:is>
          <x:t xml:space="preserve">Early canonical / reputable collections</x:t>
        </x:is>
      </x:c>
      <x:c r="E15" s="81" t="inlineStr">
        <x:is>
          <x:t xml:space="preserve">Traceable parables and metaphors; provenance first</x:t>
        </x:is>
      </x:c>
      <x:c r="F15" s="81" t="n">
        <x:v>16</x:v>
      </x:c>
      <x:c r="G15" s="81" t="n">
        <x:v>7</x:v>
      </x:c>
      <x:c r="H15" s="81" t="n">
        <x:v>4</x:v>
      </x:c>
      <x:c r="I15" s="81" t="n">
        <x:v>24</x:v>
      </x:c>
      <x:c r="J15" s="81" t="n">
        <x:v>12</x:v>
      </x:c>
      <x:c r="K15" s="81" t="n">
        <x:v>10</x:v>
      </x:c>
      <x:c r="L15" s="81" t="str">
        <x:v>Done</x:v>
      </x:c>
      <x:c r="M15" s="102" t="n">
        <x:v>1</x:v>
      </x:c>
      <x:c r="N15" s="81" t="str">
        <x:v>FULL Day 14 provenance-first early Buddhist parables completed: 24 source-anchored research passages, 12 canonical parable/simile candidates, 10 Selflo principle seeds. Canonical source layer kept distinct; no Jātaka/commentary story silently promoted to canonical. Exact Pāḷi not fabricated; direct-quote Release requires passage-level original verification.</x:v>
      </x:c>
    </x:row>
    <x:row r="16">
      <x:c r="A16" s="81" t="n">
        <x:v>15</x:v>
      </x:c>
      <x:c r="B16" s="81" t="inlineStr">
        <x:is>
          <x:t xml:space="preserve">A. Ancient Foundations</x:t>
        </x:is>
      </x:c>
      <x:c r="C16" s="81" t="inlineStr">
        <x:is>
          <x:t xml:space="preserve">Socrates / Plato</x:t>
        </x:is>
      </x:c>
      <x:c r="D16" s="81" t="inlineStr">
        <x:is>
          <x:t xml:space="preserve">Plato dialogues</x:t>
        </x:is>
      </x:c>
      <x:c r="E16" s="81" t="inlineStr">
        <x:is>
          <x:t xml:space="preserve">Knowing/not knowing, virtue, examined life, friendship</x:t>
        </x:is>
      </x:c>
      <x:c r="F16" s="81" t="n">
        <x:v>20</x:v>
      </x:c>
      <x:c r="G16" s="81" t="n">
        <x:v>1</x:v>
      </x:c>
      <x:c r="H16" s="81" t="n">
        <x:v>4</x:v>
      </x:c>
      <x:c r="I16" s="81" t="str"/>
      <x:c r="J16" s="81" t="str"/>
      <x:c r="K16" s="81" t="str"/>
      <x:c r="L16" s="81" t="inlineStr">
        <x:is>
          <x:t xml:space="preserve">Planned</x:t>
        </x:is>
      </x:c>
      <x:c r="M16" s="102" t="n">
        <x:f>IFERROR((I16+J16+K16)/(F16+G16+H16),0)</x:f>
        <x:v>0</x:v>
      </x:c>
      <x:c r="N16" s="81" t="str"/>
    </x:row>
    <x:row r="17">
      <x:c r="A17" s="81" t="n">
        <x:v>16</x:v>
      </x:c>
      <x:c r="B17" s="81" t="inlineStr">
        <x:is>
          <x:t xml:space="preserve">A. Ancient Foundations</x:t>
        </x:is>
      </x:c>
      <x:c r="C17" s="81" t="inlineStr">
        <x:is>
          <x:t xml:space="preserve">Aristotle</x:t>
        </x:is>
      </x:c>
      <x:c r="D17" s="81" t="inlineStr">
        <x:is>
          <x:t xml:space="preserve">Nicomachean Ethics + selected works</x:t>
        </x:is>
      </x:c>
      <x:c r="E17" s="81" t="inlineStr">
        <x:is>
          <x:t xml:space="preserve">Flourishing, habit, friendship, virtue, choice</x:t>
        </x:is>
      </x:c>
      <x:c r="F17" s="81" t="n">
        <x:v>20</x:v>
      </x:c>
      <x:c r="G17" s="81" t="n">
        <x:v>1</x:v>
      </x:c>
      <x:c r="H17" s="81" t="n">
        <x:v>4</x:v>
      </x:c>
      <x:c r="I17" s="81" t="str"/>
      <x:c r="J17" s="81" t="str"/>
      <x:c r="K17" s="81" t="str"/>
      <x:c r="L17" s="81" t="inlineStr">
        <x:is>
          <x:t xml:space="preserve">Planned</x:t>
        </x:is>
      </x:c>
      <x:c r="M17" s="102" t="n">
        <x:f>IFERROR((I17+J17+K17)/(F17+G17+H17),0)</x:f>
        <x:v>0</x:v>
      </x:c>
      <x:c r="N17" s="81" t="str"/>
    </x:row>
    <x:row r="18">
      <x:c r="A18" s="81" t="n">
        <x:v>17</x:v>
      </x:c>
      <x:c r="B18" s="81" t="inlineStr">
        <x:is>
          <x:t xml:space="preserve">A. Ancient Foundations</x:t>
        </x:is>
      </x:c>
      <x:c r="C18" s="81" t="inlineStr">
        <x:is>
          <x:t xml:space="preserve">Epicurus</x:t>
        </x:is>
      </x:c>
      <x:c r="D18" s="81" t="inlineStr">
        <x:is>
          <x:t xml:space="preserve">Letters / Principal Doctrines / fragments</x:t>
        </x:is>
      </x:c>
      <x:c r="E18" s="81" t="inlineStr">
        <x:is>
          <x:t xml:space="preserve">Desire, enoughness, friendship, mortality</x:t>
        </x:is>
      </x:c>
      <x:c r="F18" s="81" t="n">
        <x:v>20</x:v>
      </x:c>
      <x:c r="G18" s="81" t="n">
        <x:v>1</x:v>
      </x:c>
      <x:c r="H18" s="81" t="n">
        <x:v>4</x:v>
      </x:c>
      <x:c r="I18" s="81" t="str"/>
      <x:c r="J18" s="81" t="str"/>
      <x:c r="K18" s="81" t="str"/>
      <x:c r="L18" s="81" t="inlineStr">
        <x:is>
          <x:t xml:space="preserve">Planned</x:t>
        </x:is>
      </x:c>
      <x:c r="M18" s="102" t="n">
        <x:f>IFERROR((I18+J18+K18)/(F18+G18+H18),0)</x:f>
        <x:v>0</x:v>
      </x:c>
      <x:c r="N18" s="81" t="str"/>
    </x:row>
    <x:row r="19">
      <x:c r="A19" s="81" t="n">
        <x:v>18</x:v>
      </x:c>
      <x:c r="B19" s="81" t="inlineStr">
        <x:is>
          <x:t xml:space="preserve">A. Ancient Foundations</x:t>
        </x:is>
      </x:c>
      <x:c r="C19" s="81" t="inlineStr">
        <x:is>
          <x:t xml:space="preserve">Bhagavad Gita</x:t>
        </x:is>
      </x:c>
      <x:c r="D19" s="81" t="inlineStr">
        <x:is>
          <x:t xml:space="preserve">Bhagavad Gita</x:t>
        </x:is>
      </x:c>
      <x:c r="E19" s="81" t="inlineStr">
        <x:is>
          <x:t xml:space="preserve">Action, attachment, duty, equanimity; retain original location</x:t>
        </x:is>
      </x:c>
      <x:c r="F19" s="81" t="n">
        <x:v>20</x:v>
      </x:c>
      <x:c r="G19" s="81" t="n">
        <x:v>1</x:v>
      </x:c>
      <x:c r="H19" s="81" t="n">
        <x:v>4</x:v>
      </x:c>
      <x:c r="I19" s="81" t="str"/>
      <x:c r="J19" s="81" t="str"/>
      <x:c r="K19" s="81" t="str"/>
      <x:c r="L19" s="81" t="inlineStr">
        <x:is>
          <x:t xml:space="preserve">Planned</x:t>
        </x:is>
      </x:c>
      <x:c r="M19" s="102" t="n">
        <x:f>IFERROR((I19+J19+K19)/(F19+G19+H19),0)</x:f>
        <x:v>0</x:v>
      </x:c>
      <x:c r="N19" s="81" t="str"/>
    </x:row>
    <x:row r="20">
      <x:c r="A20" s="81" t="n">
        <x:v>19</x:v>
      </x:c>
      <x:c r="B20" s="81" t="inlineStr">
        <x:is>
          <x:t xml:space="preserve">A. Ancient Foundations</x:t>
        </x:is>
      </x:c>
      <x:c r="C20" s="81" t="inlineStr">
        <x:is>
          <x:t xml:space="preserve">Upanishads</x:t>
        </x:is>
      </x:c>
      <x:c r="D20" s="81" t="inlineStr">
        <x:is>
          <x:t xml:space="preserve">Selected Upanishads</x:t>
        </x:is>
      </x:c>
      <x:c r="E20" s="81" t="inlineStr">
        <x:is>
          <x:t xml:space="preserve">Self, change, knowledge, mortality; careful translation provenance</x:t>
        </x:is>
      </x:c>
      <x:c r="F20" s="81" t="n">
        <x:v>20</x:v>
      </x:c>
      <x:c r="G20" s="81" t="n">
        <x:v>1</x:v>
      </x:c>
      <x:c r="H20" s="81" t="n">
        <x:v>4</x:v>
      </x:c>
      <x:c r="I20" s="81" t="str"/>
      <x:c r="J20" s="81" t="str"/>
      <x:c r="K20" s="81" t="str"/>
      <x:c r="L20" s="81" t="inlineStr">
        <x:is>
          <x:t xml:space="preserve">Planned</x:t>
        </x:is>
      </x:c>
      <x:c r="M20" s="102" t="n">
        <x:f>IFERROR((I20+J20+K20)/(F20+G20+H20),0)</x:f>
        <x:v>0</x:v>
      </x:c>
      <x:c r="N20" s="81" t="str"/>
    </x:row>
    <x:row r="21">
      <x:c r="A21" s="81" t="n">
        <x:v>20</x:v>
      </x:c>
      <x:c r="B21" s="81" t="inlineStr">
        <x:is>
          <x:t xml:space="preserve">A. Ancient Foundations</x:t>
        </x:is>
      </x:c>
      <x:c r="C21" s="81" t="inlineStr">
        <x:is>
          <x:t xml:space="preserve">Panchatantra</x:t>
        </x:is>
      </x:c>
      <x:c r="D21" s="81" t="inlineStr">
        <x:is>
          <x:t xml:space="preserve">Panchatantra</x:t>
        </x:is>
      </x:c>
      <x:c r="E21" s="81" t="inlineStr">
        <x:is>
          <x:t xml:space="preserve">Wisdom passages + traceable animal/human stories</x:t>
        </x:is>
      </x:c>
      <x:c r="F21" s="81" t="n">
        <x:v>18</x:v>
      </x:c>
      <x:c r="G21" s="81" t="n">
        <x:v>7</x:v>
      </x:c>
      <x:c r="H21" s="81" t="n">
        <x:v>4</x:v>
      </x:c>
      <x:c r="I21" s="81" t="str"/>
      <x:c r="J21" s="81" t="str"/>
      <x:c r="K21" s="81" t="str"/>
      <x:c r="L21" s="81" t="inlineStr">
        <x:is>
          <x:t xml:space="preserve">Planned</x:t>
        </x:is>
      </x:c>
      <x:c r="M21" s="102" t="n">
        <x:f>IFERROR((I21+J21+K21)/(F21+G21+H21),0)</x:f>
        <x:v>0</x:v>
      </x:c>
      <x:c r="N21" s="81" t="str"/>
    </x:row>
    <x:row r="22">
      <x:c r="A22" s="81" t="n">
        <x:v>21</x:v>
      </x:c>
      <x:c r="B22" s="81" t="inlineStr">
        <x:is>
          <x:t xml:space="preserve">B. World Wisdom</x:t>
        </x:is>
      </x:c>
      <x:c r="C22" s="81" t="inlineStr">
        <x:is>
          <x:t xml:space="preserve">Vietnamese ca dao</x:t>
        </x:is>
      </x:c>
      <x:c r="D22" s="81" t="inlineStr">
        <x:is>
          <x:t xml:space="preserve">Authoritative Vietnamese collections</x:t>
        </x:is>
      </x:c>
      <x:c r="E22" s="81" t="inlineStr">
        <x:is>
          <x:t xml:space="preserve">Ca dao on life, family, work, endurance, relationships</x:t>
        </x:is>
      </x:c>
      <x:c r="F22" s="81" t="n">
        <x:v>25</x:v>
      </x:c>
      <x:c r="G22" s="81" t="n">
        <x:v>2</x:v>
      </x:c>
      <x:c r="H22" s="81" t="n">
        <x:v>2</x:v>
      </x:c>
      <x:c r="I22" s="81" t="str"/>
      <x:c r="J22" s="81" t="str"/>
      <x:c r="K22" s="81" t="str"/>
      <x:c r="L22" s="81" t="inlineStr">
        <x:is>
          <x:t xml:space="preserve">Planned</x:t>
        </x:is>
      </x:c>
      <x:c r="M22" s="102" t="n">
        <x:f>IFERROR((I22+J22+K22)/(F22+G22+H22),0)</x:f>
        <x:v>0</x:v>
      </x:c>
      <x:c r="N22" s="81" t="str"/>
    </x:row>
    <x:row r="23">
      <x:c r="A23" s="81" t="n">
        <x:v>22</x:v>
      </x:c>
      <x:c r="B23" s="81" t="inlineStr">
        <x:is>
          <x:t xml:space="preserve">B. World Wisdom</x:t>
        </x:is>
      </x:c>
      <x:c r="C23" s="81" t="inlineStr">
        <x:is>
          <x:t xml:space="preserve">Vietnamese proverbs</x:t>
        </x:is>
      </x:c>
      <x:c r="D23" s="81" t="inlineStr">
        <x:is>
          <x:t xml:space="preserve">Authoritative proverb dictionaries/collections</x:t>
        </x:is>
      </x:c>
      <x:c r="E23" s="81" t="inlineStr">
        <x:is>
          <x:t xml:space="preserve">Proverbs; source collection and variant tracking</x:t>
        </x:is>
      </x:c>
      <x:c r="F23" s="81" t="n">
        <x:v>25</x:v>
      </x:c>
      <x:c r="G23" s="81" t="n">
        <x:v>2</x:v>
      </x:c>
      <x:c r="H23" s="81" t="n">
        <x:v>3</x:v>
      </x:c>
      <x:c r="I23" s="81" t="str"/>
      <x:c r="J23" s="81" t="str"/>
      <x:c r="K23" s="81" t="str"/>
      <x:c r="L23" s="81" t="inlineStr">
        <x:is>
          <x:t xml:space="preserve">Planned</x:t>
        </x:is>
      </x:c>
      <x:c r="M23" s="102" t="n">
        <x:f>IFERROR((I23+J23+K23)/(F23+G23+H23),0)</x:f>
        <x:v>0</x:v>
      </x:c>
      <x:c r="N23" s="81" t="str"/>
    </x:row>
    <x:row r="24">
      <x:c r="A24" s="81" t="n">
        <x:v>23</x:v>
      </x:c>
      <x:c r="B24" s="81" t="inlineStr">
        <x:is>
          <x:t xml:space="preserve">B. World Wisdom</x:t>
        </x:is>
      </x:c>
      <x:c r="C24" s="81" t="inlineStr">
        <x:is>
          <x:t xml:space="preserve">Nguyễn Trãi + Nguyễn Bỉnh Khiêm</x:t>
        </x:is>
      </x:c>
      <x:c r="D24" s="81" t="inlineStr">
        <x:is>
          <x:t xml:space="preserve">Primary/critical editions</x:t>
        </x:is>
      </x:c>
      <x:c r="E24" s="81" t="inlineStr">
        <x:is>
          <x:t xml:space="preserve">Passages on life, change, enoughness, public/private life</x:t>
        </x:is>
      </x:c>
      <x:c r="F24" s="81" t="n">
        <x:v>20</x:v>
      </x:c>
      <x:c r="G24" s="81" t="n">
        <x:v>1</x:v>
      </x:c>
      <x:c r="H24" s="81" t="n">
        <x:v>3</x:v>
      </x:c>
      <x:c r="I24" s="81" t="str"/>
      <x:c r="J24" s="81" t="str"/>
      <x:c r="K24" s="81" t="str"/>
      <x:c r="L24" s="81" t="inlineStr">
        <x:is>
          <x:t xml:space="preserve">Planned</x:t>
        </x:is>
      </x:c>
      <x:c r="M24" s="102" t="n">
        <x:f>IFERROR((I24+J24+K24)/(F24+G24+H24),0)</x:f>
        <x:v>0</x:v>
      </x:c>
      <x:c r="N24" s="81" t="str"/>
    </x:row>
    <x:row r="25">
      <x:c r="A25" s="81" t="n">
        <x:v>24</x:v>
      </x:c>
      <x:c r="B25" s="81" t="inlineStr">
        <x:is>
          <x:t xml:space="preserve">B. World Wisdom</x:t>
        </x:is>
      </x:c>
      <x:c r="C25" s="81" t="inlineStr">
        <x:is>
          <x:t xml:space="preserve">Nguyễn Du + classical Vietnamese literature</x:t>
        </x:is>
      </x:c>
      <x:c r="D25" s="81" t="inlineStr">
        <x:is>
          <x:t xml:space="preserve">Primary/critical editions</x:t>
        </x:is>
      </x:c>
      <x:c r="E25" s="81" t="inlineStr">
        <x:is>
          <x:t xml:space="preserve">Human experience, fate, compassion, contradiction, impermanence</x:t>
        </x:is>
      </x:c>
      <x:c r="F25" s="81" t="n">
        <x:v>20</x:v>
      </x:c>
      <x:c r="G25" s="81" t="n">
        <x:v>2</x:v>
      </x:c>
      <x:c r="H25" s="81" t="n">
        <x:v>3</x:v>
      </x:c>
      <x:c r="I25" s="81" t="str"/>
      <x:c r="J25" s="81" t="str"/>
      <x:c r="K25" s="81" t="str"/>
      <x:c r="L25" s="81" t="inlineStr">
        <x:is>
          <x:t xml:space="preserve">Planned</x:t>
        </x:is>
      </x:c>
      <x:c r="M25" s="102" t="n">
        <x:f>IFERROR((I25+J25+K25)/(F25+G25+H25),0)</x:f>
        <x:v>0</x:v>
      </x:c>
      <x:c r="N25" s="81" t="str"/>
    </x:row>
    <x:row r="26">
      <x:c r="A26" s="81" t="n">
        <x:v>25</x:v>
      </x:c>
      <x:c r="B26" s="81" t="inlineStr">
        <x:is>
          <x:t xml:space="preserve">B. World Wisdom</x:t>
        </x:is>
      </x:c>
      <x:c r="C26" s="81" t="inlineStr">
        <x:is>
          <x:t xml:space="preserve">Confucius</x:t>
        </x:is>
      </x:c>
      <x:c r="D26" s="81" t="inlineStr">
        <x:is>
          <x:t xml:space="preserve">Analects</x:t>
        </x:is>
      </x:c>
      <x:c r="E26" s="81" t="inlineStr">
        <x:is>
          <x:t xml:space="preserve">Learning, relationships, self-cultivation, judgment</x:t>
        </x:is>
      </x:c>
      <x:c r="F26" s="81" t="n">
        <x:v>20</x:v>
      </x:c>
      <x:c r="G26" s="81" t="n">
        <x:v>1</x:v>
      </x:c>
      <x:c r="H26" s="81" t="n">
        <x:v>4</x:v>
      </x:c>
      <x:c r="I26" s="81" t="str"/>
      <x:c r="J26" s="81" t="str"/>
      <x:c r="K26" s="81" t="str"/>
      <x:c r="L26" s="81" t="inlineStr">
        <x:is>
          <x:t xml:space="preserve">Planned</x:t>
        </x:is>
      </x:c>
      <x:c r="M26" s="102" t="n">
        <x:f>IFERROR((I26+J26+K26)/(F26+G26+H26),0)</x:f>
        <x:v>0</x:v>
      </x:c>
      <x:c r="N26" s="81" t="str"/>
    </x:row>
    <x:row r="27">
      <x:c r="A27" s="81" t="n">
        <x:v>26</x:v>
      </x:c>
      <x:c r="B27" s="81" t="inlineStr">
        <x:is>
          <x:t xml:space="preserve">B. World Wisdom</x:t>
        </x:is>
      </x:c>
      <x:c r="C27" s="81" t="inlineStr">
        <x:is>
          <x:t xml:space="preserve">Mencius</x:t>
        </x:is>
      </x:c>
      <x:c r="D27" s="81" t="inlineStr">
        <x:is>
          <x:t xml:space="preserve">Mencius</x:t>
        </x:is>
      </x:c>
      <x:c r="E27" s="81" t="inlineStr">
        <x:is>
          <x:t xml:space="preserve">Human nature, courage, values, social responsibility</x:t>
        </x:is>
      </x:c>
      <x:c r="F27" s="81" t="n">
        <x:v>20</x:v>
      </x:c>
      <x:c r="G27" s="81" t="n">
        <x:v>1</x:v>
      </x:c>
      <x:c r="H27" s="81" t="n">
        <x:v>4</x:v>
      </x:c>
      <x:c r="I27" s="81" t="str"/>
      <x:c r="J27" s="81" t="str"/>
      <x:c r="K27" s="81" t="str"/>
      <x:c r="L27" s="81" t="inlineStr">
        <x:is>
          <x:t xml:space="preserve">Planned</x:t>
        </x:is>
      </x:c>
      <x:c r="M27" s="102" t="n">
        <x:f>IFERROR((I27+J27+K27)/(F27+G27+H27),0)</x:f>
        <x:v>0</x:v>
      </x:c>
      <x:c r="N27" s="81" t="str"/>
    </x:row>
    <x:row r="28">
      <x:c r="A28" s="81" t="n">
        <x:v>27</x:v>
      </x:c>
      <x:c r="B28" s="81" t="inlineStr">
        <x:is>
          <x:t xml:space="preserve">B. World Wisdom</x:t>
        </x:is>
      </x:c>
      <x:c r="C28" s="81" t="inlineStr">
        <x:is>
          <x:t xml:space="preserve">Chinese idioms/proverbs</x:t>
        </x:is>
      </x:c>
      <x:c r="D28" s="81" t="inlineStr">
        <x:is>
          <x:t xml:space="preserve">Authoritative dictionaries/classical sources</x:t>
        </x:is>
      </x:c>
      <x:c r="E28" s="81" t="inlineStr">
        <x:is>
          <x:t xml:space="preserve">Traceable idioms/proverbs; avoid unsourced internet variants</x:t>
        </x:is>
      </x:c>
      <x:c r="F28" s="81" t="n">
        <x:v>22</x:v>
      </x:c>
      <x:c r="G28" s="81" t="n">
        <x:v>3</x:v>
      </x:c>
      <x:c r="H28" s="81" t="n">
        <x:v>3</x:v>
      </x:c>
      <x:c r="I28" s="81" t="str"/>
      <x:c r="J28" s="81" t="str"/>
      <x:c r="K28" s="81" t="str"/>
      <x:c r="L28" s="81" t="inlineStr">
        <x:is>
          <x:t xml:space="preserve">Planned</x:t>
        </x:is>
      </x:c>
      <x:c r="M28" s="102" t="n">
        <x:f>IFERROR((I28+J28+K28)/(F28+G28+H28),0)</x:f>
        <x:v>0</x:v>
      </x:c>
      <x:c r="N28" s="81" t="str"/>
    </x:row>
    <x:row r="29">
      <x:c r="A29" s="81" t="n">
        <x:v>28</x:v>
      </x:c>
      <x:c r="B29" s="81" t="inlineStr">
        <x:is>
          <x:t xml:space="preserve">B. World Wisdom</x:t>
        </x:is>
      </x:c>
      <x:c r="C29" s="81" t="inlineStr">
        <x:is>
          <x:t xml:space="preserve">Japanese proverbs</x:t>
        </x:is>
      </x:c>
      <x:c r="D29" s="81" t="inlineStr">
        <x:is>
          <x:t xml:space="preserve">Authoritative Japanese collections</x:t>
        </x:is>
      </x:c>
      <x:c r="E29" s="81" t="inlineStr">
        <x:is>
          <x:t xml:space="preserve">Traditional wisdom with Japanese original and provenance</x:t>
        </x:is>
      </x:c>
      <x:c r="F29" s="81" t="n">
        <x:v>22</x:v>
      </x:c>
      <x:c r="G29" s="81" t="n">
        <x:v>2</x:v>
      </x:c>
      <x:c r="H29" s="81" t="n">
        <x:v>3</x:v>
      </x:c>
      <x:c r="I29" s="81" t="str"/>
      <x:c r="J29" s="81" t="str"/>
      <x:c r="K29" s="81" t="str"/>
      <x:c r="L29" s="81" t="inlineStr">
        <x:is>
          <x:t xml:space="preserve">Planned</x:t>
        </x:is>
      </x:c>
      <x:c r="M29" s="102" t="n">
        <x:f>IFERROR((I29+J29+K29)/(F29+G29+H29),0)</x:f>
        <x:v>0</x:v>
      </x:c>
      <x:c r="N29" s="81" t="str"/>
    </x:row>
    <x:row r="30">
      <x:c r="A30" s="81" t="n">
        <x:v>29</x:v>
      </x:c>
      <x:c r="B30" s="81" t="inlineStr">
        <x:is>
          <x:t xml:space="preserve">B. World Wisdom</x:t>
        </x:is>
      </x:c>
      <x:c r="C30" s="81" t="inlineStr">
        <x:is>
          <x:t xml:space="preserve">Dōgen / Zen sources</x:t>
        </x:is>
      </x:c>
      <x:c r="D30" s="81" t="inlineStr">
        <x:is>
          <x:t xml:space="preserve">Primary Zen texts / reputable translations</x:t>
        </x:is>
      </x:c>
      <x:c r="E30" s="81" t="inlineStr">
        <x:is>
          <x:t xml:space="preserve">Practice, presence, impermanence; separate later anecdotes</x:t>
        </x:is>
      </x:c>
      <x:c r="F30" s="81" t="n">
        <x:v>18</x:v>
      </x:c>
      <x:c r="G30" s="81" t="n">
        <x:v>3</x:v>
      </x:c>
      <x:c r="H30" s="81" t="n">
        <x:v>4</x:v>
      </x:c>
      <x:c r="I30" s="81" t="str"/>
      <x:c r="J30" s="81" t="str"/>
      <x:c r="K30" s="81" t="str"/>
      <x:c r="L30" s="81" t="inlineStr">
        <x:is>
          <x:t xml:space="preserve">Planned</x:t>
        </x:is>
      </x:c>
      <x:c r="M30" s="102" t="n">
        <x:f>IFERROR((I30+J30+K30)/(F30+G30+H30),0)</x:f>
        <x:v>0</x:v>
      </x:c>
      <x:c r="N30" s="81" t="str"/>
    </x:row>
    <x:row r="31">
      <x:c r="A31" s="81" t="n">
        <x:v>30</x:v>
      </x:c>
      <x:c r="B31" s="81" t="inlineStr">
        <x:is>
          <x:t xml:space="preserve">B. World Wisdom</x:t>
        </x:is>
      </x:c>
      <x:c r="C31" s="81" t="inlineStr">
        <x:is>
          <x:t xml:space="preserve">Bashō + Ryōkan</x:t>
        </x:is>
      </x:c>
      <x:c r="D31" s="81" t="inlineStr">
        <x:is>
          <x:t xml:space="preserve">Primary/critical editions</x:t>
        </x:is>
      </x:c>
      <x:c r="E31" s="81" t="inlineStr">
        <x:is>
          <x:t xml:space="preserve">Short passages/poems usable as research; copyright/public-domain notes</x:t>
        </x:is>
      </x:c>
      <x:c r="F31" s="81" t="n">
        <x:v>18</x:v>
      </x:c>
      <x:c r="G31" s="81" t="n">
        <x:v>2</x:v>
      </x:c>
      <x:c r="H31" s="81" t="n">
        <x:v>3</x:v>
      </x:c>
      <x:c r="I31" s="81" t="str"/>
      <x:c r="J31" s="81" t="str"/>
      <x:c r="K31" s="81" t="str"/>
      <x:c r="L31" s="81" t="inlineStr">
        <x:is>
          <x:t xml:space="preserve">Planned</x:t>
        </x:is>
      </x:c>
      <x:c r="M31" s="102" t="n">
        <x:f>IFERROR((I31+J31+K31)/(F31+G31+H31),0)</x:f>
        <x:v>0</x:v>
      </x:c>
      <x:c r="N31" s="81" t="str"/>
    </x:row>
    <x:row r="32">
      <x:c r="A32" s="81" t="n">
        <x:v>31</x:v>
      </x:c>
      <x:c r="B32" s="81" t="inlineStr">
        <x:is>
          <x:t xml:space="preserve">B. World Wisdom</x:t>
        </x:is>
      </x:c>
      <x:c r="C32" s="81" t="inlineStr">
        <x:is>
          <x:t xml:space="preserve">Saadi</x:t>
        </x:is>
      </x:c>
      <x:c r="D32" s="81" t="inlineStr">
        <x:is>
          <x:t xml:space="preserve">Gulistan / Bustan</x:t>
        </x:is>
      </x:c>
      <x:c r="E32" s="81" t="inlineStr">
        <x:is>
          <x:t xml:space="preserve">Human conduct, humility, relationships, fortune</x:t>
        </x:is>
      </x:c>
      <x:c r="F32" s="81" t="n">
        <x:v>20</x:v>
      </x:c>
      <x:c r="G32" s="81" t="n">
        <x:v>4</x:v>
      </x:c>
      <x:c r="H32" s="81" t="n">
        <x:v>3</x:v>
      </x:c>
      <x:c r="I32" s="81" t="str"/>
      <x:c r="J32" s="81" t="str"/>
      <x:c r="K32" s="81" t="str"/>
      <x:c r="L32" s="81" t="inlineStr">
        <x:is>
          <x:t xml:space="preserve">Planned</x:t>
        </x:is>
      </x:c>
      <x:c r="M32" s="102" t="n">
        <x:f>IFERROR((I32+J32+K32)/(F32+G32+H32),0)</x:f>
        <x:v>0</x:v>
      </x:c>
      <x:c r="N32" s="81" t="str"/>
    </x:row>
    <x:row r="33">
      <x:c r="A33" s="81" t="n">
        <x:v>32</x:v>
      </x:c>
      <x:c r="B33" s="81" t="inlineStr">
        <x:is>
          <x:t xml:space="preserve">B. World Wisdom</x:t>
        </x:is>
      </x:c>
      <x:c r="C33" s="81" t="inlineStr">
        <x:is>
          <x:t xml:space="preserve">Rumi + Hafez</x:t>
        </x:is>
      </x:c>
      <x:c r="D33" s="81" t="inlineStr">
        <x:is>
          <x:t xml:space="preserve">Primary texts / scholarly translations</x:t>
        </x:is>
      </x:c>
      <x:c r="E33" s="81" t="inlineStr">
        <x:is>
          <x:t xml:space="preserve">Love, loss, longing, change; aggressive fake-quote checking</x:t>
        </x:is>
      </x:c>
      <x:c r="F33" s="81" t="n">
        <x:v>18</x:v>
      </x:c>
      <x:c r="G33" s="81" t="n">
        <x:v>2</x:v>
      </x:c>
      <x:c r="H33" s="81" t="n">
        <x:v>3</x:v>
      </x:c>
      <x:c r="I33" s="81" t="str"/>
      <x:c r="J33" s="81" t="str"/>
      <x:c r="K33" s="81" t="str"/>
      <x:c r="L33" s="81" t="inlineStr">
        <x:is>
          <x:t xml:space="preserve">Planned</x:t>
        </x:is>
      </x:c>
      <x:c r="M33" s="102" t="n">
        <x:f>IFERROR((I33+J33+K33)/(F33+G33+H33),0)</x:f>
        <x:v>0</x:v>
      </x:c>
      <x:c r="N33" s="81" t="str"/>
    </x:row>
    <x:row r="34">
      <x:c r="A34" s="81" t="n">
        <x:v>33</x:v>
      </x:c>
      <x:c r="B34" s="81" t="inlineStr">
        <x:is>
          <x:t xml:space="preserve">B. World Wisdom</x:t>
        </x:is>
      </x:c>
      <x:c r="C34" s="81" t="inlineStr">
        <x:is>
          <x:t xml:space="preserve">Arabic / Middle Eastern proverbs</x:t>
        </x:is>
      </x:c>
      <x:c r="D34" s="81" t="inlineStr">
        <x:is>
          <x:t xml:space="preserve">Authoritative regional collections</x:t>
        </x:is>
      </x:c>
      <x:c r="E34" s="81" t="inlineStr">
        <x:is>
          <x:t xml:space="preserve">Region-specific proverbs; avoid generic attribution</x:t>
        </x:is>
      </x:c>
      <x:c r="F34" s="81" t="n">
        <x:v>22</x:v>
      </x:c>
      <x:c r="G34" s="81" t="n">
        <x:v>3</x:v>
      </x:c>
      <x:c r="H34" s="81" t="n">
        <x:v>3</x:v>
      </x:c>
      <x:c r="I34" s="81" t="str"/>
      <x:c r="J34" s="81" t="str"/>
      <x:c r="K34" s="81" t="str"/>
      <x:c r="L34" s="81" t="inlineStr">
        <x:is>
          <x:t xml:space="preserve">Planned</x:t>
        </x:is>
      </x:c>
      <x:c r="M34" s="102" t="n">
        <x:f>IFERROR((I34+J34+K34)/(F34+G34+H34),0)</x:f>
        <x:v>0</x:v>
      </x:c>
      <x:c r="N34" s="81" t="str"/>
    </x:row>
    <x:row r="35">
      <x:c r="A35" s="81" t="n">
        <x:v>34</x:v>
      </x:c>
      <x:c r="B35" s="81" t="inlineStr">
        <x:is>
          <x:t xml:space="preserve">B. World Wisdom</x:t>
        </x:is>
      </x:c>
      <x:c r="C35" s="81" t="inlineStr">
        <x:is>
          <x:t xml:space="preserve">Middle Eastern wisdom stories</x:t>
        </x:is>
      </x:c>
      <x:c r="D35" s="81" t="inlineStr">
        <x:is>
          <x:t xml:space="preserve">Primary/reputable collections</x:t>
        </x:is>
      </x:c>
      <x:c r="E35" s="81" t="inlineStr">
        <x:is>
          <x:t xml:space="preserve">Parables, historical wisdom episodes, traceable folk material</x:t>
        </x:is>
      </x:c>
      <x:c r="F35" s="81" t="n">
        <x:v>15</x:v>
      </x:c>
      <x:c r="G35" s="81" t="n">
        <x:v>7</x:v>
      </x:c>
      <x:c r="H35" s="81" t="n">
        <x:v>3</x:v>
      </x:c>
      <x:c r="I35" s="81" t="str"/>
      <x:c r="J35" s="81" t="str"/>
      <x:c r="K35" s="81" t="str"/>
      <x:c r="L35" s="81" t="inlineStr">
        <x:is>
          <x:t xml:space="preserve">Planned</x:t>
        </x:is>
      </x:c>
      <x:c r="M35" s="102" t="n">
        <x:f>IFERROR((I35+J35+K35)/(F35+G35+H35),0)</x:f>
        <x:v>0</x:v>
      </x:c>
      <x:c r="N35" s="81" t="str"/>
    </x:row>
    <x:row r="36">
      <x:c r="A36" s="81" t="n">
        <x:v>35</x:v>
      </x:c>
      <x:c r="B36" s="81" t="inlineStr">
        <x:is>
          <x:t xml:space="preserve">B. World Wisdom</x:t>
        </x:is>
      </x:c>
      <x:c r="C36" s="81" t="inlineStr">
        <x:is>
          <x:t xml:space="preserve">African traditions I</x:t>
        </x:is>
      </x:c>
      <x:c r="D36" s="81" t="inlineStr">
        <x:is>
          <x:t xml:space="preserve">Akan / Yoruba sources</x:t>
        </x:is>
      </x:c>
      <x:c r="E36" s="81" t="inlineStr">
        <x:is>
          <x:t xml:space="preserve">Culture-specific proverbs + stories with provenance</x:t>
        </x:is>
      </x:c>
      <x:c r="F36" s="81" t="n">
        <x:v>22</x:v>
      </x:c>
      <x:c r="G36" s="81" t="n">
        <x:v>3</x:v>
      </x:c>
      <x:c r="H36" s="81" t="n">
        <x:v>3</x:v>
      </x:c>
      <x:c r="I36" s="81" t="str"/>
      <x:c r="J36" s="81" t="str"/>
      <x:c r="K36" s="81" t="str"/>
      <x:c r="L36" s="81" t="inlineStr">
        <x:is>
          <x:t xml:space="preserve">Planned</x:t>
        </x:is>
      </x:c>
      <x:c r="M36" s="102" t="n">
        <x:f>IFERROR((I36+J36+K36)/(F36+G36+H36),0)</x:f>
        <x:v>0</x:v>
      </x:c>
      <x:c r="N36" s="81" t="str"/>
    </x:row>
    <x:row r="37">
      <x:c r="A37" s="81" t="n">
        <x:v>36</x:v>
      </x:c>
      <x:c r="B37" s="81" t="inlineStr">
        <x:is>
          <x:t xml:space="preserve">B. World Wisdom</x:t>
        </x:is>
      </x:c>
      <x:c r="C37" s="81" t="inlineStr">
        <x:is>
          <x:t xml:space="preserve">African traditions II</x:t>
        </x:is>
      </x:c>
      <x:c r="D37" s="81" t="inlineStr">
        <x:is>
          <x:t xml:space="preserve">Igbo / Swahili sources</x:t>
        </x:is>
      </x:c>
      <x:c r="E37" s="81" t="inlineStr">
        <x:is>
          <x:t xml:space="preserve">Culture-specific proverbs + stories with provenance</x:t>
        </x:is>
      </x:c>
      <x:c r="F37" s="81" t="n">
        <x:v>22</x:v>
      </x:c>
      <x:c r="G37" s="81" t="n">
        <x:v>3</x:v>
      </x:c>
      <x:c r="H37" s="81" t="n">
        <x:v>3</x:v>
      </x:c>
      <x:c r="I37" s="81" t="str"/>
      <x:c r="J37" s="81" t="str"/>
      <x:c r="K37" s="81" t="str"/>
      <x:c r="L37" s="81" t="inlineStr">
        <x:is>
          <x:t xml:space="preserve">Planned</x:t>
        </x:is>
      </x:c>
      <x:c r="M37" s="102" t="n">
        <x:f>IFERROR((I37+J37+K37)/(F37+G37+H37),0)</x:f>
        <x:v>0</x:v>
      </x:c>
      <x:c r="N37" s="81" t="str"/>
    </x:row>
    <x:row r="38">
      <x:c r="A38" s="81" t="n">
        <x:v>37</x:v>
      </x:c>
      <x:c r="B38" s="81" t="inlineStr">
        <x:is>
          <x:t xml:space="preserve">B. World Wisdom</x:t>
        </x:is>
      </x:c>
      <x:c r="C38" s="81" t="inlineStr">
        <x:is>
          <x:t xml:space="preserve">African traditions III</x:t>
        </x:is>
      </x:c>
      <x:c r="D38" s="81" t="inlineStr">
        <x:is>
          <x:t xml:space="preserve">Ethiopian / other well-sourced traditions</x:t>
        </x:is>
      </x:c>
      <x:c r="E38" s="81" t="inlineStr">
        <x:is>
          <x:t xml:space="preserve">Fill cultural gaps; reject generic 'African proverb' when unsourced</x:t>
        </x:is>
      </x:c>
      <x:c r="F38" s="81" t="n">
        <x:v>20</x:v>
      </x:c>
      <x:c r="G38" s="81" t="n">
        <x:v>3</x:v>
      </x:c>
      <x:c r="H38" s="81" t="n">
        <x:v>3</x:v>
      </x:c>
      <x:c r="I38" s="81" t="str"/>
      <x:c r="J38" s="81" t="str"/>
      <x:c r="K38" s="81" t="str"/>
      <x:c r="L38" s="81" t="inlineStr">
        <x:is>
          <x:t xml:space="preserve">Planned</x:t>
        </x:is>
      </x:c>
      <x:c r="M38" s="102" t="n">
        <x:f>IFERROR((I38+J38+K38)/(F38+G38+H38),0)</x:f>
        <x:v>0</x:v>
      </x:c>
      <x:c r="N38" s="81" t="str"/>
    </x:row>
    <x:row r="39">
      <x:c r="A39" s="81" t="n">
        <x:v>38</x:v>
      </x:c>
      <x:c r="B39" s="81" t="inlineStr">
        <x:is>
          <x:t xml:space="preserve">B. World Wisdom</x:t>
        </x:is>
      </x:c>
      <x:c r="C39" s="81" t="inlineStr">
        <x:is>
          <x:t xml:space="preserve">Jewish wisdom traditions</x:t>
        </x:is>
      </x:c>
      <x:c r="D39" s="81" t="inlineStr">
        <x:is>
          <x:t xml:space="preserve">Primary/reputable texts</x:t>
        </x:is>
      </x:c>
      <x:c r="E39" s="81" t="inlineStr">
        <x:is>
          <x:t xml:space="preserve">Wisdom passages, stories, human dilemmas</x:t>
        </x:is>
      </x:c>
      <x:c r="F39" s="81" t="n">
        <x:v>20</x:v>
      </x:c>
      <x:c r="G39" s="81" t="n">
        <x:v>3</x:v>
      </x:c>
      <x:c r="H39" s="81" t="n">
        <x:v>3</x:v>
      </x:c>
      <x:c r="I39" s="81" t="str"/>
      <x:c r="J39" s="81" t="str"/>
      <x:c r="K39" s="81" t="str"/>
      <x:c r="L39" s="81" t="inlineStr">
        <x:is>
          <x:t xml:space="preserve">Planned</x:t>
        </x:is>
      </x:c>
      <x:c r="M39" s="102" t="n">
        <x:f>IFERROR((I39+J39+K39)/(F39+G39+H39),0)</x:f>
        <x:v>0</x:v>
      </x:c>
      <x:c r="N39" s="81" t="str"/>
    </x:row>
    <x:row r="40">
      <x:c r="A40" s="81" t="n">
        <x:v>39</x:v>
      </x:c>
      <x:c r="B40" s="81" t="inlineStr">
        <x:is>
          <x:t xml:space="preserve">B. World Wisdom</x:t>
        </x:is>
      </x:c>
      <x:c r="C40" s="81" t="inlineStr">
        <x:is>
          <x:t xml:space="preserve">European folk proverbs</x:t>
        </x:is>
      </x:c>
      <x:c r="D40" s="81" t="inlineStr">
        <x:is>
          <x:t xml:space="preserve">English/French/German/Italian/Spanish collections</x:t>
        </x:is>
      </x:c>
      <x:c r="E40" s="81" t="inlineStr">
        <x:is>
          <x:t xml:space="preserve">Traceable proverbs; variants and earliest source if feasible</x:t>
        </x:is>
      </x:c>
      <x:c r="F40" s="81" t="n">
        <x:v>25</x:v>
      </x:c>
      <x:c r="G40" s="81" t="n">
        <x:v>3</x:v>
      </x:c>
      <x:c r="H40" s="81" t="n">
        <x:v>2</x:v>
      </x:c>
      <x:c r="I40" s="81" t="str"/>
      <x:c r="J40" s="81" t="str"/>
      <x:c r="K40" s="81" t="str"/>
      <x:c r="L40" s="81" t="inlineStr">
        <x:is>
          <x:t xml:space="preserve">Planned</x:t>
        </x:is>
      </x:c>
      <x:c r="M40" s="102" t="n">
        <x:f>IFERROR((I40+J40+K40)/(F40+G40+H40),0)</x:f>
        <x:v>0</x:v>
      </x:c>
      <x:c r="N40" s="81" t="str"/>
    </x:row>
    <x:row r="41">
      <x:c r="A41" s="81" t="n">
        <x:v>40</x:v>
      </x:c>
      <x:c r="B41" s="81" t="inlineStr">
        <x:is>
          <x:t xml:space="preserve">B. World Wisdom</x:t>
        </x:is>
      </x:c>
      <x:c r="C41" s="81" t="inlineStr">
        <x:is>
          <x:t xml:space="preserve">Cross-cultural review</x:t>
        </x:is>
      </x:c>
      <x:c r="D41" s="81" t="inlineStr">
        <x:is>
          <x:t xml:space="preserve">All Phase B sources</x:t>
        </x:is>
      </x:c>
      <x:c r="E41" s="81" t="inlineStr">
        <x:is>
          <x:t xml:space="preserve">Deduplicate, provenance audit, cultural balance, gap report</x:t>
        </x:is>
      </x:c>
      <x:c r="F41" s="81" t="n">
        <x:v>5</x:v>
      </x:c>
      <x:c r="G41" s="81" t="n">
        <x:v>0</x:v>
      </x:c>
      <x:c r="H41" s="81" t="n">
        <x:v>5</x:v>
      </x:c>
      <x:c r="I41" s="81" t="str"/>
      <x:c r="J41" s="81" t="str"/>
      <x:c r="K41" s="81" t="str"/>
      <x:c r="L41" s="81" t="inlineStr">
        <x:is>
          <x:t xml:space="preserve">Planned</x:t>
        </x:is>
      </x:c>
      <x:c r="M41" s="102" t="n">
        <x:f>IFERROR((I41+J41+K41)/(F41+G41+H41),0)</x:f>
        <x:v>0</x:v>
      </x:c>
      <x:c r="N41" s="81" t="str"/>
    </x:row>
    <x:row r="42">
      <x:c r="A42" s="81" t="n">
        <x:v>41</x:v>
      </x:c>
      <x:c r="B42" s="81" t="inlineStr">
        <x:is>
          <x:t xml:space="preserve">C. Literature &amp; Modern Thought</x:t>
        </x:is>
      </x:c>
      <x:c r="C42" s="81" t="inlineStr">
        <x:is>
          <x:t xml:space="preserve">Tolstoy</x:t>
        </x:is>
      </x:c>
      <x:c r="D42" s="81" t="inlineStr">
        <x:is>
          <x:t xml:space="preserve">Primary/critical editions; reputable archives</x:t>
        </x:is>
      </x:c>
      <x:c r="E42" s="81" t="inlineStr">
        <x:is>
          <x:t xml:space="preserve">Passages on lived human experience; record work/chapter/page; flag copyright</x:t>
        </x:is>
      </x:c>
      <x:c r="F42" s="81" t="n">
        <x:v>20</x:v>
      </x:c>
      <x:c r="G42" s="81" t="n">
        <x:v>2</x:v>
      </x:c>
      <x:c r="H42" s="81" t="n">
        <x:v>3</x:v>
      </x:c>
      <x:c r="I42" s="81" t="str"/>
      <x:c r="J42" s="81" t="str"/>
      <x:c r="K42" s="81" t="str"/>
      <x:c r="L42" s="81" t="inlineStr">
        <x:is>
          <x:t xml:space="preserve">Planned</x:t>
        </x:is>
      </x:c>
      <x:c r="M42" s="102" t="n">
        <x:f>IFERROR((I42+J42+K42)/(F42+G42+H42),0)</x:f>
        <x:v>0</x:v>
      </x:c>
      <x:c r="N42" s="81" t="str"/>
    </x:row>
    <x:row r="43">
      <x:c r="A43" s="81" t="n">
        <x:v>42</x:v>
      </x:c>
      <x:c r="B43" s="81" t="inlineStr">
        <x:is>
          <x:t xml:space="preserve">C. Literature &amp; Modern Thought</x:t>
        </x:is>
      </x:c>
      <x:c r="C43" s="81" t="inlineStr">
        <x:is>
          <x:t xml:space="preserve">Dostoevsky</x:t>
        </x:is>
      </x:c>
      <x:c r="D43" s="81" t="inlineStr">
        <x:is>
          <x:t xml:space="preserve">Primary/critical editions; reputable archives</x:t>
        </x:is>
      </x:c>
      <x:c r="E43" s="81" t="inlineStr">
        <x:is>
          <x:t xml:space="preserve">Passages on lived human experience; record work/chapter/page; flag copyright</x:t>
        </x:is>
      </x:c>
      <x:c r="F43" s="81" t="n">
        <x:v>20</x:v>
      </x:c>
      <x:c r="G43" s="81" t="n">
        <x:v>2</x:v>
      </x:c>
      <x:c r="H43" s="81" t="n">
        <x:v>3</x:v>
      </x:c>
      <x:c r="I43" s="81" t="str"/>
      <x:c r="J43" s="81" t="str"/>
      <x:c r="K43" s="81" t="str"/>
      <x:c r="L43" s="81" t="inlineStr">
        <x:is>
          <x:t xml:space="preserve">Planned</x:t>
        </x:is>
      </x:c>
      <x:c r="M43" s="102" t="n">
        <x:f>IFERROR((I43+J43+K43)/(F43+G43+H43),0)</x:f>
        <x:v>0</x:v>
      </x:c>
      <x:c r="N43" s="81" t="str"/>
    </x:row>
    <x:row r="44">
      <x:c r="A44" s="81" t="n">
        <x:v>43</x:v>
      </x:c>
      <x:c r="B44" s="81" t="inlineStr">
        <x:is>
          <x:t xml:space="preserve">C. Literature &amp; Modern Thought</x:t>
        </x:is>
      </x:c>
      <x:c r="C44" s="81" t="inlineStr">
        <x:is>
          <x:t xml:space="preserve">Chekhov</x:t>
        </x:is>
      </x:c>
      <x:c r="D44" s="81" t="inlineStr">
        <x:is>
          <x:t xml:space="preserve">Primary/critical editions; reputable archives</x:t>
        </x:is>
      </x:c>
      <x:c r="E44" s="81" t="inlineStr">
        <x:is>
          <x:t xml:space="preserve">Passages on lived human experience; record work/chapter/page; flag copyright</x:t>
        </x:is>
      </x:c>
      <x:c r="F44" s="81" t="n">
        <x:v>20</x:v>
      </x:c>
      <x:c r="G44" s="81" t="n">
        <x:v>2</x:v>
      </x:c>
      <x:c r="H44" s="81" t="n">
        <x:v>3</x:v>
      </x:c>
      <x:c r="I44" s="81" t="str"/>
      <x:c r="J44" s="81" t="str"/>
      <x:c r="K44" s="81" t="str"/>
      <x:c r="L44" s="81" t="inlineStr">
        <x:is>
          <x:t xml:space="preserve">Planned</x:t>
        </x:is>
      </x:c>
      <x:c r="M44" s="102" t="n">
        <x:f>IFERROR((I44+J44+K44)/(F44+G44+H44),0)</x:f>
        <x:v>0</x:v>
      </x:c>
      <x:c r="N44" s="81" t="str"/>
    </x:row>
    <x:row r="45">
      <x:c r="A45" s="81" t="n">
        <x:v>44</x:v>
      </x:c>
      <x:c r="B45" s="81" t="inlineStr">
        <x:is>
          <x:t xml:space="preserve">C. Literature &amp; Modern Thought</x:t>
        </x:is>
      </x:c>
      <x:c r="C45" s="81" t="inlineStr">
        <x:is>
          <x:t xml:space="preserve">Hermann Hesse</x:t>
        </x:is>
      </x:c>
      <x:c r="D45" s="81" t="inlineStr">
        <x:is>
          <x:t xml:space="preserve">Primary/critical editions; reputable archives</x:t>
        </x:is>
      </x:c>
      <x:c r="E45" s="81" t="inlineStr">
        <x:is>
          <x:t xml:space="preserve">Passages on lived human experience; record work/chapter/page; flag copyright</x:t>
        </x:is>
      </x:c>
      <x:c r="F45" s="81" t="n">
        <x:v>20</x:v>
      </x:c>
      <x:c r="G45" s="81" t="n">
        <x:v>2</x:v>
      </x:c>
      <x:c r="H45" s="81" t="n">
        <x:v>3</x:v>
      </x:c>
      <x:c r="I45" s="81" t="str"/>
      <x:c r="J45" s="81" t="str"/>
      <x:c r="K45" s="81" t="str"/>
      <x:c r="L45" s="81" t="inlineStr">
        <x:is>
          <x:t xml:space="preserve">Planned</x:t>
        </x:is>
      </x:c>
      <x:c r="M45" s="102" t="n">
        <x:f>IFERROR((I45+J45+K45)/(F45+G45+H45),0)</x:f>
        <x:v>0</x:v>
      </x:c>
      <x:c r="N45" s="81" t="str"/>
    </x:row>
    <x:row r="46">
      <x:c r="A46" s="81" t="n">
        <x:v>45</x:v>
      </x:c>
      <x:c r="B46" s="81" t="inlineStr">
        <x:is>
          <x:t xml:space="preserve">C. Literature &amp; Modern Thought</x:t>
        </x:is>
      </x:c>
      <x:c r="C46" s="81" t="inlineStr">
        <x:is>
          <x:t xml:space="preserve">Kafka</x:t>
        </x:is>
      </x:c>
      <x:c r="D46" s="81" t="inlineStr">
        <x:is>
          <x:t xml:space="preserve">Primary/critical editions; reputable archives</x:t>
        </x:is>
      </x:c>
      <x:c r="E46" s="81" t="inlineStr">
        <x:is>
          <x:t xml:space="preserve">Passages on lived human experience; record work/chapter/page; flag copyright</x:t>
        </x:is>
      </x:c>
      <x:c r="F46" s="81" t="n">
        <x:v>20</x:v>
      </x:c>
      <x:c r="G46" s="81" t="n">
        <x:v>2</x:v>
      </x:c>
      <x:c r="H46" s="81" t="n">
        <x:v>3</x:v>
      </x:c>
      <x:c r="I46" s="81" t="str"/>
      <x:c r="J46" s="81" t="str"/>
      <x:c r="K46" s="81" t="str"/>
      <x:c r="L46" s="81" t="inlineStr">
        <x:is>
          <x:t xml:space="preserve">Planned</x:t>
        </x:is>
      </x:c>
      <x:c r="M46" s="102" t="n">
        <x:f>IFERROR((I46+J46+K46)/(F46+G46+H46),0)</x:f>
        <x:v>0</x:v>
      </x:c>
      <x:c r="N46" s="81" t="str"/>
    </x:row>
    <x:row r="47">
      <x:c r="A47" s="81" t="n">
        <x:v>46</x:v>
      </x:c>
      <x:c r="B47" s="81" t="inlineStr">
        <x:is>
          <x:t xml:space="preserve">C. Literature &amp; Modern Thought</x:t>
        </x:is>
      </x:c>
      <x:c r="C47" s="81" t="inlineStr">
        <x:is>
          <x:t xml:space="preserve">Camus</x:t>
        </x:is>
      </x:c>
      <x:c r="D47" s="81" t="inlineStr">
        <x:is>
          <x:t xml:space="preserve">Primary/critical editions; reputable archives</x:t>
        </x:is>
      </x:c>
      <x:c r="E47" s="81" t="inlineStr">
        <x:is>
          <x:t xml:space="preserve">Passages on lived human experience; record work/chapter/page; flag copyright</x:t>
        </x:is>
      </x:c>
      <x:c r="F47" s="81" t="n">
        <x:v>20</x:v>
      </x:c>
      <x:c r="G47" s="81" t="n">
        <x:v>2</x:v>
      </x:c>
      <x:c r="H47" s="81" t="n">
        <x:v>3</x:v>
      </x:c>
      <x:c r="I47" s="81" t="str"/>
      <x:c r="J47" s="81" t="str"/>
      <x:c r="K47" s="81" t="str"/>
      <x:c r="L47" s="81" t="inlineStr">
        <x:is>
          <x:t xml:space="preserve">Planned</x:t>
        </x:is>
      </x:c>
      <x:c r="M47" s="102" t="n">
        <x:f>IFERROR((I47+J47+K47)/(F47+G47+H47),0)</x:f>
        <x:v>0</x:v>
      </x:c>
      <x:c r="N47" s="81" t="str"/>
    </x:row>
    <x:row r="48">
      <x:c r="A48" s="81" t="n">
        <x:v>47</x:v>
      </x:c>
      <x:c r="B48" s="81" t="inlineStr">
        <x:is>
          <x:t xml:space="preserve">C. Literature &amp; Modern Thought</x:t>
        </x:is>
      </x:c>
      <x:c r="C48" s="81" t="inlineStr">
        <x:is>
          <x:t xml:space="preserve">Virginia Woolf</x:t>
        </x:is>
      </x:c>
      <x:c r="D48" s="81" t="inlineStr">
        <x:is>
          <x:t xml:space="preserve">Primary/critical editions; reputable archives</x:t>
        </x:is>
      </x:c>
      <x:c r="E48" s="81" t="inlineStr">
        <x:is>
          <x:t xml:space="preserve">Passages on lived human experience; record work/chapter/page; flag copyright</x:t>
        </x:is>
      </x:c>
      <x:c r="F48" s="81" t="n">
        <x:v>20</x:v>
      </x:c>
      <x:c r="G48" s="81" t="n">
        <x:v>2</x:v>
      </x:c>
      <x:c r="H48" s="81" t="n">
        <x:v>3</x:v>
      </x:c>
      <x:c r="I48" s="81" t="str"/>
      <x:c r="J48" s="81" t="str"/>
      <x:c r="K48" s="81" t="str"/>
      <x:c r="L48" s="81" t="inlineStr">
        <x:is>
          <x:t xml:space="preserve">Planned</x:t>
        </x:is>
      </x:c>
      <x:c r="M48" s="102" t="n">
        <x:f>IFERROR((I48+J48+K48)/(F48+G48+H48),0)</x:f>
        <x:v>0</x:v>
      </x:c>
      <x:c r="N48" s="81" t="str"/>
    </x:row>
    <x:row r="49">
      <x:c r="A49" s="81" t="n">
        <x:v>48</x:v>
      </x:c>
      <x:c r="B49" s="81" t="inlineStr">
        <x:is>
          <x:t xml:space="preserve">C. Literature &amp; Modern Thought</x:t>
        </x:is>
      </x:c>
      <x:c r="C49" s="81" t="inlineStr">
        <x:is>
          <x:t xml:space="preserve">Rilke</x:t>
        </x:is>
      </x:c>
      <x:c r="D49" s="81" t="inlineStr">
        <x:is>
          <x:t xml:space="preserve">Primary/critical editions; reputable archives</x:t>
        </x:is>
      </x:c>
      <x:c r="E49" s="81" t="inlineStr">
        <x:is>
          <x:t xml:space="preserve">Passages on lived human experience; record work/chapter/page; flag copyright</x:t>
        </x:is>
      </x:c>
      <x:c r="F49" s="81" t="n">
        <x:v>20</x:v>
      </x:c>
      <x:c r="G49" s="81" t="n">
        <x:v>2</x:v>
      </x:c>
      <x:c r="H49" s="81" t="n">
        <x:v>3</x:v>
      </x:c>
      <x:c r="I49" s="81" t="str"/>
      <x:c r="J49" s="81" t="str"/>
      <x:c r="K49" s="81" t="str"/>
      <x:c r="L49" s="81" t="inlineStr">
        <x:is>
          <x:t xml:space="preserve">Planned</x:t>
        </x:is>
      </x:c>
      <x:c r="M49" s="102" t="n">
        <x:f>IFERROR((I49+J49+K49)/(F49+G49+H49),0)</x:f>
        <x:v>0</x:v>
      </x:c>
      <x:c r="N49" s="81" t="str"/>
    </x:row>
    <x:row r="50">
      <x:c r="A50" s="81" t="n">
        <x:v>49</x:v>
      </x:c>
      <x:c r="B50" s="81" t="inlineStr">
        <x:is>
          <x:t xml:space="preserve">C. Literature &amp; Modern Thought</x:t>
        </x:is>
      </x:c>
      <x:c r="C50" s="81" t="inlineStr">
        <x:is>
          <x:t xml:space="preserve">Montaigne</x:t>
        </x:is>
      </x:c>
      <x:c r="D50" s="81" t="inlineStr">
        <x:is>
          <x:t xml:space="preserve">Primary/critical editions; reputable archives</x:t>
        </x:is>
      </x:c>
      <x:c r="E50" s="81" t="inlineStr">
        <x:is>
          <x:t xml:space="preserve">Passages on lived human experience; record work/chapter/page; flag copyright</x:t>
        </x:is>
      </x:c>
      <x:c r="F50" s="81" t="n">
        <x:v>20</x:v>
      </x:c>
      <x:c r="G50" s="81" t="n">
        <x:v>2</x:v>
      </x:c>
      <x:c r="H50" s="81" t="n">
        <x:v>3</x:v>
      </x:c>
      <x:c r="I50" s="81" t="str"/>
      <x:c r="J50" s="81" t="str"/>
      <x:c r="K50" s="81" t="str"/>
      <x:c r="L50" s="81" t="inlineStr">
        <x:is>
          <x:t xml:space="preserve">Planned</x:t>
        </x:is>
      </x:c>
      <x:c r="M50" s="102" t="n">
        <x:f>IFERROR((I50+J50+K50)/(F50+G50+H50),0)</x:f>
        <x:v>0</x:v>
      </x:c>
      <x:c r="N50" s="81" t="str"/>
    </x:row>
    <x:row r="51">
      <x:c r="A51" s="81" t="n">
        <x:v>50</x:v>
      </x:c>
      <x:c r="B51" s="81" t="inlineStr">
        <x:is>
          <x:t xml:space="preserve">C. Literature &amp; Modern Thought</x:t>
        </x:is>
      </x:c>
      <x:c r="C51" s="81" t="inlineStr">
        <x:is>
          <x:t xml:space="preserve">Kierkegaard</x:t>
        </x:is>
      </x:c>
      <x:c r="D51" s="81" t="inlineStr">
        <x:is>
          <x:t xml:space="preserve">Primary/critical editions; reputable archives</x:t>
        </x:is>
      </x:c>
      <x:c r="E51" s="81" t="inlineStr">
        <x:is>
          <x:t xml:space="preserve">Passages on lived human experience; record work/chapter/page; flag copyright</x:t>
        </x:is>
      </x:c>
      <x:c r="F51" s="81" t="n">
        <x:v>20</x:v>
      </x:c>
      <x:c r="G51" s="81" t="n">
        <x:v>2</x:v>
      </x:c>
      <x:c r="H51" s="81" t="n">
        <x:v>3</x:v>
      </x:c>
      <x:c r="I51" s="81" t="str"/>
      <x:c r="J51" s="81" t="str"/>
      <x:c r="K51" s="81" t="str"/>
      <x:c r="L51" s="81" t="inlineStr">
        <x:is>
          <x:t xml:space="preserve">Planned</x:t>
        </x:is>
      </x:c>
      <x:c r="M51" s="102" t="n">
        <x:f>IFERROR((I51+J51+K51)/(F51+G51+H51),0)</x:f>
        <x:v>0</x:v>
      </x:c>
      <x:c r="N51" s="81" t="str"/>
    </x:row>
    <x:row r="52">
      <x:c r="A52" s="81" t="n">
        <x:v>51</x:v>
      </x:c>
      <x:c r="B52" s="81" t="inlineStr">
        <x:is>
          <x:t xml:space="preserve">C. Literature &amp; Modern Thought</x:t>
        </x:is>
      </x:c>
      <x:c r="C52" s="81" t="inlineStr">
        <x:is>
          <x:t xml:space="preserve">Simone Weil</x:t>
        </x:is>
      </x:c>
      <x:c r="D52" s="81" t="inlineStr">
        <x:is>
          <x:t xml:space="preserve">Primary/critical editions; reputable archives</x:t>
        </x:is>
      </x:c>
      <x:c r="E52" s="81" t="inlineStr">
        <x:is>
          <x:t xml:space="preserve">Passages on lived human experience; record work/chapter/page; flag copyright</x:t>
        </x:is>
      </x:c>
      <x:c r="F52" s="81" t="n">
        <x:v>20</x:v>
      </x:c>
      <x:c r="G52" s="81" t="n">
        <x:v>2</x:v>
      </x:c>
      <x:c r="H52" s="81" t="n">
        <x:v>3</x:v>
      </x:c>
      <x:c r="I52" s="81" t="str"/>
      <x:c r="J52" s="81" t="str"/>
      <x:c r="K52" s="81" t="str"/>
      <x:c r="L52" s="81" t="inlineStr">
        <x:is>
          <x:t xml:space="preserve">Planned</x:t>
        </x:is>
      </x:c>
      <x:c r="M52" s="102" t="n">
        <x:f>IFERROR((I52+J52+K52)/(F52+G52+H52),0)</x:f>
        <x:v>0</x:v>
      </x:c>
      <x:c r="N52" s="81" t="str"/>
    </x:row>
    <x:row r="53">
      <x:c r="A53" s="81" t="n">
        <x:v>52</x:v>
      </x:c>
      <x:c r="B53" s="81" t="inlineStr">
        <x:is>
          <x:t xml:space="preserve">C. Literature &amp; Modern Thought</x:t>
        </x:is>
      </x:c>
      <x:c r="C53" s="81" t="inlineStr">
        <x:is>
          <x:t xml:space="preserve">Hannah Arendt</x:t>
        </x:is>
      </x:c>
      <x:c r="D53" s="81" t="inlineStr">
        <x:is>
          <x:t xml:space="preserve">Primary/critical editions; reputable archives</x:t>
        </x:is>
      </x:c>
      <x:c r="E53" s="81" t="inlineStr">
        <x:is>
          <x:t xml:space="preserve">Passages on lived human experience; record work/chapter/page; flag copyright</x:t>
        </x:is>
      </x:c>
      <x:c r="F53" s="81" t="n">
        <x:v>20</x:v>
      </x:c>
      <x:c r="G53" s="81" t="n">
        <x:v>2</x:v>
      </x:c>
      <x:c r="H53" s="81" t="n">
        <x:v>3</x:v>
      </x:c>
      <x:c r="I53" s="81" t="str"/>
      <x:c r="J53" s="81" t="str"/>
      <x:c r="K53" s="81" t="str"/>
      <x:c r="L53" s="81" t="inlineStr">
        <x:is>
          <x:t xml:space="preserve">Planned</x:t>
        </x:is>
      </x:c>
      <x:c r="M53" s="102" t="n">
        <x:f>IFERROR((I53+J53+K53)/(F53+G53+H53),0)</x:f>
        <x:v>0</x:v>
      </x:c>
      <x:c r="N53" s="81" t="str"/>
    </x:row>
    <x:row r="54">
      <x:c r="A54" s="81" t="n">
        <x:v>53</x:v>
      </x:c>
      <x:c r="B54" s="81" t="inlineStr">
        <x:is>
          <x:t xml:space="preserve">C. Literature &amp; Modern Thought</x:t>
        </x:is>
      </x:c>
      <x:c r="C54" s="81" t="inlineStr">
        <x:is>
          <x:t xml:space="preserve">Tagore</x:t>
        </x:is>
      </x:c>
      <x:c r="D54" s="81" t="inlineStr">
        <x:is>
          <x:t xml:space="preserve">Primary/critical editions; reputable archives</x:t>
        </x:is>
      </x:c>
      <x:c r="E54" s="81" t="inlineStr">
        <x:is>
          <x:t xml:space="preserve">Passages on lived human experience; record work/chapter/page; flag copyright</x:t>
        </x:is>
      </x:c>
      <x:c r="F54" s="81" t="n">
        <x:v>20</x:v>
      </x:c>
      <x:c r="G54" s="81" t="n">
        <x:v>2</x:v>
      </x:c>
      <x:c r="H54" s="81" t="n">
        <x:v>3</x:v>
      </x:c>
      <x:c r="I54" s="81" t="str"/>
      <x:c r="J54" s="81" t="str"/>
      <x:c r="K54" s="81" t="str"/>
      <x:c r="L54" s="81" t="inlineStr">
        <x:is>
          <x:t xml:space="preserve">Planned</x:t>
        </x:is>
      </x:c>
      <x:c r="M54" s="102" t="n">
        <x:f>IFERROR((I54+J54+K54)/(F54+G54+H54),0)</x:f>
        <x:v>0</x:v>
      </x:c>
      <x:c r="N54" s="81" t="str"/>
    </x:row>
    <x:row r="55">
      <x:c r="A55" s="81" t="n">
        <x:v>54</x:v>
      </x:c>
      <x:c r="B55" s="81" t="inlineStr">
        <x:is>
          <x:t xml:space="preserve">C. Literature &amp; Modern Thought</x:t>
        </x:is>
      </x:c>
      <x:c r="C55" s="81" t="inlineStr">
        <x:is>
          <x:t xml:space="preserve">Modern Asian literature / thought</x:t>
        </x:is>
      </x:c>
      <x:c r="D55" s="81" t="inlineStr">
        <x:is>
          <x:t xml:space="preserve">Primary/critical editions; reputable archives</x:t>
        </x:is>
      </x:c>
      <x:c r="E55" s="81" t="inlineStr">
        <x:is>
          <x:t xml:space="preserve">Passages on lived human experience; record work/chapter/page; flag copyright</x:t>
        </x:is>
      </x:c>
      <x:c r="F55" s="81" t="n">
        <x:v>20</x:v>
      </x:c>
      <x:c r="G55" s="81" t="n">
        <x:v>2</x:v>
      </x:c>
      <x:c r="H55" s="81" t="n">
        <x:v>3</x:v>
      </x:c>
      <x:c r="I55" s="81" t="str"/>
      <x:c r="J55" s="81" t="str"/>
      <x:c r="K55" s="81" t="str"/>
      <x:c r="L55" s="81" t="inlineStr">
        <x:is>
          <x:t xml:space="preserve">Planned</x:t>
        </x:is>
      </x:c>
      <x:c r="M55" s="102" t="n">
        <x:f>IFERROR((I55+J55+K55)/(F55+G55+H55),0)</x:f>
        <x:v>0</x:v>
      </x:c>
      <x:c r="N55" s="81" t="str"/>
    </x:row>
    <x:row r="56">
      <x:c r="A56" s="81" t="n">
        <x:v>55</x:v>
      </x:c>
      <x:c r="B56" s="81" t="inlineStr">
        <x:is>
          <x:t xml:space="preserve">C. Literature &amp; Modern Thought</x:t>
        </x:is>
      </x:c>
      <x:c r="C56" s="81" t="inlineStr">
        <x:is>
          <x:t xml:space="preserve">Literature coverage review</x:t>
        </x:is>
      </x:c>
      <x:c r="D56" s="81" t="inlineStr">
        <x:is>
          <x:t xml:space="preserve">Phase C corpus</x:t>
        </x:is>
      </x:c>
      <x:c r="E56" s="81" t="inlineStr">
        <x:is>
          <x:t xml:space="preserve">Deduplicate; map loneliness, uncertainty, identity, grief, meaning, ordinary life, contradiction, work, love, choice</x:t>
        </x:is>
      </x:c>
      <x:c r="F56" s="81" t="n">
        <x:v>5</x:v>
      </x:c>
      <x:c r="G56" s="81" t="n">
        <x:v>0</x:v>
      </x:c>
      <x:c r="H56" s="81" t="n">
        <x:v>5</x:v>
      </x:c>
      <x:c r="I56" s="81" t="str"/>
      <x:c r="J56" s="81" t="str"/>
      <x:c r="K56" s="81" t="str"/>
      <x:c r="L56" s="81" t="inlineStr">
        <x:is>
          <x:t xml:space="preserve">Planned</x:t>
        </x:is>
      </x:c>
      <x:c r="M56" s="102" t="n">
        <x:f>IFERROR((I56+J56+K56)/(F56+G56+H56),0)</x:f>
        <x:v>0</x:v>
      </x:c>
      <x:c r="N56" s="81" t="str"/>
    </x:row>
    <x:row r="57">
      <x:c r="A57" s="81" t="n">
        <x:v>56</x:v>
      </x:c>
      <x:c r="B57" s="81" t="inlineStr">
        <x:is>
          <x:t xml:space="preserve">D. Psychology &amp; Human Science</x:t>
        </x:is>
      </x:c>
      <x:c r="C57" s="81" t="inlineStr">
        <x:is>
          <x:t xml:space="preserve">William James</x:t>
        </x:is>
      </x:c>
      <x:c r="D57" s="81" t="inlineStr">
        <x:is>
          <x:t xml:space="preserve">Primary works / archives</x:t>
        </x:is>
      </x:c>
      <x:c r="E57" s="81" t="inlineStr">
        <x:is>
          <x:t xml:space="preserve">Attention, habit, experience, choice; extract finding + limitation + Selflo principle seed</x:t>
        </x:is>
      </x:c>
      <x:c r="F57" s="81" t="n">
        <x:v>8</x:v>
      </x:c>
      <x:c r="G57" s="81" t="n">
        <x:v>1</x:v>
      </x:c>
      <x:c r="H57" s="81" t="n">
        <x:v>8</x:v>
      </x:c>
      <x:c r="I57" s="81" t="str"/>
      <x:c r="J57" s="81" t="str"/>
      <x:c r="K57" s="81" t="str"/>
      <x:c r="L57" s="81" t="inlineStr">
        <x:is>
          <x:t xml:space="preserve">Planned</x:t>
        </x:is>
      </x:c>
      <x:c r="M57" s="102" t="n">
        <x:f>IFERROR((I57+J57+K57)/(F57+G57+H57),0)</x:f>
        <x:v>0</x:v>
      </x:c>
      <x:c r="N57" s="81" t="str"/>
    </x:row>
    <x:row r="58">
      <x:c r="A58" s="81" t="n">
        <x:v>57</x:v>
      </x:c>
      <x:c r="B58" s="81" t="inlineStr">
        <x:is>
          <x:t xml:space="preserve">D. Psychology &amp; Human Science</x:t>
        </x:is>
      </x:c>
      <x:c r="C58" s="81" t="inlineStr">
        <x:is>
          <x:t xml:space="preserve">Carl Rogers</x:t>
        </x:is>
      </x:c>
      <x:c r="D58" s="81" t="inlineStr">
        <x:is>
          <x:t xml:space="preserve">Primary works / reputable archives</x:t>
        </x:is>
      </x:c>
      <x:c r="E58" s="81" t="inlineStr">
        <x:is>
          <x:t xml:space="preserve">Acceptance, congruence, listening, self; extract finding + limitation + Selflo principle seed</x:t>
        </x:is>
      </x:c>
      <x:c r="F58" s="81" t="n">
        <x:v>8</x:v>
      </x:c>
      <x:c r="G58" s="81" t="n">
        <x:v>1</x:v>
      </x:c>
      <x:c r="H58" s="81" t="n">
        <x:v>8</x:v>
      </x:c>
      <x:c r="I58" s="81" t="str"/>
      <x:c r="J58" s="81" t="str"/>
      <x:c r="K58" s="81" t="str"/>
      <x:c r="L58" s="81" t="inlineStr">
        <x:is>
          <x:t xml:space="preserve">Planned</x:t>
        </x:is>
      </x:c>
      <x:c r="M58" s="102" t="n">
        <x:f>IFERROR((I58+J58+K58)/(F58+G58+H58),0)</x:f>
        <x:v>0</x:v>
      </x:c>
      <x:c r="N58" s="81" t="str"/>
    </x:row>
    <x:row r="59">
      <x:c r="A59" s="81" t="n">
        <x:v>58</x:v>
      </x:c>
      <x:c r="B59" s="81" t="inlineStr">
        <x:is>
          <x:t xml:space="preserve">D. Psychology &amp; Human Science</x:t>
        </x:is>
      </x:c>
      <x:c r="C59" s="81" t="inlineStr">
        <x:is>
          <x:t xml:space="preserve">Viktor Frankl</x:t>
        </x:is>
      </x:c>
      <x:c r="D59" s="81" t="inlineStr">
        <x:is>
          <x:t xml:space="preserve">Primary works / Frankl Institute</x:t>
        </x:is>
      </x:c>
      <x:c r="E59" s="81" t="inlineStr">
        <x:is>
          <x:t xml:space="preserve">Meaning, freedom, responsibility; fake attribution audit; extract finding + limitation + Selflo principle seed</x:t>
        </x:is>
      </x:c>
      <x:c r="F59" s="81" t="n">
        <x:v>8</x:v>
      </x:c>
      <x:c r="G59" s="81" t="n">
        <x:v>1</x:v>
      </x:c>
      <x:c r="H59" s="81" t="n">
        <x:v>8</x:v>
      </x:c>
      <x:c r="I59" s="81" t="str"/>
      <x:c r="J59" s="81" t="str"/>
      <x:c r="K59" s="81" t="str"/>
      <x:c r="L59" s="81" t="inlineStr">
        <x:is>
          <x:t xml:space="preserve">Planned</x:t>
        </x:is>
      </x:c>
      <x:c r="M59" s="102" t="n">
        <x:f>IFERROR((I59+J59+K59)/(F59+G59+H59),0)</x:f>
        <x:v>0</x:v>
      </x:c>
      <x:c r="N59" s="81" t="str"/>
    </x:row>
    <x:row r="60">
      <x:c r="A60" s="81" t="n">
        <x:v>59</x:v>
      </x:c>
      <x:c r="B60" s="81" t="inlineStr">
        <x:is>
          <x:t xml:space="preserve">D. Psychology &amp; Human Science</x:t>
        </x:is>
      </x:c>
      <x:c r="C60" s="81" t="inlineStr">
        <x:is>
          <x:t xml:space="preserve">Self-compassion research</x:t>
        </x:is>
      </x:c>
      <x:c r="D60" s="81" t="inlineStr">
        <x:is>
          <x:t xml:space="preserve">Peer-reviewed research / institutional sources</x:t>
        </x:is>
      </x:c>
      <x:c r="E60" s="81" t="inlineStr">
        <x:is>
          <x:t xml:space="preserve">Self-kindness, common humanity, self-criticism; extract finding + limitation + Selflo principle seed</x:t>
        </x:is>
      </x:c>
      <x:c r="F60" s="81" t="n">
        <x:v>8</x:v>
      </x:c>
      <x:c r="G60" s="81" t="n">
        <x:v>1</x:v>
      </x:c>
      <x:c r="H60" s="81" t="n">
        <x:v>8</x:v>
      </x:c>
      <x:c r="I60" s="81" t="str"/>
      <x:c r="J60" s="81" t="str"/>
      <x:c r="K60" s="81" t="str"/>
      <x:c r="L60" s="81" t="inlineStr">
        <x:is>
          <x:t xml:space="preserve">Planned</x:t>
        </x:is>
      </x:c>
      <x:c r="M60" s="102" t="n">
        <x:f>IFERROR((I60+J60+K60)/(F60+G60+H60),0)</x:f>
        <x:v>0</x:v>
      </x:c>
      <x:c r="N60" s="81" t="str"/>
    </x:row>
    <x:row r="61">
      <x:c r="A61" s="81" t="n">
        <x:v>60</x:v>
      </x:c>
      <x:c r="B61" s="81" t="inlineStr">
        <x:is>
          <x:t xml:space="preserve">D. Psychology &amp; Human Science</x:t>
        </x:is>
      </x:c>
      <x:c r="C61" s="81" t="inlineStr">
        <x:is>
          <x:t xml:space="preserve">Psychological flexibility / ACT</x:t>
        </x:is>
      </x:c>
      <x:c r="D61" s="81" t="inlineStr">
        <x:is>
          <x:t xml:space="preserve">Peer-reviewed research</x:t>
        </x:is>
      </x:c>
      <x:c r="E61" s="81" t="inlineStr">
        <x:is>
          <x:t xml:space="preserve">Values, acceptance, flexibility, action; extract finding + limitation + Selflo principle seed</x:t>
        </x:is>
      </x:c>
      <x:c r="F61" s="81" t="n">
        <x:v>8</x:v>
      </x:c>
      <x:c r="G61" s="81" t="n">
        <x:v>1</x:v>
      </x:c>
      <x:c r="H61" s="81" t="n">
        <x:v>8</x:v>
      </x:c>
      <x:c r="I61" s="81" t="str"/>
      <x:c r="J61" s="81" t="str"/>
      <x:c r="K61" s="81" t="str"/>
      <x:c r="L61" s="81" t="inlineStr">
        <x:is>
          <x:t xml:space="preserve">Planned</x:t>
        </x:is>
      </x:c>
      <x:c r="M61" s="102" t="n">
        <x:f>IFERROR((I61+J61+K61)/(F61+G61+H61),0)</x:f>
        <x:v>0</x:v>
      </x:c>
      <x:c r="N61" s="81" t="str"/>
    </x:row>
    <x:row r="62">
      <x:c r="A62" s="81" t="n">
        <x:v>61</x:v>
      </x:c>
      <x:c r="B62" s="81" t="inlineStr">
        <x:is>
          <x:t xml:space="preserve">D. Psychology &amp; Human Science</x:t>
        </x:is>
      </x:c>
      <x:c r="C62" s="81" t="inlineStr">
        <x:is>
          <x:t xml:space="preserve">Affect labeling</x:t>
        </x:is>
      </x:c>
      <x:c r="D62" s="81" t="inlineStr">
        <x:is>
          <x:t xml:space="preserve">Peer-reviewed research</x:t>
        </x:is>
      </x:c>
      <x:c r="E62" s="81" t="inlineStr">
        <x:is>
          <x:t xml:space="preserve">Naming emotions; effects and limitations; extract finding + limitation + Selflo principle seed</x:t>
        </x:is>
      </x:c>
      <x:c r="F62" s="81" t="n">
        <x:v>8</x:v>
      </x:c>
      <x:c r="G62" s="81" t="n">
        <x:v>1</x:v>
      </x:c>
      <x:c r="H62" s="81" t="n">
        <x:v>8</x:v>
      </x:c>
      <x:c r="I62" s="81" t="str"/>
      <x:c r="J62" s="81" t="str"/>
      <x:c r="K62" s="81" t="str"/>
      <x:c r="L62" s="81" t="inlineStr">
        <x:is>
          <x:t xml:space="preserve">Planned</x:t>
        </x:is>
      </x:c>
      <x:c r="M62" s="102" t="n">
        <x:f>IFERROR((I62+J62+K62)/(F62+G62+H62),0)</x:f>
        <x:v>0</x:v>
      </x:c>
      <x:c r="N62" s="81" t="str"/>
    </x:row>
    <x:row r="63">
      <x:c r="A63" s="81" t="n">
        <x:v>62</x:v>
      </x:c>
      <x:c r="B63" s="81" t="inlineStr">
        <x:is>
          <x:t xml:space="preserve">D. Psychology &amp; Human Science</x:t>
        </x:is>
      </x:c>
      <x:c r="C63" s="81" t="inlineStr">
        <x:is>
          <x:t xml:space="preserve">Mixed emotions</x:t>
        </x:is>
      </x:c>
      <x:c r="D63" s="81" t="inlineStr">
        <x:is>
          <x:t xml:space="preserve">Peer-reviewed research</x:t>
        </x:is>
      </x:c>
      <x:c r="E63" s="81" t="inlineStr">
        <x:is>
          <x:t xml:space="preserve">Co-occurring positive/negative emotions; bittersweet states; extract finding + limitation + Selflo principle seed</x:t>
        </x:is>
      </x:c>
      <x:c r="F63" s="81" t="n">
        <x:v>8</x:v>
      </x:c>
      <x:c r="G63" s="81" t="n">
        <x:v>1</x:v>
      </x:c>
      <x:c r="H63" s="81" t="n">
        <x:v>8</x:v>
      </x:c>
      <x:c r="I63" s="81" t="str"/>
      <x:c r="J63" s="81" t="str"/>
      <x:c r="K63" s="81" t="str"/>
      <x:c r="L63" s="81" t="inlineStr">
        <x:is>
          <x:t xml:space="preserve">Planned</x:t>
        </x:is>
      </x:c>
      <x:c r="M63" s="102" t="n">
        <x:f>IFERROR((I63+J63+K63)/(F63+G63+H63),0)</x:f>
        <x:v>0</x:v>
      </x:c>
      <x:c r="N63" s="81" t="str"/>
    </x:row>
    <x:row r="64">
      <x:c r="A64" s="81" t="n">
        <x:v>63</x:v>
      </x:c>
      <x:c r="B64" s="81" t="inlineStr">
        <x:is>
          <x:t xml:space="preserve">D. Psychology &amp; Human Science</x:t>
        </x:is>
      </x:c>
      <x:c r="C64" s="81" t="inlineStr">
        <x:is>
          <x:t xml:space="preserve">Rumination</x:t>
        </x:is>
      </x:c>
      <x:c r="D64" s="81" t="inlineStr">
        <x:is>
          <x:t xml:space="preserve">Peer-reviewed research</x:t>
        </x:is>
      </x:c>
      <x:c r="E64" s="81" t="inlineStr">
        <x:is>
          <x:t xml:space="preserve">Repetitive thought, mood, attention; limitations; extract finding + limitation + Selflo principle seed</x:t>
        </x:is>
      </x:c>
      <x:c r="F64" s="81" t="n">
        <x:v>8</x:v>
      </x:c>
      <x:c r="G64" s="81" t="n">
        <x:v>1</x:v>
      </x:c>
      <x:c r="H64" s="81" t="n">
        <x:v>8</x:v>
      </x:c>
      <x:c r="I64" s="81" t="str"/>
      <x:c r="J64" s="81" t="str"/>
      <x:c r="K64" s="81" t="str"/>
      <x:c r="L64" s="81" t="inlineStr">
        <x:is>
          <x:t xml:space="preserve">Planned</x:t>
        </x:is>
      </x:c>
      <x:c r="M64" s="102" t="n">
        <x:f>IFERROR((I64+J64+K64)/(F64+G64+H64),0)</x:f>
        <x:v>0</x:v>
      </x:c>
      <x:c r="N64" s="81" t="str"/>
    </x:row>
    <x:row r="65">
      <x:c r="A65" s="81" t="n">
        <x:v>64</x:v>
      </x:c>
      <x:c r="B65" s="81" t="inlineStr">
        <x:is>
          <x:t xml:space="preserve">D. Psychology &amp; Human Science</x:t>
        </x:is>
      </x:c>
      <x:c r="C65" s="81" t="inlineStr">
        <x:is>
          <x:t xml:space="preserve">Psychological detachment from work</x:t>
        </x:is>
      </x:c>
      <x:c r="D65" s="81" t="inlineStr">
        <x:is>
          <x:t xml:space="preserve">Peer-reviewed research</x:t>
        </x:is>
      </x:c>
      <x:c r="E65" s="81" t="inlineStr">
        <x:is>
          <x:t xml:space="preserve">Work carryover, recovery, switching off; extract finding + limitation + Selflo principle seed</x:t>
        </x:is>
      </x:c>
      <x:c r="F65" s="81" t="n">
        <x:v>8</x:v>
      </x:c>
      <x:c r="G65" s="81" t="n">
        <x:v>1</x:v>
      </x:c>
      <x:c r="H65" s="81" t="n">
        <x:v>8</x:v>
      </x:c>
      <x:c r="I65" s="81" t="str"/>
      <x:c r="J65" s="81" t="str"/>
      <x:c r="K65" s="81" t="str"/>
      <x:c r="L65" s="81" t="inlineStr">
        <x:is>
          <x:t xml:space="preserve">Planned</x:t>
        </x:is>
      </x:c>
      <x:c r="M65" s="102" t="n">
        <x:f>IFERROR((I65+J65+K65)/(F65+G65+H65),0)</x:f>
        <x:v>0</x:v>
      </x:c>
      <x:c r="N65" s="81" t="str"/>
    </x:row>
    <x:row r="66">
      <x:c r="A66" s="81" t="n">
        <x:v>65</x:v>
      </x:c>
      <x:c r="B66" s="81" t="inlineStr">
        <x:is>
          <x:t xml:space="preserve">D. Psychology &amp; Human Science</x:t>
        </x:is>
      </x:c>
      <x:c r="C66" s="81" t="inlineStr">
        <x:is>
          <x:t xml:space="preserve">Recovery / fatigue / burnout</x:t>
        </x:is>
      </x:c>
      <x:c r="D66" s="81" t="inlineStr">
        <x:is>
          <x:t xml:space="preserve">Peer-reviewed research / WHO where relevant</x:t>
        </x:is>
      </x:c>
      <x:c r="E66" s="81" t="inlineStr">
        <x:is>
          <x:t xml:space="preserve">Recovery, workload, fatigue; avoid diagnosis creep; extract finding + limitation + Selflo principle seed</x:t>
        </x:is>
      </x:c>
      <x:c r="F66" s="81" t="n">
        <x:v>8</x:v>
      </x:c>
      <x:c r="G66" s="81" t="n">
        <x:v>1</x:v>
      </x:c>
      <x:c r="H66" s="81" t="n">
        <x:v>8</x:v>
      </x:c>
      <x:c r="I66" s="81" t="str"/>
      <x:c r="J66" s="81" t="str"/>
      <x:c r="K66" s="81" t="str"/>
      <x:c r="L66" s="81" t="inlineStr">
        <x:is>
          <x:t xml:space="preserve">Planned</x:t>
        </x:is>
      </x:c>
      <x:c r="M66" s="102" t="n">
        <x:f>IFERROR((I66+J66+K66)/(F66+G66+H66),0)</x:f>
        <x:v>0</x:v>
      </x:c>
      <x:c r="N66" s="81" t="str"/>
    </x:row>
    <x:row r="67">
      <x:c r="A67" s="81" t="n">
        <x:v>66</x:v>
      </x:c>
      <x:c r="B67" s="81" t="inlineStr">
        <x:is>
          <x:t xml:space="preserve">D. Psychology &amp; Human Science</x:t>
        </x:is>
      </x:c>
      <x:c r="C67" s="81" t="inlineStr">
        <x:is>
          <x:t xml:space="preserve">Uncertainty tolerance</x:t>
        </x:is>
      </x:c>
      <x:c r="D67" s="81" t="inlineStr">
        <x:is>
          <x:t xml:space="preserve">Peer-reviewed research</x:t>
        </x:is>
      </x:c>
      <x:c r="E67" s="81" t="inlineStr">
        <x:is>
          <x:t xml:space="preserve">Ambiguity, intolerance of uncertainty, waiting; extract finding + limitation + Selflo principle seed</x:t>
        </x:is>
      </x:c>
      <x:c r="F67" s="81" t="n">
        <x:v>8</x:v>
      </x:c>
      <x:c r="G67" s="81" t="n">
        <x:v>1</x:v>
      </x:c>
      <x:c r="H67" s="81" t="n">
        <x:v>8</x:v>
      </x:c>
      <x:c r="I67" s="81" t="str"/>
      <x:c r="J67" s="81" t="str"/>
      <x:c r="K67" s="81" t="str"/>
      <x:c r="L67" s="81" t="inlineStr">
        <x:is>
          <x:t xml:space="preserve">Planned</x:t>
        </x:is>
      </x:c>
      <x:c r="M67" s="102" t="n">
        <x:f>IFERROR((I67+J67+K67)/(F67+G67+H67),0)</x:f>
        <x:v>0</x:v>
      </x:c>
      <x:c r="N67" s="81" t="str"/>
    </x:row>
    <x:row r="68">
      <x:c r="A68" s="81" t="n">
        <x:v>67</x:v>
      </x:c>
      <x:c r="B68" s="81" t="inlineStr">
        <x:is>
          <x:t xml:space="preserve">D. Psychology &amp; Human Science</x:t>
        </x:is>
      </x:c>
      <x:c r="C68" s="81" t="inlineStr">
        <x:is>
          <x:t xml:space="preserve">Decision making</x:t>
        </x:is>
      </x:c>
      <x:c r="D68" s="81" t="inlineStr">
        <x:is>
          <x:t xml:space="preserve">Decision science research</x:t>
        </x:is>
      </x:c>
      <x:c r="E68" s="81" t="inlineStr">
        <x:is>
          <x:t xml:space="preserve">Trade-offs, judgment, irreversible/reversible decisions; extract finding + limitation + Selflo principle seed</x:t>
        </x:is>
      </x:c>
      <x:c r="F68" s="81" t="n">
        <x:v>8</x:v>
      </x:c>
      <x:c r="G68" s="81" t="n">
        <x:v>1</x:v>
      </x:c>
      <x:c r="H68" s="81" t="n">
        <x:v>8</x:v>
      </x:c>
      <x:c r="I68" s="81" t="str"/>
      <x:c r="J68" s="81" t="str"/>
      <x:c r="K68" s="81" t="str"/>
      <x:c r="L68" s="81" t="inlineStr">
        <x:is>
          <x:t xml:space="preserve">Planned</x:t>
        </x:is>
      </x:c>
      <x:c r="M68" s="102" t="n">
        <x:f>IFERROR((I68+J68+K68)/(F68+G68+H68),0)</x:f>
        <x:v>0</x:v>
      </x:c>
      <x:c r="N68" s="81" t="str"/>
    </x:row>
    <x:row r="69">
      <x:c r="A69" s="81" t="n">
        <x:v>68</x:v>
      </x:c>
      <x:c r="B69" s="81" t="inlineStr">
        <x:is>
          <x:t xml:space="preserve">D. Psychology &amp; Human Science</x:t>
        </x:is>
      </x:c>
      <x:c r="C69" s="81" t="inlineStr">
        <x:is>
          <x:t xml:space="preserve">Choice / choice overload</x:t>
        </x:is>
      </x:c>
      <x:c r="D69" s="81" t="inlineStr">
        <x:is>
          <x:t xml:space="preserve">Peer-reviewed research</x:t>
        </x:is>
      </x:c>
      <x:c r="E69" s="81" t="inlineStr">
        <x:is>
          <x:t xml:space="preserve">Choice set, moderators, judgment bottlenecks; extract finding + limitation + Selflo principle seed</x:t>
        </x:is>
      </x:c>
      <x:c r="F69" s="81" t="n">
        <x:v>8</x:v>
      </x:c>
      <x:c r="G69" s="81" t="n">
        <x:v>1</x:v>
      </x:c>
      <x:c r="H69" s="81" t="n">
        <x:v>8</x:v>
      </x:c>
      <x:c r="I69" s="81" t="str"/>
      <x:c r="J69" s="81" t="str"/>
      <x:c r="K69" s="81" t="str"/>
      <x:c r="L69" s="81" t="inlineStr">
        <x:is>
          <x:t xml:space="preserve">Planned</x:t>
        </x:is>
      </x:c>
      <x:c r="M69" s="102" t="n">
        <x:f>IFERROR((I69+J69+K69)/(F69+G69+H69),0)</x:f>
        <x:v>0</x:v>
      </x:c>
      <x:c r="N69" s="81" t="str"/>
    </x:row>
    <x:row r="70">
      <x:c r="A70" s="81" t="n">
        <x:v>69</x:v>
      </x:c>
      <x:c r="B70" s="81" t="inlineStr">
        <x:is>
          <x:t xml:space="preserve">D. Psychology &amp; Human Science</x:t>
        </x:is>
      </x:c>
      <x:c r="C70" s="81" t="inlineStr">
        <x:is>
          <x:t xml:space="preserve">Comparison / self-evaluation</x:t>
        </x:is>
      </x:c>
      <x:c r="D70" s="81" t="inlineStr">
        <x:is>
          <x:t xml:space="preserve">Peer-reviewed research</x:t>
        </x:is>
      </x:c>
      <x:c r="E70" s="81" t="inlineStr">
        <x:is>
          <x:t xml:space="preserve">Social comparison, standards, self-worth; extract finding + limitation + Selflo principle seed</x:t>
        </x:is>
      </x:c>
      <x:c r="F70" s="81" t="n">
        <x:v>8</x:v>
      </x:c>
      <x:c r="G70" s="81" t="n">
        <x:v>1</x:v>
      </x:c>
      <x:c r="H70" s="81" t="n">
        <x:v>8</x:v>
      </x:c>
      <x:c r="I70" s="81" t="str"/>
      <x:c r="J70" s="81" t="str"/>
      <x:c r="K70" s="81" t="str"/>
      <x:c r="L70" s="81" t="inlineStr">
        <x:is>
          <x:t xml:space="preserve">Planned</x:t>
        </x:is>
      </x:c>
      <x:c r="M70" s="102" t="n">
        <x:f>IFERROR((I70+J70+K70)/(F70+G70+H70),0)</x:f>
        <x:v>0</x:v>
      </x:c>
      <x:c r="N70" s="81" t="str"/>
    </x:row>
    <x:row r="71">
      <x:c r="A71" s="81" t="n">
        <x:v>70</x:v>
      </x:c>
      <x:c r="B71" s="81" t="inlineStr">
        <x:is>
          <x:t xml:space="preserve">D. Psychology &amp; Human Science</x:t>
        </x:is>
      </x:c>
      <x:c r="C71" s="81" t="inlineStr">
        <x:is>
          <x:t xml:space="preserve">Meaning / identity / values</x:t>
        </x:is>
      </x:c>
      <x:c r="D71" s="81" t="inlineStr">
        <x:is>
          <x:t xml:space="preserve">Peer-reviewed research</x:t>
        </x:is>
      </x:c>
      <x:c r="E71" s="81" t="inlineStr">
        <x:is>
          <x:t xml:space="preserve">Meaning-making, identity, values, work identity; extract finding + limitation + Selflo principle seed</x:t>
        </x:is>
      </x:c>
      <x:c r="F71" s="81" t="n">
        <x:v>8</x:v>
      </x:c>
      <x:c r="G71" s="81" t="n">
        <x:v>1</x:v>
      </x:c>
      <x:c r="H71" s="81" t="n">
        <x:v>8</x:v>
      </x:c>
      <x:c r="I71" s="81" t="str"/>
      <x:c r="J71" s="81" t="str"/>
      <x:c r="K71" s="81" t="str"/>
      <x:c r="L71" s="81" t="inlineStr">
        <x:is>
          <x:t xml:space="preserve">Planned</x:t>
        </x:is>
      </x:c>
      <x:c r="M71" s="102" t="n">
        <x:f>IFERROR((I71+J71+K71)/(F71+G71+H71),0)</x:f>
        <x:v>0</x:v>
      </x:c>
      <x:c r="N71" s="81" t="str"/>
    </x:row>
    <x:row r="72">
      <x:c r="A72" s="81" t="n">
        <x:v>71</x:v>
      </x:c>
      <x:c r="B72" s="81" t="inlineStr">
        <x:is>
          <x:t xml:space="preserve">E. Modern Life &amp; AI Age</x:t>
        </x:is>
      </x:c>
      <x:c r="C72" s="81" t="inlineStr">
        <x:is>
          <x:t xml:space="preserve">Abundance → scarcity migration</x:t>
        </x:is>
      </x:c>
      <x:c r="D72" s="81" t="inlineStr">
        <x:is>
          <x:t xml:space="preserve">AI-era docs + economics/history/psychology/human factors sources</x:t>
        </x:is>
      </x:c>
      <x:c r="E72" s="81" t="inlineStr">
        <x:is>
          <x:t xml:space="preserve">Find historical analogies, research findings, external wisdom; create Selflo Original seeds only after source-backed research</x:t>
        </x:is>
      </x:c>
      <x:c r="F72" s="81" t="n">
        <x:v>12</x:v>
      </x:c>
      <x:c r="G72" s="81" t="n">
        <x:v>2</x:v>
      </x:c>
      <x:c r="H72" s="81" t="n">
        <x:v>8</x:v>
      </x:c>
      <x:c r="I72" s="81" t="str"/>
      <x:c r="J72" s="81" t="str"/>
      <x:c r="K72" s="81" t="str"/>
      <x:c r="L72" s="81" t="inlineStr">
        <x:is>
          <x:t xml:space="preserve">Planned</x:t>
        </x:is>
      </x:c>
      <x:c r="M72" s="102" t="n">
        <x:f>IFERROR((I72+J72+K72)/(F72+G72+H72),0)</x:f>
        <x:v>0</x:v>
      </x:c>
      <x:c r="N72" s="81" t="str"/>
    </x:row>
    <x:row r="73">
      <x:c r="A73" s="81" t="n">
        <x:v>72</x:v>
      </x:c>
      <x:c r="B73" s="81" t="inlineStr">
        <x:is>
          <x:t xml:space="preserve">E. Modern Life &amp; AI Age</x:t>
        </x:is>
      </x:c>
      <x:c r="C73" s="81" t="inlineStr">
        <x:is>
          <x:t xml:space="preserve">Attention scarcity</x:t>
        </x:is>
      </x:c>
      <x:c r="D73" s="81" t="inlineStr">
        <x:is>
          <x:t xml:space="preserve">AI-era docs + economics/history/psychology/human factors sources</x:t>
        </x:is>
      </x:c>
      <x:c r="E73" s="81" t="inlineStr">
        <x:is>
          <x:t xml:space="preserve">Find historical analogies, research findings, external wisdom; create Selflo Original seeds only after source-backed research</x:t>
        </x:is>
      </x:c>
      <x:c r="F73" s="81" t="n">
        <x:v>12</x:v>
      </x:c>
      <x:c r="G73" s="81" t="n">
        <x:v>2</x:v>
      </x:c>
      <x:c r="H73" s="81" t="n">
        <x:v>8</x:v>
      </x:c>
      <x:c r="I73" s="81" t="str"/>
      <x:c r="J73" s="81" t="str"/>
      <x:c r="K73" s="81" t="str"/>
      <x:c r="L73" s="81" t="inlineStr">
        <x:is>
          <x:t xml:space="preserve">Planned</x:t>
        </x:is>
      </x:c>
      <x:c r="M73" s="102" t="n">
        <x:f>IFERROR((I73+J73+K73)/(F73+G73+H73),0)</x:f>
        <x:v>0</x:v>
      </x:c>
      <x:c r="N73" s="81" t="str"/>
    </x:row>
    <x:row r="74">
      <x:c r="A74" s="81" t="n">
        <x:v>73</x:v>
      </x:c>
      <x:c r="B74" s="81" t="inlineStr">
        <x:is>
          <x:t xml:space="preserve">E. Modern Life &amp; AI Age</x:t>
        </x:is>
      </x:c>
      <x:c r="C74" s="81" t="inlineStr">
        <x:is>
          <x:t xml:space="preserve">Information abundance / noise</x:t>
        </x:is>
      </x:c>
      <x:c r="D74" s="81" t="inlineStr">
        <x:is>
          <x:t xml:space="preserve">AI-era docs + economics/history/psychology/human factors sources</x:t>
        </x:is>
      </x:c>
      <x:c r="E74" s="81" t="inlineStr">
        <x:is>
          <x:t xml:space="preserve">Find historical analogies, research findings, external wisdom; create Selflo Original seeds only after source-backed research</x:t>
        </x:is>
      </x:c>
      <x:c r="F74" s="81" t="n">
        <x:v>12</x:v>
      </x:c>
      <x:c r="G74" s="81" t="n">
        <x:v>2</x:v>
      </x:c>
      <x:c r="H74" s="81" t="n">
        <x:v>8</x:v>
      </x:c>
      <x:c r="I74" s="81" t="str"/>
      <x:c r="J74" s="81" t="str"/>
      <x:c r="K74" s="81" t="str"/>
      <x:c r="L74" s="81" t="inlineStr">
        <x:is>
          <x:t xml:space="preserve">Planned</x:t>
        </x:is>
      </x:c>
      <x:c r="M74" s="102" t="n">
        <x:f>IFERROR((I74+J74+K74)/(F74+G74+H74),0)</x:f>
        <x:v>0</x:v>
      </x:c>
      <x:c r="N74" s="81" t="str"/>
    </x:row>
    <x:row r="75">
      <x:c r="A75" s="81" t="n">
        <x:v>74</x:v>
      </x:c>
      <x:c r="B75" s="81" t="inlineStr">
        <x:is>
          <x:t xml:space="preserve">E. Modern Life &amp; AI Age</x:t>
        </x:is>
      </x:c>
      <x:c r="C75" s="81" t="inlineStr">
        <x:is>
          <x:t xml:space="preserve">Choice → judgment bottleneck</x:t>
        </x:is>
      </x:c>
      <x:c r="D75" s="81" t="inlineStr">
        <x:is>
          <x:t xml:space="preserve">AI-era docs + economics/history/psychology/human factors sources</x:t>
        </x:is>
      </x:c>
      <x:c r="E75" s="81" t="inlineStr">
        <x:is>
          <x:t xml:space="preserve">Find historical analogies, research findings, external wisdom; create Selflo Original seeds only after source-backed research</x:t>
        </x:is>
      </x:c>
      <x:c r="F75" s="81" t="n">
        <x:v>12</x:v>
      </x:c>
      <x:c r="G75" s="81" t="n">
        <x:v>2</x:v>
      </x:c>
      <x:c r="H75" s="81" t="n">
        <x:v>8</x:v>
      </x:c>
      <x:c r="I75" s="81" t="str"/>
      <x:c r="J75" s="81" t="str"/>
      <x:c r="K75" s="81" t="str"/>
      <x:c r="L75" s="81" t="inlineStr">
        <x:is>
          <x:t xml:space="preserve">Planned</x:t>
        </x:is>
      </x:c>
      <x:c r="M75" s="102" t="n">
        <x:f>IFERROR((I75+J75+K75)/(F75+G75+H75),0)</x:f>
        <x:v>0</x:v>
      </x:c>
      <x:c r="N75" s="81" t="str"/>
    </x:row>
    <x:row r="76">
      <x:c r="A76" s="81" t="n">
        <x:v>75</x:v>
      </x:c>
      <x:c r="B76" s="81" t="inlineStr">
        <x:is>
          <x:t xml:space="preserve">E. Modern Life &amp; AI Age</x:t>
        </x:is>
      </x:c>
      <x:c r="C76" s="81" t="inlineStr">
        <x:is>
          <x:t xml:space="preserve">Trust / verification</x:t>
        </x:is>
      </x:c>
      <x:c r="D76" s="81" t="inlineStr">
        <x:is>
          <x:t xml:space="preserve">AI-era docs + economics/history/psychology/human factors sources</x:t>
        </x:is>
      </x:c>
      <x:c r="E76" s="81" t="inlineStr">
        <x:is>
          <x:t xml:space="preserve">Find historical analogies, research findings, external wisdom; create Selflo Original seeds only after source-backed research</x:t>
        </x:is>
      </x:c>
      <x:c r="F76" s="81" t="n">
        <x:v>12</x:v>
      </x:c>
      <x:c r="G76" s="81" t="n">
        <x:v>2</x:v>
      </x:c>
      <x:c r="H76" s="81" t="n">
        <x:v>8</x:v>
      </x:c>
      <x:c r="I76" s="81" t="str"/>
      <x:c r="J76" s="81" t="str"/>
      <x:c r="K76" s="81" t="str"/>
      <x:c r="L76" s="81" t="inlineStr">
        <x:is>
          <x:t xml:space="preserve">Planned</x:t>
        </x:is>
      </x:c>
      <x:c r="M76" s="102" t="n">
        <x:f>IFERROR((I76+J76+K76)/(F76+G76+H76),0)</x:f>
        <x:v>0</x:v>
      </x:c>
      <x:c r="N76" s="81" t="str"/>
    </x:row>
    <x:row r="77">
      <x:c r="A77" s="81" t="n">
        <x:v>76</x:v>
      </x:c>
      <x:c r="B77" s="81" t="inlineStr">
        <x:is>
          <x:t xml:space="preserve">E. Modern Life &amp; AI Age</x:t>
        </x:is>
      </x:c>
      <x:c r="C77" s="81" t="inlineStr">
        <x:is>
          <x:t xml:space="preserve">Fast execution / slow cognition</x:t>
        </x:is>
      </x:c>
      <x:c r="D77" s="81" t="inlineStr">
        <x:is>
          <x:t xml:space="preserve">AI-era docs + economics/history/psychology/human factors sources</x:t>
        </x:is>
      </x:c>
      <x:c r="E77" s="81" t="inlineStr">
        <x:is>
          <x:t xml:space="preserve">Find historical analogies, research findings, external wisdom; create Selflo Original seeds only after source-backed research</x:t>
        </x:is>
      </x:c>
      <x:c r="F77" s="81" t="n">
        <x:v>12</x:v>
      </x:c>
      <x:c r="G77" s="81" t="n">
        <x:v>2</x:v>
      </x:c>
      <x:c r="H77" s="81" t="n">
        <x:v>8</x:v>
      </x:c>
      <x:c r="I77" s="81" t="str"/>
      <x:c r="J77" s="81" t="str"/>
      <x:c r="K77" s="81" t="str"/>
      <x:c r="L77" s="81" t="inlineStr">
        <x:is>
          <x:t xml:space="preserve">Planned</x:t>
        </x:is>
      </x:c>
      <x:c r="M77" s="102" t="n">
        <x:f>IFERROR((I77+J77+K77)/(F77+G77+H77),0)</x:f>
        <x:v>0</x:v>
      </x:c>
      <x:c r="N77" s="81" t="str"/>
    </x:row>
    <x:row r="78">
      <x:c r="A78" s="81" t="n">
        <x:v>77</x:v>
      </x:c>
      <x:c r="B78" s="81" t="inlineStr">
        <x:is>
          <x:t xml:space="preserve">E. Modern Life &amp; AI Age</x:t>
        </x:is>
      </x:c>
      <x:c r="C78" s="81" t="inlineStr">
        <x:is>
          <x:t xml:space="preserve">Learning-by-doing</x:t>
        </x:is>
      </x:c>
      <x:c r="D78" s="81" t="inlineStr">
        <x:is>
          <x:t xml:space="preserve">AI-era docs + economics/history/psychology/human factors sources</x:t>
        </x:is>
      </x:c>
      <x:c r="E78" s="81" t="inlineStr">
        <x:is>
          <x:t xml:space="preserve">Find historical analogies, research findings, external wisdom; create Selflo Original seeds only after source-backed research</x:t>
        </x:is>
      </x:c>
      <x:c r="F78" s="81" t="n">
        <x:v>12</x:v>
      </x:c>
      <x:c r="G78" s="81" t="n">
        <x:v>2</x:v>
      </x:c>
      <x:c r="H78" s="81" t="n">
        <x:v>8</x:v>
      </x:c>
      <x:c r="I78" s="81" t="str"/>
      <x:c r="J78" s="81" t="str"/>
      <x:c r="K78" s="81" t="str"/>
      <x:c r="L78" s="81" t="inlineStr">
        <x:is>
          <x:t xml:space="preserve">Planned</x:t>
        </x:is>
      </x:c>
      <x:c r="M78" s="102" t="n">
        <x:f>IFERROR((I78+J78+K78)/(F78+G78+H78),0)</x:f>
        <x:v>0</x:v>
      </x:c>
      <x:c r="N78" s="81" t="str"/>
    </x:row>
    <x:row r="79">
      <x:c r="A79" s="81" t="n">
        <x:v>78</x:v>
      </x:c>
      <x:c r="B79" s="81" t="inlineStr">
        <x:is>
          <x:t xml:space="preserve">E. Modern Life &amp; AI Age</x:t>
        </x:is>
      </x:c>
      <x:c r="C79" s="81" t="inlineStr">
        <x:is>
          <x:t xml:space="preserve">Skill atrophy / cognitive offloading</x:t>
        </x:is>
      </x:c>
      <x:c r="D79" s="81" t="inlineStr">
        <x:is>
          <x:t xml:space="preserve">AI-era docs + economics/history/psychology/human factors sources</x:t>
        </x:is>
      </x:c>
      <x:c r="E79" s="81" t="inlineStr">
        <x:is>
          <x:t xml:space="preserve">Find historical analogies, research findings, external wisdom; create Selflo Original seeds only after source-backed research</x:t>
        </x:is>
      </x:c>
      <x:c r="F79" s="81" t="n">
        <x:v>12</x:v>
      </x:c>
      <x:c r="G79" s="81" t="n">
        <x:v>2</x:v>
      </x:c>
      <x:c r="H79" s="81" t="n">
        <x:v>8</x:v>
      </x:c>
      <x:c r="I79" s="81" t="str"/>
      <x:c r="J79" s="81" t="str"/>
      <x:c r="K79" s="81" t="str"/>
      <x:c r="L79" s="81" t="inlineStr">
        <x:is>
          <x:t xml:space="preserve">Planned</x:t>
        </x:is>
      </x:c>
      <x:c r="M79" s="102" t="n">
        <x:f>IFERROR((I79+J79+K79)/(F79+G79+H79),0)</x:f>
        <x:v>0</x:v>
      </x:c>
      <x:c r="N79" s="81" t="str"/>
    </x:row>
    <x:row r="80">
      <x:c r="A80" s="81" t="n">
        <x:v>79</x:v>
      </x:c>
      <x:c r="B80" s="81" t="inlineStr">
        <x:is>
          <x:t xml:space="preserve">E. Modern Life &amp; AI Age</x:t>
        </x:is>
      </x:c>
      <x:c r="C80" s="81" t="inlineStr">
        <x:is>
          <x:t xml:space="preserve">Competition → baseline</x:t>
        </x:is>
      </x:c>
      <x:c r="D80" s="81" t="inlineStr">
        <x:is>
          <x:t xml:space="preserve">AI-era docs + economics/history/psychology/human factors sources</x:t>
        </x:is>
      </x:c>
      <x:c r="E80" s="81" t="inlineStr">
        <x:is>
          <x:t xml:space="preserve">Find historical analogies, research findings, external wisdom; create Selflo Original seeds only after source-backed research</x:t>
        </x:is>
      </x:c>
      <x:c r="F80" s="81" t="n">
        <x:v>12</x:v>
      </x:c>
      <x:c r="G80" s="81" t="n">
        <x:v>2</x:v>
      </x:c>
      <x:c r="H80" s="81" t="n">
        <x:v>8</x:v>
      </x:c>
      <x:c r="I80" s="81" t="str"/>
      <x:c r="J80" s="81" t="str"/>
      <x:c r="K80" s="81" t="str"/>
      <x:c r="L80" s="81" t="inlineStr">
        <x:is>
          <x:t xml:space="preserve">Planned</x:t>
        </x:is>
      </x:c>
      <x:c r="M80" s="102" t="n">
        <x:f>IFERROR((I80+J80+K80)/(F80+G80+H80),0)</x:f>
        <x:v>0</x:v>
      </x:c>
      <x:c r="N80" s="81" t="str"/>
    </x:row>
    <x:row r="81">
      <x:c r="A81" s="81" t="n">
        <x:v>80</x:v>
      </x:c>
      <x:c r="B81" s="81" t="inlineStr">
        <x:is>
          <x:t xml:space="preserve">E. Modern Life &amp; AI Age</x:t>
        </x:is>
      </x:c>
      <x:c r="C81" s="81" t="inlineStr">
        <x:is>
          <x:t xml:space="preserve">Productivity ≠ leisure</x:t>
        </x:is>
      </x:c>
      <x:c r="D81" s="81" t="inlineStr">
        <x:is>
          <x:t xml:space="preserve">AI-era docs + economics/history/psychology/human factors sources</x:t>
        </x:is>
      </x:c>
      <x:c r="E81" s="81" t="inlineStr">
        <x:is>
          <x:t xml:space="preserve">Find historical analogies, research findings, external wisdom; create Selflo Original seeds only after source-backed research</x:t>
        </x:is>
      </x:c>
      <x:c r="F81" s="81" t="n">
        <x:v>12</x:v>
      </x:c>
      <x:c r="G81" s="81" t="n">
        <x:v>2</x:v>
      </x:c>
      <x:c r="H81" s="81" t="n">
        <x:v>8</x:v>
      </x:c>
      <x:c r="I81" s="81" t="str"/>
      <x:c r="J81" s="81" t="str"/>
      <x:c r="K81" s="81" t="str"/>
      <x:c r="L81" s="81" t="inlineStr">
        <x:is>
          <x:t xml:space="preserve">Planned</x:t>
        </x:is>
      </x:c>
      <x:c r="M81" s="102" t="n">
        <x:f>IFERROR((I81+J81+K81)/(F81+G81+H81),0)</x:f>
        <x:v>0</x:v>
      </x:c>
      <x:c r="N81" s="81" t="str"/>
    </x:row>
    <x:row r="82">
      <x:c r="A82" s="81" t="n">
        <x:v>81</x:v>
      </x:c>
      <x:c r="B82" s="81" t="inlineStr">
        <x:is>
          <x:t xml:space="preserve">E. Modern Life &amp; AI Age</x:t>
        </x:is>
      </x:c>
      <x:c r="C82" s="81" t="inlineStr">
        <x:is>
          <x:t xml:space="preserve">Path dependence</x:t>
        </x:is>
      </x:c>
      <x:c r="D82" s="81" t="inlineStr">
        <x:is>
          <x:t xml:space="preserve">AI-era docs + economics/history/psychology/human factors sources</x:t>
        </x:is>
      </x:c>
      <x:c r="E82" s="81" t="inlineStr">
        <x:is>
          <x:t xml:space="preserve">Find historical analogies, research findings, external wisdom; create Selflo Original seeds only after source-backed research</x:t>
        </x:is>
      </x:c>
      <x:c r="F82" s="81" t="n">
        <x:v>12</x:v>
      </x:c>
      <x:c r="G82" s="81" t="n">
        <x:v>2</x:v>
      </x:c>
      <x:c r="H82" s="81" t="n">
        <x:v>8</x:v>
      </x:c>
      <x:c r="I82" s="81" t="str"/>
      <x:c r="J82" s="81" t="str"/>
      <x:c r="K82" s="81" t="str"/>
      <x:c r="L82" s="81" t="inlineStr">
        <x:is>
          <x:t xml:space="preserve">Planned</x:t>
        </x:is>
      </x:c>
      <x:c r="M82" s="102" t="n">
        <x:f>IFERROR((I82+J82+K82)/(F82+G82+H82),0)</x:f>
        <x:v>0</x:v>
      </x:c>
      <x:c r="N82" s="81" t="str"/>
    </x:row>
    <x:row r="83">
      <x:c r="A83" s="81" t="n">
        <x:v>82</x:v>
      </x:c>
      <x:c r="B83" s="81" t="inlineStr">
        <x:is>
          <x:t xml:space="preserve">E. Modern Life &amp; AI Age</x:t>
        </x:is>
      </x:c>
      <x:c r="C83" s="81" t="inlineStr">
        <x:is>
          <x:t xml:space="preserve">Human agency in AI-rich environments</x:t>
        </x:is>
      </x:c>
      <x:c r="D83" s="81" t="inlineStr">
        <x:is>
          <x:t xml:space="preserve">AI-era docs + economics/history/psychology/human factors sources</x:t>
        </x:is>
      </x:c>
      <x:c r="E83" s="81" t="inlineStr">
        <x:is>
          <x:t xml:space="preserve">Find historical analogies, research findings, external wisdom; create Selflo Original seeds only after source-backed research</x:t>
        </x:is>
      </x:c>
      <x:c r="F83" s="81" t="n">
        <x:v>12</x:v>
      </x:c>
      <x:c r="G83" s="81" t="n">
        <x:v>2</x:v>
      </x:c>
      <x:c r="H83" s="81" t="n">
        <x:v>8</x:v>
      </x:c>
      <x:c r="I83" s="81" t="str"/>
      <x:c r="J83" s="81" t="str"/>
      <x:c r="K83" s="81" t="str"/>
      <x:c r="L83" s="81" t="inlineStr">
        <x:is>
          <x:t xml:space="preserve">Planned</x:t>
        </x:is>
      </x:c>
      <x:c r="M83" s="102" t="n">
        <x:f>IFERROR((I83+J83+K83)/(F83+G83+H83),0)</x:f>
        <x:v>0</x:v>
      </x:c>
      <x:c r="N83" s="81" t="str"/>
    </x:row>
    <x:row r="84">
      <x:c r="A84" s="81" t="n">
        <x:v>83</x:v>
      </x:c>
      <x:c r="B84" s="81" t="inlineStr">
        <x:is>
          <x:t xml:space="preserve">F. Coverage Gap Filling</x:t>
        </x:is>
      </x:c>
      <x:c r="C84" s="81" t="inlineStr">
        <x:is>
          <x:t xml:space="preserve">Exhaustion / Recovery / Rest</x:t>
        </x:is>
      </x:c>
      <x:c r="D84" s="81" t="inlineStr">
        <x:is>
          <x:t xml:space="preserve">Whole collected library + targeted authoritative sources</x:t>
        </x:is>
      </x:c>
      <x:c r="E84" s="81" t="inlineStr">
        <x:is>
          <x:t xml:space="preserve">Fill under-covered human experiences only; prefer sources/traditions not yet overrepresented; final day produces coverage audit</x:t>
        </x:is>
      </x:c>
      <x:c r="F84" s="81" t="n">
        <x:v>20</x:v>
      </x:c>
      <x:c r="G84" s="81" t="n">
        <x:v>3</x:v>
      </x:c>
      <x:c r="H84" s="81" t="n">
        <x:v>4</x:v>
      </x:c>
      <x:c r="I84" s="81" t="str"/>
      <x:c r="J84" s="81" t="str"/>
      <x:c r="K84" s="81" t="str"/>
      <x:c r="L84" s="81" t="inlineStr">
        <x:is>
          <x:t xml:space="preserve">Planned</x:t>
        </x:is>
      </x:c>
      <x:c r="M84" s="102" t="n">
        <x:f>IFERROR((I84+J84+K84)/(F84+G84+H84),0)</x:f>
        <x:v>0</x:v>
      </x:c>
      <x:c r="N84" s="81" t="str"/>
    </x:row>
    <x:row r="85">
      <x:c r="A85" s="81" t="n">
        <x:v>84</x:v>
      </x:c>
      <x:c r="B85" s="81" t="inlineStr">
        <x:is>
          <x:t xml:space="preserve">F. Coverage Gap Filling</x:t>
        </x:is>
      </x:c>
      <x:c r="C85" s="81" t="inlineStr">
        <x:is>
          <x:t xml:space="preserve">Self-compassion / Self-blame</x:t>
        </x:is>
      </x:c>
      <x:c r="D85" s="81" t="inlineStr">
        <x:is>
          <x:t xml:space="preserve">Whole collected library + targeted authoritative sources</x:t>
        </x:is>
      </x:c>
      <x:c r="E85" s="81" t="inlineStr">
        <x:is>
          <x:t xml:space="preserve">Fill under-covered human experiences only; prefer sources/traditions not yet overrepresented; final day produces coverage audit</x:t>
        </x:is>
      </x:c>
      <x:c r="F85" s="81" t="n">
        <x:v>20</x:v>
      </x:c>
      <x:c r="G85" s="81" t="n">
        <x:v>3</x:v>
      </x:c>
      <x:c r="H85" s="81" t="n">
        <x:v>4</x:v>
      </x:c>
      <x:c r="I85" s="81" t="str"/>
      <x:c r="J85" s="81" t="str"/>
      <x:c r="K85" s="81" t="str"/>
      <x:c r="L85" s="81" t="inlineStr">
        <x:is>
          <x:t xml:space="preserve">Planned</x:t>
        </x:is>
      </x:c>
      <x:c r="M85" s="102" t="n">
        <x:f>IFERROR((I85+J85+K85)/(F85+G85+H85),0)</x:f>
        <x:v>0</x:v>
      </x:c>
      <x:c r="N85" s="81" t="str"/>
    </x:row>
    <x:row r="86">
      <x:c r="A86" s="81" t="n">
        <x:v>85</x:v>
      </x:c>
      <x:c r="B86" s="81" t="inlineStr">
        <x:is>
          <x:t xml:space="preserve">F. Coverage Gap Filling</x:t>
        </x:is>
      </x:c>
      <x:c r="C86" s="81" t="inlineStr">
        <x:is>
          <x:t xml:space="preserve">Uncertainty / Choice / Agency</x:t>
        </x:is>
      </x:c>
      <x:c r="D86" s="81" t="inlineStr">
        <x:is>
          <x:t xml:space="preserve">Whole collected library + targeted authoritative sources</x:t>
        </x:is>
      </x:c>
      <x:c r="E86" s="81" t="inlineStr">
        <x:is>
          <x:t xml:space="preserve">Fill under-covered human experiences only; prefer sources/traditions not yet overrepresented; final day produces coverage audit</x:t>
        </x:is>
      </x:c>
      <x:c r="F86" s="81" t="n">
        <x:v>20</x:v>
      </x:c>
      <x:c r="G86" s="81" t="n">
        <x:v>3</x:v>
      </x:c>
      <x:c r="H86" s="81" t="n">
        <x:v>4</x:v>
      </x:c>
      <x:c r="I86" s="81" t="str"/>
      <x:c r="J86" s="81" t="str"/>
      <x:c r="K86" s="81" t="str"/>
      <x:c r="L86" s="81" t="inlineStr">
        <x:is>
          <x:t xml:space="preserve">Planned</x:t>
        </x:is>
      </x:c>
      <x:c r="M86" s="102" t="n">
        <x:f>IFERROR((I86+J86+K86)/(F86+G86+H86),0)</x:f>
        <x:v>0</x:v>
      </x:c>
      <x:c r="N86" s="81" t="str"/>
    </x:row>
    <x:row r="87">
      <x:c r="A87" s="81" t="n">
        <x:v>86</x:v>
      </x:c>
      <x:c r="B87" s="81" t="inlineStr">
        <x:is>
          <x:t xml:space="preserve">F. Coverage Gap Filling</x:t>
        </x:is>
      </x:c>
      <x:c r="C87" s="81" t="inlineStr">
        <x:is>
          <x:t xml:space="preserve">Comparison / External standards / Values</x:t>
        </x:is>
      </x:c>
      <x:c r="D87" s="81" t="inlineStr">
        <x:is>
          <x:t xml:space="preserve">Whole collected library + targeted authoritative sources</x:t>
        </x:is>
      </x:c>
      <x:c r="E87" s="81" t="inlineStr">
        <x:is>
          <x:t xml:space="preserve">Fill under-covered human experiences only; prefer sources/traditions not yet overrepresented; final day produces coverage audit</x:t>
        </x:is>
      </x:c>
      <x:c r="F87" s="81" t="n">
        <x:v>20</x:v>
      </x:c>
      <x:c r="G87" s="81" t="n">
        <x:v>3</x:v>
      </x:c>
      <x:c r="H87" s="81" t="n">
        <x:v>4</x:v>
      </x:c>
      <x:c r="I87" s="81" t="str"/>
      <x:c r="J87" s="81" t="str"/>
      <x:c r="K87" s="81" t="str"/>
      <x:c r="L87" s="81" t="inlineStr">
        <x:is>
          <x:t xml:space="preserve">Planned</x:t>
        </x:is>
      </x:c>
      <x:c r="M87" s="102" t="n">
        <x:f>IFERROR((I87+J87+K87)/(F87+G87+H87),0)</x:f>
        <x:v>0</x:v>
      </x:c>
      <x:c r="N87" s="81" t="str"/>
    </x:row>
    <x:row r="88">
      <x:c r="A88" s="81" t="n">
        <x:v>87</x:v>
      </x:c>
      <x:c r="B88" s="81" t="inlineStr">
        <x:is>
          <x:t xml:space="preserve">F. Coverage Gap Filling</x:t>
        </x:is>
      </x:c>
      <x:c r="C88" s="81" t="inlineStr">
        <x:is>
          <x:t xml:space="preserve">Attention / Silence / Presence</x:t>
        </x:is>
      </x:c>
      <x:c r="D88" s="81" t="inlineStr">
        <x:is>
          <x:t xml:space="preserve">Whole collected library + targeted authoritative sources</x:t>
        </x:is>
      </x:c>
      <x:c r="E88" s="81" t="inlineStr">
        <x:is>
          <x:t xml:space="preserve">Fill under-covered human experiences only; prefer sources/traditions not yet overrepresented; final day produces coverage audit</x:t>
        </x:is>
      </x:c>
      <x:c r="F88" s="81" t="n">
        <x:v>20</x:v>
      </x:c>
      <x:c r="G88" s="81" t="n">
        <x:v>3</x:v>
      </x:c>
      <x:c r="H88" s="81" t="n">
        <x:v>4</x:v>
      </x:c>
      <x:c r="I88" s="81" t="str"/>
      <x:c r="J88" s="81" t="str"/>
      <x:c r="K88" s="81" t="str"/>
      <x:c r="L88" s="81" t="inlineStr">
        <x:is>
          <x:t xml:space="preserve">Planned</x:t>
        </x:is>
      </x:c>
      <x:c r="M88" s="102" t="n">
        <x:f>IFERROR((I88+J88+K88)/(F88+G88+H88),0)</x:f>
        <x:v>0</x:v>
      </x:c>
      <x:c r="N88" s="81" t="str"/>
    </x:row>
    <x:row r="89">
      <x:c r="A89" s="81" t="n">
        <x:v>88</x:v>
      </x:c>
      <x:c r="B89" s="81" t="inlineStr">
        <x:is>
          <x:t xml:space="preserve">F. Coverage Gap Filling</x:t>
        </x:is>
      </x:c>
      <x:c r="C89" s="81" t="inlineStr">
        <x:is>
          <x:t xml:space="preserve">Learning / Failure / Quiet growth</x:t>
        </x:is>
      </x:c>
      <x:c r="D89" s="81" t="inlineStr">
        <x:is>
          <x:t xml:space="preserve">Whole collected library + targeted authoritative sources</x:t>
        </x:is>
      </x:c>
      <x:c r="E89" s="81" t="inlineStr">
        <x:is>
          <x:t xml:space="preserve">Fill under-covered human experiences only; prefer sources/traditions not yet overrepresented; final day produces coverage audit</x:t>
        </x:is>
      </x:c>
      <x:c r="F89" s="81" t="n">
        <x:v>20</x:v>
      </x:c>
      <x:c r="G89" s="81" t="n">
        <x:v>3</x:v>
      </x:c>
      <x:c r="H89" s="81" t="n">
        <x:v>4</x:v>
      </x:c>
      <x:c r="I89" s="81" t="str"/>
      <x:c r="J89" s="81" t="str"/>
      <x:c r="K89" s="81" t="str"/>
      <x:c r="L89" s="81" t="inlineStr">
        <x:is>
          <x:t xml:space="preserve">Planned</x:t>
        </x:is>
      </x:c>
      <x:c r="M89" s="102" t="n">
        <x:f>IFERROR((I89+J89+K89)/(F89+G89+H89),0)</x:f>
        <x:v>0</x:v>
      </x:c>
      <x:c r="N89" s="81" t="str"/>
    </x:row>
    <x:row r="90">
      <x:c r="A90" s="81" t="n">
        <x:v>89</x:v>
      </x:c>
      <x:c r="B90" s="81" t="inlineStr">
        <x:is>
          <x:t xml:space="preserve">F. Coverage Gap Filling</x:t>
        </x:is>
      </x:c>
      <x:c r="C90" s="81" t="inlineStr">
        <x:is>
          <x:t xml:space="preserve">Identity / Meaning / Work / Change</x:t>
        </x:is>
      </x:c>
      <x:c r="D90" s="81" t="inlineStr">
        <x:is>
          <x:t xml:space="preserve">Whole collected library + targeted authoritative sources</x:t>
        </x:is>
      </x:c>
      <x:c r="E90" s="81" t="inlineStr">
        <x:is>
          <x:t xml:space="preserve">Fill under-covered human experiences only; prefer sources/traditions not yet overrepresented; final day produces coverage audit</x:t>
        </x:is>
      </x:c>
      <x:c r="F90" s="81" t="n">
        <x:v>20</x:v>
      </x:c>
      <x:c r="G90" s="81" t="n">
        <x:v>3</x:v>
      </x:c>
      <x:c r="H90" s="81" t="n">
        <x:v>4</x:v>
      </x:c>
      <x:c r="I90" s="81" t="str"/>
      <x:c r="J90" s="81" t="str"/>
      <x:c r="K90" s="81" t="str"/>
      <x:c r="L90" s="81" t="inlineStr">
        <x:is>
          <x:t xml:space="preserve">Planned</x:t>
        </x:is>
      </x:c>
      <x:c r="M90" s="102" t="n">
        <x:f>IFERROR((I90+J90+K90)/(F90+G90+H90),0)</x:f>
        <x:v>0</x:v>
      </x:c>
      <x:c r="N90" s="81" t="str"/>
    </x:row>
    <x:row r="91">
      <x:c r="A91" s="81" t="n">
        <x:v>90</x:v>
      </x:c>
      <x:c r="B91" s="81" t="inlineStr">
        <x:is>
          <x:t xml:space="preserve">F. Coverage Gap Filling</x:t>
        </x:is>
      </x:c>
      <x:c r="C91" s="81" t="inlineStr">
        <x:is>
          <x:t xml:space="preserve">Mixed emotions / Emotional memory + final audit</x:t>
        </x:is>
      </x:c>
      <x:c r="D91" s="81" t="inlineStr">
        <x:is>
          <x:t xml:space="preserve">Whole collected library + targeted authoritative sources</x:t>
        </x:is>
      </x:c>
      <x:c r="E91" s="81" t="inlineStr">
        <x:is>
          <x:t xml:space="preserve">Fill under-covered human experiences only; prefer sources/traditions not yet overrepresented; final day produces coverage audit</x:t>
        </x:is>
      </x:c>
      <x:c r="F91" s="81" t="n">
        <x:v>20</x:v>
      </x:c>
      <x:c r="G91" s="81" t="n">
        <x:v>3</x:v>
      </x:c>
      <x:c r="H91" s="81" t="n">
        <x:v>4</x:v>
      </x:c>
      <x:c r="I91" s="81" t="str"/>
      <x:c r="J91" s="81" t="str"/>
      <x:c r="K91" s="81" t="str"/>
      <x:c r="L91" s="81" t="inlineStr">
        <x:is>
          <x:t xml:space="preserve">Planned</x:t>
        </x:is>
      </x:c>
      <x:c r="M91" s="102" t="n">
        <x:f>IFERROR((I91+J91+K91)/(F91+G91+H91),0)</x:f>
        <x:v>0</x:v>
      </x:c>
      <x:c r="N91" s="81" t="str"/>
    </x:row>
  </x:sheetData>
  <x:conditionalFormatting sqref="M2:M91">
    <x:cfRule type="dataBar" priority="1">
      <x:dataBar>
        <x:cfvo type="min"/>
        <x:cfvo type="max"/>
        <x:color rgb="FFA02B93"/>
      </x:dataBar>
    </x:cfRule>
  </x:conditionalFormatting>
  <x:dataValidations count="1">
    <x:dataValidation type="list" allowBlank="0" showDropDown="0" showInputMessage="0" showErrorMessage="0" sqref="L2:L91">
      <x:formula1>"Planned,In progress,Done,Blocked,Skipped"</x:formula1>
    </x:dataValidation>
  </x:dataValidations>
  <x:pageMargins left="0.7" right="0.7" top="0.75" bottom="0.75" header="0.3" footer="0.3"/>
  <x:tableParts count="1">
    <x:tablePart xmlns:r="http://schemas.openxmlformats.org/officeDocument/2006/relationships" r:id="Re7eb705c278f4647"/>
  </x:tableParts>
</x:worksheet>
</file>

<file path=xl/worksheets/sheet4.xml><?xml version="1.0" encoding="utf-8"?>
<x:worksheet xmlns:x="http://schemas.openxmlformats.org/spreadsheetml/2006/main">
  <x:sheetFormatPr baseColWidth="8" defaultRowHeight="15"/>
  <x:cols>
    <x:col min="1" max="1" width="20" style="72" customWidth="1"/>
    <x:col min="2" max="2" width="18" style="72" customWidth="1"/>
    <x:col min="3" max="3" width="34" style="72" customWidth="1"/>
    <x:col min="4" max="4" width="30" style="72" customWidth="1"/>
    <x:col min="5" max="5" width="40" style="72" customWidth="1"/>
    <x:col min="6" max="6" width="22" style="72" customWidth="1"/>
    <x:col min="7" max="7" width="22" style="72" customWidth="1"/>
    <x:col min="8" max="8" width="58" style="72" customWidth="1"/>
    <x:col min="9" max="9" width="12" style="72" customWidth="1"/>
    <x:col min="10" max="10" width="58" style="72" customWidth="1"/>
    <x:col min="11" max="11" width="26" style="72" customWidth="1"/>
    <x:col min="12" max="12" width="26" style="72" customWidth="1"/>
    <x:col min="13" max="13" width="34" style="72" customWidth="1"/>
    <x:col min="14" max="14" width="32" style="72" customWidth="1"/>
    <x:col min="15" max="15" width="45" style="72" customWidth="1"/>
    <x:col min="16" max="16" width="24" style="72" customWidth="1"/>
    <x:col min="17" max="17" width="30" style="72" customWidth="1"/>
    <x:col min="18" max="18" width="30" style="72" customWidth="1"/>
    <x:col min="19" max="19" width="40" style="72" customWidth="1"/>
    <x:col min="20" max="20" width="28" style="72" customWidth="1"/>
    <x:col min="21" max="21" width="42" style="72" customWidth="1"/>
    <x:col min="22" max="22" width="14" style="72" customWidth="1"/>
    <x:col min="23" max="23" width="50" style="72" customWidth="1"/>
    <x:col min="24" max="24" width="18" style="72" customWidth="1"/>
    <x:col min="25" max="25" width="24" style="72" customWidth="1"/>
    <x:col min="26" max="26" width="32" style="72" customWidth="1"/>
    <x:col min="27" max="27" width="30" style="72" customWidth="1"/>
    <x:col min="28" max="28" width="26" style="72" customWidth="1"/>
    <x:col min="29" max="29" width="20" style="72" customWidth="1"/>
    <x:col min="30" max="30" width="28" style="72" customWidth="1"/>
    <x:col min="31" max="31" width="24" style="72" customWidth="1"/>
    <x:col min="32" max="32" width="12" style="72" customWidth="1"/>
    <x:col min="33" max="33" width="18" style="72" customWidth="1"/>
    <x:col min="34" max="34" width="16" style="72" customWidth="1"/>
    <x:col min="35" max="35" width="40" style="72" customWidth="1"/>
  </x:cols>
  <x:sheetData>
    <x:row r="1">
      <x:c r="A1" s="77" t="inlineStr">
        <x:is>
          <x:t xml:space="preserve">Quote ID</x:t>
        </x:is>
      </x:c>
      <x:c r="B1" s="77" t="inlineStr">
        <x:is>
          <x:t xml:space="preserve">Status</x:t>
        </x:is>
      </x:c>
      <x:c r="C1" s="77" t="inlineStr">
        <x:is>
          <x:t xml:space="preserve">Cluster Primary</x:t>
        </x:is>
      </x:c>
      <x:c r="D1" s="77" t="inlineStr">
        <x:is>
          <x:t xml:space="preserve">Cluster Secondary</x:t>
        </x:is>
      </x:c>
      <x:c r="E1" s="77" t="inlineStr">
        <x:is>
          <x:t xml:space="preserve">Human Experience</x:t>
        </x:is>
      </x:c>
      <x:c r="F1" s="77" t="inlineStr">
        <x:is>
          <x:t xml:space="preserve">Editorial Role Primary</x:t>
        </x:is>
      </x:c>
      <x:c r="G1" s="77" t="inlineStr">
        <x:is>
          <x:t xml:space="preserve">Editorial Role Secondary</x:t>
        </x:is>
      </x:c>
      <x:c r="H1" s="77" t="inlineStr">
        <x:is>
          <x:t xml:space="preserve">Quote Text - Original</x:t>
        </x:is>
      </x:c>
      <x:c r="I1" s="77" t="inlineStr">
        <x:is>
          <x:t xml:space="preserve">Language</x:t>
        </x:is>
      </x:c>
      <x:c r="J1" s="77" t="inlineStr">
        <x:is>
          <x:t xml:space="preserve">Quote Text - Working VI</x:t>
        </x:is>
      </x:c>
      <x:c r="K1" s="77" t="inlineStr">
        <x:is>
          <x:t xml:space="preserve">Author / Attribution</x:t>
        </x:is>
      </x:c>
      <x:c r="L1" s="77" t="inlineStr">
        <x:is>
          <x:t xml:space="preserve">Tradition / Region</x:t>
        </x:is>
      </x:c>
      <x:c r="M1" s="77" t="inlineStr">
        <x:is>
          <x:t xml:space="preserve">Source Title</x:t>
        </x:is>
      </x:c>
      <x:c r="N1" s="77" t="inlineStr">
        <x:is>
          <x:t xml:space="preserve">Work / Chapter / Location</x:t>
        </x:is>
      </x:c>
      <x:c r="O1" s="77" t="inlineStr">
        <x:is>
          <x:t xml:space="preserve">Source URL</x:t>
        </x:is>
      </x:c>
      <x:c r="P1" s="77" t="inlineStr">
        <x:is>
          <x:t xml:space="preserve">Source Type</x:t>
        </x:is>
      </x:c>
      <x:c r="Q1" s="77" t="inlineStr">
        <x:is>
          <x:t xml:space="preserve">Quote Type</x:t>
        </x:is>
      </x:c>
      <x:c r="R1" s="77" t="inlineStr">
        <x:is>
          <x:t xml:space="preserve">Verification Grade</x:t>
        </x:is>
      </x:c>
      <x:c r="S1" s="77" t="inlineStr">
        <x:is>
          <x:t xml:space="preserve">Verification Notes</x:t>
        </x:is>
      </x:c>
      <x:c r="T1" s="77" t="inlineStr">
        <x:is>
          <x:t xml:space="preserve">Rights Status</x:t>
        </x:is>
      </x:c>
      <x:c r="U1" s="77" t="inlineStr">
        <x:is>
          <x:t xml:space="preserve">Copyright / Usage Notes</x:t>
        </x:is>
      </x:c>
      <x:c r="V1" s="77" t="inlineStr">
        <x:is>
          <x:t xml:space="preserve">Selflo Fit</x:t>
        </x:is>
      </x:c>
      <x:c r="W1" s="77" t="inlineStr">
        <x:is>
          <x:t xml:space="preserve">Selflo Fit Notes</x:t>
        </x:is>
      </x:c>
      <x:c r="X1" s="77" t="inlineStr">
        <x:is>
          <x:t xml:space="preserve">Directive Risk</x:t>
        </x:is>
      </x:c>
      <x:c r="Y1" s="77" t="inlineStr">
        <x:is>
          <x:t xml:space="preserve">Overlap / Duplicate Risk</x:t>
        </x:is>
      </x:c>
      <x:c r="Z1" s="77" t="inlineStr">
        <x:is>
          <x:t xml:space="preserve">Related Principle ID(s)</x:t>
        </x:is>
      </x:c>
      <x:c r="AA1" s="77" t="inlineStr">
        <x:is>
          <x:t xml:space="preserve">Related Story ID(s)</x:t>
        </x:is>
      </x:c>
      <x:c r="AB1" s="77" t="inlineStr">
        <x:is>
          <x:t xml:space="preserve">Story Dependency Gate</x:t>
        </x:is>
      </x:c>
      <x:c r="AC1" s="77" t="inlineStr">
        <x:is>
          <x:t xml:space="preserve">Owner Review</x:t>
        </x:is>
      </x:c>
      <x:c r="AD1" s="77" t="inlineStr">
        <x:is>
          <x:t xml:space="preserve">Release Readiness</x:t>
        </x:is>
      </x:c>
      <x:c r="AE1" s="77" t="inlineStr">
        <x:is>
          <x:t xml:space="preserve">Current Library Location</x:t>
        </x:is>
      </x:c>
      <x:c r="AF1" s="77" t="inlineStr">
        <x:is>
          <x:t xml:space="preserve">Collected Day</x:t>
        </x:is>
      </x:c>
      <x:c r="AG1" s="77" t="inlineStr">
        <x:is>
          <x:t xml:space="preserve">Collected By</x:t>
        </x:is>
      </x:c>
      <x:c r="AH1" s="77" t="inlineStr">
        <x:is>
          <x:t xml:space="preserve">Date Collected</x:t>
        </x:is>
      </x:c>
      <x:c r="AI1" s="77" t="inlineStr">
        <x:is>
          <x:t xml:space="preserve">Notes</x:t>
        </x:is>
      </x:c>
    </x:row>
    <x:row r="2">
      <x:c r="A2" s="81" t="n"/>
      <x:c r="B2" s="81" t="n"/>
      <x:c r="C2" s="81" t="n"/>
      <x:c r="D2" s="81" t="n"/>
      <x:c r="E2" s="81" t="n"/>
      <x:c r="F2" s="81" t="n"/>
      <x:c r="G2" s="81" t="n"/>
      <x:c r="H2" s="81" t="n"/>
      <x:c r="I2" s="81" t="n"/>
      <x:c r="J2" s="81" t="n"/>
      <x:c r="K2" s="81" t="n"/>
      <x:c r="L2" s="81" t="n"/>
      <x:c r="M2" s="81" t="n"/>
      <x:c r="N2" s="81" t="n"/>
      <x:c r="O2" s="81" t="n"/>
      <x:c r="P2" s="81" t="n"/>
      <x:c r="Q2" s="81" t="n"/>
      <x:c r="R2" s="81" t="n"/>
      <x:c r="S2" s="81" t="n"/>
      <x:c r="T2" s="81" t="n"/>
      <x:c r="U2" s="81" t="n"/>
      <x:c r="V2" s="81" t="n"/>
      <x:c r="W2" s="81" t="n"/>
      <x:c r="X2" s="81" t="n"/>
      <x:c r="Y2" s="81" t="n"/>
      <x:c r="Z2" s="81" t="n"/>
      <x:c r="AA2" s="81" t="n"/>
      <x:c r="AB2" s="81" t="n"/>
      <x:c r="AC2" s="81" t="n"/>
      <x:c r="AD2" s="81" t="n"/>
      <x:c r="AE2" s="81" t="n"/>
      <x:c r="AF2" s="81" t="n"/>
      <x:c r="AG2" s="81" t="n"/>
      <x:c r="AH2" s="81" t="n"/>
      <x:c r="AI2" s="81" t="n"/>
    </x:row>
    <x:row r="3">
      <x:c r="A3" s="81" t="n"/>
      <x:c r="B3" s="81" t="n"/>
      <x:c r="C3" s="81" t="n"/>
      <x:c r="D3" s="81" t="n"/>
      <x:c r="E3" s="81" t="n"/>
      <x:c r="F3" s="81" t="n"/>
      <x:c r="G3" s="81" t="n"/>
      <x:c r="H3" s="81" t="n"/>
      <x:c r="I3" s="81" t="n"/>
      <x:c r="J3" s="81" t="n"/>
      <x:c r="K3" s="81" t="n"/>
      <x:c r="L3" s="81" t="n"/>
      <x:c r="M3" s="81" t="n"/>
      <x:c r="N3" s="81" t="n"/>
      <x:c r="O3" s="81" t="n"/>
      <x:c r="P3" s="81" t="n"/>
      <x:c r="Q3" s="81" t="n"/>
      <x:c r="R3" s="81" t="n"/>
      <x:c r="S3" s="81" t="n"/>
      <x:c r="T3" s="81" t="n"/>
      <x:c r="U3" s="81" t="n"/>
      <x:c r="V3" s="81" t="n"/>
      <x:c r="W3" s="81" t="n"/>
      <x:c r="X3" s="81" t="n"/>
      <x:c r="Y3" s="81" t="n"/>
      <x:c r="Z3" s="81" t="n"/>
      <x:c r="AA3" s="81" t="n"/>
      <x:c r="AB3" s="81" t="n"/>
      <x:c r="AC3" s="81" t="n"/>
      <x:c r="AD3" s="81" t="n"/>
      <x:c r="AE3" s="81" t="n"/>
      <x:c r="AF3" s="81" t="n"/>
      <x:c r="AG3" s="81" t="n"/>
      <x:c r="AH3" s="81" t="n"/>
      <x:c r="AI3" s="81" t="n"/>
    </x:row>
    <x:row r="4">
      <x:c r="A4" s="81" t="n"/>
      <x:c r="B4" s="81" t="n"/>
      <x:c r="C4" s="81" t="n"/>
      <x:c r="D4" s="81" t="n"/>
      <x:c r="E4" s="81" t="n"/>
      <x:c r="F4" s="81" t="n"/>
      <x:c r="G4" s="81" t="n"/>
      <x:c r="H4" s="81" t="n"/>
      <x:c r="I4" s="81" t="n"/>
      <x:c r="J4" s="81" t="n"/>
      <x:c r="K4" s="81" t="n"/>
      <x:c r="L4" s="81" t="n"/>
      <x:c r="M4" s="81" t="n"/>
      <x:c r="N4" s="81" t="n"/>
      <x:c r="O4" s="81" t="n"/>
      <x:c r="P4" s="81" t="n"/>
      <x:c r="Q4" s="81" t="n"/>
      <x:c r="R4" s="81" t="n"/>
      <x:c r="S4" s="81" t="n"/>
      <x:c r="T4" s="81" t="n"/>
      <x:c r="U4" s="81" t="n"/>
      <x:c r="V4" s="81" t="n"/>
      <x:c r="W4" s="81" t="n"/>
      <x:c r="X4" s="81" t="n"/>
      <x:c r="Y4" s="81" t="n"/>
      <x:c r="Z4" s="81" t="n"/>
      <x:c r="AA4" s="81" t="n"/>
      <x:c r="AB4" s="81" t="n"/>
      <x:c r="AC4" s="81" t="n"/>
      <x:c r="AD4" s="81" t="n"/>
      <x:c r="AE4" s="81" t="n"/>
      <x:c r="AF4" s="81" t="n"/>
      <x:c r="AG4" s="81" t="n"/>
      <x:c r="AH4" s="81" t="n"/>
      <x:c r="AI4" s="81" t="n"/>
    </x:row>
    <x:row r="5">
      <x:c r="A5" s="81" t="n"/>
      <x:c r="B5" s="81" t="n"/>
      <x:c r="C5" s="81" t="n"/>
      <x:c r="D5" s="81" t="n"/>
      <x:c r="E5" s="81" t="n"/>
      <x:c r="F5" s="81" t="n"/>
      <x:c r="G5" s="81" t="n"/>
      <x:c r="H5" s="81" t="n"/>
      <x:c r="I5" s="81" t="n"/>
      <x:c r="J5" s="81" t="n"/>
      <x:c r="K5" s="81" t="n"/>
      <x:c r="L5" s="81" t="n"/>
      <x:c r="M5" s="81" t="n"/>
      <x:c r="N5" s="81" t="n"/>
      <x:c r="O5" s="81" t="n"/>
      <x:c r="P5" s="81" t="n"/>
      <x:c r="Q5" s="81" t="n"/>
      <x:c r="R5" s="81" t="n"/>
      <x:c r="S5" s="81" t="n"/>
      <x:c r="T5" s="81" t="n"/>
      <x:c r="U5" s="81" t="n"/>
      <x:c r="V5" s="81" t="n"/>
      <x:c r="W5" s="81" t="n"/>
      <x:c r="X5" s="81" t="n"/>
      <x:c r="Y5" s="81" t="n"/>
      <x:c r="Z5" s="81" t="n"/>
      <x:c r="AA5" s="81" t="n"/>
      <x:c r="AB5" s="81" t="n"/>
      <x:c r="AC5" s="81" t="n"/>
      <x:c r="AD5" s="81" t="n"/>
      <x:c r="AE5" s="81" t="n"/>
      <x:c r="AF5" s="81" t="n"/>
      <x:c r="AG5" s="81" t="n"/>
      <x:c r="AH5" s="81" t="n"/>
      <x:c r="AI5" s="81" t="n"/>
    </x:row>
    <x:row r="6">
      <x:c r="A6" s="81" t="n"/>
      <x:c r="B6" s="81" t="n"/>
      <x:c r="C6" s="81" t="n"/>
      <x:c r="D6" s="81" t="n"/>
      <x:c r="E6" s="81" t="n"/>
      <x:c r="F6" s="81" t="n"/>
      <x:c r="G6" s="81" t="n"/>
      <x:c r="H6" s="81" t="n"/>
      <x:c r="I6" s="81" t="n"/>
      <x:c r="J6" s="81" t="n"/>
      <x:c r="K6" s="81" t="n"/>
      <x:c r="L6" s="81" t="n"/>
      <x:c r="M6" s="81" t="n"/>
      <x:c r="N6" s="81" t="n"/>
      <x:c r="O6" s="81" t="n"/>
      <x:c r="P6" s="81" t="n"/>
      <x:c r="Q6" s="81" t="n"/>
      <x:c r="R6" s="81" t="n"/>
      <x:c r="S6" s="81" t="n"/>
      <x:c r="T6" s="81" t="n"/>
      <x:c r="U6" s="81" t="n"/>
      <x:c r="V6" s="81" t="n"/>
      <x:c r="W6" s="81" t="n"/>
      <x:c r="X6" s="81" t="n"/>
      <x:c r="Y6" s="81" t="n"/>
      <x:c r="Z6" s="81" t="n"/>
      <x:c r="AA6" s="81" t="n"/>
      <x:c r="AB6" s="81" t="n"/>
      <x:c r="AC6" s="81" t="n"/>
      <x:c r="AD6" s="81" t="n"/>
      <x:c r="AE6" s="81" t="n"/>
      <x:c r="AF6" s="81" t="n"/>
      <x:c r="AG6" s="81" t="n"/>
      <x:c r="AH6" s="81" t="n"/>
      <x:c r="AI6" s="81" t="n"/>
    </x:row>
    <x:row r="7">
      <x:c r="A7" s="81" t="n"/>
      <x:c r="B7" s="81" t="n"/>
      <x:c r="C7" s="81" t="n"/>
      <x:c r="D7" s="81" t="n"/>
      <x:c r="E7" s="81" t="n"/>
      <x:c r="F7" s="81" t="n"/>
      <x:c r="G7" s="81" t="n"/>
      <x:c r="H7" s="81" t="n"/>
      <x:c r="I7" s="81" t="n"/>
      <x:c r="J7" s="81" t="n"/>
      <x:c r="K7" s="81" t="n"/>
      <x:c r="L7" s="81" t="n"/>
      <x:c r="M7" s="81" t="n"/>
      <x:c r="N7" s="81" t="n"/>
      <x:c r="O7" s="81" t="n"/>
      <x:c r="P7" s="81" t="n"/>
      <x:c r="Q7" s="81" t="n"/>
      <x:c r="R7" s="81" t="n"/>
      <x:c r="S7" s="81" t="n"/>
      <x:c r="T7" s="81" t="n"/>
      <x:c r="U7" s="81" t="n"/>
      <x:c r="V7" s="81" t="n"/>
      <x:c r="W7" s="81" t="n"/>
      <x:c r="X7" s="81" t="n"/>
      <x:c r="Y7" s="81" t="n"/>
      <x:c r="Z7" s="81" t="n"/>
      <x:c r="AA7" s="81" t="n"/>
      <x:c r="AB7" s="81" t="n"/>
      <x:c r="AC7" s="81" t="n"/>
      <x:c r="AD7" s="81" t="n"/>
      <x:c r="AE7" s="81" t="n"/>
      <x:c r="AF7" s="81" t="n"/>
      <x:c r="AG7" s="81" t="n"/>
      <x:c r="AH7" s="81" t="n"/>
      <x:c r="AI7" s="81" t="n"/>
    </x:row>
    <x:row r="8">
      <x:c r="A8" s="81" t="n"/>
      <x:c r="B8" s="81" t="n"/>
      <x:c r="C8" s="81" t="n"/>
      <x:c r="D8" s="81" t="n"/>
      <x:c r="E8" s="81" t="n"/>
      <x:c r="F8" s="81" t="n"/>
      <x:c r="G8" s="81" t="n"/>
      <x:c r="H8" s="81" t="n"/>
      <x:c r="I8" s="81" t="n"/>
      <x:c r="J8" s="81" t="n"/>
      <x:c r="K8" s="81" t="n"/>
      <x:c r="L8" s="81" t="n"/>
      <x:c r="M8" s="81" t="n"/>
      <x:c r="N8" s="81" t="n"/>
      <x:c r="O8" s="81" t="n"/>
      <x:c r="P8" s="81" t="n"/>
      <x:c r="Q8" s="81" t="n"/>
      <x:c r="R8" s="81" t="n"/>
      <x:c r="S8" s="81" t="n"/>
      <x:c r="T8" s="81" t="n"/>
      <x:c r="U8" s="81" t="n"/>
      <x:c r="V8" s="81" t="n"/>
      <x:c r="W8" s="81" t="n"/>
      <x:c r="X8" s="81" t="n"/>
      <x:c r="Y8" s="81" t="n"/>
      <x:c r="Z8" s="81" t="n"/>
      <x:c r="AA8" s="81" t="n"/>
      <x:c r="AB8" s="81" t="n"/>
      <x:c r="AC8" s="81" t="n"/>
      <x:c r="AD8" s="81" t="n"/>
      <x:c r="AE8" s="81" t="n"/>
      <x:c r="AF8" s="81" t="n"/>
      <x:c r="AG8" s="81" t="n"/>
      <x:c r="AH8" s="81" t="n"/>
      <x:c r="AI8" s="81" t="n"/>
    </x:row>
    <x:row r="9">
      <x:c r="A9" s="81" t="n"/>
      <x:c r="B9" s="81" t="n"/>
      <x:c r="C9" s="81" t="n"/>
      <x:c r="D9" s="81" t="n"/>
      <x:c r="E9" s="81" t="n"/>
      <x:c r="F9" s="81" t="n"/>
      <x:c r="G9" s="81" t="n"/>
      <x:c r="H9" s="81" t="n"/>
      <x:c r="I9" s="81" t="n"/>
      <x:c r="J9" s="81" t="n"/>
      <x:c r="K9" s="81" t="n"/>
      <x:c r="L9" s="81" t="n"/>
      <x:c r="M9" s="81" t="n"/>
      <x:c r="N9" s="81" t="n"/>
      <x:c r="O9" s="81" t="n"/>
      <x:c r="P9" s="81" t="n"/>
      <x:c r="Q9" s="81" t="n"/>
      <x:c r="R9" s="81" t="n"/>
      <x:c r="S9" s="81" t="n"/>
      <x:c r="T9" s="81" t="n"/>
      <x:c r="U9" s="81" t="n"/>
      <x:c r="V9" s="81" t="n"/>
      <x:c r="W9" s="81" t="n"/>
      <x:c r="X9" s="81" t="n"/>
      <x:c r="Y9" s="81" t="n"/>
      <x:c r="Z9" s="81" t="n"/>
      <x:c r="AA9" s="81" t="n"/>
      <x:c r="AB9" s="81" t="n"/>
      <x:c r="AC9" s="81" t="n"/>
      <x:c r="AD9" s="81" t="n"/>
      <x:c r="AE9" s="81" t="n"/>
      <x:c r="AF9" s="81" t="n"/>
      <x:c r="AG9" s="81" t="n"/>
      <x:c r="AH9" s="81" t="n"/>
      <x:c r="AI9" s="81" t="n"/>
    </x:row>
    <x:row r="10">
      <x:c r="A10" s="81" t="n"/>
      <x:c r="B10" s="81" t="n"/>
      <x:c r="C10" s="81" t="n"/>
      <x:c r="D10" s="81" t="n"/>
      <x:c r="E10" s="81" t="n"/>
      <x:c r="F10" s="81" t="n"/>
      <x:c r="G10" s="81" t="n"/>
      <x:c r="H10" s="81" t="n"/>
      <x:c r="I10" s="81" t="n"/>
      <x:c r="J10" s="81" t="n"/>
      <x:c r="K10" s="81" t="n"/>
      <x:c r="L10" s="81" t="n"/>
      <x:c r="M10" s="81" t="n"/>
      <x:c r="N10" s="81" t="n"/>
      <x:c r="O10" s="81" t="n"/>
      <x:c r="P10" s="81" t="n"/>
      <x:c r="Q10" s="81" t="n"/>
      <x:c r="R10" s="81" t="n"/>
      <x:c r="S10" s="81" t="n"/>
      <x:c r="T10" s="81" t="n"/>
      <x:c r="U10" s="81" t="n"/>
      <x:c r="V10" s="81" t="n"/>
      <x:c r="W10" s="81" t="n"/>
      <x:c r="X10" s="81" t="n"/>
      <x:c r="Y10" s="81" t="n"/>
      <x:c r="Z10" s="81" t="n"/>
      <x:c r="AA10" s="81" t="n"/>
      <x:c r="AB10" s="81" t="n"/>
      <x:c r="AC10" s="81" t="n"/>
      <x:c r="AD10" s="81" t="n"/>
      <x:c r="AE10" s="81" t="n"/>
      <x:c r="AF10" s="81" t="n"/>
      <x:c r="AG10" s="81" t="n"/>
      <x:c r="AH10" s="81" t="n"/>
      <x:c r="AI10" s="81" t="n"/>
    </x:row>
    <x:row r="11">
      <x:c r="A11" s="81" t="n"/>
      <x:c r="B11" s="81" t="n"/>
      <x:c r="C11" s="81" t="n"/>
      <x:c r="D11" s="81" t="n"/>
      <x:c r="E11" s="81" t="n"/>
      <x:c r="F11" s="81" t="n"/>
      <x:c r="G11" s="81" t="n"/>
      <x:c r="H11" s="81" t="n"/>
      <x:c r="I11" s="81" t="n"/>
      <x:c r="J11" s="81" t="n"/>
      <x:c r="K11" s="81" t="n"/>
      <x:c r="L11" s="81" t="n"/>
      <x:c r="M11" s="81" t="n"/>
      <x:c r="N11" s="81" t="n"/>
      <x:c r="O11" s="81" t="n"/>
      <x:c r="P11" s="81" t="n"/>
      <x:c r="Q11" s="81" t="n"/>
      <x:c r="R11" s="81" t="n"/>
      <x:c r="S11" s="81" t="n"/>
      <x:c r="T11" s="81" t="n"/>
      <x:c r="U11" s="81" t="n"/>
      <x:c r="V11" s="81" t="n"/>
      <x:c r="W11" s="81" t="n"/>
      <x:c r="X11" s="81" t="n"/>
      <x:c r="Y11" s="81" t="n"/>
      <x:c r="Z11" s="81" t="n"/>
      <x:c r="AA11" s="81" t="n"/>
      <x:c r="AB11" s="81" t="n"/>
      <x:c r="AC11" s="81" t="n"/>
      <x:c r="AD11" s="81" t="n"/>
      <x:c r="AE11" s="81" t="n"/>
      <x:c r="AF11" s="81" t="n"/>
      <x:c r="AG11" s="81" t="n"/>
      <x:c r="AH11" s="81" t="n"/>
      <x:c r="AI11" s="81" t="n"/>
    </x:row>
    <x:row r="12">
      <x:c r="A12" s="81" t="n"/>
      <x:c r="B12" s="81" t="n"/>
      <x:c r="C12" s="81" t="n"/>
      <x:c r="D12" s="81" t="n"/>
      <x:c r="E12" s="81" t="n"/>
      <x:c r="F12" s="81" t="n"/>
      <x:c r="G12" s="81" t="n"/>
      <x:c r="H12" s="81" t="n"/>
      <x:c r="I12" s="81" t="n"/>
      <x:c r="J12" s="81" t="n"/>
      <x:c r="K12" s="81" t="n"/>
      <x:c r="L12" s="81" t="n"/>
      <x:c r="M12" s="81" t="n"/>
      <x:c r="N12" s="81" t="n"/>
      <x:c r="O12" s="81" t="n"/>
      <x:c r="P12" s="81" t="n"/>
      <x:c r="Q12" s="81" t="n"/>
      <x:c r="R12" s="81" t="n"/>
      <x:c r="S12" s="81" t="n"/>
      <x:c r="T12" s="81" t="n"/>
      <x:c r="U12" s="81" t="n"/>
      <x:c r="V12" s="81" t="n"/>
      <x:c r="W12" s="81" t="n"/>
      <x:c r="X12" s="81" t="n"/>
      <x:c r="Y12" s="81" t="n"/>
      <x:c r="Z12" s="81" t="n"/>
      <x:c r="AA12" s="81" t="n"/>
      <x:c r="AB12" s="81" t="n"/>
      <x:c r="AC12" s="81" t="n"/>
      <x:c r="AD12" s="81" t="n"/>
      <x:c r="AE12" s="81" t="n"/>
      <x:c r="AF12" s="81" t="n"/>
      <x:c r="AG12" s="81" t="n"/>
      <x:c r="AH12" s="81" t="n"/>
      <x:c r="AI12" s="81" t="n"/>
    </x:row>
    <x:row r="13">
      <x:c r="A13" s="81" t="n"/>
      <x:c r="B13" s="81" t="n"/>
      <x:c r="C13" s="81" t="n"/>
      <x:c r="D13" s="81" t="n"/>
      <x:c r="E13" s="81" t="n"/>
      <x:c r="F13" s="81" t="n"/>
      <x:c r="G13" s="81" t="n"/>
      <x:c r="H13" s="81" t="n"/>
      <x:c r="I13" s="81" t="n"/>
      <x:c r="J13" s="81" t="n"/>
      <x:c r="K13" s="81" t="n"/>
      <x:c r="L13" s="81" t="n"/>
      <x:c r="M13" s="81" t="n"/>
      <x:c r="N13" s="81" t="n"/>
      <x:c r="O13" s="81" t="n"/>
      <x:c r="P13" s="81" t="n"/>
      <x:c r="Q13" s="81" t="n"/>
      <x:c r="R13" s="81" t="n"/>
      <x:c r="S13" s="81" t="n"/>
      <x:c r="T13" s="81" t="n"/>
      <x:c r="U13" s="81" t="n"/>
      <x:c r="V13" s="81" t="n"/>
      <x:c r="W13" s="81" t="n"/>
      <x:c r="X13" s="81" t="n"/>
      <x:c r="Y13" s="81" t="n"/>
      <x:c r="Z13" s="81" t="n"/>
      <x:c r="AA13" s="81" t="n"/>
      <x:c r="AB13" s="81" t="n"/>
      <x:c r="AC13" s="81" t="n"/>
      <x:c r="AD13" s="81" t="n"/>
      <x:c r="AE13" s="81" t="n"/>
      <x:c r="AF13" s="81" t="n"/>
      <x:c r="AG13" s="81" t="n"/>
      <x:c r="AH13" s="81" t="n"/>
      <x:c r="AI13" s="81" t="n"/>
    </x:row>
    <x:row r="14">
      <x:c r="A14" s="81" t="n"/>
      <x:c r="B14" s="81" t="n"/>
      <x:c r="C14" s="81" t="n"/>
      <x:c r="D14" s="81" t="n"/>
      <x:c r="E14" s="81" t="n"/>
      <x:c r="F14" s="81" t="n"/>
      <x:c r="G14" s="81" t="n"/>
      <x:c r="H14" s="81" t="n"/>
      <x:c r="I14" s="81" t="n"/>
      <x:c r="J14" s="81" t="n"/>
      <x:c r="K14" s="81" t="n"/>
      <x:c r="L14" s="81" t="n"/>
      <x:c r="M14" s="81" t="n"/>
      <x:c r="N14" s="81" t="n"/>
      <x:c r="O14" s="81" t="n"/>
      <x:c r="P14" s="81" t="n"/>
      <x:c r="Q14" s="81" t="n"/>
      <x:c r="R14" s="81" t="n"/>
      <x:c r="S14" s="81" t="n"/>
      <x:c r="T14" s="81" t="n"/>
      <x:c r="U14" s="81" t="n"/>
      <x:c r="V14" s="81" t="n"/>
      <x:c r="W14" s="81" t="n"/>
      <x:c r="X14" s="81" t="n"/>
      <x:c r="Y14" s="81" t="n"/>
      <x:c r="Z14" s="81" t="n"/>
      <x:c r="AA14" s="81" t="n"/>
      <x:c r="AB14" s="81" t="n"/>
      <x:c r="AC14" s="81" t="n"/>
      <x:c r="AD14" s="81" t="n"/>
      <x:c r="AE14" s="81" t="n"/>
      <x:c r="AF14" s="81" t="n"/>
      <x:c r="AG14" s="81" t="n"/>
      <x:c r="AH14" s="81" t="n"/>
      <x:c r="AI14" s="81" t="n"/>
    </x:row>
    <x:row r="15">
      <x:c r="A15" s="81" t="n"/>
      <x:c r="B15" s="81" t="n"/>
      <x:c r="C15" s="81" t="n"/>
      <x:c r="D15" s="81" t="n"/>
      <x:c r="E15" s="81" t="n"/>
      <x:c r="F15" s="81" t="n"/>
      <x:c r="G15" s="81" t="n"/>
      <x:c r="H15" s="81" t="n"/>
      <x:c r="I15" s="81" t="n"/>
      <x:c r="J15" s="81" t="n"/>
      <x:c r="K15" s="81" t="n"/>
      <x:c r="L15" s="81" t="n"/>
      <x:c r="M15" s="81" t="n"/>
      <x:c r="N15" s="81" t="n"/>
      <x:c r="O15" s="81" t="n"/>
      <x:c r="P15" s="81" t="n"/>
      <x:c r="Q15" s="81" t="n"/>
      <x:c r="R15" s="81" t="n"/>
      <x:c r="S15" s="81" t="n"/>
      <x:c r="T15" s="81" t="n"/>
      <x:c r="U15" s="81" t="n"/>
      <x:c r="V15" s="81" t="n"/>
      <x:c r="W15" s="81" t="n"/>
      <x:c r="X15" s="81" t="n"/>
      <x:c r="Y15" s="81" t="n"/>
      <x:c r="Z15" s="81" t="n"/>
      <x:c r="AA15" s="81" t="n"/>
      <x:c r="AB15" s="81" t="n"/>
      <x:c r="AC15" s="81" t="n"/>
      <x:c r="AD15" s="81" t="n"/>
      <x:c r="AE15" s="81" t="n"/>
      <x:c r="AF15" s="81" t="n"/>
      <x:c r="AG15" s="81" t="n"/>
      <x:c r="AH15" s="81" t="n"/>
      <x:c r="AI15" s="81" t="n"/>
    </x:row>
    <x:row r="16">
      <x:c r="A16" s="81" t="n"/>
      <x:c r="B16" s="81" t="n"/>
      <x:c r="C16" s="81" t="n"/>
      <x:c r="D16" s="81" t="n"/>
      <x:c r="E16" s="81" t="n"/>
      <x:c r="F16" s="81" t="n"/>
      <x:c r="G16" s="81" t="n"/>
      <x:c r="H16" s="81" t="n"/>
      <x:c r="I16" s="81" t="n"/>
      <x:c r="J16" s="81" t="n"/>
      <x:c r="K16" s="81" t="n"/>
      <x:c r="L16" s="81" t="n"/>
      <x:c r="M16" s="81" t="n"/>
      <x:c r="N16" s="81" t="n"/>
      <x:c r="O16" s="81" t="n"/>
      <x:c r="P16" s="81" t="n"/>
      <x:c r="Q16" s="81" t="n"/>
      <x:c r="R16" s="81" t="n"/>
      <x:c r="S16" s="81" t="n"/>
      <x:c r="T16" s="81" t="n"/>
      <x:c r="U16" s="81" t="n"/>
      <x:c r="V16" s="81" t="n"/>
      <x:c r="W16" s="81" t="n"/>
      <x:c r="X16" s="81" t="n"/>
      <x:c r="Y16" s="81" t="n"/>
      <x:c r="Z16" s="81" t="n"/>
      <x:c r="AA16" s="81" t="n"/>
      <x:c r="AB16" s="81" t="n"/>
      <x:c r="AC16" s="81" t="n"/>
      <x:c r="AD16" s="81" t="n"/>
      <x:c r="AE16" s="81" t="n"/>
      <x:c r="AF16" s="81" t="n"/>
      <x:c r="AG16" s="81" t="n"/>
      <x:c r="AH16" s="81" t="n"/>
      <x:c r="AI16" s="81" t="n"/>
    </x:row>
    <x:row r="17">
      <x:c r="A17" s="81" t="n"/>
      <x:c r="B17" s="81" t="n"/>
      <x:c r="C17" s="81" t="n"/>
      <x:c r="D17" s="81" t="n"/>
      <x:c r="E17" s="81" t="n"/>
      <x:c r="F17" s="81" t="n"/>
      <x:c r="G17" s="81" t="n"/>
      <x:c r="H17" s="81" t="n"/>
      <x:c r="I17" s="81" t="n"/>
      <x:c r="J17" s="81" t="n"/>
      <x:c r="K17" s="81" t="n"/>
      <x:c r="L17" s="81" t="n"/>
      <x:c r="M17" s="81" t="n"/>
      <x:c r="N17" s="81" t="n"/>
      <x:c r="O17" s="81" t="n"/>
      <x:c r="P17" s="81" t="n"/>
      <x:c r="Q17" s="81" t="n"/>
      <x:c r="R17" s="81" t="n"/>
      <x:c r="S17" s="81" t="n"/>
      <x:c r="T17" s="81" t="n"/>
      <x:c r="U17" s="81" t="n"/>
      <x:c r="V17" s="81" t="n"/>
      <x:c r="W17" s="81" t="n"/>
      <x:c r="X17" s="81" t="n"/>
      <x:c r="Y17" s="81" t="n"/>
      <x:c r="Z17" s="81" t="n"/>
      <x:c r="AA17" s="81" t="n"/>
      <x:c r="AB17" s="81" t="n"/>
      <x:c r="AC17" s="81" t="n"/>
      <x:c r="AD17" s="81" t="n"/>
      <x:c r="AE17" s="81" t="n"/>
      <x:c r="AF17" s="81" t="n"/>
      <x:c r="AG17" s="81" t="n"/>
      <x:c r="AH17" s="81" t="n"/>
      <x:c r="AI17" s="81" t="n"/>
    </x:row>
    <x:row r="18">
      <x:c r="A18" s="81" t="n"/>
      <x:c r="B18" s="81" t="n"/>
      <x:c r="C18" s="81" t="n"/>
      <x:c r="D18" s="81" t="n"/>
      <x:c r="E18" s="81" t="n"/>
      <x:c r="F18" s="81" t="n"/>
      <x:c r="G18" s="81" t="n"/>
      <x:c r="H18" s="81" t="n"/>
      <x:c r="I18" s="81" t="n"/>
      <x:c r="J18" s="81" t="n"/>
      <x:c r="K18" s="81" t="n"/>
      <x:c r="L18" s="81" t="n"/>
      <x:c r="M18" s="81" t="n"/>
      <x:c r="N18" s="81" t="n"/>
      <x:c r="O18" s="81" t="n"/>
      <x:c r="P18" s="81" t="n"/>
      <x:c r="Q18" s="81" t="n"/>
      <x:c r="R18" s="81" t="n"/>
      <x:c r="S18" s="81" t="n"/>
      <x:c r="T18" s="81" t="n"/>
      <x:c r="U18" s="81" t="n"/>
      <x:c r="V18" s="81" t="n"/>
      <x:c r="W18" s="81" t="n"/>
      <x:c r="X18" s="81" t="n"/>
      <x:c r="Y18" s="81" t="n"/>
      <x:c r="Z18" s="81" t="n"/>
      <x:c r="AA18" s="81" t="n"/>
      <x:c r="AB18" s="81" t="n"/>
      <x:c r="AC18" s="81" t="n"/>
      <x:c r="AD18" s="81" t="n"/>
      <x:c r="AE18" s="81" t="n"/>
      <x:c r="AF18" s="81" t="n"/>
      <x:c r="AG18" s="81" t="n"/>
      <x:c r="AH18" s="81" t="n"/>
      <x:c r="AI18" s="81" t="n"/>
    </x:row>
    <x:row r="19">
      <x:c r="A19" s="81" t="n"/>
      <x:c r="B19" s="81" t="n"/>
      <x:c r="C19" s="81" t="n"/>
      <x:c r="D19" s="81" t="n"/>
      <x:c r="E19" s="81" t="n"/>
      <x:c r="F19" s="81" t="n"/>
      <x:c r="G19" s="81" t="n"/>
      <x:c r="H19" s="81" t="n"/>
      <x:c r="I19" s="81" t="n"/>
      <x:c r="J19" s="81" t="n"/>
      <x:c r="K19" s="81" t="n"/>
      <x:c r="L19" s="81" t="n"/>
      <x:c r="M19" s="81" t="n"/>
      <x:c r="N19" s="81" t="n"/>
      <x:c r="O19" s="81" t="n"/>
      <x:c r="P19" s="81" t="n"/>
      <x:c r="Q19" s="81" t="n"/>
      <x:c r="R19" s="81" t="n"/>
      <x:c r="S19" s="81" t="n"/>
      <x:c r="T19" s="81" t="n"/>
      <x:c r="U19" s="81" t="n"/>
      <x:c r="V19" s="81" t="n"/>
      <x:c r="W19" s="81" t="n"/>
      <x:c r="X19" s="81" t="n"/>
      <x:c r="Y19" s="81" t="n"/>
      <x:c r="Z19" s="81" t="n"/>
      <x:c r="AA19" s="81" t="n"/>
      <x:c r="AB19" s="81" t="n"/>
      <x:c r="AC19" s="81" t="n"/>
      <x:c r="AD19" s="81" t="n"/>
      <x:c r="AE19" s="81" t="n"/>
      <x:c r="AF19" s="81" t="n"/>
      <x:c r="AG19" s="81" t="n"/>
      <x:c r="AH19" s="81" t="n"/>
      <x:c r="AI19" s="81" t="n"/>
    </x:row>
    <x:row r="20">
      <x:c r="A20" s="81" t="n"/>
      <x:c r="B20" s="81" t="n"/>
      <x:c r="C20" s="81" t="n"/>
      <x:c r="D20" s="81" t="n"/>
      <x:c r="E20" s="81" t="n"/>
      <x:c r="F20" s="81" t="n"/>
      <x:c r="G20" s="81" t="n"/>
      <x:c r="H20" s="81" t="n"/>
      <x:c r="I20" s="81" t="n"/>
      <x:c r="J20" s="81" t="n"/>
      <x:c r="K20" s="81" t="n"/>
      <x:c r="L20" s="81" t="n"/>
      <x:c r="M20" s="81" t="n"/>
      <x:c r="N20" s="81" t="n"/>
      <x:c r="O20" s="81" t="n"/>
      <x:c r="P20" s="81" t="n"/>
      <x:c r="Q20" s="81" t="n"/>
      <x:c r="R20" s="81" t="n"/>
      <x:c r="S20" s="81" t="n"/>
      <x:c r="T20" s="81" t="n"/>
      <x:c r="U20" s="81" t="n"/>
      <x:c r="V20" s="81" t="n"/>
      <x:c r="W20" s="81" t="n"/>
      <x:c r="X20" s="81" t="n"/>
      <x:c r="Y20" s="81" t="n"/>
      <x:c r="Z20" s="81" t="n"/>
      <x:c r="AA20" s="81" t="n"/>
      <x:c r="AB20" s="81" t="n"/>
      <x:c r="AC20" s="81" t="n"/>
      <x:c r="AD20" s="81" t="n"/>
      <x:c r="AE20" s="81" t="n"/>
      <x:c r="AF20" s="81" t="n"/>
      <x:c r="AG20" s="81" t="n"/>
      <x:c r="AH20" s="81" t="n"/>
      <x:c r="AI20" s="81" t="n"/>
    </x:row>
    <x:row r="21">
      <x:c r="A21" s="81" t="n"/>
      <x:c r="B21" s="81" t="n"/>
      <x:c r="C21" s="81" t="n"/>
      <x:c r="D21" s="81" t="n"/>
      <x:c r="E21" s="81" t="n"/>
      <x:c r="F21" s="81" t="n"/>
      <x:c r="G21" s="81" t="n"/>
      <x:c r="H21" s="81" t="n"/>
      <x:c r="I21" s="81" t="n"/>
      <x:c r="J21" s="81" t="n"/>
      <x:c r="K21" s="81" t="n"/>
      <x:c r="L21" s="81" t="n"/>
      <x:c r="M21" s="81" t="n"/>
      <x:c r="N21" s="81" t="n"/>
      <x:c r="O21" s="81" t="n"/>
      <x:c r="P21" s="81" t="n"/>
      <x:c r="Q21" s="81" t="n"/>
      <x:c r="R21" s="81" t="n"/>
      <x:c r="S21" s="81" t="n"/>
      <x:c r="T21" s="81" t="n"/>
      <x:c r="U21" s="81" t="n"/>
      <x:c r="V21" s="81" t="n"/>
      <x:c r="W21" s="81" t="n"/>
      <x:c r="X21" s="81" t="n"/>
      <x:c r="Y21" s="81" t="n"/>
      <x:c r="Z21" s="81" t="n"/>
      <x:c r="AA21" s="81" t="n"/>
      <x:c r="AB21" s="81" t="n"/>
      <x:c r="AC21" s="81" t="n"/>
      <x:c r="AD21" s="81" t="n"/>
      <x:c r="AE21" s="81" t="n"/>
      <x:c r="AF21" s="81" t="n"/>
      <x:c r="AG21" s="81" t="n"/>
      <x:c r="AH21" s="81" t="n"/>
      <x:c r="AI21" s="81" t="n"/>
    </x:row>
    <x:row r="22">
      <x:c r="A22" s="81" t="n"/>
      <x:c r="B22" s="81" t="n"/>
      <x:c r="C22" s="81" t="n"/>
      <x:c r="D22" s="81" t="n"/>
      <x:c r="E22" s="81" t="n"/>
      <x:c r="F22" s="81" t="n"/>
      <x:c r="G22" s="81" t="n"/>
      <x:c r="H22" s="81" t="n"/>
      <x:c r="I22" s="81" t="n"/>
      <x:c r="J22" s="81" t="n"/>
      <x:c r="K22" s="81" t="n"/>
      <x:c r="L22" s="81" t="n"/>
      <x:c r="M22" s="81" t="n"/>
      <x:c r="N22" s="81" t="n"/>
      <x:c r="O22" s="81" t="n"/>
      <x:c r="P22" s="81" t="n"/>
      <x:c r="Q22" s="81" t="n"/>
      <x:c r="R22" s="81" t="n"/>
      <x:c r="S22" s="81" t="n"/>
      <x:c r="T22" s="81" t="n"/>
      <x:c r="U22" s="81" t="n"/>
      <x:c r="V22" s="81" t="n"/>
      <x:c r="W22" s="81" t="n"/>
      <x:c r="X22" s="81" t="n"/>
      <x:c r="Y22" s="81" t="n"/>
      <x:c r="Z22" s="81" t="n"/>
      <x:c r="AA22" s="81" t="n"/>
      <x:c r="AB22" s="81" t="n"/>
      <x:c r="AC22" s="81" t="n"/>
      <x:c r="AD22" s="81" t="n"/>
      <x:c r="AE22" s="81" t="n"/>
      <x:c r="AF22" s="81" t="n"/>
      <x:c r="AG22" s="81" t="n"/>
      <x:c r="AH22" s="81" t="n"/>
      <x:c r="AI22" s="81" t="n"/>
    </x:row>
    <x:row r="23">
      <x:c r="A23" s="81" t="n"/>
      <x:c r="B23" s="81" t="n"/>
      <x:c r="C23" s="81" t="n"/>
      <x:c r="D23" s="81" t="n"/>
      <x:c r="E23" s="81" t="n"/>
      <x:c r="F23" s="81" t="n"/>
      <x:c r="G23" s="81" t="n"/>
      <x:c r="H23" s="81" t="n"/>
      <x:c r="I23" s="81" t="n"/>
      <x:c r="J23" s="81" t="n"/>
      <x:c r="K23" s="81" t="n"/>
      <x:c r="L23" s="81" t="n"/>
      <x:c r="M23" s="81" t="n"/>
      <x:c r="N23" s="81" t="n"/>
      <x:c r="O23" s="81" t="n"/>
      <x:c r="P23" s="81" t="n"/>
      <x:c r="Q23" s="81" t="n"/>
      <x:c r="R23" s="81" t="n"/>
      <x:c r="S23" s="81" t="n"/>
      <x:c r="T23" s="81" t="n"/>
      <x:c r="U23" s="81" t="n"/>
      <x:c r="V23" s="81" t="n"/>
      <x:c r="W23" s="81" t="n"/>
      <x:c r="X23" s="81" t="n"/>
      <x:c r="Y23" s="81" t="n"/>
      <x:c r="Z23" s="81" t="n"/>
      <x:c r="AA23" s="81" t="n"/>
      <x:c r="AB23" s="81" t="n"/>
      <x:c r="AC23" s="81" t="n"/>
      <x:c r="AD23" s="81" t="n"/>
      <x:c r="AE23" s="81" t="n"/>
      <x:c r="AF23" s="81" t="n"/>
      <x:c r="AG23" s="81" t="n"/>
      <x:c r="AH23" s="81" t="n"/>
      <x:c r="AI23" s="81" t="n"/>
    </x:row>
    <x:row r="24">
      <x:c r="A24" s="81" t="n"/>
      <x:c r="B24" s="81" t="n"/>
      <x:c r="C24" s="81" t="n"/>
      <x:c r="D24" s="81" t="n"/>
      <x:c r="E24" s="81" t="n"/>
      <x:c r="F24" s="81" t="n"/>
      <x:c r="G24" s="81" t="n"/>
      <x:c r="H24" s="81" t="n"/>
      <x:c r="I24" s="81" t="n"/>
      <x:c r="J24" s="81" t="n"/>
      <x:c r="K24" s="81" t="n"/>
      <x:c r="L24" s="81" t="n"/>
      <x:c r="M24" s="81" t="n"/>
      <x:c r="N24" s="81" t="n"/>
      <x:c r="O24" s="81" t="n"/>
      <x:c r="P24" s="81" t="n"/>
      <x:c r="Q24" s="81" t="n"/>
      <x:c r="R24" s="81" t="n"/>
      <x:c r="S24" s="81" t="n"/>
      <x:c r="T24" s="81" t="n"/>
      <x:c r="U24" s="81" t="n"/>
      <x:c r="V24" s="81" t="n"/>
      <x:c r="W24" s="81" t="n"/>
      <x:c r="X24" s="81" t="n"/>
      <x:c r="Y24" s="81" t="n"/>
      <x:c r="Z24" s="81" t="n"/>
      <x:c r="AA24" s="81" t="n"/>
      <x:c r="AB24" s="81" t="n"/>
      <x:c r="AC24" s="81" t="n"/>
      <x:c r="AD24" s="81" t="n"/>
      <x:c r="AE24" s="81" t="n"/>
      <x:c r="AF24" s="81" t="n"/>
      <x:c r="AG24" s="81" t="n"/>
      <x:c r="AH24" s="81" t="n"/>
      <x:c r="AI24" s="81" t="n"/>
    </x:row>
    <x:row r="25">
      <x:c r="A25" s="81" t="n"/>
      <x:c r="B25" s="81" t="n"/>
      <x:c r="C25" s="81" t="n"/>
      <x:c r="D25" s="81" t="n"/>
      <x:c r="E25" s="81" t="n"/>
      <x:c r="F25" s="81" t="n"/>
      <x:c r="G25" s="81" t="n"/>
      <x:c r="H25" s="81" t="n"/>
      <x:c r="I25" s="81" t="n"/>
      <x:c r="J25" s="81" t="n"/>
      <x:c r="K25" s="81" t="n"/>
      <x:c r="L25" s="81" t="n"/>
      <x:c r="M25" s="81" t="n"/>
      <x:c r="N25" s="81" t="n"/>
      <x:c r="O25" s="81" t="n"/>
      <x:c r="P25" s="81" t="n"/>
      <x:c r="Q25" s="81" t="n"/>
      <x:c r="R25" s="81" t="n"/>
      <x:c r="S25" s="81" t="n"/>
      <x:c r="T25" s="81" t="n"/>
      <x:c r="U25" s="81" t="n"/>
      <x:c r="V25" s="81" t="n"/>
      <x:c r="W25" s="81" t="n"/>
      <x:c r="X25" s="81" t="n"/>
      <x:c r="Y25" s="81" t="n"/>
      <x:c r="Z25" s="81" t="n"/>
      <x:c r="AA25" s="81" t="n"/>
      <x:c r="AB25" s="81" t="n"/>
      <x:c r="AC25" s="81" t="n"/>
      <x:c r="AD25" s="81" t="n"/>
      <x:c r="AE25" s="81" t="n"/>
      <x:c r="AF25" s="81" t="n"/>
      <x:c r="AG25" s="81" t="n"/>
      <x:c r="AH25" s="81" t="n"/>
      <x:c r="AI25" s="81" t="n"/>
    </x:row>
    <x:row r="26">
      <x:c r="A26" s="81" t="n"/>
      <x:c r="B26" s="81" t="n"/>
      <x:c r="C26" s="81" t="n"/>
      <x:c r="D26" s="81" t="n"/>
      <x:c r="E26" s="81" t="n"/>
      <x:c r="F26" s="81" t="n"/>
      <x:c r="G26" s="81" t="n"/>
      <x:c r="H26" s="81" t="n"/>
      <x:c r="I26" s="81" t="n"/>
      <x:c r="J26" s="81" t="n"/>
      <x:c r="K26" s="81" t="n"/>
      <x:c r="L26" s="81" t="n"/>
      <x:c r="M26" s="81" t="n"/>
      <x:c r="N26" s="81" t="n"/>
      <x:c r="O26" s="81" t="n"/>
      <x:c r="P26" s="81" t="n"/>
      <x:c r="Q26" s="81" t="n"/>
      <x:c r="R26" s="81" t="n"/>
      <x:c r="S26" s="81" t="n"/>
      <x:c r="T26" s="81" t="n"/>
      <x:c r="U26" s="81" t="n"/>
      <x:c r="V26" s="81" t="n"/>
      <x:c r="W26" s="81" t="n"/>
      <x:c r="X26" s="81" t="n"/>
      <x:c r="Y26" s="81" t="n"/>
      <x:c r="Z26" s="81" t="n"/>
      <x:c r="AA26" s="81" t="n"/>
      <x:c r="AB26" s="81" t="n"/>
      <x:c r="AC26" s="81" t="n"/>
      <x:c r="AD26" s="81" t="n"/>
      <x:c r="AE26" s="81" t="n"/>
      <x:c r="AF26" s="81" t="n"/>
      <x:c r="AG26" s="81" t="n"/>
      <x:c r="AH26" s="81" t="n"/>
      <x:c r="AI26" s="81" t="n"/>
    </x:row>
    <x:row r="27">
      <x:c r="A27" s="81" t="n"/>
      <x:c r="B27" s="81" t="n"/>
      <x:c r="C27" s="81" t="n"/>
      <x:c r="D27" s="81" t="n"/>
      <x:c r="E27" s="81" t="n"/>
      <x:c r="F27" s="81" t="n"/>
      <x:c r="G27" s="81" t="n"/>
      <x:c r="H27" s="81" t="n"/>
      <x:c r="I27" s="81" t="n"/>
      <x:c r="J27" s="81" t="n"/>
      <x:c r="K27" s="81" t="n"/>
      <x:c r="L27" s="81" t="n"/>
      <x:c r="M27" s="81" t="n"/>
      <x:c r="N27" s="81" t="n"/>
      <x:c r="O27" s="81" t="n"/>
      <x:c r="P27" s="81" t="n"/>
      <x:c r="Q27" s="81" t="n"/>
      <x:c r="R27" s="81" t="n"/>
      <x:c r="S27" s="81" t="n"/>
      <x:c r="T27" s="81" t="n"/>
      <x:c r="U27" s="81" t="n"/>
      <x:c r="V27" s="81" t="n"/>
      <x:c r="W27" s="81" t="n"/>
      <x:c r="X27" s="81" t="n"/>
      <x:c r="Y27" s="81" t="n"/>
      <x:c r="Z27" s="81" t="n"/>
      <x:c r="AA27" s="81" t="n"/>
      <x:c r="AB27" s="81" t="n"/>
      <x:c r="AC27" s="81" t="n"/>
      <x:c r="AD27" s="81" t="n"/>
      <x:c r="AE27" s="81" t="n"/>
      <x:c r="AF27" s="81" t="n"/>
      <x:c r="AG27" s="81" t="n"/>
      <x:c r="AH27" s="81" t="n"/>
      <x:c r="AI27" s="81" t="n"/>
    </x:row>
    <x:row r="28">
      <x:c r="A28" s="81" t="n"/>
      <x:c r="B28" s="81" t="n"/>
      <x:c r="C28" s="81" t="n"/>
      <x:c r="D28" s="81" t="n"/>
      <x:c r="E28" s="81" t="n"/>
      <x:c r="F28" s="81" t="n"/>
      <x:c r="G28" s="81" t="n"/>
      <x:c r="H28" s="81" t="n"/>
      <x:c r="I28" s="81" t="n"/>
      <x:c r="J28" s="81" t="n"/>
      <x:c r="K28" s="81" t="n"/>
      <x:c r="L28" s="81" t="n"/>
      <x:c r="M28" s="81" t="n"/>
      <x:c r="N28" s="81" t="n"/>
      <x:c r="O28" s="81" t="n"/>
      <x:c r="P28" s="81" t="n"/>
      <x:c r="Q28" s="81" t="n"/>
      <x:c r="R28" s="81" t="n"/>
      <x:c r="S28" s="81" t="n"/>
      <x:c r="T28" s="81" t="n"/>
      <x:c r="U28" s="81" t="n"/>
      <x:c r="V28" s="81" t="n"/>
      <x:c r="W28" s="81" t="n"/>
      <x:c r="X28" s="81" t="n"/>
      <x:c r="Y28" s="81" t="n"/>
      <x:c r="Z28" s="81" t="n"/>
      <x:c r="AA28" s="81" t="n"/>
      <x:c r="AB28" s="81" t="n"/>
      <x:c r="AC28" s="81" t="n"/>
      <x:c r="AD28" s="81" t="n"/>
      <x:c r="AE28" s="81" t="n"/>
      <x:c r="AF28" s="81" t="n"/>
      <x:c r="AG28" s="81" t="n"/>
      <x:c r="AH28" s="81" t="n"/>
      <x:c r="AI28" s="81" t="n"/>
    </x:row>
    <x:row r="29">
      <x:c r="A29" s="81" t="n"/>
      <x:c r="B29" s="81" t="n"/>
      <x:c r="C29" s="81" t="n"/>
      <x:c r="D29" s="81" t="n"/>
      <x:c r="E29" s="81" t="n"/>
      <x:c r="F29" s="81" t="n"/>
      <x:c r="G29" s="81" t="n"/>
      <x:c r="H29" s="81" t="n"/>
      <x:c r="I29" s="81" t="n"/>
      <x:c r="J29" s="81" t="n"/>
      <x:c r="K29" s="81" t="n"/>
      <x:c r="L29" s="81" t="n"/>
      <x:c r="M29" s="81" t="n"/>
      <x:c r="N29" s="81" t="n"/>
      <x:c r="O29" s="81" t="n"/>
      <x:c r="P29" s="81" t="n"/>
      <x:c r="Q29" s="81" t="n"/>
      <x:c r="R29" s="81" t="n"/>
      <x:c r="S29" s="81" t="n"/>
      <x:c r="T29" s="81" t="n"/>
      <x:c r="U29" s="81" t="n"/>
      <x:c r="V29" s="81" t="n"/>
      <x:c r="W29" s="81" t="n"/>
      <x:c r="X29" s="81" t="n"/>
      <x:c r="Y29" s="81" t="n"/>
      <x:c r="Z29" s="81" t="n"/>
      <x:c r="AA29" s="81" t="n"/>
      <x:c r="AB29" s="81" t="n"/>
      <x:c r="AC29" s="81" t="n"/>
      <x:c r="AD29" s="81" t="n"/>
      <x:c r="AE29" s="81" t="n"/>
      <x:c r="AF29" s="81" t="n"/>
      <x:c r="AG29" s="81" t="n"/>
      <x:c r="AH29" s="81" t="n"/>
      <x:c r="AI29" s="81" t="n"/>
    </x:row>
    <x:row r="30">
      <x:c r="A30" s="81" t="n"/>
      <x:c r="B30" s="81" t="n"/>
      <x:c r="C30" s="81" t="n"/>
      <x:c r="D30" s="81" t="n"/>
      <x:c r="E30" s="81" t="n"/>
      <x:c r="F30" s="81" t="n"/>
      <x:c r="G30" s="81" t="n"/>
      <x:c r="H30" s="81" t="n"/>
      <x:c r="I30" s="81" t="n"/>
      <x:c r="J30" s="81" t="n"/>
      <x:c r="K30" s="81" t="n"/>
      <x:c r="L30" s="81" t="n"/>
      <x:c r="M30" s="81" t="n"/>
      <x:c r="N30" s="81" t="n"/>
      <x:c r="O30" s="81" t="n"/>
      <x:c r="P30" s="81" t="n"/>
      <x:c r="Q30" s="81" t="n"/>
      <x:c r="R30" s="81" t="n"/>
      <x:c r="S30" s="81" t="n"/>
      <x:c r="T30" s="81" t="n"/>
      <x:c r="U30" s="81" t="n"/>
      <x:c r="V30" s="81" t="n"/>
      <x:c r="W30" s="81" t="n"/>
      <x:c r="X30" s="81" t="n"/>
      <x:c r="Y30" s="81" t="n"/>
      <x:c r="Z30" s="81" t="n"/>
      <x:c r="AA30" s="81" t="n"/>
      <x:c r="AB30" s="81" t="n"/>
      <x:c r="AC30" s="81" t="n"/>
      <x:c r="AD30" s="81" t="n"/>
      <x:c r="AE30" s="81" t="n"/>
      <x:c r="AF30" s="81" t="n"/>
      <x:c r="AG30" s="81" t="n"/>
      <x:c r="AH30" s="81" t="n"/>
      <x:c r="AI30" s="81" t="n"/>
    </x:row>
    <x:row r="31">
      <x:c r="A31" s="81" t="n"/>
      <x:c r="B31" s="81" t="n"/>
      <x:c r="C31" s="81" t="n"/>
      <x:c r="D31" s="81" t="n"/>
      <x:c r="E31" s="81" t="n"/>
      <x:c r="F31" s="81" t="n"/>
      <x:c r="G31" s="81" t="n"/>
      <x:c r="H31" s="81" t="n"/>
      <x:c r="I31" s="81" t="n"/>
      <x:c r="J31" s="81" t="n"/>
      <x:c r="K31" s="81" t="n"/>
      <x:c r="L31" s="81" t="n"/>
      <x:c r="M31" s="81" t="n"/>
      <x:c r="N31" s="81" t="n"/>
      <x:c r="O31" s="81" t="n"/>
      <x:c r="P31" s="81" t="n"/>
      <x:c r="Q31" s="81" t="n"/>
      <x:c r="R31" s="81" t="n"/>
      <x:c r="S31" s="81" t="n"/>
      <x:c r="T31" s="81" t="n"/>
      <x:c r="U31" s="81" t="n"/>
      <x:c r="V31" s="81" t="n"/>
      <x:c r="W31" s="81" t="n"/>
      <x:c r="X31" s="81" t="n"/>
      <x:c r="Y31" s="81" t="n"/>
      <x:c r="Z31" s="81" t="n"/>
      <x:c r="AA31" s="81" t="n"/>
      <x:c r="AB31" s="81" t="n"/>
      <x:c r="AC31" s="81" t="n"/>
      <x:c r="AD31" s="81" t="n"/>
      <x:c r="AE31" s="81" t="n"/>
      <x:c r="AF31" s="81" t="n"/>
      <x:c r="AG31" s="81" t="n"/>
      <x:c r="AH31" s="81" t="n"/>
      <x:c r="AI31" s="81" t="n"/>
    </x:row>
    <x:row r="32">
      <x:c r="A32" s="81" t="n"/>
      <x:c r="B32" s="81" t="n"/>
      <x:c r="C32" s="81" t="n"/>
      <x:c r="D32" s="81" t="n"/>
      <x:c r="E32" s="81" t="n"/>
      <x:c r="F32" s="81" t="n"/>
      <x:c r="G32" s="81" t="n"/>
      <x:c r="H32" s="81" t="n"/>
      <x:c r="I32" s="81" t="n"/>
      <x:c r="J32" s="81" t="n"/>
      <x:c r="K32" s="81" t="n"/>
      <x:c r="L32" s="81" t="n"/>
      <x:c r="M32" s="81" t="n"/>
      <x:c r="N32" s="81" t="n"/>
      <x:c r="O32" s="81" t="n"/>
      <x:c r="P32" s="81" t="n"/>
      <x:c r="Q32" s="81" t="n"/>
      <x:c r="R32" s="81" t="n"/>
      <x:c r="S32" s="81" t="n"/>
      <x:c r="T32" s="81" t="n"/>
      <x:c r="U32" s="81" t="n"/>
      <x:c r="V32" s="81" t="n"/>
      <x:c r="W32" s="81" t="n"/>
      <x:c r="X32" s="81" t="n"/>
      <x:c r="Y32" s="81" t="n"/>
      <x:c r="Z32" s="81" t="n"/>
      <x:c r="AA32" s="81" t="n"/>
      <x:c r="AB32" s="81" t="n"/>
      <x:c r="AC32" s="81" t="n"/>
      <x:c r="AD32" s="81" t="n"/>
      <x:c r="AE32" s="81" t="n"/>
      <x:c r="AF32" s="81" t="n"/>
      <x:c r="AG32" s="81" t="n"/>
      <x:c r="AH32" s="81" t="n"/>
      <x:c r="AI32" s="81" t="n"/>
    </x:row>
    <x:row r="33">
      <x:c r="A33" s="81" t="n"/>
      <x:c r="B33" s="81" t="n"/>
      <x:c r="C33" s="81" t="n"/>
      <x:c r="D33" s="81" t="n"/>
      <x:c r="E33" s="81" t="n"/>
      <x:c r="F33" s="81" t="n"/>
      <x:c r="G33" s="81" t="n"/>
      <x:c r="H33" s="81" t="n"/>
      <x:c r="I33" s="81" t="n"/>
      <x:c r="J33" s="81" t="n"/>
      <x:c r="K33" s="81" t="n"/>
      <x:c r="L33" s="81" t="n"/>
      <x:c r="M33" s="81" t="n"/>
      <x:c r="N33" s="81" t="n"/>
      <x:c r="O33" s="81" t="n"/>
      <x:c r="P33" s="81" t="n"/>
      <x:c r="Q33" s="81" t="n"/>
      <x:c r="R33" s="81" t="n"/>
      <x:c r="S33" s="81" t="n"/>
      <x:c r="T33" s="81" t="n"/>
      <x:c r="U33" s="81" t="n"/>
      <x:c r="V33" s="81" t="n"/>
      <x:c r="W33" s="81" t="n"/>
      <x:c r="X33" s="81" t="n"/>
      <x:c r="Y33" s="81" t="n"/>
      <x:c r="Z33" s="81" t="n"/>
      <x:c r="AA33" s="81" t="n"/>
      <x:c r="AB33" s="81" t="n"/>
      <x:c r="AC33" s="81" t="n"/>
      <x:c r="AD33" s="81" t="n"/>
      <x:c r="AE33" s="81" t="n"/>
      <x:c r="AF33" s="81" t="n"/>
      <x:c r="AG33" s="81" t="n"/>
      <x:c r="AH33" s="81" t="n"/>
      <x:c r="AI33" s="81" t="n"/>
    </x:row>
    <x:row r="34">
      <x:c r="A34" s="81" t="n"/>
      <x:c r="B34" s="81" t="n"/>
      <x:c r="C34" s="81" t="n"/>
      <x:c r="D34" s="81" t="n"/>
      <x:c r="E34" s="81" t="n"/>
      <x:c r="F34" s="81" t="n"/>
      <x:c r="G34" s="81" t="n"/>
      <x:c r="H34" s="81" t="n"/>
      <x:c r="I34" s="81" t="n"/>
      <x:c r="J34" s="81" t="n"/>
      <x:c r="K34" s="81" t="n"/>
      <x:c r="L34" s="81" t="n"/>
      <x:c r="M34" s="81" t="n"/>
      <x:c r="N34" s="81" t="n"/>
      <x:c r="O34" s="81" t="n"/>
      <x:c r="P34" s="81" t="n"/>
      <x:c r="Q34" s="81" t="n"/>
      <x:c r="R34" s="81" t="n"/>
      <x:c r="S34" s="81" t="n"/>
      <x:c r="T34" s="81" t="n"/>
      <x:c r="U34" s="81" t="n"/>
      <x:c r="V34" s="81" t="n"/>
      <x:c r="W34" s="81" t="n"/>
      <x:c r="X34" s="81" t="n"/>
      <x:c r="Y34" s="81" t="n"/>
      <x:c r="Z34" s="81" t="n"/>
      <x:c r="AA34" s="81" t="n"/>
      <x:c r="AB34" s="81" t="n"/>
      <x:c r="AC34" s="81" t="n"/>
      <x:c r="AD34" s="81" t="n"/>
      <x:c r="AE34" s="81" t="n"/>
      <x:c r="AF34" s="81" t="n"/>
      <x:c r="AG34" s="81" t="n"/>
      <x:c r="AH34" s="81" t="n"/>
      <x:c r="AI34" s="81" t="n"/>
    </x:row>
    <x:row r="35">
      <x:c r="A35" s="81" t="n"/>
      <x:c r="B35" s="81" t="n"/>
      <x:c r="C35" s="81" t="n"/>
      <x:c r="D35" s="81" t="n"/>
      <x:c r="E35" s="81" t="n"/>
      <x:c r="F35" s="81" t="n"/>
      <x:c r="G35" s="81" t="n"/>
      <x:c r="H35" s="81" t="n"/>
      <x:c r="I35" s="81" t="n"/>
      <x:c r="J35" s="81" t="n"/>
      <x:c r="K35" s="81" t="n"/>
      <x:c r="L35" s="81" t="n"/>
      <x:c r="M35" s="81" t="n"/>
      <x:c r="N35" s="81" t="n"/>
      <x:c r="O35" s="81" t="n"/>
      <x:c r="P35" s="81" t="n"/>
      <x:c r="Q35" s="81" t="n"/>
      <x:c r="R35" s="81" t="n"/>
      <x:c r="S35" s="81" t="n"/>
      <x:c r="T35" s="81" t="n"/>
      <x:c r="U35" s="81" t="n"/>
      <x:c r="V35" s="81" t="n"/>
      <x:c r="W35" s="81" t="n"/>
      <x:c r="X35" s="81" t="n"/>
      <x:c r="Y35" s="81" t="n"/>
      <x:c r="Z35" s="81" t="n"/>
      <x:c r="AA35" s="81" t="n"/>
      <x:c r="AB35" s="81" t="n"/>
      <x:c r="AC35" s="81" t="n"/>
      <x:c r="AD35" s="81" t="n"/>
      <x:c r="AE35" s="81" t="n"/>
      <x:c r="AF35" s="81" t="n"/>
      <x:c r="AG35" s="81" t="n"/>
      <x:c r="AH35" s="81" t="n"/>
      <x:c r="AI35" s="81" t="n"/>
    </x:row>
    <x:row r="36">
      <x:c r="A36" s="81" t="n"/>
      <x:c r="B36" s="81" t="n"/>
      <x:c r="C36" s="81" t="n"/>
      <x:c r="D36" s="81" t="n"/>
      <x:c r="E36" s="81" t="n"/>
      <x:c r="F36" s="81" t="n"/>
      <x:c r="G36" s="81" t="n"/>
      <x:c r="H36" s="81" t="n"/>
      <x:c r="I36" s="81" t="n"/>
      <x:c r="J36" s="81" t="n"/>
      <x:c r="K36" s="81" t="n"/>
      <x:c r="L36" s="81" t="n"/>
      <x:c r="M36" s="81" t="n"/>
      <x:c r="N36" s="81" t="n"/>
      <x:c r="O36" s="81" t="n"/>
      <x:c r="P36" s="81" t="n"/>
      <x:c r="Q36" s="81" t="n"/>
      <x:c r="R36" s="81" t="n"/>
      <x:c r="S36" s="81" t="n"/>
      <x:c r="T36" s="81" t="n"/>
      <x:c r="U36" s="81" t="n"/>
      <x:c r="V36" s="81" t="n"/>
      <x:c r="W36" s="81" t="n"/>
      <x:c r="X36" s="81" t="n"/>
      <x:c r="Y36" s="81" t="n"/>
      <x:c r="Z36" s="81" t="n"/>
      <x:c r="AA36" s="81" t="n"/>
      <x:c r="AB36" s="81" t="n"/>
      <x:c r="AC36" s="81" t="n"/>
      <x:c r="AD36" s="81" t="n"/>
      <x:c r="AE36" s="81" t="n"/>
      <x:c r="AF36" s="81" t="n"/>
      <x:c r="AG36" s="81" t="n"/>
      <x:c r="AH36" s="81" t="n"/>
      <x:c r="AI36" s="81" t="n"/>
    </x:row>
    <x:row r="37">
      <x:c r="A37" s="81" t="n"/>
      <x:c r="B37" s="81" t="n"/>
      <x:c r="C37" s="81" t="n"/>
      <x:c r="D37" s="81" t="n"/>
      <x:c r="E37" s="81" t="n"/>
      <x:c r="F37" s="81" t="n"/>
      <x:c r="G37" s="81" t="n"/>
      <x:c r="H37" s="81" t="n"/>
      <x:c r="I37" s="81" t="n"/>
      <x:c r="J37" s="81" t="n"/>
      <x:c r="K37" s="81" t="n"/>
      <x:c r="L37" s="81" t="n"/>
      <x:c r="M37" s="81" t="n"/>
      <x:c r="N37" s="81" t="n"/>
      <x:c r="O37" s="81" t="n"/>
      <x:c r="P37" s="81" t="n"/>
      <x:c r="Q37" s="81" t="n"/>
      <x:c r="R37" s="81" t="n"/>
      <x:c r="S37" s="81" t="n"/>
      <x:c r="T37" s="81" t="n"/>
      <x:c r="U37" s="81" t="n"/>
      <x:c r="V37" s="81" t="n"/>
      <x:c r="W37" s="81" t="n"/>
      <x:c r="X37" s="81" t="n"/>
      <x:c r="Y37" s="81" t="n"/>
      <x:c r="Z37" s="81" t="n"/>
      <x:c r="AA37" s="81" t="n"/>
      <x:c r="AB37" s="81" t="n"/>
      <x:c r="AC37" s="81" t="n"/>
      <x:c r="AD37" s="81" t="n"/>
      <x:c r="AE37" s="81" t="n"/>
      <x:c r="AF37" s="81" t="n"/>
      <x:c r="AG37" s="81" t="n"/>
      <x:c r="AH37" s="81" t="n"/>
      <x:c r="AI37" s="81" t="n"/>
    </x:row>
    <x:row r="38">
      <x:c r="A38" s="81" t="n"/>
      <x:c r="B38" s="81" t="n"/>
      <x:c r="C38" s="81" t="n"/>
      <x:c r="D38" s="81" t="n"/>
      <x:c r="E38" s="81" t="n"/>
      <x:c r="F38" s="81" t="n"/>
      <x:c r="G38" s="81" t="n"/>
      <x:c r="H38" s="81" t="n"/>
      <x:c r="I38" s="81" t="n"/>
      <x:c r="J38" s="81" t="n"/>
      <x:c r="K38" s="81" t="n"/>
      <x:c r="L38" s="81" t="n"/>
      <x:c r="M38" s="81" t="n"/>
      <x:c r="N38" s="81" t="n"/>
      <x:c r="O38" s="81" t="n"/>
      <x:c r="P38" s="81" t="n"/>
      <x:c r="Q38" s="81" t="n"/>
      <x:c r="R38" s="81" t="n"/>
      <x:c r="S38" s="81" t="n"/>
      <x:c r="T38" s="81" t="n"/>
      <x:c r="U38" s="81" t="n"/>
      <x:c r="V38" s="81" t="n"/>
      <x:c r="W38" s="81" t="n"/>
      <x:c r="X38" s="81" t="n"/>
      <x:c r="Y38" s="81" t="n"/>
      <x:c r="Z38" s="81" t="n"/>
      <x:c r="AA38" s="81" t="n"/>
      <x:c r="AB38" s="81" t="n"/>
      <x:c r="AC38" s="81" t="n"/>
      <x:c r="AD38" s="81" t="n"/>
      <x:c r="AE38" s="81" t="n"/>
      <x:c r="AF38" s="81" t="n"/>
      <x:c r="AG38" s="81" t="n"/>
      <x:c r="AH38" s="81" t="n"/>
      <x:c r="AI38" s="81" t="n"/>
    </x:row>
    <x:row r="39">
      <x:c r="A39" s="81" t="n"/>
      <x:c r="B39" s="81" t="n"/>
      <x:c r="C39" s="81" t="n"/>
      <x:c r="D39" s="81" t="n"/>
      <x:c r="E39" s="81" t="n"/>
      <x:c r="F39" s="81" t="n"/>
      <x:c r="G39" s="81" t="n"/>
      <x:c r="H39" s="81" t="n"/>
      <x:c r="I39" s="81" t="n"/>
      <x:c r="J39" s="81" t="n"/>
      <x:c r="K39" s="81" t="n"/>
      <x:c r="L39" s="81" t="n"/>
      <x:c r="M39" s="81" t="n"/>
      <x:c r="N39" s="81" t="n"/>
      <x:c r="O39" s="81" t="n"/>
      <x:c r="P39" s="81" t="n"/>
      <x:c r="Q39" s="81" t="n"/>
      <x:c r="R39" s="81" t="n"/>
      <x:c r="S39" s="81" t="n"/>
      <x:c r="T39" s="81" t="n"/>
      <x:c r="U39" s="81" t="n"/>
      <x:c r="V39" s="81" t="n"/>
      <x:c r="W39" s="81" t="n"/>
      <x:c r="X39" s="81" t="n"/>
      <x:c r="Y39" s="81" t="n"/>
      <x:c r="Z39" s="81" t="n"/>
      <x:c r="AA39" s="81" t="n"/>
      <x:c r="AB39" s="81" t="n"/>
      <x:c r="AC39" s="81" t="n"/>
      <x:c r="AD39" s="81" t="n"/>
      <x:c r="AE39" s="81" t="n"/>
      <x:c r="AF39" s="81" t="n"/>
      <x:c r="AG39" s="81" t="n"/>
      <x:c r="AH39" s="81" t="n"/>
      <x:c r="AI39" s="81" t="n"/>
    </x:row>
    <x:row r="40">
      <x:c r="A40" s="81" t="n"/>
      <x:c r="B40" s="81" t="n"/>
      <x:c r="C40" s="81" t="n"/>
      <x:c r="D40" s="81" t="n"/>
      <x:c r="E40" s="81" t="n"/>
      <x:c r="F40" s="81" t="n"/>
      <x:c r="G40" s="81" t="n"/>
      <x:c r="H40" s="81" t="n"/>
      <x:c r="I40" s="81" t="n"/>
      <x:c r="J40" s="81" t="n"/>
      <x:c r="K40" s="81" t="n"/>
      <x:c r="L40" s="81" t="n"/>
      <x:c r="M40" s="81" t="n"/>
      <x:c r="N40" s="81" t="n"/>
      <x:c r="O40" s="81" t="n"/>
      <x:c r="P40" s="81" t="n"/>
      <x:c r="Q40" s="81" t="n"/>
      <x:c r="R40" s="81" t="n"/>
      <x:c r="S40" s="81" t="n"/>
      <x:c r="T40" s="81" t="n"/>
      <x:c r="U40" s="81" t="n"/>
      <x:c r="V40" s="81" t="n"/>
      <x:c r="W40" s="81" t="n"/>
      <x:c r="X40" s="81" t="n"/>
      <x:c r="Y40" s="81" t="n"/>
      <x:c r="Z40" s="81" t="n"/>
      <x:c r="AA40" s="81" t="n"/>
      <x:c r="AB40" s="81" t="n"/>
      <x:c r="AC40" s="81" t="n"/>
      <x:c r="AD40" s="81" t="n"/>
      <x:c r="AE40" s="81" t="n"/>
      <x:c r="AF40" s="81" t="n"/>
      <x:c r="AG40" s="81" t="n"/>
      <x:c r="AH40" s="81" t="n"/>
      <x:c r="AI40" s="81" t="n"/>
    </x:row>
    <x:row r="41">
      <x:c r="A41" s="81" t="n"/>
      <x:c r="B41" s="81" t="n"/>
      <x:c r="C41" s="81" t="n"/>
      <x:c r="D41" s="81" t="n"/>
      <x:c r="E41" s="81" t="n"/>
      <x:c r="F41" s="81" t="n"/>
      <x:c r="G41" s="81" t="n"/>
      <x:c r="H41" s="81" t="n"/>
      <x:c r="I41" s="81" t="n"/>
      <x:c r="J41" s="81" t="n"/>
      <x:c r="K41" s="81" t="n"/>
      <x:c r="L41" s="81" t="n"/>
      <x:c r="M41" s="81" t="n"/>
      <x:c r="N41" s="81" t="n"/>
      <x:c r="O41" s="81" t="n"/>
      <x:c r="P41" s="81" t="n"/>
      <x:c r="Q41" s="81" t="n"/>
      <x:c r="R41" s="81" t="n"/>
      <x:c r="S41" s="81" t="n"/>
      <x:c r="T41" s="81" t="n"/>
      <x:c r="U41" s="81" t="n"/>
      <x:c r="V41" s="81" t="n"/>
      <x:c r="W41" s="81" t="n"/>
      <x:c r="X41" s="81" t="n"/>
      <x:c r="Y41" s="81" t="n"/>
      <x:c r="Z41" s="81" t="n"/>
      <x:c r="AA41" s="81" t="n"/>
      <x:c r="AB41" s="81" t="n"/>
      <x:c r="AC41" s="81" t="n"/>
      <x:c r="AD41" s="81" t="n"/>
      <x:c r="AE41" s="81" t="n"/>
      <x:c r="AF41" s="81" t="n"/>
      <x:c r="AG41" s="81" t="n"/>
      <x:c r="AH41" s="81" t="n"/>
      <x:c r="AI41" s="81" t="n"/>
    </x:row>
    <x:row r="42">
      <x:c r="A42" s="81" t="n"/>
      <x:c r="B42" s="81" t="n"/>
      <x:c r="C42" s="81" t="n"/>
      <x:c r="D42" s="81" t="n"/>
      <x:c r="E42" s="81" t="n"/>
      <x:c r="F42" s="81" t="n"/>
      <x:c r="G42" s="81" t="n"/>
      <x:c r="H42" s="81" t="n"/>
      <x:c r="I42" s="81" t="n"/>
      <x:c r="J42" s="81" t="n"/>
      <x:c r="K42" s="81" t="n"/>
      <x:c r="L42" s="81" t="n"/>
      <x:c r="M42" s="81" t="n"/>
      <x:c r="N42" s="81" t="n"/>
      <x:c r="O42" s="81" t="n"/>
      <x:c r="P42" s="81" t="n"/>
      <x:c r="Q42" s="81" t="n"/>
      <x:c r="R42" s="81" t="n"/>
      <x:c r="S42" s="81" t="n"/>
      <x:c r="T42" s="81" t="n"/>
      <x:c r="U42" s="81" t="n"/>
      <x:c r="V42" s="81" t="n"/>
      <x:c r="W42" s="81" t="n"/>
      <x:c r="X42" s="81" t="n"/>
      <x:c r="Y42" s="81" t="n"/>
      <x:c r="Z42" s="81" t="n"/>
      <x:c r="AA42" s="81" t="n"/>
      <x:c r="AB42" s="81" t="n"/>
      <x:c r="AC42" s="81" t="n"/>
      <x:c r="AD42" s="81" t="n"/>
      <x:c r="AE42" s="81" t="n"/>
      <x:c r="AF42" s="81" t="n"/>
      <x:c r="AG42" s="81" t="n"/>
      <x:c r="AH42" s="81" t="n"/>
      <x:c r="AI42" s="81" t="n"/>
    </x:row>
    <x:row r="43">
      <x:c r="A43" s="81" t="n"/>
      <x:c r="B43" s="81" t="n"/>
      <x:c r="C43" s="81" t="n"/>
      <x:c r="D43" s="81" t="n"/>
      <x:c r="E43" s="81" t="n"/>
      <x:c r="F43" s="81" t="n"/>
      <x:c r="G43" s="81" t="n"/>
      <x:c r="H43" s="81" t="n"/>
      <x:c r="I43" s="81" t="n"/>
      <x:c r="J43" s="81" t="n"/>
      <x:c r="K43" s="81" t="n"/>
      <x:c r="L43" s="81" t="n"/>
      <x:c r="M43" s="81" t="n"/>
      <x:c r="N43" s="81" t="n"/>
      <x:c r="O43" s="81" t="n"/>
      <x:c r="P43" s="81" t="n"/>
      <x:c r="Q43" s="81" t="n"/>
      <x:c r="R43" s="81" t="n"/>
      <x:c r="S43" s="81" t="n"/>
      <x:c r="T43" s="81" t="n"/>
      <x:c r="U43" s="81" t="n"/>
      <x:c r="V43" s="81" t="n"/>
      <x:c r="W43" s="81" t="n"/>
      <x:c r="X43" s="81" t="n"/>
      <x:c r="Y43" s="81" t="n"/>
      <x:c r="Z43" s="81" t="n"/>
      <x:c r="AA43" s="81" t="n"/>
      <x:c r="AB43" s="81" t="n"/>
      <x:c r="AC43" s="81" t="n"/>
      <x:c r="AD43" s="81" t="n"/>
      <x:c r="AE43" s="81" t="n"/>
      <x:c r="AF43" s="81" t="n"/>
      <x:c r="AG43" s="81" t="n"/>
      <x:c r="AH43" s="81" t="n"/>
      <x:c r="AI43" s="81" t="n"/>
    </x:row>
    <x:row r="44">
      <x:c r="A44" s="81" t="n"/>
      <x:c r="B44" s="81" t="n"/>
      <x:c r="C44" s="81" t="n"/>
      <x:c r="D44" s="81" t="n"/>
      <x:c r="E44" s="81" t="n"/>
      <x:c r="F44" s="81" t="n"/>
      <x:c r="G44" s="81" t="n"/>
      <x:c r="H44" s="81" t="n"/>
      <x:c r="I44" s="81" t="n"/>
      <x:c r="J44" s="81" t="n"/>
      <x:c r="K44" s="81" t="n"/>
      <x:c r="L44" s="81" t="n"/>
      <x:c r="M44" s="81" t="n"/>
      <x:c r="N44" s="81" t="n"/>
      <x:c r="O44" s="81" t="n"/>
      <x:c r="P44" s="81" t="n"/>
      <x:c r="Q44" s="81" t="n"/>
      <x:c r="R44" s="81" t="n"/>
      <x:c r="S44" s="81" t="n"/>
      <x:c r="T44" s="81" t="n"/>
      <x:c r="U44" s="81" t="n"/>
      <x:c r="V44" s="81" t="n"/>
      <x:c r="W44" s="81" t="n"/>
      <x:c r="X44" s="81" t="n"/>
      <x:c r="Y44" s="81" t="n"/>
      <x:c r="Z44" s="81" t="n"/>
      <x:c r="AA44" s="81" t="n"/>
      <x:c r="AB44" s="81" t="n"/>
      <x:c r="AC44" s="81" t="n"/>
      <x:c r="AD44" s="81" t="n"/>
      <x:c r="AE44" s="81" t="n"/>
      <x:c r="AF44" s="81" t="n"/>
      <x:c r="AG44" s="81" t="n"/>
      <x:c r="AH44" s="81" t="n"/>
      <x:c r="AI44" s="81" t="n"/>
    </x:row>
    <x:row r="45">
      <x:c r="A45" s="81" t="n"/>
      <x:c r="B45" s="81" t="n"/>
      <x:c r="C45" s="81" t="n"/>
      <x:c r="D45" s="81" t="n"/>
      <x:c r="E45" s="81" t="n"/>
      <x:c r="F45" s="81" t="n"/>
      <x:c r="G45" s="81" t="n"/>
      <x:c r="H45" s="81" t="n"/>
      <x:c r="I45" s="81" t="n"/>
      <x:c r="J45" s="81" t="n"/>
      <x:c r="K45" s="81" t="n"/>
      <x:c r="L45" s="81" t="n"/>
      <x:c r="M45" s="81" t="n"/>
      <x:c r="N45" s="81" t="n"/>
      <x:c r="O45" s="81" t="n"/>
      <x:c r="P45" s="81" t="n"/>
      <x:c r="Q45" s="81" t="n"/>
      <x:c r="R45" s="81" t="n"/>
      <x:c r="S45" s="81" t="n"/>
      <x:c r="T45" s="81" t="n"/>
      <x:c r="U45" s="81" t="n"/>
      <x:c r="V45" s="81" t="n"/>
      <x:c r="W45" s="81" t="n"/>
      <x:c r="X45" s="81" t="n"/>
      <x:c r="Y45" s="81" t="n"/>
      <x:c r="Z45" s="81" t="n"/>
      <x:c r="AA45" s="81" t="n"/>
      <x:c r="AB45" s="81" t="n"/>
      <x:c r="AC45" s="81" t="n"/>
      <x:c r="AD45" s="81" t="n"/>
      <x:c r="AE45" s="81" t="n"/>
      <x:c r="AF45" s="81" t="n"/>
      <x:c r="AG45" s="81" t="n"/>
      <x:c r="AH45" s="81" t="n"/>
      <x:c r="AI45" s="81" t="n"/>
    </x:row>
    <x:row r="46">
      <x:c r="A46" s="81" t="n"/>
      <x:c r="B46" s="81" t="n"/>
      <x:c r="C46" s="81" t="n"/>
      <x:c r="D46" s="81" t="n"/>
      <x:c r="E46" s="81" t="n"/>
      <x:c r="F46" s="81" t="n"/>
      <x:c r="G46" s="81" t="n"/>
      <x:c r="H46" s="81" t="n"/>
      <x:c r="I46" s="81" t="n"/>
      <x:c r="J46" s="81" t="n"/>
      <x:c r="K46" s="81" t="n"/>
      <x:c r="L46" s="81" t="n"/>
      <x:c r="M46" s="81" t="n"/>
      <x:c r="N46" s="81" t="n"/>
      <x:c r="O46" s="81" t="n"/>
      <x:c r="P46" s="81" t="n"/>
      <x:c r="Q46" s="81" t="n"/>
      <x:c r="R46" s="81" t="n"/>
      <x:c r="S46" s="81" t="n"/>
      <x:c r="T46" s="81" t="n"/>
      <x:c r="U46" s="81" t="n"/>
      <x:c r="V46" s="81" t="n"/>
      <x:c r="W46" s="81" t="n"/>
      <x:c r="X46" s="81" t="n"/>
      <x:c r="Y46" s="81" t="n"/>
      <x:c r="Z46" s="81" t="n"/>
      <x:c r="AA46" s="81" t="n"/>
      <x:c r="AB46" s="81" t="n"/>
      <x:c r="AC46" s="81" t="n"/>
      <x:c r="AD46" s="81" t="n"/>
      <x:c r="AE46" s="81" t="n"/>
      <x:c r="AF46" s="81" t="n"/>
      <x:c r="AG46" s="81" t="n"/>
      <x:c r="AH46" s="81" t="n"/>
      <x:c r="AI46" s="81" t="n"/>
    </x:row>
    <x:row r="47">
      <x:c r="A47" s="81" t="n"/>
      <x:c r="B47" s="81" t="n"/>
      <x:c r="C47" s="81" t="n"/>
      <x:c r="D47" s="81" t="n"/>
      <x:c r="E47" s="81" t="n"/>
      <x:c r="F47" s="81" t="n"/>
      <x:c r="G47" s="81" t="n"/>
      <x:c r="H47" s="81" t="n"/>
      <x:c r="I47" s="81" t="n"/>
      <x:c r="J47" s="81" t="n"/>
      <x:c r="K47" s="81" t="n"/>
      <x:c r="L47" s="81" t="n"/>
      <x:c r="M47" s="81" t="n"/>
      <x:c r="N47" s="81" t="n"/>
      <x:c r="O47" s="81" t="n"/>
      <x:c r="P47" s="81" t="n"/>
      <x:c r="Q47" s="81" t="n"/>
      <x:c r="R47" s="81" t="n"/>
      <x:c r="S47" s="81" t="n"/>
      <x:c r="T47" s="81" t="n"/>
      <x:c r="U47" s="81" t="n"/>
      <x:c r="V47" s="81" t="n"/>
      <x:c r="W47" s="81" t="n"/>
      <x:c r="X47" s="81" t="n"/>
      <x:c r="Y47" s="81" t="n"/>
      <x:c r="Z47" s="81" t="n"/>
      <x:c r="AA47" s="81" t="n"/>
      <x:c r="AB47" s="81" t="n"/>
      <x:c r="AC47" s="81" t="n"/>
      <x:c r="AD47" s="81" t="n"/>
      <x:c r="AE47" s="81" t="n"/>
      <x:c r="AF47" s="81" t="n"/>
      <x:c r="AG47" s="81" t="n"/>
      <x:c r="AH47" s="81" t="n"/>
      <x:c r="AI47" s="81" t="n"/>
    </x:row>
    <x:row r="48">
      <x:c r="A48" s="81" t="n"/>
      <x:c r="B48" s="81" t="n"/>
      <x:c r="C48" s="81" t="n"/>
      <x:c r="D48" s="81" t="n"/>
      <x:c r="E48" s="81" t="n"/>
      <x:c r="F48" s="81" t="n"/>
      <x:c r="G48" s="81" t="n"/>
      <x:c r="H48" s="81" t="n"/>
      <x:c r="I48" s="81" t="n"/>
      <x:c r="J48" s="81" t="n"/>
      <x:c r="K48" s="81" t="n"/>
      <x:c r="L48" s="81" t="n"/>
      <x:c r="M48" s="81" t="n"/>
      <x:c r="N48" s="81" t="n"/>
      <x:c r="O48" s="81" t="n"/>
      <x:c r="P48" s="81" t="n"/>
      <x:c r="Q48" s="81" t="n"/>
      <x:c r="R48" s="81" t="n"/>
      <x:c r="S48" s="81" t="n"/>
      <x:c r="T48" s="81" t="n"/>
      <x:c r="U48" s="81" t="n"/>
      <x:c r="V48" s="81" t="n"/>
      <x:c r="W48" s="81" t="n"/>
      <x:c r="X48" s="81" t="n"/>
      <x:c r="Y48" s="81" t="n"/>
      <x:c r="Z48" s="81" t="n"/>
      <x:c r="AA48" s="81" t="n"/>
      <x:c r="AB48" s="81" t="n"/>
      <x:c r="AC48" s="81" t="n"/>
      <x:c r="AD48" s="81" t="n"/>
      <x:c r="AE48" s="81" t="n"/>
      <x:c r="AF48" s="81" t="n"/>
      <x:c r="AG48" s="81" t="n"/>
      <x:c r="AH48" s="81" t="n"/>
      <x:c r="AI48" s="81" t="n"/>
    </x:row>
    <x:row r="49">
      <x:c r="A49" s="81" t="n"/>
      <x:c r="B49" s="81" t="n"/>
      <x:c r="C49" s="81" t="n"/>
      <x:c r="D49" s="81" t="n"/>
      <x:c r="E49" s="81" t="n"/>
      <x:c r="F49" s="81" t="n"/>
      <x:c r="G49" s="81" t="n"/>
      <x:c r="H49" s="81" t="n"/>
      <x:c r="I49" s="81" t="n"/>
      <x:c r="J49" s="81" t="n"/>
      <x:c r="K49" s="81" t="n"/>
      <x:c r="L49" s="81" t="n"/>
      <x:c r="M49" s="81" t="n"/>
      <x:c r="N49" s="81" t="n"/>
      <x:c r="O49" s="81" t="n"/>
      <x:c r="P49" s="81" t="n"/>
      <x:c r="Q49" s="81" t="n"/>
      <x:c r="R49" s="81" t="n"/>
      <x:c r="S49" s="81" t="n"/>
      <x:c r="T49" s="81" t="n"/>
      <x:c r="U49" s="81" t="n"/>
      <x:c r="V49" s="81" t="n"/>
      <x:c r="W49" s="81" t="n"/>
      <x:c r="X49" s="81" t="n"/>
      <x:c r="Y49" s="81" t="n"/>
      <x:c r="Z49" s="81" t="n"/>
      <x:c r="AA49" s="81" t="n"/>
      <x:c r="AB49" s="81" t="n"/>
      <x:c r="AC49" s="81" t="n"/>
      <x:c r="AD49" s="81" t="n"/>
      <x:c r="AE49" s="81" t="n"/>
      <x:c r="AF49" s="81" t="n"/>
      <x:c r="AG49" s="81" t="n"/>
      <x:c r="AH49" s="81" t="n"/>
      <x:c r="AI49" s="81" t="n"/>
    </x:row>
    <x:row r="50">
      <x:c r="A50" s="81" t="n"/>
      <x:c r="B50" s="81" t="n"/>
      <x:c r="C50" s="81" t="n"/>
      <x:c r="D50" s="81" t="n"/>
      <x:c r="E50" s="81" t="n"/>
      <x:c r="F50" s="81" t="n"/>
      <x:c r="G50" s="81" t="n"/>
      <x:c r="H50" s="81" t="n"/>
      <x:c r="I50" s="81" t="n"/>
      <x:c r="J50" s="81" t="n"/>
      <x:c r="K50" s="81" t="n"/>
      <x:c r="L50" s="81" t="n"/>
      <x:c r="M50" s="81" t="n"/>
      <x:c r="N50" s="81" t="n"/>
      <x:c r="O50" s="81" t="n"/>
      <x:c r="P50" s="81" t="n"/>
      <x:c r="Q50" s="81" t="n"/>
      <x:c r="R50" s="81" t="n"/>
      <x:c r="S50" s="81" t="n"/>
      <x:c r="T50" s="81" t="n"/>
      <x:c r="U50" s="81" t="n"/>
      <x:c r="V50" s="81" t="n"/>
      <x:c r="W50" s="81" t="n"/>
      <x:c r="X50" s="81" t="n"/>
      <x:c r="Y50" s="81" t="n"/>
      <x:c r="Z50" s="81" t="n"/>
      <x:c r="AA50" s="81" t="n"/>
      <x:c r="AB50" s="81" t="n"/>
      <x:c r="AC50" s="81" t="n"/>
      <x:c r="AD50" s="81" t="n"/>
      <x:c r="AE50" s="81" t="n"/>
      <x:c r="AF50" s="81" t="n"/>
      <x:c r="AG50" s="81" t="n"/>
      <x:c r="AH50" s="81" t="n"/>
      <x:c r="AI50" s="81" t="n"/>
    </x:row>
    <x:row r="51">
      <x:c r="A51" s="81" t="n"/>
      <x:c r="B51" s="81" t="n"/>
      <x:c r="C51" s="81" t="n"/>
      <x:c r="D51" s="81" t="n"/>
      <x:c r="E51" s="81" t="n"/>
      <x:c r="F51" s="81" t="n"/>
      <x:c r="G51" s="81" t="n"/>
      <x:c r="H51" s="81" t="n"/>
      <x:c r="I51" s="81" t="n"/>
      <x:c r="J51" s="81" t="n"/>
      <x:c r="K51" s="81" t="n"/>
      <x:c r="L51" s="81" t="n"/>
      <x:c r="M51" s="81" t="n"/>
      <x:c r="N51" s="81" t="n"/>
      <x:c r="O51" s="81" t="n"/>
      <x:c r="P51" s="81" t="n"/>
      <x:c r="Q51" s="81" t="n"/>
      <x:c r="R51" s="81" t="n"/>
      <x:c r="S51" s="81" t="n"/>
      <x:c r="T51" s="81" t="n"/>
      <x:c r="U51" s="81" t="n"/>
      <x:c r="V51" s="81" t="n"/>
      <x:c r="W51" s="81" t="n"/>
      <x:c r="X51" s="81" t="n"/>
      <x:c r="Y51" s="81" t="n"/>
      <x:c r="Z51" s="81" t="n"/>
      <x:c r="AA51" s="81" t="n"/>
      <x:c r="AB51" s="81" t="n"/>
      <x:c r="AC51" s="81" t="n"/>
      <x:c r="AD51" s="81" t="n"/>
      <x:c r="AE51" s="81" t="n"/>
      <x:c r="AF51" s="81" t="n"/>
      <x:c r="AG51" s="81" t="n"/>
      <x:c r="AH51" s="81" t="n"/>
      <x:c r="AI51" s="81" t="n"/>
    </x:row>
    <x:row r="52">
      <x:c r="A52" s="81" t="n"/>
      <x:c r="B52" s="81" t="n"/>
      <x:c r="C52" s="81" t="n"/>
      <x:c r="D52" s="81" t="n"/>
      <x:c r="E52" s="81" t="n"/>
      <x:c r="F52" s="81" t="n"/>
      <x:c r="G52" s="81" t="n"/>
      <x:c r="H52" s="81" t="n"/>
      <x:c r="I52" s="81" t="n"/>
      <x:c r="J52" s="81" t="n"/>
      <x:c r="K52" s="81" t="n"/>
      <x:c r="L52" s="81" t="n"/>
      <x:c r="M52" s="81" t="n"/>
      <x:c r="N52" s="81" t="n"/>
      <x:c r="O52" s="81" t="n"/>
      <x:c r="P52" s="81" t="n"/>
      <x:c r="Q52" s="81" t="n"/>
      <x:c r="R52" s="81" t="n"/>
      <x:c r="S52" s="81" t="n"/>
      <x:c r="T52" s="81" t="n"/>
      <x:c r="U52" s="81" t="n"/>
      <x:c r="V52" s="81" t="n"/>
      <x:c r="W52" s="81" t="n"/>
      <x:c r="X52" s="81" t="n"/>
      <x:c r="Y52" s="81" t="n"/>
      <x:c r="Z52" s="81" t="n"/>
      <x:c r="AA52" s="81" t="n"/>
      <x:c r="AB52" s="81" t="n"/>
      <x:c r="AC52" s="81" t="n"/>
      <x:c r="AD52" s="81" t="n"/>
      <x:c r="AE52" s="81" t="n"/>
      <x:c r="AF52" s="81" t="n"/>
      <x:c r="AG52" s="81" t="n"/>
      <x:c r="AH52" s="81" t="n"/>
      <x:c r="AI52" s="81" t="n"/>
    </x:row>
    <x:row r="53">
      <x:c r="A53" s="81" t="n"/>
      <x:c r="B53" s="81" t="n"/>
      <x:c r="C53" s="81" t="n"/>
      <x:c r="D53" s="81" t="n"/>
      <x:c r="E53" s="81" t="n"/>
      <x:c r="F53" s="81" t="n"/>
      <x:c r="G53" s="81" t="n"/>
      <x:c r="H53" s="81" t="n"/>
      <x:c r="I53" s="81" t="n"/>
      <x:c r="J53" s="81" t="n"/>
      <x:c r="K53" s="81" t="n"/>
      <x:c r="L53" s="81" t="n"/>
      <x:c r="M53" s="81" t="n"/>
      <x:c r="N53" s="81" t="n"/>
      <x:c r="O53" s="81" t="n"/>
      <x:c r="P53" s="81" t="n"/>
      <x:c r="Q53" s="81" t="n"/>
      <x:c r="R53" s="81" t="n"/>
      <x:c r="S53" s="81" t="n"/>
      <x:c r="T53" s="81" t="n"/>
      <x:c r="U53" s="81" t="n"/>
      <x:c r="V53" s="81" t="n"/>
      <x:c r="W53" s="81" t="n"/>
      <x:c r="X53" s="81" t="n"/>
      <x:c r="Y53" s="81" t="n"/>
      <x:c r="Z53" s="81" t="n"/>
      <x:c r="AA53" s="81" t="n"/>
      <x:c r="AB53" s="81" t="n"/>
      <x:c r="AC53" s="81" t="n"/>
      <x:c r="AD53" s="81" t="n"/>
      <x:c r="AE53" s="81" t="n"/>
      <x:c r="AF53" s="81" t="n"/>
      <x:c r="AG53" s="81" t="n"/>
      <x:c r="AH53" s="81" t="n"/>
      <x:c r="AI53" s="81" t="n"/>
    </x:row>
    <x:row r="54">
      <x:c r="A54" s="81" t="n"/>
      <x:c r="B54" s="81" t="n"/>
      <x:c r="C54" s="81" t="n"/>
      <x:c r="D54" s="81" t="n"/>
      <x:c r="E54" s="81" t="n"/>
      <x:c r="F54" s="81" t="n"/>
      <x:c r="G54" s="81" t="n"/>
      <x:c r="H54" s="81" t="n"/>
      <x:c r="I54" s="81" t="n"/>
      <x:c r="J54" s="81" t="n"/>
      <x:c r="K54" s="81" t="n"/>
      <x:c r="L54" s="81" t="n"/>
      <x:c r="M54" s="81" t="n"/>
      <x:c r="N54" s="81" t="n"/>
      <x:c r="O54" s="81" t="n"/>
      <x:c r="P54" s="81" t="n"/>
      <x:c r="Q54" s="81" t="n"/>
      <x:c r="R54" s="81" t="n"/>
      <x:c r="S54" s="81" t="n"/>
      <x:c r="T54" s="81" t="n"/>
      <x:c r="U54" s="81" t="n"/>
      <x:c r="V54" s="81" t="n"/>
      <x:c r="W54" s="81" t="n"/>
      <x:c r="X54" s="81" t="n"/>
      <x:c r="Y54" s="81" t="n"/>
      <x:c r="Z54" s="81" t="n"/>
      <x:c r="AA54" s="81" t="n"/>
      <x:c r="AB54" s="81" t="n"/>
      <x:c r="AC54" s="81" t="n"/>
      <x:c r="AD54" s="81" t="n"/>
      <x:c r="AE54" s="81" t="n"/>
      <x:c r="AF54" s="81" t="n"/>
      <x:c r="AG54" s="81" t="n"/>
      <x:c r="AH54" s="81" t="n"/>
      <x:c r="AI54" s="81" t="n"/>
    </x:row>
    <x:row r="55">
      <x:c r="A55" s="81" t="n"/>
      <x:c r="B55" s="81" t="n"/>
      <x:c r="C55" s="81" t="n"/>
      <x:c r="D55" s="81" t="n"/>
      <x:c r="E55" s="81" t="n"/>
      <x:c r="F55" s="81" t="n"/>
      <x:c r="G55" s="81" t="n"/>
      <x:c r="H55" s="81" t="n"/>
      <x:c r="I55" s="81" t="n"/>
      <x:c r="J55" s="81" t="n"/>
      <x:c r="K55" s="81" t="n"/>
      <x:c r="L55" s="81" t="n"/>
      <x:c r="M55" s="81" t="n"/>
      <x:c r="N55" s="81" t="n"/>
      <x:c r="O55" s="81" t="n"/>
      <x:c r="P55" s="81" t="n"/>
      <x:c r="Q55" s="81" t="n"/>
      <x:c r="R55" s="81" t="n"/>
      <x:c r="S55" s="81" t="n"/>
      <x:c r="T55" s="81" t="n"/>
      <x:c r="U55" s="81" t="n"/>
      <x:c r="V55" s="81" t="n"/>
      <x:c r="W55" s="81" t="n"/>
      <x:c r="X55" s="81" t="n"/>
      <x:c r="Y55" s="81" t="n"/>
      <x:c r="Z55" s="81" t="n"/>
      <x:c r="AA55" s="81" t="n"/>
      <x:c r="AB55" s="81" t="n"/>
      <x:c r="AC55" s="81" t="n"/>
      <x:c r="AD55" s="81" t="n"/>
      <x:c r="AE55" s="81" t="n"/>
      <x:c r="AF55" s="81" t="n"/>
      <x:c r="AG55" s="81" t="n"/>
      <x:c r="AH55" s="81" t="n"/>
      <x:c r="AI55" s="81" t="n"/>
    </x:row>
    <x:row r="56">
      <x:c r="A56" s="81" t="n"/>
      <x:c r="B56" s="81" t="n"/>
      <x:c r="C56" s="81" t="n"/>
      <x:c r="D56" s="81" t="n"/>
      <x:c r="E56" s="81" t="n"/>
      <x:c r="F56" s="81" t="n"/>
      <x:c r="G56" s="81" t="n"/>
      <x:c r="H56" s="81" t="n"/>
      <x:c r="I56" s="81" t="n"/>
      <x:c r="J56" s="81" t="n"/>
      <x:c r="K56" s="81" t="n"/>
      <x:c r="L56" s="81" t="n"/>
      <x:c r="M56" s="81" t="n"/>
      <x:c r="N56" s="81" t="n"/>
      <x:c r="O56" s="81" t="n"/>
      <x:c r="P56" s="81" t="n"/>
      <x:c r="Q56" s="81" t="n"/>
      <x:c r="R56" s="81" t="n"/>
      <x:c r="S56" s="81" t="n"/>
      <x:c r="T56" s="81" t="n"/>
      <x:c r="U56" s="81" t="n"/>
      <x:c r="V56" s="81" t="n"/>
      <x:c r="W56" s="81" t="n"/>
      <x:c r="X56" s="81" t="n"/>
      <x:c r="Y56" s="81" t="n"/>
      <x:c r="Z56" s="81" t="n"/>
      <x:c r="AA56" s="81" t="n"/>
      <x:c r="AB56" s="81" t="n"/>
      <x:c r="AC56" s="81" t="n"/>
      <x:c r="AD56" s="81" t="n"/>
      <x:c r="AE56" s="81" t="n"/>
      <x:c r="AF56" s="81" t="n"/>
      <x:c r="AG56" s="81" t="n"/>
      <x:c r="AH56" s="81" t="n"/>
      <x:c r="AI56" s="81" t="n"/>
    </x:row>
    <x:row r="57">
      <x:c r="A57" s="81" t="n"/>
      <x:c r="B57" s="81" t="n"/>
      <x:c r="C57" s="81" t="n"/>
      <x:c r="D57" s="81" t="n"/>
      <x:c r="E57" s="81" t="n"/>
      <x:c r="F57" s="81" t="n"/>
      <x:c r="G57" s="81" t="n"/>
      <x:c r="H57" s="81" t="n"/>
      <x:c r="I57" s="81" t="n"/>
      <x:c r="J57" s="81" t="n"/>
      <x:c r="K57" s="81" t="n"/>
      <x:c r="L57" s="81" t="n"/>
      <x:c r="M57" s="81" t="n"/>
      <x:c r="N57" s="81" t="n"/>
      <x:c r="O57" s="81" t="n"/>
      <x:c r="P57" s="81" t="n"/>
      <x:c r="Q57" s="81" t="n"/>
      <x:c r="R57" s="81" t="n"/>
      <x:c r="S57" s="81" t="n"/>
      <x:c r="T57" s="81" t="n"/>
      <x:c r="U57" s="81" t="n"/>
      <x:c r="V57" s="81" t="n"/>
      <x:c r="W57" s="81" t="n"/>
      <x:c r="X57" s="81" t="n"/>
      <x:c r="Y57" s="81" t="n"/>
      <x:c r="Z57" s="81" t="n"/>
      <x:c r="AA57" s="81" t="n"/>
      <x:c r="AB57" s="81" t="n"/>
      <x:c r="AC57" s="81" t="n"/>
      <x:c r="AD57" s="81" t="n"/>
      <x:c r="AE57" s="81" t="n"/>
      <x:c r="AF57" s="81" t="n"/>
      <x:c r="AG57" s="81" t="n"/>
      <x:c r="AH57" s="81" t="n"/>
      <x:c r="AI57" s="81" t="n"/>
    </x:row>
    <x:row r="58">
      <x:c r="A58" s="81" t="n"/>
      <x:c r="B58" s="81" t="n"/>
      <x:c r="C58" s="81" t="n"/>
      <x:c r="D58" s="81" t="n"/>
      <x:c r="E58" s="81" t="n"/>
      <x:c r="F58" s="81" t="n"/>
      <x:c r="G58" s="81" t="n"/>
      <x:c r="H58" s="81" t="n"/>
      <x:c r="I58" s="81" t="n"/>
      <x:c r="J58" s="81" t="n"/>
      <x:c r="K58" s="81" t="n"/>
      <x:c r="L58" s="81" t="n"/>
      <x:c r="M58" s="81" t="n"/>
      <x:c r="N58" s="81" t="n"/>
      <x:c r="O58" s="81" t="n"/>
      <x:c r="P58" s="81" t="n"/>
      <x:c r="Q58" s="81" t="n"/>
      <x:c r="R58" s="81" t="n"/>
      <x:c r="S58" s="81" t="n"/>
      <x:c r="T58" s="81" t="n"/>
      <x:c r="U58" s="81" t="n"/>
      <x:c r="V58" s="81" t="n"/>
      <x:c r="W58" s="81" t="n"/>
      <x:c r="X58" s="81" t="n"/>
      <x:c r="Y58" s="81" t="n"/>
      <x:c r="Z58" s="81" t="n"/>
      <x:c r="AA58" s="81" t="n"/>
      <x:c r="AB58" s="81" t="n"/>
      <x:c r="AC58" s="81" t="n"/>
      <x:c r="AD58" s="81" t="n"/>
      <x:c r="AE58" s="81" t="n"/>
      <x:c r="AF58" s="81" t="n"/>
      <x:c r="AG58" s="81" t="n"/>
      <x:c r="AH58" s="81" t="n"/>
      <x:c r="AI58" s="81" t="n"/>
    </x:row>
    <x:row r="59">
      <x:c r="A59" s="81" t="n"/>
      <x:c r="B59" s="81" t="n"/>
      <x:c r="C59" s="81" t="n"/>
      <x:c r="D59" s="81" t="n"/>
      <x:c r="E59" s="81" t="n"/>
      <x:c r="F59" s="81" t="n"/>
      <x:c r="G59" s="81" t="n"/>
      <x:c r="H59" s="81" t="n"/>
      <x:c r="I59" s="81" t="n"/>
      <x:c r="J59" s="81" t="n"/>
      <x:c r="K59" s="81" t="n"/>
      <x:c r="L59" s="81" t="n"/>
      <x:c r="M59" s="81" t="n"/>
      <x:c r="N59" s="81" t="n"/>
      <x:c r="O59" s="81" t="n"/>
      <x:c r="P59" s="81" t="n"/>
      <x:c r="Q59" s="81" t="n"/>
      <x:c r="R59" s="81" t="n"/>
      <x:c r="S59" s="81" t="n"/>
      <x:c r="T59" s="81" t="n"/>
      <x:c r="U59" s="81" t="n"/>
      <x:c r="V59" s="81" t="n"/>
      <x:c r="W59" s="81" t="n"/>
      <x:c r="X59" s="81" t="n"/>
      <x:c r="Y59" s="81" t="n"/>
      <x:c r="Z59" s="81" t="n"/>
      <x:c r="AA59" s="81" t="n"/>
      <x:c r="AB59" s="81" t="n"/>
      <x:c r="AC59" s="81" t="n"/>
      <x:c r="AD59" s="81" t="n"/>
      <x:c r="AE59" s="81" t="n"/>
      <x:c r="AF59" s="81" t="n"/>
      <x:c r="AG59" s="81" t="n"/>
      <x:c r="AH59" s="81" t="n"/>
      <x:c r="AI59" s="81" t="n"/>
    </x:row>
    <x:row r="60">
      <x:c r="A60" s="81" t="n"/>
      <x:c r="B60" s="81" t="n"/>
      <x:c r="C60" s="81" t="n"/>
      <x:c r="D60" s="81" t="n"/>
      <x:c r="E60" s="81" t="n"/>
      <x:c r="F60" s="81" t="n"/>
      <x:c r="G60" s="81" t="n"/>
      <x:c r="H60" s="81" t="n"/>
      <x:c r="I60" s="81" t="n"/>
      <x:c r="J60" s="81" t="n"/>
      <x:c r="K60" s="81" t="n"/>
      <x:c r="L60" s="81" t="n"/>
      <x:c r="M60" s="81" t="n"/>
      <x:c r="N60" s="81" t="n"/>
      <x:c r="O60" s="81" t="n"/>
      <x:c r="P60" s="81" t="n"/>
      <x:c r="Q60" s="81" t="n"/>
      <x:c r="R60" s="81" t="n"/>
      <x:c r="S60" s="81" t="n"/>
      <x:c r="T60" s="81" t="n"/>
      <x:c r="U60" s="81" t="n"/>
      <x:c r="V60" s="81" t="n"/>
      <x:c r="W60" s="81" t="n"/>
      <x:c r="X60" s="81" t="n"/>
      <x:c r="Y60" s="81" t="n"/>
      <x:c r="Z60" s="81" t="n"/>
      <x:c r="AA60" s="81" t="n"/>
      <x:c r="AB60" s="81" t="n"/>
      <x:c r="AC60" s="81" t="n"/>
      <x:c r="AD60" s="81" t="n"/>
      <x:c r="AE60" s="81" t="n"/>
      <x:c r="AF60" s="81" t="n"/>
      <x:c r="AG60" s="81" t="n"/>
      <x:c r="AH60" s="81" t="n"/>
      <x:c r="AI60" s="81" t="n"/>
    </x:row>
    <x:row r="61">
      <x:c r="A61" s="81" t="n"/>
      <x:c r="B61" s="81" t="n"/>
      <x:c r="C61" s="81" t="n"/>
      <x:c r="D61" s="81" t="n"/>
      <x:c r="E61" s="81" t="n"/>
      <x:c r="F61" s="81" t="n"/>
      <x:c r="G61" s="81" t="n"/>
      <x:c r="H61" s="81" t="n"/>
      <x:c r="I61" s="81" t="n"/>
      <x:c r="J61" s="81" t="n"/>
      <x:c r="K61" s="81" t="n"/>
      <x:c r="L61" s="81" t="n"/>
      <x:c r="M61" s="81" t="n"/>
      <x:c r="N61" s="81" t="n"/>
      <x:c r="O61" s="81" t="n"/>
      <x:c r="P61" s="81" t="n"/>
      <x:c r="Q61" s="81" t="n"/>
      <x:c r="R61" s="81" t="n"/>
      <x:c r="S61" s="81" t="n"/>
      <x:c r="T61" s="81" t="n"/>
      <x:c r="U61" s="81" t="n"/>
      <x:c r="V61" s="81" t="n"/>
      <x:c r="W61" s="81" t="n"/>
      <x:c r="X61" s="81" t="n"/>
      <x:c r="Y61" s="81" t="n"/>
      <x:c r="Z61" s="81" t="n"/>
      <x:c r="AA61" s="81" t="n"/>
      <x:c r="AB61" s="81" t="n"/>
      <x:c r="AC61" s="81" t="n"/>
      <x:c r="AD61" s="81" t="n"/>
      <x:c r="AE61" s="81" t="n"/>
      <x:c r="AF61" s="81" t="n"/>
      <x:c r="AG61" s="81" t="n"/>
      <x:c r="AH61" s="81" t="n"/>
      <x:c r="AI61" s="81" t="n"/>
    </x:row>
    <x:row r="62">
      <x:c r="A62" s="81" t="n"/>
      <x:c r="B62" s="81" t="n"/>
      <x:c r="C62" s="81" t="n"/>
      <x:c r="D62" s="81" t="n"/>
      <x:c r="E62" s="81" t="n"/>
      <x:c r="F62" s="81" t="n"/>
      <x:c r="G62" s="81" t="n"/>
      <x:c r="H62" s="81" t="n"/>
      <x:c r="I62" s="81" t="n"/>
      <x:c r="J62" s="81" t="n"/>
      <x:c r="K62" s="81" t="n"/>
      <x:c r="L62" s="81" t="n"/>
      <x:c r="M62" s="81" t="n"/>
      <x:c r="N62" s="81" t="n"/>
      <x:c r="O62" s="81" t="n"/>
      <x:c r="P62" s="81" t="n"/>
      <x:c r="Q62" s="81" t="n"/>
      <x:c r="R62" s="81" t="n"/>
      <x:c r="S62" s="81" t="n"/>
      <x:c r="T62" s="81" t="n"/>
      <x:c r="U62" s="81" t="n"/>
      <x:c r="V62" s="81" t="n"/>
      <x:c r="W62" s="81" t="n"/>
      <x:c r="X62" s="81" t="n"/>
      <x:c r="Y62" s="81" t="n"/>
      <x:c r="Z62" s="81" t="n"/>
      <x:c r="AA62" s="81" t="n"/>
      <x:c r="AB62" s="81" t="n"/>
      <x:c r="AC62" s="81" t="n"/>
      <x:c r="AD62" s="81" t="n"/>
      <x:c r="AE62" s="81" t="n"/>
      <x:c r="AF62" s="81" t="n"/>
      <x:c r="AG62" s="81" t="n"/>
      <x:c r="AH62" s="81" t="n"/>
      <x:c r="AI62" s="81" t="n"/>
    </x:row>
    <x:row r="63">
      <x:c r="A63" s="81" t="n"/>
      <x:c r="B63" s="81" t="n"/>
      <x:c r="C63" s="81" t="n"/>
      <x:c r="D63" s="81" t="n"/>
      <x:c r="E63" s="81" t="n"/>
      <x:c r="F63" s="81" t="n"/>
      <x:c r="G63" s="81" t="n"/>
      <x:c r="H63" s="81" t="n"/>
      <x:c r="I63" s="81" t="n"/>
      <x:c r="J63" s="81" t="n"/>
      <x:c r="K63" s="81" t="n"/>
      <x:c r="L63" s="81" t="n"/>
      <x:c r="M63" s="81" t="n"/>
      <x:c r="N63" s="81" t="n"/>
      <x:c r="O63" s="81" t="n"/>
      <x:c r="P63" s="81" t="n"/>
      <x:c r="Q63" s="81" t="n"/>
      <x:c r="R63" s="81" t="n"/>
      <x:c r="S63" s="81" t="n"/>
      <x:c r="T63" s="81" t="n"/>
      <x:c r="U63" s="81" t="n"/>
      <x:c r="V63" s="81" t="n"/>
      <x:c r="W63" s="81" t="n"/>
      <x:c r="X63" s="81" t="n"/>
      <x:c r="Y63" s="81" t="n"/>
      <x:c r="Z63" s="81" t="n"/>
      <x:c r="AA63" s="81" t="n"/>
      <x:c r="AB63" s="81" t="n"/>
      <x:c r="AC63" s="81" t="n"/>
      <x:c r="AD63" s="81" t="n"/>
      <x:c r="AE63" s="81" t="n"/>
      <x:c r="AF63" s="81" t="n"/>
      <x:c r="AG63" s="81" t="n"/>
      <x:c r="AH63" s="81" t="n"/>
      <x:c r="AI63" s="81" t="n"/>
    </x:row>
    <x:row r="64">
      <x:c r="A64" s="81" t="n"/>
      <x:c r="B64" s="81" t="n"/>
      <x:c r="C64" s="81" t="n"/>
      <x:c r="D64" s="81" t="n"/>
      <x:c r="E64" s="81" t="n"/>
      <x:c r="F64" s="81" t="n"/>
      <x:c r="G64" s="81" t="n"/>
      <x:c r="H64" s="81" t="n"/>
      <x:c r="I64" s="81" t="n"/>
      <x:c r="J64" s="81" t="n"/>
      <x:c r="K64" s="81" t="n"/>
      <x:c r="L64" s="81" t="n"/>
      <x:c r="M64" s="81" t="n"/>
      <x:c r="N64" s="81" t="n"/>
      <x:c r="O64" s="81" t="n"/>
      <x:c r="P64" s="81" t="n"/>
      <x:c r="Q64" s="81" t="n"/>
      <x:c r="R64" s="81" t="n"/>
      <x:c r="S64" s="81" t="n"/>
      <x:c r="T64" s="81" t="n"/>
      <x:c r="U64" s="81" t="n"/>
      <x:c r="V64" s="81" t="n"/>
      <x:c r="W64" s="81" t="n"/>
      <x:c r="X64" s="81" t="n"/>
      <x:c r="Y64" s="81" t="n"/>
      <x:c r="Z64" s="81" t="n"/>
      <x:c r="AA64" s="81" t="n"/>
      <x:c r="AB64" s="81" t="n"/>
      <x:c r="AC64" s="81" t="n"/>
      <x:c r="AD64" s="81" t="n"/>
      <x:c r="AE64" s="81" t="n"/>
      <x:c r="AF64" s="81" t="n"/>
      <x:c r="AG64" s="81" t="n"/>
      <x:c r="AH64" s="81" t="n"/>
      <x:c r="AI64" s="81" t="n"/>
    </x:row>
    <x:row r="65">
      <x:c r="A65" s="81" t="n"/>
      <x:c r="B65" s="81" t="n"/>
      <x:c r="C65" s="81" t="n"/>
      <x:c r="D65" s="81" t="n"/>
      <x:c r="E65" s="81" t="n"/>
      <x:c r="F65" s="81" t="n"/>
      <x:c r="G65" s="81" t="n"/>
      <x:c r="H65" s="81" t="n"/>
      <x:c r="I65" s="81" t="n"/>
      <x:c r="J65" s="81" t="n"/>
      <x:c r="K65" s="81" t="n"/>
      <x:c r="L65" s="81" t="n"/>
      <x:c r="M65" s="81" t="n"/>
      <x:c r="N65" s="81" t="n"/>
      <x:c r="O65" s="81" t="n"/>
      <x:c r="P65" s="81" t="n"/>
      <x:c r="Q65" s="81" t="n"/>
      <x:c r="R65" s="81" t="n"/>
      <x:c r="S65" s="81" t="n"/>
      <x:c r="T65" s="81" t="n"/>
      <x:c r="U65" s="81" t="n"/>
      <x:c r="V65" s="81" t="n"/>
      <x:c r="W65" s="81" t="n"/>
      <x:c r="X65" s="81" t="n"/>
      <x:c r="Y65" s="81" t="n"/>
      <x:c r="Z65" s="81" t="n"/>
      <x:c r="AA65" s="81" t="n"/>
      <x:c r="AB65" s="81" t="n"/>
      <x:c r="AC65" s="81" t="n"/>
      <x:c r="AD65" s="81" t="n"/>
      <x:c r="AE65" s="81" t="n"/>
      <x:c r="AF65" s="81" t="n"/>
      <x:c r="AG65" s="81" t="n"/>
      <x:c r="AH65" s="81" t="n"/>
      <x:c r="AI65" s="81" t="n"/>
    </x:row>
    <x:row r="66">
      <x:c r="A66" s="81" t="n"/>
      <x:c r="B66" s="81" t="n"/>
      <x:c r="C66" s="81" t="n"/>
      <x:c r="D66" s="81" t="n"/>
      <x:c r="E66" s="81" t="n"/>
      <x:c r="F66" s="81" t="n"/>
      <x:c r="G66" s="81" t="n"/>
      <x:c r="H66" s="81" t="n"/>
      <x:c r="I66" s="81" t="n"/>
      <x:c r="J66" s="81" t="n"/>
      <x:c r="K66" s="81" t="n"/>
      <x:c r="L66" s="81" t="n"/>
      <x:c r="M66" s="81" t="n"/>
      <x:c r="N66" s="81" t="n"/>
      <x:c r="O66" s="81" t="n"/>
      <x:c r="P66" s="81" t="n"/>
      <x:c r="Q66" s="81" t="n"/>
      <x:c r="R66" s="81" t="n"/>
      <x:c r="S66" s="81" t="n"/>
      <x:c r="T66" s="81" t="n"/>
      <x:c r="U66" s="81" t="n"/>
      <x:c r="V66" s="81" t="n"/>
      <x:c r="W66" s="81" t="n"/>
      <x:c r="X66" s="81" t="n"/>
      <x:c r="Y66" s="81" t="n"/>
      <x:c r="Z66" s="81" t="n"/>
      <x:c r="AA66" s="81" t="n"/>
      <x:c r="AB66" s="81" t="n"/>
      <x:c r="AC66" s="81" t="n"/>
      <x:c r="AD66" s="81" t="n"/>
      <x:c r="AE66" s="81" t="n"/>
      <x:c r="AF66" s="81" t="n"/>
      <x:c r="AG66" s="81" t="n"/>
      <x:c r="AH66" s="81" t="n"/>
      <x:c r="AI66" s="81" t="n"/>
    </x:row>
    <x:row r="67">
      <x:c r="A67" s="81" t="n"/>
      <x:c r="B67" s="81" t="n"/>
      <x:c r="C67" s="81" t="n"/>
      <x:c r="D67" s="81" t="n"/>
      <x:c r="E67" s="81" t="n"/>
      <x:c r="F67" s="81" t="n"/>
      <x:c r="G67" s="81" t="n"/>
      <x:c r="H67" s="81" t="n"/>
      <x:c r="I67" s="81" t="n"/>
      <x:c r="J67" s="81" t="n"/>
      <x:c r="K67" s="81" t="n"/>
      <x:c r="L67" s="81" t="n"/>
      <x:c r="M67" s="81" t="n"/>
      <x:c r="N67" s="81" t="n"/>
      <x:c r="O67" s="81" t="n"/>
      <x:c r="P67" s="81" t="n"/>
      <x:c r="Q67" s="81" t="n"/>
      <x:c r="R67" s="81" t="n"/>
      <x:c r="S67" s="81" t="n"/>
      <x:c r="T67" s="81" t="n"/>
      <x:c r="U67" s="81" t="n"/>
      <x:c r="V67" s="81" t="n"/>
      <x:c r="W67" s="81" t="n"/>
      <x:c r="X67" s="81" t="n"/>
      <x:c r="Y67" s="81" t="n"/>
      <x:c r="Z67" s="81" t="n"/>
      <x:c r="AA67" s="81" t="n"/>
      <x:c r="AB67" s="81" t="n"/>
      <x:c r="AC67" s="81" t="n"/>
      <x:c r="AD67" s="81" t="n"/>
      <x:c r="AE67" s="81" t="n"/>
      <x:c r="AF67" s="81" t="n"/>
      <x:c r="AG67" s="81" t="n"/>
      <x:c r="AH67" s="81" t="n"/>
      <x:c r="AI67" s="81" t="n"/>
    </x:row>
    <x:row r="68">
      <x:c r="A68" s="81" t="n"/>
      <x:c r="B68" s="81" t="n"/>
      <x:c r="C68" s="81" t="n"/>
      <x:c r="D68" s="81" t="n"/>
      <x:c r="E68" s="81" t="n"/>
      <x:c r="F68" s="81" t="n"/>
      <x:c r="G68" s="81" t="n"/>
      <x:c r="H68" s="81" t="n"/>
      <x:c r="I68" s="81" t="n"/>
      <x:c r="J68" s="81" t="n"/>
      <x:c r="K68" s="81" t="n"/>
      <x:c r="L68" s="81" t="n"/>
      <x:c r="M68" s="81" t="n"/>
      <x:c r="N68" s="81" t="n"/>
      <x:c r="O68" s="81" t="n"/>
      <x:c r="P68" s="81" t="n"/>
      <x:c r="Q68" s="81" t="n"/>
      <x:c r="R68" s="81" t="n"/>
      <x:c r="S68" s="81" t="n"/>
      <x:c r="T68" s="81" t="n"/>
      <x:c r="U68" s="81" t="n"/>
      <x:c r="V68" s="81" t="n"/>
      <x:c r="W68" s="81" t="n"/>
      <x:c r="X68" s="81" t="n"/>
      <x:c r="Y68" s="81" t="n"/>
      <x:c r="Z68" s="81" t="n"/>
      <x:c r="AA68" s="81" t="n"/>
      <x:c r="AB68" s="81" t="n"/>
      <x:c r="AC68" s="81" t="n"/>
      <x:c r="AD68" s="81" t="n"/>
      <x:c r="AE68" s="81" t="n"/>
      <x:c r="AF68" s="81" t="n"/>
      <x:c r="AG68" s="81" t="n"/>
      <x:c r="AH68" s="81" t="n"/>
      <x:c r="AI68" s="81" t="n"/>
    </x:row>
    <x:row r="69">
      <x:c r="A69" s="81" t="n"/>
      <x:c r="B69" s="81" t="n"/>
      <x:c r="C69" s="81" t="n"/>
      <x:c r="D69" s="81" t="n"/>
      <x:c r="E69" s="81" t="n"/>
      <x:c r="F69" s="81" t="n"/>
      <x:c r="G69" s="81" t="n"/>
      <x:c r="H69" s="81" t="n"/>
      <x:c r="I69" s="81" t="n"/>
      <x:c r="J69" s="81" t="n"/>
      <x:c r="K69" s="81" t="n"/>
      <x:c r="L69" s="81" t="n"/>
      <x:c r="M69" s="81" t="n"/>
      <x:c r="N69" s="81" t="n"/>
      <x:c r="O69" s="81" t="n"/>
      <x:c r="P69" s="81" t="n"/>
      <x:c r="Q69" s="81" t="n"/>
      <x:c r="R69" s="81" t="n"/>
      <x:c r="S69" s="81" t="n"/>
      <x:c r="T69" s="81" t="n"/>
      <x:c r="U69" s="81" t="n"/>
      <x:c r="V69" s="81" t="n"/>
      <x:c r="W69" s="81" t="n"/>
      <x:c r="X69" s="81" t="n"/>
      <x:c r="Y69" s="81" t="n"/>
      <x:c r="Z69" s="81" t="n"/>
      <x:c r="AA69" s="81" t="n"/>
      <x:c r="AB69" s="81" t="n"/>
      <x:c r="AC69" s="81" t="n"/>
      <x:c r="AD69" s="81" t="n"/>
      <x:c r="AE69" s="81" t="n"/>
      <x:c r="AF69" s="81" t="n"/>
      <x:c r="AG69" s="81" t="n"/>
      <x:c r="AH69" s="81" t="n"/>
      <x:c r="AI69" s="81" t="n"/>
    </x:row>
    <x:row r="70">
      <x:c r="A70" s="81" t="n"/>
      <x:c r="B70" s="81" t="n"/>
      <x:c r="C70" s="81" t="n"/>
      <x:c r="D70" s="81" t="n"/>
      <x:c r="E70" s="81" t="n"/>
      <x:c r="F70" s="81" t="n"/>
      <x:c r="G70" s="81" t="n"/>
      <x:c r="H70" s="81" t="n"/>
      <x:c r="I70" s="81" t="n"/>
      <x:c r="J70" s="81" t="n"/>
      <x:c r="K70" s="81" t="n"/>
      <x:c r="L70" s="81" t="n"/>
      <x:c r="M70" s="81" t="n"/>
      <x:c r="N70" s="81" t="n"/>
      <x:c r="O70" s="81" t="n"/>
      <x:c r="P70" s="81" t="n"/>
      <x:c r="Q70" s="81" t="n"/>
      <x:c r="R70" s="81" t="n"/>
      <x:c r="S70" s="81" t="n"/>
      <x:c r="T70" s="81" t="n"/>
      <x:c r="U70" s="81" t="n"/>
      <x:c r="V70" s="81" t="n"/>
      <x:c r="W70" s="81" t="n"/>
      <x:c r="X70" s="81" t="n"/>
      <x:c r="Y70" s="81" t="n"/>
      <x:c r="Z70" s="81" t="n"/>
      <x:c r="AA70" s="81" t="n"/>
      <x:c r="AB70" s="81" t="n"/>
      <x:c r="AC70" s="81" t="n"/>
      <x:c r="AD70" s="81" t="n"/>
      <x:c r="AE70" s="81" t="n"/>
      <x:c r="AF70" s="81" t="n"/>
      <x:c r="AG70" s="81" t="n"/>
      <x:c r="AH70" s="81" t="n"/>
      <x:c r="AI70" s="81" t="n"/>
    </x:row>
    <x:row r="71">
      <x:c r="A71" s="81" t="n"/>
      <x:c r="B71" s="81" t="n"/>
      <x:c r="C71" s="81" t="n"/>
      <x:c r="D71" s="81" t="n"/>
      <x:c r="E71" s="81" t="n"/>
      <x:c r="F71" s="81" t="n"/>
      <x:c r="G71" s="81" t="n"/>
      <x:c r="H71" s="81" t="n"/>
      <x:c r="I71" s="81" t="n"/>
      <x:c r="J71" s="81" t="n"/>
      <x:c r="K71" s="81" t="n"/>
      <x:c r="L71" s="81" t="n"/>
      <x:c r="M71" s="81" t="n"/>
      <x:c r="N71" s="81" t="n"/>
      <x:c r="O71" s="81" t="n"/>
      <x:c r="P71" s="81" t="n"/>
      <x:c r="Q71" s="81" t="n"/>
      <x:c r="R71" s="81" t="n"/>
      <x:c r="S71" s="81" t="n"/>
      <x:c r="T71" s="81" t="n"/>
      <x:c r="U71" s="81" t="n"/>
      <x:c r="V71" s="81" t="n"/>
      <x:c r="W71" s="81" t="n"/>
      <x:c r="X71" s="81" t="n"/>
      <x:c r="Y71" s="81" t="n"/>
      <x:c r="Z71" s="81" t="n"/>
      <x:c r="AA71" s="81" t="n"/>
      <x:c r="AB71" s="81" t="n"/>
      <x:c r="AC71" s="81" t="n"/>
      <x:c r="AD71" s="81" t="n"/>
      <x:c r="AE71" s="81" t="n"/>
      <x:c r="AF71" s="81" t="n"/>
      <x:c r="AG71" s="81" t="n"/>
      <x:c r="AH71" s="81" t="n"/>
      <x:c r="AI71" s="81" t="n"/>
    </x:row>
    <x:row r="72">
      <x:c r="A72" s="81" t="n"/>
      <x:c r="B72" s="81" t="n"/>
      <x:c r="C72" s="81" t="n"/>
      <x:c r="D72" s="81" t="n"/>
      <x:c r="E72" s="81" t="n"/>
      <x:c r="F72" s="81" t="n"/>
      <x:c r="G72" s="81" t="n"/>
      <x:c r="H72" s="81" t="n"/>
      <x:c r="I72" s="81" t="n"/>
      <x:c r="J72" s="81" t="n"/>
      <x:c r="K72" s="81" t="n"/>
      <x:c r="L72" s="81" t="n"/>
      <x:c r="M72" s="81" t="n"/>
      <x:c r="N72" s="81" t="n"/>
      <x:c r="O72" s="81" t="n"/>
      <x:c r="P72" s="81" t="n"/>
      <x:c r="Q72" s="81" t="n"/>
      <x:c r="R72" s="81" t="n"/>
      <x:c r="S72" s="81" t="n"/>
      <x:c r="T72" s="81" t="n"/>
      <x:c r="U72" s="81" t="n"/>
      <x:c r="V72" s="81" t="n"/>
      <x:c r="W72" s="81" t="n"/>
      <x:c r="X72" s="81" t="n"/>
      <x:c r="Y72" s="81" t="n"/>
      <x:c r="Z72" s="81" t="n"/>
      <x:c r="AA72" s="81" t="n"/>
      <x:c r="AB72" s="81" t="n"/>
      <x:c r="AC72" s="81" t="n"/>
      <x:c r="AD72" s="81" t="n"/>
      <x:c r="AE72" s="81" t="n"/>
      <x:c r="AF72" s="81" t="n"/>
      <x:c r="AG72" s="81" t="n"/>
      <x:c r="AH72" s="81" t="n"/>
      <x:c r="AI72" s="81" t="n"/>
    </x:row>
    <x:row r="73">
      <x:c r="A73" s="81" t="n"/>
      <x:c r="B73" s="81" t="n"/>
      <x:c r="C73" s="81" t="n"/>
      <x:c r="D73" s="81" t="n"/>
      <x:c r="E73" s="81" t="n"/>
      <x:c r="F73" s="81" t="n"/>
      <x:c r="G73" s="81" t="n"/>
      <x:c r="H73" s="81" t="n"/>
      <x:c r="I73" s="81" t="n"/>
      <x:c r="J73" s="81" t="n"/>
      <x:c r="K73" s="81" t="n"/>
      <x:c r="L73" s="81" t="n"/>
      <x:c r="M73" s="81" t="n"/>
      <x:c r="N73" s="81" t="n"/>
      <x:c r="O73" s="81" t="n"/>
      <x:c r="P73" s="81" t="n"/>
      <x:c r="Q73" s="81" t="n"/>
      <x:c r="R73" s="81" t="n"/>
      <x:c r="S73" s="81" t="n"/>
      <x:c r="T73" s="81" t="n"/>
      <x:c r="U73" s="81" t="n"/>
      <x:c r="V73" s="81" t="n"/>
      <x:c r="W73" s="81" t="n"/>
      <x:c r="X73" s="81" t="n"/>
      <x:c r="Y73" s="81" t="n"/>
      <x:c r="Z73" s="81" t="n"/>
      <x:c r="AA73" s="81" t="n"/>
      <x:c r="AB73" s="81" t="n"/>
      <x:c r="AC73" s="81" t="n"/>
      <x:c r="AD73" s="81" t="n"/>
      <x:c r="AE73" s="81" t="n"/>
      <x:c r="AF73" s="81" t="n"/>
      <x:c r="AG73" s="81" t="n"/>
      <x:c r="AH73" s="81" t="n"/>
      <x:c r="AI73" s="81" t="n"/>
    </x:row>
    <x:row r="74">
      <x:c r="A74" s="81" t="n"/>
      <x:c r="B74" s="81" t="n"/>
      <x:c r="C74" s="81" t="n"/>
      <x:c r="D74" s="81" t="n"/>
      <x:c r="E74" s="81" t="n"/>
      <x:c r="F74" s="81" t="n"/>
      <x:c r="G74" s="81" t="n"/>
      <x:c r="H74" s="81" t="n"/>
      <x:c r="I74" s="81" t="n"/>
      <x:c r="J74" s="81" t="n"/>
      <x:c r="K74" s="81" t="n"/>
      <x:c r="L74" s="81" t="n"/>
      <x:c r="M74" s="81" t="n"/>
      <x:c r="N74" s="81" t="n"/>
      <x:c r="O74" s="81" t="n"/>
      <x:c r="P74" s="81" t="n"/>
      <x:c r="Q74" s="81" t="n"/>
      <x:c r="R74" s="81" t="n"/>
      <x:c r="S74" s="81" t="n"/>
      <x:c r="T74" s="81" t="n"/>
      <x:c r="U74" s="81" t="n"/>
      <x:c r="V74" s="81" t="n"/>
      <x:c r="W74" s="81" t="n"/>
      <x:c r="X74" s="81" t="n"/>
      <x:c r="Y74" s="81" t="n"/>
      <x:c r="Z74" s="81" t="n"/>
      <x:c r="AA74" s="81" t="n"/>
      <x:c r="AB74" s="81" t="n"/>
      <x:c r="AC74" s="81" t="n"/>
      <x:c r="AD74" s="81" t="n"/>
      <x:c r="AE74" s="81" t="n"/>
      <x:c r="AF74" s="81" t="n"/>
      <x:c r="AG74" s="81" t="n"/>
      <x:c r="AH74" s="81" t="n"/>
      <x:c r="AI74" s="81" t="n"/>
    </x:row>
    <x:row r="75">
      <x:c r="A75" s="81" t="n"/>
      <x:c r="B75" s="81" t="n"/>
      <x:c r="C75" s="81" t="n"/>
      <x:c r="D75" s="81" t="n"/>
      <x:c r="E75" s="81" t="n"/>
      <x:c r="F75" s="81" t="n"/>
      <x:c r="G75" s="81" t="n"/>
      <x:c r="H75" s="81" t="n"/>
      <x:c r="I75" s="81" t="n"/>
      <x:c r="J75" s="81" t="n"/>
      <x:c r="K75" s="81" t="n"/>
      <x:c r="L75" s="81" t="n"/>
      <x:c r="M75" s="81" t="n"/>
      <x:c r="N75" s="81" t="n"/>
      <x:c r="O75" s="81" t="n"/>
      <x:c r="P75" s="81" t="n"/>
      <x:c r="Q75" s="81" t="n"/>
      <x:c r="R75" s="81" t="n"/>
      <x:c r="S75" s="81" t="n"/>
      <x:c r="T75" s="81" t="n"/>
      <x:c r="U75" s="81" t="n"/>
      <x:c r="V75" s="81" t="n"/>
      <x:c r="W75" s="81" t="n"/>
      <x:c r="X75" s="81" t="n"/>
      <x:c r="Y75" s="81" t="n"/>
      <x:c r="Z75" s="81" t="n"/>
      <x:c r="AA75" s="81" t="n"/>
      <x:c r="AB75" s="81" t="n"/>
      <x:c r="AC75" s="81" t="n"/>
      <x:c r="AD75" s="81" t="n"/>
      <x:c r="AE75" s="81" t="n"/>
      <x:c r="AF75" s="81" t="n"/>
      <x:c r="AG75" s="81" t="n"/>
      <x:c r="AH75" s="81" t="n"/>
      <x:c r="AI75" s="81" t="n"/>
    </x:row>
    <x:row r="76">
      <x:c r="A76" s="81" t="n"/>
      <x:c r="B76" s="81" t="n"/>
      <x:c r="C76" s="81" t="n"/>
      <x:c r="D76" s="81" t="n"/>
      <x:c r="E76" s="81" t="n"/>
      <x:c r="F76" s="81" t="n"/>
      <x:c r="G76" s="81" t="n"/>
      <x:c r="H76" s="81" t="n"/>
      <x:c r="I76" s="81" t="n"/>
      <x:c r="J76" s="81" t="n"/>
      <x:c r="K76" s="81" t="n"/>
      <x:c r="L76" s="81" t="n"/>
      <x:c r="M76" s="81" t="n"/>
      <x:c r="N76" s="81" t="n"/>
      <x:c r="O76" s="81" t="n"/>
      <x:c r="P76" s="81" t="n"/>
      <x:c r="Q76" s="81" t="n"/>
      <x:c r="R76" s="81" t="n"/>
      <x:c r="S76" s="81" t="n"/>
      <x:c r="T76" s="81" t="n"/>
      <x:c r="U76" s="81" t="n"/>
      <x:c r="V76" s="81" t="n"/>
      <x:c r="W76" s="81" t="n"/>
      <x:c r="X76" s="81" t="n"/>
      <x:c r="Y76" s="81" t="n"/>
      <x:c r="Z76" s="81" t="n"/>
      <x:c r="AA76" s="81" t="n"/>
      <x:c r="AB76" s="81" t="n"/>
      <x:c r="AC76" s="81" t="n"/>
      <x:c r="AD76" s="81" t="n"/>
      <x:c r="AE76" s="81" t="n"/>
      <x:c r="AF76" s="81" t="n"/>
      <x:c r="AG76" s="81" t="n"/>
      <x:c r="AH76" s="81" t="n"/>
      <x:c r="AI76" s="81" t="n"/>
    </x:row>
    <x:row r="77">
      <x:c r="A77" s="81" t="n"/>
      <x:c r="B77" s="81" t="n"/>
      <x:c r="C77" s="81" t="n"/>
      <x:c r="D77" s="81" t="n"/>
      <x:c r="E77" s="81" t="n"/>
      <x:c r="F77" s="81" t="n"/>
      <x:c r="G77" s="81" t="n"/>
      <x:c r="H77" s="81" t="n"/>
      <x:c r="I77" s="81" t="n"/>
      <x:c r="J77" s="81" t="n"/>
      <x:c r="K77" s="81" t="n"/>
      <x:c r="L77" s="81" t="n"/>
      <x:c r="M77" s="81" t="n"/>
      <x:c r="N77" s="81" t="n"/>
      <x:c r="O77" s="81" t="n"/>
      <x:c r="P77" s="81" t="n"/>
      <x:c r="Q77" s="81" t="n"/>
      <x:c r="R77" s="81" t="n"/>
      <x:c r="S77" s="81" t="n"/>
      <x:c r="T77" s="81" t="n"/>
      <x:c r="U77" s="81" t="n"/>
      <x:c r="V77" s="81" t="n"/>
      <x:c r="W77" s="81" t="n"/>
      <x:c r="X77" s="81" t="n"/>
      <x:c r="Y77" s="81" t="n"/>
      <x:c r="Z77" s="81" t="n"/>
      <x:c r="AA77" s="81" t="n"/>
      <x:c r="AB77" s="81" t="n"/>
      <x:c r="AC77" s="81" t="n"/>
      <x:c r="AD77" s="81" t="n"/>
      <x:c r="AE77" s="81" t="n"/>
      <x:c r="AF77" s="81" t="n"/>
      <x:c r="AG77" s="81" t="n"/>
      <x:c r="AH77" s="81" t="n"/>
      <x:c r="AI77" s="81" t="n"/>
    </x:row>
    <x:row r="78">
      <x:c r="A78" s="81" t="n"/>
      <x:c r="B78" s="81" t="n"/>
      <x:c r="C78" s="81" t="n"/>
      <x:c r="D78" s="81" t="n"/>
      <x:c r="E78" s="81" t="n"/>
      <x:c r="F78" s="81" t="n"/>
      <x:c r="G78" s="81" t="n"/>
      <x:c r="H78" s="81" t="n"/>
      <x:c r="I78" s="81" t="n"/>
      <x:c r="J78" s="81" t="n"/>
      <x:c r="K78" s="81" t="n"/>
      <x:c r="L78" s="81" t="n"/>
      <x:c r="M78" s="81" t="n"/>
      <x:c r="N78" s="81" t="n"/>
      <x:c r="O78" s="81" t="n"/>
      <x:c r="P78" s="81" t="n"/>
      <x:c r="Q78" s="81" t="n"/>
      <x:c r="R78" s="81" t="n"/>
      <x:c r="S78" s="81" t="n"/>
      <x:c r="T78" s="81" t="n"/>
      <x:c r="U78" s="81" t="n"/>
      <x:c r="V78" s="81" t="n"/>
      <x:c r="W78" s="81" t="n"/>
      <x:c r="X78" s="81" t="n"/>
      <x:c r="Y78" s="81" t="n"/>
      <x:c r="Z78" s="81" t="n"/>
      <x:c r="AA78" s="81" t="n"/>
      <x:c r="AB78" s="81" t="n"/>
      <x:c r="AC78" s="81" t="n"/>
      <x:c r="AD78" s="81" t="n"/>
      <x:c r="AE78" s="81" t="n"/>
      <x:c r="AF78" s="81" t="n"/>
      <x:c r="AG78" s="81" t="n"/>
      <x:c r="AH78" s="81" t="n"/>
      <x:c r="AI78" s="81" t="n"/>
    </x:row>
    <x:row r="79">
      <x:c r="A79" s="81" t="n"/>
      <x:c r="B79" s="81" t="n"/>
      <x:c r="C79" s="81" t="n"/>
      <x:c r="D79" s="81" t="n"/>
      <x:c r="E79" s="81" t="n"/>
      <x:c r="F79" s="81" t="n"/>
      <x:c r="G79" s="81" t="n"/>
      <x:c r="H79" s="81" t="n"/>
      <x:c r="I79" s="81" t="n"/>
      <x:c r="J79" s="81" t="n"/>
      <x:c r="K79" s="81" t="n"/>
      <x:c r="L79" s="81" t="n"/>
      <x:c r="M79" s="81" t="n"/>
      <x:c r="N79" s="81" t="n"/>
      <x:c r="O79" s="81" t="n"/>
      <x:c r="P79" s="81" t="n"/>
      <x:c r="Q79" s="81" t="n"/>
      <x:c r="R79" s="81" t="n"/>
      <x:c r="S79" s="81" t="n"/>
      <x:c r="T79" s="81" t="n"/>
      <x:c r="U79" s="81" t="n"/>
      <x:c r="V79" s="81" t="n"/>
      <x:c r="W79" s="81" t="n"/>
      <x:c r="X79" s="81" t="n"/>
      <x:c r="Y79" s="81" t="n"/>
      <x:c r="Z79" s="81" t="n"/>
      <x:c r="AA79" s="81" t="n"/>
      <x:c r="AB79" s="81" t="n"/>
      <x:c r="AC79" s="81" t="n"/>
      <x:c r="AD79" s="81" t="n"/>
      <x:c r="AE79" s="81" t="n"/>
      <x:c r="AF79" s="81" t="n"/>
      <x:c r="AG79" s="81" t="n"/>
      <x:c r="AH79" s="81" t="n"/>
      <x:c r="AI79" s="81" t="n"/>
    </x:row>
    <x:row r="80">
      <x:c r="A80" s="81" t="n"/>
      <x:c r="B80" s="81" t="n"/>
      <x:c r="C80" s="81" t="n"/>
      <x:c r="D80" s="81" t="n"/>
      <x:c r="E80" s="81" t="n"/>
      <x:c r="F80" s="81" t="n"/>
      <x:c r="G80" s="81" t="n"/>
      <x:c r="H80" s="81" t="n"/>
      <x:c r="I80" s="81" t="n"/>
      <x:c r="J80" s="81" t="n"/>
      <x:c r="K80" s="81" t="n"/>
      <x:c r="L80" s="81" t="n"/>
      <x:c r="M80" s="81" t="n"/>
      <x:c r="N80" s="81" t="n"/>
      <x:c r="O80" s="81" t="n"/>
      <x:c r="P80" s="81" t="n"/>
      <x:c r="Q80" s="81" t="n"/>
      <x:c r="R80" s="81" t="n"/>
      <x:c r="S80" s="81" t="n"/>
      <x:c r="T80" s="81" t="n"/>
      <x:c r="U80" s="81" t="n"/>
      <x:c r="V80" s="81" t="n"/>
      <x:c r="W80" s="81" t="n"/>
      <x:c r="X80" s="81" t="n"/>
      <x:c r="Y80" s="81" t="n"/>
      <x:c r="Z80" s="81" t="n"/>
      <x:c r="AA80" s="81" t="n"/>
      <x:c r="AB80" s="81" t="n"/>
      <x:c r="AC80" s="81" t="n"/>
      <x:c r="AD80" s="81" t="n"/>
      <x:c r="AE80" s="81" t="n"/>
      <x:c r="AF80" s="81" t="n"/>
      <x:c r="AG80" s="81" t="n"/>
      <x:c r="AH80" s="81" t="n"/>
      <x:c r="AI80" s="81" t="n"/>
    </x:row>
    <x:row r="81">
      <x:c r="A81" s="81" t="n"/>
      <x:c r="B81" s="81" t="n"/>
      <x:c r="C81" s="81" t="n"/>
      <x:c r="D81" s="81" t="n"/>
      <x:c r="E81" s="81" t="n"/>
      <x:c r="F81" s="81" t="n"/>
      <x:c r="G81" s="81" t="n"/>
      <x:c r="H81" s="81" t="n"/>
      <x:c r="I81" s="81" t="n"/>
      <x:c r="J81" s="81" t="n"/>
      <x:c r="K81" s="81" t="n"/>
      <x:c r="L81" s="81" t="n"/>
      <x:c r="M81" s="81" t="n"/>
      <x:c r="N81" s="81" t="n"/>
      <x:c r="O81" s="81" t="n"/>
      <x:c r="P81" s="81" t="n"/>
      <x:c r="Q81" s="81" t="n"/>
      <x:c r="R81" s="81" t="n"/>
      <x:c r="S81" s="81" t="n"/>
      <x:c r="T81" s="81" t="n"/>
      <x:c r="U81" s="81" t="n"/>
      <x:c r="V81" s="81" t="n"/>
      <x:c r="W81" s="81" t="n"/>
      <x:c r="X81" s="81" t="n"/>
      <x:c r="Y81" s="81" t="n"/>
      <x:c r="Z81" s="81" t="n"/>
      <x:c r="AA81" s="81" t="n"/>
      <x:c r="AB81" s="81" t="n"/>
      <x:c r="AC81" s="81" t="n"/>
      <x:c r="AD81" s="81" t="n"/>
      <x:c r="AE81" s="81" t="n"/>
      <x:c r="AF81" s="81" t="n"/>
      <x:c r="AG81" s="81" t="n"/>
      <x:c r="AH81" s="81" t="n"/>
      <x:c r="AI81" s="81" t="n"/>
    </x:row>
    <x:row r="82">
      <x:c r="A82" s="81" t="n"/>
      <x:c r="B82" s="81" t="n"/>
      <x:c r="C82" s="81" t="n"/>
      <x:c r="D82" s="81" t="n"/>
      <x:c r="E82" s="81" t="n"/>
      <x:c r="F82" s="81" t="n"/>
      <x:c r="G82" s="81" t="n"/>
      <x:c r="H82" s="81" t="n"/>
      <x:c r="I82" s="81" t="n"/>
      <x:c r="J82" s="81" t="n"/>
      <x:c r="K82" s="81" t="n"/>
      <x:c r="L82" s="81" t="n"/>
      <x:c r="M82" s="81" t="n"/>
      <x:c r="N82" s="81" t="n"/>
      <x:c r="O82" s="81" t="n"/>
      <x:c r="P82" s="81" t="n"/>
      <x:c r="Q82" s="81" t="n"/>
      <x:c r="R82" s="81" t="n"/>
      <x:c r="S82" s="81" t="n"/>
      <x:c r="T82" s="81" t="n"/>
      <x:c r="U82" s="81" t="n"/>
      <x:c r="V82" s="81" t="n"/>
      <x:c r="W82" s="81" t="n"/>
      <x:c r="X82" s="81" t="n"/>
      <x:c r="Y82" s="81" t="n"/>
      <x:c r="Z82" s="81" t="n"/>
      <x:c r="AA82" s="81" t="n"/>
      <x:c r="AB82" s="81" t="n"/>
      <x:c r="AC82" s="81" t="n"/>
      <x:c r="AD82" s="81" t="n"/>
      <x:c r="AE82" s="81" t="n"/>
      <x:c r="AF82" s="81" t="n"/>
      <x:c r="AG82" s="81" t="n"/>
      <x:c r="AH82" s="81" t="n"/>
      <x:c r="AI82" s="81" t="n"/>
    </x:row>
    <x:row r="83">
      <x:c r="A83" s="81" t="n"/>
      <x:c r="B83" s="81" t="n"/>
      <x:c r="C83" s="81" t="n"/>
      <x:c r="D83" s="81" t="n"/>
      <x:c r="E83" s="81" t="n"/>
      <x:c r="F83" s="81" t="n"/>
      <x:c r="G83" s="81" t="n"/>
      <x:c r="H83" s="81" t="n"/>
      <x:c r="I83" s="81" t="n"/>
      <x:c r="J83" s="81" t="n"/>
      <x:c r="K83" s="81" t="n"/>
      <x:c r="L83" s="81" t="n"/>
      <x:c r="M83" s="81" t="n"/>
      <x:c r="N83" s="81" t="n"/>
      <x:c r="O83" s="81" t="n"/>
      <x:c r="P83" s="81" t="n"/>
      <x:c r="Q83" s="81" t="n"/>
      <x:c r="R83" s="81" t="n"/>
      <x:c r="S83" s="81" t="n"/>
      <x:c r="T83" s="81" t="n"/>
      <x:c r="U83" s="81" t="n"/>
      <x:c r="V83" s="81" t="n"/>
      <x:c r="W83" s="81" t="n"/>
      <x:c r="X83" s="81" t="n"/>
      <x:c r="Y83" s="81" t="n"/>
      <x:c r="Z83" s="81" t="n"/>
      <x:c r="AA83" s="81" t="n"/>
      <x:c r="AB83" s="81" t="n"/>
      <x:c r="AC83" s="81" t="n"/>
      <x:c r="AD83" s="81" t="n"/>
      <x:c r="AE83" s="81" t="n"/>
      <x:c r="AF83" s="81" t="n"/>
      <x:c r="AG83" s="81" t="n"/>
      <x:c r="AH83" s="81" t="n"/>
      <x:c r="AI83" s="81" t="n"/>
    </x:row>
    <x:row r="84">
      <x:c r="A84" s="81" t="n"/>
      <x:c r="B84" s="81" t="n"/>
      <x:c r="C84" s="81" t="n"/>
      <x:c r="D84" s="81" t="n"/>
      <x:c r="E84" s="81" t="n"/>
      <x:c r="F84" s="81" t="n"/>
      <x:c r="G84" s="81" t="n"/>
      <x:c r="H84" s="81" t="n"/>
      <x:c r="I84" s="81" t="n"/>
      <x:c r="J84" s="81" t="n"/>
      <x:c r="K84" s="81" t="n"/>
      <x:c r="L84" s="81" t="n"/>
      <x:c r="M84" s="81" t="n"/>
      <x:c r="N84" s="81" t="n"/>
      <x:c r="O84" s="81" t="n"/>
      <x:c r="P84" s="81" t="n"/>
      <x:c r="Q84" s="81" t="n"/>
      <x:c r="R84" s="81" t="n"/>
      <x:c r="S84" s="81" t="n"/>
      <x:c r="T84" s="81" t="n"/>
      <x:c r="U84" s="81" t="n"/>
      <x:c r="V84" s="81" t="n"/>
      <x:c r="W84" s="81" t="n"/>
      <x:c r="X84" s="81" t="n"/>
      <x:c r="Y84" s="81" t="n"/>
      <x:c r="Z84" s="81" t="n"/>
      <x:c r="AA84" s="81" t="n"/>
      <x:c r="AB84" s="81" t="n"/>
      <x:c r="AC84" s="81" t="n"/>
      <x:c r="AD84" s="81" t="n"/>
      <x:c r="AE84" s="81" t="n"/>
      <x:c r="AF84" s="81" t="n"/>
      <x:c r="AG84" s="81" t="n"/>
      <x:c r="AH84" s="81" t="n"/>
      <x:c r="AI84" s="81" t="n"/>
    </x:row>
    <x:row r="85">
      <x:c r="A85" s="81" t="n"/>
      <x:c r="B85" s="81" t="n"/>
      <x:c r="C85" s="81" t="n"/>
      <x:c r="D85" s="81" t="n"/>
      <x:c r="E85" s="81" t="n"/>
      <x:c r="F85" s="81" t="n"/>
      <x:c r="G85" s="81" t="n"/>
      <x:c r="H85" s="81" t="n"/>
      <x:c r="I85" s="81" t="n"/>
      <x:c r="J85" s="81" t="n"/>
      <x:c r="K85" s="81" t="n"/>
      <x:c r="L85" s="81" t="n"/>
      <x:c r="M85" s="81" t="n"/>
      <x:c r="N85" s="81" t="n"/>
      <x:c r="O85" s="81" t="n"/>
      <x:c r="P85" s="81" t="n"/>
      <x:c r="Q85" s="81" t="n"/>
      <x:c r="R85" s="81" t="n"/>
      <x:c r="S85" s="81" t="n"/>
      <x:c r="T85" s="81" t="n"/>
      <x:c r="U85" s="81" t="n"/>
      <x:c r="V85" s="81" t="n"/>
      <x:c r="W85" s="81" t="n"/>
      <x:c r="X85" s="81" t="n"/>
      <x:c r="Y85" s="81" t="n"/>
      <x:c r="Z85" s="81" t="n"/>
      <x:c r="AA85" s="81" t="n"/>
      <x:c r="AB85" s="81" t="n"/>
      <x:c r="AC85" s="81" t="n"/>
      <x:c r="AD85" s="81" t="n"/>
      <x:c r="AE85" s="81" t="n"/>
      <x:c r="AF85" s="81" t="n"/>
      <x:c r="AG85" s="81" t="n"/>
      <x:c r="AH85" s="81" t="n"/>
      <x:c r="AI85" s="81" t="n"/>
    </x:row>
    <x:row r="86">
      <x:c r="A86" s="81" t="n"/>
      <x:c r="B86" s="81" t="n"/>
      <x:c r="C86" s="81" t="n"/>
      <x:c r="D86" s="81" t="n"/>
      <x:c r="E86" s="81" t="n"/>
      <x:c r="F86" s="81" t="n"/>
      <x:c r="G86" s="81" t="n"/>
      <x:c r="H86" s="81" t="n"/>
      <x:c r="I86" s="81" t="n"/>
      <x:c r="J86" s="81" t="n"/>
      <x:c r="K86" s="81" t="n"/>
      <x:c r="L86" s="81" t="n"/>
      <x:c r="M86" s="81" t="n"/>
      <x:c r="N86" s="81" t="n"/>
      <x:c r="O86" s="81" t="n"/>
      <x:c r="P86" s="81" t="n"/>
      <x:c r="Q86" s="81" t="n"/>
      <x:c r="R86" s="81" t="n"/>
      <x:c r="S86" s="81" t="n"/>
      <x:c r="T86" s="81" t="n"/>
      <x:c r="U86" s="81" t="n"/>
      <x:c r="V86" s="81" t="n"/>
      <x:c r="W86" s="81" t="n"/>
      <x:c r="X86" s="81" t="n"/>
      <x:c r="Y86" s="81" t="n"/>
      <x:c r="Z86" s="81" t="n"/>
      <x:c r="AA86" s="81" t="n"/>
      <x:c r="AB86" s="81" t="n"/>
      <x:c r="AC86" s="81" t="n"/>
      <x:c r="AD86" s="81" t="n"/>
      <x:c r="AE86" s="81" t="n"/>
      <x:c r="AF86" s="81" t="n"/>
      <x:c r="AG86" s="81" t="n"/>
      <x:c r="AH86" s="81" t="n"/>
      <x:c r="AI86" s="81" t="n"/>
    </x:row>
    <x:row r="87">
      <x:c r="A87" s="81" t="n"/>
      <x:c r="B87" s="81" t="n"/>
      <x:c r="C87" s="81" t="n"/>
      <x:c r="D87" s="81" t="n"/>
      <x:c r="E87" s="81" t="n"/>
      <x:c r="F87" s="81" t="n"/>
      <x:c r="G87" s="81" t="n"/>
      <x:c r="H87" s="81" t="n"/>
      <x:c r="I87" s="81" t="n"/>
      <x:c r="J87" s="81" t="n"/>
      <x:c r="K87" s="81" t="n"/>
      <x:c r="L87" s="81" t="n"/>
      <x:c r="M87" s="81" t="n"/>
      <x:c r="N87" s="81" t="n"/>
      <x:c r="O87" s="81" t="n"/>
      <x:c r="P87" s="81" t="n"/>
      <x:c r="Q87" s="81" t="n"/>
      <x:c r="R87" s="81" t="n"/>
      <x:c r="S87" s="81" t="n"/>
      <x:c r="T87" s="81" t="n"/>
      <x:c r="U87" s="81" t="n"/>
      <x:c r="V87" s="81" t="n"/>
      <x:c r="W87" s="81" t="n"/>
      <x:c r="X87" s="81" t="n"/>
      <x:c r="Y87" s="81" t="n"/>
      <x:c r="Z87" s="81" t="n"/>
      <x:c r="AA87" s="81" t="n"/>
      <x:c r="AB87" s="81" t="n"/>
      <x:c r="AC87" s="81" t="n"/>
      <x:c r="AD87" s="81" t="n"/>
      <x:c r="AE87" s="81" t="n"/>
      <x:c r="AF87" s="81" t="n"/>
      <x:c r="AG87" s="81" t="n"/>
      <x:c r="AH87" s="81" t="n"/>
      <x:c r="AI87" s="81" t="n"/>
    </x:row>
    <x:row r="88">
      <x:c r="A88" s="81" t="n"/>
      <x:c r="B88" s="81" t="n"/>
      <x:c r="C88" s="81" t="n"/>
      <x:c r="D88" s="81" t="n"/>
      <x:c r="E88" s="81" t="n"/>
      <x:c r="F88" s="81" t="n"/>
      <x:c r="G88" s="81" t="n"/>
      <x:c r="H88" s="81" t="n"/>
      <x:c r="I88" s="81" t="n"/>
      <x:c r="J88" s="81" t="n"/>
      <x:c r="K88" s="81" t="n"/>
      <x:c r="L88" s="81" t="n"/>
      <x:c r="M88" s="81" t="n"/>
      <x:c r="N88" s="81" t="n"/>
      <x:c r="O88" s="81" t="n"/>
      <x:c r="P88" s="81" t="n"/>
      <x:c r="Q88" s="81" t="n"/>
      <x:c r="R88" s="81" t="n"/>
      <x:c r="S88" s="81" t="n"/>
      <x:c r="T88" s="81" t="n"/>
      <x:c r="U88" s="81" t="n"/>
      <x:c r="V88" s="81" t="n"/>
      <x:c r="W88" s="81" t="n"/>
      <x:c r="X88" s="81" t="n"/>
      <x:c r="Y88" s="81" t="n"/>
      <x:c r="Z88" s="81" t="n"/>
      <x:c r="AA88" s="81" t="n"/>
      <x:c r="AB88" s="81" t="n"/>
      <x:c r="AC88" s="81" t="n"/>
      <x:c r="AD88" s="81" t="n"/>
      <x:c r="AE88" s="81" t="n"/>
      <x:c r="AF88" s="81" t="n"/>
      <x:c r="AG88" s="81" t="n"/>
      <x:c r="AH88" s="81" t="n"/>
      <x:c r="AI88" s="81" t="n"/>
    </x:row>
    <x:row r="89">
      <x:c r="A89" s="81" t="n"/>
      <x:c r="B89" s="81" t="n"/>
      <x:c r="C89" s="81" t="n"/>
      <x:c r="D89" s="81" t="n"/>
      <x:c r="E89" s="81" t="n"/>
      <x:c r="F89" s="81" t="n"/>
      <x:c r="G89" s="81" t="n"/>
      <x:c r="H89" s="81" t="n"/>
      <x:c r="I89" s="81" t="n"/>
      <x:c r="J89" s="81" t="n"/>
      <x:c r="K89" s="81" t="n"/>
      <x:c r="L89" s="81" t="n"/>
      <x:c r="M89" s="81" t="n"/>
      <x:c r="N89" s="81" t="n"/>
      <x:c r="O89" s="81" t="n"/>
      <x:c r="P89" s="81" t="n"/>
      <x:c r="Q89" s="81" t="n"/>
      <x:c r="R89" s="81" t="n"/>
      <x:c r="S89" s="81" t="n"/>
      <x:c r="T89" s="81" t="n"/>
      <x:c r="U89" s="81" t="n"/>
      <x:c r="V89" s="81" t="n"/>
      <x:c r="W89" s="81" t="n"/>
      <x:c r="X89" s="81" t="n"/>
      <x:c r="Y89" s="81" t="n"/>
      <x:c r="Z89" s="81" t="n"/>
      <x:c r="AA89" s="81" t="n"/>
      <x:c r="AB89" s="81" t="n"/>
      <x:c r="AC89" s="81" t="n"/>
      <x:c r="AD89" s="81" t="n"/>
      <x:c r="AE89" s="81" t="n"/>
      <x:c r="AF89" s="81" t="n"/>
      <x:c r="AG89" s="81" t="n"/>
      <x:c r="AH89" s="81" t="n"/>
      <x:c r="AI89" s="81" t="n"/>
    </x:row>
    <x:row r="90">
      <x:c r="A90" s="81" t="n"/>
      <x:c r="B90" s="81" t="n"/>
      <x:c r="C90" s="81" t="n"/>
      <x:c r="D90" s="81" t="n"/>
      <x:c r="E90" s="81" t="n"/>
      <x:c r="F90" s="81" t="n"/>
      <x:c r="G90" s="81" t="n"/>
      <x:c r="H90" s="81" t="n"/>
      <x:c r="I90" s="81" t="n"/>
      <x:c r="J90" s="81" t="n"/>
      <x:c r="K90" s="81" t="n"/>
      <x:c r="L90" s="81" t="n"/>
      <x:c r="M90" s="81" t="n"/>
      <x:c r="N90" s="81" t="n"/>
      <x:c r="O90" s="81" t="n"/>
      <x:c r="P90" s="81" t="n"/>
      <x:c r="Q90" s="81" t="n"/>
      <x:c r="R90" s="81" t="n"/>
      <x:c r="S90" s="81" t="n"/>
      <x:c r="T90" s="81" t="n"/>
      <x:c r="U90" s="81" t="n"/>
      <x:c r="V90" s="81" t="n"/>
      <x:c r="W90" s="81" t="n"/>
      <x:c r="X90" s="81" t="n"/>
      <x:c r="Y90" s="81" t="n"/>
      <x:c r="Z90" s="81" t="n"/>
      <x:c r="AA90" s="81" t="n"/>
      <x:c r="AB90" s="81" t="n"/>
      <x:c r="AC90" s="81" t="n"/>
      <x:c r="AD90" s="81" t="n"/>
      <x:c r="AE90" s="81" t="n"/>
      <x:c r="AF90" s="81" t="n"/>
      <x:c r="AG90" s="81" t="n"/>
      <x:c r="AH90" s="81" t="n"/>
      <x:c r="AI90" s="81" t="n"/>
    </x:row>
    <x:row r="91">
      <x:c r="A91" s="81" t="n"/>
      <x:c r="B91" s="81" t="n"/>
      <x:c r="C91" s="81" t="n"/>
      <x:c r="D91" s="81" t="n"/>
      <x:c r="E91" s="81" t="n"/>
      <x:c r="F91" s="81" t="n"/>
      <x:c r="G91" s="81" t="n"/>
      <x:c r="H91" s="81" t="n"/>
      <x:c r="I91" s="81" t="n"/>
      <x:c r="J91" s="81" t="n"/>
      <x:c r="K91" s="81" t="n"/>
      <x:c r="L91" s="81" t="n"/>
      <x:c r="M91" s="81" t="n"/>
      <x:c r="N91" s="81" t="n"/>
      <x:c r="O91" s="81" t="n"/>
      <x:c r="P91" s="81" t="n"/>
      <x:c r="Q91" s="81" t="n"/>
      <x:c r="R91" s="81" t="n"/>
      <x:c r="S91" s="81" t="n"/>
      <x:c r="T91" s="81" t="n"/>
      <x:c r="U91" s="81" t="n"/>
      <x:c r="V91" s="81" t="n"/>
      <x:c r="W91" s="81" t="n"/>
      <x:c r="X91" s="81" t="n"/>
      <x:c r="Y91" s="81" t="n"/>
      <x:c r="Z91" s="81" t="n"/>
      <x:c r="AA91" s="81" t="n"/>
      <x:c r="AB91" s="81" t="n"/>
      <x:c r="AC91" s="81" t="n"/>
      <x:c r="AD91" s="81" t="n"/>
      <x:c r="AE91" s="81" t="n"/>
      <x:c r="AF91" s="81" t="n"/>
      <x:c r="AG91" s="81" t="n"/>
      <x:c r="AH91" s="81" t="n"/>
      <x:c r="AI91" s="81" t="n"/>
    </x:row>
    <x:row r="92">
      <x:c r="A92" s="81" t="n"/>
      <x:c r="B92" s="81" t="n"/>
      <x:c r="C92" s="81" t="n"/>
      <x:c r="D92" s="81" t="n"/>
      <x:c r="E92" s="81" t="n"/>
      <x:c r="F92" s="81" t="n"/>
      <x:c r="G92" s="81" t="n"/>
      <x:c r="H92" s="81" t="n"/>
      <x:c r="I92" s="81" t="n"/>
      <x:c r="J92" s="81" t="n"/>
      <x:c r="K92" s="81" t="n"/>
      <x:c r="L92" s="81" t="n"/>
      <x:c r="M92" s="81" t="n"/>
      <x:c r="N92" s="81" t="n"/>
      <x:c r="O92" s="81" t="n"/>
      <x:c r="P92" s="81" t="n"/>
      <x:c r="Q92" s="81" t="n"/>
      <x:c r="R92" s="81" t="n"/>
      <x:c r="S92" s="81" t="n"/>
      <x:c r="T92" s="81" t="n"/>
      <x:c r="U92" s="81" t="n"/>
      <x:c r="V92" s="81" t="n"/>
      <x:c r="W92" s="81" t="n"/>
      <x:c r="X92" s="81" t="n"/>
      <x:c r="Y92" s="81" t="n"/>
      <x:c r="Z92" s="81" t="n"/>
      <x:c r="AA92" s="81" t="n"/>
      <x:c r="AB92" s="81" t="n"/>
      <x:c r="AC92" s="81" t="n"/>
      <x:c r="AD92" s="81" t="n"/>
      <x:c r="AE92" s="81" t="n"/>
      <x:c r="AF92" s="81" t="n"/>
      <x:c r="AG92" s="81" t="n"/>
      <x:c r="AH92" s="81" t="n"/>
      <x:c r="AI92" s="81" t="n"/>
    </x:row>
    <x:row r="93">
      <x:c r="A93" s="81" t="n"/>
      <x:c r="B93" s="81" t="n"/>
      <x:c r="C93" s="81" t="n"/>
      <x:c r="D93" s="81" t="n"/>
      <x:c r="E93" s="81" t="n"/>
      <x:c r="F93" s="81" t="n"/>
      <x:c r="G93" s="81" t="n"/>
      <x:c r="H93" s="81" t="n"/>
      <x:c r="I93" s="81" t="n"/>
      <x:c r="J93" s="81" t="n"/>
      <x:c r="K93" s="81" t="n"/>
      <x:c r="L93" s="81" t="n"/>
      <x:c r="M93" s="81" t="n"/>
      <x:c r="N93" s="81" t="n"/>
      <x:c r="O93" s="81" t="n"/>
      <x:c r="P93" s="81" t="n"/>
      <x:c r="Q93" s="81" t="n"/>
      <x:c r="R93" s="81" t="n"/>
      <x:c r="S93" s="81" t="n"/>
      <x:c r="T93" s="81" t="n"/>
      <x:c r="U93" s="81" t="n"/>
      <x:c r="V93" s="81" t="n"/>
      <x:c r="W93" s="81" t="n"/>
      <x:c r="X93" s="81" t="n"/>
      <x:c r="Y93" s="81" t="n"/>
      <x:c r="Z93" s="81" t="n"/>
      <x:c r="AA93" s="81" t="n"/>
      <x:c r="AB93" s="81" t="n"/>
      <x:c r="AC93" s="81" t="n"/>
      <x:c r="AD93" s="81" t="n"/>
      <x:c r="AE93" s="81" t="n"/>
      <x:c r="AF93" s="81" t="n"/>
      <x:c r="AG93" s="81" t="n"/>
      <x:c r="AH93" s="81" t="n"/>
      <x:c r="AI93" s="81" t="n"/>
    </x:row>
    <x:row r="94">
      <x:c r="A94" s="81" t="n"/>
      <x:c r="B94" s="81" t="n"/>
      <x:c r="C94" s="81" t="n"/>
      <x:c r="D94" s="81" t="n"/>
      <x:c r="E94" s="81" t="n"/>
      <x:c r="F94" s="81" t="n"/>
      <x:c r="G94" s="81" t="n"/>
      <x:c r="H94" s="81" t="n"/>
      <x:c r="I94" s="81" t="n"/>
      <x:c r="J94" s="81" t="n"/>
      <x:c r="K94" s="81" t="n"/>
      <x:c r="L94" s="81" t="n"/>
      <x:c r="M94" s="81" t="n"/>
      <x:c r="N94" s="81" t="n"/>
      <x:c r="O94" s="81" t="n"/>
      <x:c r="P94" s="81" t="n"/>
      <x:c r="Q94" s="81" t="n"/>
      <x:c r="R94" s="81" t="n"/>
      <x:c r="S94" s="81" t="n"/>
      <x:c r="T94" s="81" t="n"/>
      <x:c r="U94" s="81" t="n"/>
      <x:c r="V94" s="81" t="n"/>
      <x:c r="W94" s="81" t="n"/>
      <x:c r="X94" s="81" t="n"/>
      <x:c r="Y94" s="81" t="n"/>
      <x:c r="Z94" s="81" t="n"/>
      <x:c r="AA94" s="81" t="n"/>
      <x:c r="AB94" s="81" t="n"/>
      <x:c r="AC94" s="81" t="n"/>
      <x:c r="AD94" s="81" t="n"/>
      <x:c r="AE94" s="81" t="n"/>
      <x:c r="AF94" s="81" t="n"/>
      <x:c r="AG94" s="81" t="n"/>
      <x:c r="AH94" s="81" t="n"/>
      <x:c r="AI94" s="81" t="n"/>
    </x:row>
    <x:row r="95">
      <x:c r="A95" s="81" t="n"/>
      <x:c r="B95" s="81" t="n"/>
      <x:c r="C95" s="81" t="n"/>
      <x:c r="D95" s="81" t="n"/>
      <x:c r="E95" s="81" t="n"/>
      <x:c r="F95" s="81" t="n"/>
      <x:c r="G95" s="81" t="n"/>
      <x:c r="H95" s="81" t="n"/>
      <x:c r="I95" s="81" t="n"/>
      <x:c r="J95" s="81" t="n"/>
      <x:c r="K95" s="81" t="n"/>
      <x:c r="L95" s="81" t="n"/>
      <x:c r="M95" s="81" t="n"/>
      <x:c r="N95" s="81" t="n"/>
      <x:c r="O95" s="81" t="n"/>
      <x:c r="P95" s="81" t="n"/>
      <x:c r="Q95" s="81" t="n"/>
      <x:c r="R95" s="81" t="n"/>
      <x:c r="S95" s="81" t="n"/>
      <x:c r="T95" s="81" t="n"/>
      <x:c r="U95" s="81" t="n"/>
      <x:c r="V95" s="81" t="n"/>
      <x:c r="W95" s="81" t="n"/>
      <x:c r="X95" s="81" t="n"/>
      <x:c r="Y95" s="81" t="n"/>
      <x:c r="Z95" s="81" t="n"/>
      <x:c r="AA95" s="81" t="n"/>
      <x:c r="AB95" s="81" t="n"/>
      <x:c r="AC95" s="81" t="n"/>
      <x:c r="AD95" s="81" t="n"/>
      <x:c r="AE95" s="81" t="n"/>
      <x:c r="AF95" s="81" t="n"/>
      <x:c r="AG95" s="81" t="n"/>
      <x:c r="AH95" s="81" t="n"/>
      <x:c r="AI95" s="81" t="n"/>
    </x:row>
    <x:row r="96">
      <x:c r="A96" s="81" t="n"/>
      <x:c r="B96" s="81" t="n"/>
      <x:c r="C96" s="81" t="n"/>
      <x:c r="D96" s="81" t="n"/>
      <x:c r="E96" s="81" t="n"/>
      <x:c r="F96" s="81" t="n"/>
      <x:c r="G96" s="81" t="n"/>
      <x:c r="H96" s="81" t="n"/>
      <x:c r="I96" s="81" t="n"/>
      <x:c r="J96" s="81" t="n"/>
      <x:c r="K96" s="81" t="n"/>
      <x:c r="L96" s="81" t="n"/>
      <x:c r="M96" s="81" t="n"/>
      <x:c r="N96" s="81" t="n"/>
      <x:c r="O96" s="81" t="n"/>
      <x:c r="P96" s="81" t="n"/>
      <x:c r="Q96" s="81" t="n"/>
      <x:c r="R96" s="81" t="n"/>
      <x:c r="S96" s="81" t="n"/>
      <x:c r="T96" s="81" t="n"/>
      <x:c r="U96" s="81" t="n"/>
      <x:c r="V96" s="81" t="n"/>
      <x:c r="W96" s="81" t="n"/>
      <x:c r="X96" s="81" t="n"/>
      <x:c r="Y96" s="81" t="n"/>
      <x:c r="Z96" s="81" t="n"/>
      <x:c r="AA96" s="81" t="n"/>
      <x:c r="AB96" s="81" t="n"/>
      <x:c r="AC96" s="81" t="n"/>
      <x:c r="AD96" s="81" t="n"/>
      <x:c r="AE96" s="81" t="n"/>
      <x:c r="AF96" s="81" t="n"/>
      <x:c r="AG96" s="81" t="n"/>
      <x:c r="AH96" s="81" t="n"/>
      <x:c r="AI96" s="81" t="n"/>
    </x:row>
    <x:row r="97">
      <x:c r="A97" s="81" t="n"/>
      <x:c r="B97" s="81" t="n"/>
      <x:c r="C97" s="81" t="n"/>
      <x:c r="D97" s="81" t="n"/>
      <x:c r="E97" s="81" t="n"/>
      <x:c r="F97" s="81" t="n"/>
      <x:c r="G97" s="81" t="n"/>
      <x:c r="H97" s="81" t="n"/>
      <x:c r="I97" s="81" t="n"/>
      <x:c r="J97" s="81" t="n"/>
      <x:c r="K97" s="81" t="n"/>
      <x:c r="L97" s="81" t="n"/>
      <x:c r="M97" s="81" t="n"/>
      <x:c r="N97" s="81" t="n"/>
      <x:c r="O97" s="81" t="n"/>
      <x:c r="P97" s="81" t="n"/>
      <x:c r="Q97" s="81" t="n"/>
      <x:c r="R97" s="81" t="n"/>
      <x:c r="S97" s="81" t="n"/>
      <x:c r="T97" s="81" t="n"/>
      <x:c r="U97" s="81" t="n"/>
      <x:c r="V97" s="81" t="n"/>
      <x:c r="W97" s="81" t="n"/>
      <x:c r="X97" s="81" t="n"/>
      <x:c r="Y97" s="81" t="n"/>
      <x:c r="Z97" s="81" t="n"/>
      <x:c r="AA97" s="81" t="n"/>
      <x:c r="AB97" s="81" t="n"/>
      <x:c r="AC97" s="81" t="n"/>
      <x:c r="AD97" s="81" t="n"/>
      <x:c r="AE97" s="81" t="n"/>
      <x:c r="AF97" s="81" t="n"/>
      <x:c r="AG97" s="81" t="n"/>
      <x:c r="AH97" s="81" t="n"/>
      <x:c r="AI97" s="81" t="n"/>
    </x:row>
    <x:row r="98">
      <x:c r="A98" s="81" t="n"/>
      <x:c r="B98" s="81" t="n"/>
      <x:c r="C98" s="81" t="n"/>
      <x:c r="D98" s="81" t="n"/>
      <x:c r="E98" s="81" t="n"/>
      <x:c r="F98" s="81" t="n"/>
      <x:c r="G98" s="81" t="n"/>
      <x:c r="H98" s="81" t="n"/>
      <x:c r="I98" s="81" t="n"/>
      <x:c r="J98" s="81" t="n"/>
      <x:c r="K98" s="81" t="n"/>
      <x:c r="L98" s="81" t="n"/>
      <x:c r="M98" s="81" t="n"/>
      <x:c r="N98" s="81" t="n"/>
      <x:c r="O98" s="81" t="n"/>
      <x:c r="P98" s="81" t="n"/>
      <x:c r="Q98" s="81" t="n"/>
      <x:c r="R98" s="81" t="n"/>
      <x:c r="S98" s="81" t="n"/>
      <x:c r="T98" s="81" t="n"/>
      <x:c r="U98" s="81" t="n"/>
      <x:c r="V98" s="81" t="n"/>
      <x:c r="W98" s="81" t="n"/>
      <x:c r="X98" s="81" t="n"/>
      <x:c r="Y98" s="81" t="n"/>
      <x:c r="Z98" s="81" t="n"/>
      <x:c r="AA98" s="81" t="n"/>
      <x:c r="AB98" s="81" t="n"/>
      <x:c r="AC98" s="81" t="n"/>
      <x:c r="AD98" s="81" t="n"/>
      <x:c r="AE98" s="81" t="n"/>
      <x:c r="AF98" s="81" t="n"/>
      <x:c r="AG98" s="81" t="n"/>
      <x:c r="AH98" s="81" t="n"/>
      <x:c r="AI98" s="81" t="n"/>
    </x:row>
    <x:row r="99">
      <x:c r="A99" s="81" t="n"/>
      <x:c r="B99" s="81" t="n"/>
      <x:c r="C99" s="81" t="n"/>
      <x:c r="D99" s="81" t="n"/>
      <x:c r="E99" s="81" t="n"/>
      <x:c r="F99" s="81" t="n"/>
      <x:c r="G99" s="81" t="n"/>
      <x:c r="H99" s="81" t="n"/>
      <x:c r="I99" s="81" t="n"/>
      <x:c r="J99" s="81" t="n"/>
      <x:c r="K99" s="81" t="n"/>
      <x:c r="L99" s="81" t="n"/>
      <x:c r="M99" s="81" t="n"/>
      <x:c r="N99" s="81" t="n"/>
      <x:c r="O99" s="81" t="n"/>
      <x:c r="P99" s="81" t="n"/>
      <x:c r="Q99" s="81" t="n"/>
      <x:c r="R99" s="81" t="n"/>
      <x:c r="S99" s="81" t="n"/>
      <x:c r="T99" s="81" t="n"/>
      <x:c r="U99" s="81" t="n"/>
      <x:c r="V99" s="81" t="n"/>
      <x:c r="W99" s="81" t="n"/>
      <x:c r="X99" s="81" t="n"/>
      <x:c r="Y99" s="81" t="n"/>
      <x:c r="Z99" s="81" t="n"/>
      <x:c r="AA99" s="81" t="n"/>
      <x:c r="AB99" s="81" t="n"/>
      <x:c r="AC99" s="81" t="n"/>
      <x:c r="AD99" s="81" t="n"/>
      <x:c r="AE99" s="81" t="n"/>
      <x:c r="AF99" s="81" t="n"/>
      <x:c r="AG99" s="81" t="n"/>
      <x:c r="AH99" s="81" t="n"/>
      <x:c r="AI99" s="81" t="n"/>
    </x:row>
    <x:row r="100">
      <x:c r="A100" s="81" t="n"/>
      <x:c r="B100" s="81" t="n"/>
      <x:c r="C100" s="81" t="n"/>
      <x:c r="D100" s="81" t="n"/>
      <x:c r="E100" s="81" t="n"/>
      <x:c r="F100" s="81" t="n"/>
      <x:c r="G100" s="81" t="n"/>
      <x:c r="H100" s="81" t="n"/>
      <x:c r="I100" s="81" t="n"/>
      <x:c r="J100" s="81" t="n"/>
      <x:c r="K100" s="81" t="n"/>
      <x:c r="L100" s="81" t="n"/>
      <x:c r="M100" s="81" t="n"/>
      <x:c r="N100" s="81" t="n"/>
      <x:c r="O100" s="81" t="n"/>
      <x:c r="P100" s="81" t="n"/>
      <x:c r="Q100" s="81" t="n"/>
      <x:c r="R100" s="81" t="n"/>
      <x:c r="S100" s="81" t="n"/>
      <x:c r="T100" s="81" t="n"/>
      <x:c r="U100" s="81" t="n"/>
      <x:c r="V100" s="81" t="n"/>
      <x:c r="W100" s="81" t="n"/>
      <x:c r="X100" s="81" t="n"/>
      <x:c r="Y100" s="81" t="n"/>
      <x:c r="Z100" s="81" t="n"/>
      <x:c r="AA100" s="81" t="n"/>
      <x:c r="AB100" s="81" t="n"/>
      <x:c r="AC100" s="81" t="n"/>
      <x:c r="AD100" s="81" t="n"/>
      <x:c r="AE100" s="81" t="n"/>
      <x:c r="AF100" s="81" t="n"/>
      <x:c r="AG100" s="81" t="n"/>
      <x:c r="AH100" s="81" t="n"/>
      <x:c r="AI100" s="81" t="n"/>
    </x:row>
    <x:row r="101">
      <x:c r="A101" s="81" t="n"/>
      <x:c r="B101" s="81" t="n"/>
      <x:c r="C101" s="81" t="n"/>
      <x:c r="D101" s="81" t="n"/>
      <x:c r="E101" s="81" t="n"/>
      <x:c r="F101" s="81" t="n"/>
      <x:c r="G101" s="81" t="n"/>
      <x:c r="H101" s="81" t="n"/>
      <x:c r="I101" s="81" t="n"/>
      <x:c r="J101" s="81" t="n"/>
      <x:c r="K101" s="81" t="n"/>
      <x:c r="L101" s="81" t="n"/>
      <x:c r="M101" s="81" t="n"/>
      <x:c r="N101" s="81" t="n"/>
      <x:c r="O101" s="81" t="n"/>
      <x:c r="P101" s="81" t="n"/>
      <x:c r="Q101" s="81" t="n"/>
      <x:c r="R101" s="81" t="n"/>
      <x:c r="S101" s="81" t="n"/>
      <x:c r="T101" s="81" t="n"/>
      <x:c r="U101" s="81" t="n"/>
      <x:c r="V101" s="81" t="n"/>
      <x:c r="W101" s="81" t="n"/>
      <x:c r="X101" s="81" t="n"/>
      <x:c r="Y101" s="81" t="n"/>
      <x:c r="Z101" s="81" t="n"/>
      <x:c r="AA101" s="81" t="n"/>
      <x:c r="AB101" s="81" t="n"/>
      <x:c r="AC101" s="81" t="n"/>
      <x:c r="AD101" s="81" t="n"/>
      <x:c r="AE101" s="81" t="n"/>
      <x:c r="AF101" s="81" t="n"/>
      <x:c r="AG101" s="81" t="n"/>
      <x:c r="AH101" s="81" t="n"/>
      <x:c r="AI101" s="81" t="n"/>
    </x:row>
    <x:row r="102">
      <x:c r="A102" s="81" t="n"/>
      <x:c r="B102" s="81" t="n"/>
      <x:c r="C102" s="81" t="n"/>
      <x:c r="D102" s="81" t="n"/>
      <x:c r="E102" s="81" t="n"/>
      <x:c r="F102" s="81" t="n"/>
      <x:c r="G102" s="81" t="n"/>
      <x:c r="H102" s="81" t="n"/>
      <x:c r="I102" s="81" t="n"/>
      <x:c r="J102" s="81" t="n"/>
      <x:c r="K102" s="81" t="n"/>
      <x:c r="L102" s="81" t="n"/>
      <x:c r="M102" s="81" t="n"/>
      <x:c r="N102" s="81" t="n"/>
      <x:c r="O102" s="81" t="n"/>
      <x:c r="P102" s="81" t="n"/>
      <x:c r="Q102" s="81" t="n"/>
      <x:c r="R102" s="81" t="n"/>
      <x:c r="S102" s="81" t="n"/>
      <x:c r="T102" s="81" t="n"/>
      <x:c r="U102" s="81" t="n"/>
      <x:c r="V102" s="81" t="n"/>
      <x:c r="W102" s="81" t="n"/>
      <x:c r="X102" s="81" t="n"/>
      <x:c r="Y102" s="81" t="n"/>
      <x:c r="Z102" s="81" t="n"/>
      <x:c r="AA102" s="81" t="n"/>
      <x:c r="AB102" s="81" t="n"/>
      <x:c r="AC102" s="81" t="n"/>
      <x:c r="AD102" s="81" t="n"/>
      <x:c r="AE102" s="81" t="n"/>
      <x:c r="AF102" s="81" t="n"/>
      <x:c r="AG102" s="81" t="n"/>
      <x:c r="AH102" s="81" t="n"/>
      <x:c r="AI102" s="81" t="n"/>
    </x:row>
    <x:row r="103">
      <x:c r="A103" s="81" t="n"/>
      <x:c r="B103" s="81" t="n"/>
      <x:c r="C103" s="81" t="n"/>
      <x:c r="D103" s="81" t="n"/>
      <x:c r="E103" s="81" t="n"/>
      <x:c r="F103" s="81" t="n"/>
      <x:c r="G103" s="81" t="n"/>
      <x:c r="H103" s="81" t="n"/>
      <x:c r="I103" s="81" t="n"/>
      <x:c r="J103" s="81" t="n"/>
      <x:c r="K103" s="81" t="n"/>
      <x:c r="L103" s="81" t="n"/>
      <x:c r="M103" s="81" t="n"/>
      <x:c r="N103" s="81" t="n"/>
      <x:c r="O103" s="81" t="n"/>
      <x:c r="P103" s="81" t="n"/>
      <x:c r="Q103" s="81" t="n"/>
      <x:c r="R103" s="81" t="n"/>
      <x:c r="S103" s="81" t="n"/>
      <x:c r="T103" s="81" t="n"/>
      <x:c r="U103" s="81" t="n"/>
      <x:c r="V103" s="81" t="n"/>
      <x:c r="W103" s="81" t="n"/>
      <x:c r="X103" s="81" t="n"/>
      <x:c r="Y103" s="81" t="n"/>
      <x:c r="Z103" s="81" t="n"/>
      <x:c r="AA103" s="81" t="n"/>
      <x:c r="AB103" s="81" t="n"/>
      <x:c r="AC103" s="81" t="n"/>
      <x:c r="AD103" s="81" t="n"/>
      <x:c r="AE103" s="81" t="n"/>
      <x:c r="AF103" s="81" t="n"/>
      <x:c r="AG103" s="81" t="n"/>
      <x:c r="AH103" s="81" t="n"/>
      <x:c r="AI103" s="81" t="n"/>
    </x:row>
    <x:row r="104">
      <x:c r="A104" s="81" t="n"/>
      <x:c r="B104" s="81" t="n"/>
      <x:c r="C104" s="81" t="n"/>
      <x:c r="D104" s="81" t="n"/>
      <x:c r="E104" s="81" t="n"/>
      <x:c r="F104" s="81" t="n"/>
      <x:c r="G104" s="81" t="n"/>
      <x:c r="H104" s="81" t="n"/>
      <x:c r="I104" s="81" t="n"/>
      <x:c r="J104" s="81" t="n"/>
      <x:c r="K104" s="81" t="n"/>
      <x:c r="L104" s="81" t="n"/>
      <x:c r="M104" s="81" t="n"/>
      <x:c r="N104" s="81" t="n"/>
      <x:c r="O104" s="81" t="n"/>
      <x:c r="P104" s="81" t="n"/>
      <x:c r="Q104" s="81" t="n"/>
      <x:c r="R104" s="81" t="n"/>
      <x:c r="S104" s="81" t="n"/>
      <x:c r="T104" s="81" t="n"/>
      <x:c r="U104" s="81" t="n"/>
      <x:c r="V104" s="81" t="n"/>
      <x:c r="W104" s="81" t="n"/>
      <x:c r="X104" s="81" t="n"/>
      <x:c r="Y104" s="81" t="n"/>
      <x:c r="Z104" s="81" t="n"/>
      <x:c r="AA104" s="81" t="n"/>
      <x:c r="AB104" s="81" t="n"/>
      <x:c r="AC104" s="81" t="n"/>
      <x:c r="AD104" s="81" t="n"/>
      <x:c r="AE104" s="81" t="n"/>
      <x:c r="AF104" s="81" t="n"/>
      <x:c r="AG104" s="81" t="n"/>
      <x:c r="AH104" s="81" t="n"/>
      <x:c r="AI104" s="81" t="n"/>
    </x:row>
    <x:row r="105">
      <x:c r="A105" s="81" t="n"/>
      <x:c r="B105" s="81" t="n"/>
      <x:c r="C105" s="81" t="n"/>
      <x:c r="D105" s="81" t="n"/>
      <x:c r="E105" s="81" t="n"/>
      <x:c r="F105" s="81" t="n"/>
      <x:c r="G105" s="81" t="n"/>
      <x:c r="H105" s="81" t="n"/>
      <x:c r="I105" s="81" t="n"/>
      <x:c r="J105" s="81" t="n"/>
      <x:c r="K105" s="81" t="n"/>
      <x:c r="L105" s="81" t="n"/>
      <x:c r="M105" s="81" t="n"/>
      <x:c r="N105" s="81" t="n"/>
      <x:c r="O105" s="81" t="n"/>
      <x:c r="P105" s="81" t="n"/>
      <x:c r="Q105" s="81" t="n"/>
      <x:c r="R105" s="81" t="n"/>
      <x:c r="S105" s="81" t="n"/>
      <x:c r="T105" s="81" t="n"/>
      <x:c r="U105" s="81" t="n"/>
      <x:c r="V105" s="81" t="n"/>
      <x:c r="W105" s="81" t="n"/>
      <x:c r="X105" s="81" t="n"/>
      <x:c r="Y105" s="81" t="n"/>
      <x:c r="Z105" s="81" t="n"/>
      <x:c r="AA105" s="81" t="n"/>
      <x:c r="AB105" s="81" t="n"/>
      <x:c r="AC105" s="81" t="n"/>
      <x:c r="AD105" s="81" t="n"/>
      <x:c r="AE105" s="81" t="n"/>
      <x:c r="AF105" s="81" t="n"/>
      <x:c r="AG105" s="81" t="n"/>
      <x:c r="AH105" s="81" t="n"/>
      <x:c r="AI105" s="81" t="n"/>
    </x:row>
    <x:row r="106">
      <x:c r="A106" s="81" t="n"/>
      <x:c r="B106" s="81" t="n"/>
      <x:c r="C106" s="81" t="n"/>
      <x:c r="D106" s="81" t="n"/>
      <x:c r="E106" s="81" t="n"/>
      <x:c r="F106" s="81" t="n"/>
      <x:c r="G106" s="81" t="n"/>
      <x:c r="H106" s="81" t="n"/>
      <x:c r="I106" s="81" t="n"/>
      <x:c r="J106" s="81" t="n"/>
      <x:c r="K106" s="81" t="n"/>
      <x:c r="L106" s="81" t="n"/>
      <x:c r="M106" s="81" t="n"/>
      <x:c r="N106" s="81" t="n"/>
      <x:c r="O106" s="81" t="n"/>
      <x:c r="P106" s="81" t="n"/>
      <x:c r="Q106" s="81" t="n"/>
      <x:c r="R106" s="81" t="n"/>
      <x:c r="S106" s="81" t="n"/>
      <x:c r="T106" s="81" t="n"/>
      <x:c r="U106" s="81" t="n"/>
      <x:c r="V106" s="81" t="n"/>
      <x:c r="W106" s="81" t="n"/>
      <x:c r="X106" s="81" t="n"/>
      <x:c r="Y106" s="81" t="n"/>
      <x:c r="Z106" s="81" t="n"/>
      <x:c r="AA106" s="81" t="n"/>
      <x:c r="AB106" s="81" t="n"/>
      <x:c r="AC106" s="81" t="n"/>
      <x:c r="AD106" s="81" t="n"/>
      <x:c r="AE106" s="81" t="n"/>
      <x:c r="AF106" s="81" t="n"/>
      <x:c r="AG106" s="81" t="n"/>
      <x:c r="AH106" s="81" t="n"/>
      <x:c r="AI106" s="81" t="n"/>
    </x:row>
    <x:row r="107">
      <x:c r="A107" s="81" t="n"/>
      <x:c r="B107" s="81" t="n"/>
      <x:c r="C107" s="81" t="n"/>
      <x:c r="D107" s="81" t="n"/>
      <x:c r="E107" s="81" t="n"/>
      <x:c r="F107" s="81" t="n"/>
      <x:c r="G107" s="81" t="n"/>
      <x:c r="H107" s="81" t="n"/>
      <x:c r="I107" s="81" t="n"/>
      <x:c r="J107" s="81" t="n"/>
      <x:c r="K107" s="81" t="n"/>
      <x:c r="L107" s="81" t="n"/>
      <x:c r="M107" s="81" t="n"/>
      <x:c r="N107" s="81" t="n"/>
      <x:c r="O107" s="81" t="n"/>
      <x:c r="P107" s="81" t="n"/>
      <x:c r="Q107" s="81" t="n"/>
      <x:c r="R107" s="81" t="n"/>
      <x:c r="S107" s="81" t="n"/>
      <x:c r="T107" s="81" t="n"/>
      <x:c r="U107" s="81" t="n"/>
      <x:c r="V107" s="81" t="n"/>
      <x:c r="W107" s="81" t="n"/>
      <x:c r="X107" s="81" t="n"/>
      <x:c r="Y107" s="81" t="n"/>
      <x:c r="Z107" s="81" t="n"/>
      <x:c r="AA107" s="81" t="n"/>
      <x:c r="AB107" s="81" t="n"/>
      <x:c r="AC107" s="81" t="n"/>
      <x:c r="AD107" s="81" t="n"/>
      <x:c r="AE107" s="81" t="n"/>
      <x:c r="AF107" s="81" t="n"/>
      <x:c r="AG107" s="81" t="n"/>
      <x:c r="AH107" s="81" t="n"/>
      <x:c r="AI107" s="81" t="n"/>
    </x:row>
    <x:row r="108">
      <x:c r="A108" s="81" t="n"/>
      <x:c r="B108" s="81" t="n"/>
      <x:c r="C108" s="81" t="n"/>
      <x:c r="D108" s="81" t="n"/>
      <x:c r="E108" s="81" t="n"/>
      <x:c r="F108" s="81" t="n"/>
      <x:c r="G108" s="81" t="n"/>
      <x:c r="H108" s="81" t="n"/>
      <x:c r="I108" s="81" t="n"/>
      <x:c r="J108" s="81" t="n"/>
      <x:c r="K108" s="81" t="n"/>
      <x:c r="L108" s="81" t="n"/>
      <x:c r="M108" s="81" t="n"/>
      <x:c r="N108" s="81" t="n"/>
      <x:c r="O108" s="81" t="n"/>
      <x:c r="P108" s="81" t="n"/>
      <x:c r="Q108" s="81" t="n"/>
      <x:c r="R108" s="81" t="n"/>
      <x:c r="S108" s="81" t="n"/>
      <x:c r="T108" s="81" t="n"/>
      <x:c r="U108" s="81" t="n"/>
      <x:c r="V108" s="81" t="n"/>
      <x:c r="W108" s="81" t="n"/>
      <x:c r="X108" s="81" t="n"/>
      <x:c r="Y108" s="81" t="n"/>
      <x:c r="Z108" s="81" t="n"/>
      <x:c r="AA108" s="81" t="n"/>
      <x:c r="AB108" s="81" t="n"/>
      <x:c r="AC108" s="81" t="n"/>
      <x:c r="AD108" s="81" t="n"/>
      <x:c r="AE108" s="81" t="n"/>
      <x:c r="AF108" s="81" t="n"/>
      <x:c r="AG108" s="81" t="n"/>
      <x:c r="AH108" s="81" t="n"/>
      <x:c r="AI108" s="81" t="n"/>
    </x:row>
    <x:row r="109">
      <x:c r="A109" s="81" t="n"/>
      <x:c r="B109" s="81" t="n"/>
      <x:c r="C109" s="81" t="n"/>
      <x:c r="D109" s="81" t="n"/>
      <x:c r="E109" s="81" t="n"/>
      <x:c r="F109" s="81" t="n"/>
      <x:c r="G109" s="81" t="n"/>
      <x:c r="H109" s="81" t="n"/>
      <x:c r="I109" s="81" t="n"/>
      <x:c r="J109" s="81" t="n"/>
      <x:c r="K109" s="81" t="n"/>
      <x:c r="L109" s="81" t="n"/>
      <x:c r="M109" s="81" t="n"/>
      <x:c r="N109" s="81" t="n"/>
      <x:c r="O109" s="81" t="n"/>
      <x:c r="P109" s="81" t="n"/>
      <x:c r="Q109" s="81" t="n"/>
      <x:c r="R109" s="81" t="n"/>
      <x:c r="S109" s="81" t="n"/>
      <x:c r="T109" s="81" t="n"/>
      <x:c r="U109" s="81" t="n"/>
      <x:c r="V109" s="81" t="n"/>
      <x:c r="W109" s="81" t="n"/>
      <x:c r="X109" s="81" t="n"/>
      <x:c r="Y109" s="81" t="n"/>
      <x:c r="Z109" s="81" t="n"/>
      <x:c r="AA109" s="81" t="n"/>
      <x:c r="AB109" s="81" t="n"/>
      <x:c r="AC109" s="81" t="n"/>
      <x:c r="AD109" s="81" t="n"/>
      <x:c r="AE109" s="81" t="n"/>
      <x:c r="AF109" s="81" t="n"/>
      <x:c r="AG109" s="81" t="n"/>
      <x:c r="AH109" s="81" t="n"/>
      <x:c r="AI109" s="81" t="n"/>
    </x:row>
    <x:row r="110">
      <x:c r="A110" s="81" t="n"/>
      <x:c r="B110" s="81" t="n"/>
      <x:c r="C110" s="81" t="n"/>
      <x:c r="D110" s="81" t="n"/>
      <x:c r="E110" s="81" t="n"/>
      <x:c r="F110" s="81" t="n"/>
      <x:c r="G110" s="81" t="n"/>
      <x:c r="H110" s="81" t="n"/>
      <x:c r="I110" s="81" t="n"/>
      <x:c r="J110" s="81" t="n"/>
      <x:c r="K110" s="81" t="n"/>
      <x:c r="L110" s="81" t="n"/>
      <x:c r="M110" s="81" t="n"/>
      <x:c r="N110" s="81" t="n"/>
      <x:c r="O110" s="81" t="n"/>
      <x:c r="P110" s="81" t="n"/>
      <x:c r="Q110" s="81" t="n"/>
      <x:c r="R110" s="81" t="n"/>
      <x:c r="S110" s="81" t="n"/>
      <x:c r="T110" s="81" t="n"/>
      <x:c r="U110" s="81" t="n"/>
      <x:c r="V110" s="81" t="n"/>
      <x:c r="W110" s="81" t="n"/>
      <x:c r="X110" s="81" t="n"/>
      <x:c r="Y110" s="81" t="n"/>
      <x:c r="Z110" s="81" t="n"/>
      <x:c r="AA110" s="81" t="n"/>
      <x:c r="AB110" s="81" t="n"/>
      <x:c r="AC110" s="81" t="n"/>
      <x:c r="AD110" s="81" t="n"/>
      <x:c r="AE110" s="81" t="n"/>
      <x:c r="AF110" s="81" t="n"/>
      <x:c r="AG110" s="81" t="n"/>
      <x:c r="AH110" s="81" t="n"/>
      <x:c r="AI110" s="81" t="n"/>
    </x:row>
    <x:row r="111">
      <x:c r="A111" s="81" t="n"/>
      <x:c r="B111" s="81" t="n"/>
      <x:c r="C111" s="81" t="n"/>
      <x:c r="D111" s="81" t="n"/>
      <x:c r="E111" s="81" t="n"/>
      <x:c r="F111" s="81" t="n"/>
      <x:c r="G111" s="81" t="n"/>
      <x:c r="H111" s="81" t="n"/>
      <x:c r="I111" s="81" t="n"/>
      <x:c r="J111" s="81" t="n"/>
      <x:c r="K111" s="81" t="n"/>
      <x:c r="L111" s="81" t="n"/>
      <x:c r="M111" s="81" t="n"/>
      <x:c r="N111" s="81" t="n"/>
      <x:c r="O111" s="81" t="n"/>
      <x:c r="P111" s="81" t="n"/>
      <x:c r="Q111" s="81" t="n"/>
      <x:c r="R111" s="81" t="n"/>
      <x:c r="S111" s="81" t="n"/>
      <x:c r="T111" s="81" t="n"/>
      <x:c r="U111" s="81" t="n"/>
      <x:c r="V111" s="81" t="n"/>
      <x:c r="W111" s="81" t="n"/>
      <x:c r="X111" s="81" t="n"/>
      <x:c r="Y111" s="81" t="n"/>
      <x:c r="Z111" s="81" t="n"/>
      <x:c r="AA111" s="81" t="n"/>
      <x:c r="AB111" s="81" t="n"/>
      <x:c r="AC111" s="81" t="n"/>
      <x:c r="AD111" s="81" t="n"/>
      <x:c r="AE111" s="81" t="n"/>
      <x:c r="AF111" s="81" t="n"/>
      <x:c r="AG111" s="81" t="n"/>
      <x:c r="AH111" s="81" t="n"/>
      <x:c r="AI111" s="81" t="n"/>
    </x:row>
    <x:row r="112">
      <x:c r="A112" s="81" t="n"/>
      <x:c r="B112" s="81" t="n"/>
      <x:c r="C112" s="81" t="n"/>
      <x:c r="D112" s="81" t="n"/>
      <x:c r="E112" s="81" t="n"/>
      <x:c r="F112" s="81" t="n"/>
      <x:c r="G112" s="81" t="n"/>
      <x:c r="H112" s="81" t="n"/>
      <x:c r="I112" s="81" t="n"/>
      <x:c r="J112" s="81" t="n"/>
      <x:c r="K112" s="81" t="n"/>
      <x:c r="L112" s="81" t="n"/>
      <x:c r="M112" s="81" t="n"/>
      <x:c r="N112" s="81" t="n"/>
      <x:c r="O112" s="81" t="n"/>
      <x:c r="P112" s="81" t="n"/>
      <x:c r="Q112" s="81" t="n"/>
      <x:c r="R112" s="81" t="n"/>
      <x:c r="S112" s="81" t="n"/>
      <x:c r="T112" s="81" t="n"/>
      <x:c r="U112" s="81" t="n"/>
      <x:c r="V112" s="81" t="n"/>
      <x:c r="W112" s="81" t="n"/>
      <x:c r="X112" s="81" t="n"/>
      <x:c r="Y112" s="81" t="n"/>
      <x:c r="Z112" s="81" t="n"/>
      <x:c r="AA112" s="81" t="n"/>
      <x:c r="AB112" s="81" t="n"/>
      <x:c r="AC112" s="81" t="n"/>
      <x:c r="AD112" s="81" t="n"/>
      <x:c r="AE112" s="81" t="n"/>
      <x:c r="AF112" s="81" t="n"/>
      <x:c r="AG112" s="81" t="n"/>
      <x:c r="AH112" s="81" t="n"/>
      <x:c r="AI112" s="81" t="n"/>
    </x:row>
    <x:row r="113">
      <x:c r="A113" s="81" t="n"/>
      <x:c r="B113" s="81" t="n"/>
      <x:c r="C113" s="81" t="n"/>
      <x:c r="D113" s="81" t="n"/>
      <x:c r="E113" s="81" t="n"/>
      <x:c r="F113" s="81" t="n"/>
      <x:c r="G113" s="81" t="n"/>
      <x:c r="H113" s="81" t="n"/>
      <x:c r="I113" s="81" t="n"/>
      <x:c r="J113" s="81" t="n"/>
      <x:c r="K113" s="81" t="n"/>
      <x:c r="L113" s="81" t="n"/>
      <x:c r="M113" s="81" t="n"/>
      <x:c r="N113" s="81" t="n"/>
      <x:c r="O113" s="81" t="n"/>
      <x:c r="P113" s="81" t="n"/>
      <x:c r="Q113" s="81" t="n"/>
      <x:c r="R113" s="81" t="n"/>
      <x:c r="S113" s="81" t="n"/>
      <x:c r="T113" s="81" t="n"/>
      <x:c r="U113" s="81" t="n"/>
      <x:c r="V113" s="81" t="n"/>
      <x:c r="W113" s="81" t="n"/>
      <x:c r="X113" s="81" t="n"/>
      <x:c r="Y113" s="81" t="n"/>
      <x:c r="Z113" s="81" t="n"/>
      <x:c r="AA113" s="81" t="n"/>
      <x:c r="AB113" s="81" t="n"/>
      <x:c r="AC113" s="81" t="n"/>
      <x:c r="AD113" s="81" t="n"/>
      <x:c r="AE113" s="81" t="n"/>
      <x:c r="AF113" s="81" t="n"/>
      <x:c r="AG113" s="81" t="n"/>
      <x:c r="AH113" s="81" t="n"/>
      <x:c r="AI113" s="81" t="n"/>
    </x:row>
    <x:row r="114">
      <x:c r="A114" s="81" t="n"/>
      <x:c r="B114" s="81" t="n"/>
      <x:c r="C114" s="81" t="n"/>
      <x:c r="D114" s="81" t="n"/>
      <x:c r="E114" s="81" t="n"/>
      <x:c r="F114" s="81" t="n"/>
      <x:c r="G114" s="81" t="n"/>
      <x:c r="H114" s="81" t="n"/>
      <x:c r="I114" s="81" t="n"/>
      <x:c r="J114" s="81" t="n"/>
      <x:c r="K114" s="81" t="n"/>
      <x:c r="L114" s="81" t="n"/>
      <x:c r="M114" s="81" t="n"/>
      <x:c r="N114" s="81" t="n"/>
      <x:c r="O114" s="81" t="n"/>
      <x:c r="P114" s="81" t="n"/>
      <x:c r="Q114" s="81" t="n"/>
      <x:c r="R114" s="81" t="n"/>
      <x:c r="S114" s="81" t="n"/>
      <x:c r="T114" s="81" t="n"/>
      <x:c r="U114" s="81" t="n"/>
      <x:c r="V114" s="81" t="n"/>
      <x:c r="W114" s="81" t="n"/>
      <x:c r="X114" s="81" t="n"/>
      <x:c r="Y114" s="81" t="n"/>
      <x:c r="Z114" s="81" t="n"/>
      <x:c r="AA114" s="81" t="n"/>
      <x:c r="AB114" s="81" t="n"/>
      <x:c r="AC114" s="81" t="n"/>
      <x:c r="AD114" s="81" t="n"/>
      <x:c r="AE114" s="81" t="n"/>
      <x:c r="AF114" s="81" t="n"/>
      <x:c r="AG114" s="81" t="n"/>
      <x:c r="AH114" s="81" t="n"/>
      <x:c r="AI114" s="81" t="n"/>
    </x:row>
    <x:row r="115">
      <x:c r="A115" s="81" t="n"/>
      <x:c r="B115" s="81" t="n"/>
      <x:c r="C115" s="81" t="n"/>
      <x:c r="D115" s="81" t="n"/>
      <x:c r="E115" s="81" t="n"/>
      <x:c r="F115" s="81" t="n"/>
      <x:c r="G115" s="81" t="n"/>
      <x:c r="H115" s="81" t="n"/>
      <x:c r="I115" s="81" t="n"/>
      <x:c r="J115" s="81" t="n"/>
      <x:c r="K115" s="81" t="n"/>
      <x:c r="L115" s="81" t="n"/>
      <x:c r="M115" s="81" t="n"/>
      <x:c r="N115" s="81" t="n"/>
      <x:c r="O115" s="81" t="n"/>
      <x:c r="P115" s="81" t="n"/>
      <x:c r="Q115" s="81" t="n"/>
      <x:c r="R115" s="81" t="n"/>
      <x:c r="S115" s="81" t="n"/>
      <x:c r="T115" s="81" t="n"/>
      <x:c r="U115" s="81" t="n"/>
      <x:c r="V115" s="81" t="n"/>
      <x:c r="W115" s="81" t="n"/>
      <x:c r="X115" s="81" t="n"/>
      <x:c r="Y115" s="81" t="n"/>
      <x:c r="Z115" s="81" t="n"/>
      <x:c r="AA115" s="81" t="n"/>
      <x:c r="AB115" s="81" t="n"/>
      <x:c r="AC115" s="81" t="n"/>
      <x:c r="AD115" s="81" t="n"/>
      <x:c r="AE115" s="81" t="n"/>
      <x:c r="AF115" s="81" t="n"/>
      <x:c r="AG115" s="81" t="n"/>
      <x:c r="AH115" s="81" t="n"/>
      <x:c r="AI115" s="81" t="n"/>
    </x:row>
    <x:row r="116">
      <x:c r="A116" s="81" t="n"/>
      <x:c r="B116" s="81" t="n"/>
      <x:c r="C116" s="81" t="n"/>
      <x:c r="D116" s="81" t="n"/>
      <x:c r="E116" s="81" t="n"/>
      <x:c r="F116" s="81" t="n"/>
      <x:c r="G116" s="81" t="n"/>
      <x:c r="H116" s="81" t="n"/>
      <x:c r="I116" s="81" t="n"/>
      <x:c r="J116" s="81" t="n"/>
      <x:c r="K116" s="81" t="n"/>
      <x:c r="L116" s="81" t="n"/>
      <x:c r="M116" s="81" t="n"/>
      <x:c r="N116" s="81" t="n"/>
      <x:c r="O116" s="81" t="n"/>
      <x:c r="P116" s="81" t="n"/>
      <x:c r="Q116" s="81" t="n"/>
      <x:c r="R116" s="81" t="n"/>
      <x:c r="S116" s="81" t="n"/>
      <x:c r="T116" s="81" t="n"/>
      <x:c r="U116" s="81" t="n"/>
      <x:c r="V116" s="81" t="n"/>
      <x:c r="W116" s="81" t="n"/>
      <x:c r="X116" s="81" t="n"/>
      <x:c r="Y116" s="81" t="n"/>
      <x:c r="Z116" s="81" t="n"/>
      <x:c r="AA116" s="81" t="n"/>
      <x:c r="AB116" s="81" t="n"/>
      <x:c r="AC116" s="81" t="n"/>
      <x:c r="AD116" s="81" t="n"/>
      <x:c r="AE116" s="81" t="n"/>
      <x:c r="AF116" s="81" t="n"/>
      <x:c r="AG116" s="81" t="n"/>
      <x:c r="AH116" s="81" t="n"/>
      <x:c r="AI116" s="81" t="n"/>
    </x:row>
    <x:row r="117">
      <x:c r="A117" s="81" t="n"/>
      <x:c r="B117" s="81" t="n"/>
      <x:c r="C117" s="81" t="n"/>
      <x:c r="D117" s="81" t="n"/>
      <x:c r="E117" s="81" t="n"/>
      <x:c r="F117" s="81" t="n"/>
      <x:c r="G117" s="81" t="n"/>
      <x:c r="H117" s="81" t="n"/>
      <x:c r="I117" s="81" t="n"/>
      <x:c r="J117" s="81" t="n"/>
      <x:c r="K117" s="81" t="n"/>
      <x:c r="L117" s="81" t="n"/>
      <x:c r="M117" s="81" t="n"/>
      <x:c r="N117" s="81" t="n"/>
      <x:c r="O117" s="81" t="n"/>
      <x:c r="P117" s="81" t="n"/>
      <x:c r="Q117" s="81" t="n"/>
      <x:c r="R117" s="81" t="n"/>
      <x:c r="S117" s="81" t="n"/>
      <x:c r="T117" s="81" t="n"/>
      <x:c r="U117" s="81" t="n"/>
      <x:c r="V117" s="81" t="n"/>
      <x:c r="W117" s="81" t="n"/>
      <x:c r="X117" s="81" t="n"/>
      <x:c r="Y117" s="81" t="n"/>
      <x:c r="Z117" s="81" t="n"/>
      <x:c r="AA117" s="81" t="n"/>
      <x:c r="AB117" s="81" t="n"/>
      <x:c r="AC117" s="81" t="n"/>
      <x:c r="AD117" s="81" t="n"/>
      <x:c r="AE117" s="81" t="n"/>
      <x:c r="AF117" s="81" t="n"/>
      <x:c r="AG117" s="81" t="n"/>
      <x:c r="AH117" s="81" t="n"/>
      <x:c r="AI117" s="81" t="n"/>
    </x:row>
    <x:row r="118">
      <x:c r="A118" s="81" t="n"/>
      <x:c r="B118" s="81" t="n"/>
      <x:c r="C118" s="81" t="n"/>
      <x:c r="D118" s="81" t="n"/>
      <x:c r="E118" s="81" t="n"/>
      <x:c r="F118" s="81" t="n"/>
      <x:c r="G118" s="81" t="n"/>
      <x:c r="H118" s="81" t="n"/>
      <x:c r="I118" s="81" t="n"/>
      <x:c r="J118" s="81" t="n"/>
      <x:c r="K118" s="81" t="n"/>
      <x:c r="L118" s="81" t="n"/>
      <x:c r="M118" s="81" t="n"/>
      <x:c r="N118" s="81" t="n"/>
      <x:c r="O118" s="81" t="n"/>
      <x:c r="P118" s="81" t="n"/>
      <x:c r="Q118" s="81" t="n"/>
      <x:c r="R118" s="81" t="n"/>
      <x:c r="S118" s="81" t="n"/>
      <x:c r="T118" s="81" t="n"/>
      <x:c r="U118" s="81" t="n"/>
      <x:c r="V118" s="81" t="n"/>
      <x:c r="W118" s="81" t="n"/>
      <x:c r="X118" s="81" t="n"/>
      <x:c r="Y118" s="81" t="n"/>
      <x:c r="Z118" s="81" t="n"/>
      <x:c r="AA118" s="81" t="n"/>
      <x:c r="AB118" s="81" t="n"/>
      <x:c r="AC118" s="81" t="n"/>
      <x:c r="AD118" s="81" t="n"/>
      <x:c r="AE118" s="81" t="n"/>
      <x:c r="AF118" s="81" t="n"/>
      <x:c r="AG118" s="81" t="n"/>
      <x:c r="AH118" s="81" t="n"/>
      <x:c r="AI118" s="81" t="n"/>
    </x:row>
    <x:row r="119">
      <x:c r="A119" s="81" t="n"/>
      <x:c r="B119" s="81" t="n"/>
      <x:c r="C119" s="81" t="n"/>
      <x:c r="D119" s="81" t="n"/>
      <x:c r="E119" s="81" t="n"/>
      <x:c r="F119" s="81" t="n"/>
      <x:c r="G119" s="81" t="n"/>
      <x:c r="H119" s="81" t="n"/>
      <x:c r="I119" s="81" t="n"/>
      <x:c r="J119" s="81" t="n"/>
      <x:c r="K119" s="81" t="n"/>
      <x:c r="L119" s="81" t="n"/>
      <x:c r="M119" s="81" t="n"/>
      <x:c r="N119" s="81" t="n"/>
      <x:c r="O119" s="81" t="n"/>
      <x:c r="P119" s="81" t="n"/>
      <x:c r="Q119" s="81" t="n"/>
      <x:c r="R119" s="81" t="n"/>
      <x:c r="S119" s="81" t="n"/>
      <x:c r="T119" s="81" t="n"/>
      <x:c r="U119" s="81" t="n"/>
      <x:c r="V119" s="81" t="n"/>
      <x:c r="W119" s="81" t="n"/>
      <x:c r="X119" s="81" t="n"/>
      <x:c r="Y119" s="81" t="n"/>
      <x:c r="Z119" s="81" t="n"/>
      <x:c r="AA119" s="81" t="n"/>
      <x:c r="AB119" s="81" t="n"/>
      <x:c r="AC119" s="81" t="n"/>
      <x:c r="AD119" s="81" t="n"/>
      <x:c r="AE119" s="81" t="n"/>
      <x:c r="AF119" s="81" t="n"/>
      <x:c r="AG119" s="81" t="n"/>
      <x:c r="AH119" s="81" t="n"/>
      <x:c r="AI119" s="81" t="n"/>
    </x:row>
    <x:row r="120">
      <x:c r="A120" s="81" t="n"/>
      <x:c r="B120" s="81" t="n"/>
      <x:c r="C120" s="81" t="n"/>
      <x:c r="D120" s="81" t="n"/>
      <x:c r="E120" s="81" t="n"/>
      <x:c r="F120" s="81" t="n"/>
      <x:c r="G120" s="81" t="n"/>
      <x:c r="H120" s="81" t="n"/>
      <x:c r="I120" s="81" t="n"/>
      <x:c r="J120" s="81" t="n"/>
      <x:c r="K120" s="81" t="n"/>
      <x:c r="L120" s="81" t="n"/>
      <x:c r="M120" s="81" t="n"/>
      <x:c r="N120" s="81" t="n"/>
      <x:c r="O120" s="81" t="n"/>
      <x:c r="P120" s="81" t="n"/>
      <x:c r="Q120" s="81" t="n"/>
      <x:c r="R120" s="81" t="n"/>
      <x:c r="S120" s="81" t="n"/>
      <x:c r="T120" s="81" t="n"/>
      <x:c r="U120" s="81" t="n"/>
      <x:c r="V120" s="81" t="n"/>
      <x:c r="W120" s="81" t="n"/>
      <x:c r="X120" s="81" t="n"/>
      <x:c r="Y120" s="81" t="n"/>
      <x:c r="Z120" s="81" t="n"/>
      <x:c r="AA120" s="81" t="n"/>
      <x:c r="AB120" s="81" t="n"/>
      <x:c r="AC120" s="81" t="n"/>
      <x:c r="AD120" s="81" t="n"/>
      <x:c r="AE120" s="81" t="n"/>
      <x:c r="AF120" s="81" t="n"/>
      <x:c r="AG120" s="81" t="n"/>
      <x:c r="AH120" s="81" t="n"/>
      <x:c r="AI120" s="81" t="n"/>
    </x:row>
    <x:row r="121">
      <x:c r="A121" s="81" t="n"/>
      <x:c r="B121" s="81" t="n"/>
      <x:c r="C121" s="81" t="n"/>
      <x:c r="D121" s="81" t="n"/>
      <x:c r="E121" s="81" t="n"/>
      <x:c r="F121" s="81" t="n"/>
      <x:c r="G121" s="81" t="n"/>
      <x:c r="H121" s="81" t="n"/>
      <x:c r="I121" s="81" t="n"/>
      <x:c r="J121" s="81" t="n"/>
      <x:c r="K121" s="81" t="n"/>
      <x:c r="L121" s="81" t="n"/>
      <x:c r="M121" s="81" t="n"/>
      <x:c r="N121" s="81" t="n"/>
      <x:c r="O121" s="81" t="n"/>
      <x:c r="P121" s="81" t="n"/>
      <x:c r="Q121" s="81" t="n"/>
      <x:c r="R121" s="81" t="n"/>
      <x:c r="S121" s="81" t="n"/>
      <x:c r="T121" s="81" t="n"/>
      <x:c r="U121" s="81" t="n"/>
      <x:c r="V121" s="81" t="n"/>
      <x:c r="W121" s="81" t="n"/>
      <x:c r="X121" s="81" t="n"/>
      <x:c r="Y121" s="81" t="n"/>
      <x:c r="Z121" s="81" t="n"/>
      <x:c r="AA121" s="81" t="n"/>
      <x:c r="AB121" s="81" t="n"/>
      <x:c r="AC121" s="81" t="n"/>
      <x:c r="AD121" s="81" t="n"/>
      <x:c r="AE121" s="81" t="n"/>
      <x:c r="AF121" s="81" t="n"/>
      <x:c r="AG121" s="81" t="n"/>
      <x:c r="AH121" s="81" t="n"/>
      <x:c r="AI121" s="81" t="n"/>
    </x:row>
    <x:row r="122">
      <x:c r="A122" s="81" t="n"/>
      <x:c r="B122" s="81" t="n"/>
      <x:c r="C122" s="81" t="n"/>
      <x:c r="D122" s="81" t="n"/>
      <x:c r="E122" s="81" t="n"/>
      <x:c r="F122" s="81" t="n"/>
      <x:c r="G122" s="81" t="n"/>
      <x:c r="H122" s="81" t="n"/>
      <x:c r="I122" s="81" t="n"/>
      <x:c r="J122" s="81" t="n"/>
      <x:c r="K122" s="81" t="n"/>
      <x:c r="L122" s="81" t="n"/>
      <x:c r="M122" s="81" t="n"/>
      <x:c r="N122" s="81" t="n"/>
      <x:c r="O122" s="81" t="n"/>
      <x:c r="P122" s="81" t="n"/>
      <x:c r="Q122" s="81" t="n"/>
      <x:c r="R122" s="81" t="n"/>
      <x:c r="S122" s="81" t="n"/>
      <x:c r="T122" s="81" t="n"/>
      <x:c r="U122" s="81" t="n"/>
      <x:c r="V122" s="81" t="n"/>
      <x:c r="W122" s="81" t="n"/>
      <x:c r="X122" s="81" t="n"/>
      <x:c r="Y122" s="81" t="n"/>
      <x:c r="Z122" s="81" t="n"/>
      <x:c r="AA122" s="81" t="n"/>
      <x:c r="AB122" s="81" t="n"/>
      <x:c r="AC122" s="81" t="n"/>
      <x:c r="AD122" s="81" t="n"/>
      <x:c r="AE122" s="81" t="n"/>
      <x:c r="AF122" s="81" t="n"/>
      <x:c r="AG122" s="81" t="n"/>
      <x:c r="AH122" s="81" t="n"/>
      <x:c r="AI122" s="81" t="n"/>
    </x:row>
    <x:row r="123">
      <x:c r="A123" s="81" t="n"/>
      <x:c r="B123" s="81" t="n"/>
      <x:c r="C123" s="81" t="n"/>
      <x:c r="D123" s="81" t="n"/>
      <x:c r="E123" s="81" t="n"/>
      <x:c r="F123" s="81" t="n"/>
      <x:c r="G123" s="81" t="n"/>
      <x:c r="H123" s="81" t="n"/>
      <x:c r="I123" s="81" t="n"/>
      <x:c r="J123" s="81" t="n"/>
      <x:c r="K123" s="81" t="n"/>
      <x:c r="L123" s="81" t="n"/>
      <x:c r="M123" s="81" t="n"/>
      <x:c r="N123" s="81" t="n"/>
      <x:c r="O123" s="81" t="n"/>
      <x:c r="P123" s="81" t="n"/>
      <x:c r="Q123" s="81" t="n"/>
      <x:c r="R123" s="81" t="n"/>
      <x:c r="S123" s="81" t="n"/>
      <x:c r="T123" s="81" t="n"/>
      <x:c r="U123" s="81" t="n"/>
      <x:c r="V123" s="81" t="n"/>
      <x:c r="W123" s="81" t="n"/>
      <x:c r="X123" s="81" t="n"/>
      <x:c r="Y123" s="81" t="n"/>
      <x:c r="Z123" s="81" t="n"/>
      <x:c r="AA123" s="81" t="n"/>
      <x:c r="AB123" s="81" t="n"/>
      <x:c r="AC123" s="81" t="n"/>
      <x:c r="AD123" s="81" t="n"/>
      <x:c r="AE123" s="81" t="n"/>
      <x:c r="AF123" s="81" t="n"/>
      <x:c r="AG123" s="81" t="n"/>
      <x:c r="AH123" s="81" t="n"/>
      <x:c r="AI123" s="81" t="n"/>
    </x:row>
    <x:row r="124">
      <x:c r="A124" s="81" t="n"/>
      <x:c r="B124" s="81" t="n"/>
      <x:c r="C124" s="81" t="n"/>
      <x:c r="D124" s="81" t="n"/>
      <x:c r="E124" s="81" t="n"/>
      <x:c r="F124" s="81" t="n"/>
      <x:c r="G124" s="81" t="n"/>
      <x:c r="H124" s="81" t="n"/>
      <x:c r="I124" s="81" t="n"/>
      <x:c r="J124" s="81" t="n"/>
      <x:c r="K124" s="81" t="n"/>
      <x:c r="L124" s="81" t="n"/>
      <x:c r="M124" s="81" t="n"/>
      <x:c r="N124" s="81" t="n"/>
      <x:c r="O124" s="81" t="n"/>
      <x:c r="P124" s="81" t="n"/>
      <x:c r="Q124" s="81" t="n"/>
      <x:c r="R124" s="81" t="n"/>
      <x:c r="S124" s="81" t="n"/>
      <x:c r="T124" s="81" t="n"/>
      <x:c r="U124" s="81" t="n"/>
      <x:c r="V124" s="81" t="n"/>
      <x:c r="W124" s="81" t="n"/>
      <x:c r="X124" s="81" t="n"/>
      <x:c r="Y124" s="81" t="n"/>
      <x:c r="Z124" s="81" t="n"/>
      <x:c r="AA124" s="81" t="n"/>
      <x:c r="AB124" s="81" t="n"/>
      <x:c r="AC124" s="81" t="n"/>
      <x:c r="AD124" s="81" t="n"/>
      <x:c r="AE124" s="81" t="n"/>
      <x:c r="AF124" s="81" t="n"/>
      <x:c r="AG124" s="81" t="n"/>
      <x:c r="AH124" s="81" t="n"/>
      <x:c r="AI124" s="81" t="n"/>
    </x:row>
    <x:row r="125">
      <x:c r="A125" s="81" t="n"/>
      <x:c r="B125" s="81" t="n"/>
      <x:c r="C125" s="81" t="n"/>
      <x:c r="D125" s="81" t="n"/>
      <x:c r="E125" s="81" t="n"/>
      <x:c r="F125" s="81" t="n"/>
      <x:c r="G125" s="81" t="n"/>
      <x:c r="H125" s="81" t="n"/>
      <x:c r="I125" s="81" t="n"/>
      <x:c r="J125" s="81" t="n"/>
      <x:c r="K125" s="81" t="n"/>
      <x:c r="L125" s="81" t="n"/>
      <x:c r="M125" s="81" t="n"/>
      <x:c r="N125" s="81" t="n"/>
      <x:c r="O125" s="81" t="n"/>
      <x:c r="P125" s="81" t="n"/>
      <x:c r="Q125" s="81" t="n"/>
      <x:c r="R125" s="81" t="n"/>
      <x:c r="S125" s="81" t="n"/>
      <x:c r="T125" s="81" t="n"/>
      <x:c r="U125" s="81" t="n"/>
      <x:c r="V125" s="81" t="n"/>
      <x:c r="W125" s="81" t="n"/>
      <x:c r="X125" s="81" t="n"/>
      <x:c r="Y125" s="81" t="n"/>
      <x:c r="Z125" s="81" t="n"/>
      <x:c r="AA125" s="81" t="n"/>
      <x:c r="AB125" s="81" t="n"/>
      <x:c r="AC125" s="81" t="n"/>
      <x:c r="AD125" s="81" t="n"/>
      <x:c r="AE125" s="81" t="n"/>
      <x:c r="AF125" s="81" t="n"/>
      <x:c r="AG125" s="81" t="n"/>
      <x:c r="AH125" s="81" t="n"/>
      <x:c r="AI125" s="81" t="n"/>
    </x:row>
    <x:row r="126">
      <x:c r="A126" s="81" t="n"/>
      <x:c r="B126" s="81" t="n"/>
      <x:c r="C126" s="81" t="n"/>
      <x:c r="D126" s="81" t="n"/>
      <x:c r="E126" s="81" t="n"/>
      <x:c r="F126" s="81" t="n"/>
      <x:c r="G126" s="81" t="n"/>
      <x:c r="H126" s="81" t="n"/>
      <x:c r="I126" s="81" t="n"/>
      <x:c r="J126" s="81" t="n"/>
      <x:c r="K126" s="81" t="n"/>
      <x:c r="L126" s="81" t="n"/>
      <x:c r="M126" s="81" t="n"/>
      <x:c r="N126" s="81" t="n"/>
      <x:c r="O126" s="81" t="n"/>
      <x:c r="P126" s="81" t="n"/>
      <x:c r="Q126" s="81" t="n"/>
      <x:c r="R126" s="81" t="n"/>
      <x:c r="S126" s="81" t="n"/>
      <x:c r="T126" s="81" t="n"/>
      <x:c r="U126" s="81" t="n"/>
      <x:c r="V126" s="81" t="n"/>
      <x:c r="W126" s="81" t="n"/>
      <x:c r="X126" s="81" t="n"/>
      <x:c r="Y126" s="81" t="n"/>
      <x:c r="Z126" s="81" t="n"/>
      <x:c r="AA126" s="81" t="n"/>
      <x:c r="AB126" s="81" t="n"/>
      <x:c r="AC126" s="81" t="n"/>
      <x:c r="AD126" s="81" t="n"/>
      <x:c r="AE126" s="81" t="n"/>
      <x:c r="AF126" s="81" t="n"/>
      <x:c r="AG126" s="81" t="n"/>
      <x:c r="AH126" s="81" t="n"/>
      <x:c r="AI126" s="81" t="n"/>
    </x:row>
    <x:row r="127">
      <x:c r="A127" s="81" t="n"/>
      <x:c r="B127" s="81" t="n"/>
      <x:c r="C127" s="81" t="n"/>
      <x:c r="D127" s="81" t="n"/>
      <x:c r="E127" s="81" t="n"/>
      <x:c r="F127" s="81" t="n"/>
      <x:c r="G127" s="81" t="n"/>
      <x:c r="H127" s="81" t="n"/>
      <x:c r="I127" s="81" t="n"/>
      <x:c r="J127" s="81" t="n"/>
      <x:c r="K127" s="81" t="n"/>
      <x:c r="L127" s="81" t="n"/>
      <x:c r="M127" s="81" t="n"/>
      <x:c r="N127" s="81" t="n"/>
      <x:c r="O127" s="81" t="n"/>
      <x:c r="P127" s="81" t="n"/>
      <x:c r="Q127" s="81" t="n"/>
      <x:c r="R127" s="81" t="n"/>
      <x:c r="S127" s="81" t="n"/>
      <x:c r="T127" s="81" t="n"/>
      <x:c r="U127" s="81" t="n"/>
      <x:c r="V127" s="81" t="n"/>
      <x:c r="W127" s="81" t="n"/>
      <x:c r="X127" s="81" t="n"/>
      <x:c r="Y127" s="81" t="n"/>
      <x:c r="Z127" s="81" t="n"/>
      <x:c r="AA127" s="81" t="n"/>
      <x:c r="AB127" s="81" t="n"/>
      <x:c r="AC127" s="81" t="n"/>
      <x:c r="AD127" s="81" t="n"/>
      <x:c r="AE127" s="81" t="n"/>
      <x:c r="AF127" s="81" t="n"/>
      <x:c r="AG127" s="81" t="n"/>
      <x:c r="AH127" s="81" t="n"/>
      <x:c r="AI127" s="81" t="n"/>
    </x:row>
    <x:row r="128">
      <x:c r="A128" s="81" t="n"/>
      <x:c r="B128" s="81" t="n"/>
      <x:c r="C128" s="81" t="n"/>
      <x:c r="D128" s="81" t="n"/>
      <x:c r="E128" s="81" t="n"/>
      <x:c r="F128" s="81" t="n"/>
      <x:c r="G128" s="81" t="n"/>
      <x:c r="H128" s="81" t="n"/>
      <x:c r="I128" s="81" t="n"/>
      <x:c r="J128" s="81" t="n"/>
      <x:c r="K128" s="81" t="n"/>
      <x:c r="L128" s="81" t="n"/>
      <x:c r="M128" s="81" t="n"/>
      <x:c r="N128" s="81" t="n"/>
      <x:c r="O128" s="81" t="n"/>
      <x:c r="P128" s="81" t="n"/>
      <x:c r="Q128" s="81" t="n"/>
      <x:c r="R128" s="81" t="n"/>
      <x:c r="S128" s="81" t="n"/>
      <x:c r="T128" s="81" t="n"/>
      <x:c r="U128" s="81" t="n"/>
      <x:c r="V128" s="81" t="n"/>
      <x:c r="W128" s="81" t="n"/>
      <x:c r="X128" s="81" t="n"/>
      <x:c r="Y128" s="81" t="n"/>
      <x:c r="Z128" s="81" t="n"/>
      <x:c r="AA128" s="81" t="n"/>
      <x:c r="AB128" s="81" t="n"/>
      <x:c r="AC128" s="81" t="n"/>
      <x:c r="AD128" s="81" t="n"/>
      <x:c r="AE128" s="81" t="n"/>
      <x:c r="AF128" s="81" t="n"/>
      <x:c r="AG128" s="81" t="n"/>
      <x:c r="AH128" s="81" t="n"/>
      <x:c r="AI128" s="81" t="n"/>
    </x:row>
    <x:row r="129">
      <x:c r="A129" s="81" t="n"/>
      <x:c r="B129" s="81" t="n"/>
      <x:c r="C129" s="81" t="n"/>
      <x:c r="D129" s="81" t="n"/>
      <x:c r="E129" s="81" t="n"/>
      <x:c r="F129" s="81" t="n"/>
      <x:c r="G129" s="81" t="n"/>
      <x:c r="H129" s="81" t="n"/>
      <x:c r="I129" s="81" t="n"/>
      <x:c r="J129" s="81" t="n"/>
      <x:c r="K129" s="81" t="n"/>
      <x:c r="L129" s="81" t="n"/>
      <x:c r="M129" s="81" t="n"/>
      <x:c r="N129" s="81" t="n"/>
      <x:c r="O129" s="81" t="n"/>
      <x:c r="P129" s="81" t="n"/>
      <x:c r="Q129" s="81" t="n"/>
      <x:c r="R129" s="81" t="n"/>
      <x:c r="S129" s="81" t="n"/>
      <x:c r="T129" s="81" t="n"/>
      <x:c r="U129" s="81" t="n"/>
      <x:c r="V129" s="81" t="n"/>
      <x:c r="W129" s="81" t="n"/>
      <x:c r="X129" s="81" t="n"/>
      <x:c r="Y129" s="81" t="n"/>
      <x:c r="Z129" s="81" t="n"/>
      <x:c r="AA129" s="81" t="n"/>
      <x:c r="AB129" s="81" t="n"/>
      <x:c r="AC129" s="81" t="n"/>
      <x:c r="AD129" s="81" t="n"/>
      <x:c r="AE129" s="81" t="n"/>
      <x:c r="AF129" s="81" t="n"/>
      <x:c r="AG129" s="81" t="n"/>
      <x:c r="AH129" s="81" t="n"/>
      <x:c r="AI129" s="81" t="n"/>
    </x:row>
    <x:row r="130">
      <x:c r="A130" s="81" t="n"/>
      <x:c r="B130" s="81" t="n"/>
      <x:c r="C130" s="81" t="n"/>
      <x:c r="D130" s="81" t="n"/>
      <x:c r="E130" s="81" t="n"/>
      <x:c r="F130" s="81" t="n"/>
      <x:c r="G130" s="81" t="n"/>
      <x:c r="H130" s="81" t="n"/>
      <x:c r="I130" s="81" t="n"/>
      <x:c r="J130" s="81" t="n"/>
      <x:c r="K130" s="81" t="n"/>
      <x:c r="L130" s="81" t="n"/>
      <x:c r="M130" s="81" t="n"/>
      <x:c r="N130" s="81" t="n"/>
      <x:c r="O130" s="81" t="n"/>
      <x:c r="P130" s="81" t="n"/>
      <x:c r="Q130" s="81" t="n"/>
      <x:c r="R130" s="81" t="n"/>
      <x:c r="S130" s="81" t="n"/>
      <x:c r="T130" s="81" t="n"/>
      <x:c r="U130" s="81" t="n"/>
      <x:c r="V130" s="81" t="n"/>
      <x:c r="W130" s="81" t="n"/>
      <x:c r="X130" s="81" t="n"/>
      <x:c r="Y130" s="81" t="n"/>
      <x:c r="Z130" s="81" t="n"/>
      <x:c r="AA130" s="81" t="n"/>
      <x:c r="AB130" s="81" t="n"/>
      <x:c r="AC130" s="81" t="n"/>
      <x:c r="AD130" s="81" t="n"/>
      <x:c r="AE130" s="81" t="n"/>
      <x:c r="AF130" s="81" t="n"/>
      <x:c r="AG130" s="81" t="n"/>
      <x:c r="AH130" s="81" t="n"/>
      <x:c r="AI130" s="81" t="n"/>
    </x:row>
    <x:row r="131">
      <x:c r="A131" s="81" t="n"/>
      <x:c r="B131" s="81" t="n"/>
      <x:c r="C131" s="81" t="n"/>
      <x:c r="D131" s="81" t="n"/>
      <x:c r="E131" s="81" t="n"/>
      <x:c r="F131" s="81" t="n"/>
      <x:c r="G131" s="81" t="n"/>
      <x:c r="H131" s="81" t="n"/>
      <x:c r="I131" s="81" t="n"/>
      <x:c r="J131" s="81" t="n"/>
      <x:c r="K131" s="81" t="n"/>
      <x:c r="L131" s="81" t="n"/>
      <x:c r="M131" s="81" t="n"/>
      <x:c r="N131" s="81" t="n"/>
      <x:c r="O131" s="81" t="n"/>
      <x:c r="P131" s="81" t="n"/>
      <x:c r="Q131" s="81" t="n"/>
      <x:c r="R131" s="81" t="n"/>
      <x:c r="S131" s="81" t="n"/>
      <x:c r="T131" s="81" t="n"/>
      <x:c r="U131" s="81" t="n"/>
      <x:c r="V131" s="81" t="n"/>
      <x:c r="W131" s="81" t="n"/>
      <x:c r="X131" s="81" t="n"/>
      <x:c r="Y131" s="81" t="n"/>
      <x:c r="Z131" s="81" t="n"/>
      <x:c r="AA131" s="81" t="n"/>
      <x:c r="AB131" s="81" t="n"/>
      <x:c r="AC131" s="81" t="n"/>
      <x:c r="AD131" s="81" t="n"/>
      <x:c r="AE131" s="81" t="n"/>
      <x:c r="AF131" s="81" t="n"/>
      <x:c r="AG131" s="81" t="n"/>
      <x:c r="AH131" s="81" t="n"/>
      <x:c r="AI131" s="81" t="n"/>
    </x:row>
    <x:row r="132">
      <x:c r="A132" s="81" t="n"/>
      <x:c r="B132" s="81" t="n"/>
      <x:c r="C132" s="81" t="n"/>
      <x:c r="D132" s="81" t="n"/>
      <x:c r="E132" s="81" t="n"/>
      <x:c r="F132" s="81" t="n"/>
      <x:c r="G132" s="81" t="n"/>
      <x:c r="H132" s="81" t="n"/>
      <x:c r="I132" s="81" t="n"/>
      <x:c r="J132" s="81" t="n"/>
      <x:c r="K132" s="81" t="n"/>
      <x:c r="L132" s="81" t="n"/>
      <x:c r="M132" s="81" t="n"/>
      <x:c r="N132" s="81" t="n"/>
      <x:c r="O132" s="81" t="n"/>
      <x:c r="P132" s="81" t="n"/>
      <x:c r="Q132" s="81" t="n"/>
      <x:c r="R132" s="81" t="n"/>
      <x:c r="S132" s="81" t="n"/>
      <x:c r="T132" s="81" t="n"/>
      <x:c r="U132" s="81" t="n"/>
      <x:c r="V132" s="81" t="n"/>
      <x:c r="W132" s="81" t="n"/>
      <x:c r="X132" s="81" t="n"/>
      <x:c r="Y132" s="81" t="n"/>
      <x:c r="Z132" s="81" t="n"/>
      <x:c r="AA132" s="81" t="n"/>
      <x:c r="AB132" s="81" t="n"/>
      <x:c r="AC132" s="81" t="n"/>
      <x:c r="AD132" s="81" t="n"/>
      <x:c r="AE132" s="81" t="n"/>
      <x:c r="AF132" s="81" t="n"/>
      <x:c r="AG132" s="81" t="n"/>
      <x:c r="AH132" s="81" t="n"/>
      <x:c r="AI132" s="81" t="n"/>
    </x:row>
    <x:row r="133">
      <x:c r="A133" s="81" t="n"/>
      <x:c r="B133" s="81" t="n"/>
      <x:c r="C133" s="81" t="n"/>
      <x:c r="D133" s="81" t="n"/>
      <x:c r="E133" s="81" t="n"/>
      <x:c r="F133" s="81" t="n"/>
      <x:c r="G133" s="81" t="n"/>
      <x:c r="H133" s="81" t="n"/>
      <x:c r="I133" s="81" t="n"/>
      <x:c r="J133" s="81" t="n"/>
      <x:c r="K133" s="81" t="n"/>
      <x:c r="L133" s="81" t="n"/>
      <x:c r="M133" s="81" t="n"/>
      <x:c r="N133" s="81" t="n"/>
      <x:c r="O133" s="81" t="n"/>
      <x:c r="P133" s="81" t="n"/>
      <x:c r="Q133" s="81" t="n"/>
      <x:c r="R133" s="81" t="n"/>
      <x:c r="S133" s="81" t="n"/>
      <x:c r="T133" s="81" t="n"/>
      <x:c r="U133" s="81" t="n"/>
      <x:c r="V133" s="81" t="n"/>
      <x:c r="W133" s="81" t="n"/>
      <x:c r="X133" s="81" t="n"/>
      <x:c r="Y133" s="81" t="n"/>
      <x:c r="Z133" s="81" t="n"/>
      <x:c r="AA133" s="81" t="n"/>
      <x:c r="AB133" s="81" t="n"/>
      <x:c r="AC133" s="81" t="n"/>
      <x:c r="AD133" s="81" t="n"/>
      <x:c r="AE133" s="81" t="n"/>
      <x:c r="AF133" s="81" t="n"/>
      <x:c r="AG133" s="81" t="n"/>
      <x:c r="AH133" s="81" t="n"/>
      <x:c r="AI133" s="81" t="n"/>
    </x:row>
    <x:row r="134">
      <x:c r="A134" s="81" t="n"/>
      <x:c r="B134" s="81" t="n"/>
      <x:c r="C134" s="81" t="n"/>
      <x:c r="D134" s="81" t="n"/>
      <x:c r="E134" s="81" t="n"/>
      <x:c r="F134" s="81" t="n"/>
      <x:c r="G134" s="81" t="n"/>
      <x:c r="H134" s="81" t="n"/>
      <x:c r="I134" s="81" t="n"/>
      <x:c r="J134" s="81" t="n"/>
      <x:c r="K134" s="81" t="n"/>
      <x:c r="L134" s="81" t="n"/>
      <x:c r="M134" s="81" t="n"/>
      <x:c r="N134" s="81" t="n"/>
      <x:c r="O134" s="81" t="n"/>
      <x:c r="P134" s="81" t="n"/>
      <x:c r="Q134" s="81" t="n"/>
      <x:c r="R134" s="81" t="n"/>
      <x:c r="S134" s="81" t="n"/>
      <x:c r="T134" s="81" t="n"/>
      <x:c r="U134" s="81" t="n"/>
      <x:c r="V134" s="81" t="n"/>
      <x:c r="W134" s="81" t="n"/>
      <x:c r="X134" s="81" t="n"/>
      <x:c r="Y134" s="81" t="n"/>
      <x:c r="Z134" s="81" t="n"/>
      <x:c r="AA134" s="81" t="n"/>
      <x:c r="AB134" s="81" t="n"/>
      <x:c r="AC134" s="81" t="n"/>
      <x:c r="AD134" s="81" t="n"/>
      <x:c r="AE134" s="81" t="n"/>
      <x:c r="AF134" s="81" t="n"/>
      <x:c r="AG134" s="81" t="n"/>
      <x:c r="AH134" s="81" t="n"/>
      <x:c r="AI134" s="81" t="n"/>
    </x:row>
    <x:row r="135">
      <x:c r="A135" s="81" t="n"/>
      <x:c r="B135" s="81" t="n"/>
      <x:c r="C135" s="81" t="n"/>
      <x:c r="D135" s="81" t="n"/>
      <x:c r="E135" s="81" t="n"/>
      <x:c r="F135" s="81" t="n"/>
      <x:c r="G135" s="81" t="n"/>
      <x:c r="H135" s="81" t="n"/>
      <x:c r="I135" s="81" t="n"/>
      <x:c r="J135" s="81" t="n"/>
      <x:c r="K135" s="81" t="n"/>
      <x:c r="L135" s="81" t="n"/>
      <x:c r="M135" s="81" t="n"/>
      <x:c r="N135" s="81" t="n"/>
      <x:c r="O135" s="81" t="n"/>
      <x:c r="P135" s="81" t="n"/>
      <x:c r="Q135" s="81" t="n"/>
      <x:c r="R135" s="81" t="n"/>
      <x:c r="S135" s="81" t="n"/>
      <x:c r="T135" s="81" t="n"/>
      <x:c r="U135" s="81" t="n"/>
      <x:c r="V135" s="81" t="n"/>
      <x:c r="W135" s="81" t="n"/>
      <x:c r="X135" s="81" t="n"/>
      <x:c r="Y135" s="81" t="n"/>
      <x:c r="Z135" s="81" t="n"/>
      <x:c r="AA135" s="81" t="n"/>
      <x:c r="AB135" s="81" t="n"/>
      <x:c r="AC135" s="81" t="n"/>
      <x:c r="AD135" s="81" t="n"/>
      <x:c r="AE135" s="81" t="n"/>
      <x:c r="AF135" s="81" t="n"/>
      <x:c r="AG135" s="81" t="n"/>
      <x:c r="AH135" s="81" t="n"/>
      <x:c r="AI135" s="81" t="n"/>
    </x:row>
    <x:row r="136">
      <x:c r="A136" s="81" t="n"/>
      <x:c r="B136" s="81" t="n"/>
      <x:c r="C136" s="81" t="n"/>
      <x:c r="D136" s="81" t="n"/>
      <x:c r="E136" s="81" t="n"/>
      <x:c r="F136" s="81" t="n"/>
      <x:c r="G136" s="81" t="n"/>
      <x:c r="H136" s="81" t="n"/>
      <x:c r="I136" s="81" t="n"/>
      <x:c r="J136" s="81" t="n"/>
      <x:c r="K136" s="81" t="n"/>
      <x:c r="L136" s="81" t="n"/>
      <x:c r="M136" s="81" t="n"/>
      <x:c r="N136" s="81" t="n"/>
      <x:c r="O136" s="81" t="n"/>
      <x:c r="P136" s="81" t="n"/>
      <x:c r="Q136" s="81" t="n"/>
      <x:c r="R136" s="81" t="n"/>
      <x:c r="S136" s="81" t="n"/>
      <x:c r="T136" s="81" t="n"/>
      <x:c r="U136" s="81" t="n"/>
      <x:c r="V136" s="81" t="n"/>
      <x:c r="W136" s="81" t="n"/>
      <x:c r="X136" s="81" t="n"/>
      <x:c r="Y136" s="81" t="n"/>
      <x:c r="Z136" s="81" t="n"/>
      <x:c r="AA136" s="81" t="n"/>
      <x:c r="AB136" s="81" t="n"/>
      <x:c r="AC136" s="81" t="n"/>
      <x:c r="AD136" s="81" t="n"/>
      <x:c r="AE136" s="81" t="n"/>
      <x:c r="AF136" s="81" t="n"/>
      <x:c r="AG136" s="81" t="n"/>
      <x:c r="AH136" s="81" t="n"/>
      <x:c r="AI136" s="81" t="n"/>
    </x:row>
    <x:row r="137">
      <x:c r="A137" s="81" t="n"/>
      <x:c r="B137" s="81" t="n"/>
      <x:c r="C137" s="81" t="n"/>
      <x:c r="D137" s="81" t="n"/>
      <x:c r="E137" s="81" t="n"/>
      <x:c r="F137" s="81" t="n"/>
      <x:c r="G137" s="81" t="n"/>
      <x:c r="H137" s="81" t="n"/>
      <x:c r="I137" s="81" t="n"/>
      <x:c r="J137" s="81" t="n"/>
      <x:c r="K137" s="81" t="n"/>
      <x:c r="L137" s="81" t="n"/>
      <x:c r="M137" s="81" t="n"/>
      <x:c r="N137" s="81" t="n"/>
      <x:c r="O137" s="81" t="n"/>
      <x:c r="P137" s="81" t="n"/>
      <x:c r="Q137" s="81" t="n"/>
      <x:c r="R137" s="81" t="n"/>
      <x:c r="S137" s="81" t="n"/>
      <x:c r="T137" s="81" t="n"/>
      <x:c r="U137" s="81" t="n"/>
      <x:c r="V137" s="81" t="n"/>
      <x:c r="W137" s="81" t="n"/>
      <x:c r="X137" s="81" t="n"/>
      <x:c r="Y137" s="81" t="n"/>
      <x:c r="Z137" s="81" t="n"/>
      <x:c r="AA137" s="81" t="n"/>
      <x:c r="AB137" s="81" t="n"/>
      <x:c r="AC137" s="81" t="n"/>
      <x:c r="AD137" s="81" t="n"/>
      <x:c r="AE137" s="81" t="n"/>
      <x:c r="AF137" s="81" t="n"/>
      <x:c r="AG137" s="81" t="n"/>
      <x:c r="AH137" s="81" t="n"/>
      <x:c r="AI137" s="81" t="n"/>
    </x:row>
    <x:row r="138">
      <x:c r="A138" s="81" t="n"/>
      <x:c r="B138" s="81" t="n"/>
      <x:c r="C138" s="81" t="n"/>
      <x:c r="D138" s="81" t="n"/>
      <x:c r="E138" s="81" t="n"/>
      <x:c r="F138" s="81" t="n"/>
      <x:c r="G138" s="81" t="n"/>
      <x:c r="H138" s="81" t="n"/>
      <x:c r="I138" s="81" t="n"/>
      <x:c r="J138" s="81" t="n"/>
      <x:c r="K138" s="81" t="n"/>
      <x:c r="L138" s="81" t="n"/>
      <x:c r="M138" s="81" t="n"/>
      <x:c r="N138" s="81" t="n"/>
      <x:c r="O138" s="81" t="n"/>
      <x:c r="P138" s="81" t="n"/>
      <x:c r="Q138" s="81" t="n"/>
      <x:c r="R138" s="81" t="n"/>
      <x:c r="S138" s="81" t="n"/>
      <x:c r="T138" s="81" t="n"/>
      <x:c r="U138" s="81" t="n"/>
      <x:c r="V138" s="81" t="n"/>
      <x:c r="W138" s="81" t="n"/>
      <x:c r="X138" s="81" t="n"/>
      <x:c r="Y138" s="81" t="n"/>
      <x:c r="Z138" s="81" t="n"/>
      <x:c r="AA138" s="81" t="n"/>
      <x:c r="AB138" s="81" t="n"/>
      <x:c r="AC138" s="81" t="n"/>
      <x:c r="AD138" s="81" t="n"/>
      <x:c r="AE138" s="81" t="n"/>
      <x:c r="AF138" s="81" t="n"/>
      <x:c r="AG138" s="81" t="n"/>
      <x:c r="AH138" s="81" t="n"/>
      <x:c r="AI138" s="81" t="n"/>
    </x:row>
    <x:row r="139">
      <x:c r="A139" s="81" t="n"/>
      <x:c r="B139" s="81" t="n"/>
      <x:c r="C139" s="81" t="n"/>
      <x:c r="D139" s="81" t="n"/>
      <x:c r="E139" s="81" t="n"/>
      <x:c r="F139" s="81" t="n"/>
      <x:c r="G139" s="81" t="n"/>
      <x:c r="H139" s="81" t="n"/>
      <x:c r="I139" s="81" t="n"/>
      <x:c r="J139" s="81" t="n"/>
      <x:c r="K139" s="81" t="n"/>
      <x:c r="L139" s="81" t="n"/>
      <x:c r="M139" s="81" t="n"/>
      <x:c r="N139" s="81" t="n"/>
      <x:c r="O139" s="81" t="n"/>
      <x:c r="P139" s="81" t="n"/>
      <x:c r="Q139" s="81" t="n"/>
      <x:c r="R139" s="81" t="n"/>
      <x:c r="S139" s="81" t="n"/>
      <x:c r="T139" s="81" t="n"/>
      <x:c r="U139" s="81" t="n"/>
      <x:c r="V139" s="81" t="n"/>
      <x:c r="W139" s="81" t="n"/>
      <x:c r="X139" s="81" t="n"/>
      <x:c r="Y139" s="81" t="n"/>
      <x:c r="Z139" s="81" t="n"/>
      <x:c r="AA139" s="81" t="n"/>
      <x:c r="AB139" s="81" t="n"/>
      <x:c r="AC139" s="81" t="n"/>
      <x:c r="AD139" s="81" t="n"/>
      <x:c r="AE139" s="81" t="n"/>
      <x:c r="AF139" s="81" t="n"/>
      <x:c r="AG139" s="81" t="n"/>
      <x:c r="AH139" s="81" t="n"/>
      <x:c r="AI139" s="81" t="n"/>
    </x:row>
    <x:row r="140">
      <x:c r="A140" s="81" t="n"/>
      <x:c r="B140" s="81" t="n"/>
      <x:c r="C140" s="81" t="n"/>
      <x:c r="D140" s="81" t="n"/>
      <x:c r="E140" s="81" t="n"/>
      <x:c r="F140" s="81" t="n"/>
      <x:c r="G140" s="81" t="n"/>
      <x:c r="H140" s="81" t="n"/>
      <x:c r="I140" s="81" t="n"/>
      <x:c r="J140" s="81" t="n"/>
      <x:c r="K140" s="81" t="n"/>
      <x:c r="L140" s="81" t="n"/>
      <x:c r="M140" s="81" t="n"/>
      <x:c r="N140" s="81" t="n"/>
      <x:c r="O140" s="81" t="n"/>
      <x:c r="P140" s="81" t="n"/>
      <x:c r="Q140" s="81" t="n"/>
      <x:c r="R140" s="81" t="n"/>
      <x:c r="S140" s="81" t="n"/>
      <x:c r="T140" s="81" t="n"/>
      <x:c r="U140" s="81" t="n"/>
      <x:c r="V140" s="81" t="n"/>
      <x:c r="W140" s="81" t="n"/>
      <x:c r="X140" s="81" t="n"/>
      <x:c r="Y140" s="81" t="n"/>
      <x:c r="Z140" s="81" t="n"/>
      <x:c r="AA140" s="81" t="n"/>
      <x:c r="AB140" s="81" t="n"/>
      <x:c r="AC140" s="81" t="n"/>
      <x:c r="AD140" s="81" t="n"/>
      <x:c r="AE140" s="81" t="n"/>
      <x:c r="AF140" s="81" t="n"/>
      <x:c r="AG140" s="81" t="n"/>
      <x:c r="AH140" s="81" t="n"/>
      <x:c r="AI140" s="81" t="n"/>
    </x:row>
    <x:row r="141">
      <x:c r="A141" s="81" t="n"/>
      <x:c r="B141" s="81" t="n"/>
      <x:c r="C141" s="81" t="n"/>
      <x:c r="D141" s="81" t="n"/>
      <x:c r="E141" s="81" t="n"/>
      <x:c r="F141" s="81" t="n"/>
      <x:c r="G141" s="81" t="n"/>
      <x:c r="H141" s="81" t="n"/>
      <x:c r="I141" s="81" t="n"/>
      <x:c r="J141" s="81" t="n"/>
      <x:c r="K141" s="81" t="n"/>
      <x:c r="L141" s="81" t="n"/>
      <x:c r="M141" s="81" t="n"/>
      <x:c r="N141" s="81" t="n"/>
      <x:c r="O141" s="81" t="n"/>
      <x:c r="P141" s="81" t="n"/>
      <x:c r="Q141" s="81" t="n"/>
      <x:c r="R141" s="81" t="n"/>
      <x:c r="S141" s="81" t="n"/>
      <x:c r="T141" s="81" t="n"/>
      <x:c r="U141" s="81" t="n"/>
      <x:c r="V141" s="81" t="n"/>
      <x:c r="W141" s="81" t="n"/>
      <x:c r="X141" s="81" t="n"/>
      <x:c r="Y141" s="81" t="n"/>
      <x:c r="Z141" s="81" t="n"/>
      <x:c r="AA141" s="81" t="n"/>
      <x:c r="AB141" s="81" t="n"/>
      <x:c r="AC141" s="81" t="n"/>
      <x:c r="AD141" s="81" t="n"/>
      <x:c r="AE141" s="81" t="n"/>
      <x:c r="AF141" s="81" t="n"/>
      <x:c r="AG141" s="81" t="n"/>
      <x:c r="AH141" s="81" t="n"/>
      <x:c r="AI141" s="81" t="n"/>
    </x:row>
    <x:row r="142">
      <x:c r="A142" s="81" t="n"/>
      <x:c r="B142" s="81" t="n"/>
      <x:c r="C142" s="81" t="n"/>
      <x:c r="D142" s="81" t="n"/>
      <x:c r="E142" s="81" t="n"/>
      <x:c r="F142" s="81" t="n"/>
      <x:c r="G142" s="81" t="n"/>
      <x:c r="H142" s="81" t="n"/>
      <x:c r="I142" s="81" t="n"/>
      <x:c r="J142" s="81" t="n"/>
      <x:c r="K142" s="81" t="n"/>
      <x:c r="L142" s="81" t="n"/>
      <x:c r="M142" s="81" t="n"/>
      <x:c r="N142" s="81" t="n"/>
      <x:c r="O142" s="81" t="n"/>
      <x:c r="P142" s="81" t="n"/>
      <x:c r="Q142" s="81" t="n"/>
      <x:c r="R142" s="81" t="n"/>
      <x:c r="S142" s="81" t="n"/>
      <x:c r="T142" s="81" t="n"/>
      <x:c r="U142" s="81" t="n"/>
      <x:c r="V142" s="81" t="n"/>
      <x:c r="W142" s="81" t="n"/>
      <x:c r="X142" s="81" t="n"/>
      <x:c r="Y142" s="81" t="n"/>
      <x:c r="Z142" s="81" t="n"/>
      <x:c r="AA142" s="81" t="n"/>
      <x:c r="AB142" s="81" t="n"/>
      <x:c r="AC142" s="81" t="n"/>
      <x:c r="AD142" s="81" t="n"/>
      <x:c r="AE142" s="81" t="n"/>
      <x:c r="AF142" s="81" t="n"/>
      <x:c r="AG142" s="81" t="n"/>
      <x:c r="AH142" s="81" t="n"/>
      <x:c r="AI142" s="81" t="n"/>
    </x:row>
    <x:row r="143">
      <x:c r="A143" s="81" t="n"/>
      <x:c r="B143" s="81" t="n"/>
      <x:c r="C143" s="81" t="n"/>
      <x:c r="D143" s="81" t="n"/>
      <x:c r="E143" s="81" t="n"/>
      <x:c r="F143" s="81" t="n"/>
      <x:c r="G143" s="81" t="n"/>
      <x:c r="H143" s="81" t="n"/>
      <x:c r="I143" s="81" t="n"/>
      <x:c r="J143" s="81" t="n"/>
      <x:c r="K143" s="81" t="n"/>
      <x:c r="L143" s="81" t="n"/>
      <x:c r="M143" s="81" t="n"/>
      <x:c r="N143" s="81" t="n"/>
      <x:c r="O143" s="81" t="n"/>
      <x:c r="P143" s="81" t="n"/>
      <x:c r="Q143" s="81" t="n"/>
      <x:c r="R143" s="81" t="n"/>
      <x:c r="S143" s="81" t="n"/>
      <x:c r="T143" s="81" t="n"/>
      <x:c r="U143" s="81" t="n"/>
      <x:c r="V143" s="81" t="n"/>
      <x:c r="W143" s="81" t="n"/>
      <x:c r="X143" s="81" t="n"/>
      <x:c r="Y143" s="81" t="n"/>
      <x:c r="Z143" s="81" t="n"/>
      <x:c r="AA143" s="81" t="n"/>
      <x:c r="AB143" s="81" t="n"/>
      <x:c r="AC143" s="81" t="n"/>
      <x:c r="AD143" s="81" t="n"/>
      <x:c r="AE143" s="81" t="n"/>
      <x:c r="AF143" s="81" t="n"/>
      <x:c r="AG143" s="81" t="n"/>
      <x:c r="AH143" s="81" t="n"/>
      <x:c r="AI143" s="81" t="n"/>
    </x:row>
    <x:row r="144">
      <x:c r="A144" s="81" t="n"/>
      <x:c r="B144" s="81" t="n"/>
      <x:c r="C144" s="81" t="n"/>
      <x:c r="D144" s="81" t="n"/>
      <x:c r="E144" s="81" t="n"/>
      <x:c r="F144" s="81" t="n"/>
      <x:c r="G144" s="81" t="n"/>
      <x:c r="H144" s="81" t="n"/>
      <x:c r="I144" s="81" t="n"/>
      <x:c r="J144" s="81" t="n"/>
      <x:c r="K144" s="81" t="n"/>
      <x:c r="L144" s="81" t="n"/>
      <x:c r="M144" s="81" t="n"/>
      <x:c r="N144" s="81" t="n"/>
      <x:c r="O144" s="81" t="n"/>
      <x:c r="P144" s="81" t="n"/>
      <x:c r="Q144" s="81" t="n"/>
      <x:c r="R144" s="81" t="n"/>
      <x:c r="S144" s="81" t="n"/>
      <x:c r="T144" s="81" t="n"/>
      <x:c r="U144" s="81" t="n"/>
      <x:c r="V144" s="81" t="n"/>
      <x:c r="W144" s="81" t="n"/>
      <x:c r="X144" s="81" t="n"/>
      <x:c r="Y144" s="81" t="n"/>
      <x:c r="Z144" s="81" t="n"/>
      <x:c r="AA144" s="81" t="n"/>
      <x:c r="AB144" s="81" t="n"/>
      <x:c r="AC144" s="81" t="n"/>
      <x:c r="AD144" s="81" t="n"/>
      <x:c r="AE144" s="81" t="n"/>
      <x:c r="AF144" s="81" t="n"/>
      <x:c r="AG144" s="81" t="n"/>
      <x:c r="AH144" s="81" t="n"/>
      <x:c r="AI144" s="81" t="n"/>
    </x:row>
    <x:row r="145">
      <x:c r="A145" s="81" t="n"/>
      <x:c r="B145" s="81" t="n"/>
      <x:c r="C145" s="81" t="n"/>
      <x:c r="D145" s="81" t="n"/>
      <x:c r="E145" s="81" t="n"/>
      <x:c r="F145" s="81" t="n"/>
      <x:c r="G145" s="81" t="n"/>
      <x:c r="H145" s="81" t="n"/>
      <x:c r="I145" s="81" t="n"/>
      <x:c r="J145" s="81" t="n"/>
      <x:c r="K145" s="81" t="n"/>
      <x:c r="L145" s="81" t="n"/>
      <x:c r="M145" s="81" t="n"/>
      <x:c r="N145" s="81" t="n"/>
      <x:c r="O145" s="81" t="n"/>
      <x:c r="P145" s="81" t="n"/>
      <x:c r="Q145" s="81" t="n"/>
      <x:c r="R145" s="81" t="n"/>
      <x:c r="S145" s="81" t="n"/>
      <x:c r="T145" s="81" t="n"/>
      <x:c r="U145" s="81" t="n"/>
      <x:c r="V145" s="81" t="n"/>
      <x:c r="W145" s="81" t="n"/>
      <x:c r="X145" s="81" t="n"/>
      <x:c r="Y145" s="81" t="n"/>
      <x:c r="Z145" s="81" t="n"/>
      <x:c r="AA145" s="81" t="n"/>
      <x:c r="AB145" s="81" t="n"/>
      <x:c r="AC145" s="81" t="n"/>
      <x:c r="AD145" s="81" t="n"/>
      <x:c r="AE145" s="81" t="n"/>
      <x:c r="AF145" s="81" t="n"/>
      <x:c r="AG145" s="81" t="n"/>
      <x:c r="AH145" s="81" t="n"/>
      <x:c r="AI145" s="81" t="n"/>
    </x:row>
    <x:row r="146">
      <x:c r="A146" s="81" t="n"/>
      <x:c r="B146" s="81" t="n"/>
      <x:c r="C146" s="81" t="n"/>
      <x:c r="D146" s="81" t="n"/>
      <x:c r="E146" s="81" t="n"/>
      <x:c r="F146" s="81" t="n"/>
      <x:c r="G146" s="81" t="n"/>
      <x:c r="H146" s="81" t="n"/>
      <x:c r="I146" s="81" t="n"/>
      <x:c r="J146" s="81" t="n"/>
      <x:c r="K146" s="81" t="n"/>
      <x:c r="L146" s="81" t="n"/>
      <x:c r="M146" s="81" t="n"/>
      <x:c r="N146" s="81" t="n"/>
      <x:c r="O146" s="81" t="n"/>
      <x:c r="P146" s="81" t="n"/>
      <x:c r="Q146" s="81" t="n"/>
      <x:c r="R146" s="81" t="n"/>
      <x:c r="S146" s="81" t="n"/>
      <x:c r="T146" s="81" t="n"/>
      <x:c r="U146" s="81" t="n"/>
      <x:c r="V146" s="81" t="n"/>
      <x:c r="W146" s="81" t="n"/>
      <x:c r="X146" s="81" t="n"/>
      <x:c r="Y146" s="81" t="n"/>
      <x:c r="Z146" s="81" t="n"/>
      <x:c r="AA146" s="81" t="n"/>
      <x:c r="AB146" s="81" t="n"/>
      <x:c r="AC146" s="81" t="n"/>
      <x:c r="AD146" s="81" t="n"/>
      <x:c r="AE146" s="81" t="n"/>
      <x:c r="AF146" s="81" t="n"/>
      <x:c r="AG146" s="81" t="n"/>
      <x:c r="AH146" s="81" t="n"/>
      <x:c r="AI146" s="81" t="n"/>
    </x:row>
    <x:row r="147">
      <x:c r="A147" s="81" t="n"/>
      <x:c r="B147" s="81" t="n"/>
      <x:c r="C147" s="81" t="n"/>
      <x:c r="D147" s="81" t="n"/>
      <x:c r="E147" s="81" t="n"/>
      <x:c r="F147" s="81" t="n"/>
      <x:c r="G147" s="81" t="n"/>
      <x:c r="H147" s="81" t="n"/>
      <x:c r="I147" s="81" t="n"/>
      <x:c r="J147" s="81" t="n"/>
      <x:c r="K147" s="81" t="n"/>
      <x:c r="L147" s="81" t="n"/>
      <x:c r="M147" s="81" t="n"/>
      <x:c r="N147" s="81" t="n"/>
      <x:c r="O147" s="81" t="n"/>
      <x:c r="P147" s="81" t="n"/>
      <x:c r="Q147" s="81" t="n"/>
      <x:c r="R147" s="81" t="n"/>
      <x:c r="S147" s="81" t="n"/>
      <x:c r="T147" s="81" t="n"/>
      <x:c r="U147" s="81" t="n"/>
      <x:c r="V147" s="81" t="n"/>
      <x:c r="W147" s="81" t="n"/>
      <x:c r="X147" s="81" t="n"/>
      <x:c r="Y147" s="81" t="n"/>
      <x:c r="Z147" s="81" t="n"/>
      <x:c r="AA147" s="81" t="n"/>
      <x:c r="AB147" s="81" t="n"/>
      <x:c r="AC147" s="81" t="n"/>
      <x:c r="AD147" s="81" t="n"/>
      <x:c r="AE147" s="81" t="n"/>
      <x:c r="AF147" s="81" t="n"/>
      <x:c r="AG147" s="81" t="n"/>
      <x:c r="AH147" s="81" t="n"/>
      <x:c r="AI147" s="81" t="n"/>
    </x:row>
    <x:row r="148">
      <x:c r="A148" s="81" t="n"/>
      <x:c r="B148" s="81" t="n"/>
      <x:c r="C148" s="81" t="n"/>
      <x:c r="D148" s="81" t="n"/>
      <x:c r="E148" s="81" t="n"/>
      <x:c r="F148" s="81" t="n"/>
      <x:c r="G148" s="81" t="n"/>
      <x:c r="H148" s="81" t="n"/>
      <x:c r="I148" s="81" t="n"/>
      <x:c r="J148" s="81" t="n"/>
      <x:c r="K148" s="81" t="n"/>
      <x:c r="L148" s="81" t="n"/>
      <x:c r="M148" s="81" t="n"/>
      <x:c r="N148" s="81" t="n"/>
      <x:c r="O148" s="81" t="n"/>
      <x:c r="P148" s="81" t="n"/>
      <x:c r="Q148" s="81" t="n"/>
      <x:c r="R148" s="81" t="n"/>
      <x:c r="S148" s="81" t="n"/>
      <x:c r="T148" s="81" t="n"/>
      <x:c r="U148" s="81" t="n"/>
      <x:c r="V148" s="81" t="n"/>
      <x:c r="W148" s="81" t="n"/>
      <x:c r="X148" s="81" t="n"/>
      <x:c r="Y148" s="81" t="n"/>
      <x:c r="Z148" s="81" t="n"/>
      <x:c r="AA148" s="81" t="n"/>
      <x:c r="AB148" s="81" t="n"/>
      <x:c r="AC148" s="81" t="n"/>
      <x:c r="AD148" s="81" t="n"/>
      <x:c r="AE148" s="81" t="n"/>
      <x:c r="AF148" s="81" t="n"/>
      <x:c r="AG148" s="81" t="n"/>
      <x:c r="AH148" s="81" t="n"/>
      <x:c r="AI148" s="81" t="n"/>
    </x:row>
    <x:row r="149">
      <x:c r="A149" s="81" t="n"/>
      <x:c r="B149" s="81" t="n"/>
      <x:c r="C149" s="81" t="n"/>
      <x:c r="D149" s="81" t="n"/>
      <x:c r="E149" s="81" t="n"/>
      <x:c r="F149" s="81" t="n"/>
      <x:c r="G149" s="81" t="n"/>
      <x:c r="H149" s="81" t="n"/>
      <x:c r="I149" s="81" t="n"/>
      <x:c r="J149" s="81" t="n"/>
      <x:c r="K149" s="81" t="n"/>
      <x:c r="L149" s="81" t="n"/>
      <x:c r="M149" s="81" t="n"/>
      <x:c r="N149" s="81" t="n"/>
      <x:c r="O149" s="81" t="n"/>
      <x:c r="P149" s="81" t="n"/>
      <x:c r="Q149" s="81" t="n"/>
      <x:c r="R149" s="81" t="n"/>
      <x:c r="S149" s="81" t="n"/>
      <x:c r="T149" s="81" t="n"/>
      <x:c r="U149" s="81" t="n"/>
      <x:c r="V149" s="81" t="n"/>
      <x:c r="W149" s="81" t="n"/>
      <x:c r="X149" s="81" t="n"/>
      <x:c r="Y149" s="81" t="n"/>
      <x:c r="Z149" s="81" t="n"/>
      <x:c r="AA149" s="81" t="n"/>
      <x:c r="AB149" s="81" t="n"/>
      <x:c r="AC149" s="81" t="n"/>
      <x:c r="AD149" s="81" t="n"/>
      <x:c r="AE149" s="81" t="n"/>
      <x:c r="AF149" s="81" t="n"/>
      <x:c r="AG149" s="81" t="n"/>
      <x:c r="AH149" s="81" t="n"/>
      <x:c r="AI149" s="81" t="n"/>
    </x:row>
    <x:row r="150">
      <x:c r="A150" s="81" t="n"/>
      <x:c r="B150" s="81" t="n"/>
      <x:c r="C150" s="81" t="n"/>
      <x:c r="D150" s="81" t="n"/>
      <x:c r="E150" s="81" t="n"/>
      <x:c r="F150" s="81" t="n"/>
      <x:c r="G150" s="81" t="n"/>
      <x:c r="H150" s="81" t="n"/>
      <x:c r="I150" s="81" t="n"/>
      <x:c r="J150" s="81" t="n"/>
      <x:c r="K150" s="81" t="n"/>
      <x:c r="L150" s="81" t="n"/>
      <x:c r="M150" s="81" t="n"/>
      <x:c r="N150" s="81" t="n"/>
      <x:c r="O150" s="81" t="n"/>
      <x:c r="P150" s="81" t="n"/>
      <x:c r="Q150" s="81" t="n"/>
      <x:c r="R150" s="81" t="n"/>
      <x:c r="S150" s="81" t="n"/>
      <x:c r="T150" s="81" t="n"/>
      <x:c r="U150" s="81" t="n"/>
      <x:c r="V150" s="81" t="n"/>
      <x:c r="W150" s="81" t="n"/>
      <x:c r="X150" s="81" t="n"/>
      <x:c r="Y150" s="81" t="n"/>
      <x:c r="Z150" s="81" t="n"/>
      <x:c r="AA150" s="81" t="n"/>
      <x:c r="AB150" s="81" t="n"/>
      <x:c r="AC150" s="81" t="n"/>
      <x:c r="AD150" s="81" t="n"/>
      <x:c r="AE150" s="81" t="n"/>
      <x:c r="AF150" s="81" t="n"/>
      <x:c r="AG150" s="81" t="n"/>
      <x:c r="AH150" s="81" t="n"/>
      <x:c r="AI150" s="81" t="n"/>
    </x:row>
    <x:row r="151">
      <x:c r="A151" s="81" t="n"/>
      <x:c r="B151" s="81" t="n"/>
      <x:c r="C151" s="81" t="n"/>
      <x:c r="D151" s="81" t="n"/>
      <x:c r="E151" s="81" t="n"/>
      <x:c r="F151" s="81" t="n"/>
      <x:c r="G151" s="81" t="n"/>
      <x:c r="H151" s="81" t="n"/>
      <x:c r="I151" s="81" t="n"/>
      <x:c r="J151" s="81" t="n"/>
      <x:c r="K151" s="81" t="n"/>
      <x:c r="L151" s="81" t="n"/>
      <x:c r="M151" s="81" t="n"/>
      <x:c r="N151" s="81" t="n"/>
      <x:c r="O151" s="81" t="n"/>
      <x:c r="P151" s="81" t="n"/>
      <x:c r="Q151" s="81" t="n"/>
      <x:c r="R151" s="81" t="n"/>
      <x:c r="S151" s="81" t="n"/>
      <x:c r="T151" s="81" t="n"/>
      <x:c r="U151" s="81" t="n"/>
      <x:c r="V151" s="81" t="n"/>
      <x:c r="W151" s="81" t="n"/>
      <x:c r="X151" s="81" t="n"/>
      <x:c r="Y151" s="81" t="n"/>
      <x:c r="Z151" s="81" t="n"/>
      <x:c r="AA151" s="81" t="n"/>
      <x:c r="AB151" s="81" t="n"/>
      <x:c r="AC151" s="81" t="n"/>
      <x:c r="AD151" s="81" t="n"/>
      <x:c r="AE151" s="81" t="n"/>
      <x:c r="AF151" s="81" t="n"/>
      <x:c r="AG151" s="81" t="n"/>
      <x:c r="AH151" s="81" t="n"/>
      <x:c r="AI151" s="81" t="n"/>
    </x:row>
    <x:row r="152">
      <x:c r="A152" s="81" t="n"/>
      <x:c r="B152" s="81" t="n"/>
      <x:c r="C152" s="81" t="n"/>
      <x:c r="D152" s="81" t="n"/>
      <x:c r="E152" s="81" t="n"/>
      <x:c r="F152" s="81" t="n"/>
      <x:c r="G152" s="81" t="n"/>
      <x:c r="H152" s="81" t="n"/>
      <x:c r="I152" s="81" t="n"/>
      <x:c r="J152" s="81" t="n"/>
      <x:c r="K152" s="81" t="n"/>
      <x:c r="L152" s="81" t="n"/>
      <x:c r="M152" s="81" t="n"/>
      <x:c r="N152" s="81" t="n"/>
      <x:c r="O152" s="81" t="n"/>
      <x:c r="P152" s="81" t="n"/>
      <x:c r="Q152" s="81" t="n"/>
      <x:c r="R152" s="81" t="n"/>
      <x:c r="S152" s="81" t="n"/>
      <x:c r="T152" s="81" t="n"/>
      <x:c r="U152" s="81" t="n"/>
      <x:c r="V152" s="81" t="n"/>
      <x:c r="W152" s="81" t="n"/>
      <x:c r="X152" s="81" t="n"/>
      <x:c r="Y152" s="81" t="n"/>
      <x:c r="Z152" s="81" t="n"/>
      <x:c r="AA152" s="81" t="n"/>
      <x:c r="AB152" s="81" t="n"/>
      <x:c r="AC152" s="81" t="n"/>
      <x:c r="AD152" s="81" t="n"/>
      <x:c r="AE152" s="81" t="n"/>
      <x:c r="AF152" s="81" t="n"/>
      <x:c r="AG152" s="81" t="n"/>
      <x:c r="AH152" s="81" t="n"/>
      <x:c r="AI152" s="81" t="n"/>
    </x:row>
    <x:row r="153">
      <x:c r="A153" s="81" t="n"/>
      <x:c r="B153" s="81" t="n"/>
      <x:c r="C153" s="81" t="n"/>
      <x:c r="D153" s="81" t="n"/>
      <x:c r="E153" s="81" t="n"/>
      <x:c r="F153" s="81" t="n"/>
      <x:c r="G153" s="81" t="n"/>
      <x:c r="H153" s="81" t="n"/>
      <x:c r="I153" s="81" t="n"/>
      <x:c r="J153" s="81" t="n"/>
      <x:c r="K153" s="81" t="n"/>
      <x:c r="L153" s="81" t="n"/>
      <x:c r="M153" s="81" t="n"/>
      <x:c r="N153" s="81" t="n"/>
      <x:c r="O153" s="81" t="n"/>
      <x:c r="P153" s="81" t="n"/>
      <x:c r="Q153" s="81" t="n"/>
      <x:c r="R153" s="81" t="n"/>
      <x:c r="S153" s="81" t="n"/>
      <x:c r="T153" s="81" t="n"/>
      <x:c r="U153" s="81" t="n"/>
      <x:c r="V153" s="81" t="n"/>
      <x:c r="W153" s="81" t="n"/>
      <x:c r="X153" s="81" t="n"/>
      <x:c r="Y153" s="81" t="n"/>
      <x:c r="Z153" s="81" t="n"/>
      <x:c r="AA153" s="81" t="n"/>
      <x:c r="AB153" s="81" t="n"/>
      <x:c r="AC153" s="81" t="n"/>
      <x:c r="AD153" s="81" t="n"/>
      <x:c r="AE153" s="81" t="n"/>
      <x:c r="AF153" s="81" t="n"/>
      <x:c r="AG153" s="81" t="n"/>
      <x:c r="AH153" s="81" t="n"/>
      <x:c r="AI153" s="81" t="n"/>
    </x:row>
    <x:row r="154">
      <x:c r="A154" s="81" t="n"/>
      <x:c r="B154" s="81" t="n"/>
      <x:c r="C154" s="81" t="n"/>
      <x:c r="D154" s="81" t="n"/>
      <x:c r="E154" s="81" t="n"/>
      <x:c r="F154" s="81" t="n"/>
      <x:c r="G154" s="81" t="n"/>
      <x:c r="H154" s="81" t="n"/>
      <x:c r="I154" s="81" t="n"/>
      <x:c r="J154" s="81" t="n"/>
      <x:c r="K154" s="81" t="n"/>
      <x:c r="L154" s="81" t="n"/>
      <x:c r="M154" s="81" t="n"/>
      <x:c r="N154" s="81" t="n"/>
      <x:c r="O154" s="81" t="n"/>
      <x:c r="P154" s="81" t="n"/>
      <x:c r="Q154" s="81" t="n"/>
      <x:c r="R154" s="81" t="n"/>
      <x:c r="S154" s="81" t="n"/>
      <x:c r="T154" s="81" t="n"/>
      <x:c r="U154" s="81" t="n"/>
      <x:c r="V154" s="81" t="n"/>
      <x:c r="W154" s="81" t="n"/>
      <x:c r="X154" s="81" t="n"/>
      <x:c r="Y154" s="81" t="n"/>
      <x:c r="Z154" s="81" t="n"/>
      <x:c r="AA154" s="81" t="n"/>
      <x:c r="AB154" s="81" t="n"/>
      <x:c r="AC154" s="81" t="n"/>
      <x:c r="AD154" s="81" t="n"/>
      <x:c r="AE154" s="81" t="n"/>
      <x:c r="AF154" s="81" t="n"/>
      <x:c r="AG154" s="81" t="n"/>
      <x:c r="AH154" s="81" t="n"/>
      <x:c r="AI154" s="81" t="n"/>
    </x:row>
    <x:row r="155">
      <x:c r="A155" s="81" t="n"/>
      <x:c r="B155" s="81" t="n"/>
      <x:c r="C155" s="81" t="n"/>
      <x:c r="D155" s="81" t="n"/>
      <x:c r="E155" s="81" t="n"/>
      <x:c r="F155" s="81" t="n"/>
      <x:c r="G155" s="81" t="n"/>
      <x:c r="H155" s="81" t="n"/>
      <x:c r="I155" s="81" t="n"/>
      <x:c r="J155" s="81" t="n"/>
      <x:c r="K155" s="81" t="n"/>
      <x:c r="L155" s="81" t="n"/>
      <x:c r="M155" s="81" t="n"/>
      <x:c r="N155" s="81" t="n"/>
      <x:c r="O155" s="81" t="n"/>
      <x:c r="P155" s="81" t="n"/>
      <x:c r="Q155" s="81" t="n"/>
      <x:c r="R155" s="81" t="n"/>
      <x:c r="S155" s="81" t="n"/>
      <x:c r="T155" s="81" t="n"/>
      <x:c r="U155" s="81" t="n"/>
      <x:c r="V155" s="81" t="n"/>
      <x:c r="W155" s="81" t="n"/>
      <x:c r="X155" s="81" t="n"/>
      <x:c r="Y155" s="81" t="n"/>
      <x:c r="Z155" s="81" t="n"/>
      <x:c r="AA155" s="81" t="n"/>
      <x:c r="AB155" s="81" t="n"/>
      <x:c r="AC155" s="81" t="n"/>
      <x:c r="AD155" s="81" t="n"/>
      <x:c r="AE155" s="81" t="n"/>
      <x:c r="AF155" s="81" t="n"/>
      <x:c r="AG155" s="81" t="n"/>
      <x:c r="AH155" s="81" t="n"/>
      <x:c r="AI155" s="81" t="n"/>
    </x:row>
    <x:row r="156">
      <x:c r="A156" s="81" t="n"/>
      <x:c r="B156" s="81" t="n"/>
      <x:c r="C156" s="81" t="n"/>
      <x:c r="D156" s="81" t="n"/>
      <x:c r="E156" s="81" t="n"/>
      <x:c r="F156" s="81" t="n"/>
      <x:c r="G156" s="81" t="n"/>
      <x:c r="H156" s="81" t="n"/>
      <x:c r="I156" s="81" t="n"/>
      <x:c r="J156" s="81" t="n"/>
      <x:c r="K156" s="81" t="n"/>
      <x:c r="L156" s="81" t="n"/>
      <x:c r="M156" s="81" t="n"/>
      <x:c r="N156" s="81" t="n"/>
      <x:c r="O156" s="81" t="n"/>
      <x:c r="P156" s="81" t="n"/>
      <x:c r="Q156" s="81" t="n"/>
      <x:c r="R156" s="81" t="n"/>
      <x:c r="S156" s="81" t="n"/>
      <x:c r="T156" s="81" t="n"/>
      <x:c r="U156" s="81" t="n"/>
      <x:c r="V156" s="81" t="n"/>
      <x:c r="W156" s="81" t="n"/>
      <x:c r="X156" s="81" t="n"/>
      <x:c r="Y156" s="81" t="n"/>
      <x:c r="Z156" s="81" t="n"/>
      <x:c r="AA156" s="81" t="n"/>
      <x:c r="AB156" s="81" t="n"/>
      <x:c r="AC156" s="81" t="n"/>
      <x:c r="AD156" s="81" t="n"/>
      <x:c r="AE156" s="81" t="n"/>
      <x:c r="AF156" s="81" t="n"/>
      <x:c r="AG156" s="81" t="n"/>
      <x:c r="AH156" s="81" t="n"/>
      <x:c r="AI156" s="81" t="n"/>
    </x:row>
    <x:row r="157">
      <x:c r="A157" s="81" t="n"/>
      <x:c r="B157" s="81" t="n"/>
      <x:c r="C157" s="81" t="n"/>
      <x:c r="D157" s="81" t="n"/>
      <x:c r="E157" s="81" t="n"/>
      <x:c r="F157" s="81" t="n"/>
      <x:c r="G157" s="81" t="n"/>
      <x:c r="H157" s="81" t="n"/>
      <x:c r="I157" s="81" t="n"/>
      <x:c r="J157" s="81" t="n"/>
      <x:c r="K157" s="81" t="n"/>
      <x:c r="L157" s="81" t="n"/>
      <x:c r="M157" s="81" t="n"/>
      <x:c r="N157" s="81" t="n"/>
      <x:c r="O157" s="81" t="n"/>
      <x:c r="P157" s="81" t="n"/>
      <x:c r="Q157" s="81" t="n"/>
      <x:c r="R157" s="81" t="n"/>
      <x:c r="S157" s="81" t="n"/>
      <x:c r="T157" s="81" t="n"/>
      <x:c r="U157" s="81" t="n"/>
      <x:c r="V157" s="81" t="n"/>
      <x:c r="W157" s="81" t="n"/>
      <x:c r="X157" s="81" t="n"/>
      <x:c r="Y157" s="81" t="n"/>
      <x:c r="Z157" s="81" t="n"/>
      <x:c r="AA157" s="81" t="n"/>
      <x:c r="AB157" s="81" t="n"/>
      <x:c r="AC157" s="81" t="n"/>
      <x:c r="AD157" s="81" t="n"/>
      <x:c r="AE157" s="81" t="n"/>
      <x:c r="AF157" s="81" t="n"/>
      <x:c r="AG157" s="81" t="n"/>
      <x:c r="AH157" s="81" t="n"/>
      <x:c r="AI157" s="81" t="n"/>
    </x:row>
    <x:row r="158">
      <x:c r="A158" s="81" t="n"/>
      <x:c r="B158" s="81" t="n"/>
      <x:c r="C158" s="81" t="n"/>
      <x:c r="D158" s="81" t="n"/>
      <x:c r="E158" s="81" t="n"/>
      <x:c r="F158" s="81" t="n"/>
      <x:c r="G158" s="81" t="n"/>
      <x:c r="H158" s="81" t="n"/>
      <x:c r="I158" s="81" t="n"/>
      <x:c r="J158" s="81" t="n"/>
      <x:c r="K158" s="81" t="n"/>
      <x:c r="L158" s="81" t="n"/>
      <x:c r="M158" s="81" t="n"/>
      <x:c r="N158" s="81" t="n"/>
      <x:c r="O158" s="81" t="n"/>
      <x:c r="P158" s="81" t="n"/>
      <x:c r="Q158" s="81" t="n"/>
      <x:c r="R158" s="81" t="n"/>
      <x:c r="S158" s="81" t="n"/>
      <x:c r="T158" s="81" t="n"/>
      <x:c r="U158" s="81" t="n"/>
      <x:c r="V158" s="81" t="n"/>
      <x:c r="W158" s="81" t="n"/>
      <x:c r="X158" s="81" t="n"/>
      <x:c r="Y158" s="81" t="n"/>
      <x:c r="Z158" s="81" t="n"/>
      <x:c r="AA158" s="81" t="n"/>
      <x:c r="AB158" s="81" t="n"/>
      <x:c r="AC158" s="81" t="n"/>
      <x:c r="AD158" s="81" t="n"/>
      <x:c r="AE158" s="81" t="n"/>
      <x:c r="AF158" s="81" t="n"/>
      <x:c r="AG158" s="81" t="n"/>
      <x:c r="AH158" s="81" t="n"/>
      <x:c r="AI158" s="81" t="n"/>
    </x:row>
    <x:row r="159">
      <x:c r="A159" s="81" t="n"/>
      <x:c r="B159" s="81" t="n"/>
      <x:c r="C159" s="81" t="n"/>
      <x:c r="D159" s="81" t="n"/>
      <x:c r="E159" s="81" t="n"/>
      <x:c r="F159" s="81" t="n"/>
      <x:c r="G159" s="81" t="n"/>
      <x:c r="H159" s="81" t="n"/>
      <x:c r="I159" s="81" t="n"/>
      <x:c r="J159" s="81" t="n"/>
      <x:c r="K159" s="81" t="n"/>
      <x:c r="L159" s="81" t="n"/>
      <x:c r="M159" s="81" t="n"/>
      <x:c r="N159" s="81" t="n"/>
      <x:c r="O159" s="81" t="n"/>
      <x:c r="P159" s="81" t="n"/>
      <x:c r="Q159" s="81" t="n"/>
      <x:c r="R159" s="81" t="n"/>
      <x:c r="S159" s="81" t="n"/>
      <x:c r="T159" s="81" t="n"/>
      <x:c r="U159" s="81" t="n"/>
      <x:c r="V159" s="81" t="n"/>
      <x:c r="W159" s="81" t="n"/>
      <x:c r="X159" s="81" t="n"/>
      <x:c r="Y159" s="81" t="n"/>
      <x:c r="Z159" s="81" t="n"/>
      <x:c r="AA159" s="81" t="n"/>
      <x:c r="AB159" s="81" t="n"/>
      <x:c r="AC159" s="81" t="n"/>
      <x:c r="AD159" s="81" t="n"/>
      <x:c r="AE159" s="81" t="n"/>
      <x:c r="AF159" s="81" t="n"/>
      <x:c r="AG159" s="81" t="n"/>
      <x:c r="AH159" s="81" t="n"/>
      <x:c r="AI159" s="81" t="n"/>
    </x:row>
    <x:row r="160">
      <x:c r="A160" s="81" t="n"/>
      <x:c r="B160" s="81" t="n"/>
      <x:c r="C160" s="81" t="n"/>
      <x:c r="D160" s="81" t="n"/>
      <x:c r="E160" s="81" t="n"/>
      <x:c r="F160" s="81" t="n"/>
      <x:c r="G160" s="81" t="n"/>
      <x:c r="H160" s="81" t="n"/>
      <x:c r="I160" s="81" t="n"/>
      <x:c r="J160" s="81" t="n"/>
      <x:c r="K160" s="81" t="n"/>
      <x:c r="L160" s="81" t="n"/>
      <x:c r="M160" s="81" t="n"/>
      <x:c r="N160" s="81" t="n"/>
      <x:c r="O160" s="81" t="n"/>
      <x:c r="P160" s="81" t="n"/>
      <x:c r="Q160" s="81" t="n"/>
      <x:c r="R160" s="81" t="n"/>
      <x:c r="S160" s="81" t="n"/>
      <x:c r="T160" s="81" t="n"/>
      <x:c r="U160" s="81" t="n"/>
      <x:c r="V160" s="81" t="n"/>
      <x:c r="W160" s="81" t="n"/>
      <x:c r="X160" s="81" t="n"/>
      <x:c r="Y160" s="81" t="n"/>
      <x:c r="Z160" s="81" t="n"/>
      <x:c r="AA160" s="81" t="n"/>
      <x:c r="AB160" s="81" t="n"/>
      <x:c r="AC160" s="81" t="n"/>
      <x:c r="AD160" s="81" t="n"/>
      <x:c r="AE160" s="81" t="n"/>
      <x:c r="AF160" s="81" t="n"/>
      <x:c r="AG160" s="81" t="n"/>
      <x:c r="AH160" s="81" t="n"/>
      <x:c r="AI160" s="81" t="n"/>
    </x:row>
    <x:row r="161">
      <x:c r="A161" s="81" t="n"/>
      <x:c r="B161" s="81" t="n"/>
      <x:c r="C161" s="81" t="n"/>
      <x:c r="D161" s="81" t="n"/>
      <x:c r="E161" s="81" t="n"/>
      <x:c r="F161" s="81" t="n"/>
      <x:c r="G161" s="81" t="n"/>
      <x:c r="H161" s="81" t="n"/>
      <x:c r="I161" s="81" t="n"/>
      <x:c r="J161" s="81" t="n"/>
      <x:c r="K161" s="81" t="n"/>
      <x:c r="L161" s="81" t="n"/>
      <x:c r="M161" s="81" t="n"/>
      <x:c r="N161" s="81" t="n"/>
      <x:c r="O161" s="81" t="n"/>
      <x:c r="P161" s="81" t="n"/>
      <x:c r="Q161" s="81" t="n"/>
      <x:c r="R161" s="81" t="n"/>
      <x:c r="S161" s="81" t="n"/>
      <x:c r="T161" s="81" t="n"/>
      <x:c r="U161" s="81" t="n"/>
      <x:c r="V161" s="81" t="n"/>
      <x:c r="W161" s="81" t="n"/>
      <x:c r="X161" s="81" t="n"/>
      <x:c r="Y161" s="81" t="n"/>
      <x:c r="Z161" s="81" t="n"/>
      <x:c r="AA161" s="81" t="n"/>
      <x:c r="AB161" s="81" t="n"/>
      <x:c r="AC161" s="81" t="n"/>
      <x:c r="AD161" s="81" t="n"/>
      <x:c r="AE161" s="81" t="n"/>
      <x:c r="AF161" s="81" t="n"/>
      <x:c r="AG161" s="81" t="n"/>
      <x:c r="AH161" s="81" t="n"/>
      <x:c r="AI161" s="81" t="n"/>
    </x:row>
    <x:row r="162">
      <x:c r="A162" s="81" t="n"/>
      <x:c r="B162" s="81" t="n"/>
      <x:c r="C162" s="81" t="n"/>
      <x:c r="D162" s="81" t="n"/>
      <x:c r="E162" s="81" t="n"/>
      <x:c r="F162" s="81" t="n"/>
      <x:c r="G162" s="81" t="n"/>
      <x:c r="H162" s="81" t="n"/>
      <x:c r="I162" s="81" t="n"/>
      <x:c r="J162" s="81" t="n"/>
      <x:c r="K162" s="81" t="n"/>
      <x:c r="L162" s="81" t="n"/>
      <x:c r="M162" s="81" t="n"/>
      <x:c r="N162" s="81" t="n"/>
      <x:c r="O162" s="81" t="n"/>
      <x:c r="P162" s="81" t="n"/>
      <x:c r="Q162" s="81" t="n"/>
      <x:c r="R162" s="81" t="n"/>
      <x:c r="S162" s="81" t="n"/>
      <x:c r="T162" s="81" t="n"/>
      <x:c r="U162" s="81" t="n"/>
      <x:c r="V162" s="81" t="n"/>
      <x:c r="W162" s="81" t="n"/>
      <x:c r="X162" s="81" t="n"/>
      <x:c r="Y162" s="81" t="n"/>
      <x:c r="Z162" s="81" t="n"/>
      <x:c r="AA162" s="81" t="n"/>
      <x:c r="AB162" s="81" t="n"/>
      <x:c r="AC162" s="81" t="n"/>
      <x:c r="AD162" s="81" t="n"/>
      <x:c r="AE162" s="81" t="n"/>
      <x:c r="AF162" s="81" t="n"/>
      <x:c r="AG162" s="81" t="n"/>
      <x:c r="AH162" s="81" t="n"/>
      <x:c r="AI162" s="81" t="n"/>
    </x:row>
    <x:row r="163">
      <x:c r="A163" s="81" t="n"/>
      <x:c r="B163" s="81" t="n"/>
      <x:c r="C163" s="81" t="n"/>
      <x:c r="D163" s="81" t="n"/>
      <x:c r="E163" s="81" t="n"/>
      <x:c r="F163" s="81" t="n"/>
      <x:c r="G163" s="81" t="n"/>
      <x:c r="H163" s="81" t="n"/>
      <x:c r="I163" s="81" t="n"/>
      <x:c r="J163" s="81" t="n"/>
      <x:c r="K163" s="81" t="n"/>
      <x:c r="L163" s="81" t="n"/>
      <x:c r="M163" s="81" t="n"/>
      <x:c r="N163" s="81" t="n"/>
      <x:c r="O163" s="81" t="n"/>
      <x:c r="P163" s="81" t="n"/>
      <x:c r="Q163" s="81" t="n"/>
      <x:c r="R163" s="81" t="n"/>
      <x:c r="S163" s="81" t="n"/>
      <x:c r="T163" s="81" t="n"/>
      <x:c r="U163" s="81" t="n"/>
      <x:c r="V163" s="81" t="n"/>
      <x:c r="W163" s="81" t="n"/>
      <x:c r="X163" s="81" t="n"/>
      <x:c r="Y163" s="81" t="n"/>
      <x:c r="Z163" s="81" t="n"/>
      <x:c r="AA163" s="81" t="n"/>
      <x:c r="AB163" s="81" t="n"/>
      <x:c r="AC163" s="81" t="n"/>
      <x:c r="AD163" s="81" t="n"/>
      <x:c r="AE163" s="81" t="n"/>
      <x:c r="AF163" s="81" t="n"/>
      <x:c r="AG163" s="81" t="n"/>
      <x:c r="AH163" s="81" t="n"/>
      <x:c r="AI163" s="81" t="n"/>
    </x:row>
    <x:row r="164">
      <x:c r="A164" s="81" t="n"/>
      <x:c r="B164" s="81" t="n"/>
      <x:c r="C164" s="81" t="n"/>
      <x:c r="D164" s="81" t="n"/>
      <x:c r="E164" s="81" t="n"/>
      <x:c r="F164" s="81" t="n"/>
      <x:c r="G164" s="81" t="n"/>
      <x:c r="H164" s="81" t="n"/>
      <x:c r="I164" s="81" t="n"/>
      <x:c r="J164" s="81" t="n"/>
      <x:c r="K164" s="81" t="n"/>
      <x:c r="L164" s="81" t="n"/>
      <x:c r="M164" s="81" t="n"/>
      <x:c r="N164" s="81" t="n"/>
      <x:c r="O164" s="81" t="n"/>
      <x:c r="P164" s="81" t="n"/>
      <x:c r="Q164" s="81" t="n"/>
      <x:c r="R164" s="81" t="n"/>
      <x:c r="S164" s="81" t="n"/>
      <x:c r="T164" s="81" t="n"/>
      <x:c r="U164" s="81" t="n"/>
      <x:c r="V164" s="81" t="n"/>
      <x:c r="W164" s="81" t="n"/>
      <x:c r="X164" s="81" t="n"/>
      <x:c r="Y164" s="81" t="n"/>
      <x:c r="Z164" s="81" t="n"/>
      <x:c r="AA164" s="81" t="n"/>
      <x:c r="AB164" s="81" t="n"/>
      <x:c r="AC164" s="81" t="n"/>
      <x:c r="AD164" s="81" t="n"/>
      <x:c r="AE164" s="81" t="n"/>
      <x:c r="AF164" s="81" t="n"/>
      <x:c r="AG164" s="81" t="n"/>
      <x:c r="AH164" s="81" t="n"/>
      <x:c r="AI164" s="81" t="n"/>
    </x:row>
    <x:row r="165">
      <x:c r="A165" s="81" t="n"/>
      <x:c r="B165" s="81" t="n"/>
      <x:c r="C165" s="81" t="n"/>
      <x:c r="D165" s="81" t="n"/>
      <x:c r="E165" s="81" t="n"/>
      <x:c r="F165" s="81" t="n"/>
      <x:c r="G165" s="81" t="n"/>
      <x:c r="H165" s="81" t="n"/>
      <x:c r="I165" s="81" t="n"/>
      <x:c r="J165" s="81" t="n"/>
      <x:c r="K165" s="81" t="n"/>
      <x:c r="L165" s="81" t="n"/>
      <x:c r="M165" s="81" t="n"/>
      <x:c r="N165" s="81" t="n"/>
      <x:c r="O165" s="81" t="n"/>
      <x:c r="P165" s="81" t="n"/>
      <x:c r="Q165" s="81" t="n"/>
      <x:c r="R165" s="81" t="n"/>
      <x:c r="S165" s="81" t="n"/>
      <x:c r="T165" s="81" t="n"/>
      <x:c r="U165" s="81" t="n"/>
      <x:c r="V165" s="81" t="n"/>
      <x:c r="W165" s="81" t="n"/>
      <x:c r="X165" s="81" t="n"/>
      <x:c r="Y165" s="81" t="n"/>
      <x:c r="Z165" s="81" t="n"/>
      <x:c r="AA165" s="81" t="n"/>
      <x:c r="AB165" s="81" t="n"/>
      <x:c r="AC165" s="81" t="n"/>
      <x:c r="AD165" s="81" t="n"/>
      <x:c r="AE165" s="81" t="n"/>
      <x:c r="AF165" s="81" t="n"/>
      <x:c r="AG165" s="81" t="n"/>
      <x:c r="AH165" s="81" t="n"/>
      <x:c r="AI165" s="81" t="n"/>
    </x:row>
    <x:row r="166">
      <x:c r="A166" s="81" t="n"/>
      <x:c r="B166" s="81" t="n"/>
      <x:c r="C166" s="81" t="n"/>
      <x:c r="D166" s="81" t="n"/>
      <x:c r="E166" s="81" t="n"/>
      <x:c r="F166" s="81" t="n"/>
      <x:c r="G166" s="81" t="n"/>
      <x:c r="H166" s="81" t="n"/>
      <x:c r="I166" s="81" t="n"/>
      <x:c r="J166" s="81" t="n"/>
      <x:c r="K166" s="81" t="n"/>
      <x:c r="L166" s="81" t="n"/>
      <x:c r="M166" s="81" t="n"/>
      <x:c r="N166" s="81" t="n"/>
      <x:c r="O166" s="81" t="n"/>
      <x:c r="P166" s="81" t="n"/>
      <x:c r="Q166" s="81" t="n"/>
      <x:c r="R166" s="81" t="n"/>
      <x:c r="S166" s="81" t="n"/>
      <x:c r="T166" s="81" t="n"/>
      <x:c r="U166" s="81" t="n"/>
      <x:c r="V166" s="81" t="n"/>
      <x:c r="W166" s="81" t="n"/>
      <x:c r="X166" s="81" t="n"/>
      <x:c r="Y166" s="81" t="n"/>
      <x:c r="Z166" s="81" t="n"/>
      <x:c r="AA166" s="81" t="n"/>
      <x:c r="AB166" s="81" t="n"/>
      <x:c r="AC166" s="81" t="n"/>
      <x:c r="AD166" s="81" t="n"/>
      <x:c r="AE166" s="81" t="n"/>
      <x:c r="AF166" s="81" t="n"/>
      <x:c r="AG166" s="81" t="n"/>
      <x:c r="AH166" s="81" t="n"/>
      <x:c r="AI166" s="81" t="n"/>
    </x:row>
    <x:row r="167">
      <x:c r="A167" s="81" t="n"/>
      <x:c r="B167" s="81" t="n"/>
      <x:c r="C167" s="81" t="n"/>
      <x:c r="D167" s="81" t="n"/>
      <x:c r="E167" s="81" t="n"/>
      <x:c r="F167" s="81" t="n"/>
      <x:c r="G167" s="81" t="n"/>
      <x:c r="H167" s="81" t="n"/>
      <x:c r="I167" s="81" t="n"/>
      <x:c r="J167" s="81" t="n"/>
      <x:c r="K167" s="81" t="n"/>
      <x:c r="L167" s="81" t="n"/>
      <x:c r="M167" s="81" t="n"/>
      <x:c r="N167" s="81" t="n"/>
      <x:c r="O167" s="81" t="n"/>
      <x:c r="P167" s="81" t="n"/>
      <x:c r="Q167" s="81" t="n"/>
      <x:c r="R167" s="81" t="n"/>
      <x:c r="S167" s="81" t="n"/>
      <x:c r="T167" s="81" t="n"/>
      <x:c r="U167" s="81" t="n"/>
      <x:c r="V167" s="81" t="n"/>
      <x:c r="W167" s="81" t="n"/>
      <x:c r="X167" s="81" t="n"/>
      <x:c r="Y167" s="81" t="n"/>
      <x:c r="Z167" s="81" t="n"/>
      <x:c r="AA167" s="81" t="n"/>
      <x:c r="AB167" s="81" t="n"/>
      <x:c r="AC167" s="81" t="n"/>
      <x:c r="AD167" s="81" t="n"/>
      <x:c r="AE167" s="81" t="n"/>
      <x:c r="AF167" s="81" t="n"/>
      <x:c r="AG167" s="81" t="n"/>
      <x:c r="AH167" s="81" t="n"/>
      <x:c r="AI167" s="81" t="n"/>
    </x:row>
    <x:row r="168">
      <x:c r="A168" s="81" t="n"/>
      <x:c r="B168" s="81" t="n"/>
      <x:c r="C168" s="81" t="n"/>
      <x:c r="D168" s="81" t="n"/>
      <x:c r="E168" s="81" t="n"/>
      <x:c r="F168" s="81" t="n"/>
      <x:c r="G168" s="81" t="n"/>
      <x:c r="H168" s="81" t="n"/>
      <x:c r="I168" s="81" t="n"/>
      <x:c r="J168" s="81" t="n"/>
      <x:c r="K168" s="81" t="n"/>
      <x:c r="L168" s="81" t="n"/>
      <x:c r="M168" s="81" t="n"/>
      <x:c r="N168" s="81" t="n"/>
      <x:c r="O168" s="81" t="n"/>
      <x:c r="P168" s="81" t="n"/>
      <x:c r="Q168" s="81" t="n"/>
      <x:c r="R168" s="81" t="n"/>
      <x:c r="S168" s="81" t="n"/>
      <x:c r="T168" s="81" t="n"/>
      <x:c r="U168" s="81" t="n"/>
      <x:c r="V168" s="81" t="n"/>
      <x:c r="W168" s="81" t="n"/>
      <x:c r="X168" s="81" t="n"/>
      <x:c r="Y168" s="81" t="n"/>
      <x:c r="Z168" s="81" t="n"/>
      <x:c r="AA168" s="81" t="n"/>
      <x:c r="AB168" s="81" t="n"/>
      <x:c r="AC168" s="81" t="n"/>
      <x:c r="AD168" s="81" t="n"/>
      <x:c r="AE168" s="81" t="n"/>
      <x:c r="AF168" s="81" t="n"/>
      <x:c r="AG168" s="81" t="n"/>
      <x:c r="AH168" s="81" t="n"/>
      <x:c r="AI168" s="81" t="n"/>
    </x:row>
    <x:row r="169">
      <x:c r="A169" s="81" t="n"/>
      <x:c r="B169" s="81" t="n"/>
      <x:c r="C169" s="81" t="n"/>
      <x:c r="D169" s="81" t="n"/>
      <x:c r="E169" s="81" t="n"/>
      <x:c r="F169" s="81" t="n"/>
      <x:c r="G169" s="81" t="n"/>
      <x:c r="H169" s="81" t="n"/>
      <x:c r="I169" s="81" t="n"/>
      <x:c r="J169" s="81" t="n"/>
      <x:c r="K169" s="81" t="n"/>
      <x:c r="L169" s="81" t="n"/>
      <x:c r="M169" s="81" t="n"/>
      <x:c r="N169" s="81" t="n"/>
      <x:c r="O169" s="81" t="n"/>
      <x:c r="P169" s="81" t="n"/>
      <x:c r="Q169" s="81" t="n"/>
      <x:c r="R169" s="81" t="n"/>
      <x:c r="S169" s="81" t="n"/>
      <x:c r="T169" s="81" t="n"/>
      <x:c r="U169" s="81" t="n"/>
      <x:c r="V169" s="81" t="n"/>
      <x:c r="W169" s="81" t="n"/>
      <x:c r="X169" s="81" t="n"/>
      <x:c r="Y169" s="81" t="n"/>
      <x:c r="Z169" s="81" t="n"/>
      <x:c r="AA169" s="81" t="n"/>
      <x:c r="AB169" s="81" t="n"/>
      <x:c r="AC169" s="81" t="n"/>
      <x:c r="AD169" s="81" t="n"/>
      <x:c r="AE169" s="81" t="n"/>
      <x:c r="AF169" s="81" t="n"/>
      <x:c r="AG169" s="81" t="n"/>
      <x:c r="AH169" s="81" t="n"/>
      <x:c r="AI169" s="81" t="n"/>
    </x:row>
    <x:row r="170">
      <x:c r="A170" s="81" t="n"/>
      <x:c r="B170" s="81" t="n"/>
      <x:c r="C170" s="81" t="n"/>
      <x:c r="D170" s="81" t="n"/>
      <x:c r="E170" s="81" t="n"/>
      <x:c r="F170" s="81" t="n"/>
      <x:c r="G170" s="81" t="n"/>
      <x:c r="H170" s="81" t="n"/>
      <x:c r="I170" s="81" t="n"/>
      <x:c r="J170" s="81" t="n"/>
      <x:c r="K170" s="81" t="n"/>
      <x:c r="L170" s="81" t="n"/>
      <x:c r="M170" s="81" t="n"/>
      <x:c r="N170" s="81" t="n"/>
      <x:c r="O170" s="81" t="n"/>
      <x:c r="P170" s="81" t="n"/>
      <x:c r="Q170" s="81" t="n"/>
      <x:c r="R170" s="81" t="n"/>
      <x:c r="S170" s="81" t="n"/>
      <x:c r="T170" s="81" t="n"/>
      <x:c r="U170" s="81" t="n"/>
      <x:c r="V170" s="81" t="n"/>
      <x:c r="W170" s="81" t="n"/>
      <x:c r="X170" s="81" t="n"/>
      <x:c r="Y170" s="81" t="n"/>
      <x:c r="Z170" s="81" t="n"/>
      <x:c r="AA170" s="81" t="n"/>
      <x:c r="AB170" s="81" t="n"/>
      <x:c r="AC170" s="81" t="n"/>
      <x:c r="AD170" s="81" t="n"/>
      <x:c r="AE170" s="81" t="n"/>
      <x:c r="AF170" s="81" t="n"/>
      <x:c r="AG170" s="81" t="n"/>
      <x:c r="AH170" s="81" t="n"/>
      <x:c r="AI170" s="81" t="n"/>
    </x:row>
    <x:row r="171">
      <x:c r="A171" s="81" t="n"/>
      <x:c r="B171" s="81" t="n"/>
      <x:c r="C171" s="81" t="n"/>
      <x:c r="D171" s="81" t="n"/>
      <x:c r="E171" s="81" t="n"/>
      <x:c r="F171" s="81" t="n"/>
      <x:c r="G171" s="81" t="n"/>
      <x:c r="H171" s="81" t="n"/>
      <x:c r="I171" s="81" t="n"/>
      <x:c r="J171" s="81" t="n"/>
      <x:c r="K171" s="81" t="n"/>
      <x:c r="L171" s="81" t="n"/>
      <x:c r="M171" s="81" t="n"/>
      <x:c r="N171" s="81" t="n"/>
      <x:c r="O171" s="81" t="n"/>
      <x:c r="P171" s="81" t="n"/>
      <x:c r="Q171" s="81" t="n"/>
      <x:c r="R171" s="81" t="n"/>
      <x:c r="S171" s="81" t="n"/>
      <x:c r="T171" s="81" t="n"/>
      <x:c r="U171" s="81" t="n"/>
      <x:c r="V171" s="81" t="n"/>
      <x:c r="W171" s="81" t="n"/>
      <x:c r="X171" s="81" t="n"/>
      <x:c r="Y171" s="81" t="n"/>
      <x:c r="Z171" s="81" t="n"/>
      <x:c r="AA171" s="81" t="n"/>
      <x:c r="AB171" s="81" t="n"/>
      <x:c r="AC171" s="81" t="n"/>
      <x:c r="AD171" s="81" t="n"/>
      <x:c r="AE171" s="81" t="n"/>
      <x:c r="AF171" s="81" t="n"/>
      <x:c r="AG171" s="81" t="n"/>
      <x:c r="AH171" s="81" t="n"/>
      <x:c r="AI171" s="81" t="n"/>
    </x:row>
    <x:row r="172">
      <x:c r="A172" s="81" t="n"/>
      <x:c r="B172" s="81" t="n"/>
      <x:c r="C172" s="81" t="n"/>
      <x:c r="D172" s="81" t="n"/>
      <x:c r="E172" s="81" t="n"/>
      <x:c r="F172" s="81" t="n"/>
      <x:c r="G172" s="81" t="n"/>
      <x:c r="H172" s="81" t="n"/>
      <x:c r="I172" s="81" t="n"/>
      <x:c r="J172" s="81" t="n"/>
      <x:c r="K172" s="81" t="n"/>
      <x:c r="L172" s="81" t="n"/>
      <x:c r="M172" s="81" t="n"/>
      <x:c r="N172" s="81" t="n"/>
      <x:c r="O172" s="81" t="n"/>
      <x:c r="P172" s="81" t="n"/>
      <x:c r="Q172" s="81" t="n"/>
      <x:c r="R172" s="81" t="n"/>
      <x:c r="S172" s="81" t="n"/>
      <x:c r="T172" s="81" t="n"/>
      <x:c r="U172" s="81" t="n"/>
      <x:c r="V172" s="81" t="n"/>
      <x:c r="W172" s="81" t="n"/>
      <x:c r="X172" s="81" t="n"/>
      <x:c r="Y172" s="81" t="n"/>
      <x:c r="Z172" s="81" t="n"/>
      <x:c r="AA172" s="81" t="n"/>
      <x:c r="AB172" s="81" t="n"/>
      <x:c r="AC172" s="81" t="n"/>
      <x:c r="AD172" s="81" t="n"/>
      <x:c r="AE172" s="81" t="n"/>
      <x:c r="AF172" s="81" t="n"/>
      <x:c r="AG172" s="81" t="n"/>
      <x:c r="AH172" s="81" t="n"/>
      <x:c r="AI172" s="81" t="n"/>
    </x:row>
    <x:row r="173">
      <x:c r="A173" s="81" t="n"/>
      <x:c r="B173" s="81" t="n"/>
      <x:c r="C173" s="81" t="n"/>
      <x:c r="D173" s="81" t="n"/>
      <x:c r="E173" s="81" t="n"/>
      <x:c r="F173" s="81" t="n"/>
      <x:c r="G173" s="81" t="n"/>
      <x:c r="H173" s="81" t="n"/>
      <x:c r="I173" s="81" t="n"/>
      <x:c r="J173" s="81" t="n"/>
      <x:c r="K173" s="81" t="n"/>
      <x:c r="L173" s="81" t="n"/>
      <x:c r="M173" s="81" t="n"/>
      <x:c r="N173" s="81" t="n"/>
      <x:c r="O173" s="81" t="n"/>
      <x:c r="P173" s="81" t="n"/>
      <x:c r="Q173" s="81" t="n"/>
      <x:c r="R173" s="81" t="n"/>
      <x:c r="S173" s="81" t="n"/>
      <x:c r="T173" s="81" t="n"/>
      <x:c r="U173" s="81" t="n"/>
      <x:c r="V173" s="81" t="n"/>
      <x:c r="W173" s="81" t="n"/>
      <x:c r="X173" s="81" t="n"/>
      <x:c r="Y173" s="81" t="n"/>
      <x:c r="Z173" s="81" t="n"/>
      <x:c r="AA173" s="81" t="n"/>
      <x:c r="AB173" s="81" t="n"/>
      <x:c r="AC173" s="81" t="n"/>
      <x:c r="AD173" s="81" t="n"/>
      <x:c r="AE173" s="81" t="n"/>
      <x:c r="AF173" s="81" t="n"/>
      <x:c r="AG173" s="81" t="n"/>
      <x:c r="AH173" s="81" t="n"/>
      <x:c r="AI173" s="81" t="n"/>
    </x:row>
    <x:row r="174">
      <x:c r="A174" s="81" t="n"/>
      <x:c r="B174" s="81" t="n"/>
      <x:c r="C174" s="81" t="n"/>
      <x:c r="D174" s="81" t="n"/>
      <x:c r="E174" s="81" t="n"/>
      <x:c r="F174" s="81" t="n"/>
      <x:c r="G174" s="81" t="n"/>
      <x:c r="H174" s="81" t="n"/>
      <x:c r="I174" s="81" t="n"/>
      <x:c r="J174" s="81" t="n"/>
      <x:c r="K174" s="81" t="n"/>
      <x:c r="L174" s="81" t="n"/>
      <x:c r="M174" s="81" t="n"/>
      <x:c r="N174" s="81" t="n"/>
      <x:c r="O174" s="81" t="n"/>
      <x:c r="P174" s="81" t="n"/>
      <x:c r="Q174" s="81" t="n"/>
      <x:c r="R174" s="81" t="n"/>
      <x:c r="S174" s="81" t="n"/>
      <x:c r="T174" s="81" t="n"/>
      <x:c r="U174" s="81" t="n"/>
      <x:c r="V174" s="81" t="n"/>
      <x:c r="W174" s="81" t="n"/>
      <x:c r="X174" s="81" t="n"/>
      <x:c r="Y174" s="81" t="n"/>
      <x:c r="Z174" s="81" t="n"/>
      <x:c r="AA174" s="81" t="n"/>
      <x:c r="AB174" s="81" t="n"/>
      <x:c r="AC174" s="81" t="n"/>
      <x:c r="AD174" s="81" t="n"/>
      <x:c r="AE174" s="81" t="n"/>
      <x:c r="AF174" s="81" t="n"/>
      <x:c r="AG174" s="81" t="n"/>
      <x:c r="AH174" s="81" t="n"/>
      <x:c r="AI174" s="81" t="n"/>
    </x:row>
    <x:row r="175">
      <x:c r="A175" s="81" t="n"/>
      <x:c r="B175" s="81" t="n"/>
      <x:c r="C175" s="81" t="n"/>
      <x:c r="D175" s="81" t="n"/>
      <x:c r="E175" s="81" t="n"/>
      <x:c r="F175" s="81" t="n"/>
      <x:c r="G175" s="81" t="n"/>
      <x:c r="H175" s="81" t="n"/>
      <x:c r="I175" s="81" t="n"/>
      <x:c r="J175" s="81" t="n"/>
      <x:c r="K175" s="81" t="n"/>
      <x:c r="L175" s="81" t="n"/>
      <x:c r="M175" s="81" t="n"/>
      <x:c r="N175" s="81" t="n"/>
      <x:c r="O175" s="81" t="n"/>
      <x:c r="P175" s="81" t="n"/>
      <x:c r="Q175" s="81" t="n"/>
      <x:c r="R175" s="81" t="n"/>
      <x:c r="S175" s="81" t="n"/>
      <x:c r="T175" s="81" t="n"/>
      <x:c r="U175" s="81" t="n"/>
      <x:c r="V175" s="81" t="n"/>
      <x:c r="W175" s="81" t="n"/>
      <x:c r="X175" s="81" t="n"/>
      <x:c r="Y175" s="81" t="n"/>
      <x:c r="Z175" s="81" t="n"/>
      <x:c r="AA175" s="81" t="n"/>
      <x:c r="AB175" s="81" t="n"/>
      <x:c r="AC175" s="81" t="n"/>
      <x:c r="AD175" s="81" t="n"/>
      <x:c r="AE175" s="81" t="n"/>
      <x:c r="AF175" s="81" t="n"/>
      <x:c r="AG175" s="81" t="n"/>
      <x:c r="AH175" s="81" t="n"/>
      <x:c r="AI175" s="81" t="n"/>
    </x:row>
    <x:row r="176">
      <x:c r="A176" s="81" t="n"/>
      <x:c r="B176" s="81" t="n"/>
      <x:c r="C176" s="81" t="n"/>
      <x:c r="D176" s="81" t="n"/>
      <x:c r="E176" s="81" t="n"/>
      <x:c r="F176" s="81" t="n"/>
      <x:c r="G176" s="81" t="n"/>
      <x:c r="H176" s="81" t="n"/>
      <x:c r="I176" s="81" t="n"/>
      <x:c r="J176" s="81" t="n"/>
      <x:c r="K176" s="81" t="n"/>
      <x:c r="L176" s="81" t="n"/>
      <x:c r="M176" s="81" t="n"/>
      <x:c r="N176" s="81" t="n"/>
      <x:c r="O176" s="81" t="n"/>
      <x:c r="P176" s="81" t="n"/>
      <x:c r="Q176" s="81" t="n"/>
      <x:c r="R176" s="81" t="n"/>
      <x:c r="S176" s="81" t="n"/>
      <x:c r="T176" s="81" t="n"/>
      <x:c r="U176" s="81" t="n"/>
      <x:c r="V176" s="81" t="n"/>
      <x:c r="W176" s="81" t="n"/>
      <x:c r="X176" s="81" t="n"/>
      <x:c r="Y176" s="81" t="n"/>
      <x:c r="Z176" s="81" t="n"/>
      <x:c r="AA176" s="81" t="n"/>
      <x:c r="AB176" s="81" t="n"/>
      <x:c r="AC176" s="81" t="n"/>
      <x:c r="AD176" s="81" t="n"/>
      <x:c r="AE176" s="81" t="n"/>
      <x:c r="AF176" s="81" t="n"/>
      <x:c r="AG176" s="81" t="n"/>
      <x:c r="AH176" s="81" t="n"/>
      <x:c r="AI176" s="81" t="n"/>
    </x:row>
    <x:row r="177">
      <x:c r="A177" s="81" t="n"/>
      <x:c r="B177" s="81" t="n"/>
      <x:c r="C177" s="81" t="n"/>
      <x:c r="D177" s="81" t="n"/>
      <x:c r="E177" s="81" t="n"/>
      <x:c r="F177" s="81" t="n"/>
      <x:c r="G177" s="81" t="n"/>
      <x:c r="H177" s="81" t="n"/>
      <x:c r="I177" s="81" t="n"/>
      <x:c r="J177" s="81" t="n"/>
      <x:c r="K177" s="81" t="n"/>
      <x:c r="L177" s="81" t="n"/>
      <x:c r="M177" s="81" t="n"/>
      <x:c r="N177" s="81" t="n"/>
      <x:c r="O177" s="81" t="n"/>
      <x:c r="P177" s="81" t="n"/>
      <x:c r="Q177" s="81" t="n"/>
      <x:c r="R177" s="81" t="n"/>
      <x:c r="S177" s="81" t="n"/>
      <x:c r="T177" s="81" t="n"/>
      <x:c r="U177" s="81" t="n"/>
      <x:c r="V177" s="81" t="n"/>
      <x:c r="W177" s="81" t="n"/>
      <x:c r="X177" s="81" t="n"/>
      <x:c r="Y177" s="81" t="n"/>
      <x:c r="Z177" s="81" t="n"/>
      <x:c r="AA177" s="81" t="n"/>
      <x:c r="AB177" s="81" t="n"/>
      <x:c r="AC177" s="81" t="n"/>
      <x:c r="AD177" s="81" t="n"/>
      <x:c r="AE177" s="81" t="n"/>
      <x:c r="AF177" s="81" t="n"/>
      <x:c r="AG177" s="81" t="n"/>
      <x:c r="AH177" s="81" t="n"/>
      <x:c r="AI177" s="81" t="n"/>
    </x:row>
    <x:row r="178">
      <x:c r="A178" s="81" t="n"/>
      <x:c r="B178" s="81" t="n"/>
      <x:c r="C178" s="81" t="n"/>
      <x:c r="D178" s="81" t="n"/>
      <x:c r="E178" s="81" t="n"/>
      <x:c r="F178" s="81" t="n"/>
      <x:c r="G178" s="81" t="n"/>
      <x:c r="H178" s="81" t="n"/>
      <x:c r="I178" s="81" t="n"/>
      <x:c r="J178" s="81" t="n"/>
      <x:c r="K178" s="81" t="n"/>
      <x:c r="L178" s="81" t="n"/>
      <x:c r="M178" s="81" t="n"/>
      <x:c r="N178" s="81" t="n"/>
      <x:c r="O178" s="81" t="n"/>
      <x:c r="P178" s="81" t="n"/>
      <x:c r="Q178" s="81" t="n"/>
      <x:c r="R178" s="81" t="n"/>
      <x:c r="S178" s="81" t="n"/>
      <x:c r="T178" s="81" t="n"/>
      <x:c r="U178" s="81" t="n"/>
      <x:c r="V178" s="81" t="n"/>
      <x:c r="W178" s="81" t="n"/>
      <x:c r="X178" s="81" t="n"/>
      <x:c r="Y178" s="81" t="n"/>
      <x:c r="Z178" s="81" t="n"/>
      <x:c r="AA178" s="81" t="n"/>
      <x:c r="AB178" s="81" t="n"/>
      <x:c r="AC178" s="81" t="n"/>
      <x:c r="AD178" s="81" t="n"/>
      <x:c r="AE178" s="81" t="n"/>
      <x:c r="AF178" s="81" t="n"/>
      <x:c r="AG178" s="81" t="n"/>
      <x:c r="AH178" s="81" t="n"/>
      <x:c r="AI178" s="81" t="n"/>
    </x:row>
    <x:row r="179">
      <x:c r="A179" s="81" t="n"/>
      <x:c r="B179" s="81" t="n"/>
      <x:c r="C179" s="81" t="n"/>
      <x:c r="D179" s="81" t="n"/>
      <x:c r="E179" s="81" t="n"/>
      <x:c r="F179" s="81" t="n"/>
      <x:c r="G179" s="81" t="n"/>
      <x:c r="H179" s="81" t="n"/>
      <x:c r="I179" s="81" t="n"/>
      <x:c r="J179" s="81" t="n"/>
      <x:c r="K179" s="81" t="n"/>
      <x:c r="L179" s="81" t="n"/>
      <x:c r="M179" s="81" t="n"/>
      <x:c r="N179" s="81" t="n"/>
      <x:c r="O179" s="81" t="n"/>
      <x:c r="P179" s="81" t="n"/>
      <x:c r="Q179" s="81" t="n"/>
      <x:c r="R179" s="81" t="n"/>
      <x:c r="S179" s="81" t="n"/>
      <x:c r="T179" s="81" t="n"/>
      <x:c r="U179" s="81" t="n"/>
      <x:c r="V179" s="81" t="n"/>
      <x:c r="W179" s="81" t="n"/>
      <x:c r="X179" s="81" t="n"/>
      <x:c r="Y179" s="81" t="n"/>
      <x:c r="Z179" s="81" t="n"/>
      <x:c r="AA179" s="81" t="n"/>
      <x:c r="AB179" s="81" t="n"/>
      <x:c r="AC179" s="81" t="n"/>
      <x:c r="AD179" s="81" t="n"/>
      <x:c r="AE179" s="81" t="n"/>
      <x:c r="AF179" s="81" t="n"/>
      <x:c r="AG179" s="81" t="n"/>
      <x:c r="AH179" s="81" t="n"/>
      <x:c r="AI179" s="81" t="n"/>
    </x:row>
    <x:row r="180">
      <x:c r="A180" s="81" t="n"/>
      <x:c r="B180" s="81" t="n"/>
      <x:c r="C180" s="81" t="n"/>
      <x:c r="D180" s="81" t="n"/>
      <x:c r="E180" s="81" t="n"/>
      <x:c r="F180" s="81" t="n"/>
      <x:c r="G180" s="81" t="n"/>
      <x:c r="H180" s="81" t="n"/>
      <x:c r="I180" s="81" t="n"/>
      <x:c r="J180" s="81" t="n"/>
      <x:c r="K180" s="81" t="n"/>
      <x:c r="L180" s="81" t="n"/>
      <x:c r="M180" s="81" t="n"/>
      <x:c r="N180" s="81" t="n"/>
      <x:c r="O180" s="81" t="n"/>
      <x:c r="P180" s="81" t="n"/>
      <x:c r="Q180" s="81" t="n"/>
      <x:c r="R180" s="81" t="n"/>
      <x:c r="S180" s="81" t="n"/>
      <x:c r="T180" s="81" t="n"/>
      <x:c r="U180" s="81" t="n"/>
      <x:c r="V180" s="81" t="n"/>
      <x:c r="W180" s="81" t="n"/>
      <x:c r="X180" s="81" t="n"/>
      <x:c r="Y180" s="81" t="n"/>
      <x:c r="Z180" s="81" t="n"/>
      <x:c r="AA180" s="81" t="n"/>
      <x:c r="AB180" s="81" t="n"/>
      <x:c r="AC180" s="81" t="n"/>
      <x:c r="AD180" s="81" t="n"/>
      <x:c r="AE180" s="81" t="n"/>
      <x:c r="AF180" s="81" t="n"/>
      <x:c r="AG180" s="81" t="n"/>
      <x:c r="AH180" s="81" t="n"/>
      <x:c r="AI180" s="81" t="n"/>
    </x:row>
    <x:row r="181">
      <x:c r="A181" s="81" t="n"/>
      <x:c r="B181" s="81" t="n"/>
      <x:c r="C181" s="81" t="n"/>
      <x:c r="D181" s="81" t="n"/>
      <x:c r="E181" s="81" t="n"/>
      <x:c r="F181" s="81" t="n"/>
      <x:c r="G181" s="81" t="n"/>
      <x:c r="H181" s="81" t="n"/>
      <x:c r="I181" s="81" t="n"/>
      <x:c r="J181" s="81" t="n"/>
      <x:c r="K181" s="81" t="n"/>
      <x:c r="L181" s="81" t="n"/>
      <x:c r="M181" s="81" t="n"/>
      <x:c r="N181" s="81" t="n"/>
      <x:c r="O181" s="81" t="n"/>
      <x:c r="P181" s="81" t="n"/>
      <x:c r="Q181" s="81" t="n"/>
      <x:c r="R181" s="81" t="n"/>
      <x:c r="S181" s="81" t="n"/>
      <x:c r="T181" s="81" t="n"/>
      <x:c r="U181" s="81" t="n"/>
      <x:c r="V181" s="81" t="n"/>
      <x:c r="W181" s="81" t="n"/>
      <x:c r="X181" s="81" t="n"/>
      <x:c r="Y181" s="81" t="n"/>
      <x:c r="Z181" s="81" t="n"/>
      <x:c r="AA181" s="81" t="n"/>
      <x:c r="AB181" s="81" t="n"/>
      <x:c r="AC181" s="81" t="n"/>
      <x:c r="AD181" s="81" t="n"/>
      <x:c r="AE181" s="81" t="n"/>
      <x:c r="AF181" s="81" t="n"/>
      <x:c r="AG181" s="81" t="n"/>
      <x:c r="AH181" s="81" t="n"/>
      <x:c r="AI181" s="81" t="n"/>
    </x:row>
    <x:row r="182">
      <x:c r="A182" s="81" t="n"/>
      <x:c r="B182" s="81" t="n"/>
      <x:c r="C182" s="81" t="n"/>
      <x:c r="D182" s="81" t="n"/>
      <x:c r="E182" s="81" t="n"/>
      <x:c r="F182" s="81" t="n"/>
      <x:c r="G182" s="81" t="n"/>
      <x:c r="H182" s="81" t="n"/>
      <x:c r="I182" s="81" t="n"/>
      <x:c r="J182" s="81" t="n"/>
      <x:c r="K182" s="81" t="n"/>
      <x:c r="L182" s="81" t="n"/>
      <x:c r="M182" s="81" t="n"/>
      <x:c r="N182" s="81" t="n"/>
      <x:c r="O182" s="81" t="n"/>
      <x:c r="P182" s="81" t="n"/>
      <x:c r="Q182" s="81" t="n"/>
      <x:c r="R182" s="81" t="n"/>
      <x:c r="S182" s="81" t="n"/>
      <x:c r="T182" s="81" t="n"/>
      <x:c r="U182" s="81" t="n"/>
      <x:c r="V182" s="81" t="n"/>
      <x:c r="W182" s="81" t="n"/>
      <x:c r="X182" s="81" t="n"/>
      <x:c r="Y182" s="81" t="n"/>
      <x:c r="Z182" s="81" t="n"/>
      <x:c r="AA182" s="81" t="n"/>
      <x:c r="AB182" s="81" t="n"/>
      <x:c r="AC182" s="81" t="n"/>
      <x:c r="AD182" s="81" t="n"/>
      <x:c r="AE182" s="81" t="n"/>
      <x:c r="AF182" s="81" t="n"/>
      <x:c r="AG182" s="81" t="n"/>
      <x:c r="AH182" s="81" t="n"/>
      <x:c r="AI182" s="81" t="n"/>
    </x:row>
    <x:row r="183">
      <x:c r="A183" s="81" t="n"/>
      <x:c r="B183" s="81" t="n"/>
      <x:c r="C183" s="81" t="n"/>
      <x:c r="D183" s="81" t="n"/>
      <x:c r="E183" s="81" t="n"/>
      <x:c r="F183" s="81" t="n"/>
      <x:c r="G183" s="81" t="n"/>
      <x:c r="H183" s="81" t="n"/>
      <x:c r="I183" s="81" t="n"/>
      <x:c r="J183" s="81" t="n"/>
      <x:c r="K183" s="81" t="n"/>
      <x:c r="L183" s="81" t="n"/>
      <x:c r="M183" s="81" t="n"/>
      <x:c r="N183" s="81" t="n"/>
      <x:c r="O183" s="81" t="n"/>
      <x:c r="P183" s="81" t="n"/>
      <x:c r="Q183" s="81" t="n"/>
      <x:c r="R183" s="81" t="n"/>
      <x:c r="S183" s="81" t="n"/>
      <x:c r="T183" s="81" t="n"/>
      <x:c r="U183" s="81" t="n"/>
      <x:c r="V183" s="81" t="n"/>
      <x:c r="W183" s="81" t="n"/>
      <x:c r="X183" s="81" t="n"/>
      <x:c r="Y183" s="81" t="n"/>
      <x:c r="Z183" s="81" t="n"/>
      <x:c r="AA183" s="81" t="n"/>
      <x:c r="AB183" s="81" t="n"/>
      <x:c r="AC183" s="81" t="n"/>
      <x:c r="AD183" s="81" t="n"/>
      <x:c r="AE183" s="81" t="n"/>
      <x:c r="AF183" s="81" t="n"/>
      <x:c r="AG183" s="81" t="n"/>
      <x:c r="AH183" s="81" t="n"/>
      <x:c r="AI183" s="81" t="n"/>
    </x:row>
    <x:row r="184">
      <x:c r="A184" s="81" t="n"/>
      <x:c r="B184" s="81" t="n"/>
      <x:c r="C184" s="81" t="n"/>
      <x:c r="D184" s="81" t="n"/>
      <x:c r="E184" s="81" t="n"/>
      <x:c r="F184" s="81" t="n"/>
      <x:c r="G184" s="81" t="n"/>
      <x:c r="H184" s="81" t="n"/>
      <x:c r="I184" s="81" t="n"/>
      <x:c r="J184" s="81" t="n"/>
      <x:c r="K184" s="81" t="n"/>
      <x:c r="L184" s="81" t="n"/>
      <x:c r="M184" s="81" t="n"/>
      <x:c r="N184" s="81" t="n"/>
      <x:c r="O184" s="81" t="n"/>
      <x:c r="P184" s="81" t="n"/>
      <x:c r="Q184" s="81" t="n"/>
      <x:c r="R184" s="81" t="n"/>
      <x:c r="S184" s="81" t="n"/>
      <x:c r="T184" s="81" t="n"/>
      <x:c r="U184" s="81" t="n"/>
      <x:c r="V184" s="81" t="n"/>
      <x:c r="W184" s="81" t="n"/>
      <x:c r="X184" s="81" t="n"/>
      <x:c r="Y184" s="81" t="n"/>
      <x:c r="Z184" s="81" t="n"/>
      <x:c r="AA184" s="81" t="n"/>
      <x:c r="AB184" s="81" t="n"/>
      <x:c r="AC184" s="81" t="n"/>
      <x:c r="AD184" s="81" t="n"/>
      <x:c r="AE184" s="81" t="n"/>
      <x:c r="AF184" s="81" t="n"/>
      <x:c r="AG184" s="81" t="n"/>
      <x:c r="AH184" s="81" t="n"/>
      <x:c r="AI184" s="81" t="n"/>
    </x:row>
    <x:row r="185">
      <x:c r="A185" s="81" t="n"/>
      <x:c r="B185" s="81" t="n"/>
      <x:c r="C185" s="81" t="n"/>
      <x:c r="D185" s="81" t="n"/>
      <x:c r="E185" s="81" t="n"/>
      <x:c r="F185" s="81" t="n"/>
      <x:c r="G185" s="81" t="n"/>
      <x:c r="H185" s="81" t="n"/>
      <x:c r="I185" s="81" t="n"/>
      <x:c r="J185" s="81" t="n"/>
      <x:c r="K185" s="81" t="n"/>
      <x:c r="L185" s="81" t="n"/>
      <x:c r="M185" s="81" t="n"/>
      <x:c r="N185" s="81" t="n"/>
      <x:c r="O185" s="81" t="n"/>
      <x:c r="P185" s="81" t="n"/>
      <x:c r="Q185" s="81" t="n"/>
      <x:c r="R185" s="81" t="n"/>
      <x:c r="S185" s="81" t="n"/>
      <x:c r="T185" s="81" t="n"/>
      <x:c r="U185" s="81" t="n"/>
      <x:c r="V185" s="81" t="n"/>
      <x:c r="W185" s="81" t="n"/>
      <x:c r="X185" s="81" t="n"/>
      <x:c r="Y185" s="81" t="n"/>
      <x:c r="Z185" s="81" t="n"/>
      <x:c r="AA185" s="81" t="n"/>
      <x:c r="AB185" s="81" t="n"/>
      <x:c r="AC185" s="81" t="n"/>
      <x:c r="AD185" s="81" t="n"/>
      <x:c r="AE185" s="81" t="n"/>
      <x:c r="AF185" s="81" t="n"/>
      <x:c r="AG185" s="81" t="n"/>
      <x:c r="AH185" s="81" t="n"/>
      <x:c r="AI185" s="81" t="n"/>
    </x:row>
    <x:row r="186">
      <x:c r="A186" s="81" t="n"/>
      <x:c r="B186" s="81" t="n"/>
      <x:c r="C186" s="81" t="n"/>
      <x:c r="D186" s="81" t="n"/>
      <x:c r="E186" s="81" t="n"/>
      <x:c r="F186" s="81" t="n"/>
      <x:c r="G186" s="81" t="n"/>
      <x:c r="H186" s="81" t="n"/>
      <x:c r="I186" s="81" t="n"/>
      <x:c r="J186" s="81" t="n"/>
      <x:c r="K186" s="81" t="n"/>
      <x:c r="L186" s="81" t="n"/>
      <x:c r="M186" s="81" t="n"/>
      <x:c r="N186" s="81" t="n"/>
      <x:c r="O186" s="81" t="n"/>
      <x:c r="P186" s="81" t="n"/>
      <x:c r="Q186" s="81" t="n"/>
      <x:c r="R186" s="81" t="n"/>
      <x:c r="S186" s="81" t="n"/>
      <x:c r="T186" s="81" t="n"/>
      <x:c r="U186" s="81" t="n"/>
      <x:c r="V186" s="81" t="n"/>
      <x:c r="W186" s="81" t="n"/>
      <x:c r="X186" s="81" t="n"/>
      <x:c r="Y186" s="81" t="n"/>
      <x:c r="Z186" s="81" t="n"/>
      <x:c r="AA186" s="81" t="n"/>
      <x:c r="AB186" s="81" t="n"/>
      <x:c r="AC186" s="81" t="n"/>
      <x:c r="AD186" s="81" t="n"/>
      <x:c r="AE186" s="81" t="n"/>
      <x:c r="AF186" s="81" t="n"/>
      <x:c r="AG186" s="81" t="n"/>
      <x:c r="AH186" s="81" t="n"/>
      <x:c r="AI186" s="81" t="n"/>
    </x:row>
    <x:row r="187">
      <x:c r="A187" s="81" t="n"/>
      <x:c r="B187" s="81" t="n"/>
      <x:c r="C187" s="81" t="n"/>
      <x:c r="D187" s="81" t="n"/>
      <x:c r="E187" s="81" t="n"/>
      <x:c r="F187" s="81" t="n"/>
      <x:c r="G187" s="81" t="n"/>
      <x:c r="H187" s="81" t="n"/>
      <x:c r="I187" s="81" t="n"/>
      <x:c r="J187" s="81" t="n"/>
      <x:c r="K187" s="81" t="n"/>
      <x:c r="L187" s="81" t="n"/>
      <x:c r="M187" s="81" t="n"/>
      <x:c r="N187" s="81" t="n"/>
      <x:c r="O187" s="81" t="n"/>
      <x:c r="P187" s="81" t="n"/>
      <x:c r="Q187" s="81" t="n"/>
      <x:c r="R187" s="81" t="n"/>
      <x:c r="S187" s="81" t="n"/>
      <x:c r="T187" s="81" t="n"/>
      <x:c r="U187" s="81" t="n"/>
      <x:c r="V187" s="81" t="n"/>
      <x:c r="W187" s="81" t="n"/>
      <x:c r="X187" s="81" t="n"/>
      <x:c r="Y187" s="81" t="n"/>
      <x:c r="Z187" s="81" t="n"/>
      <x:c r="AA187" s="81" t="n"/>
      <x:c r="AB187" s="81" t="n"/>
      <x:c r="AC187" s="81" t="n"/>
      <x:c r="AD187" s="81" t="n"/>
      <x:c r="AE187" s="81" t="n"/>
      <x:c r="AF187" s="81" t="n"/>
      <x:c r="AG187" s="81" t="n"/>
      <x:c r="AH187" s="81" t="n"/>
      <x:c r="AI187" s="81" t="n"/>
    </x:row>
    <x:row r="188">
      <x:c r="A188" s="81" t="n"/>
      <x:c r="B188" s="81" t="n"/>
      <x:c r="C188" s="81" t="n"/>
      <x:c r="D188" s="81" t="n"/>
      <x:c r="E188" s="81" t="n"/>
      <x:c r="F188" s="81" t="n"/>
      <x:c r="G188" s="81" t="n"/>
      <x:c r="H188" s="81" t="n"/>
      <x:c r="I188" s="81" t="n"/>
      <x:c r="J188" s="81" t="n"/>
      <x:c r="K188" s="81" t="n"/>
      <x:c r="L188" s="81" t="n"/>
      <x:c r="M188" s="81" t="n"/>
      <x:c r="N188" s="81" t="n"/>
      <x:c r="O188" s="81" t="n"/>
      <x:c r="P188" s="81" t="n"/>
      <x:c r="Q188" s="81" t="n"/>
      <x:c r="R188" s="81" t="n"/>
      <x:c r="S188" s="81" t="n"/>
      <x:c r="T188" s="81" t="n"/>
      <x:c r="U188" s="81" t="n"/>
      <x:c r="V188" s="81" t="n"/>
      <x:c r="W188" s="81" t="n"/>
      <x:c r="X188" s="81" t="n"/>
      <x:c r="Y188" s="81" t="n"/>
      <x:c r="Z188" s="81" t="n"/>
      <x:c r="AA188" s="81" t="n"/>
      <x:c r="AB188" s="81" t="n"/>
      <x:c r="AC188" s="81" t="n"/>
      <x:c r="AD188" s="81" t="n"/>
      <x:c r="AE188" s="81" t="n"/>
      <x:c r="AF188" s="81" t="n"/>
      <x:c r="AG188" s="81" t="n"/>
      <x:c r="AH188" s="81" t="n"/>
      <x:c r="AI188" s="81" t="n"/>
    </x:row>
    <x:row r="189">
      <x:c r="A189" s="81" t="n"/>
      <x:c r="B189" s="81" t="n"/>
      <x:c r="C189" s="81" t="n"/>
      <x:c r="D189" s="81" t="n"/>
      <x:c r="E189" s="81" t="n"/>
      <x:c r="F189" s="81" t="n"/>
      <x:c r="G189" s="81" t="n"/>
      <x:c r="H189" s="81" t="n"/>
      <x:c r="I189" s="81" t="n"/>
      <x:c r="J189" s="81" t="n"/>
      <x:c r="K189" s="81" t="n"/>
      <x:c r="L189" s="81" t="n"/>
      <x:c r="M189" s="81" t="n"/>
      <x:c r="N189" s="81" t="n"/>
      <x:c r="O189" s="81" t="n"/>
      <x:c r="P189" s="81" t="n"/>
      <x:c r="Q189" s="81" t="n"/>
      <x:c r="R189" s="81" t="n"/>
      <x:c r="S189" s="81" t="n"/>
      <x:c r="T189" s="81" t="n"/>
      <x:c r="U189" s="81" t="n"/>
      <x:c r="V189" s="81" t="n"/>
      <x:c r="W189" s="81" t="n"/>
      <x:c r="X189" s="81" t="n"/>
      <x:c r="Y189" s="81" t="n"/>
      <x:c r="Z189" s="81" t="n"/>
      <x:c r="AA189" s="81" t="n"/>
      <x:c r="AB189" s="81" t="n"/>
      <x:c r="AC189" s="81" t="n"/>
      <x:c r="AD189" s="81" t="n"/>
      <x:c r="AE189" s="81" t="n"/>
      <x:c r="AF189" s="81" t="n"/>
      <x:c r="AG189" s="81" t="n"/>
      <x:c r="AH189" s="81" t="n"/>
      <x:c r="AI189" s="81" t="n"/>
    </x:row>
    <x:row r="190">
      <x:c r="A190" s="81" t="n"/>
      <x:c r="B190" s="81" t="n"/>
      <x:c r="C190" s="81" t="n"/>
      <x:c r="D190" s="81" t="n"/>
      <x:c r="E190" s="81" t="n"/>
      <x:c r="F190" s="81" t="n"/>
      <x:c r="G190" s="81" t="n"/>
      <x:c r="H190" s="81" t="n"/>
      <x:c r="I190" s="81" t="n"/>
      <x:c r="J190" s="81" t="n"/>
      <x:c r="K190" s="81" t="n"/>
      <x:c r="L190" s="81" t="n"/>
      <x:c r="M190" s="81" t="n"/>
      <x:c r="N190" s="81" t="n"/>
      <x:c r="O190" s="81" t="n"/>
      <x:c r="P190" s="81" t="n"/>
      <x:c r="Q190" s="81" t="n"/>
      <x:c r="R190" s="81" t="n"/>
      <x:c r="S190" s="81" t="n"/>
      <x:c r="T190" s="81" t="n"/>
      <x:c r="U190" s="81" t="n"/>
      <x:c r="V190" s="81" t="n"/>
      <x:c r="W190" s="81" t="n"/>
      <x:c r="X190" s="81" t="n"/>
      <x:c r="Y190" s="81" t="n"/>
      <x:c r="Z190" s="81" t="n"/>
      <x:c r="AA190" s="81" t="n"/>
      <x:c r="AB190" s="81" t="n"/>
      <x:c r="AC190" s="81" t="n"/>
      <x:c r="AD190" s="81" t="n"/>
      <x:c r="AE190" s="81" t="n"/>
      <x:c r="AF190" s="81" t="n"/>
      <x:c r="AG190" s="81" t="n"/>
      <x:c r="AH190" s="81" t="n"/>
      <x:c r="AI190" s="81" t="n"/>
    </x:row>
    <x:row r="191">
      <x:c r="A191" s="81" t="n"/>
      <x:c r="B191" s="81" t="n"/>
      <x:c r="C191" s="81" t="n"/>
      <x:c r="D191" s="81" t="n"/>
      <x:c r="E191" s="81" t="n"/>
      <x:c r="F191" s="81" t="n"/>
      <x:c r="G191" s="81" t="n"/>
      <x:c r="H191" s="81" t="n"/>
      <x:c r="I191" s="81" t="n"/>
      <x:c r="J191" s="81" t="n"/>
      <x:c r="K191" s="81" t="n"/>
      <x:c r="L191" s="81" t="n"/>
      <x:c r="M191" s="81" t="n"/>
      <x:c r="N191" s="81" t="n"/>
      <x:c r="O191" s="81" t="n"/>
      <x:c r="P191" s="81" t="n"/>
      <x:c r="Q191" s="81" t="n"/>
      <x:c r="R191" s="81" t="n"/>
      <x:c r="S191" s="81" t="n"/>
      <x:c r="T191" s="81" t="n"/>
      <x:c r="U191" s="81" t="n"/>
      <x:c r="V191" s="81" t="n"/>
      <x:c r="W191" s="81" t="n"/>
      <x:c r="X191" s="81" t="n"/>
      <x:c r="Y191" s="81" t="n"/>
      <x:c r="Z191" s="81" t="n"/>
      <x:c r="AA191" s="81" t="n"/>
      <x:c r="AB191" s="81" t="n"/>
      <x:c r="AC191" s="81" t="n"/>
      <x:c r="AD191" s="81" t="n"/>
      <x:c r="AE191" s="81" t="n"/>
      <x:c r="AF191" s="81" t="n"/>
      <x:c r="AG191" s="81" t="n"/>
      <x:c r="AH191" s="81" t="n"/>
      <x:c r="AI191" s="81" t="n"/>
    </x:row>
    <x:row r="192">
      <x:c r="A192" s="81" t="n"/>
      <x:c r="B192" s="81" t="n"/>
      <x:c r="C192" s="81" t="n"/>
      <x:c r="D192" s="81" t="n"/>
      <x:c r="E192" s="81" t="n"/>
      <x:c r="F192" s="81" t="n"/>
      <x:c r="G192" s="81" t="n"/>
      <x:c r="H192" s="81" t="n"/>
      <x:c r="I192" s="81" t="n"/>
      <x:c r="J192" s="81" t="n"/>
      <x:c r="K192" s="81" t="n"/>
      <x:c r="L192" s="81" t="n"/>
      <x:c r="M192" s="81" t="n"/>
      <x:c r="N192" s="81" t="n"/>
      <x:c r="O192" s="81" t="n"/>
      <x:c r="P192" s="81" t="n"/>
      <x:c r="Q192" s="81" t="n"/>
      <x:c r="R192" s="81" t="n"/>
      <x:c r="S192" s="81" t="n"/>
      <x:c r="T192" s="81" t="n"/>
      <x:c r="U192" s="81" t="n"/>
      <x:c r="V192" s="81" t="n"/>
      <x:c r="W192" s="81" t="n"/>
      <x:c r="X192" s="81" t="n"/>
      <x:c r="Y192" s="81" t="n"/>
      <x:c r="Z192" s="81" t="n"/>
      <x:c r="AA192" s="81" t="n"/>
      <x:c r="AB192" s="81" t="n"/>
      <x:c r="AC192" s="81" t="n"/>
      <x:c r="AD192" s="81" t="n"/>
      <x:c r="AE192" s="81" t="n"/>
      <x:c r="AF192" s="81" t="n"/>
      <x:c r="AG192" s="81" t="n"/>
      <x:c r="AH192" s="81" t="n"/>
      <x:c r="AI192" s="81" t="n"/>
    </x:row>
    <x:row r="193">
      <x:c r="A193" s="81" t="n"/>
      <x:c r="B193" s="81" t="n"/>
      <x:c r="C193" s="81" t="n"/>
      <x:c r="D193" s="81" t="n"/>
      <x:c r="E193" s="81" t="n"/>
      <x:c r="F193" s="81" t="n"/>
      <x:c r="G193" s="81" t="n"/>
      <x:c r="H193" s="81" t="n"/>
      <x:c r="I193" s="81" t="n"/>
      <x:c r="J193" s="81" t="n"/>
      <x:c r="K193" s="81" t="n"/>
      <x:c r="L193" s="81" t="n"/>
      <x:c r="M193" s="81" t="n"/>
      <x:c r="N193" s="81" t="n"/>
      <x:c r="O193" s="81" t="n"/>
      <x:c r="P193" s="81" t="n"/>
      <x:c r="Q193" s="81" t="n"/>
      <x:c r="R193" s="81" t="n"/>
      <x:c r="S193" s="81" t="n"/>
      <x:c r="T193" s="81" t="n"/>
      <x:c r="U193" s="81" t="n"/>
      <x:c r="V193" s="81" t="n"/>
      <x:c r="W193" s="81" t="n"/>
      <x:c r="X193" s="81" t="n"/>
      <x:c r="Y193" s="81" t="n"/>
      <x:c r="Z193" s="81" t="n"/>
      <x:c r="AA193" s="81" t="n"/>
      <x:c r="AB193" s="81" t="n"/>
      <x:c r="AC193" s="81" t="n"/>
      <x:c r="AD193" s="81" t="n"/>
      <x:c r="AE193" s="81" t="n"/>
      <x:c r="AF193" s="81" t="n"/>
      <x:c r="AG193" s="81" t="n"/>
      <x:c r="AH193" s="81" t="n"/>
      <x:c r="AI193" s="81" t="n"/>
    </x:row>
    <x:row r="194">
      <x:c r="A194" s="81" t="n"/>
      <x:c r="B194" s="81" t="n"/>
      <x:c r="C194" s="81" t="n"/>
      <x:c r="D194" s="81" t="n"/>
      <x:c r="E194" s="81" t="n"/>
      <x:c r="F194" s="81" t="n"/>
      <x:c r="G194" s="81" t="n"/>
      <x:c r="H194" s="81" t="n"/>
      <x:c r="I194" s="81" t="n"/>
      <x:c r="J194" s="81" t="n"/>
      <x:c r="K194" s="81" t="n"/>
      <x:c r="L194" s="81" t="n"/>
      <x:c r="M194" s="81" t="n"/>
      <x:c r="N194" s="81" t="n"/>
      <x:c r="O194" s="81" t="n"/>
      <x:c r="P194" s="81" t="n"/>
      <x:c r="Q194" s="81" t="n"/>
      <x:c r="R194" s="81" t="n"/>
      <x:c r="S194" s="81" t="n"/>
      <x:c r="T194" s="81" t="n"/>
      <x:c r="U194" s="81" t="n"/>
      <x:c r="V194" s="81" t="n"/>
      <x:c r="W194" s="81" t="n"/>
      <x:c r="X194" s="81" t="n"/>
      <x:c r="Y194" s="81" t="n"/>
      <x:c r="Z194" s="81" t="n"/>
      <x:c r="AA194" s="81" t="n"/>
      <x:c r="AB194" s="81" t="n"/>
      <x:c r="AC194" s="81" t="n"/>
      <x:c r="AD194" s="81" t="n"/>
      <x:c r="AE194" s="81" t="n"/>
      <x:c r="AF194" s="81" t="n"/>
      <x:c r="AG194" s="81" t="n"/>
      <x:c r="AH194" s="81" t="n"/>
      <x:c r="AI194" s="81" t="n"/>
    </x:row>
    <x:row r="195">
      <x:c r="A195" s="81" t="n"/>
      <x:c r="B195" s="81" t="n"/>
      <x:c r="C195" s="81" t="n"/>
      <x:c r="D195" s="81" t="n"/>
      <x:c r="E195" s="81" t="n"/>
      <x:c r="F195" s="81" t="n"/>
      <x:c r="G195" s="81" t="n"/>
      <x:c r="H195" s="81" t="n"/>
      <x:c r="I195" s="81" t="n"/>
      <x:c r="J195" s="81" t="n"/>
      <x:c r="K195" s="81" t="n"/>
      <x:c r="L195" s="81" t="n"/>
      <x:c r="M195" s="81" t="n"/>
      <x:c r="N195" s="81" t="n"/>
      <x:c r="O195" s="81" t="n"/>
      <x:c r="P195" s="81" t="n"/>
      <x:c r="Q195" s="81" t="n"/>
      <x:c r="R195" s="81" t="n"/>
      <x:c r="S195" s="81" t="n"/>
      <x:c r="T195" s="81" t="n"/>
      <x:c r="U195" s="81" t="n"/>
      <x:c r="V195" s="81" t="n"/>
      <x:c r="W195" s="81" t="n"/>
      <x:c r="X195" s="81" t="n"/>
      <x:c r="Y195" s="81" t="n"/>
      <x:c r="Z195" s="81" t="n"/>
      <x:c r="AA195" s="81" t="n"/>
      <x:c r="AB195" s="81" t="n"/>
      <x:c r="AC195" s="81" t="n"/>
      <x:c r="AD195" s="81" t="n"/>
      <x:c r="AE195" s="81" t="n"/>
      <x:c r="AF195" s="81" t="n"/>
      <x:c r="AG195" s="81" t="n"/>
      <x:c r="AH195" s="81" t="n"/>
      <x:c r="AI195" s="81" t="n"/>
    </x:row>
    <x:row r="196">
      <x:c r="A196" s="81" t="n"/>
      <x:c r="B196" s="81" t="n"/>
      <x:c r="C196" s="81" t="n"/>
      <x:c r="D196" s="81" t="n"/>
      <x:c r="E196" s="81" t="n"/>
      <x:c r="F196" s="81" t="n"/>
      <x:c r="G196" s="81" t="n"/>
      <x:c r="H196" s="81" t="n"/>
      <x:c r="I196" s="81" t="n"/>
      <x:c r="J196" s="81" t="n"/>
      <x:c r="K196" s="81" t="n"/>
      <x:c r="L196" s="81" t="n"/>
      <x:c r="M196" s="81" t="n"/>
      <x:c r="N196" s="81" t="n"/>
      <x:c r="O196" s="81" t="n"/>
      <x:c r="P196" s="81" t="n"/>
      <x:c r="Q196" s="81" t="n"/>
      <x:c r="R196" s="81" t="n"/>
      <x:c r="S196" s="81" t="n"/>
      <x:c r="T196" s="81" t="n"/>
      <x:c r="U196" s="81" t="n"/>
      <x:c r="V196" s="81" t="n"/>
      <x:c r="W196" s="81" t="n"/>
      <x:c r="X196" s="81" t="n"/>
      <x:c r="Y196" s="81" t="n"/>
      <x:c r="Z196" s="81" t="n"/>
      <x:c r="AA196" s="81" t="n"/>
      <x:c r="AB196" s="81" t="n"/>
      <x:c r="AC196" s="81" t="n"/>
      <x:c r="AD196" s="81" t="n"/>
      <x:c r="AE196" s="81" t="n"/>
      <x:c r="AF196" s="81" t="n"/>
      <x:c r="AG196" s="81" t="n"/>
      <x:c r="AH196" s="81" t="n"/>
      <x:c r="AI196" s="81" t="n"/>
    </x:row>
    <x:row r="197">
      <x:c r="A197" s="81" t="n"/>
      <x:c r="B197" s="81" t="n"/>
      <x:c r="C197" s="81" t="n"/>
      <x:c r="D197" s="81" t="n"/>
      <x:c r="E197" s="81" t="n"/>
      <x:c r="F197" s="81" t="n"/>
      <x:c r="G197" s="81" t="n"/>
      <x:c r="H197" s="81" t="n"/>
      <x:c r="I197" s="81" t="n"/>
      <x:c r="J197" s="81" t="n"/>
      <x:c r="K197" s="81" t="n"/>
      <x:c r="L197" s="81" t="n"/>
      <x:c r="M197" s="81" t="n"/>
      <x:c r="N197" s="81" t="n"/>
      <x:c r="O197" s="81" t="n"/>
      <x:c r="P197" s="81" t="n"/>
      <x:c r="Q197" s="81" t="n"/>
      <x:c r="R197" s="81" t="n"/>
      <x:c r="S197" s="81" t="n"/>
      <x:c r="T197" s="81" t="n"/>
      <x:c r="U197" s="81" t="n"/>
      <x:c r="V197" s="81" t="n"/>
      <x:c r="W197" s="81" t="n"/>
      <x:c r="X197" s="81" t="n"/>
      <x:c r="Y197" s="81" t="n"/>
      <x:c r="Z197" s="81" t="n"/>
      <x:c r="AA197" s="81" t="n"/>
      <x:c r="AB197" s="81" t="n"/>
      <x:c r="AC197" s="81" t="n"/>
      <x:c r="AD197" s="81" t="n"/>
      <x:c r="AE197" s="81" t="n"/>
      <x:c r="AF197" s="81" t="n"/>
      <x:c r="AG197" s="81" t="n"/>
      <x:c r="AH197" s="81" t="n"/>
      <x:c r="AI197" s="81" t="n"/>
    </x:row>
    <x:row r="198">
      <x:c r="A198" s="81" t="n"/>
      <x:c r="B198" s="81" t="n"/>
      <x:c r="C198" s="81" t="n"/>
      <x:c r="D198" s="81" t="n"/>
      <x:c r="E198" s="81" t="n"/>
      <x:c r="F198" s="81" t="n"/>
      <x:c r="G198" s="81" t="n"/>
      <x:c r="H198" s="81" t="n"/>
      <x:c r="I198" s="81" t="n"/>
      <x:c r="J198" s="81" t="n"/>
      <x:c r="K198" s="81" t="n"/>
      <x:c r="L198" s="81" t="n"/>
      <x:c r="M198" s="81" t="n"/>
      <x:c r="N198" s="81" t="n"/>
      <x:c r="O198" s="81" t="n"/>
      <x:c r="P198" s="81" t="n"/>
      <x:c r="Q198" s="81" t="n"/>
      <x:c r="R198" s="81" t="n"/>
      <x:c r="S198" s="81" t="n"/>
      <x:c r="T198" s="81" t="n"/>
      <x:c r="U198" s="81" t="n"/>
      <x:c r="V198" s="81" t="n"/>
      <x:c r="W198" s="81" t="n"/>
      <x:c r="X198" s="81" t="n"/>
      <x:c r="Y198" s="81" t="n"/>
      <x:c r="Z198" s="81" t="n"/>
      <x:c r="AA198" s="81" t="n"/>
      <x:c r="AB198" s="81" t="n"/>
      <x:c r="AC198" s="81" t="n"/>
      <x:c r="AD198" s="81" t="n"/>
      <x:c r="AE198" s="81" t="n"/>
      <x:c r="AF198" s="81" t="n"/>
      <x:c r="AG198" s="81" t="n"/>
      <x:c r="AH198" s="81" t="n"/>
      <x:c r="AI198" s="81" t="n"/>
    </x:row>
    <x:row r="199">
      <x:c r="A199" s="81" t="n"/>
      <x:c r="B199" s="81" t="n"/>
      <x:c r="C199" s="81" t="n"/>
      <x:c r="D199" s="81" t="n"/>
      <x:c r="E199" s="81" t="n"/>
      <x:c r="F199" s="81" t="n"/>
      <x:c r="G199" s="81" t="n"/>
      <x:c r="H199" s="81" t="n"/>
      <x:c r="I199" s="81" t="n"/>
      <x:c r="J199" s="81" t="n"/>
      <x:c r="K199" s="81" t="n"/>
      <x:c r="L199" s="81" t="n"/>
      <x:c r="M199" s="81" t="n"/>
      <x:c r="N199" s="81" t="n"/>
      <x:c r="O199" s="81" t="n"/>
      <x:c r="P199" s="81" t="n"/>
      <x:c r="Q199" s="81" t="n"/>
      <x:c r="R199" s="81" t="n"/>
      <x:c r="S199" s="81" t="n"/>
      <x:c r="T199" s="81" t="n"/>
      <x:c r="U199" s="81" t="n"/>
      <x:c r="V199" s="81" t="n"/>
      <x:c r="W199" s="81" t="n"/>
      <x:c r="X199" s="81" t="n"/>
      <x:c r="Y199" s="81" t="n"/>
      <x:c r="Z199" s="81" t="n"/>
      <x:c r="AA199" s="81" t="n"/>
      <x:c r="AB199" s="81" t="n"/>
      <x:c r="AC199" s="81" t="n"/>
      <x:c r="AD199" s="81" t="n"/>
      <x:c r="AE199" s="81" t="n"/>
      <x:c r="AF199" s="81" t="n"/>
      <x:c r="AG199" s="81" t="n"/>
      <x:c r="AH199" s="81" t="n"/>
      <x:c r="AI199" s="81" t="n"/>
    </x:row>
    <x:row r="200">
      <x:c r="A200" s="81" t="n"/>
      <x:c r="B200" s="81" t="n"/>
      <x:c r="C200" s="81" t="n"/>
      <x:c r="D200" s="81" t="n"/>
      <x:c r="E200" s="81" t="n"/>
      <x:c r="F200" s="81" t="n"/>
      <x:c r="G200" s="81" t="n"/>
      <x:c r="H200" s="81" t="n"/>
      <x:c r="I200" s="81" t="n"/>
      <x:c r="J200" s="81" t="n"/>
      <x:c r="K200" s="81" t="n"/>
      <x:c r="L200" s="81" t="n"/>
      <x:c r="M200" s="81" t="n"/>
      <x:c r="N200" s="81" t="n"/>
      <x:c r="O200" s="81" t="n"/>
      <x:c r="P200" s="81" t="n"/>
      <x:c r="Q200" s="81" t="n"/>
      <x:c r="R200" s="81" t="n"/>
      <x:c r="S200" s="81" t="n"/>
      <x:c r="T200" s="81" t="n"/>
      <x:c r="U200" s="81" t="n"/>
      <x:c r="V200" s="81" t="n"/>
      <x:c r="W200" s="81" t="n"/>
      <x:c r="X200" s="81" t="n"/>
      <x:c r="Y200" s="81" t="n"/>
      <x:c r="Z200" s="81" t="n"/>
      <x:c r="AA200" s="81" t="n"/>
      <x:c r="AB200" s="81" t="n"/>
      <x:c r="AC200" s="81" t="n"/>
      <x:c r="AD200" s="81" t="n"/>
      <x:c r="AE200" s="81" t="n"/>
      <x:c r="AF200" s="81" t="n"/>
      <x:c r="AG200" s="81" t="n"/>
      <x:c r="AH200" s="81" t="n"/>
      <x:c r="AI200" s="81" t="n"/>
    </x:row>
    <x:row r="201">
      <x:c r="A201" s="81" t="n"/>
      <x:c r="B201" s="81" t="n"/>
      <x:c r="C201" s="81" t="n"/>
      <x:c r="D201" s="81" t="n"/>
      <x:c r="E201" s="81" t="n"/>
      <x:c r="F201" s="81" t="n"/>
      <x:c r="G201" s="81" t="n"/>
      <x:c r="H201" s="81" t="n"/>
      <x:c r="I201" s="81" t="n"/>
      <x:c r="J201" s="81" t="n"/>
      <x:c r="K201" s="81" t="n"/>
      <x:c r="L201" s="81" t="n"/>
      <x:c r="M201" s="81" t="n"/>
      <x:c r="N201" s="81" t="n"/>
      <x:c r="O201" s="81" t="n"/>
      <x:c r="P201" s="81" t="n"/>
      <x:c r="Q201" s="81" t="n"/>
      <x:c r="R201" s="81" t="n"/>
      <x:c r="S201" s="81" t="n"/>
      <x:c r="T201" s="81" t="n"/>
      <x:c r="U201" s="81" t="n"/>
      <x:c r="V201" s="81" t="n"/>
      <x:c r="W201" s="81" t="n"/>
      <x:c r="X201" s="81" t="n"/>
      <x:c r="Y201" s="81" t="n"/>
      <x:c r="Z201" s="81" t="n"/>
      <x:c r="AA201" s="81" t="n"/>
      <x:c r="AB201" s="81" t="n"/>
      <x:c r="AC201" s="81" t="n"/>
      <x:c r="AD201" s="81" t="n"/>
      <x:c r="AE201" s="81" t="n"/>
      <x:c r="AF201" s="81" t="n"/>
      <x:c r="AG201" s="81" t="n"/>
      <x:c r="AH201" s="81" t="n"/>
      <x:c r="AI201" s="81" t="n"/>
    </x:row>
    <x:row r="202">
      <x:c r="A202" s="81" t="n"/>
      <x:c r="B202" s="81" t="n"/>
      <x:c r="C202" s="81" t="n"/>
      <x:c r="D202" s="81" t="n"/>
      <x:c r="E202" s="81" t="n"/>
      <x:c r="F202" s="81" t="n"/>
      <x:c r="G202" s="81" t="n"/>
      <x:c r="H202" s="81" t="n"/>
      <x:c r="I202" s="81" t="n"/>
      <x:c r="J202" s="81" t="n"/>
      <x:c r="K202" s="81" t="n"/>
      <x:c r="L202" s="81" t="n"/>
      <x:c r="M202" s="81" t="n"/>
      <x:c r="N202" s="81" t="n"/>
      <x:c r="O202" s="81" t="n"/>
      <x:c r="P202" s="81" t="n"/>
      <x:c r="Q202" s="81" t="n"/>
      <x:c r="R202" s="81" t="n"/>
      <x:c r="S202" s="81" t="n"/>
      <x:c r="T202" s="81" t="n"/>
      <x:c r="U202" s="81" t="n"/>
      <x:c r="V202" s="81" t="n"/>
      <x:c r="W202" s="81" t="n"/>
      <x:c r="X202" s="81" t="n"/>
      <x:c r="Y202" s="81" t="n"/>
      <x:c r="Z202" s="81" t="n"/>
      <x:c r="AA202" s="81" t="n"/>
      <x:c r="AB202" s="81" t="n"/>
      <x:c r="AC202" s="81" t="n"/>
      <x:c r="AD202" s="81" t="n"/>
      <x:c r="AE202" s="81" t="n"/>
      <x:c r="AF202" s="81" t="n"/>
      <x:c r="AG202" s="81" t="n"/>
      <x:c r="AH202" s="81" t="n"/>
      <x:c r="AI202" s="81" t="n"/>
    </x:row>
    <x:row r="203">
      <x:c r="A203" s="81" t="n"/>
      <x:c r="B203" s="81" t="n"/>
      <x:c r="C203" s="81" t="n"/>
      <x:c r="D203" s="81" t="n"/>
      <x:c r="E203" s="81" t="n"/>
      <x:c r="F203" s="81" t="n"/>
      <x:c r="G203" s="81" t="n"/>
      <x:c r="H203" s="81" t="n"/>
      <x:c r="I203" s="81" t="n"/>
      <x:c r="J203" s="81" t="n"/>
      <x:c r="K203" s="81" t="n"/>
      <x:c r="L203" s="81" t="n"/>
      <x:c r="M203" s="81" t="n"/>
      <x:c r="N203" s="81" t="n"/>
      <x:c r="O203" s="81" t="n"/>
      <x:c r="P203" s="81" t="n"/>
      <x:c r="Q203" s="81" t="n"/>
      <x:c r="R203" s="81" t="n"/>
      <x:c r="S203" s="81" t="n"/>
      <x:c r="T203" s="81" t="n"/>
      <x:c r="U203" s="81" t="n"/>
      <x:c r="V203" s="81" t="n"/>
      <x:c r="W203" s="81" t="n"/>
      <x:c r="X203" s="81" t="n"/>
      <x:c r="Y203" s="81" t="n"/>
      <x:c r="Z203" s="81" t="n"/>
      <x:c r="AA203" s="81" t="n"/>
      <x:c r="AB203" s="81" t="n"/>
      <x:c r="AC203" s="81" t="n"/>
      <x:c r="AD203" s="81" t="n"/>
      <x:c r="AE203" s="81" t="n"/>
      <x:c r="AF203" s="81" t="n"/>
      <x:c r="AG203" s="81" t="n"/>
      <x:c r="AH203" s="81" t="n"/>
      <x:c r="AI203" s="81" t="n"/>
    </x:row>
    <x:row r="204">
      <x:c r="A204" s="81" t="n"/>
      <x:c r="B204" s="81" t="n"/>
      <x:c r="C204" s="81" t="n"/>
      <x:c r="D204" s="81" t="n"/>
      <x:c r="E204" s="81" t="n"/>
      <x:c r="F204" s="81" t="n"/>
      <x:c r="G204" s="81" t="n"/>
      <x:c r="H204" s="81" t="n"/>
      <x:c r="I204" s="81" t="n"/>
      <x:c r="J204" s="81" t="n"/>
      <x:c r="K204" s="81" t="n"/>
      <x:c r="L204" s="81" t="n"/>
      <x:c r="M204" s="81" t="n"/>
      <x:c r="N204" s="81" t="n"/>
      <x:c r="O204" s="81" t="n"/>
      <x:c r="P204" s="81" t="n"/>
      <x:c r="Q204" s="81" t="n"/>
      <x:c r="R204" s="81" t="n"/>
      <x:c r="S204" s="81" t="n"/>
      <x:c r="T204" s="81" t="n"/>
      <x:c r="U204" s="81" t="n"/>
      <x:c r="V204" s="81" t="n"/>
      <x:c r="W204" s="81" t="n"/>
      <x:c r="X204" s="81" t="n"/>
      <x:c r="Y204" s="81" t="n"/>
      <x:c r="Z204" s="81" t="n"/>
      <x:c r="AA204" s="81" t="n"/>
      <x:c r="AB204" s="81" t="n"/>
      <x:c r="AC204" s="81" t="n"/>
      <x:c r="AD204" s="81" t="n"/>
      <x:c r="AE204" s="81" t="n"/>
      <x:c r="AF204" s="81" t="n"/>
      <x:c r="AG204" s="81" t="n"/>
      <x:c r="AH204" s="81" t="n"/>
      <x:c r="AI204" s="81" t="n"/>
    </x:row>
    <x:row r="205">
      <x:c r="A205" s="81" t="n"/>
      <x:c r="B205" s="81" t="n"/>
      <x:c r="C205" s="81" t="n"/>
      <x:c r="D205" s="81" t="n"/>
      <x:c r="E205" s="81" t="n"/>
      <x:c r="F205" s="81" t="n"/>
      <x:c r="G205" s="81" t="n"/>
      <x:c r="H205" s="81" t="n"/>
      <x:c r="I205" s="81" t="n"/>
      <x:c r="J205" s="81" t="n"/>
      <x:c r="K205" s="81" t="n"/>
      <x:c r="L205" s="81" t="n"/>
      <x:c r="M205" s="81" t="n"/>
      <x:c r="N205" s="81" t="n"/>
      <x:c r="O205" s="81" t="n"/>
      <x:c r="P205" s="81" t="n"/>
      <x:c r="Q205" s="81" t="n"/>
      <x:c r="R205" s="81" t="n"/>
      <x:c r="S205" s="81" t="n"/>
      <x:c r="T205" s="81" t="n"/>
      <x:c r="U205" s="81" t="n"/>
      <x:c r="V205" s="81" t="n"/>
      <x:c r="W205" s="81" t="n"/>
      <x:c r="X205" s="81" t="n"/>
      <x:c r="Y205" s="81" t="n"/>
      <x:c r="Z205" s="81" t="n"/>
      <x:c r="AA205" s="81" t="n"/>
      <x:c r="AB205" s="81" t="n"/>
      <x:c r="AC205" s="81" t="n"/>
      <x:c r="AD205" s="81" t="n"/>
      <x:c r="AE205" s="81" t="n"/>
      <x:c r="AF205" s="81" t="n"/>
      <x:c r="AG205" s="81" t="n"/>
      <x:c r="AH205" s="81" t="n"/>
      <x:c r="AI205" s="81" t="n"/>
    </x:row>
    <x:row r="206">
      <x:c r="A206" s="81" t="n"/>
      <x:c r="B206" s="81" t="n"/>
      <x:c r="C206" s="81" t="n"/>
      <x:c r="D206" s="81" t="n"/>
      <x:c r="E206" s="81" t="n"/>
      <x:c r="F206" s="81" t="n"/>
      <x:c r="G206" s="81" t="n"/>
      <x:c r="H206" s="81" t="n"/>
      <x:c r="I206" s="81" t="n"/>
      <x:c r="J206" s="81" t="n"/>
      <x:c r="K206" s="81" t="n"/>
      <x:c r="L206" s="81" t="n"/>
      <x:c r="M206" s="81" t="n"/>
      <x:c r="N206" s="81" t="n"/>
      <x:c r="O206" s="81" t="n"/>
      <x:c r="P206" s="81" t="n"/>
      <x:c r="Q206" s="81" t="n"/>
      <x:c r="R206" s="81" t="n"/>
      <x:c r="S206" s="81" t="n"/>
      <x:c r="T206" s="81" t="n"/>
      <x:c r="U206" s="81" t="n"/>
      <x:c r="V206" s="81" t="n"/>
      <x:c r="W206" s="81" t="n"/>
      <x:c r="X206" s="81" t="n"/>
      <x:c r="Y206" s="81" t="n"/>
      <x:c r="Z206" s="81" t="n"/>
      <x:c r="AA206" s="81" t="n"/>
      <x:c r="AB206" s="81" t="n"/>
      <x:c r="AC206" s="81" t="n"/>
      <x:c r="AD206" s="81" t="n"/>
      <x:c r="AE206" s="81" t="n"/>
      <x:c r="AF206" s="81" t="n"/>
      <x:c r="AG206" s="81" t="n"/>
      <x:c r="AH206" s="81" t="n"/>
      <x:c r="AI206" s="81" t="n"/>
    </x:row>
    <x:row r="207">
      <x:c r="A207" s="81" t="n"/>
      <x:c r="B207" s="81" t="n"/>
      <x:c r="C207" s="81" t="n"/>
      <x:c r="D207" s="81" t="n"/>
      <x:c r="E207" s="81" t="n"/>
      <x:c r="F207" s="81" t="n"/>
      <x:c r="G207" s="81" t="n"/>
      <x:c r="H207" s="81" t="n"/>
      <x:c r="I207" s="81" t="n"/>
      <x:c r="J207" s="81" t="n"/>
      <x:c r="K207" s="81" t="n"/>
      <x:c r="L207" s="81" t="n"/>
      <x:c r="M207" s="81" t="n"/>
      <x:c r="N207" s="81" t="n"/>
      <x:c r="O207" s="81" t="n"/>
      <x:c r="P207" s="81" t="n"/>
      <x:c r="Q207" s="81" t="n"/>
      <x:c r="R207" s="81" t="n"/>
      <x:c r="S207" s="81" t="n"/>
      <x:c r="T207" s="81" t="n"/>
      <x:c r="U207" s="81" t="n"/>
      <x:c r="V207" s="81" t="n"/>
      <x:c r="W207" s="81" t="n"/>
      <x:c r="X207" s="81" t="n"/>
      <x:c r="Y207" s="81" t="n"/>
      <x:c r="Z207" s="81" t="n"/>
      <x:c r="AA207" s="81" t="n"/>
      <x:c r="AB207" s="81" t="n"/>
      <x:c r="AC207" s="81" t="n"/>
      <x:c r="AD207" s="81" t="n"/>
      <x:c r="AE207" s="81" t="n"/>
      <x:c r="AF207" s="81" t="n"/>
      <x:c r="AG207" s="81" t="n"/>
      <x:c r="AH207" s="81" t="n"/>
      <x:c r="AI207" s="81" t="n"/>
    </x:row>
    <x:row r="208">
      <x:c r="A208" s="81" t="n"/>
      <x:c r="B208" s="81" t="n"/>
      <x:c r="C208" s="81" t="n"/>
      <x:c r="D208" s="81" t="n"/>
      <x:c r="E208" s="81" t="n"/>
      <x:c r="F208" s="81" t="n"/>
      <x:c r="G208" s="81" t="n"/>
      <x:c r="H208" s="81" t="n"/>
      <x:c r="I208" s="81" t="n"/>
      <x:c r="J208" s="81" t="n"/>
      <x:c r="K208" s="81" t="n"/>
      <x:c r="L208" s="81" t="n"/>
      <x:c r="M208" s="81" t="n"/>
      <x:c r="N208" s="81" t="n"/>
      <x:c r="O208" s="81" t="n"/>
      <x:c r="P208" s="81" t="n"/>
      <x:c r="Q208" s="81" t="n"/>
      <x:c r="R208" s="81" t="n"/>
      <x:c r="S208" s="81" t="n"/>
      <x:c r="T208" s="81" t="n"/>
      <x:c r="U208" s="81" t="n"/>
      <x:c r="V208" s="81" t="n"/>
      <x:c r="W208" s="81" t="n"/>
      <x:c r="X208" s="81" t="n"/>
      <x:c r="Y208" s="81" t="n"/>
      <x:c r="Z208" s="81" t="n"/>
      <x:c r="AA208" s="81" t="n"/>
      <x:c r="AB208" s="81" t="n"/>
      <x:c r="AC208" s="81" t="n"/>
      <x:c r="AD208" s="81" t="n"/>
      <x:c r="AE208" s="81" t="n"/>
      <x:c r="AF208" s="81" t="n"/>
      <x:c r="AG208" s="81" t="n"/>
      <x:c r="AH208" s="81" t="n"/>
      <x:c r="AI208" s="81" t="n"/>
    </x:row>
    <x:row r="209">
      <x:c r="A209" s="81" t="n"/>
      <x:c r="B209" s="81" t="n"/>
      <x:c r="C209" s="81" t="n"/>
      <x:c r="D209" s="81" t="n"/>
      <x:c r="E209" s="81" t="n"/>
      <x:c r="F209" s="81" t="n"/>
      <x:c r="G209" s="81" t="n"/>
      <x:c r="H209" s="81" t="n"/>
      <x:c r="I209" s="81" t="n"/>
      <x:c r="J209" s="81" t="n"/>
      <x:c r="K209" s="81" t="n"/>
      <x:c r="L209" s="81" t="n"/>
      <x:c r="M209" s="81" t="n"/>
      <x:c r="N209" s="81" t="n"/>
      <x:c r="O209" s="81" t="n"/>
      <x:c r="P209" s="81" t="n"/>
      <x:c r="Q209" s="81" t="n"/>
      <x:c r="R209" s="81" t="n"/>
      <x:c r="S209" s="81" t="n"/>
      <x:c r="T209" s="81" t="n"/>
      <x:c r="U209" s="81" t="n"/>
      <x:c r="V209" s="81" t="n"/>
      <x:c r="W209" s="81" t="n"/>
      <x:c r="X209" s="81" t="n"/>
      <x:c r="Y209" s="81" t="n"/>
      <x:c r="Z209" s="81" t="n"/>
      <x:c r="AA209" s="81" t="n"/>
      <x:c r="AB209" s="81" t="n"/>
      <x:c r="AC209" s="81" t="n"/>
      <x:c r="AD209" s="81" t="n"/>
      <x:c r="AE209" s="81" t="n"/>
      <x:c r="AF209" s="81" t="n"/>
      <x:c r="AG209" s="81" t="n"/>
      <x:c r="AH209" s="81" t="n"/>
      <x:c r="AI209" s="81" t="n"/>
    </x:row>
    <x:row r="210">
      <x:c r="A210" s="81" t="n"/>
      <x:c r="B210" s="81" t="n"/>
      <x:c r="C210" s="81" t="n"/>
      <x:c r="D210" s="81" t="n"/>
      <x:c r="E210" s="81" t="n"/>
      <x:c r="F210" s="81" t="n"/>
      <x:c r="G210" s="81" t="n"/>
      <x:c r="H210" s="81" t="n"/>
      <x:c r="I210" s="81" t="n"/>
      <x:c r="J210" s="81" t="n"/>
      <x:c r="K210" s="81" t="n"/>
      <x:c r="L210" s="81" t="n"/>
      <x:c r="M210" s="81" t="n"/>
      <x:c r="N210" s="81" t="n"/>
      <x:c r="O210" s="81" t="n"/>
      <x:c r="P210" s="81" t="n"/>
      <x:c r="Q210" s="81" t="n"/>
      <x:c r="R210" s="81" t="n"/>
      <x:c r="S210" s="81" t="n"/>
      <x:c r="T210" s="81" t="n"/>
      <x:c r="U210" s="81" t="n"/>
      <x:c r="V210" s="81" t="n"/>
      <x:c r="W210" s="81" t="n"/>
      <x:c r="X210" s="81" t="n"/>
      <x:c r="Y210" s="81" t="n"/>
      <x:c r="Z210" s="81" t="n"/>
      <x:c r="AA210" s="81" t="n"/>
      <x:c r="AB210" s="81" t="n"/>
      <x:c r="AC210" s="81" t="n"/>
      <x:c r="AD210" s="81" t="n"/>
      <x:c r="AE210" s="81" t="n"/>
      <x:c r="AF210" s="81" t="n"/>
      <x:c r="AG210" s="81" t="n"/>
      <x:c r="AH210" s="81" t="n"/>
      <x:c r="AI210" s="81" t="n"/>
    </x:row>
    <x:row r="211">
      <x:c r="A211" s="81" t="n"/>
      <x:c r="B211" s="81" t="n"/>
      <x:c r="C211" s="81" t="n"/>
      <x:c r="D211" s="81" t="n"/>
      <x:c r="E211" s="81" t="n"/>
      <x:c r="F211" s="81" t="n"/>
      <x:c r="G211" s="81" t="n"/>
      <x:c r="H211" s="81" t="n"/>
      <x:c r="I211" s="81" t="n"/>
      <x:c r="J211" s="81" t="n"/>
      <x:c r="K211" s="81" t="n"/>
      <x:c r="L211" s="81" t="n"/>
      <x:c r="M211" s="81" t="n"/>
      <x:c r="N211" s="81" t="n"/>
      <x:c r="O211" s="81" t="n"/>
      <x:c r="P211" s="81" t="n"/>
      <x:c r="Q211" s="81" t="n"/>
      <x:c r="R211" s="81" t="n"/>
      <x:c r="S211" s="81" t="n"/>
      <x:c r="T211" s="81" t="n"/>
      <x:c r="U211" s="81" t="n"/>
      <x:c r="V211" s="81" t="n"/>
      <x:c r="W211" s="81" t="n"/>
      <x:c r="X211" s="81" t="n"/>
      <x:c r="Y211" s="81" t="n"/>
      <x:c r="Z211" s="81" t="n"/>
      <x:c r="AA211" s="81" t="n"/>
      <x:c r="AB211" s="81" t="n"/>
      <x:c r="AC211" s="81" t="n"/>
      <x:c r="AD211" s="81" t="n"/>
      <x:c r="AE211" s="81" t="n"/>
      <x:c r="AF211" s="81" t="n"/>
      <x:c r="AG211" s="81" t="n"/>
      <x:c r="AH211" s="81" t="n"/>
      <x:c r="AI211" s="81" t="n"/>
    </x:row>
    <x:row r="212">
      <x:c r="A212" s="81" t="n"/>
      <x:c r="B212" s="81" t="n"/>
      <x:c r="C212" s="81" t="n"/>
      <x:c r="D212" s="81" t="n"/>
      <x:c r="E212" s="81" t="n"/>
      <x:c r="F212" s="81" t="n"/>
      <x:c r="G212" s="81" t="n"/>
      <x:c r="H212" s="81" t="n"/>
      <x:c r="I212" s="81" t="n"/>
      <x:c r="J212" s="81" t="n"/>
      <x:c r="K212" s="81" t="n"/>
      <x:c r="L212" s="81" t="n"/>
      <x:c r="M212" s="81" t="n"/>
      <x:c r="N212" s="81" t="n"/>
      <x:c r="O212" s="81" t="n"/>
      <x:c r="P212" s="81" t="n"/>
      <x:c r="Q212" s="81" t="n"/>
      <x:c r="R212" s="81" t="n"/>
      <x:c r="S212" s="81" t="n"/>
      <x:c r="T212" s="81" t="n"/>
      <x:c r="U212" s="81" t="n"/>
      <x:c r="V212" s="81" t="n"/>
      <x:c r="W212" s="81" t="n"/>
      <x:c r="X212" s="81" t="n"/>
      <x:c r="Y212" s="81" t="n"/>
      <x:c r="Z212" s="81" t="n"/>
      <x:c r="AA212" s="81" t="n"/>
      <x:c r="AB212" s="81" t="n"/>
      <x:c r="AC212" s="81" t="n"/>
      <x:c r="AD212" s="81" t="n"/>
      <x:c r="AE212" s="81" t="n"/>
      <x:c r="AF212" s="81" t="n"/>
      <x:c r="AG212" s="81" t="n"/>
      <x:c r="AH212" s="81" t="n"/>
      <x:c r="AI212" s="81" t="n"/>
    </x:row>
    <x:row r="213">
      <x:c r="A213" s="81" t="n"/>
      <x:c r="B213" s="81" t="n"/>
      <x:c r="C213" s="81" t="n"/>
      <x:c r="D213" s="81" t="n"/>
      <x:c r="E213" s="81" t="n"/>
      <x:c r="F213" s="81" t="n"/>
      <x:c r="G213" s="81" t="n"/>
      <x:c r="H213" s="81" t="n"/>
      <x:c r="I213" s="81" t="n"/>
      <x:c r="J213" s="81" t="n"/>
      <x:c r="K213" s="81" t="n"/>
      <x:c r="L213" s="81" t="n"/>
      <x:c r="M213" s="81" t="n"/>
      <x:c r="N213" s="81" t="n"/>
      <x:c r="O213" s="81" t="n"/>
      <x:c r="P213" s="81" t="n"/>
      <x:c r="Q213" s="81" t="n"/>
      <x:c r="R213" s="81" t="n"/>
      <x:c r="S213" s="81" t="n"/>
      <x:c r="T213" s="81" t="n"/>
      <x:c r="U213" s="81" t="n"/>
      <x:c r="V213" s="81" t="n"/>
      <x:c r="W213" s="81" t="n"/>
      <x:c r="X213" s="81" t="n"/>
      <x:c r="Y213" s="81" t="n"/>
      <x:c r="Z213" s="81" t="n"/>
      <x:c r="AA213" s="81" t="n"/>
      <x:c r="AB213" s="81" t="n"/>
      <x:c r="AC213" s="81" t="n"/>
      <x:c r="AD213" s="81" t="n"/>
      <x:c r="AE213" s="81" t="n"/>
      <x:c r="AF213" s="81" t="n"/>
      <x:c r="AG213" s="81" t="n"/>
      <x:c r="AH213" s="81" t="n"/>
      <x:c r="AI213" s="81" t="n"/>
    </x:row>
    <x:row r="214">
      <x:c r="A214" s="81" t="n"/>
      <x:c r="B214" s="81" t="n"/>
      <x:c r="C214" s="81" t="n"/>
      <x:c r="D214" s="81" t="n"/>
      <x:c r="E214" s="81" t="n"/>
      <x:c r="F214" s="81" t="n"/>
      <x:c r="G214" s="81" t="n"/>
      <x:c r="H214" s="81" t="n"/>
      <x:c r="I214" s="81" t="n"/>
      <x:c r="J214" s="81" t="n"/>
      <x:c r="K214" s="81" t="n"/>
      <x:c r="L214" s="81" t="n"/>
      <x:c r="M214" s="81" t="n"/>
      <x:c r="N214" s="81" t="n"/>
      <x:c r="O214" s="81" t="n"/>
      <x:c r="P214" s="81" t="n"/>
      <x:c r="Q214" s="81" t="n"/>
      <x:c r="R214" s="81" t="n"/>
      <x:c r="S214" s="81" t="n"/>
      <x:c r="T214" s="81" t="n"/>
      <x:c r="U214" s="81" t="n"/>
      <x:c r="V214" s="81" t="n"/>
      <x:c r="W214" s="81" t="n"/>
      <x:c r="X214" s="81" t="n"/>
      <x:c r="Y214" s="81" t="n"/>
      <x:c r="Z214" s="81" t="n"/>
      <x:c r="AA214" s="81" t="n"/>
      <x:c r="AB214" s="81" t="n"/>
      <x:c r="AC214" s="81" t="n"/>
      <x:c r="AD214" s="81" t="n"/>
      <x:c r="AE214" s="81" t="n"/>
      <x:c r="AF214" s="81" t="n"/>
      <x:c r="AG214" s="81" t="n"/>
      <x:c r="AH214" s="81" t="n"/>
      <x:c r="AI214" s="81" t="n"/>
    </x:row>
    <x:row r="215">
      <x:c r="A215" s="81" t="n"/>
      <x:c r="B215" s="81" t="n"/>
      <x:c r="C215" s="81" t="n"/>
      <x:c r="D215" s="81" t="n"/>
      <x:c r="E215" s="81" t="n"/>
      <x:c r="F215" s="81" t="n"/>
      <x:c r="G215" s="81" t="n"/>
      <x:c r="H215" s="81" t="n"/>
      <x:c r="I215" s="81" t="n"/>
      <x:c r="J215" s="81" t="n"/>
      <x:c r="K215" s="81" t="n"/>
      <x:c r="L215" s="81" t="n"/>
      <x:c r="M215" s="81" t="n"/>
      <x:c r="N215" s="81" t="n"/>
      <x:c r="O215" s="81" t="n"/>
      <x:c r="P215" s="81" t="n"/>
      <x:c r="Q215" s="81" t="n"/>
      <x:c r="R215" s="81" t="n"/>
      <x:c r="S215" s="81" t="n"/>
      <x:c r="T215" s="81" t="n"/>
      <x:c r="U215" s="81" t="n"/>
      <x:c r="V215" s="81" t="n"/>
      <x:c r="W215" s="81" t="n"/>
      <x:c r="X215" s="81" t="n"/>
      <x:c r="Y215" s="81" t="n"/>
      <x:c r="Z215" s="81" t="n"/>
      <x:c r="AA215" s="81" t="n"/>
      <x:c r="AB215" s="81" t="n"/>
      <x:c r="AC215" s="81" t="n"/>
      <x:c r="AD215" s="81" t="n"/>
      <x:c r="AE215" s="81" t="n"/>
      <x:c r="AF215" s="81" t="n"/>
      <x:c r="AG215" s="81" t="n"/>
      <x:c r="AH215" s="81" t="n"/>
      <x:c r="AI215" s="81" t="n"/>
    </x:row>
    <x:row r="216">
      <x:c r="A216" s="81" t="n"/>
      <x:c r="B216" s="81" t="n"/>
      <x:c r="C216" s="81" t="n"/>
      <x:c r="D216" s="81" t="n"/>
      <x:c r="E216" s="81" t="n"/>
      <x:c r="F216" s="81" t="n"/>
      <x:c r="G216" s="81" t="n"/>
      <x:c r="H216" s="81" t="n"/>
      <x:c r="I216" s="81" t="n"/>
      <x:c r="J216" s="81" t="n"/>
      <x:c r="K216" s="81" t="n"/>
      <x:c r="L216" s="81" t="n"/>
      <x:c r="M216" s="81" t="n"/>
      <x:c r="N216" s="81" t="n"/>
      <x:c r="O216" s="81" t="n"/>
      <x:c r="P216" s="81" t="n"/>
      <x:c r="Q216" s="81" t="n"/>
      <x:c r="R216" s="81" t="n"/>
      <x:c r="S216" s="81" t="n"/>
      <x:c r="T216" s="81" t="n"/>
      <x:c r="U216" s="81" t="n"/>
      <x:c r="V216" s="81" t="n"/>
      <x:c r="W216" s="81" t="n"/>
      <x:c r="X216" s="81" t="n"/>
      <x:c r="Y216" s="81" t="n"/>
      <x:c r="Z216" s="81" t="n"/>
      <x:c r="AA216" s="81" t="n"/>
      <x:c r="AB216" s="81" t="n"/>
      <x:c r="AC216" s="81" t="n"/>
      <x:c r="AD216" s="81" t="n"/>
      <x:c r="AE216" s="81" t="n"/>
      <x:c r="AF216" s="81" t="n"/>
      <x:c r="AG216" s="81" t="n"/>
      <x:c r="AH216" s="81" t="n"/>
      <x:c r="AI216" s="81" t="n"/>
    </x:row>
    <x:row r="217">
      <x:c r="A217" s="81" t="n"/>
      <x:c r="B217" s="81" t="n"/>
      <x:c r="C217" s="81" t="n"/>
      <x:c r="D217" s="81" t="n"/>
      <x:c r="E217" s="81" t="n"/>
      <x:c r="F217" s="81" t="n"/>
      <x:c r="G217" s="81" t="n"/>
      <x:c r="H217" s="81" t="n"/>
      <x:c r="I217" s="81" t="n"/>
      <x:c r="J217" s="81" t="n"/>
      <x:c r="K217" s="81" t="n"/>
      <x:c r="L217" s="81" t="n"/>
      <x:c r="M217" s="81" t="n"/>
      <x:c r="N217" s="81" t="n"/>
      <x:c r="O217" s="81" t="n"/>
      <x:c r="P217" s="81" t="n"/>
      <x:c r="Q217" s="81" t="n"/>
      <x:c r="R217" s="81" t="n"/>
      <x:c r="S217" s="81" t="n"/>
      <x:c r="T217" s="81" t="n"/>
      <x:c r="U217" s="81" t="n"/>
      <x:c r="V217" s="81" t="n"/>
      <x:c r="W217" s="81" t="n"/>
      <x:c r="X217" s="81" t="n"/>
      <x:c r="Y217" s="81" t="n"/>
      <x:c r="Z217" s="81" t="n"/>
      <x:c r="AA217" s="81" t="n"/>
      <x:c r="AB217" s="81" t="n"/>
      <x:c r="AC217" s="81" t="n"/>
      <x:c r="AD217" s="81" t="n"/>
      <x:c r="AE217" s="81" t="n"/>
      <x:c r="AF217" s="81" t="n"/>
      <x:c r="AG217" s="81" t="n"/>
      <x:c r="AH217" s="81" t="n"/>
      <x:c r="AI217" s="81" t="n"/>
    </x:row>
    <x:row r="218">
      <x:c r="A218" s="81" t="n"/>
      <x:c r="B218" s="81" t="n"/>
      <x:c r="C218" s="81" t="n"/>
      <x:c r="D218" s="81" t="n"/>
      <x:c r="E218" s="81" t="n"/>
      <x:c r="F218" s="81" t="n"/>
      <x:c r="G218" s="81" t="n"/>
      <x:c r="H218" s="81" t="n"/>
      <x:c r="I218" s="81" t="n"/>
      <x:c r="J218" s="81" t="n"/>
      <x:c r="K218" s="81" t="n"/>
      <x:c r="L218" s="81" t="n"/>
      <x:c r="M218" s="81" t="n"/>
      <x:c r="N218" s="81" t="n"/>
      <x:c r="O218" s="81" t="n"/>
      <x:c r="P218" s="81" t="n"/>
      <x:c r="Q218" s="81" t="n"/>
      <x:c r="R218" s="81" t="n"/>
      <x:c r="S218" s="81" t="n"/>
      <x:c r="T218" s="81" t="n"/>
      <x:c r="U218" s="81" t="n"/>
      <x:c r="V218" s="81" t="n"/>
      <x:c r="W218" s="81" t="n"/>
      <x:c r="X218" s="81" t="n"/>
      <x:c r="Y218" s="81" t="n"/>
      <x:c r="Z218" s="81" t="n"/>
      <x:c r="AA218" s="81" t="n"/>
      <x:c r="AB218" s="81" t="n"/>
      <x:c r="AC218" s="81" t="n"/>
      <x:c r="AD218" s="81" t="n"/>
      <x:c r="AE218" s="81" t="n"/>
      <x:c r="AF218" s="81" t="n"/>
      <x:c r="AG218" s="81" t="n"/>
      <x:c r="AH218" s="81" t="n"/>
      <x:c r="AI218" s="81" t="n"/>
    </x:row>
    <x:row r="219">
      <x:c r="A219" s="81" t="n"/>
      <x:c r="B219" s="81" t="n"/>
      <x:c r="C219" s="81" t="n"/>
      <x:c r="D219" s="81" t="n"/>
      <x:c r="E219" s="81" t="n"/>
      <x:c r="F219" s="81" t="n"/>
      <x:c r="G219" s="81" t="n"/>
      <x:c r="H219" s="81" t="n"/>
      <x:c r="I219" s="81" t="n"/>
      <x:c r="J219" s="81" t="n"/>
      <x:c r="K219" s="81" t="n"/>
      <x:c r="L219" s="81" t="n"/>
      <x:c r="M219" s="81" t="n"/>
      <x:c r="N219" s="81" t="n"/>
      <x:c r="O219" s="81" t="n"/>
      <x:c r="P219" s="81" t="n"/>
      <x:c r="Q219" s="81" t="n"/>
      <x:c r="R219" s="81" t="n"/>
      <x:c r="S219" s="81" t="n"/>
      <x:c r="T219" s="81" t="n"/>
      <x:c r="U219" s="81" t="n"/>
      <x:c r="V219" s="81" t="n"/>
      <x:c r="W219" s="81" t="n"/>
      <x:c r="X219" s="81" t="n"/>
      <x:c r="Y219" s="81" t="n"/>
      <x:c r="Z219" s="81" t="n"/>
      <x:c r="AA219" s="81" t="n"/>
      <x:c r="AB219" s="81" t="n"/>
      <x:c r="AC219" s="81" t="n"/>
      <x:c r="AD219" s="81" t="n"/>
      <x:c r="AE219" s="81" t="n"/>
      <x:c r="AF219" s="81" t="n"/>
      <x:c r="AG219" s="81" t="n"/>
      <x:c r="AH219" s="81" t="n"/>
      <x:c r="AI219" s="81" t="n"/>
    </x:row>
    <x:row r="220">
      <x:c r="A220" s="81" t="n"/>
      <x:c r="B220" s="81" t="n"/>
      <x:c r="C220" s="81" t="n"/>
      <x:c r="D220" s="81" t="n"/>
      <x:c r="E220" s="81" t="n"/>
      <x:c r="F220" s="81" t="n"/>
      <x:c r="G220" s="81" t="n"/>
      <x:c r="H220" s="81" t="n"/>
      <x:c r="I220" s="81" t="n"/>
      <x:c r="J220" s="81" t="n"/>
      <x:c r="K220" s="81" t="n"/>
      <x:c r="L220" s="81" t="n"/>
      <x:c r="M220" s="81" t="n"/>
      <x:c r="N220" s="81" t="n"/>
      <x:c r="O220" s="81" t="n"/>
      <x:c r="P220" s="81" t="n"/>
      <x:c r="Q220" s="81" t="n"/>
      <x:c r="R220" s="81" t="n"/>
      <x:c r="S220" s="81" t="n"/>
      <x:c r="T220" s="81" t="n"/>
      <x:c r="U220" s="81" t="n"/>
      <x:c r="V220" s="81" t="n"/>
      <x:c r="W220" s="81" t="n"/>
      <x:c r="X220" s="81" t="n"/>
      <x:c r="Y220" s="81" t="n"/>
      <x:c r="Z220" s="81" t="n"/>
      <x:c r="AA220" s="81" t="n"/>
      <x:c r="AB220" s="81" t="n"/>
      <x:c r="AC220" s="81" t="n"/>
      <x:c r="AD220" s="81" t="n"/>
      <x:c r="AE220" s="81" t="n"/>
      <x:c r="AF220" s="81" t="n"/>
      <x:c r="AG220" s="81" t="n"/>
      <x:c r="AH220" s="81" t="n"/>
      <x:c r="AI220" s="81" t="n"/>
    </x:row>
    <x:row r="221">
      <x:c r="A221" s="81" t="n"/>
      <x:c r="B221" s="81" t="n"/>
      <x:c r="C221" s="81" t="n"/>
      <x:c r="D221" s="81" t="n"/>
      <x:c r="E221" s="81" t="n"/>
      <x:c r="F221" s="81" t="n"/>
      <x:c r="G221" s="81" t="n"/>
      <x:c r="H221" s="81" t="n"/>
      <x:c r="I221" s="81" t="n"/>
      <x:c r="J221" s="81" t="n"/>
      <x:c r="K221" s="81" t="n"/>
      <x:c r="L221" s="81" t="n"/>
      <x:c r="M221" s="81" t="n"/>
      <x:c r="N221" s="81" t="n"/>
      <x:c r="O221" s="81" t="n"/>
      <x:c r="P221" s="81" t="n"/>
      <x:c r="Q221" s="81" t="n"/>
      <x:c r="R221" s="81" t="n"/>
      <x:c r="S221" s="81" t="n"/>
      <x:c r="T221" s="81" t="n"/>
      <x:c r="U221" s="81" t="n"/>
      <x:c r="V221" s="81" t="n"/>
      <x:c r="W221" s="81" t="n"/>
      <x:c r="X221" s="81" t="n"/>
      <x:c r="Y221" s="81" t="n"/>
      <x:c r="Z221" s="81" t="n"/>
      <x:c r="AA221" s="81" t="n"/>
      <x:c r="AB221" s="81" t="n"/>
      <x:c r="AC221" s="81" t="n"/>
      <x:c r="AD221" s="81" t="n"/>
      <x:c r="AE221" s="81" t="n"/>
      <x:c r="AF221" s="81" t="n"/>
      <x:c r="AG221" s="81" t="n"/>
      <x:c r="AH221" s="81" t="n"/>
      <x:c r="AI221" s="81" t="n"/>
    </x:row>
    <x:row r="222">
      <x:c r="A222" s="81" t="n"/>
      <x:c r="B222" s="81" t="n"/>
      <x:c r="C222" s="81" t="n"/>
      <x:c r="D222" s="81" t="n"/>
      <x:c r="E222" s="81" t="n"/>
      <x:c r="F222" s="81" t="n"/>
      <x:c r="G222" s="81" t="n"/>
      <x:c r="H222" s="81" t="n"/>
      <x:c r="I222" s="81" t="n"/>
      <x:c r="J222" s="81" t="n"/>
      <x:c r="K222" s="81" t="n"/>
      <x:c r="L222" s="81" t="n"/>
      <x:c r="M222" s="81" t="n"/>
      <x:c r="N222" s="81" t="n"/>
      <x:c r="O222" s="81" t="n"/>
      <x:c r="P222" s="81" t="n"/>
      <x:c r="Q222" s="81" t="n"/>
      <x:c r="R222" s="81" t="n"/>
      <x:c r="S222" s="81" t="n"/>
      <x:c r="T222" s="81" t="n"/>
      <x:c r="U222" s="81" t="n"/>
      <x:c r="V222" s="81" t="n"/>
      <x:c r="W222" s="81" t="n"/>
      <x:c r="X222" s="81" t="n"/>
      <x:c r="Y222" s="81" t="n"/>
      <x:c r="Z222" s="81" t="n"/>
      <x:c r="AA222" s="81" t="n"/>
      <x:c r="AB222" s="81" t="n"/>
      <x:c r="AC222" s="81" t="n"/>
      <x:c r="AD222" s="81" t="n"/>
      <x:c r="AE222" s="81" t="n"/>
      <x:c r="AF222" s="81" t="n"/>
      <x:c r="AG222" s="81" t="n"/>
      <x:c r="AH222" s="81" t="n"/>
      <x:c r="AI222" s="81" t="n"/>
    </x:row>
    <x:row r="223">
      <x:c r="A223" s="81" t="n"/>
      <x:c r="B223" s="81" t="n"/>
      <x:c r="C223" s="81" t="n"/>
      <x:c r="D223" s="81" t="n"/>
      <x:c r="E223" s="81" t="n"/>
      <x:c r="F223" s="81" t="n"/>
      <x:c r="G223" s="81" t="n"/>
      <x:c r="H223" s="81" t="n"/>
      <x:c r="I223" s="81" t="n"/>
      <x:c r="J223" s="81" t="n"/>
      <x:c r="K223" s="81" t="n"/>
      <x:c r="L223" s="81" t="n"/>
      <x:c r="M223" s="81" t="n"/>
      <x:c r="N223" s="81" t="n"/>
      <x:c r="O223" s="81" t="n"/>
      <x:c r="P223" s="81" t="n"/>
      <x:c r="Q223" s="81" t="n"/>
      <x:c r="R223" s="81" t="n"/>
      <x:c r="S223" s="81" t="n"/>
      <x:c r="T223" s="81" t="n"/>
      <x:c r="U223" s="81" t="n"/>
      <x:c r="V223" s="81" t="n"/>
      <x:c r="W223" s="81" t="n"/>
      <x:c r="X223" s="81" t="n"/>
      <x:c r="Y223" s="81" t="n"/>
      <x:c r="Z223" s="81" t="n"/>
      <x:c r="AA223" s="81" t="n"/>
      <x:c r="AB223" s="81" t="n"/>
      <x:c r="AC223" s="81" t="n"/>
      <x:c r="AD223" s="81" t="n"/>
      <x:c r="AE223" s="81" t="n"/>
      <x:c r="AF223" s="81" t="n"/>
      <x:c r="AG223" s="81" t="n"/>
      <x:c r="AH223" s="81" t="n"/>
      <x:c r="AI223" s="81" t="n"/>
    </x:row>
    <x:row r="224">
      <x:c r="A224" s="81" t="n"/>
      <x:c r="B224" s="81" t="n"/>
      <x:c r="C224" s="81" t="n"/>
      <x:c r="D224" s="81" t="n"/>
      <x:c r="E224" s="81" t="n"/>
      <x:c r="F224" s="81" t="n"/>
      <x:c r="G224" s="81" t="n"/>
      <x:c r="H224" s="81" t="n"/>
      <x:c r="I224" s="81" t="n"/>
      <x:c r="J224" s="81" t="n"/>
      <x:c r="K224" s="81" t="n"/>
      <x:c r="L224" s="81" t="n"/>
      <x:c r="M224" s="81" t="n"/>
      <x:c r="N224" s="81" t="n"/>
      <x:c r="O224" s="81" t="n"/>
      <x:c r="P224" s="81" t="n"/>
      <x:c r="Q224" s="81" t="n"/>
      <x:c r="R224" s="81" t="n"/>
      <x:c r="S224" s="81" t="n"/>
      <x:c r="T224" s="81" t="n"/>
      <x:c r="U224" s="81" t="n"/>
      <x:c r="V224" s="81" t="n"/>
      <x:c r="W224" s="81" t="n"/>
      <x:c r="X224" s="81" t="n"/>
      <x:c r="Y224" s="81" t="n"/>
      <x:c r="Z224" s="81" t="n"/>
      <x:c r="AA224" s="81" t="n"/>
      <x:c r="AB224" s="81" t="n"/>
      <x:c r="AC224" s="81" t="n"/>
      <x:c r="AD224" s="81" t="n"/>
      <x:c r="AE224" s="81" t="n"/>
      <x:c r="AF224" s="81" t="n"/>
      <x:c r="AG224" s="81" t="n"/>
      <x:c r="AH224" s="81" t="n"/>
      <x:c r="AI224" s="81" t="n"/>
    </x:row>
    <x:row r="225">
      <x:c r="A225" s="81" t="n"/>
      <x:c r="B225" s="81" t="n"/>
      <x:c r="C225" s="81" t="n"/>
      <x:c r="D225" s="81" t="n"/>
      <x:c r="E225" s="81" t="n"/>
      <x:c r="F225" s="81" t="n"/>
      <x:c r="G225" s="81" t="n"/>
      <x:c r="H225" s="81" t="n"/>
      <x:c r="I225" s="81" t="n"/>
      <x:c r="J225" s="81" t="n"/>
      <x:c r="K225" s="81" t="n"/>
      <x:c r="L225" s="81" t="n"/>
      <x:c r="M225" s="81" t="n"/>
      <x:c r="N225" s="81" t="n"/>
      <x:c r="O225" s="81" t="n"/>
      <x:c r="P225" s="81" t="n"/>
      <x:c r="Q225" s="81" t="n"/>
      <x:c r="R225" s="81" t="n"/>
      <x:c r="S225" s="81" t="n"/>
      <x:c r="T225" s="81" t="n"/>
      <x:c r="U225" s="81" t="n"/>
      <x:c r="V225" s="81" t="n"/>
      <x:c r="W225" s="81" t="n"/>
      <x:c r="X225" s="81" t="n"/>
      <x:c r="Y225" s="81" t="n"/>
      <x:c r="Z225" s="81" t="n"/>
      <x:c r="AA225" s="81" t="n"/>
      <x:c r="AB225" s="81" t="n"/>
      <x:c r="AC225" s="81" t="n"/>
      <x:c r="AD225" s="81" t="n"/>
      <x:c r="AE225" s="81" t="n"/>
      <x:c r="AF225" s="81" t="n"/>
      <x:c r="AG225" s="81" t="n"/>
      <x:c r="AH225" s="81" t="n"/>
      <x:c r="AI225" s="81" t="n"/>
    </x:row>
    <x:row r="226">
      <x:c r="A226" s="81" t="n"/>
      <x:c r="B226" s="81" t="n"/>
      <x:c r="C226" s="81" t="n"/>
      <x:c r="D226" s="81" t="n"/>
      <x:c r="E226" s="81" t="n"/>
      <x:c r="F226" s="81" t="n"/>
      <x:c r="G226" s="81" t="n"/>
      <x:c r="H226" s="81" t="n"/>
      <x:c r="I226" s="81" t="n"/>
      <x:c r="J226" s="81" t="n"/>
      <x:c r="K226" s="81" t="n"/>
      <x:c r="L226" s="81" t="n"/>
      <x:c r="M226" s="81" t="n"/>
      <x:c r="N226" s="81" t="n"/>
      <x:c r="O226" s="81" t="n"/>
      <x:c r="P226" s="81" t="n"/>
      <x:c r="Q226" s="81" t="n"/>
      <x:c r="R226" s="81" t="n"/>
      <x:c r="S226" s="81" t="n"/>
      <x:c r="T226" s="81" t="n"/>
      <x:c r="U226" s="81" t="n"/>
      <x:c r="V226" s="81" t="n"/>
      <x:c r="W226" s="81" t="n"/>
      <x:c r="X226" s="81" t="n"/>
      <x:c r="Y226" s="81" t="n"/>
      <x:c r="Z226" s="81" t="n"/>
      <x:c r="AA226" s="81" t="n"/>
      <x:c r="AB226" s="81" t="n"/>
      <x:c r="AC226" s="81" t="n"/>
      <x:c r="AD226" s="81" t="n"/>
      <x:c r="AE226" s="81" t="n"/>
      <x:c r="AF226" s="81" t="n"/>
      <x:c r="AG226" s="81" t="n"/>
      <x:c r="AH226" s="81" t="n"/>
      <x:c r="AI226" s="81" t="n"/>
    </x:row>
    <x:row r="227">
      <x:c r="A227" s="81" t="n"/>
      <x:c r="B227" s="81" t="n"/>
      <x:c r="C227" s="81" t="n"/>
      <x:c r="D227" s="81" t="n"/>
      <x:c r="E227" s="81" t="n"/>
      <x:c r="F227" s="81" t="n"/>
      <x:c r="G227" s="81" t="n"/>
      <x:c r="H227" s="81" t="n"/>
      <x:c r="I227" s="81" t="n"/>
      <x:c r="J227" s="81" t="n"/>
      <x:c r="K227" s="81" t="n"/>
      <x:c r="L227" s="81" t="n"/>
      <x:c r="M227" s="81" t="n"/>
      <x:c r="N227" s="81" t="n"/>
      <x:c r="O227" s="81" t="n"/>
      <x:c r="P227" s="81" t="n"/>
      <x:c r="Q227" s="81" t="n"/>
      <x:c r="R227" s="81" t="n"/>
      <x:c r="S227" s="81" t="n"/>
      <x:c r="T227" s="81" t="n"/>
      <x:c r="U227" s="81" t="n"/>
      <x:c r="V227" s="81" t="n"/>
      <x:c r="W227" s="81" t="n"/>
      <x:c r="X227" s="81" t="n"/>
      <x:c r="Y227" s="81" t="n"/>
      <x:c r="Z227" s="81" t="n"/>
      <x:c r="AA227" s="81" t="n"/>
      <x:c r="AB227" s="81" t="n"/>
      <x:c r="AC227" s="81" t="n"/>
      <x:c r="AD227" s="81" t="n"/>
      <x:c r="AE227" s="81" t="n"/>
      <x:c r="AF227" s="81" t="n"/>
      <x:c r="AG227" s="81" t="n"/>
      <x:c r="AH227" s="81" t="n"/>
      <x:c r="AI227" s="81" t="n"/>
    </x:row>
    <x:row r="228">
      <x:c r="A228" s="81" t="n"/>
      <x:c r="B228" s="81" t="n"/>
      <x:c r="C228" s="81" t="n"/>
      <x:c r="D228" s="81" t="n"/>
      <x:c r="E228" s="81" t="n"/>
      <x:c r="F228" s="81" t="n"/>
      <x:c r="G228" s="81" t="n"/>
      <x:c r="H228" s="81" t="n"/>
      <x:c r="I228" s="81" t="n"/>
      <x:c r="J228" s="81" t="n"/>
      <x:c r="K228" s="81" t="n"/>
      <x:c r="L228" s="81" t="n"/>
      <x:c r="M228" s="81" t="n"/>
      <x:c r="N228" s="81" t="n"/>
      <x:c r="O228" s="81" t="n"/>
      <x:c r="P228" s="81" t="n"/>
      <x:c r="Q228" s="81" t="n"/>
      <x:c r="R228" s="81" t="n"/>
      <x:c r="S228" s="81" t="n"/>
      <x:c r="T228" s="81" t="n"/>
      <x:c r="U228" s="81" t="n"/>
      <x:c r="V228" s="81" t="n"/>
      <x:c r="W228" s="81" t="n"/>
      <x:c r="X228" s="81" t="n"/>
      <x:c r="Y228" s="81" t="n"/>
      <x:c r="Z228" s="81" t="n"/>
      <x:c r="AA228" s="81" t="n"/>
      <x:c r="AB228" s="81" t="n"/>
      <x:c r="AC228" s="81" t="n"/>
      <x:c r="AD228" s="81" t="n"/>
      <x:c r="AE228" s="81" t="n"/>
      <x:c r="AF228" s="81" t="n"/>
      <x:c r="AG228" s="81" t="n"/>
      <x:c r="AH228" s="81" t="n"/>
      <x:c r="AI228" s="81" t="n"/>
    </x:row>
    <x:row r="229">
      <x:c r="A229" s="81" t="n"/>
      <x:c r="B229" s="81" t="n"/>
      <x:c r="C229" s="81" t="n"/>
      <x:c r="D229" s="81" t="n"/>
      <x:c r="E229" s="81" t="n"/>
      <x:c r="F229" s="81" t="n"/>
      <x:c r="G229" s="81" t="n"/>
      <x:c r="H229" s="81" t="n"/>
      <x:c r="I229" s="81" t="n"/>
      <x:c r="J229" s="81" t="n"/>
      <x:c r="K229" s="81" t="n"/>
      <x:c r="L229" s="81" t="n"/>
      <x:c r="M229" s="81" t="n"/>
      <x:c r="N229" s="81" t="n"/>
      <x:c r="O229" s="81" t="n"/>
      <x:c r="P229" s="81" t="n"/>
      <x:c r="Q229" s="81" t="n"/>
      <x:c r="R229" s="81" t="n"/>
      <x:c r="S229" s="81" t="n"/>
      <x:c r="T229" s="81" t="n"/>
      <x:c r="U229" s="81" t="n"/>
      <x:c r="V229" s="81" t="n"/>
      <x:c r="W229" s="81" t="n"/>
      <x:c r="X229" s="81" t="n"/>
      <x:c r="Y229" s="81" t="n"/>
      <x:c r="Z229" s="81" t="n"/>
      <x:c r="AA229" s="81" t="n"/>
      <x:c r="AB229" s="81" t="n"/>
      <x:c r="AC229" s="81" t="n"/>
      <x:c r="AD229" s="81" t="n"/>
      <x:c r="AE229" s="81" t="n"/>
      <x:c r="AF229" s="81" t="n"/>
      <x:c r="AG229" s="81" t="n"/>
      <x:c r="AH229" s="81" t="n"/>
      <x:c r="AI229" s="81" t="n"/>
    </x:row>
    <x:row r="230">
      <x:c r="A230" s="81" t="n"/>
      <x:c r="B230" s="81" t="n"/>
      <x:c r="C230" s="81" t="n"/>
      <x:c r="D230" s="81" t="n"/>
      <x:c r="E230" s="81" t="n"/>
      <x:c r="F230" s="81" t="n"/>
      <x:c r="G230" s="81" t="n"/>
      <x:c r="H230" s="81" t="n"/>
      <x:c r="I230" s="81" t="n"/>
      <x:c r="J230" s="81" t="n"/>
      <x:c r="K230" s="81" t="n"/>
      <x:c r="L230" s="81" t="n"/>
      <x:c r="M230" s="81" t="n"/>
      <x:c r="N230" s="81" t="n"/>
      <x:c r="O230" s="81" t="n"/>
      <x:c r="P230" s="81" t="n"/>
      <x:c r="Q230" s="81" t="n"/>
      <x:c r="R230" s="81" t="n"/>
      <x:c r="S230" s="81" t="n"/>
      <x:c r="T230" s="81" t="n"/>
      <x:c r="U230" s="81" t="n"/>
      <x:c r="V230" s="81" t="n"/>
      <x:c r="W230" s="81" t="n"/>
      <x:c r="X230" s="81" t="n"/>
      <x:c r="Y230" s="81" t="n"/>
      <x:c r="Z230" s="81" t="n"/>
      <x:c r="AA230" s="81" t="n"/>
      <x:c r="AB230" s="81" t="n"/>
      <x:c r="AC230" s="81" t="n"/>
      <x:c r="AD230" s="81" t="n"/>
      <x:c r="AE230" s="81" t="n"/>
      <x:c r="AF230" s="81" t="n"/>
      <x:c r="AG230" s="81" t="n"/>
      <x:c r="AH230" s="81" t="n"/>
      <x:c r="AI230" s="81" t="n"/>
    </x:row>
    <x:row r="231">
      <x:c r="A231" s="81" t="n"/>
      <x:c r="B231" s="81" t="n"/>
      <x:c r="C231" s="81" t="n"/>
      <x:c r="D231" s="81" t="n"/>
      <x:c r="E231" s="81" t="n"/>
      <x:c r="F231" s="81" t="n"/>
      <x:c r="G231" s="81" t="n"/>
      <x:c r="H231" s="81" t="n"/>
      <x:c r="I231" s="81" t="n"/>
      <x:c r="J231" s="81" t="n"/>
      <x:c r="K231" s="81" t="n"/>
      <x:c r="L231" s="81" t="n"/>
      <x:c r="M231" s="81" t="n"/>
      <x:c r="N231" s="81" t="n"/>
      <x:c r="O231" s="81" t="n"/>
      <x:c r="P231" s="81" t="n"/>
      <x:c r="Q231" s="81" t="n"/>
      <x:c r="R231" s="81" t="n"/>
      <x:c r="S231" s="81" t="n"/>
      <x:c r="T231" s="81" t="n"/>
      <x:c r="U231" s="81" t="n"/>
      <x:c r="V231" s="81" t="n"/>
      <x:c r="W231" s="81" t="n"/>
      <x:c r="X231" s="81" t="n"/>
      <x:c r="Y231" s="81" t="n"/>
      <x:c r="Z231" s="81" t="n"/>
      <x:c r="AA231" s="81" t="n"/>
      <x:c r="AB231" s="81" t="n"/>
      <x:c r="AC231" s="81" t="n"/>
      <x:c r="AD231" s="81" t="n"/>
      <x:c r="AE231" s="81" t="n"/>
      <x:c r="AF231" s="81" t="n"/>
      <x:c r="AG231" s="81" t="n"/>
      <x:c r="AH231" s="81" t="n"/>
      <x:c r="AI231" s="81" t="n"/>
    </x:row>
    <x:row r="232">
      <x:c r="A232" s="81" t="n"/>
      <x:c r="B232" s="81" t="n"/>
      <x:c r="C232" s="81" t="n"/>
      <x:c r="D232" s="81" t="n"/>
      <x:c r="E232" s="81" t="n"/>
      <x:c r="F232" s="81" t="n"/>
      <x:c r="G232" s="81" t="n"/>
      <x:c r="H232" s="81" t="n"/>
      <x:c r="I232" s="81" t="n"/>
      <x:c r="J232" s="81" t="n"/>
      <x:c r="K232" s="81" t="n"/>
      <x:c r="L232" s="81" t="n"/>
      <x:c r="M232" s="81" t="n"/>
      <x:c r="N232" s="81" t="n"/>
      <x:c r="O232" s="81" t="n"/>
      <x:c r="P232" s="81" t="n"/>
      <x:c r="Q232" s="81" t="n"/>
      <x:c r="R232" s="81" t="n"/>
      <x:c r="S232" s="81" t="n"/>
      <x:c r="T232" s="81" t="n"/>
      <x:c r="U232" s="81" t="n"/>
      <x:c r="V232" s="81" t="n"/>
      <x:c r="W232" s="81" t="n"/>
      <x:c r="X232" s="81" t="n"/>
      <x:c r="Y232" s="81" t="n"/>
      <x:c r="Z232" s="81" t="n"/>
      <x:c r="AA232" s="81" t="n"/>
      <x:c r="AB232" s="81" t="n"/>
      <x:c r="AC232" s="81" t="n"/>
      <x:c r="AD232" s="81" t="n"/>
      <x:c r="AE232" s="81" t="n"/>
      <x:c r="AF232" s="81" t="n"/>
      <x:c r="AG232" s="81" t="n"/>
      <x:c r="AH232" s="81" t="n"/>
      <x:c r="AI232" s="81" t="n"/>
    </x:row>
    <x:row r="233">
      <x:c r="A233" s="81" t="n"/>
      <x:c r="B233" s="81" t="n"/>
      <x:c r="C233" s="81" t="n"/>
      <x:c r="D233" s="81" t="n"/>
      <x:c r="E233" s="81" t="n"/>
      <x:c r="F233" s="81" t="n"/>
      <x:c r="G233" s="81" t="n"/>
      <x:c r="H233" s="81" t="n"/>
      <x:c r="I233" s="81" t="n"/>
      <x:c r="J233" s="81" t="n"/>
      <x:c r="K233" s="81" t="n"/>
      <x:c r="L233" s="81" t="n"/>
      <x:c r="M233" s="81" t="n"/>
      <x:c r="N233" s="81" t="n"/>
      <x:c r="O233" s="81" t="n"/>
      <x:c r="P233" s="81" t="n"/>
      <x:c r="Q233" s="81" t="n"/>
      <x:c r="R233" s="81" t="n"/>
      <x:c r="S233" s="81" t="n"/>
      <x:c r="T233" s="81" t="n"/>
      <x:c r="U233" s="81" t="n"/>
      <x:c r="V233" s="81" t="n"/>
      <x:c r="W233" s="81" t="n"/>
      <x:c r="X233" s="81" t="n"/>
      <x:c r="Y233" s="81" t="n"/>
      <x:c r="Z233" s="81" t="n"/>
      <x:c r="AA233" s="81" t="n"/>
      <x:c r="AB233" s="81" t="n"/>
      <x:c r="AC233" s="81" t="n"/>
      <x:c r="AD233" s="81" t="n"/>
      <x:c r="AE233" s="81" t="n"/>
      <x:c r="AF233" s="81" t="n"/>
      <x:c r="AG233" s="81" t="n"/>
      <x:c r="AH233" s="81" t="n"/>
      <x:c r="AI233" s="81" t="n"/>
    </x:row>
    <x:row r="234">
      <x:c r="A234" s="81" t="n"/>
      <x:c r="B234" s="81" t="n"/>
      <x:c r="C234" s="81" t="n"/>
      <x:c r="D234" s="81" t="n"/>
      <x:c r="E234" s="81" t="n"/>
      <x:c r="F234" s="81" t="n"/>
      <x:c r="G234" s="81" t="n"/>
      <x:c r="H234" s="81" t="n"/>
      <x:c r="I234" s="81" t="n"/>
      <x:c r="J234" s="81" t="n"/>
      <x:c r="K234" s="81" t="n"/>
      <x:c r="L234" s="81" t="n"/>
      <x:c r="M234" s="81" t="n"/>
      <x:c r="N234" s="81" t="n"/>
      <x:c r="O234" s="81" t="n"/>
      <x:c r="P234" s="81" t="n"/>
      <x:c r="Q234" s="81" t="n"/>
      <x:c r="R234" s="81" t="n"/>
      <x:c r="S234" s="81" t="n"/>
      <x:c r="T234" s="81" t="n"/>
      <x:c r="U234" s="81" t="n"/>
      <x:c r="V234" s="81" t="n"/>
      <x:c r="W234" s="81" t="n"/>
      <x:c r="X234" s="81" t="n"/>
      <x:c r="Y234" s="81" t="n"/>
      <x:c r="Z234" s="81" t="n"/>
      <x:c r="AA234" s="81" t="n"/>
      <x:c r="AB234" s="81" t="n"/>
      <x:c r="AC234" s="81" t="n"/>
      <x:c r="AD234" s="81" t="n"/>
      <x:c r="AE234" s="81" t="n"/>
      <x:c r="AF234" s="81" t="n"/>
      <x:c r="AG234" s="81" t="n"/>
      <x:c r="AH234" s="81" t="n"/>
      <x:c r="AI234" s="81" t="n"/>
    </x:row>
    <x:row r="235">
      <x:c r="A235" s="81" t="n"/>
      <x:c r="B235" s="81" t="n"/>
      <x:c r="C235" s="81" t="n"/>
      <x:c r="D235" s="81" t="n"/>
      <x:c r="E235" s="81" t="n"/>
      <x:c r="F235" s="81" t="n"/>
      <x:c r="G235" s="81" t="n"/>
      <x:c r="H235" s="81" t="n"/>
      <x:c r="I235" s="81" t="n"/>
      <x:c r="J235" s="81" t="n"/>
      <x:c r="K235" s="81" t="n"/>
      <x:c r="L235" s="81" t="n"/>
      <x:c r="M235" s="81" t="n"/>
      <x:c r="N235" s="81" t="n"/>
      <x:c r="O235" s="81" t="n"/>
      <x:c r="P235" s="81" t="n"/>
      <x:c r="Q235" s="81" t="n"/>
      <x:c r="R235" s="81" t="n"/>
      <x:c r="S235" s="81" t="n"/>
      <x:c r="T235" s="81" t="n"/>
      <x:c r="U235" s="81" t="n"/>
      <x:c r="V235" s="81" t="n"/>
      <x:c r="W235" s="81" t="n"/>
      <x:c r="X235" s="81" t="n"/>
      <x:c r="Y235" s="81" t="n"/>
      <x:c r="Z235" s="81" t="n"/>
      <x:c r="AA235" s="81" t="n"/>
      <x:c r="AB235" s="81" t="n"/>
      <x:c r="AC235" s="81" t="n"/>
      <x:c r="AD235" s="81" t="n"/>
      <x:c r="AE235" s="81" t="n"/>
      <x:c r="AF235" s="81" t="n"/>
      <x:c r="AG235" s="81" t="n"/>
      <x:c r="AH235" s="81" t="n"/>
      <x:c r="AI235" s="81" t="n"/>
    </x:row>
    <x:row r="236">
      <x:c r="A236" s="81" t="n"/>
      <x:c r="B236" s="81" t="n"/>
      <x:c r="C236" s="81" t="n"/>
      <x:c r="D236" s="81" t="n"/>
      <x:c r="E236" s="81" t="n"/>
      <x:c r="F236" s="81" t="n"/>
      <x:c r="G236" s="81" t="n"/>
      <x:c r="H236" s="81" t="n"/>
      <x:c r="I236" s="81" t="n"/>
      <x:c r="J236" s="81" t="n"/>
      <x:c r="K236" s="81" t="n"/>
      <x:c r="L236" s="81" t="n"/>
      <x:c r="M236" s="81" t="n"/>
      <x:c r="N236" s="81" t="n"/>
      <x:c r="O236" s="81" t="n"/>
      <x:c r="P236" s="81" t="n"/>
      <x:c r="Q236" s="81" t="n"/>
      <x:c r="R236" s="81" t="n"/>
      <x:c r="S236" s="81" t="n"/>
      <x:c r="T236" s="81" t="n"/>
      <x:c r="U236" s="81" t="n"/>
      <x:c r="V236" s="81" t="n"/>
      <x:c r="W236" s="81" t="n"/>
      <x:c r="X236" s="81" t="n"/>
      <x:c r="Y236" s="81" t="n"/>
      <x:c r="Z236" s="81" t="n"/>
      <x:c r="AA236" s="81" t="n"/>
      <x:c r="AB236" s="81" t="n"/>
      <x:c r="AC236" s="81" t="n"/>
      <x:c r="AD236" s="81" t="n"/>
      <x:c r="AE236" s="81" t="n"/>
      <x:c r="AF236" s="81" t="n"/>
      <x:c r="AG236" s="81" t="n"/>
      <x:c r="AH236" s="81" t="n"/>
      <x:c r="AI236" s="81" t="n"/>
    </x:row>
    <x:row r="237">
      <x:c r="A237" s="81" t="n"/>
      <x:c r="B237" s="81" t="n"/>
      <x:c r="C237" s="81" t="n"/>
      <x:c r="D237" s="81" t="n"/>
      <x:c r="E237" s="81" t="n"/>
      <x:c r="F237" s="81" t="n"/>
      <x:c r="G237" s="81" t="n"/>
      <x:c r="H237" s="81" t="n"/>
      <x:c r="I237" s="81" t="n"/>
      <x:c r="J237" s="81" t="n"/>
      <x:c r="K237" s="81" t="n"/>
      <x:c r="L237" s="81" t="n"/>
      <x:c r="M237" s="81" t="n"/>
      <x:c r="N237" s="81" t="n"/>
      <x:c r="O237" s="81" t="n"/>
      <x:c r="P237" s="81" t="n"/>
      <x:c r="Q237" s="81" t="n"/>
      <x:c r="R237" s="81" t="n"/>
      <x:c r="S237" s="81" t="n"/>
      <x:c r="T237" s="81" t="n"/>
      <x:c r="U237" s="81" t="n"/>
      <x:c r="V237" s="81" t="n"/>
      <x:c r="W237" s="81" t="n"/>
      <x:c r="X237" s="81" t="n"/>
      <x:c r="Y237" s="81" t="n"/>
      <x:c r="Z237" s="81" t="n"/>
      <x:c r="AA237" s="81" t="n"/>
      <x:c r="AB237" s="81" t="n"/>
      <x:c r="AC237" s="81" t="n"/>
      <x:c r="AD237" s="81" t="n"/>
      <x:c r="AE237" s="81" t="n"/>
      <x:c r="AF237" s="81" t="n"/>
      <x:c r="AG237" s="81" t="n"/>
      <x:c r="AH237" s="81" t="n"/>
      <x:c r="AI237" s="81" t="n"/>
    </x:row>
    <x:row r="238">
      <x:c r="A238" s="81" t="n"/>
      <x:c r="B238" s="81" t="n"/>
      <x:c r="C238" s="81" t="n"/>
      <x:c r="D238" s="81" t="n"/>
      <x:c r="E238" s="81" t="n"/>
      <x:c r="F238" s="81" t="n"/>
      <x:c r="G238" s="81" t="n"/>
      <x:c r="H238" s="81" t="n"/>
      <x:c r="I238" s="81" t="n"/>
      <x:c r="J238" s="81" t="n"/>
      <x:c r="K238" s="81" t="n"/>
      <x:c r="L238" s="81" t="n"/>
      <x:c r="M238" s="81" t="n"/>
      <x:c r="N238" s="81" t="n"/>
      <x:c r="O238" s="81" t="n"/>
      <x:c r="P238" s="81" t="n"/>
      <x:c r="Q238" s="81" t="n"/>
      <x:c r="R238" s="81" t="n"/>
      <x:c r="S238" s="81" t="n"/>
      <x:c r="T238" s="81" t="n"/>
      <x:c r="U238" s="81" t="n"/>
      <x:c r="V238" s="81" t="n"/>
      <x:c r="W238" s="81" t="n"/>
      <x:c r="X238" s="81" t="n"/>
      <x:c r="Y238" s="81" t="n"/>
      <x:c r="Z238" s="81" t="n"/>
      <x:c r="AA238" s="81" t="n"/>
      <x:c r="AB238" s="81" t="n"/>
      <x:c r="AC238" s="81" t="n"/>
      <x:c r="AD238" s="81" t="n"/>
      <x:c r="AE238" s="81" t="n"/>
      <x:c r="AF238" s="81" t="n"/>
      <x:c r="AG238" s="81" t="n"/>
      <x:c r="AH238" s="81" t="n"/>
      <x:c r="AI238" s="81" t="n"/>
    </x:row>
    <x:row r="239">
      <x:c r="A239" s="81" t="n"/>
      <x:c r="B239" s="81" t="n"/>
      <x:c r="C239" s="81" t="n"/>
      <x:c r="D239" s="81" t="n"/>
      <x:c r="E239" s="81" t="n"/>
      <x:c r="F239" s="81" t="n"/>
      <x:c r="G239" s="81" t="n"/>
      <x:c r="H239" s="81" t="n"/>
      <x:c r="I239" s="81" t="n"/>
      <x:c r="J239" s="81" t="n"/>
      <x:c r="K239" s="81" t="n"/>
      <x:c r="L239" s="81" t="n"/>
      <x:c r="M239" s="81" t="n"/>
      <x:c r="N239" s="81" t="n"/>
      <x:c r="O239" s="81" t="n"/>
      <x:c r="P239" s="81" t="n"/>
      <x:c r="Q239" s="81" t="n"/>
      <x:c r="R239" s="81" t="n"/>
      <x:c r="S239" s="81" t="n"/>
      <x:c r="T239" s="81" t="n"/>
      <x:c r="U239" s="81" t="n"/>
      <x:c r="V239" s="81" t="n"/>
      <x:c r="W239" s="81" t="n"/>
      <x:c r="X239" s="81" t="n"/>
      <x:c r="Y239" s="81" t="n"/>
      <x:c r="Z239" s="81" t="n"/>
      <x:c r="AA239" s="81" t="n"/>
      <x:c r="AB239" s="81" t="n"/>
      <x:c r="AC239" s="81" t="n"/>
      <x:c r="AD239" s="81" t="n"/>
      <x:c r="AE239" s="81" t="n"/>
      <x:c r="AF239" s="81" t="n"/>
      <x:c r="AG239" s="81" t="n"/>
      <x:c r="AH239" s="81" t="n"/>
      <x:c r="AI239" s="81" t="n"/>
    </x:row>
    <x:row r="240">
      <x:c r="A240" s="81" t="n"/>
      <x:c r="B240" s="81" t="n"/>
      <x:c r="C240" s="81" t="n"/>
      <x:c r="D240" s="81" t="n"/>
      <x:c r="E240" s="81" t="n"/>
      <x:c r="F240" s="81" t="n"/>
      <x:c r="G240" s="81" t="n"/>
      <x:c r="H240" s="81" t="n"/>
      <x:c r="I240" s="81" t="n"/>
      <x:c r="J240" s="81" t="n"/>
      <x:c r="K240" s="81" t="n"/>
      <x:c r="L240" s="81" t="n"/>
      <x:c r="M240" s="81" t="n"/>
      <x:c r="N240" s="81" t="n"/>
      <x:c r="O240" s="81" t="n"/>
      <x:c r="P240" s="81" t="n"/>
      <x:c r="Q240" s="81" t="n"/>
      <x:c r="R240" s="81" t="n"/>
      <x:c r="S240" s="81" t="n"/>
      <x:c r="T240" s="81" t="n"/>
      <x:c r="U240" s="81" t="n"/>
      <x:c r="V240" s="81" t="n"/>
      <x:c r="W240" s="81" t="n"/>
      <x:c r="X240" s="81" t="n"/>
      <x:c r="Y240" s="81" t="n"/>
      <x:c r="Z240" s="81" t="n"/>
      <x:c r="AA240" s="81" t="n"/>
      <x:c r="AB240" s="81" t="n"/>
      <x:c r="AC240" s="81" t="n"/>
      <x:c r="AD240" s="81" t="n"/>
      <x:c r="AE240" s="81" t="n"/>
      <x:c r="AF240" s="81" t="n"/>
      <x:c r="AG240" s="81" t="n"/>
      <x:c r="AH240" s="81" t="n"/>
      <x:c r="AI240" s="81" t="n"/>
    </x:row>
    <x:row r="241">
      <x:c r="A241" s="81" t="n"/>
      <x:c r="B241" s="81" t="n"/>
      <x:c r="C241" s="81" t="n"/>
      <x:c r="D241" s="81" t="n"/>
      <x:c r="E241" s="81" t="n"/>
      <x:c r="F241" s="81" t="n"/>
      <x:c r="G241" s="81" t="n"/>
      <x:c r="H241" s="81" t="n"/>
      <x:c r="I241" s="81" t="n"/>
      <x:c r="J241" s="81" t="n"/>
      <x:c r="K241" s="81" t="n"/>
      <x:c r="L241" s="81" t="n"/>
      <x:c r="M241" s="81" t="n"/>
      <x:c r="N241" s="81" t="n"/>
      <x:c r="O241" s="81" t="n"/>
      <x:c r="P241" s="81" t="n"/>
      <x:c r="Q241" s="81" t="n"/>
      <x:c r="R241" s="81" t="n"/>
      <x:c r="S241" s="81" t="n"/>
      <x:c r="T241" s="81" t="n"/>
      <x:c r="U241" s="81" t="n"/>
      <x:c r="V241" s="81" t="n"/>
      <x:c r="W241" s="81" t="n"/>
      <x:c r="X241" s="81" t="n"/>
      <x:c r="Y241" s="81" t="n"/>
      <x:c r="Z241" s="81" t="n"/>
      <x:c r="AA241" s="81" t="n"/>
      <x:c r="AB241" s="81" t="n"/>
      <x:c r="AC241" s="81" t="n"/>
      <x:c r="AD241" s="81" t="n"/>
      <x:c r="AE241" s="81" t="n"/>
      <x:c r="AF241" s="81" t="n"/>
      <x:c r="AG241" s="81" t="n"/>
      <x:c r="AH241" s="81" t="n"/>
      <x:c r="AI241" s="81" t="n"/>
    </x:row>
    <x:row r="242">
      <x:c r="A242" s="81" t="n"/>
      <x:c r="B242" s="81" t="n"/>
      <x:c r="C242" s="81" t="n"/>
      <x:c r="D242" s="81" t="n"/>
      <x:c r="E242" s="81" t="n"/>
      <x:c r="F242" s="81" t="n"/>
      <x:c r="G242" s="81" t="n"/>
      <x:c r="H242" s="81" t="n"/>
      <x:c r="I242" s="81" t="n"/>
      <x:c r="J242" s="81" t="n"/>
      <x:c r="K242" s="81" t="n"/>
      <x:c r="L242" s="81" t="n"/>
      <x:c r="M242" s="81" t="n"/>
      <x:c r="N242" s="81" t="n"/>
      <x:c r="O242" s="81" t="n"/>
      <x:c r="P242" s="81" t="n"/>
      <x:c r="Q242" s="81" t="n"/>
      <x:c r="R242" s="81" t="n"/>
      <x:c r="S242" s="81" t="n"/>
      <x:c r="T242" s="81" t="n"/>
      <x:c r="U242" s="81" t="n"/>
      <x:c r="V242" s="81" t="n"/>
      <x:c r="W242" s="81" t="n"/>
      <x:c r="X242" s="81" t="n"/>
      <x:c r="Y242" s="81" t="n"/>
      <x:c r="Z242" s="81" t="n"/>
      <x:c r="AA242" s="81" t="n"/>
      <x:c r="AB242" s="81" t="n"/>
      <x:c r="AC242" s="81" t="n"/>
      <x:c r="AD242" s="81" t="n"/>
      <x:c r="AE242" s="81" t="n"/>
      <x:c r="AF242" s="81" t="n"/>
      <x:c r="AG242" s="81" t="n"/>
      <x:c r="AH242" s="81" t="n"/>
      <x:c r="AI242" s="81" t="n"/>
    </x:row>
    <x:row r="243">
      <x:c r="A243" s="81" t="n"/>
      <x:c r="B243" s="81" t="n"/>
      <x:c r="C243" s="81" t="n"/>
      <x:c r="D243" s="81" t="n"/>
      <x:c r="E243" s="81" t="n"/>
      <x:c r="F243" s="81" t="n"/>
      <x:c r="G243" s="81" t="n"/>
      <x:c r="H243" s="81" t="n"/>
      <x:c r="I243" s="81" t="n"/>
      <x:c r="J243" s="81" t="n"/>
      <x:c r="K243" s="81" t="n"/>
      <x:c r="L243" s="81" t="n"/>
      <x:c r="M243" s="81" t="n"/>
      <x:c r="N243" s="81" t="n"/>
      <x:c r="O243" s="81" t="n"/>
      <x:c r="P243" s="81" t="n"/>
      <x:c r="Q243" s="81" t="n"/>
      <x:c r="R243" s="81" t="n"/>
      <x:c r="S243" s="81" t="n"/>
      <x:c r="T243" s="81" t="n"/>
      <x:c r="U243" s="81" t="n"/>
      <x:c r="V243" s="81" t="n"/>
      <x:c r="W243" s="81" t="n"/>
      <x:c r="X243" s="81" t="n"/>
      <x:c r="Y243" s="81" t="n"/>
      <x:c r="Z243" s="81" t="n"/>
      <x:c r="AA243" s="81" t="n"/>
      <x:c r="AB243" s="81" t="n"/>
      <x:c r="AC243" s="81" t="n"/>
      <x:c r="AD243" s="81" t="n"/>
      <x:c r="AE243" s="81" t="n"/>
      <x:c r="AF243" s="81" t="n"/>
      <x:c r="AG243" s="81" t="n"/>
      <x:c r="AH243" s="81" t="n"/>
      <x:c r="AI243" s="81" t="n"/>
    </x:row>
    <x:row r="244">
      <x:c r="A244" s="81" t="n"/>
      <x:c r="B244" s="81" t="n"/>
      <x:c r="C244" s="81" t="n"/>
      <x:c r="D244" s="81" t="n"/>
      <x:c r="E244" s="81" t="n"/>
      <x:c r="F244" s="81" t="n"/>
      <x:c r="G244" s="81" t="n"/>
      <x:c r="H244" s="81" t="n"/>
      <x:c r="I244" s="81" t="n"/>
      <x:c r="J244" s="81" t="n"/>
      <x:c r="K244" s="81" t="n"/>
      <x:c r="L244" s="81" t="n"/>
      <x:c r="M244" s="81" t="n"/>
      <x:c r="N244" s="81" t="n"/>
      <x:c r="O244" s="81" t="n"/>
      <x:c r="P244" s="81" t="n"/>
      <x:c r="Q244" s="81" t="n"/>
      <x:c r="R244" s="81" t="n"/>
      <x:c r="S244" s="81" t="n"/>
      <x:c r="T244" s="81" t="n"/>
      <x:c r="U244" s="81" t="n"/>
      <x:c r="V244" s="81" t="n"/>
      <x:c r="W244" s="81" t="n"/>
      <x:c r="X244" s="81" t="n"/>
      <x:c r="Y244" s="81" t="n"/>
      <x:c r="Z244" s="81" t="n"/>
      <x:c r="AA244" s="81" t="n"/>
      <x:c r="AB244" s="81" t="n"/>
      <x:c r="AC244" s="81" t="n"/>
      <x:c r="AD244" s="81" t="n"/>
      <x:c r="AE244" s="81" t="n"/>
      <x:c r="AF244" s="81" t="n"/>
      <x:c r="AG244" s="81" t="n"/>
      <x:c r="AH244" s="81" t="n"/>
      <x:c r="AI244" s="81" t="n"/>
    </x:row>
    <x:row r="245">
      <x:c r="A245" s="81" t="n"/>
      <x:c r="B245" s="81" t="n"/>
      <x:c r="C245" s="81" t="n"/>
      <x:c r="D245" s="81" t="n"/>
      <x:c r="E245" s="81" t="n"/>
      <x:c r="F245" s="81" t="n"/>
      <x:c r="G245" s="81" t="n"/>
      <x:c r="H245" s="81" t="n"/>
      <x:c r="I245" s="81" t="n"/>
      <x:c r="J245" s="81" t="n"/>
      <x:c r="K245" s="81" t="n"/>
      <x:c r="L245" s="81" t="n"/>
      <x:c r="M245" s="81" t="n"/>
      <x:c r="N245" s="81" t="n"/>
      <x:c r="O245" s="81" t="n"/>
      <x:c r="P245" s="81" t="n"/>
      <x:c r="Q245" s="81" t="n"/>
      <x:c r="R245" s="81" t="n"/>
      <x:c r="S245" s="81" t="n"/>
      <x:c r="T245" s="81" t="n"/>
      <x:c r="U245" s="81" t="n"/>
      <x:c r="V245" s="81" t="n"/>
      <x:c r="W245" s="81" t="n"/>
      <x:c r="X245" s="81" t="n"/>
      <x:c r="Y245" s="81" t="n"/>
      <x:c r="Z245" s="81" t="n"/>
      <x:c r="AA245" s="81" t="n"/>
      <x:c r="AB245" s="81" t="n"/>
      <x:c r="AC245" s="81" t="n"/>
      <x:c r="AD245" s="81" t="n"/>
      <x:c r="AE245" s="81" t="n"/>
      <x:c r="AF245" s="81" t="n"/>
      <x:c r="AG245" s="81" t="n"/>
      <x:c r="AH245" s="81" t="n"/>
      <x:c r="AI245" s="81" t="n"/>
    </x:row>
    <x:row r="246">
      <x:c r="A246" s="81" t="n"/>
      <x:c r="B246" s="81" t="n"/>
      <x:c r="C246" s="81" t="n"/>
      <x:c r="D246" s="81" t="n"/>
      <x:c r="E246" s="81" t="n"/>
      <x:c r="F246" s="81" t="n"/>
      <x:c r="G246" s="81" t="n"/>
      <x:c r="H246" s="81" t="n"/>
      <x:c r="I246" s="81" t="n"/>
      <x:c r="J246" s="81" t="n"/>
      <x:c r="K246" s="81" t="n"/>
      <x:c r="L246" s="81" t="n"/>
      <x:c r="M246" s="81" t="n"/>
      <x:c r="N246" s="81" t="n"/>
      <x:c r="O246" s="81" t="n"/>
      <x:c r="P246" s="81" t="n"/>
      <x:c r="Q246" s="81" t="n"/>
      <x:c r="R246" s="81" t="n"/>
      <x:c r="S246" s="81" t="n"/>
      <x:c r="T246" s="81" t="n"/>
      <x:c r="U246" s="81" t="n"/>
      <x:c r="V246" s="81" t="n"/>
      <x:c r="W246" s="81" t="n"/>
      <x:c r="X246" s="81" t="n"/>
      <x:c r="Y246" s="81" t="n"/>
      <x:c r="Z246" s="81" t="n"/>
      <x:c r="AA246" s="81" t="n"/>
      <x:c r="AB246" s="81" t="n"/>
      <x:c r="AC246" s="81" t="n"/>
      <x:c r="AD246" s="81" t="n"/>
      <x:c r="AE246" s="81" t="n"/>
      <x:c r="AF246" s="81" t="n"/>
      <x:c r="AG246" s="81" t="n"/>
      <x:c r="AH246" s="81" t="n"/>
      <x:c r="AI246" s="81" t="n"/>
    </x:row>
    <x:row r="247">
      <x:c r="A247" s="81" t="n"/>
      <x:c r="B247" s="81" t="n"/>
      <x:c r="C247" s="81" t="n"/>
      <x:c r="D247" s="81" t="n"/>
      <x:c r="E247" s="81" t="n"/>
      <x:c r="F247" s="81" t="n"/>
      <x:c r="G247" s="81" t="n"/>
      <x:c r="H247" s="81" t="n"/>
      <x:c r="I247" s="81" t="n"/>
      <x:c r="J247" s="81" t="n"/>
      <x:c r="K247" s="81" t="n"/>
      <x:c r="L247" s="81" t="n"/>
      <x:c r="M247" s="81" t="n"/>
      <x:c r="N247" s="81" t="n"/>
      <x:c r="O247" s="81" t="n"/>
      <x:c r="P247" s="81" t="n"/>
      <x:c r="Q247" s="81" t="n"/>
      <x:c r="R247" s="81" t="n"/>
      <x:c r="S247" s="81" t="n"/>
      <x:c r="T247" s="81" t="n"/>
      <x:c r="U247" s="81" t="n"/>
      <x:c r="V247" s="81" t="n"/>
      <x:c r="W247" s="81" t="n"/>
      <x:c r="X247" s="81" t="n"/>
      <x:c r="Y247" s="81" t="n"/>
      <x:c r="Z247" s="81" t="n"/>
      <x:c r="AA247" s="81" t="n"/>
      <x:c r="AB247" s="81" t="n"/>
      <x:c r="AC247" s="81" t="n"/>
      <x:c r="AD247" s="81" t="n"/>
      <x:c r="AE247" s="81" t="n"/>
      <x:c r="AF247" s="81" t="n"/>
      <x:c r="AG247" s="81" t="n"/>
      <x:c r="AH247" s="81" t="n"/>
      <x:c r="AI247" s="81" t="n"/>
    </x:row>
    <x:row r="248">
      <x:c r="A248" s="81" t="n"/>
      <x:c r="B248" s="81" t="n"/>
      <x:c r="C248" s="81" t="n"/>
      <x:c r="D248" s="81" t="n"/>
      <x:c r="E248" s="81" t="n"/>
      <x:c r="F248" s="81" t="n"/>
      <x:c r="G248" s="81" t="n"/>
      <x:c r="H248" s="81" t="n"/>
      <x:c r="I248" s="81" t="n"/>
      <x:c r="J248" s="81" t="n"/>
      <x:c r="K248" s="81" t="n"/>
      <x:c r="L248" s="81" t="n"/>
      <x:c r="M248" s="81" t="n"/>
      <x:c r="N248" s="81" t="n"/>
      <x:c r="O248" s="81" t="n"/>
      <x:c r="P248" s="81" t="n"/>
      <x:c r="Q248" s="81" t="n"/>
      <x:c r="R248" s="81" t="n"/>
      <x:c r="S248" s="81" t="n"/>
      <x:c r="T248" s="81" t="n"/>
      <x:c r="U248" s="81" t="n"/>
      <x:c r="V248" s="81" t="n"/>
      <x:c r="W248" s="81" t="n"/>
      <x:c r="X248" s="81" t="n"/>
      <x:c r="Y248" s="81" t="n"/>
      <x:c r="Z248" s="81" t="n"/>
      <x:c r="AA248" s="81" t="n"/>
      <x:c r="AB248" s="81" t="n"/>
      <x:c r="AC248" s="81" t="n"/>
      <x:c r="AD248" s="81" t="n"/>
      <x:c r="AE248" s="81" t="n"/>
      <x:c r="AF248" s="81" t="n"/>
      <x:c r="AG248" s="81" t="n"/>
      <x:c r="AH248" s="81" t="n"/>
      <x:c r="AI248" s="81" t="n"/>
    </x:row>
    <x:row r="249">
      <x:c r="A249" s="81" t="n"/>
      <x:c r="B249" s="81" t="n"/>
      <x:c r="C249" s="81" t="n"/>
      <x:c r="D249" s="81" t="n"/>
      <x:c r="E249" s="81" t="n"/>
      <x:c r="F249" s="81" t="n"/>
      <x:c r="G249" s="81" t="n"/>
      <x:c r="H249" s="81" t="n"/>
      <x:c r="I249" s="81" t="n"/>
      <x:c r="J249" s="81" t="n"/>
      <x:c r="K249" s="81" t="n"/>
      <x:c r="L249" s="81" t="n"/>
      <x:c r="M249" s="81" t="n"/>
      <x:c r="N249" s="81" t="n"/>
      <x:c r="O249" s="81" t="n"/>
      <x:c r="P249" s="81" t="n"/>
      <x:c r="Q249" s="81" t="n"/>
      <x:c r="R249" s="81" t="n"/>
      <x:c r="S249" s="81" t="n"/>
      <x:c r="T249" s="81" t="n"/>
      <x:c r="U249" s="81" t="n"/>
      <x:c r="V249" s="81" t="n"/>
      <x:c r="W249" s="81" t="n"/>
      <x:c r="X249" s="81" t="n"/>
      <x:c r="Y249" s="81" t="n"/>
      <x:c r="Z249" s="81" t="n"/>
      <x:c r="AA249" s="81" t="n"/>
      <x:c r="AB249" s="81" t="n"/>
      <x:c r="AC249" s="81" t="n"/>
      <x:c r="AD249" s="81" t="n"/>
      <x:c r="AE249" s="81" t="n"/>
      <x:c r="AF249" s="81" t="n"/>
      <x:c r="AG249" s="81" t="n"/>
      <x:c r="AH249" s="81" t="n"/>
      <x:c r="AI249" s="81" t="n"/>
    </x:row>
    <x:row r="250">
      <x:c r="A250" s="81" t="n"/>
      <x:c r="B250" s="81" t="n"/>
      <x:c r="C250" s="81" t="n"/>
      <x:c r="D250" s="81" t="n"/>
      <x:c r="E250" s="81" t="n"/>
      <x:c r="F250" s="81" t="n"/>
      <x:c r="G250" s="81" t="n"/>
      <x:c r="H250" s="81" t="n"/>
      <x:c r="I250" s="81" t="n"/>
      <x:c r="J250" s="81" t="n"/>
      <x:c r="K250" s="81" t="n"/>
      <x:c r="L250" s="81" t="n"/>
      <x:c r="M250" s="81" t="n"/>
      <x:c r="N250" s="81" t="n"/>
      <x:c r="O250" s="81" t="n"/>
      <x:c r="P250" s="81" t="n"/>
      <x:c r="Q250" s="81" t="n"/>
      <x:c r="R250" s="81" t="n"/>
      <x:c r="S250" s="81" t="n"/>
      <x:c r="T250" s="81" t="n"/>
      <x:c r="U250" s="81" t="n"/>
      <x:c r="V250" s="81" t="n"/>
      <x:c r="W250" s="81" t="n"/>
      <x:c r="X250" s="81" t="n"/>
      <x:c r="Y250" s="81" t="n"/>
      <x:c r="Z250" s="81" t="n"/>
      <x:c r="AA250" s="81" t="n"/>
      <x:c r="AB250" s="81" t="n"/>
      <x:c r="AC250" s="81" t="n"/>
      <x:c r="AD250" s="81" t="n"/>
      <x:c r="AE250" s="81" t="n"/>
      <x:c r="AF250" s="81" t="n"/>
      <x:c r="AG250" s="81" t="n"/>
      <x:c r="AH250" s="81" t="n"/>
      <x:c r="AI250" s="81" t="n"/>
    </x:row>
    <x:row r="251">
      <x:c r="A251" s="81" t="n"/>
      <x:c r="B251" s="81" t="n"/>
      <x:c r="C251" s="81" t="n"/>
      <x:c r="D251" s="81" t="n"/>
      <x:c r="E251" s="81" t="n"/>
      <x:c r="F251" s="81" t="n"/>
      <x:c r="G251" s="81" t="n"/>
      <x:c r="H251" s="81" t="n"/>
      <x:c r="I251" s="81" t="n"/>
      <x:c r="J251" s="81" t="n"/>
      <x:c r="K251" s="81" t="n"/>
      <x:c r="L251" s="81" t="n"/>
      <x:c r="M251" s="81" t="n"/>
      <x:c r="N251" s="81" t="n"/>
      <x:c r="O251" s="81" t="n"/>
      <x:c r="P251" s="81" t="n"/>
      <x:c r="Q251" s="81" t="n"/>
      <x:c r="R251" s="81" t="n"/>
      <x:c r="S251" s="81" t="n"/>
      <x:c r="T251" s="81" t="n"/>
      <x:c r="U251" s="81" t="n"/>
      <x:c r="V251" s="81" t="n"/>
      <x:c r="W251" s="81" t="n"/>
      <x:c r="X251" s="81" t="n"/>
      <x:c r="Y251" s="81" t="n"/>
      <x:c r="Z251" s="81" t="n"/>
      <x:c r="AA251" s="81" t="n"/>
      <x:c r="AB251" s="81" t="n"/>
      <x:c r="AC251" s="81" t="n"/>
      <x:c r="AD251" s="81" t="n"/>
      <x:c r="AE251" s="81" t="n"/>
      <x:c r="AF251" s="81" t="n"/>
      <x:c r="AG251" s="81" t="n"/>
      <x:c r="AH251" s="81" t="n"/>
      <x:c r="AI251" s="81" t="n"/>
    </x:row>
    <x:row r="252">
      <x:c r="A252" s="81" t="n"/>
      <x:c r="B252" s="81" t="n"/>
      <x:c r="C252" s="81" t="n"/>
      <x:c r="D252" s="81" t="n"/>
      <x:c r="E252" s="81" t="n"/>
      <x:c r="F252" s="81" t="n"/>
      <x:c r="G252" s="81" t="n"/>
      <x:c r="H252" s="81" t="n"/>
      <x:c r="I252" s="81" t="n"/>
      <x:c r="J252" s="81" t="n"/>
      <x:c r="K252" s="81" t="n"/>
      <x:c r="L252" s="81" t="n"/>
      <x:c r="M252" s="81" t="n"/>
      <x:c r="N252" s="81" t="n"/>
      <x:c r="O252" s="81" t="n"/>
      <x:c r="P252" s="81" t="n"/>
      <x:c r="Q252" s="81" t="n"/>
      <x:c r="R252" s="81" t="n"/>
      <x:c r="S252" s="81" t="n"/>
      <x:c r="T252" s="81" t="n"/>
      <x:c r="U252" s="81" t="n"/>
      <x:c r="V252" s="81" t="n"/>
      <x:c r="W252" s="81" t="n"/>
      <x:c r="X252" s="81" t="n"/>
      <x:c r="Y252" s="81" t="n"/>
      <x:c r="Z252" s="81" t="n"/>
      <x:c r="AA252" s="81" t="n"/>
      <x:c r="AB252" s="81" t="n"/>
      <x:c r="AC252" s="81" t="n"/>
      <x:c r="AD252" s="81" t="n"/>
      <x:c r="AE252" s="81" t="n"/>
      <x:c r="AF252" s="81" t="n"/>
      <x:c r="AG252" s="81" t="n"/>
      <x:c r="AH252" s="81" t="n"/>
      <x:c r="AI252" s="81" t="n"/>
    </x:row>
    <x:row r="253">
      <x:c r="A253" s="81" t="n"/>
      <x:c r="B253" s="81" t="n"/>
      <x:c r="C253" s="81" t="n"/>
      <x:c r="D253" s="81" t="n"/>
      <x:c r="E253" s="81" t="n"/>
      <x:c r="F253" s="81" t="n"/>
      <x:c r="G253" s="81" t="n"/>
      <x:c r="H253" s="81" t="n"/>
      <x:c r="I253" s="81" t="n"/>
      <x:c r="J253" s="81" t="n"/>
      <x:c r="K253" s="81" t="n"/>
      <x:c r="L253" s="81" t="n"/>
      <x:c r="M253" s="81" t="n"/>
      <x:c r="N253" s="81" t="n"/>
      <x:c r="O253" s="81" t="n"/>
      <x:c r="P253" s="81" t="n"/>
      <x:c r="Q253" s="81" t="n"/>
      <x:c r="R253" s="81" t="n"/>
      <x:c r="S253" s="81" t="n"/>
      <x:c r="T253" s="81" t="n"/>
      <x:c r="U253" s="81" t="n"/>
      <x:c r="V253" s="81" t="n"/>
      <x:c r="W253" s="81" t="n"/>
      <x:c r="X253" s="81" t="n"/>
      <x:c r="Y253" s="81" t="n"/>
      <x:c r="Z253" s="81" t="n"/>
      <x:c r="AA253" s="81" t="n"/>
      <x:c r="AB253" s="81" t="n"/>
      <x:c r="AC253" s="81" t="n"/>
      <x:c r="AD253" s="81" t="n"/>
      <x:c r="AE253" s="81" t="n"/>
      <x:c r="AF253" s="81" t="n"/>
      <x:c r="AG253" s="81" t="n"/>
      <x:c r="AH253" s="81" t="n"/>
      <x:c r="AI253" s="81" t="n"/>
    </x:row>
    <x:row r="254">
      <x:c r="A254" s="81" t="n"/>
      <x:c r="B254" s="81" t="n"/>
      <x:c r="C254" s="81" t="n"/>
      <x:c r="D254" s="81" t="n"/>
      <x:c r="E254" s="81" t="n"/>
      <x:c r="F254" s="81" t="n"/>
      <x:c r="G254" s="81" t="n"/>
      <x:c r="H254" s="81" t="n"/>
      <x:c r="I254" s="81" t="n"/>
      <x:c r="J254" s="81" t="n"/>
      <x:c r="K254" s="81" t="n"/>
      <x:c r="L254" s="81" t="n"/>
      <x:c r="M254" s="81" t="n"/>
      <x:c r="N254" s="81" t="n"/>
      <x:c r="O254" s="81" t="n"/>
      <x:c r="P254" s="81" t="n"/>
      <x:c r="Q254" s="81" t="n"/>
      <x:c r="R254" s="81" t="n"/>
      <x:c r="S254" s="81" t="n"/>
      <x:c r="T254" s="81" t="n"/>
      <x:c r="U254" s="81" t="n"/>
      <x:c r="V254" s="81" t="n"/>
      <x:c r="W254" s="81" t="n"/>
      <x:c r="X254" s="81" t="n"/>
      <x:c r="Y254" s="81" t="n"/>
      <x:c r="Z254" s="81" t="n"/>
      <x:c r="AA254" s="81" t="n"/>
      <x:c r="AB254" s="81" t="n"/>
      <x:c r="AC254" s="81" t="n"/>
      <x:c r="AD254" s="81" t="n"/>
      <x:c r="AE254" s="81" t="n"/>
      <x:c r="AF254" s="81" t="n"/>
      <x:c r="AG254" s="81" t="n"/>
      <x:c r="AH254" s="81" t="n"/>
      <x:c r="AI254" s="81" t="n"/>
    </x:row>
    <x:row r="255">
      <x:c r="A255" s="81" t="n"/>
      <x:c r="B255" s="81" t="n"/>
      <x:c r="C255" s="81" t="n"/>
      <x:c r="D255" s="81" t="n"/>
      <x:c r="E255" s="81" t="n"/>
      <x:c r="F255" s="81" t="n"/>
      <x:c r="G255" s="81" t="n"/>
      <x:c r="H255" s="81" t="n"/>
      <x:c r="I255" s="81" t="n"/>
      <x:c r="J255" s="81" t="n"/>
      <x:c r="K255" s="81" t="n"/>
      <x:c r="L255" s="81" t="n"/>
      <x:c r="M255" s="81" t="n"/>
      <x:c r="N255" s="81" t="n"/>
      <x:c r="O255" s="81" t="n"/>
      <x:c r="P255" s="81" t="n"/>
      <x:c r="Q255" s="81" t="n"/>
      <x:c r="R255" s="81" t="n"/>
      <x:c r="S255" s="81" t="n"/>
      <x:c r="T255" s="81" t="n"/>
      <x:c r="U255" s="81" t="n"/>
      <x:c r="V255" s="81" t="n"/>
      <x:c r="W255" s="81" t="n"/>
      <x:c r="X255" s="81" t="n"/>
      <x:c r="Y255" s="81" t="n"/>
      <x:c r="Z255" s="81" t="n"/>
      <x:c r="AA255" s="81" t="n"/>
      <x:c r="AB255" s="81" t="n"/>
      <x:c r="AC255" s="81" t="n"/>
      <x:c r="AD255" s="81" t="n"/>
      <x:c r="AE255" s="81" t="n"/>
      <x:c r="AF255" s="81" t="n"/>
      <x:c r="AG255" s="81" t="n"/>
      <x:c r="AH255" s="81" t="n"/>
      <x:c r="AI255" s="81" t="n"/>
    </x:row>
    <x:row r="256">
      <x:c r="A256" s="81" t="n"/>
      <x:c r="B256" s="81" t="n"/>
      <x:c r="C256" s="81" t="n"/>
      <x:c r="D256" s="81" t="n"/>
      <x:c r="E256" s="81" t="n"/>
      <x:c r="F256" s="81" t="n"/>
      <x:c r="G256" s="81" t="n"/>
      <x:c r="H256" s="81" t="n"/>
      <x:c r="I256" s="81" t="n"/>
      <x:c r="J256" s="81" t="n"/>
      <x:c r="K256" s="81" t="n"/>
      <x:c r="L256" s="81" t="n"/>
      <x:c r="M256" s="81" t="n"/>
      <x:c r="N256" s="81" t="n"/>
      <x:c r="O256" s="81" t="n"/>
      <x:c r="P256" s="81" t="n"/>
      <x:c r="Q256" s="81" t="n"/>
      <x:c r="R256" s="81" t="n"/>
      <x:c r="S256" s="81" t="n"/>
      <x:c r="T256" s="81" t="n"/>
      <x:c r="U256" s="81" t="n"/>
      <x:c r="V256" s="81" t="n"/>
      <x:c r="W256" s="81" t="n"/>
      <x:c r="X256" s="81" t="n"/>
      <x:c r="Y256" s="81" t="n"/>
      <x:c r="Z256" s="81" t="n"/>
      <x:c r="AA256" s="81" t="n"/>
      <x:c r="AB256" s="81" t="n"/>
      <x:c r="AC256" s="81" t="n"/>
      <x:c r="AD256" s="81" t="n"/>
      <x:c r="AE256" s="81" t="n"/>
      <x:c r="AF256" s="81" t="n"/>
      <x:c r="AG256" s="81" t="n"/>
      <x:c r="AH256" s="81" t="n"/>
      <x:c r="AI256" s="81" t="n"/>
    </x:row>
    <x:row r="257">
      <x:c r="A257" s="81" t="n"/>
      <x:c r="B257" s="81" t="n"/>
      <x:c r="C257" s="81" t="n"/>
      <x:c r="D257" s="81" t="n"/>
      <x:c r="E257" s="81" t="n"/>
      <x:c r="F257" s="81" t="n"/>
      <x:c r="G257" s="81" t="n"/>
      <x:c r="H257" s="81" t="n"/>
      <x:c r="I257" s="81" t="n"/>
      <x:c r="J257" s="81" t="n"/>
      <x:c r="K257" s="81" t="n"/>
      <x:c r="L257" s="81" t="n"/>
      <x:c r="M257" s="81" t="n"/>
      <x:c r="N257" s="81" t="n"/>
      <x:c r="O257" s="81" t="n"/>
      <x:c r="P257" s="81" t="n"/>
      <x:c r="Q257" s="81" t="n"/>
      <x:c r="R257" s="81" t="n"/>
      <x:c r="S257" s="81" t="n"/>
      <x:c r="T257" s="81" t="n"/>
      <x:c r="U257" s="81" t="n"/>
      <x:c r="V257" s="81" t="n"/>
      <x:c r="W257" s="81" t="n"/>
      <x:c r="X257" s="81" t="n"/>
      <x:c r="Y257" s="81" t="n"/>
      <x:c r="Z257" s="81" t="n"/>
      <x:c r="AA257" s="81" t="n"/>
      <x:c r="AB257" s="81" t="n"/>
      <x:c r="AC257" s="81" t="n"/>
      <x:c r="AD257" s="81" t="n"/>
      <x:c r="AE257" s="81" t="n"/>
      <x:c r="AF257" s="81" t="n"/>
      <x:c r="AG257" s="81" t="n"/>
      <x:c r="AH257" s="81" t="n"/>
      <x:c r="AI257" s="81" t="n"/>
    </x:row>
    <x:row r="258">
      <x:c r="A258" s="81" t="n"/>
      <x:c r="B258" s="81" t="n"/>
      <x:c r="C258" s="81" t="n"/>
      <x:c r="D258" s="81" t="n"/>
      <x:c r="E258" s="81" t="n"/>
      <x:c r="F258" s="81" t="n"/>
      <x:c r="G258" s="81" t="n"/>
      <x:c r="H258" s="81" t="n"/>
      <x:c r="I258" s="81" t="n"/>
      <x:c r="J258" s="81" t="n"/>
      <x:c r="K258" s="81" t="n"/>
      <x:c r="L258" s="81" t="n"/>
      <x:c r="M258" s="81" t="n"/>
      <x:c r="N258" s="81" t="n"/>
      <x:c r="O258" s="81" t="n"/>
      <x:c r="P258" s="81" t="n"/>
      <x:c r="Q258" s="81" t="n"/>
      <x:c r="R258" s="81" t="n"/>
      <x:c r="S258" s="81" t="n"/>
      <x:c r="T258" s="81" t="n"/>
      <x:c r="U258" s="81" t="n"/>
      <x:c r="V258" s="81" t="n"/>
      <x:c r="W258" s="81" t="n"/>
      <x:c r="X258" s="81" t="n"/>
      <x:c r="Y258" s="81" t="n"/>
      <x:c r="Z258" s="81" t="n"/>
      <x:c r="AA258" s="81" t="n"/>
      <x:c r="AB258" s="81" t="n"/>
      <x:c r="AC258" s="81" t="n"/>
      <x:c r="AD258" s="81" t="n"/>
      <x:c r="AE258" s="81" t="n"/>
      <x:c r="AF258" s="81" t="n"/>
      <x:c r="AG258" s="81" t="n"/>
      <x:c r="AH258" s="81" t="n"/>
      <x:c r="AI258" s="81" t="n"/>
    </x:row>
    <x:row r="259">
      <x:c r="A259" s="81" t="n"/>
      <x:c r="B259" s="81" t="n"/>
      <x:c r="C259" s="81" t="n"/>
      <x:c r="D259" s="81" t="n"/>
      <x:c r="E259" s="81" t="n"/>
      <x:c r="F259" s="81" t="n"/>
      <x:c r="G259" s="81" t="n"/>
      <x:c r="H259" s="81" t="n"/>
      <x:c r="I259" s="81" t="n"/>
      <x:c r="J259" s="81" t="n"/>
      <x:c r="K259" s="81" t="n"/>
      <x:c r="L259" s="81" t="n"/>
      <x:c r="M259" s="81" t="n"/>
      <x:c r="N259" s="81" t="n"/>
      <x:c r="O259" s="81" t="n"/>
      <x:c r="P259" s="81" t="n"/>
      <x:c r="Q259" s="81" t="n"/>
      <x:c r="R259" s="81" t="n"/>
      <x:c r="S259" s="81" t="n"/>
      <x:c r="T259" s="81" t="n"/>
      <x:c r="U259" s="81" t="n"/>
      <x:c r="V259" s="81" t="n"/>
      <x:c r="W259" s="81" t="n"/>
      <x:c r="X259" s="81" t="n"/>
      <x:c r="Y259" s="81" t="n"/>
      <x:c r="Z259" s="81" t="n"/>
      <x:c r="AA259" s="81" t="n"/>
      <x:c r="AB259" s="81" t="n"/>
      <x:c r="AC259" s="81" t="n"/>
      <x:c r="AD259" s="81" t="n"/>
      <x:c r="AE259" s="81" t="n"/>
      <x:c r="AF259" s="81" t="n"/>
      <x:c r="AG259" s="81" t="n"/>
      <x:c r="AH259" s="81" t="n"/>
      <x:c r="AI259" s="81" t="n"/>
    </x:row>
    <x:row r="260">
      <x:c r="A260" s="81" t="n"/>
      <x:c r="B260" s="81" t="n"/>
      <x:c r="C260" s="81" t="n"/>
      <x:c r="D260" s="81" t="n"/>
      <x:c r="E260" s="81" t="n"/>
      <x:c r="F260" s="81" t="n"/>
      <x:c r="G260" s="81" t="n"/>
      <x:c r="H260" s="81" t="n"/>
      <x:c r="I260" s="81" t="n"/>
      <x:c r="J260" s="81" t="n"/>
      <x:c r="K260" s="81" t="n"/>
      <x:c r="L260" s="81" t="n"/>
      <x:c r="M260" s="81" t="n"/>
      <x:c r="N260" s="81" t="n"/>
      <x:c r="O260" s="81" t="n"/>
      <x:c r="P260" s="81" t="n"/>
      <x:c r="Q260" s="81" t="n"/>
      <x:c r="R260" s="81" t="n"/>
      <x:c r="S260" s="81" t="n"/>
      <x:c r="T260" s="81" t="n"/>
      <x:c r="U260" s="81" t="n"/>
      <x:c r="V260" s="81" t="n"/>
      <x:c r="W260" s="81" t="n"/>
      <x:c r="X260" s="81" t="n"/>
      <x:c r="Y260" s="81" t="n"/>
      <x:c r="Z260" s="81" t="n"/>
      <x:c r="AA260" s="81" t="n"/>
      <x:c r="AB260" s="81" t="n"/>
      <x:c r="AC260" s="81" t="n"/>
      <x:c r="AD260" s="81" t="n"/>
      <x:c r="AE260" s="81" t="n"/>
      <x:c r="AF260" s="81" t="n"/>
      <x:c r="AG260" s="81" t="n"/>
      <x:c r="AH260" s="81" t="n"/>
      <x:c r="AI260" s="81" t="n"/>
    </x:row>
    <x:row r="261">
      <x:c r="A261" s="81" t="n"/>
      <x:c r="B261" s="81" t="n"/>
      <x:c r="C261" s="81" t="n"/>
      <x:c r="D261" s="81" t="n"/>
      <x:c r="E261" s="81" t="n"/>
      <x:c r="F261" s="81" t="n"/>
      <x:c r="G261" s="81" t="n"/>
      <x:c r="H261" s="81" t="n"/>
      <x:c r="I261" s="81" t="n"/>
      <x:c r="J261" s="81" t="n"/>
      <x:c r="K261" s="81" t="n"/>
      <x:c r="L261" s="81" t="n"/>
      <x:c r="M261" s="81" t="n"/>
      <x:c r="N261" s="81" t="n"/>
      <x:c r="O261" s="81" t="n"/>
      <x:c r="P261" s="81" t="n"/>
      <x:c r="Q261" s="81" t="n"/>
      <x:c r="R261" s="81" t="n"/>
      <x:c r="S261" s="81" t="n"/>
      <x:c r="T261" s="81" t="n"/>
      <x:c r="U261" s="81" t="n"/>
      <x:c r="V261" s="81" t="n"/>
      <x:c r="W261" s="81" t="n"/>
      <x:c r="X261" s="81" t="n"/>
      <x:c r="Y261" s="81" t="n"/>
      <x:c r="Z261" s="81" t="n"/>
      <x:c r="AA261" s="81" t="n"/>
      <x:c r="AB261" s="81" t="n"/>
      <x:c r="AC261" s="81" t="n"/>
      <x:c r="AD261" s="81" t="n"/>
      <x:c r="AE261" s="81" t="n"/>
      <x:c r="AF261" s="81" t="n"/>
      <x:c r="AG261" s="81" t="n"/>
      <x:c r="AH261" s="81" t="n"/>
      <x:c r="AI261" s="81" t="n"/>
    </x:row>
    <x:row r="262">
      <x:c r="A262" s="81" t="n"/>
      <x:c r="B262" s="81" t="n"/>
      <x:c r="C262" s="81" t="n"/>
      <x:c r="D262" s="81" t="n"/>
      <x:c r="E262" s="81" t="n"/>
      <x:c r="F262" s="81" t="n"/>
      <x:c r="G262" s="81" t="n"/>
      <x:c r="H262" s="81" t="n"/>
      <x:c r="I262" s="81" t="n"/>
      <x:c r="J262" s="81" t="n"/>
      <x:c r="K262" s="81" t="n"/>
      <x:c r="L262" s="81" t="n"/>
      <x:c r="M262" s="81" t="n"/>
      <x:c r="N262" s="81" t="n"/>
      <x:c r="O262" s="81" t="n"/>
      <x:c r="P262" s="81" t="n"/>
      <x:c r="Q262" s="81" t="n"/>
      <x:c r="R262" s="81" t="n"/>
      <x:c r="S262" s="81" t="n"/>
      <x:c r="T262" s="81" t="n"/>
      <x:c r="U262" s="81" t="n"/>
      <x:c r="V262" s="81" t="n"/>
      <x:c r="W262" s="81" t="n"/>
      <x:c r="X262" s="81" t="n"/>
      <x:c r="Y262" s="81" t="n"/>
      <x:c r="Z262" s="81" t="n"/>
      <x:c r="AA262" s="81" t="n"/>
      <x:c r="AB262" s="81" t="n"/>
      <x:c r="AC262" s="81" t="n"/>
      <x:c r="AD262" s="81" t="n"/>
      <x:c r="AE262" s="81" t="n"/>
      <x:c r="AF262" s="81" t="n"/>
      <x:c r="AG262" s="81" t="n"/>
      <x:c r="AH262" s="81" t="n"/>
      <x:c r="AI262" s="81" t="n"/>
    </x:row>
    <x:row r="263">
      <x:c r="A263" s="81" t="n"/>
      <x:c r="B263" s="81" t="n"/>
      <x:c r="C263" s="81" t="n"/>
      <x:c r="D263" s="81" t="n"/>
      <x:c r="E263" s="81" t="n"/>
      <x:c r="F263" s="81" t="n"/>
      <x:c r="G263" s="81" t="n"/>
      <x:c r="H263" s="81" t="n"/>
      <x:c r="I263" s="81" t="n"/>
      <x:c r="J263" s="81" t="n"/>
      <x:c r="K263" s="81" t="n"/>
      <x:c r="L263" s="81" t="n"/>
      <x:c r="M263" s="81" t="n"/>
      <x:c r="N263" s="81" t="n"/>
      <x:c r="O263" s="81" t="n"/>
      <x:c r="P263" s="81" t="n"/>
      <x:c r="Q263" s="81" t="n"/>
      <x:c r="R263" s="81" t="n"/>
      <x:c r="S263" s="81" t="n"/>
      <x:c r="T263" s="81" t="n"/>
      <x:c r="U263" s="81" t="n"/>
      <x:c r="V263" s="81" t="n"/>
      <x:c r="W263" s="81" t="n"/>
      <x:c r="X263" s="81" t="n"/>
      <x:c r="Y263" s="81" t="n"/>
      <x:c r="Z263" s="81" t="n"/>
      <x:c r="AA263" s="81" t="n"/>
      <x:c r="AB263" s="81" t="n"/>
      <x:c r="AC263" s="81" t="n"/>
      <x:c r="AD263" s="81" t="n"/>
      <x:c r="AE263" s="81" t="n"/>
      <x:c r="AF263" s="81" t="n"/>
      <x:c r="AG263" s="81" t="n"/>
      <x:c r="AH263" s="81" t="n"/>
      <x:c r="AI263" s="81" t="n"/>
    </x:row>
    <x:row r="264">
      <x:c r="A264" s="81" t="n"/>
      <x:c r="B264" s="81" t="n"/>
      <x:c r="C264" s="81" t="n"/>
      <x:c r="D264" s="81" t="n"/>
      <x:c r="E264" s="81" t="n"/>
      <x:c r="F264" s="81" t="n"/>
      <x:c r="G264" s="81" t="n"/>
      <x:c r="H264" s="81" t="n"/>
      <x:c r="I264" s="81" t="n"/>
      <x:c r="J264" s="81" t="n"/>
      <x:c r="K264" s="81" t="n"/>
      <x:c r="L264" s="81" t="n"/>
      <x:c r="M264" s="81" t="n"/>
      <x:c r="N264" s="81" t="n"/>
      <x:c r="O264" s="81" t="n"/>
      <x:c r="P264" s="81" t="n"/>
      <x:c r="Q264" s="81" t="n"/>
      <x:c r="R264" s="81" t="n"/>
      <x:c r="S264" s="81" t="n"/>
      <x:c r="T264" s="81" t="n"/>
      <x:c r="U264" s="81" t="n"/>
      <x:c r="V264" s="81" t="n"/>
      <x:c r="W264" s="81" t="n"/>
      <x:c r="X264" s="81" t="n"/>
      <x:c r="Y264" s="81" t="n"/>
      <x:c r="Z264" s="81" t="n"/>
      <x:c r="AA264" s="81" t="n"/>
      <x:c r="AB264" s="81" t="n"/>
      <x:c r="AC264" s="81" t="n"/>
      <x:c r="AD264" s="81" t="n"/>
      <x:c r="AE264" s="81" t="n"/>
      <x:c r="AF264" s="81" t="n"/>
      <x:c r="AG264" s="81" t="n"/>
      <x:c r="AH264" s="81" t="n"/>
      <x:c r="AI264" s="81" t="n"/>
    </x:row>
    <x:row r="265">
      <x:c r="A265" s="81" t="n"/>
      <x:c r="B265" s="81" t="n"/>
      <x:c r="C265" s="81" t="n"/>
      <x:c r="D265" s="81" t="n"/>
      <x:c r="E265" s="81" t="n"/>
      <x:c r="F265" s="81" t="n"/>
      <x:c r="G265" s="81" t="n"/>
      <x:c r="H265" s="81" t="n"/>
      <x:c r="I265" s="81" t="n"/>
      <x:c r="J265" s="81" t="n"/>
      <x:c r="K265" s="81" t="n"/>
      <x:c r="L265" s="81" t="n"/>
      <x:c r="M265" s="81" t="n"/>
      <x:c r="N265" s="81" t="n"/>
      <x:c r="O265" s="81" t="n"/>
      <x:c r="P265" s="81" t="n"/>
      <x:c r="Q265" s="81" t="n"/>
      <x:c r="R265" s="81" t="n"/>
      <x:c r="S265" s="81" t="n"/>
      <x:c r="T265" s="81" t="n"/>
      <x:c r="U265" s="81" t="n"/>
      <x:c r="V265" s="81" t="n"/>
      <x:c r="W265" s="81" t="n"/>
      <x:c r="X265" s="81" t="n"/>
      <x:c r="Y265" s="81" t="n"/>
      <x:c r="Z265" s="81" t="n"/>
      <x:c r="AA265" s="81" t="n"/>
      <x:c r="AB265" s="81" t="n"/>
      <x:c r="AC265" s="81" t="n"/>
      <x:c r="AD265" s="81" t="n"/>
      <x:c r="AE265" s="81" t="n"/>
      <x:c r="AF265" s="81" t="n"/>
      <x:c r="AG265" s="81" t="n"/>
      <x:c r="AH265" s="81" t="n"/>
      <x:c r="AI265" s="81" t="n"/>
    </x:row>
    <x:row r="266">
      <x:c r="A266" s="81" t="n"/>
      <x:c r="B266" s="81" t="n"/>
      <x:c r="C266" s="81" t="n"/>
      <x:c r="D266" s="81" t="n"/>
      <x:c r="E266" s="81" t="n"/>
      <x:c r="F266" s="81" t="n"/>
      <x:c r="G266" s="81" t="n"/>
      <x:c r="H266" s="81" t="n"/>
      <x:c r="I266" s="81" t="n"/>
      <x:c r="J266" s="81" t="n"/>
      <x:c r="K266" s="81" t="n"/>
      <x:c r="L266" s="81" t="n"/>
      <x:c r="M266" s="81" t="n"/>
      <x:c r="N266" s="81" t="n"/>
      <x:c r="O266" s="81" t="n"/>
      <x:c r="P266" s="81" t="n"/>
      <x:c r="Q266" s="81" t="n"/>
      <x:c r="R266" s="81" t="n"/>
      <x:c r="S266" s="81" t="n"/>
      <x:c r="T266" s="81" t="n"/>
      <x:c r="U266" s="81" t="n"/>
      <x:c r="V266" s="81" t="n"/>
      <x:c r="W266" s="81" t="n"/>
      <x:c r="X266" s="81" t="n"/>
      <x:c r="Y266" s="81" t="n"/>
      <x:c r="Z266" s="81" t="n"/>
      <x:c r="AA266" s="81" t="n"/>
      <x:c r="AB266" s="81" t="n"/>
      <x:c r="AC266" s="81" t="n"/>
      <x:c r="AD266" s="81" t="n"/>
      <x:c r="AE266" s="81" t="n"/>
      <x:c r="AF266" s="81" t="n"/>
      <x:c r="AG266" s="81" t="n"/>
      <x:c r="AH266" s="81" t="n"/>
      <x:c r="AI266" s="81" t="n"/>
    </x:row>
    <x:row r="267">
      <x:c r="A267" s="81" t="n"/>
      <x:c r="B267" s="81" t="n"/>
      <x:c r="C267" s="81" t="n"/>
      <x:c r="D267" s="81" t="n"/>
      <x:c r="E267" s="81" t="n"/>
      <x:c r="F267" s="81" t="n"/>
      <x:c r="G267" s="81" t="n"/>
      <x:c r="H267" s="81" t="n"/>
      <x:c r="I267" s="81" t="n"/>
      <x:c r="J267" s="81" t="n"/>
      <x:c r="K267" s="81" t="n"/>
      <x:c r="L267" s="81" t="n"/>
      <x:c r="M267" s="81" t="n"/>
      <x:c r="N267" s="81" t="n"/>
      <x:c r="O267" s="81" t="n"/>
      <x:c r="P267" s="81" t="n"/>
      <x:c r="Q267" s="81" t="n"/>
      <x:c r="R267" s="81" t="n"/>
      <x:c r="S267" s="81" t="n"/>
      <x:c r="T267" s="81" t="n"/>
      <x:c r="U267" s="81" t="n"/>
      <x:c r="V267" s="81" t="n"/>
      <x:c r="W267" s="81" t="n"/>
      <x:c r="X267" s="81" t="n"/>
      <x:c r="Y267" s="81" t="n"/>
      <x:c r="Z267" s="81" t="n"/>
      <x:c r="AA267" s="81" t="n"/>
      <x:c r="AB267" s="81" t="n"/>
      <x:c r="AC267" s="81" t="n"/>
      <x:c r="AD267" s="81" t="n"/>
      <x:c r="AE267" s="81" t="n"/>
      <x:c r="AF267" s="81" t="n"/>
      <x:c r="AG267" s="81" t="n"/>
      <x:c r="AH267" s="81" t="n"/>
      <x:c r="AI267" s="81" t="n"/>
    </x:row>
    <x:row r="268">
      <x:c r="A268" s="81" t="n"/>
      <x:c r="B268" s="81" t="n"/>
      <x:c r="C268" s="81" t="n"/>
      <x:c r="D268" s="81" t="n"/>
      <x:c r="E268" s="81" t="n"/>
      <x:c r="F268" s="81" t="n"/>
      <x:c r="G268" s="81" t="n"/>
      <x:c r="H268" s="81" t="n"/>
      <x:c r="I268" s="81" t="n"/>
      <x:c r="J268" s="81" t="n"/>
      <x:c r="K268" s="81" t="n"/>
      <x:c r="L268" s="81" t="n"/>
      <x:c r="M268" s="81" t="n"/>
      <x:c r="N268" s="81" t="n"/>
      <x:c r="O268" s="81" t="n"/>
      <x:c r="P268" s="81" t="n"/>
      <x:c r="Q268" s="81" t="n"/>
      <x:c r="R268" s="81" t="n"/>
      <x:c r="S268" s="81" t="n"/>
      <x:c r="T268" s="81" t="n"/>
      <x:c r="U268" s="81" t="n"/>
      <x:c r="V268" s="81" t="n"/>
      <x:c r="W268" s="81" t="n"/>
      <x:c r="X268" s="81" t="n"/>
      <x:c r="Y268" s="81" t="n"/>
      <x:c r="Z268" s="81" t="n"/>
      <x:c r="AA268" s="81" t="n"/>
      <x:c r="AB268" s="81" t="n"/>
      <x:c r="AC268" s="81" t="n"/>
      <x:c r="AD268" s="81" t="n"/>
      <x:c r="AE268" s="81" t="n"/>
      <x:c r="AF268" s="81" t="n"/>
      <x:c r="AG268" s="81" t="n"/>
      <x:c r="AH268" s="81" t="n"/>
      <x:c r="AI268" s="81" t="n"/>
    </x:row>
    <x:row r="269">
      <x:c r="A269" s="81" t="n"/>
      <x:c r="B269" s="81" t="n"/>
      <x:c r="C269" s="81" t="n"/>
      <x:c r="D269" s="81" t="n"/>
      <x:c r="E269" s="81" t="n"/>
      <x:c r="F269" s="81" t="n"/>
      <x:c r="G269" s="81" t="n"/>
      <x:c r="H269" s="81" t="n"/>
      <x:c r="I269" s="81" t="n"/>
      <x:c r="J269" s="81" t="n"/>
      <x:c r="K269" s="81" t="n"/>
      <x:c r="L269" s="81" t="n"/>
      <x:c r="M269" s="81" t="n"/>
      <x:c r="N269" s="81" t="n"/>
      <x:c r="O269" s="81" t="n"/>
      <x:c r="P269" s="81" t="n"/>
      <x:c r="Q269" s="81" t="n"/>
      <x:c r="R269" s="81" t="n"/>
      <x:c r="S269" s="81" t="n"/>
      <x:c r="T269" s="81" t="n"/>
      <x:c r="U269" s="81" t="n"/>
      <x:c r="V269" s="81" t="n"/>
      <x:c r="W269" s="81" t="n"/>
      <x:c r="X269" s="81" t="n"/>
      <x:c r="Y269" s="81" t="n"/>
      <x:c r="Z269" s="81" t="n"/>
      <x:c r="AA269" s="81" t="n"/>
      <x:c r="AB269" s="81" t="n"/>
      <x:c r="AC269" s="81" t="n"/>
      <x:c r="AD269" s="81" t="n"/>
      <x:c r="AE269" s="81" t="n"/>
      <x:c r="AF269" s="81" t="n"/>
      <x:c r="AG269" s="81" t="n"/>
      <x:c r="AH269" s="81" t="n"/>
      <x:c r="AI269" s="81" t="n"/>
    </x:row>
    <x:row r="270">
      <x:c r="A270" s="81" t="n"/>
      <x:c r="B270" s="81" t="n"/>
      <x:c r="C270" s="81" t="n"/>
      <x:c r="D270" s="81" t="n"/>
      <x:c r="E270" s="81" t="n"/>
      <x:c r="F270" s="81" t="n"/>
      <x:c r="G270" s="81" t="n"/>
      <x:c r="H270" s="81" t="n"/>
      <x:c r="I270" s="81" t="n"/>
      <x:c r="J270" s="81" t="n"/>
      <x:c r="K270" s="81" t="n"/>
      <x:c r="L270" s="81" t="n"/>
      <x:c r="M270" s="81" t="n"/>
      <x:c r="N270" s="81" t="n"/>
      <x:c r="O270" s="81" t="n"/>
      <x:c r="P270" s="81" t="n"/>
      <x:c r="Q270" s="81" t="n"/>
      <x:c r="R270" s="81" t="n"/>
      <x:c r="S270" s="81" t="n"/>
      <x:c r="T270" s="81" t="n"/>
      <x:c r="U270" s="81" t="n"/>
      <x:c r="V270" s="81" t="n"/>
      <x:c r="W270" s="81" t="n"/>
      <x:c r="X270" s="81" t="n"/>
      <x:c r="Y270" s="81" t="n"/>
      <x:c r="Z270" s="81" t="n"/>
      <x:c r="AA270" s="81" t="n"/>
      <x:c r="AB270" s="81" t="n"/>
      <x:c r="AC270" s="81" t="n"/>
      <x:c r="AD270" s="81" t="n"/>
      <x:c r="AE270" s="81" t="n"/>
      <x:c r="AF270" s="81" t="n"/>
      <x:c r="AG270" s="81" t="n"/>
      <x:c r="AH270" s="81" t="n"/>
      <x:c r="AI270" s="81" t="n"/>
    </x:row>
    <x:row r="271">
      <x:c r="A271" s="81" t="n"/>
      <x:c r="B271" s="81" t="n"/>
      <x:c r="C271" s="81" t="n"/>
      <x:c r="D271" s="81" t="n"/>
      <x:c r="E271" s="81" t="n"/>
      <x:c r="F271" s="81" t="n"/>
      <x:c r="G271" s="81" t="n"/>
      <x:c r="H271" s="81" t="n"/>
      <x:c r="I271" s="81" t="n"/>
      <x:c r="J271" s="81" t="n"/>
      <x:c r="K271" s="81" t="n"/>
      <x:c r="L271" s="81" t="n"/>
      <x:c r="M271" s="81" t="n"/>
      <x:c r="N271" s="81" t="n"/>
      <x:c r="O271" s="81" t="n"/>
      <x:c r="P271" s="81" t="n"/>
      <x:c r="Q271" s="81" t="n"/>
      <x:c r="R271" s="81" t="n"/>
      <x:c r="S271" s="81" t="n"/>
      <x:c r="T271" s="81" t="n"/>
      <x:c r="U271" s="81" t="n"/>
      <x:c r="V271" s="81" t="n"/>
      <x:c r="W271" s="81" t="n"/>
      <x:c r="X271" s="81" t="n"/>
      <x:c r="Y271" s="81" t="n"/>
      <x:c r="Z271" s="81" t="n"/>
      <x:c r="AA271" s="81" t="n"/>
      <x:c r="AB271" s="81" t="n"/>
      <x:c r="AC271" s="81" t="n"/>
      <x:c r="AD271" s="81" t="n"/>
      <x:c r="AE271" s="81" t="n"/>
      <x:c r="AF271" s="81" t="n"/>
      <x:c r="AG271" s="81" t="n"/>
      <x:c r="AH271" s="81" t="n"/>
      <x:c r="AI271" s="81" t="n"/>
    </x:row>
    <x:row r="272">
      <x:c r="A272" s="81" t="n"/>
      <x:c r="B272" s="81" t="n"/>
      <x:c r="C272" s="81" t="n"/>
      <x:c r="D272" s="81" t="n"/>
      <x:c r="E272" s="81" t="n"/>
      <x:c r="F272" s="81" t="n"/>
      <x:c r="G272" s="81" t="n"/>
      <x:c r="H272" s="81" t="n"/>
      <x:c r="I272" s="81" t="n"/>
      <x:c r="J272" s="81" t="n"/>
      <x:c r="K272" s="81" t="n"/>
      <x:c r="L272" s="81" t="n"/>
      <x:c r="M272" s="81" t="n"/>
      <x:c r="N272" s="81" t="n"/>
      <x:c r="O272" s="81" t="n"/>
      <x:c r="P272" s="81" t="n"/>
      <x:c r="Q272" s="81" t="n"/>
      <x:c r="R272" s="81" t="n"/>
      <x:c r="S272" s="81" t="n"/>
      <x:c r="T272" s="81" t="n"/>
      <x:c r="U272" s="81" t="n"/>
      <x:c r="V272" s="81" t="n"/>
      <x:c r="W272" s="81" t="n"/>
      <x:c r="X272" s="81" t="n"/>
      <x:c r="Y272" s="81" t="n"/>
      <x:c r="Z272" s="81" t="n"/>
      <x:c r="AA272" s="81" t="n"/>
      <x:c r="AB272" s="81" t="n"/>
      <x:c r="AC272" s="81" t="n"/>
      <x:c r="AD272" s="81" t="n"/>
      <x:c r="AE272" s="81" t="n"/>
      <x:c r="AF272" s="81" t="n"/>
      <x:c r="AG272" s="81" t="n"/>
      <x:c r="AH272" s="81" t="n"/>
      <x:c r="AI272" s="81" t="n"/>
    </x:row>
    <x:row r="273">
      <x:c r="A273" s="81" t="n"/>
      <x:c r="B273" s="81" t="n"/>
      <x:c r="C273" s="81" t="n"/>
      <x:c r="D273" s="81" t="n"/>
      <x:c r="E273" s="81" t="n"/>
      <x:c r="F273" s="81" t="n"/>
      <x:c r="G273" s="81" t="n"/>
      <x:c r="H273" s="81" t="n"/>
      <x:c r="I273" s="81" t="n"/>
      <x:c r="J273" s="81" t="n"/>
      <x:c r="K273" s="81" t="n"/>
      <x:c r="L273" s="81" t="n"/>
      <x:c r="M273" s="81" t="n"/>
      <x:c r="N273" s="81" t="n"/>
      <x:c r="O273" s="81" t="n"/>
      <x:c r="P273" s="81" t="n"/>
      <x:c r="Q273" s="81" t="n"/>
      <x:c r="R273" s="81" t="n"/>
      <x:c r="S273" s="81" t="n"/>
      <x:c r="T273" s="81" t="n"/>
      <x:c r="U273" s="81" t="n"/>
      <x:c r="V273" s="81" t="n"/>
      <x:c r="W273" s="81" t="n"/>
      <x:c r="X273" s="81" t="n"/>
      <x:c r="Y273" s="81" t="n"/>
      <x:c r="Z273" s="81" t="n"/>
      <x:c r="AA273" s="81" t="n"/>
      <x:c r="AB273" s="81" t="n"/>
      <x:c r="AC273" s="81" t="n"/>
      <x:c r="AD273" s="81" t="n"/>
      <x:c r="AE273" s="81" t="n"/>
      <x:c r="AF273" s="81" t="n"/>
      <x:c r="AG273" s="81" t="n"/>
      <x:c r="AH273" s="81" t="n"/>
      <x:c r="AI273" s="81" t="n"/>
    </x:row>
    <x:row r="274">
      <x:c r="A274" s="81" t="n"/>
      <x:c r="B274" s="81" t="n"/>
      <x:c r="C274" s="81" t="n"/>
      <x:c r="D274" s="81" t="n"/>
      <x:c r="E274" s="81" t="n"/>
      <x:c r="F274" s="81" t="n"/>
      <x:c r="G274" s="81" t="n"/>
      <x:c r="H274" s="81" t="n"/>
      <x:c r="I274" s="81" t="n"/>
      <x:c r="J274" s="81" t="n"/>
      <x:c r="K274" s="81" t="n"/>
      <x:c r="L274" s="81" t="n"/>
      <x:c r="M274" s="81" t="n"/>
      <x:c r="N274" s="81" t="n"/>
      <x:c r="O274" s="81" t="n"/>
      <x:c r="P274" s="81" t="n"/>
      <x:c r="Q274" s="81" t="n"/>
      <x:c r="R274" s="81" t="n"/>
      <x:c r="S274" s="81" t="n"/>
      <x:c r="T274" s="81" t="n"/>
      <x:c r="U274" s="81" t="n"/>
      <x:c r="V274" s="81" t="n"/>
      <x:c r="W274" s="81" t="n"/>
      <x:c r="X274" s="81" t="n"/>
      <x:c r="Y274" s="81" t="n"/>
      <x:c r="Z274" s="81" t="n"/>
      <x:c r="AA274" s="81" t="n"/>
      <x:c r="AB274" s="81" t="n"/>
      <x:c r="AC274" s="81" t="n"/>
      <x:c r="AD274" s="81" t="n"/>
      <x:c r="AE274" s="81" t="n"/>
      <x:c r="AF274" s="81" t="n"/>
      <x:c r="AG274" s="81" t="n"/>
      <x:c r="AH274" s="81" t="n"/>
      <x:c r="AI274" s="81" t="n"/>
    </x:row>
    <x:row r="275">
      <x:c r="A275" s="81" t="n"/>
      <x:c r="B275" s="81" t="n"/>
      <x:c r="C275" s="81" t="n"/>
      <x:c r="D275" s="81" t="n"/>
      <x:c r="E275" s="81" t="n"/>
      <x:c r="F275" s="81" t="n"/>
      <x:c r="G275" s="81" t="n"/>
      <x:c r="H275" s="81" t="n"/>
      <x:c r="I275" s="81" t="n"/>
      <x:c r="J275" s="81" t="n"/>
      <x:c r="K275" s="81" t="n"/>
      <x:c r="L275" s="81" t="n"/>
      <x:c r="M275" s="81" t="n"/>
      <x:c r="N275" s="81" t="n"/>
      <x:c r="O275" s="81" t="n"/>
      <x:c r="P275" s="81" t="n"/>
      <x:c r="Q275" s="81" t="n"/>
      <x:c r="R275" s="81" t="n"/>
      <x:c r="S275" s="81" t="n"/>
      <x:c r="T275" s="81" t="n"/>
      <x:c r="U275" s="81" t="n"/>
      <x:c r="V275" s="81" t="n"/>
      <x:c r="W275" s="81" t="n"/>
      <x:c r="X275" s="81" t="n"/>
      <x:c r="Y275" s="81" t="n"/>
      <x:c r="Z275" s="81" t="n"/>
      <x:c r="AA275" s="81" t="n"/>
      <x:c r="AB275" s="81" t="n"/>
      <x:c r="AC275" s="81" t="n"/>
      <x:c r="AD275" s="81" t="n"/>
      <x:c r="AE275" s="81" t="n"/>
      <x:c r="AF275" s="81" t="n"/>
      <x:c r="AG275" s="81" t="n"/>
      <x:c r="AH275" s="81" t="n"/>
      <x:c r="AI275" s="81" t="n"/>
    </x:row>
    <x:row r="276">
      <x:c r="A276" s="81" t="n"/>
      <x:c r="B276" s="81" t="n"/>
      <x:c r="C276" s="81" t="n"/>
      <x:c r="D276" s="81" t="n"/>
      <x:c r="E276" s="81" t="n"/>
      <x:c r="F276" s="81" t="n"/>
      <x:c r="G276" s="81" t="n"/>
      <x:c r="H276" s="81" t="n"/>
      <x:c r="I276" s="81" t="n"/>
      <x:c r="J276" s="81" t="n"/>
      <x:c r="K276" s="81" t="n"/>
      <x:c r="L276" s="81" t="n"/>
      <x:c r="M276" s="81" t="n"/>
      <x:c r="N276" s="81" t="n"/>
      <x:c r="O276" s="81" t="n"/>
      <x:c r="P276" s="81" t="n"/>
      <x:c r="Q276" s="81" t="n"/>
      <x:c r="R276" s="81" t="n"/>
      <x:c r="S276" s="81" t="n"/>
      <x:c r="T276" s="81" t="n"/>
      <x:c r="U276" s="81" t="n"/>
      <x:c r="V276" s="81" t="n"/>
      <x:c r="W276" s="81" t="n"/>
      <x:c r="X276" s="81" t="n"/>
      <x:c r="Y276" s="81" t="n"/>
      <x:c r="Z276" s="81" t="n"/>
      <x:c r="AA276" s="81" t="n"/>
      <x:c r="AB276" s="81" t="n"/>
      <x:c r="AC276" s="81" t="n"/>
      <x:c r="AD276" s="81" t="n"/>
      <x:c r="AE276" s="81" t="n"/>
      <x:c r="AF276" s="81" t="n"/>
      <x:c r="AG276" s="81" t="n"/>
      <x:c r="AH276" s="81" t="n"/>
      <x:c r="AI276" s="81" t="n"/>
    </x:row>
    <x:row r="277">
      <x:c r="A277" s="81" t="n"/>
      <x:c r="B277" s="81" t="n"/>
      <x:c r="C277" s="81" t="n"/>
      <x:c r="D277" s="81" t="n"/>
      <x:c r="E277" s="81" t="n"/>
      <x:c r="F277" s="81" t="n"/>
      <x:c r="G277" s="81" t="n"/>
      <x:c r="H277" s="81" t="n"/>
      <x:c r="I277" s="81" t="n"/>
      <x:c r="J277" s="81" t="n"/>
      <x:c r="K277" s="81" t="n"/>
      <x:c r="L277" s="81" t="n"/>
      <x:c r="M277" s="81" t="n"/>
      <x:c r="N277" s="81" t="n"/>
      <x:c r="O277" s="81" t="n"/>
      <x:c r="P277" s="81" t="n"/>
      <x:c r="Q277" s="81" t="n"/>
      <x:c r="R277" s="81" t="n"/>
      <x:c r="S277" s="81" t="n"/>
      <x:c r="T277" s="81" t="n"/>
      <x:c r="U277" s="81" t="n"/>
      <x:c r="V277" s="81" t="n"/>
      <x:c r="W277" s="81" t="n"/>
      <x:c r="X277" s="81" t="n"/>
      <x:c r="Y277" s="81" t="n"/>
      <x:c r="Z277" s="81" t="n"/>
      <x:c r="AA277" s="81" t="n"/>
      <x:c r="AB277" s="81" t="n"/>
      <x:c r="AC277" s="81" t="n"/>
      <x:c r="AD277" s="81" t="n"/>
      <x:c r="AE277" s="81" t="n"/>
      <x:c r="AF277" s="81" t="n"/>
      <x:c r="AG277" s="81" t="n"/>
      <x:c r="AH277" s="81" t="n"/>
      <x:c r="AI277" s="81" t="n"/>
    </x:row>
    <x:row r="278">
      <x:c r="A278" s="81" t="n"/>
      <x:c r="B278" s="81" t="n"/>
      <x:c r="C278" s="81" t="n"/>
      <x:c r="D278" s="81" t="n"/>
      <x:c r="E278" s="81" t="n"/>
      <x:c r="F278" s="81" t="n"/>
      <x:c r="G278" s="81" t="n"/>
      <x:c r="H278" s="81" t="n"/>
      <x:c r="I278" s="81" t="n"/>
      <x:c r="J278" s="81" t="n"/>
      <x:c r="K278" s="81" t="n"/>
      <x:c r="L278" s="81" t="n"/>
      <x:c r="M278" s="81" t="n"/>
      <x:c r="N278" s="81" t="n"/>
      <x:c r="O278" s="81" t="n"/>
      <x:c r="P278" s="81" t="n"/>
      <x:c r="Q278" s="81" t="n"/>
      <x:c r="R278" s="81" t="n"/>
      <x:c r="S278" s="81" t="n"/>
      <x:c r="T278" s="81" t="n"/>
      <x:c r="U278" s="81" t="n"/>
      <x:c r="V278" s="81" t="n"/>
      <x:c r="W278" s="81" t="n"/>
      <x:c r="X278" s="81" t="n"/>
      <x:c r="Y278" s="81" t="n"/>
      <x:c r="Z278" s="81" t="n"/>
      <x:c r="AA278" s="81" t="n"/>
      <x:c r="AB278" s="81" t="n"/>
      <x:c r="AC278" s="81" t="n"/>
      <x:c r="AD278" s="81" t="n"/>
      <x:c r="AE278" s="81" t="n"/>
      <x:c r="AF278" s="81" t="n"/>
      <x:c r="AG278" s="81" t="n"/>
      <x:c r="AH278" s="81" t="n"/>
      <x:c r="AI278" s="81" t="n"/>
    </x:row>
    <x:row r="279">
      <x:c r="A279" s="81" t="n"/>
      <x:c r="B279" s="81" t="n"/>
      <x:c r="C279" s="81" t="n"/>
      <x:c r="D279" s="81" t="n"/>
      <x:c r="E279" s="81" t="n"/>
      <x:c r="F279" s="81" t="n"/>
      <x:c r="G279" s="81" t="n"/>
      <x:c r="H279" s="81" t="n"/>
      <x:c r="I279" s="81" t="n"/>
      <x:c r="J279" s="81" t="n"/>
      <x:c r="K279" s="81" t="n"/>
      <x:c r="L279" s="81" t="n"/>
      <x:c r="M279" s="81" t="n"/>
      <x:c r="N279" s="81" t="n"/>
      <x:c r="O279" s="81" t="n"/>
      <x:c r="P279" s="81" t="n"/>
      <x:c r="Q279" s="81" t="n"/>
      <x:c r="R279" s="81" t="n"/>
      <x:c r="S279" s="81" t="n"/>
      <x:c r="T279" s="81" t="n"/>
      <x:c r="U279" s="81" t="n"/>
      <x:c r="V279" s="81" t="n"/>
      <x:c r="W279" s="81" t="n"/>
      <x:c r="X279" s="81" t="n"/>
      <x:c r="Y279" s="81" t="n"/>
      <x:c r="Z279" s="81" t="n"/>
      <x:c r="AA279" s="81" t="n"/>
      <x:c r="AB279" s="81" t="n"/>
      <x:c r="AC279" s="81" t="n"/>
      <x:c r="AD279" s="81" t="n"/>
      <x:c r="AE279" s="81" t="n"/>
      <x:c r="AF279" s="81" t="n"/>
      <x:c r="AG279" s="81" t="n"/>
      <x:c r="AH279" s="81" t="n"/>
      <x:c r="AI279" s="81" t="n"/>
    </x:row>
    <x:row r="280">
      <x:c r="A280" s="81" t="n"/>
      <x:c r="B280" s="81" t="n"/>
      <x:c r="C280" s="81" t="n"/>
      <x:c r="D280" s="81" t="n"/>
      <x:c r="E280" s="81" t="n"/>
      <x:c r="F280" s="81" t="n"/>
      <x:c r="G280" s="81" t="n"/>
      <x:c r="H280" s="81" t="n"/>
      <x:c r="I280" s="81" t="n"/>
      <x:c r="J280" s="81" t="n"/>
      <x:c r="K280" s="81" t="n"/>
      <x:c r="L280" s="81" t="n"/>
      <x:c r="M280" s="81" t="n"/>
      <x:c r="N280" s="81" t="n"/>
      <x:c r="O280" s="81" t="n"/>
      <x:c r="P280" s="81" t="n"/>
      <x:c r="Q280" s="81" t="n"/>
      <x:c r="R280" s="81" t="n"/>
      <x:c r="S280" s="81" t="n"/>
      <x:c r="T280" s="81" t="n"/>
      <x:c r="U280" s="81" t="n"/>
      <x:c r="V280" s="81" t="n"/>
      <x:c r="W280" s="81" t="n"/>
      <x:c r="X280" s="81" t="n"/>
      <x:c r="Y280" s="81" t="n"/>
      <x:c r="Z280" s="81" t="n"/>
      <x:c r="AA280" s="81" t="n"/>
      <x:c r="AB280" s="81" t="n"/>
      <x:c r="AC280" s="81" t="n"/>
      <x:c r="AD280" s="81" t="n"/>
      <x:c r="AE280" s="81" t="n"/>
      <x:c r="AF280" s="81" t="n"/>
      <x:c r="AG280" s="81" t="n"/>
      <x:c r="AH280" s="81" t="n"/>
      <x:c r="AI280" s="81" t="n"/>
    </x:row>
    <x:row r="281">
      <x:c r="A281" s="81" t="n"/>
      <x:c r="B281" s="81" t="n"/>
      <x:c r="C281" s="81" t="n"/>
      <x:c r="D281" s="81" t="n"/>
      <x:c r="E281" s="81" t="n"/>
      <x:c r="F281" s="81" t="n"/>
      <x:c r="G281" s="81" t="n"/>
      <x:c r="H281" s="81" t="n"/>
      <x:c r="I281" s="81" t="n"/>
      <x:c r="J281" s="81" t="n"/>
      <x:c r="K281" s="81" t="n"/>
      <x:c r="L281" s="81" t="n"/>
      <x:c r="M281" s="81" t="n"/>
      <x:c r="N281" s="81" t="n"/>
      <x:c r="O281" s="81" t="n"/>
      <x:c r="P281" s="81" t="n"/>
      <x:c r="Q281" s="81" t="n"/>
      <x:c r="R281" s="81" t="n"/>
      <x:c r="S281" s="81" t="n"/>
      <x:c r="T281" s="81" t="n"/>
      <x:c r="U281" s="81" t="n"/>
      <x:c r="V281" s="81" t="n"/>
      <x:c r="W281" s="81" t="n"/>
      <x:c r="X281" s="81" t="n"/>
      <x:c r="Y281" s="81" t="n"/>
      <x:c r="Z281" s="81" t="n"/>
      <x:c r="AA281" s="81" t="n"/>
      <x:c r="AB281" s="81" t="n"/>
      <x:c r="AC281" s="81" t="n"/>
      <x:c r="AD281" s="81" t="n"/>
      <x:c r="AE281" s="81" t="n"/>
      <x:c r="AF281" s="81" t="n"/>
      <x:c r="AG281" s="81" t="n"/>
      <x:c r="AH281" s="81" t="n"/>
      <x:c r="AI281" s="81" t="n"/>
    </x:row>
    <x:row r="282">
      <x:c r="A282" s="81" t="n"/>
      <x:c r="B282" s="81" t="n"/>
      <x:c r="C282" s="81" t="n"/>
      <x:c r="D282" s="81" t="n"/>
      <x:c r="E282" s="81" t="n"/>
      <x:c r="F282" s="81" t="n"/>
      <x:c r="G282" s="81" t="n"/>
      <x:c r="H282" s="81" t="n"/>
      <x:c r="I282" s="81" t="n"/>
      <x:c r="J282" s="81" t="n"/>
      <x:c r="K282" s="81" t="n"/>
      <x:c r="L282" s="81" t="n"/>
      <x:c r="M282" s="81" t="n"/>
      <x:c r="N282" s="81" t="n"/>
      <x:c r="O282" s="81" t="n"/>
      <x:c r="P282" s="81" t="n"/>
      <x:c r="Q282" s="81" t="n"/>
      <x:c r="R282" s="81" t="n"/>
      <x:c r="S282" s="81" t="n"/>
      <x:c r="T282" s="81" t="n"/>
      <x:c r="U282" s="81" t="n"/>
      <x:c r="V282" s="81" t="n"/>
      <x:c r="W282" s="81" t="n"/>
      <x:c r="X282" s="81" t="n"/>
      <x:c r="Y282" s="81" t="n"/>
      <x:c r="Z282" s="81" t="n"/>
      <x:c r="AA282" s="81" t="n"/>
      <x:c r="AB282" s="81" t="n"/>
      <x:c r="AC282" s="81" t="n"/>
      <x:c r="AD282" s="81" t="n"/>
      <x:c r="AE282" s="81" t="n"/>
      <x:c r="AF282" s="81" t="n"/>
      <x:c r="AG282" s="81" t="n"/>
      <x:c r="AH282" s="81" t="n"/>
      <x:c r="AI282" s="81" t="n"/>
    </x:row>
    <x:row r="283">
      <x:c r="A283" s="81" t="n"/>
      <x:c r="B283" s="81" t="n"/>
      <x:c r="C283" s="81" t="n"/>
      <x:c r="D283" s="81" t="n"/>
      <x:c r="E283" s="81" t="n"/>
      <x:c r="F283" s="81" t="n"/>
      <x:c r="G283" s="81" t="n"/>
      <x:c r="H283" s="81" t="n"/>
      <x:c r="I283" s="81" t="n"/>
      <x:c r="J283" s="81" t="n"/>
      <x:c r="K283" s="81" t="n"/>
      <x:c r="L283" s="81" t="n"/>
      <x:c r="M283" s="81" t="n"/>
      <x:c r="N283" s="81" t="n"/>
      <x:c r="O283" s="81" t="n"/>
      <x:c r="P283" s="81" t="n"/>
      <x:c r="Q283" s="81" t="n"/>
      <x:c r="R283" s="81" t="n"/>
      <x:c r="S283" s="81" t="n"/>
      <x:c r="T283" s="81" t="n"/>
      <x:c r="U283" s="81" t="n"/>
      <x:c r="V283" s="81" t="n"/>
      <x:c r="W283" s="81" t="n"/>
      <x:c r="X283" s="81" t="n"/>
      <x:c r="Y283" s="81" t="n"/>
      <x:c r="Z283" s="81" t="n"/>
      <x:c r="AA283" s="81" t="n"/>
      <x:c r="AB283" s="81" t="n"/>
      <x:c r="AC283" s="81" t="n"/>
      <x:c r="AD283" s="81" t="n"/>
      <x:c r="AE283" s="81" t="n"/>
      <x:c r="AF283" s="81" t="n"/>
      <x:c r="AG283" s="81" t="n"/>
      <x:c r="AH283" s="81" t="n"/>
      <x:c r="AI283" s="81" t="n"/>
    </x:row>
    <x:row r="284">
      <x:c r="A284" s="81" t="n"/>
      <x:c r="B284" s="81" t="n"/>
      <x:c r="C284" s="81" t="n"/>
      <x:c r="D284" s="81" t="n"/>
      <x:c r="E284" s="81" t="n"/>
      <x:c r="F284" s="81" t="n"/>
      <x:c r="G284" s="81" t="n"/>
      <x:c r="H284" s="81" t="n"/>
      <x:c r="I284" s="81" t="n"/>
      <x:c r="J284" s="81" t="n"/>
      <x:c r="K284" s="81" t="n"/>
      <x:c r="L284" s="81" t="n"/>
      <x:c r="M284" s="81" t="n"/>
      <x:c r="N284" s="81" t="n"/>
      <x:c r="O284" s="81" t="n"/>
      <x:c r="P284" s="81" t="n"/>
      <x:c r="Q284" s="81" t="n"/>
      <x:c r="R284" s="81" t="n"/>
      <x:c r="S284" s="81" t="n"/>
      <x:c r="T284" s="81" t="n"/>
      <x:c r="U284" s="81" t="n"/>
      <x:c r="V284" s="81" t="n"/>
      <x:c r="W284" s="81" t="n"/>
      <x:c r="X284" s="81" t="n"/>
      <x:c r="Y284" s="81" t="n"/>
      <x:c r="Z284" s="81" t="n"/>
      <x:c r="AA284" s="81" t="n"/>
      <x:c r="AB284" s="81" t="n"/>
      <x:c r="AC284" s="81" t="n"/>
      <x:c r="AD284" s="81" t="n"/>
      <x:c r="AE284" s="81" t="n"/>
      <x:c r="AF284" s="81" t="n"/>
      <x:c r="AG284" s="81" t="n"/>
      <x:c r="AH284" s="81" t="n"/>
      <x:c r="AI284" s="81" t="n"/>
    </x:row>
    <x:row r="285">
      <x:c r="A285" s="81" t="n"/>
      <x:c r="B285" s="81" t="n"/>
      <x:c r="C285" s="81" t="n"/>
      <x:c r="D285" s="81" t="n"/>
      <x:c r="E285" s="81" t="n"/>
      <x:c r="F285" s="81" t="n"/>
      <x:c r="G285" s="81" t="n"/>
      <x:c r="H285" s="81" t="n"/>
      <x:c r="I285" s="81" t="n"/>
      <x:c r="J285" s="81" t="n"/>
      <x:c r="K285" s="81" t="n"/>
      <x:c r="L285" s="81" t="n"/>
      <x:c r="M285" s="81" t="n"/>
      <x:c r="N285" s="81" t="n"/>
      <x:c r="O285" s="81" t="n"/>
      <x:c r="P285" s="81" t="n"/>
      <x:c r="Q285" s="81" t="n"/>
      <x:c r="R285" s="81" t="n"/>
      <x:c r="S285" s="81" t="n"/>
      <x:c r="T285" s="81" t="n"/>
      <x:c r="U285" s="81" t="n"/>
      <x:c r="V285" s="81" t="n"/>
      <x:c r="W285" s="81" t="n"/>
      <x:c r="X285" s="81" t="n"/>
      <x:c r="Y285" s="81" t="n"/>
      <x:c r="Z285" s="81" t="n"/>
      <x:c r="AA285" s="81" t="n"/>
      <x:c r="AB285" s="81" t="n"/>
      <x:c r="AC285" s="81" t="n"/>
      <x:c r="AD285" s="81" t="n"/>
      <x:c r="AE285" s="81" t="n"/>
      <x:c r="AF285" s="81" t="n"/>
      <x:c r="AG285" s="81" t="n"/>
      <x:c r="AH285" s="81" t="n"/>
      <x:c r="AI285" s="81" t="n"/>
    </x:row>
    <x:row r="286">
      <x:c r="A286" s="81" t="n"/>
      <x:c r="B286" s="81" t="n"/>
      <x:c r="C286" s="81" t="n"/>
      <x:c r="D286" s="81" t="n"/>
      <x:c r="E286" s="81" t="n"/>
      <x:c r="F286" s="81" t="n"/>
      <x:c r="G286" s="81" t="n"/>
      <x:c r="H286" s="81" t="n"/>
      <x:c r="I286" s="81" t="n"/>
      <x:c r="J286" s="81" t="n"/>
      <x:c r="K286" s="81" t="n"/>
      <x:c r="L286" s="81" t="n"/>
      <x:c r="M286" s="81" t="n"/>
      <x:c r="N286" s="81" t="n"/>
      <x:c r="O286" s="81" t="n"/>
      <x:c r="P286" s="81" t="n"/>
      <x:c r="Q286" s="81" t="n"/>
      <x:c r="R286" s="81" t="n"/>
      <x:c r="S286" s="81" t="n"/>
      <x:c r="T286" s="81" t="n"/>
      <x:c r="U286" s="81" t="n"/>
      <x:c r="V286" s="81" t="n"/>
      <x:c r="W286" s="81" t="n"/>
      <x:c r="X286" s="81" t="n"/>
      <x:c r="Y286" s="81" t="n"/>
      <x:c r="Z286" s="81" t="n"/>
      <x:c r="AA286" s="81" t="n"/>
      <x:c r="AB286" s="81" t="n"/>
      <x:c r="AC286" s="81" t="n"/>
      <x:c r="AD286" s="81" t="n"/>
      <x:c r="AE286" s="81" t="n"/>
      <x:c r="AF286" s="81" t="n"/>
      <x:c r="AG286" s="81" t="n"/>
      <x:c r="AH286" s="81" t="n"/>
      <x:c r="AI286" s="81" t="n"/>
    </x:row>
    <x:row r="287">
      <x:c r="A287" s="81" t="n"/>
      <x:c r="B287" s="81" t="n"/>
      <x:c r="C287" s="81" t="n"/>
      <x:c r="D287" s="81" t="n"/>
      <x:c r="E287" s="81" t="n"/>
      <x:c r="F287" s="81" t="n"/>
      <x:c r="G287" s="81" t="n"/>
      <x:c r="H287" s="81" t="n"/>
      <x:c r="I287" s="81" t="n"/>
      <x:c r="J287" s="81" t="n"/>
      <x:c r="K287" s="81" t="n"/>
      <x:c r="L287" s="81" t="n"/>
      <x:c r="M287" s="81" t="n"/>
      <x:c r="N287" s="81" t="n"/>
      <x:c r="O287" s="81" t="n"/>
      <x:c r="P287" s="81" t="n"/>
      <x:c r="Q287" s="81" t="n"/>
      <x:c r="R287" s="81" t="n"/>
      <x:c r="S287" s="81" t="n"/>
      <x:c r="T287" s="81" t="n"/>
      <x:c r="U287" s="81" t="n"/>
      <x:c r="V287" s="81" t="n"/>
      <x:c r="W287" s="81" t="n"/>
      <x:c r="X287" s="81" t="n"/>
      <x:c r="Y287" s="81" t="n"/>
      <x:c r="Z287" s="81" t="n"/>
      <x:c r="AA287" s="81" t="n"/>
      <x:c r="AB287" s="81" t="n"/>
      <x:c r="AC287" s="81" t="n"/>
      <x:c r="AD287" s="81" t="n"/>
      <x:c r="AE287" s="81" t="n"/>
      <x:c r="AF287" s="81" t="n"/>
      <x:c r="AG287" s="81" t="n"/>
      <x:c r="AH287" s="81" t="n"/>
      <x:c r="AI287" s="81" t="n"/>
    </x:row>
    <x:row r="288">
      <x:c r="A288" s="81" t="n"/>
      <x:c r="B288" s="81" t="n"/>
      <x:c r="C288" s="81" t="n"/>
      <x:c r="D288" s="81" t="n"/>
      <x:c r="E288" s="81" t="n"/>
      <x:c r="F288" s="81" t="n"/>
      <x:c r="G288" s="81" t="n"/>
      <x:c r="H288" s="81" t="n"/>
      <x:c r="I288" s="81" t="n"/>
      <x:c r="J288" s="81" t="n"/>
      <x:c r="K288" s="81" t="n"/>
      <x:c r="L288" s="81" t="n"/>
      <x:c r="M288" s="81" t="n"/>
      <x:c r="N288" s="81" t="n"/>
      <x:c r="O288" s="81" t="n"/>
      <x:c r="P288" s="81" t="n"/>
      <x:c r="Q288" s="81" t="n"/>
      <x:c r="R288" s="81" t="n"/>
      <x:c r="S288" s="81" t="n"/>
      <x:c r="T288" s="81" t="n"/>
      <x:c r="U288" s="81" t="n"/>
      <x:c r="V288" s="81" t="n"/>
      <x:c r="W288" s="81" t="n"/>
      <x:c r="X288" s="81" t="n"/>
      <x:c r="Y288" s="81" t="n"/>
      <x:c r="Z288" s="81" t="n"/>
      <x:c r="AA288" s="81" t="n"/>
      <x:c r="AB288" s="81" t="n"/>
      <x:c r="AC288" s="81" t="n"/>
      <x:c r="AD288" s="81" t="n"/>
      <x:c r="AE288" s="81" t="n"/>
      <x:c r="AF288" s="81" t="n"/>
      <x:c r="AG288" s="81" t="n"/>
      <x:c r="AH288" s="81" t="n"/>
      <x:c r="AI288" s="81" t="n"/>
    </x:row>
    <x:row r="289">
      <x:c r="A289" s="81" t="n"/>
      <x:c r="B289" s="81" t="n"/>
      <x:c r="C289" s="81" t="n"/>
      <x:c r="D289" s="81" t="n"/>
      <x:c r="E289" s="81" t="n"/>
      <x:c r="F289" s="81" t="n"/>
      <x:c r="G289" s="81" t="n"/>
      <x:c r="H289" s="81" t="n"/>
      <x:c r="I289" s="81" t="n"/>
      <x:c r="J289" s="81" t="n"/>
      <x:c r="K289" s="81" t="n"/>
      <x:c r="L289" s="81" t="n"/>
      <x:c r="M289" s="81" t="n"/>
      <x:c r="N289" s="81" t="n"/>
      <x:c r="O289" s="81" t="n"/>
      <x:c r="P289" s="81" t="n"/>
      <x:c r="Q289" s="81" t="n"/>
      <x:c r="R289" s="81" t="n"/>
      <x:c r="S289" s="81" t="n"/>
      <x:c r="T289" s="81" t="n"/>
      <x:c r="U289" s="81" t="n"/>
      <x:c r="V289" s="81" t="n"/>
      <x:c r="W289" s="81" t="n"/>
      <x:c r="X289" s="81" t="n"/>
      <x:c r="Y289" s="81" t="n"/>
      <x:c r="Z289" s="81" t="n"/>
      <x:c r="AA289" s="81" t="n"/>
      <x:c r="AB289" s="81" t="n"/>
      <x:c r="AC289" s="81" t="n"/>
      <x:c r="AD289" s="81" t="n"/>
      <x:c r="AE289" s="81" t="n"/>
      <x:c r="AF289" s="81" t="n"/>
      <x:c r="AG289" s="81" t="n"/>
      <x:c r="AH289" s="81" t="n"/>
      <x:c r="AI289" s="81" t="n"/>
    </x:row>
    <x:row r="290">
      <x:c r="A290" s="81" t="n"/>
      <x:c r="B290" s="81" t="n"/>
      <x:c r="C290" s="81" t="n"/>
      <x:c r="D290" s="81" t="n"/>
      <x:c r="E290" s="81" t="n"/>
      <x:c r="F290" s="81" t="n"/>
      <x:c r="G290" s="81" t="n"/>
      <x:c r="H290" s="81" t="n"/>
      <x:c r="I290" s="81" t="n"/>
      <x:c r="J290" s="81" t="n"/>
      <x:c r="K290" s="81" t="n"/>
      <x:c r="L290" s="81" t="n"/>
      <x:c r="M290" s="81" t="n"/>
      <x:c r="N290" s="81" t="n"/>
      <x:c r="O290" s="81" t="n"/>
      <x:c r="P290" s="81" t="n"/>
      <x:c r="Q290" s="81" t="n"/>
      <x:c r="R290" s="81" t="n"/>
      <x:c r="S290" s="81" t="n"/>
      <x:c r="T290" s="81" t="n"/>
      <x:c r="U290" s="81" t="n"/>
      <x:c r="V290" s="81" t="n"/>
      <x:c r="W290" s="81" t="n"/>
      <x:c r="X290" s="81" t="n"/>
      <x:c r="Y290" s="81" t="n"/>
      <x:c r="Z290" s="81" t="n"/>
      <x:c r="AA290" s="81" t="n"/>
      <x:c r="AB290" s="81" t="n"/>
      <x:c r="AC290" s="81" t="n"/>
      <x:c r="AD290" s="81" t="n"/>
      <x:c r="AE290" s="81" t="n"/>
      <x:c r="AF290" s="81" t="n"/>
      <x:c r="AG290" s="81" t="n"/>
      <x:c r="AH290" s="81" t="n"/>
      <x:c r="AI290" s="81" t="n"/>
    </x:row>
    <x:row r="291">
      <x:c r="A291" s="81" t="n"/>
      <x:c r="B291" s="81" t="n"/>
      <x:c r="C291" s="81" t="n"/>
      <x:c r="D291" s="81" t="n"/>
      <x:c r="E291" s="81" t="n"/>
      <x:c r="F291" s="81" t="n"/>
      <x:c r="G291" s="81" t="n"/>
      <x:c r="H291" s="81" t="n"/>
      <x:c r="I291" s="81" t="n"/>
      <x:c r="J291" s="81" t="n"/>
      <x:c r="K291" s="81" t="n"/>
      <x:c r="L291" s="81" t="n"/>
      <x:c r="M291" s="81" t="n"/>
      <x:c r="N291" s="81" t="n"/>
      <x:c r="O291" s="81" t="n"/>
      <x:c r="P291" s="81" t="n"/>
      <x:c r="Q291" s="81" t="n"/>
      <x:c r="R291" s="81" t="n"/>
      <x:c r="S291" s="81" t="n"/>
      <x:c r="T291" s="81" t="n"/>
      <x:c r="U291" s="81" t="n"/>
      <x:c r="V291" s="81" t="n"/>
      <x:c r="W291" s="81" t="n"/>
      <x:c r="X291" s="81" t="n"/>
      <x:c r="Y291" s="81" t="n"/>
      <x:c r="Z291" s="81" t="n"/>
      <x:c r="AA291" s="81" t="n"/>
      <x:c r="AB291" s="81" t="n"/>
      <x:c r="AC291" s="81" t="n"/>
      <x:c r="AD291" s="81" t="n"/>
      <x:c r="AE291" s="81" t="n"/>
      <x:c r="AF291" s="81" t="n"/>
      <x:c r="AG291" s="81" t="n"/>
      <x:c r="AH291" s="81" t="n"/>
      <x:c r="AI291" s="81" t="n"/>
    </x:row>
    <x:row r="292">
      <x:c r="A292" s="81" t="n"/>
      <x:c r="B292" s="81" t="n"/>
      <x:c r="C292" s="81" t="n"/>
      <x:c r="D292" s="81" t="n"/>
      <x:c r="E292" s="81" t="n"/>
      <x:c r="F292" s="81" t="n"/>
      <x:c r="G292" s="81" t="n"/>
      <x:c r="H292" s="81" t="n"/>
      <x:c r="I292" s="81" t="n"/>
      <x:c r="J292" s="81" t="n"/>
      <x:c r="K292" s="81" t="n"/>
      <x:c r="L292" s="81" t="n"/>
      <x:c r="M292" s="81" t="n"/>
      <x:c r="N292" s="81" t="n"/>
      <x:c r="O292" s="81" t="n"/>
      <x:c r="P292" s="81" t="n"/>
      <x:c r="Q292" s="81" t="n"/>
      <x:c r="R292" s="81" t="n"/>
      <x:c r="S292" s="81" t="n"/>
      <x:c r="T292" s="81" t="n"/>
      <x:c r="U292" s="81" t="n"/>
      <x:c r="V292" s="81" t="n"/>
      <x:c r="W292" s="81" t="n"/>
      <x:c r="X292" s="81" t="n"/>
      <x:c r="Y292" s="81" t="n"/>
      <x:c r="Z292" s="81" t="n"/>
      <x:c r="AA292" s="81" t="n"/>
      <x:c r="AB292" s="81" t="n"/>
      <x:c r="AC292" s="81" t="n"/>
      <x:c r="AD292" s="81" t="n"/>
      <x:c r="AE292" s="81" t="n"/>
      <x:c r="AF292" s="81" t="n"/>
      <x:c r="AG292" s="81" t="n"/>
      <x:c r="AH292" s="81" t="n"/>
      <x:c r="AI292" s="81" t="n"/>
    </x:row>
    <x:row r="293">
      <x:c r="A293" s="81" t="n"/>
      <x:c r="B293" s="81" t="n"/>
      <x:c r="C293" s="81" t="n"/>
      <x:c r="D293" s="81" t="n"/>
      <x:c r="E293" s="81" t="n"/>
      <x:c r="F293" s="81" t="n"/>
      <x:c r="G293" s="81" t="n"/>
      <x:c r="H293" s="81" t="n"/>
      <x:c r="I293" s="81" t="n"/>
      <x:c r="J293" s="81" t="n"/>
      <x:c r="K293" s="81" t="n"/>
      <x:c r="L293" s="81" t="n"/>
      <x:c r="M293" s="81" t="n"/>
      <x:c r="N293" s="81" t="n"/>
      <x:c r="O293" s="81" t="n"/>
      <x:c r="P293" s="81" t="n"/>
      <x:c r="Q293" s="81" t="n"/>
      <x:c r="R293" s="81" t="n"/>
      <x:c r="S293" s="81" t="n"/>
      <x:c r="T293" s="81" t="n"/>
      <x:c r="U293" s="81" t="n"/>
      <x:c r="V293" s="81" t="n"/>
      <x:c r="W293" s="81" t="n"/>
      <x:c r="X293" s="81" t="n"/>
      <x:c r="Y293" s="81" t="n"/>
      <x:c r="Z293" s="81" t="n"/>
      <x:c r="AA293" s="81" t="n"/>
      <x:c r="AB293" s="81" t="n"/>
      <x:c r="AC293" s="81" t="n"/>
      <x:c r="AD293" s="81" t="n"/>
      <x:c r="AE293" s="81" t="n"/>
      <x:c r="AF293" s="81" t="n"/>
      <x:c r="AG293" s="81" t="n"/>
      <x:c r="AH293" s="81" t="n"/>
      <x:c r="AI293" s="81" t="n"/>
    </x:row>
    <x:row r="294">
      <x:c r="A294" s="81" t="n"/>
      <x:c r="B294" s="81" t="n"/>
      <x:c r="C294" s="81" t="n"/>
      <x:c r="D294" s="81" t="n"/>
      <x:c r="E294" s="81" t="n"/>
      <x:c r="F294" s="81" t="n"/>
      <x:c r="G294" s="81" t="n"/>
      <x:c r="H294" s="81" t="n"/>
      <x:c r="I294" s="81" t="n"/>
      <x:c r="J294" s="81" t="n"/>
      <x:c r="K294" s="81" t="n"/>
      <x:c r="L294" s="81" t="n"/>
      <x:c r="M294" s="81" t="n"/>
      <x:c r="N294" s="81" t="n"/>
      <x:c r="O294" s="81" t="n"/>
      <x:c r="P294" s="81" t="n"/>
      <x:c r="Q294" s="81" t="n"/>
      <x:c r="R294" s="81" t="n"/>
      <x:c r="S294" s="81" t="n"/>
      <x:c r="T294" s="81" t="n"/>
      <x:c r="U294" s="81" t="n"/>
      <x:c r="V294" s="81" t="n"/>
      <x:c r="W294" s="81" t="n"/>
      <x:c r="X294" s="81" t="n"/>
      <x:c r="Y294" s="81" t="n"/>
      <x:c r="Z294" s="81" t="n"/>
      <x:c r="AA294" s="81" t="n"/>
      <x:c r="AB294" s="81" t="n"/>
      <x:c r="AC294" s="81" t="n"/>
      <x:c r="AD294" s="81" t="n"/>
      <x:c r="AE294" s="81" t="n"/>
      <x:c r="AF294" s="81" t="n"/>
      <x:c r="AG294" s="81" t="n"/>
      <x:c r="AH294" s="81" t="n"/>
      <x:c r="AI294" s="81" t="n"/>
    </x:row>
    <x:row r="295">
      <x:c r="A295" s="81" t="n"/>
      <x:c r="B295" s="81" t="n"/>
      <x:c r="C295" s="81" t="n"/>
      <x:c r="D295" s="81" t="n"/>
      <x:c r="E295" s="81" t="n"/>
      <x:c r="F295" s="81" t="n"/>
      <x:c r="G295" s="81" t="n"/>
      <x:c r="H295" s="81" t="n"/>
      <x:c r="I295" s="81" t="n"/>
      <x:c r="J295" s="81" t="n"/>
      <x:c r="K295" s="81" t="n"/>
      <x:c r="L295" s="81" t="n"/>
      <x:c r="M295" s="81" t="n"/>
      <x:c r="N295" s="81" t="n"/>
      <x:c r="O295" s="81" t="n"/>
      <x:c r="P295" s="81" t="n"/>
      <x:c r="Q295" s="81" t="n"/>
      <x:c r="R295" s="81" t="n"/>
      <x:c r="S295" s="81" t="n"/>
      <x:c r="T295" s="81" t="n"/>
      <x:c r="U295" s="81" t="n"/>
      <x:c r="V295" s="81" t="n"/>
      <x:c r="W295" s="81" t="n"/>
      <x:c r="X295" s="81" t="n"/>
      <x:c r="Y295" s="81" t="n"/>
      <x:c r="Z295" s="81" t="n"/>
      <x:c r="AA295" s="81" t="n"/>
      <x:c r="AB295" s="81" t="n"/>
      <x:c r="AC295" s="81" t="n"/>
      <x:c r="AD295" s="81" t="n"/>
      <x:c r="AE295" s="81" t="n"/>
      <x:c r="AF295" s="81" t="n"/>
      <x:c r="AG295" s="81" t="n"/>
      <x:c r="AH295" s="81" t="n"/>
      <x:c r="AI295" s="81" t="n"/>
    </x:row>
    <x:row r="296">
      <x:c r="A296" s="81" t="n"/>
      <x:c r="B296" s="81" t="n"/>
      <x:c r="C296" s="81" t="n"/>
      <x:c r="D296" s="81" t="n"/>
      <x:c r="E296" s="81" t="n"/>
      <x:c r="F296" s="81" t="n"/>
      <x:c r="G296" s="81" t="n"/>
      <x:c r="H296" s="81" t="n"/>
      <x:c r="I296" s="81" t="n"/>
      <x:c r="J296" s="81" t="n"/>
      <x:c r="K296" s="81" t="n"/>
      <x:c r="L296" s="81" t="n"/>
      <x:c r="M296" s="81" t="n"/>
      <x:c r="N296" s="81" t="n"/>
      <x:c r="O296" s="81" t="n"/>
      <x:c r="P296" s="81" t="n"/>
      <x:c r="Q296" s="81" t="n"/>
      <x:c r="R296" s="81" t="n"/>
      <x:c r="S296" s="81" t="n"/>
      <x:c r="T296" s="81" t="n"/>
      <x:c r="U296" s="81" t="n"/>
      <x:c r="V296" s="81" t="n"/>
      <x:c r="W296" s="81" t="n"/>
      <x:c r="X296" s="81" t="n"/>
      <x:c r="Y296" s="81" t="n"/>
      <x:c r="Z296" s="81" t="n"/>
      <x:c r="AA296" s="81" t="n"/>
      <x:c r="AB296" s="81" t="n"/>
      <x:c r="AC296" s="81" t="n"/>
      <x:c r="AD296" s="81" t="n"/>
      <x:c r="AE296" s="81" t="n"/>
      <x:c r="AF296" s="81" t="n"/>
      <x:c r="AG296" s="81" t="n"/>
      <x:c r="AH296" s="81" t="n"/>
      <x:c r="AI296" s="81" t="n"/>
    </x:row>
    <x:row r="297">
      <x:c r="A297" s="81" t="n"/>
      <x:c r="B297" s="81" t="n"/>
      <x:c r="C297" s="81" t="n"/>
      <x:c r="D297" s="81" t="n"/>
      <x:c r="E297" s="81" t="n"/>
      <x:c r="F297" s="81" t="n"/>
      <x:c r="G297" s="81" t="n"/>
      <x:c r="H297" s="81" t="n"/>
      <x:c r="I297" s="81" t="n"/>
      <x:c r="J297" s="81" t="n"/>
      <x:c r="K297" s="81" t="n"/>
      <x:c r="L297" s="81" t="n"/>
      <x:c r="M297" s="81" t="n"/>
      <x:c r="N297" s="81" t="n"/>
      <x:c r="O297" s="81" t="n"/>
      <x:c r="P297" s="81" t="n"/>
      <x:c r="Q297" s="81" t="n"/>
      <x:c r="R297" s="81" t="n"/>
      <x:c r="S297" s="81" t="n"/>
      <x:c r="T297" s="81" t="n"/>
      <x:c r="U297" s="81" t="n"/>
      <x:c r="V297" s="81" t="n"/>
      <x:c r="W297" s="81" t="n"/>
      <x:c r="X297" s="81" t="n"/>
      <x:c r="Y297" s="81" t="n"/>
      <x:c r="Z297" s="81" t="n"/>
      <x:c r="AA297" s="81" t="n"/>
      <x:c r="AB297" s="81" t="n"/>
      <x:c r="AC297" s="81" t="n"/>
      <x:c r="AD297" s="81" t="n"/>
      <x:c r="AE297" s="81" t="n"/>
      <x:c r="AF297" s="81" t="n"/>
      <x:c r="AG297" s="81" t="n"/>
      <x:c r="AH297" s="81" t="n"/>
      <x:c r="AI297" s="81" t="n"/>
    </x:row>
    <x:row r="298">
      <x:c r="A298" s="81" t="n"/>
      <x:c r="B298" s="81" t="n"/>
      <x:c r="C298" s="81" t="n"/>
      <x:c r="D298" s="81" t="n"/>
      <x:c r="E298" s="81" t="n"/>
      <x:c r="F298" s="81" t="n"/>
      <x:c r="G298" s="81" t="n"/>
      <x:c r="H298" s="81" t="n"/>
      <x:c r="I298" s="81" t="n"/>
      <x:c r="J298" s="81" t="n"/>
      <x:c r="K298" s="81" t="n"/>
      <x:c r="L298" s="81" t="n"/>
      <x:c r="M298" s="81" t="n"/>
      <x:c r="N298" s="81" t="n"/>
      <x:c r="O298" s="81" t="n"/>
      <x:c r="P298" s="81" t="n"/>
      <x:c r="Q298" s="81" t="n"/>
      <x:c r="R298" s="81" t="n"/>
      <x:c r="S298" s="81" t="n"/>
      <x:c r="T298" s="81" t="n"/>
      <x:c r="U298" s="81" t="n"/>
      <x:c r="V298" s="81" t="n"/>
      <x:c r="W298" s="81" t="n"/>
      <x:c r="X298" s="81" t="n"/>
      <x:c r="Y298" s="81" t="n"/>
      <x:c r="Z298" s="81" t="n"/>
      <x:c r="AA298" s="81" t="n"/>
      <x:c r="AB298" s="81" t="n"/>
      <x:c r="AC298" s="81" t="n"/>
      <x:c r="AD298" s="81" t="n"/>
      <x:c r="AE298" s="81" t="n"/>
      <x:c r="AF298" s="81" t="n"/>
      <x:c r="AG298" s="81" t="n"/>
      <x:c r="AH298" s="81" t="n"/>
      <x:c r="AI298" s="81" t="n"/>
    </x:row>
    <x:row r="299">
      <x:c r="A299" s="81" t="n"/>
      <x:c r="B299" s="81" t="n"/>
      <x:c r="C299" s="81" t="n"/>
      <x:c r="D299" s="81" t="n"/>
      <x:c r="E299" s="81" t="n"/>
      <x:c r="F299" s="81" t="n"/>
      <x:c r="G299" s="81" t="n"/>
      <x:c r="H299" s="81" t="n"/>
      <x:c r="I299" s="81" t="n"/>
      <x:c r="J299" s="81" t="n"/>
      <x:c r="K299" s="81" t="n"/>
      <x:c r="L299" s="81" t="n"/>
      <x:c r="M299" s="81" t="n"/>
      <x:c r="N299" s="81" t="n"/>
      <x:c r="O299" s="81" t="n"/>
      <x:c r="P299" s="81" t="n"/>
      <x:c r="Q299" s="81" t="n"/>
      <x:c r="R299" s="81" t="n"/>
      <x:c r="S299" s="81" t="n"/>
      <x:c r="T299" s="81" t="n"/>
      <x:c r="U299" s="81" t="n"/>
      <x:c r="V299" s="81" t="n"/>
      <x:c r="W299" s="81" t="n"/>
      <x:c r="X299" s="81" t="n"/>
      <x:c r="Y299" s="81" t="n"/>
      <x:c r="Z299" s="81" t="n"/>
      <x:c r="AA299" s="81" t="n"/>
      <x:c r="AB299" s="81" t="n"/>
      <x:c r="AC299" s="81" t="n"/>
      <x:c r="AD299" s="81" t="n"/>
      <x:c r="AE299" s="81" t="n"/>
      <x:c r="AF299" s="81" t="n"/>
      <x:c r="AG299" s="81" t="n"/>
      <x:c r="AH299" s="81" t="n"/>
      <x:c r="AI299" s="81" t="n"/>
    </x:row>
    <x:row r="300">
      <x:c r="A300" s="81" t="n"/>
      <x:c r="B300" s="81" t="n"/>
      <x:c r="C300" s="81" t="n"/>
      <x:c r="D300" s="81" t="n"/>
      <x:c r="E300" s="81" t="n"/>
      <x:c r="F300" s="81" t="n"/>
      <x:c r="G300" s="81" t="n"/>
      <x:c r="H300" s="81" t="n"/>
      <x:c r="I300" s="81" t="n"/>
      <x:c r="J300" s="81" t="n"/>
      <x:c r="K300" s="81" t="n"/>
      <x:c r="L300" s="81" t="n"/>
      <x:c r="M300" s="81" t="n"/>
      <x:c r="N300" s="81" t="n"/>
      <x:c r="O300" s="81" t="n"/>
      <x:c r="P300" s="81" t="n"/>
      <x:c r="Q300" s="81" t="n"/>
      <x:c r="R300" s="81" t="n"/>
      <x:c r="S300" s="81" t="n"/>
      <x:c r="T300" s="81" t="n"/>
      <x:c r="U300" s="81" t="n"/>
      <x:c r="V300" s="81" t="n"/>
      <x:c r="W300" s="81" t="n"/>
      <x:c r="X300" s="81" t="n"/>
      <x:c r="Y300" s="81" t="n"/>
      <x:c r="Z300" s="81" t="n"/>
      <x:c r="AA300" s="81" t="n"/>
      <x:c r="AB300" s="81" t="n"/>
      <x:c r="AC300" s="81" t="n"/>
      <x:c r="AD300" s="81" t="n"/>
      <x:c r="AE300" s="81" t="n"/>
      <x:c r="AF300" s="81" t="n"/>
      <x:c r="AG300" s="81" t="n"/>
      <x:c r="AH300" s="81" t="n"/>
      <x:c r="AI300" s="81" t="n"/>
    </x:row>
    <x:row r="301">
      <x:c r="A301" s="81" t="n"/>
      <x:c r="B301" s="81" t="n"/>
      <x:c r="C301" s="81" t="n"/>
      <x:c r="D301" s="81" t="n"/>
      <x:c r="E301" s="81" t="n"/>
      <x:c r="F301" s="81" t="n"/>
      <x:c r="G301" s="81" t="n"/>
      <x:c r="H301" s="81" t="n"/>
      <x:c r="I301" s="81" t="n"/>
      <x:c r="J301" s="81" t="n"/>
      <x:c r="K301" s="81" t="n"/>
      <x:c r="L301" s="81" t="n"/>
      <x:c r="M301" s="81" t="n"/>
      <x:c r="N301" s="81" t="n"/>
      <x:c r="O301" s="81" t="n"/>
      <x:c r="P301" s="81" t="n"/>
      <x:c r="Q301" s="81" t="n"/>
      <x:c r="R301" s="81" t="n"/>
      <x:c r="S301" s="81" t="n"/>
      <x:c r="T301" s="81" t="n"/>
      <x:c r="U301" s="81" t="n"/>
      <x:c r="V301" s="81" t="n"/>
      <x:c r="W301" s="81" t="n"/>
      <x:c r="X301" s="81" t="n"/>
      <x:c r="Y301" s="81" t="n"/>
      <x:c r="Z301" s="81" t="n"/>
      <x:c r="AA301" s="81" t="n"/>
      <x:c r="AB301" s="81" t="n"/>
      <x:c r="AC301" s="81" t="n"/>
      <x:c r="AD301" s="81" t="n"/>
      <x:c r="AE301" s="81" t="n"/>
      <x:c r="AF301" s="81" t="n"/>
      <x:c r="AG301" s="81" t="n"/>
      <x:c r="AH301" s="81" t="n"/>
      <x:c r="AI301" s="81" t="n"/>
    </x:row>
    <x:row r="302">
      <x:c r="A302" s="81" t="n"/>
      <x:c r="B302" s="81" t="n"/>
      <x:c r="C302" s="81" t="n"/>
      <x:c r="D302" s="81" t="n"/>
      <x:c r="E302" s="81" t="n"/>
      <x:c r="F302" s="81" t="n"/>
      <x:c r="G302" s="81" t="n"/>
      <x:c r="H302" s="81" t="n"/>
      <x:c r="I302" s="81" t="n"/>
      <x:c r="J302" s="81" t="n"/>
      <x:c r="K302" s="81" t="n"/>
      <x:c r="L302" s="81" t="n"/>
      <x:c r="M302" s="81" t="n"/>
      <x:c r="N302" s="81" t="n"/>
      <x:c r="O302" s="81" t="n"/>
      <x:c r="P302" s="81" t="n"/>
      <x:c r="Q302" s="81" t="n"/>
      <x:c r="R302" s="81" t="n"/>
      <x:c r="S302" s="81" t="n"/>
      <x:c r="T302" s="81" t="n"/>
      <x:c r="U302" s="81" t="n"/>
      <x:c r="V302" s="81" t="n"/>
      <x:c r="W302" s="81" t="n"/>
      <x:c r="X302" s="81" t="n"/>
      <x:c r="Y302" s="81" t="n"/>
      <x:c r="Z302" s="81" t="n"/>
      <x:c r="AA302" s="81" t="n"/>
      <x:c r="AB302" s="81" t="n"/>
      <x:c r="AC302" s="81" t="n"/>
      <x:c r="AD302" s="81" t="n"/>
      <x:c r="AE302" s="81" t="n"/>
      <x:c r="AF302" s="81" t="n"/>
      <x:c r="AG302" s="81" t="n"/>
      <x:c r="AH302" s="81" t="n"/>
      <x:c r="AI302" s="81" t="n"/>
    </x:row>
    <x:row r="303">
      <x:c r="A303" s="81" t="n"/>
      <x:c r="B303" s="81" t="n"/>
      <x:c r="C303" s="81" t="n"/>
      <x:c r="D303" s="81" t="n"/>
      <x:c r="E303" s="81" t="n"/>
      <x:c r="F303" s="81" t="n"/>
      <x:c r="G303" s="81" t="n"/>
      <x:c r="H303" s="81" t="n"/>
      <x:c r="I303" s="81" t="n"/>
      <x:c r="J303" s="81" t="n"/>
      <x:c r="K303" s="81" t="n"/>
      <x:c r="L303" s="81" t="n"/>
      <x:c r="M303" s="81" t="n"/>
      <x:c r="N303" s="81" t="n"/>
      <x:c r="O303" s="81" t="n"/>
      <x:c r="P303" s="81" t="n"/>
      <x:c r="Q303" s="81" t="n"/>
      <x:c r="R303" s="81" t="n"/>
      <x:c r="S303" s="81" t="n"/>
      <x:c r="T303" s="81" t="n"/>
      <x:c r="U303" s="81" t="n"/>
      <x:c r="V303" s="81" t="n"/>
      <x:c r="W303" s="81" t="n"/>
      <x:c r="X303" s="81" t="n"/>
      <x:c r="Y303" s="81" t="n"/>
      <x:c r="Z303" s="81" t="n"/>
      <x:c r="AA303" s="81" t="n"/>
      <x:c r="AB303" s="81" t="n"/>
      <x:c r="AC303" s="81" t="n"/>
      <x:c r="AD303" s="81" t="n"/>
      <x:c r="AE303" s="81" t="n"/>
      <x:c r="AF303" s="81" t="n"/>
      <x:c r="AG303" s="81" t="n"/>
      <x:c r="AH303" s="81" t="n"/>
      <x:c r="AI303" s="81" t="n"/>
    </x:row>
    <x:row r="304">
      <x:c r="A304" s="81" t="n"/>
      <x:c r="B304" s="81" t="n"/>
      <x:c r="C304" s="81" t="n"/>
      <x:c r="D304" s="81" t="n"/>
      <x:c r="E304" s="81" t="n"/>
      <x:c r="F304" s="81" t="n"/>
      <x:c r="G304" s="81" t="n"/>
      <x:c r="H304" s="81" t="n"/>
      <x:c r="I304" s="81" t="n"/>
      <x:c r="J304" s="81" t="n"/>
      <x:c r="K304" s="81" t="n"/>
      <x:c r="L304" s="81" t="n"/>
      <x:c r="M304" s="81" t="n"/>
      <x:c r="N304" s="81" t="n"/>
      <x:c r="O304" s="81" t="n"/>
      <x:c r="P304" s="81" t="n"/>
      <x:c r="Q304" s="81" t="n"/>
      <x:c r="R304" s="81" t="n"/>
      <x:c r="S304" s="81" t="n"/>
      <x:c r="T304" s="81" t="n"/>
      <x:c r="U304" s="81" t="n"/>
      <x:c r="V304" s="81" t="n"/>
      <x:c r="W304" s="81" t="n"/>
      <x:c r="X304" s="81" t="n"/>
      <x:c r="Y304" s="81" t="n"/>
      <x:c r="Z304" s="81" t="n"/>
      <x:c r="AA304" s="81" t="n"/>
      <x:c r="AB304" s="81" t="n"/>
      <x:c r="AC304" s="81" t="n"/>
      <x:c r="AD304" s="81" t="n"/>
      <x:c r="AE304" s="81" t="n"/>
      <x:c r="AF304" s="81" t="n"/>
      <x:c r="AG304" s="81" t="n"/>
      <x:c r="AH304" s="81" t="n"/>
      <x:c r="AI304" s="81" t="n"/>
    </x:row>
    <x:row r="305">
      <x:c r="A305" s="81" t="n"/>
      <x:c r="B305" s="81" t="n"/>
      <x:c r="C305" s="81" t="n"/>
      <x:c r="D305" s="81" t="n"/>
      <x:c r="E305" s="81" t="n"/>
      <x:c r="F305" s="81" t="n"/>
      <x:c r="G305" s="81" t="n"/>
      <x:c r="H305" s="81" t="n"/>
      <x:c r="I305" s="81" t="n"/>
      <x:c r="J305" s="81" t="n"/>
      <x:c r="K305" s="81" t="n"/>
      <x:c r="L305" s="81" t="n"/>
      <x:c r="M305" s="81" t="n"/>
      <x:c r="N305" s="81" t="n"/>
      <x:c r="O305" s="81" t="n"/>
      <x:c r="P305" s="81" t="n"/>
      <x:c r="Q305" s="81" t="n"/>
      <x:c r="R305" s="81" t="n"/>
      <x:c r="S305" s="81" t="n"/>
      <x:c r="T305" s="81" t="n"/>
      <x:c r="U305" s="81" t="n"/>
      <x:c r="V305" s="81" t="n"/>
      <x:c r="W305" s="81" t="n"/>
      <x:c r="X305" s="81" t="n"/>
      <x:c r="Y305" s="81" t="n"/>
      <x:c r="Z305" s="81" t="n"/>
      <x:c r="AA305" s="81" t="n"/>
      <x:c r="AB305" s="81" t="n"/>
      <x:c r="AC305" s="81" t="n"/>
      <x:c r="AD305" s="81" t="n"/>
      <x:c r="AE305" s="81" t="n"/>
      <x:c r="AF305" s="81" t="n"/>
      <x:c r="AG305" s="81" t="n"/>
      <x:c r="AH305" s="81" t="n"/>
      <x:c r="AI305" s="81" t="n"/>
    </x:row>
    <x:row r="306">
      <x:c r="A306" s="81" t="n"/>
      <x:c r="B306" s="81" t="n"/>
      <x:c r="C306" s="81" t="n"/>
      <x:c r="D306" s="81" t="n"/>
      <x:c r="E306" s="81" t="n"/>
      <x:c r="F306" s="81" t="n"/>
      <x:c r="G306" s="81" t="n"/>
      <x:c r="H306" s="81" t="n"/>
      <x:c r="I306" s="81" t="n"/>
      <x:c r="J306" s="81" t="n"/>
      <x:c r="K306" s="81" t="n"/>
      <x:c r="L306" s="81" t="n"/>
      <x:c r="M306" s="81" t="n"/>
      <x:c r="N306" s="81" t="n"/>
      <x:c r="O306" s="81" t="n"/>
      <x:c r="P306" s="81" t="n"/>
      <x:c r="Q306" s="81" t="n"/>
      <x:c r="R306" s="81" t="n"/>
      <x:c r="S306" s="81" t="n"/>
      <x:c r="T306" s="81" t="n"/>
      <x:c r="U306" s="81" t="n"/>
      <x:c r="V306" s="81" t="n"/>
      <x:c r="W306" s="81" t="n"/>
      <x:c r="X306" s="81" t="n"/>
      <x:c r="Y306" s="81" t="n"/>
      <x:c r="Z306" s="81" t="n"/>
      <x:c r="AA306" s="81" t="n"/>
      <x:c r="AB306" s="81" t="n"/>
      <x:c r="AC306" s="81" t="n"/>
      <x:c r="AD306" s="81" t="n"/>
      <x:c r="AE306" s="81" t="n"/>
      <x:c r="AF306" s="81" t="n"/>
      <x:c r="AG306" s="81" t="n"/>
      <x:c r="AH306" s="81" t="n"/>
      <x:c r="AI306" s="81" t="n"/>
    </x:row>
    <x:row r="307">
      <x:c r="A307" s="81" t="n"/>
      <x:c r="B307" s="81" t="n"/>
      <x:c r="C307" s="81" t="n"/>
      <x:c r="D307" s="81" t="n"/>
      <x:c r="E307" s="81" t="n"/>
      <x:c r="F307" s="81" t="n"/>
      <x:c r="G307" s="81" t="n"/>
      <x:c r="H307" s="81" t="n"/>
      <x:c r="I307" s="81" t="n"/>
      <x:c r="J307" s="81" t="n"/>
      <x:c r="K307" s="81" t="n"/>
      <x:c r="L307" s="81" t="n"/>
      <x:c r="M307" s="81" t="n"/>
      <x:c r="N307" s="81" t="n"/>
      <x:c r="O307" s="81" t="n"/>
      <x:c r="P307" s="81" t="n"/>
      <x:c r="Q307" s="81" t="n"/>
      <x:c r="R307" s="81" t="n"/>
      <x:c r="S307" s="81" t="n"/>
      <x:c r="T307" s="81" t="n"/>
      <x:c r="U307" s="81" t="n"/>
      <x:c r="V307" s="81" t="n"/>
      <x:c r="W307" s="81" t="n"/>
      <x:c r="X307" s="81" t="n"/>
      <x:c r="Y307" s="81" t="n"/>
      <x:c r="Z307" s="81" t="n"/>
      <x:c r="AA307" s="81" t="n"/>
      <x:c r="AB307" s="81" t="n"/>
      <x:c r="AC307" s="81" t="n"/>
      <x:c r="AD307" s="81" t="n"/>
      <x:c r="AE307" s="81" t="n"/>
      <x:c r="AF307" s="81" t="n"/>
      <x:c r="AG307" s="81" t="n"/>
      <x:c r="AH307" s="81" t="n"/>
      <x:c r="AI307" s="81" t="n"/>
    </x:row>
    <x:row r="308">
      <x:c r="A308" s="81" t="n"/>
      <x:c r="B308" s="81" t="n"/>
      <x:c r="C308" s="81" t="n"/>
      <x:c r="D308" s="81" t="n"/>
      <x:c r="E308" s="81" t="n"/>
      <x:c r="F308" s="81" t="n"/>
      <x:c r="G308" s="81" t="n"/>
      <x:c r="H308" s="81" t="n"/>
      <x:c r="I308" s="81" t="n"/>
      <x:c r="J308" s="81" t="n"/>
      <x:c r="K308" s="81" t="n"/>
      <x:c r="L308" s="81" t="n"/>
      <x:c r="M308" s="81" t="n"/>
      <x:c r="N308" s="81" t="n"/>
      <x:c r="O308" s="81" t="n"/>
      <x:c r="P308" s="81" t="n"/>
      <x:c r="Q308" s="81" t="n"/>
      <x:c r="R308" s="81" t="n"/>
      <x:c r="S308" s="81" t="n"/>
      <x:c r="T308" s="81" t="n"/>
      <x:c r="U308" s="81" t="n"/>
      <x:c r="V308" s="81" t="n"/>
      <x:c r="W308" s="81" t="n"/>
      <x:c r="X308" s="81" t="n"/>
      <x:c r="Y308" s="81" t="n"/>
      <x:c r="Z308" s="81" t="n"/>
      <x:c r="AA308" s="81" t="n"/>
      <x:c r="AB308" s="81" t="n"/>
      <x:c r="AC308" s="81" t="n"/>
      <x:c r="AD308" s="81" t="n"/>
      <x:c r="AE308" s="81" t="n"/>
      <x:c r="AF308" s="81" t="n"/>
      <x:c r="AG308" s="81" t="n"/>
      <x:c r="AH308" s="81" t="n"/>
      <x:c r="AI308" s="81" t="n"/>
    </x:row>
    <x:row r="309">
      <x:c r="A309" s="81" t="n"/>
      <x:c r="B309" s="81" t="n"/>
      <x:c r="C309" s="81" t="n"/>
      <x:c r="D309" s="81" t="n"/>
      <x:c r="E309" s="81" t="n"/>
      <x:c r="F309" s="81" t="n"/>
      <x:c r="G309" s="81" t="n"/>
      <x:c r="H309" s="81" t="n"/>
      <x:c r="I309" s="81" t="n"/>
      <x:c r="J309" s="81" t="n"/>
      <x:c r="K309" s="81" t="n"/>
      <x:c r="L309" s="81" t="n"/>
      <x:c r="M309" s="81" t="n"/>
      <x:c r="N309" s="81" t="n"/>
      <x:c r="O309" s="81" t="n"/>
      <x:c r="P309" s="81" t="n"/>
      <x:c r="Q309" s="81" t="n"/>
      <x:c r="R309" s="81" t="n"/>
      <x:c r="S309" s="81" t="n"/>
      <x:c r="T309" s="81" t="n"/>
      <x:c r="U309" s="81" t="n"/>
      <x:c r="V309" s="81" t="n"/>
      <x:c r="W309" s="81" t="n"/>
      <x:c r="X309" s="81" t="n"/>
      <x:c r="Y309" s="81" t="n"/>
      <x:c r="Z309" s="81" t="n"/>
      <x:c r="AA309" s="81" t="n"/>
      <x:c r="AB309" s="81" t="n"/>
      <x:c r="AC309" s="81" t="n"/>
      <x:c r="AD309" s="81" t="n"/>
      <x:c r="AE309" s="81" t="n"/>
      <x:c r="AF309" s="81" t="n"/>
      <x:c r="AG309" s="81" t="n"/>
      <x:c r="AH309" s="81" t="n"/>
      <x:c r="AI309" s="81" t="n"/>
    </x:row>
    <x:row r="310">
      <x:c r="A310" s="81" t="n"/>
      <x:c r="B310" s="81" t="n"/>
      <x:c r="C310" s="81" t="n"/>
      <x:c r="D310" s="81" t="n"/>
      <x:c r="E310" s="81" t="n"/>
      <x:c r="F310" s="81" t="n"/>
      <x:c r="G310" s="81" t="n"/>
      <x:c r="H310" s="81" t="n"/>
      <x:c r="I310" s="81" t="n"/>
      <x:c r="J310" s="81" t="n"/>
      <x:c r="K310" s="81" t="n"/>
      <x:c r="L310" s="81" t="n"/>
      <x:c r="M310" s="81" t="n"/>
      <x:c r="N310" s="81" t="n"/>
      <x:c r="O310" s="81" t="n"/>
      <x:c r="P310" s="81" t="n"/>
      <x:c r="Q310" s="81" t="n"/>
      <x:c r="R310" s="81" t="n"/>
      <x:c r="S310" s="81" t="n"/>
      <x:c r="T310" s="81" t="n"/>
      <x:c r="U310" s="81" t="n"/>
      <x:c r="V310" s="81" t="n"/>
      <x:c r="W310" s="81" t="n"/>
      <x:c r="X310" s="81" t="n"/>
      <x:c r="Y310" s="81" t="n"/>
      <x:c r="Z310" s="81" t="n"/>
      <x:c r="AA310" s="81" t="n"/>
      <x:c r="AB310" s="81" t="n"/>
      <x:c r="AC310" s="81" t="n"/>
      <x:c r="AD310" s="81" t="n"/>
      <x:c r="AE310" s="81" t="n"/>
      <x:c r="AF310" s="81" t="n"/>
      <x:c r="AG310" s="81" t="n"/>
      <x:c r="AH310" s="81" t="n"/>
      <x:c r="AI310" s="81" t="n"/>
    </x:row>
    <x:row r="311">
      <x:c r="A311" s="81" t="n"/>
      <x:c r="B311" s="81" t="n"/>
      <x:c r="C311" s="81" t="n"/>
      <x:c r="D311" s="81" t="n"/>
      <x:c r="E311" s="81" t="n"/>
      <x:c r="F311" s="81" t="n"/>
      <x:c r="G311" s="81" t="n"/>
      <x:c r="H311" s="81" t="n"/>
      <x:c r="I311" s="81" t="n"/>
      <x:c r="J311" s="81" t="n"/>
      <x:c r="K311" s="81" t="n"/>
      <x:c r="L311" s="81" t="n"/>
      <x:c r="M311" s="81" t="n"/>
      <x:c r="N311" s="81" t="n"/>
      <x:c r="O311" s="81" t="n"/>
      <x:c r="P311" s="81" t="n"/>
      <x:c r="Q311" s="81" t="n"/>
      <x:c r="R311" s="81" t="n"/>
      <x:c r="S311" s="81" t="n"/>
      <x:c r="T311" s="81" t="n"/>
      <x:c r="U311" s="81" t="n"/>
      <x:c r="V311" s="81" t="n"/>
      <x:c r="W311" s="81" t="n"/>
      <x:c r="X311" s="81" t="n"/>
      <x:c r="Y311" s="81" t="n"/>
      <x:c r="Z311" s="81" t="n"/>
      <x:c r="AA311" s="81" t="n"/>
      <x:c r="AB311" s="81" t="n"/>
      <x:c r="AC311" s="81" t="n"/>
      <x:c r="AD311" s="81" t="n"/>
      <x:c r="AE311" s="81" t="n"/>
      <x:c r="AF311" s="81" t="n"/>
      <x:c r="AG311" s="81" t="n"/>
      <x:c r="AH311" s="81" t="n"/>
      <x:c r="AI311" s="81" t="n"/>
    </x:row>
    <x:row r="312">
      <x:c r="A312" s="81" t="n"/>
      <x:c r="B312" s="81" t="n"/>
      <x:c r="C312" s="81" t="n"/>
      <x:c r="D312" s="81" t="n"/>
      <x:c r="E312" s="81" t="n"/>
      <x:c r="F312" s="81" t="n"/>
      <x:c r="G312" s="81" t="n"/>
      <x:c r="H312" s="81" t="n"/>
      <x:c r="I312" s="81" t="n"/>
      <x:c r="J312" s="81" t="n"/>
      <x:c r="K312" s="81" t="n"/>
      <x:c r="L312" s="81" t="n"/>
      <x:c r="M312" s="81" t="n"/>
      <x:c r="N312" s="81" t="n"/>
      <x:c r="O312" s="81" t="n"/>
      <x:c r="P312" s="81" t="n"/>
      <x:c r="Q312" s="81" t="n"/>
      <x:c r="R312" s="81" t="n"/>
      <x:c r="S312" s="81" t="n"/>
      <x:c r="T312" s="81" t="n"/>
      <x:c r="U312" s="81" t="n"/>
      <x:c r="V312" s="81" t="n"/>
      <x:c r="W312" s="81" t="n"/>
      <x:c r="X312" s="81" t="n"/>
      <x:c r="Y312" s="81" t="n"/>
      <x:c r="Z312" s="81" t="n"/>
      <x:c r="AA312" s="81" t="n"/>
      <x:c r="AB312" s="81" t="n"/>
      <x:c r="AC312" s="81" t="n"/>
      <x:c r="AD312" s="81" t="n"/>
      <x:c r="AE312" s="81" t="n"/>
      <x:c r="AF312" s="81" t="n"/>
      <x:c r="AG312" s="81" t="n"/>
      <x:c r="AH312" s="81" t="n"/>
      <x:c r="AI312" s="81" t="n"/>
    </x:row>
    <x:row r="313">
      <x:c r="A313" s="81" t="n"/>
      <x:c r="B313" s="81" t="n"/>
      <x:c r="C313" s="81" t="n"/>
      <x:c r="D313" s="81" t="n"/>
      <x:c r="E313" s="81" t="n"/>
      <x:c r="F313" s="81" t="n"/>
      <x:c r="G313" s="81" t="n"/>
      <x:c r="H313" s="81" t="n"/>
      <x:c r="I313" s="81" t="n"/>
      <x:c r="J313" s="81" t="n"/>
      <x:c r="K313" s="81" t="n"/>
      <x:c r="L313" s="81" t="n"/>
      <x:c r="M313" s="81" t="n"/>
      <x:c r="N313" s="81" t="n"/>
      <x:c r="O313" s="81" t="n"/>
      <x:c r="P313" s="81" t="n"/>
      <x:c r="Q313" s="81" t="n"/>
      <x:c r="R313" s="81" t="n"/>
      <x:c r="S313" s="81" t="n"/>
      <x:c r="T313" s="81" t="n"/>
      <x:c r="U313" s="81" t="n"/>
      <x:c r="V313" s="81" t="n"/>
      <x:c r="W313" s="81" t="n"/>
      <x:c r="X313" s="81" t="n"/>
      <x:c r="Y313" s="81" t="n"/>
      <x:c r="Z313" s="81" t="n"/>
      <x:c r="AA313" s="81" t="n"/>
      <x:c r="AB313" s="81" t="n"/>
      <x:c r="AC313" s="81" t="n"/>
      <x:c r="AD313" s="81" t="n"/>
      <x:c r="AE313" s="81" t="n"/>
      <x:c r="AF313" s="81" t="n"/>
      <x:c r="AG313" s="81" t="n"/>
      <x:c r="AH313" s="81" t="n"/>
      <x:c r="AI313" s="81" t="n"/>
    </x:row>
    <x:row r="314">
      <x:c r="A314" s="81" t="n"/>
      <x:c r="B314" s="81" t="n"/>
      <x:c r="C314" s="81" t="n"/>
      <x:c r="D314" s="81" t="n"/>
      <x:c r="E314" s="81" t="n"/>
      <x:c r="F314" s="81" t="n"/>
      <x:c r="G314" s="81" t="n"/>
      <x:c r="H314" s="81" t="n"/>
      <x:c r="I314" s="81" t="n"/>
      <x:c r="J314" s="81" t="n"/>
      <x:c r="K314" s="81" t="n"/>
      <x:c r="L314" s="81" t="n"/>
      <x:c r="M314" s="81" t="n"/>
      <x:c r="N314" s="81" t="n"/>
      <x:c r="O314" s="81" t="n"/>
      <x:c r="P314" s="81" t="n"/>
      <x:c r="Q314" s="81" t="n"/>
      <x:c r="R314" s="81" t="n"/>
      <x:c r="S314" s="81" t="n"/>
      <x:c r="T314" s="81" t="n"/>
      <x:c r="U314" s="81" t="n"/>
      <x:c r="V314" s="81" t="n"/>
      <x:c r="W314" s="81" t="n"/>
      <x:c r="X314" s="81" t="n"/>
      <x:c r="Y314" s="81" t="n"/>
      <x:c r="Z314" s="81" t="n"/>
      <x:c r="AA314" s="81" t="n"/>
      <x:c r="AB314" s="81" t="n"/>
      <x:c r="AC314" s="81" t="n"/>
      <x:c r="AD314" s="81" t="n"/>
      <x:c r="AE314" s="81" t="n"/>
      <x:c r="AF314" s="81" t="n"/>
      <x:c r="AG314" s="81" t="n"/>
      <x:c r="AH314" s="81" t="n"/>
      <x:c r="AI314" s="81" t="n"/>
    </x:row>
    <x:row r="315">
      <x:c r="A315" s="81" t="n"/>
      <x:c r="B315" s="81" t="n"/>
      <x:c r="C315" s="81" t="n"/>
      <x:c r="D315" s="81" t="n"/>
      <x:c r="E315" s="81" t="n"/>
      <x:c r="F315" s="81" t="n"/>
      <x:c r="G315" s="81" t="n"/>
      <x:c r="H315" s="81" t="n"/>
      <x:c r="I315" s="81" t="n"/>
      <x:c r="J315" s="81" t="n"/>
      <x:c r="K315" s="81" t="n"/>
      <x:c r="L315" s="81" t="n"/>
      <x:c r="M315" s="81" t="n"/>
      <x:c r="N315" s="81" t="n"/>
      <x:c r="O315" s="81" t="n"/>
      <x:c r="P315" s="81" t="n"/>
      <x:c r="Q315" s="81" t="n"/>
      <x:c r="R315" s="81" t="n"/>
      <x:c r="S315" s="81" t="n"/>
      <x:c r="T315" s="81" t="n"/>
      <x:c r="U315" s="81" t="n"/>
      <x:c r="V315" s="81" t="n"/>
      <x:c r="W315" s="81" t="n"/>
      <x:c r="X315" s="81" t="n"/>
      <x:c r="Y315" s="81" t="n"/>
      <x:c r="Z315" s="81" t="n"/>
      <x:c r="AA315" s="81" t="n"/>
      <x:c r="AB315" s="81" t="n"/>
      <x:c r="AC315" s="81" t="n"/>
      <x:c r="AD315" s="81" t="n"/>
      <x:c r="AE315" s="81" t="n"/>
      <x:c r="AF315" s="81" t="n"/>
      <x:c r="AG315" s="81" t="n"/>
      <x:c r="AH315" s="81" t="n"/>
      <x:c r="AI315" s="81" t="n"/>
    </x:row>
    <x:row r="316">
      <x:c r="A316" s="81" t="n"/>
      <x:c r="B316" s="81" t="n"/>
      <x:c r="C316" s="81" t="n"/>
      <x:c r="D316" s="81" t="n"/>
      <x:c r="E316" s="81" t="n"/>
      <x:c r="F316" s="81" t="n"/>
      <x:c r="G316" s="81" t="n"/>
      <x:c r="H316" s="81" t="n"/>
      <x:c r="I316" s="81" t="n"/>
      <x:c r="J316" s="81" t="n"/>
      <x:c r="K316" s="81" t="n"/>
      <x:c r="L316" s="81" t="n"/>
      <x:c r="M316" s="81" t="n"/>
      <x:c r="N316" s="81" t="n"/>
      <x:c r="O316" s="81" t="n"/>
      <x:c r="P316" s="81" t="n"/>
      <x:c r="Q316" s="81" t="n"/>
      <x:c r="R316" s="81" t="n"/>
      <x:c r="S316" s="81" t="n"/>
      <x:c r="T316" s="81" t="n"/>
      <x:c r="U316" s="81" t="n"/>
      <x:c r="V316" s="81" t="n"/>
      <x:c r="W316" s="81" t="n"/>
      <x:c r="X316" s="81" t="n"/>
      <x:c r="Y316" s="81" t="n"/>
      <x:c r="Z316" s="81" t="n"/>
      <x:c r="AA316" s="81" t="n"/>
      <x:c r="AB316" s="81" t="n"/>
      <x:c r="AC316" s="81" t="n"/>
      <x:c r="AD316" s="81" t="n"/>
      <x:c r="AE316" s="81" t="n"/>
      <x:c r="AF316" s="81" t="n"/>
      <x:c r="AG316" s="81" t="n"/>
      <x:c r="AH316" s="81" t="n"/>
      <x:c r="AI316" s="81" t="n"/>
    </x:row>
    <x:row r="317">
      <x:c r="A317" s="81" t="n"/>
      <x:c r="B317" s="81" t="n"/>
      <x:c r="C317" s="81" t="n"/>
      <x:c r="D317" s="81" t="n"/>
      <x:c r="E317" s="81" t="n"/>
      <x:c r="F317" s="81" t="n"/>
      <x:c r="G317" s="81" t="n"/>
      <x:c r="H317" s="81" t="n"/>
      <x:c r="I317" s="81" t="n"/>
      <x:c r="J317" s="81" t="n"/>
      <x:c r="K317" s="81" t="n"/>
      <x:c r="L317" s="81" t="n"/>
      <x:c r="M317" s="81" t="n"/>
      <x:c r="N317" s="81" t="n"/>
      <x:c r="O317" s="81" t="n"/>
      <x:c r="P317" s="81" t="n"/>
      <x:c r="Q317" s="81" t="n"/>
      <x:c r="R317" s="81" t="n"/>
      <x:c r="S317" s="81" t="n"/>
      <x:c r="T317" s="81" t="n"/>
      <x:c r="U317" s="81" t="n"/>
      <x:c r="V317" s="81" t="n"/>
      <x:c r="W317" s="81" t="n"/>
      <x:c r="X317" s="81" t="n"/>
      <x:c r="Y317" s="81" t="n"/>
      <x:c r="Z317" s="81" t="n"/>
      <x:c r="AA317" s="81" t="n"/>
      <x:c r="AB317" s="81" t="n"/>
      <x:c r="AC317" s="81" t="n"/>
      <x:c r="AD317" s="81" t="n"/>
      <x:c r="AE317" s="81" t="n"/>
      <x:c r="AF317" s="81" t="n"/>
      <x:c r="AG317" s="81" t="n"/>
      <x:c r="AH317" s="81" t="n"/>
      <x:c r="AI317" s="81" t="n"/>
    </x:row>
    <x:row r="318">
      <x:c r="A318" s="81" t="n"/>
      <x:c r="B318" s="81" t="n"/>
      <x:c r="C318" s="81" t="n"/>
      <x:c r="D318" s="81" t="n"/>
      <x:c r="E318" s="81" t="n"/>
      <x:c r="F318" s="81" t="n"/>
      <x:c r="G318" s="81" t="n"/>
      <x:c r="H318" s="81" t="n"/>
      <x:c r="I318" s="81" t="n"/>
      <x:c r="J318" s="81" t="n"/>
      <x:c r="K318" s="81" t="n"/>
      <x:c r="L318" s="81" t="n"/>
      <x:c r="M318" s="81" t="n"/>
      <x:c r="N318" s="81" t="n"/>
      <x:c r="O318" s="81" t="n"/>
      <x:c r="P318" s="81" t="n"/>
      <x:c r="Q318" s="81" t="n"/>
      <x:c r="R318" s="81" t="n"/>
      <x:c r="S318" s="81" t="n"/>
      <x:c r="T318" s="81" t="n"/>
      <x:c r="U318" s="81" t="n"/>
      <x:c r="V318" s="81" t="n"/>
      <x:c r="W318" s="81" t="n"/>
      <x:c r="X318" s="81" t="n"/>
      <x:c r="Y318" s="81" t="n"/>
      <x:c r="Z318" s="81" t="n"/>
      <x:c r="AA318" s="81" t="n"/>
      <x:c r="AB318" s="81" t="n"/>
      <x:c r="AC318" s="81" t="n"/>
      <x:c r="AD318" s="81" t="n"/>
      <x:c r="AE318" s="81" t="n"/>
      <x:c r="AF318" s="81" t="n"/>
      <x:c r="AG318" s="81" t="n"/>
      <x:c r="AH318" s="81" t="n"/>
      <x:c r="AI318" s="81" t="n"/>
    </x:row>
    <x:row r="319">
      <x:c r="A319" s="81" t="n"/>
      <x:c r="B319" s="81" t="n"/>
      <x:c r="C319" s="81" t="n"/>
      <x:c r="D319" s="81" t="n"/>
      <x:c r="E319" s="81" t="n"/>
      <x:c r="F319" s="81" t="n"/>
      <x:c r="G319" s="81" t="n"/>
      <x:c r="H319" s="81" t="n"/>
      <x:c r="I319" s="81" t="n"/>
      <x:c r="J319" s="81" t="n"/>
      <x:c r="K319" s="81" t="n"/>
      <x:c r="L319" s="81" t="n"/>
      <x:c r="M319" s="81" t="n"/>
      <x:c r="N319" s="81" t="n"/>
      <x:c r="O319" s="81" t="n"/>
      <x:c r="P319" s="81" t="n"/>
      <x:c r="Q319" s="81" t="n"/>
      <x:c r="R319" s="81" t="n"/>
      <x:c r="S319" s="81" t="n"/>
      <x:c r="T319" s="81" t="n"/>
      <x:c r="U319" s="81" t="n"/>
      <x:c r="V319" s="81" t="n"/>
      <x:c r="W319" s="81" t="n"/>
      <x:c r="X319" s="81" t="n"/>
      <x:c r="Y319" s="81" t="n"/>
      <x:c r="Z319" s="81" t="n"/>
      <x:c r="AA319" s="81" t="n"/>
      <x:c r="AB319" s="81" t="n"/>
      <x:c r="AC319" s="81" t="n"/>
      <x:c r="AD319" s="81" t="n"/>
      <x:c r="AE319" s="81" t="n"/>
      <x:c r="AF319" s="81" t="n"/>
      <x:c r="AG319" s="81" t="n"/>
      <x:c r="AH319" s="81" t="n"/>
      <x:c r="AI319" s="81" t="n"/>
    </x:row>
    <x:row r="320">
      <x:c r="A320" s="81" t="n"/>
      <x:c r="B320" s="81" t="n"/>
      <x:c r="C320" s="81" t="n"/>
      <x:c r="D320" s="81" t="n"/>
      <x:c r="E320" s="81" t="n"/>
      <x:c r="F320" s="81" t="n"/>
      <x:c r="G320" s="81" t="n"/>
      <x:c r="H320" s="81" t="n"/>
      <x:c r="I320" s="81" t="n"/>
      <x:c r="J320" s="81" t="n"/>
      <x:c r="K320" s="81" t="n"/>
      <x:c r="L320" s="81" t="n"/>
      <x:c r="M320" s="81" t="n"/>
      <x:c r="N320" s="81" t="n"/>
      <x:c r="O320" s="81" t="n"/>
      <x:c r="P320" s="81" t="n"/>
      <x:c r="Q320" s="81" t="n"/>
      <x:c r="R320" s="81" t="n"/>
      <x:c r="S320" s="81" t="n"/>
      <x:c r="T320" s="81" t="n"/>
      <x:c r="U320" s="81" t="n"/>
      <x:c r="V320" s="81" t="n"/>
      <x:c r="W320" s="81" t="n"/>
      <x:c r="X320" s="81" t="n"/>
      <x:c r="Y320" s="81" t="n"/>
      <x:c r="Z320" s="81" t="n"/>
      <x:c r="AA320" s="81" t="n"/>
      <x:c r="AB320" s="81" t="n"/>
      <x:c r="AC320" s="81" t="n"/>
      <x:c r="AD320" s="81" t="n"/>
      <x:c r="AE320" s="81" t="n"/>
      <x:c r="AF320" s="81" t="n"/>
      <x:c r="AG320" s="81" t="n"/>
      <x:c r="AH320" s="81" t="n"/>
      <x:c r="AI320" s="81" t="n"/>
    </x:row>
    <x:row r="321">
      <x:c r="A321" s="81" t="n"/>
      <x:c r="B321" s="81" t="n"/>
      <x:c r="C321" s="81" t="n"/>
      <x:c r="D321" s="81" t="n"/>
      <x:c r="E321" s="81" t="n"/>
      <x:c r="F321" s="81" t="n"/>
      <x:c r="G321" s="81" t="n"/>
      <x:c r="H321" s="81" t="n"/>
      <x:c r="I321" s="81" t="n"/>
      <x:c r="J321" s="81" t="n"/>
      <x:c r="K321" s="81" t="n"/>
      <x:c r="L321" s="81" t="n"/>
      <x:c r="M321" s="81" t="n"/>
      <x:c r="N321" s="81" t="n"/>
      <x:c r="O321" s="81" t="n"/>
      <x:c r="P321" s="81" t="n"/>
      <x:c r="Q321" s="81" t="n"/>
      <x:c r="R321" s="81" t="n"/>
      <x:c r="S321" s="81" t="n"/>
      <x:c r="T321" s="81" t="n"/>
      <x:c r="U321" s="81" t="n"/>
      <x:c r="V321" s="81" t="n"/>
      <x:c r="W321" s="81" t="n"/>
      <x:c r="X321" s="81" t="n"/>
      <x:c r="Y321" s="81" t="n"/>
      <x:c r="Z321" s="81" t="n"/>
      <x:c r="AA321" s="81" t="n"/>
      <x:c r="AB321" s="81" t="n"/>
      <x:c r="AC321" s="81" t="n"/>
      <x:c r="AD321" s="81" t="n"/>
      <x:c r="AE321" s="81" t="n"/>
      <x:c r="AF321" s="81" t="n"/>
      <x:c r="AG321" s="81" t="n"/>
      <x:c r="AH321" s="81" t="n"/>
      <x:c r="AI321" s="81" t="n"/>
    </x:row>
    <x:row r="322">
      <x:c r="A322" s="81" t="n"/>
      <x:c r="B322" s="81" t="n"/>
      <x:c r="C322" s="81" t="n"/>
      <x:c r="D322" s="81" t="n"/>
      <x:c r="E322" s="81" t="n"/>
      <x:c r="F322" s="81" t="n"/>
      <x:c r="G322" s="81" t="n"/>
      <x:c r="H322" s="81" t="n"/>
      <x:c r="I322" s="81" t="n"/>
      <x:c r="J322" s="81" t="n"/>
      <x:c r="K322" s="81" t="n"/>
      <x:c r="L322" s="81" t="n"/>
      <x:c r="M322" s="81" t="n"/>
      <x:c r="N322" s="81" t="n"/>
      <x:c r="O322" s="81" t="n"/>
      <x:c r="P322" s="81" t="n"/>
      <x:c r="Q322" s="81" t="n"/>
      <x:c r="R322" s="81" t="n"/>
      <x:c r="S322" s="81" t="n"/>
      <x:c r="T322" s="81" t="n"/>
      <x:c r="U322" s="81" t="n"/>
      <x:c r="V322" s="81" t="n"/>
      <x:c r="W322" s="81" t="n"/>
      <x:c r="X322" s="81" t="n"/>
      <x:c r="Y322" s="81" t="n"/>
      <x:c r="Z322" s="81" t="n"/>
      <x:c r="AA322" s="81" t="n"/>
      <x:c r="AB322" s="81" t="n"/>
      <x:c r="AC322" s="81" t="n"/>
      <x:c r="AD322" s="81" t="n"/>
      <x:c r="AE322" s="81" t="n"/>
      <x:c r="AF322" s="81" t="n"/>
      <x:c r="AG322" s="81" t="n"/>
      <x:c r="AH322" s="81" t="n"/>
      <x:c r="AI322" s="81" t="n"/>
    </x:row>
    <x:row r="323">
      <x:c r="A323" s="81" t="n"/>
      <x:c r="B323" s="81" t="n"/>
      <x:c r="C323" s="81" t="n"/>
      <x:c r="D323" s="81" t="n"/>
      <x:c r="E323" s="81" t="n"/>
      <x:c r="F323" s="81" t="n"/>
      <x:c r="G323" s="81" t="n"/>
      <x:c r="H323" s="81" t="n"/>
      <x:c r="I323" s="81" t="n"/>
      <x:c r="J323" s="81" t="n"/>
      <x:c r="K323" s="81" t="n"/>
      <x:c r="L323" s="81" t="n"/>
      <x:c r="M323" s="81" t="n"/>
      <x:c r="N323" s="81" t="n"/>
      <x:c r="O323" s="81" t="n"/>
      <x:c r="P323" s="81" t="n"/>
      <x:c r="Q323" s="81" t="n"/>
      <x:c r="R323" s="81" t="n"/>
      <x:c r="S323" s="81" t="n"/>
      <x:c r="T323" s="81" t="n"/>
      <x:c r="U323" s="81" t="n"/>
      <x:c r="V323" s="81" t="n"/>
      <x:c r="W323" s="81" t="n"/>
      <x:c r="X323" s="81" t="n"/>
      <x:c r="Y323" s="81" t="n"/>
      <x:c r="Z323" s="81" t="n"/>
      <x:c r="AA323" s="81" t="n"/>
      <x:c r="AB323" s="81" t="n"/>
      <x:c r="AC323" s="81" t="n"/>
      <x:c r="AD323" s="81" t="n"/>
      <x:c r="AE323" s="81" t="n"/>
      <x:c r="AF323" s="81" t="n"/>
      <x:c r="AG323" s="81" t="n"/>
      <x:c r="AH323" s="81" t="n"/>
      <x:c r="AI323" s="81" t="n"/>
    </x:row>
    <x:row r="324">
      <x:c r="A324" s="81" t="n"/>
      <x:c r="B324" s="81" t="n"/>
      <x:c r="C324" s="81" t="n"/>
      <x:c r="D324" s="81" t="n"/>
      <x:c r="E324" s="81" t="n"/>
      <x:c r="F324" s="81" t="n"/>
      <x:c r="G324" s="81" t="n"/>
      <x:c r="H324" s="81" t="n"/>
      <x:c r="I324" s="81" t="n"/>
      <x:c r="J324" s="81" t="n"/>
      <x:c r="K324" s="81" t="n"/>
      <x:c r="L324" s="81" t="n"/>
      <x:c r="M324" s="81" t="n"/>
      <x:c r="N324" s="81" t="n"/>
      <x:c r="O324" s="81" t="n"/>
      <x:c r="P324" s="81" t="n"/>
      <x:c r="Q324" s="81" t="n"/>
      <x:c r="R324" s="81" t="n"/>
      <x:c r="S324" s="81" t="n"/>
      <x:c r="T324" s="81" t="n"/>
      <x:c r="U324" s="81" t="n"/>
      <x:c r="V324" s="81" t="n"/>
      <x:c r="W324" s="81" t="n"/>
      <x:c r="X324" s="81" t="n"/>
      <x:c r="Y324" s="81" t="n"/>
      <x:c r="Z324" s="81" t="n"/>
      <x:c r="AA324" s="81" t="n"/>
      <x:c r="AB324" s="81" t="n"/>
      <x:c r="AC324" s="81" t="n"/>
      <x:c r="AD324" s="81" t="n"/>
      <x:c r="AE324" s="81" t="n"/>
      <x:c r="AF324" s="81" t="n"/>
      <x:c r="AG324" s="81" t="n"/>
      <x:c r="AH324" s="81" t="n"/>
      <x:c r="AI324" s="81" t="n"/>
    </x:row>
    <x:row r="325">
      <x:c r="A325" s="81" t="n"/>
      <x:c r="B325" s="81" t="n"/>
      <x:c r="C325" s="81" t="n"/>
      <x:c r="D325" s="81" t="n"/>
      <x:c r="E325" s="81" t="n"/>
      <x:c r="F325" s="81" t="n"/>
      <x:c r="G325" s="81" t="n"/>
      <x:c r="H325" s="81" t="n"/>
      <x:c r="I325" s="81" t="n"/>
      <x:c r="J325" s="81" t="n"/>
      <x:c r="K325" s="81" t="n"/>
      <x:c r="L325" s="81" t="n"/>
      <x:c r="M325" s="81" t="n"/>
      <x:c r="N325" s="81" t="n"/>
      <x:c r="O325" s="81" t="n"/>
      <x:c r="P325" s="81" t="n"/>
      <x:c r="Q325" s="81" t="n"/>
      <x:c r="R325" s="81" t="n"/>
      <x:c r="S325" s="81" t="n"/>
      <x:c r="T325" s="81" t="n"/>
      <x:c r="U325" s="81" t="n"/>
      <x:c r="V325" s="81" t="n"/>
      <x:c r="W325" s="81" t="n"/>
      <x:c r="X325" s="81" t="n"/>
      <x:c r="Y325" s="81" t="n"/>
      <x:c r="Z325" s="81" t="n"/>
      <x:c r="AA325" s="81" t="n"/>
      <x:c r="AB325" s="81" t="n"/>
      <x:c r="AC325" s="81" t="n"/>
      <x:c r="AD325" s="81" t="n"/>
      <x:c r="AE325" s="81" t="n"/>
      <x:c r="AF325" s="81" t="n"/>
      <x:c r="AG325" s="81" t="n"/>
      <x:c r="AH325" s="81" t="n"/>
      <x:c r="AI325" s="81" t="n"/>
    </x:row>
    <x:row r="326">
      <x:c r="A326" s="81" t="n"/>
      <x:c r="B326" s="81" t="n"/>
      <x:c r="C326" s="81" t="n"/>
      <x:c r="D326" s="81" t="n"/>
      <x:c r="E326" s="81" t="n"/>
      <x:c r="F326" s="81" t="n"/>
      <x:c r="G326" s="81" t="n"/>
      <x:c r="H326" s="81" t="n"/>
      <x:c r="I326" s="81" t="n"/>
      <x:c r="J326" s="81" t="n"/>
      <x:c r="K326" s="81" t="n"/>
      <x:c r="L326" s="81" t="n"/>
      <x:c r="M326" s="81" t="n"/>
      <x:c r="N326" s="81" t="n"/>
      <x:c r="O326" s="81" t="n"/>
      <x:c r="P326" s="81" t="n"/>
      <x:c r="Q326" s="81" t="n"/>
      <x:c r="R326" s="81" t="n"/>
      <x:c r="S326" s="81" t="n"/>
      <x:c r="T326" s="81" t="n"/>
      <x:c r="U326" s="81" t="n"/>
      <x:c r="V326" s="81" t="n"/>
      <x:c r="W326" s="81" t="n"/>
      <x:c r="X326" s="81" t="n"/>
      <x:c r="Y326" s="81" t="n"/>
      <x:c r="Z326" s="81" t="n"/>
      <x:c r="AA326" s="81" t="n"/>
      <x:c r="AB326" s="81" t="n"/>
      <x:c r="AC326" s="81" t="n"/>
      <x:c r="AD326" s="81" t="n"/>
      <x:c r="AE326" s="81" t="n"/>
      <x:c r="AF326" s="81" t="n"/>
      <x:c r="AG326" s="81" t="n"/>
      <x:c r="AH326" s="81" t="n"/>
      <x:c r="AI326" s="81" t="n"/>
    </x:row>
    <x:row r="327">
      <x:c r="A327" s="81" t="n"/>
      <x:c r="B327" s="81" t="n"/>
      <x:c r="C327" s="81" t="n"/>
      <x:c r="D327" s="81" t="n"/>
      <x:c r="E327" s="81" t="n"/>
      <x:c r="F327" s="81" t="n"/>
      <x:c r="G327" s="81" t="n"/>
      <x:c r="H327" s="81" t="n"/>
      <x:c r="I327" s="81" t="n"/>
      <x:c r="J327" s="81" t="n"/>
      <x:c r="K327" s="81" t="n"/>
      <x:c r="L327" s="81" t="n"/>
      <x:c r="M327" s="81" t="n"/>
      <x:c r="N327" s="81" t="n"/>
      <x:c r="O327" s="81" t="n"/>
      <x:c r="P327" s="81" t="n"/>
      <x:c r="Q327" s="81" t="n"/>
      <x:c r="R327" s="81" t="n"/>
      <x:c r="S327" s="81" t="n"/>
      <x:c r="T327" s="81" t="n"/>
      <x:c r="U327" s="81" t="n"/>
      <x:c r="V327" s="81" t="n"/>
      <x:c r="W327" s="81" t="n"/>
      <x:c r="X327" s="81" t="n"/>
      <x:c r="Y327" s="81" t="n"/>
      <x:c r="Z327" s="81" t="n"/>
      <x:c r="AA327" s="81" t="n"/>
      <x:c r="AB327" s="81" t="n"/>
      <x:c r="AC327" s="81" t="n"/>
      <x:c r="AD327" s="81" t="n"/>
      <x:c r="AE327" s="81" t="n"/>
      <x:c r="AF327" s="81" t="n"/>
      <x:c r="AG327" s="81" t="n"/>
      <x:c r="AH327" s="81" t="n"/>
      <x:c r="AI327" s="81" t="n"/>
    </x:row>
    <x:row r="328">
      <x:c r="A328" s="81" t="n"/>
      <x:c r="B328" s="81" t="n"/>
      <x:c r="C328" s="81" t="n"/>
      <x:c r="D328" s="81" t="n"/>
      <x:c r="E328" s="81" t="n"/>
      <x:c r="F328" s="81" t="n"/>
      <x:c r="G328" s="81" t="n"/>
      <x:c r="H328" s="81" t="n"/>
      <x:c r="I328" s="81" t="n"/>
      <x:c r="J328" s="81" t="n"/>
      <x:c r="K328" s="81" t="n"/>
      <x:c r="L328" s="81" t="n"/>
      <x:c r="M328" s="81" t="n"/>
      <x:c r="N328" s="81" t="n"/>
      <x:c r="O328" s="81" t="n"/>
      <x:c r="P328" s="81" t="n"/>
      <x:c r="Q328" s="81" t="n"/>
      <x:c r="R328" s="81" t="n"/>
      <x:c r="S328" s="81" t="n"/>
      <x:c r="T328" s="81" t="n"/>
      <x:c r="U328" s="81" t="n"/>
      <x:c r="V328" s="81" t="n"/>
      <x:c r="W328" s="81" t="n"/>
      <x:c r="X328" s="81" t="n"/>
      <x:c r="Y328" s="81" t="n"/>
      <x:c r="Z328" s="81" t="n"/>
      <x:c r="AA328" s="81" t="n"/>
      <x:c r="AB328" s="81" t="n"/>
      <x:c r="AC328" s="81" t="n"/>
      <x:c r="AD328" s="81" t="n"/>
      <x:c r="AE328" s="81" t="n"/>
      <x:c r="AF328" s="81" t="n"/>
      <x:c r="AG328" s="81" t="n"/>
      <x:c r="AH328" s="81" t="n"/>
      <x:c r="AI328" s="81" t="n"/>
    </x:row>
    <x:row r="329">
      <x:c r="A329" s="81" t="n"/>
      <x:c r="B329" s="81" t="n"/>
      <x:c r="C329" s="81" t="n"/>
      <x:c r="D329" s="81" t="n"/>
      <x:c r="E329" s="81" t="n"/>
      <x:c r="F329" s="81" t="n"/>
      <x:c r="G329" s="81" t="n"/>
      <x:c r="H329" s="81" t="n"/>
      <x:c r="I329" s="81" t="n"/>
      <x:c r="J329" s="81" t="n"/>
      <x:c r="K329" s="81" t="n"/>
      <x:c r="L329" s="81" t="n"/>
      <x:c r="M329" s="81" t="n"/>
      <x:c r="N329" s="81" t="n"/>
      <x:c r="O329" s="81" t="n"/>
      <x:c r="P329" s="81" t="n"/>
      <x:c r="Q329" s="81" t="n"/>
      <x:c r="R329" s="81" t="n"/>
      <x:c r="S329" s="81" t="n"/>
      <x:c r="T329" s="81" t="n"/>
      <x:c r="U329" s="81" t="n"/>
      <x:c r="V329" s="81" t="n"/>
      <x:c r="W329" s="81" t="n"/>
      <x:c r="X329" s="81" t="n"/>
      <x:c r="Y329" s="81" t="n"/>
      <x:c r="Z329" s="81" t="n"/>
      <x:c r="AA329" s="81" t="n"/>
      <x:c r="AB329" s="81" t="n"/>
      <x:c r="AC329" s="81" t="n"/>
      <x:c r="AD329" s="81" t="n"/>
      <x:c r="AE329" s="81" t="n"/>
      <x:c r="AF329" s="81" t="n"/>
      <x:c r="AG329" s="81" t="n"/>
      <x:c r="AH329" s="81" t="n"/>
      <x:c r="AI329" s="81" t="n"/>
    </x:row>
    <x:row r="330">
      <x:c r="A330" s="81" t="n"/>
      <x:c r="B330" s="81" t="n"/>
      <x:c r="C330" s="81" t="n"/>
      <x:c r="D330" s="81" t="n"/>
      <x:c r="E330" s="81" t="n"/>
      <x:c r="F330" s="81" t="n"/>
      <x:c r="G330" s="81" t="n"/>
      <x:c r="H330" s="81" t="n"/>
      <x:c r="I330" s="81" t="n"/>
      <x:c r="J330" s="81" t="n"/>
      <x:c r="K330" s="81" t="n"/>
      <x:c r="L330" s="81" t="n"/>
      <x:c r="M330" s="81" t="n"/>
      <x:c r="N330" s="81" t="n"/>
      <x:c r="O330" s="81" t="n"/>
      <x:c r="P330" s="81" t="n"/>
      <x:c r="Q330" s="81" t="n"/>
      <x:c r="R330" s="81" t="n"/>
      <x:c r="S330" s="81" t="n"/>
      <x:c r="T330" s="81" t="n"/>
      <x:c r="U330" s="81" t="n"/>
      <x:c r="V330" s="81" t="n"/>
      <x:c r="W330" s="81" t="n"/>
      <x:c r="X330" s="81" t="n"/>
      <x:c r="Y330" s="81" t="n"/>
      <x:c r="Z330" s="81" t="n"/>
      <x:c r="AA330" s="81" t="n"/>
      <x:c r="AB330" s="81" t="n"/>
      <x:c r="AC330" s="81" t="n"/>
      <x:c r="AD330" s="81" t="n"/>
      <x:c r="AE330" s="81" t="n"/>
      <x:c r="AF330" s="81" t="n"/>
      <x:c r="AG330" s="81" t="n"/>
      <x:c r="AH330" s="81" t="n"/>
      <x:c r="AI330" s="81" t="n"/>
    </x:row>
    <x:row r="331">
      <x:c r="A331" s="81" t="n"/>
      <x:c r="B331" s="81" t="n"/>
      <x:c r="C331" s="81" t="n"/>
      <x:c r="D331" s="81" t="n"/>
      <x:c r="E331" s="81" t="n"/>
      <x:c r="F331" s="81" t="n"/>
      <x:c r="G331" s="81" t="n"/>
      <x:c r="H331" s="81" t="n"/>
      <x:c r="I331" s="81" t="n"/>
      <x:c r="J331" s="81" t="n"/>
      <x:c r="K331" s="81" t="n"/>
      <x:c r="L331" s="81" t="n"/>
      <x:c r="M331" s="81" t="n"/>
      <x:c r="N331" s="81" t="n"/>
      <x:c r="O331" s="81" t="n"/>
      <x:c r="P331" s="81" t="n"/>
      <x:c r="Q331" s="81" t="n"/>
      <x:c r="R331" s="81" t="n"/>
      <x:c r="S331" s="81" t="n"/>
      <x:c r="T331" s="81" t="n"/>
      <x:c r="U331" s="81" t="n"/>
      <x:c r="V331" s="81" t="n"/>
      <x:c r="W331" s="81" t="n"/>
      <x:c r="X331" s="81" t="n"/>
      <x:c r="Y331" s="81" t="n"/>
      <x:c r="Z331" s="81" t="n"/>
      <x:c r="AA331" s="81" t="n"/>
      <x:c r="AB331" s="81" t="n"/>
      <x:c r="AC331" s="81" t="n"/>
      <x:c r="AD331" s="81" t="n"/>
      <x:c r="AE331" s="81" t="n"/>
      <x:c r="AF331" s="81" t="n"/>
      <x:c r="AG331" s="81" t="n"/>
      <x:c r="AH331" s="81" t="n"/>
      <x:c r="AI331" s="81" t="n"/>
    </x:row>
    <x:row r="332">
      <x:c r="A332" s="81" t="n"/>
      <x:c r="B332" s="81" t="n"/>
      <x:c r="C332" s="81" t="n"/>
      <x:c r="D332" s="81" t="n"/>
      <x:c r="E332" s="81" t="n"/>
      <x:c r="F332" s="81" t="n"/>
      <x:c r="G332" s="81" t="n"/>
      <x:c r="H332" s="81" t="n"/>
      <x:c r="I332" s="81" t="n"/>
      <x:c r="J332" s="81" t="n"/>
      <x:c r="K332" s="81" t="n"/>
      <x:c r="L332" s="81" t="n"/>
      <x:c r="M332" s="81" t="n"/>
      <x:c r="N332" s="81" t="n"/>
      <x:c r="O332" s="81" t="n"/>
      <x:c r="P332" s="81" t="n"/>
      <x:c r="Q332" s="81" t="n"/>
      <x:c r="R332" s="81" t="n"/>
      <x:c r="S332" s="81" t="n"/>
      <x:c r="T332" s="81" t="n"/>
      <x:c r="U332" s="81" t="n"/>
      <x:c r="V332" s="81" t="n"/>
      <x:c r="W332" s="81" t="n"/>
      <x:c r="X332" s="81" t="n"/>
      <x:c r="Y332" s="81" t="n"/>
      <x:c r="Z332" s="81" t="n"/>
      <x:c r="AA332" s="81" t="n"/>
      <x:c r="AB332" s="81" t="n"/>
      <x:c r="AC332" s="81" t="n"/>
      <x:c r="AD332" s="81" t="n"/>
      <x:c r="AE332" s="81" t="n"/>
      <x:c r="AF332" s="81" t="n"/>
      <x:c r="AG332" s="81" t="n"/>
      <x:c r="AH332" s="81" t="n"/>
      <x:c r="AI332" s="81" t="n"/>
    </x:row>
    <x:row r="333">
      <x:c r="A333" s="81" t="n"/>
      <x:c r="B333" s="81" t="n"/>
      <x:c r="C333" s="81" t="n"/>
      <x:c r="D333" s="81" t="n"/>
      <x:c r="E333" s="81" t="n"/>
      <x:c r="F333" s="81" t="n"/>
      <x:c r="G333" s="81" t="n"/>
      <x:c r="H333" s="81" t="n"/>
      <x:c r="I333" s="81" t="n"/>
      <x:c r="J333" s="81" t="n"/>
      <x:c r="K333" s="81" t="n"/>
      <x:c r="L333" s="81" t="n"/>
      <x:c r="M333" s="81" t="n"/>
      <x:c r="N333" s="81" t="n"/>
      <x:c r="O333" s="81" t="n"/>
      <x:c r="P333" s="81" t="n"/>
      <x:c r="Q333" s="81" t="n"/>
      <x:c r="R333" s="81" t="n"/>
      <x:c r="S333" s="81" t="n"/>
      <x:c r="T333" s="81" t="n"/>
      <x:c r="U333" s="81" t="n"/>
      <x:c r="V333" s="81" t="n"/>
      <x:c r="W333" s="81" t="n"/>
      <x:c r="X333" s="81" t="n"/>
      <x:c r="Y333" s="81" t="n"/>
      <x:c r="Z333" s="81" t="n"/>
      <x:c r="AA333" s="81" t="n"/>
      <x:c r="AB333" s="81" t="n"/>
      <x:c r="AC333" s="81" t="n"/>
      <x:c r="AD333" s="81" t="n"/>
      <x:c r="AE333" s="81" t="n"/>
      <x:c r="AF333" s="81" t="n"/>
      <x:c r="AG333" s="81" t="n"/>
      <x:c r="AH333" s="81" t="n"/>
      <x:c r="AI333" s="81" t="n"/>
    </x:row>
    <x:row r="334">
      <x:c r="A334" s="81" t="n"/>
      <x:c r="B334" s="81" t="n"/>
      <x:c r="C334" s="81" t="n"/>
      <x:c r="D334" s="81" t="n"/>
      <x:c r="E334" s="81" t="n"/>
      <x:c r="F334" s="81" t="n"/>
      <x:c r="G334" s="81" t="n"/>
      <x:c r="H334" s="81" t="n"/>
      <x:c r="I334" s="81" t="n"/>
      <x:c r="J334" s="81" t="n"/>
      <x:c r="K334" s="81" t="n"/>
      <x:c r="L334" s="81" t="n"/>
      <x:c r="M334" s="81" t="n"/>
      <x:c r="N334" s="81" t="n"/>
      <x:c r="O334" s="81" t="n"/>
      <x:c r="P334" s="81" t="n"/>
      <x:c r="Q334" s="81" t="n"/>
      <x:c r="R334" s="81" t="n"/>
      <x:c r="S334" s="81" t="n"/>
      <x:c r="T334" s="81" t="n"/>
      <x:c r="U334" s="81" t="n"/>
      <x:c r="V334" s="81" t="n"/>
      <x:c r="W334" s="81" t="n"/>
      <x:c r="X334" s="81" t="n"/>
      <x:c r="Y334" s="81" t="n"/>
      <x:c r="Z334" s="81" t="n"/>
      <x:c r="AA334" s="81" t="n"/>
      <x:c r="AB334" s="81" t="n"/>
      <x:c r="AC334" s="81" t="n"/>
      <x:c r="AD334" s="81" t="n"/>
      <x:c r="AE334" s="81" t="n"/>
      <x:c r="AF334" s="81" t="n"/>
      <x:c r="AG334" s="81" t="n"/>
      <x:c r="AH334" s="81" t="n"/>
      <x:c r="AI334" s="81" t="n"/>
    </x:row>
    <x:row r="335">
      <x:c r="A335" s="81" t="n"/>
      <x:c r="B335" s="81" t="n"/>
      <x:c r="C335" s="81" t="n"/>
      <x:c r="D335" s="81" t="n"/>
      <x:c r="E335" s="81" t="n"/>
      <x:c r="F335" s="81" t="n"/>
      <x:c r="G335" s="81" t="n"/>
      <x:c r="H335" s="81" t="n"/>
      <x:c r="I335" s="81" t="n"/>
      <x:c r="J335" s="81" t="n"/>
      <x:c r="K335" s="81" t="n"/>
      <x:c r="L335" s="81" t="n"/>
      <x:c r="M335" s="81" t="n"/>
      <x:c r="N335" s="81" t="n"/>
      <x:c r="O335" s="81" t="n"/>
      <x:c r="P335" s="81" t="n"/>
      <x:c r="Q335" s="81" t="n"/>
      <x:c r="R335" s="81" t="n"/>
      <x:c r="S335" s="81" t="n"/>
      <x:c r="T335" s="81" t="n"/>
      <x:c r="U335" s="81" t="n"/>
      <x:c r="V335" s="81" t="n"/>
      <x:c r="W335" s="81" t="n"/>
      <x:c r="X335" s="81" t="n"/>
      <x:c r="Y335" s="81" t="n"/>
      <x:c r="Z335" s="81" t="n"/>
      <x:c r="AA335" s="81" t="n"/>
      <x:c r="AB335" s="81" t="n"/>
      <x:c r="AC335" s="81" t="n"/>
      <x:c r="AD335" s="81" t="n"/>
      <x:c r="AE335" s="81" t="n"/>
      <x:c r="AF335" s="81" t="n"/>
      <x:c r="AG335" s="81" t="n"/>
      <x:c r="AH335" s="81" t="n"/>
      <x:c r="AI335" s="81" t="n"/>
    </x:row>
    <x:row r="336">
      <x:c r="A336" s="81" t="n"/>
      <x:c r="B336" s="81" t="n"/>
      <x:c r="C336" s="81" t="n"/>
      <x:c r="D336" s="81" t="n"/>
      <x:c r="E336" s="81" t="n"/>
      <x:c r="F336" s="81" t="n"/>
      <x:c r="G336" s="81" t="n"/>
      <x:c r="H336" s="81" t="n"/>
      <x:c r="I336" s="81" t="n"/>
      <x:c r="J336" s="81" t="n"/>
      <x:c r="K336" s="81" t="n"/>
      <x:c r="L336" s="81" t="n"/>
      <x:c r="M336" s="81" t="n"/>
      <x:c r="N336" s="81" t="n"/>
      <x:c r="O336" s="81" t="n"/>
      <x:c r="P336" s="81" t="n"/>
      <x:c r="Q336" s="81" t="n"/>
      <x:c r="R336" s="81" t="n"/>
      <x:c r="S336" s="81" t="n"/>
      <x:c r="T336" s="81" t="n"/>
      <x:c r="U336" s="81" t="n"/>
      <x:c r="V336" s="81" t="n"/>
      <x:c r="W336" s="81" t="n"/>
      <x:c r="X336" s="81" t="n"/>
      <x:c r="Y336" s="81" t="n"/>
      <x:c r="Z336" s="81" t="n"/>
      <x:c r="AA336" s="81" t="n"/>
      <x:c r="AB336" s="81" t="n"/>
      <x:c r="AC336" s="81" t="n"/>
      <x:c r="AD336" s="81" t="n"/>
      <x:c r="AE336" s="81" t="n"/>
      <x:c r="AF336" s="81" t="n"/>
      <x:c r="AG336" s="81" t="n"/>
      <x:c r="AH336" s="81" t="n"/>
      <x:c r="AI336" s="81" t="n"/>
    </x:row>
    <x:row r="337">
      <x:c r="A337" s="81" t="n"/>
      <x:c r="B337" s="81" t="n"/>
      <x:c r="C337" s="81" t="n"/>
      <x:c r="D337" s="81" t="n"/>
      <x:c r="E337" s="81" t="n"/>
      <x:c r="F337" s="81" t="n"/>
      <x:c r="G337" s="81" t="n"/>
      <x:c r="H337" s="81" t="n"/>
      <x:c r="I337" s="81" t="n"/>
      <x:c r="J337" s="81" t="n"/>
      <x:c r="K337" s="81" t="n"/>
      <x:c r="L337" s="81" t="n"/>
      <x:c r="M337" s="81" t="n"/>
      <x:c r="N337" s="81" t="n"/>
      <x:c r="O337" s="81" t="n"/>
      <x:c r="P337" s="81" t="n"/>
      <x:c r="Q337" s="81" t="n"/>
      <x:c r="R337" s="81" t="n"/>
      <x:c r="S337" s="81" t="n"/>
      <x:c r="T337" s="81" t="n"/>
      <x:c r="U337" s="81" t="n"/>
      <x:c r="V337" s="81" t="n"/>
      <x:c r="W337" s="81" t="n"/>
      <x:c r="X337" s="81" t="n"/>
      <x:c r="Y337" s="81" t="n"/>
      <x:c r="Z337" s="81" t="n"/>
      <x:c r="AA337" s="81" t="n"/>
      <x:c r="AB337" s="81" t="n"/>
      <x:c r="AC337" s="81" t="n"/>
      <x:c r="AD337" s="81" t="n"/>
      <x:c r="AE337" s="81" t="n"/>
      <x:c r="AF337" s="81" t="n"/>
      <x:c r="AG337" s="81" t="n"/>
      <x:c r="AH337" s="81" t="n"/>
      <x:c r="AI337" s="81" t="n"/>
    </x:row>
    <x:row r="338">
      <x:c r="A338" s="81" t="n"/>
      <x:c r="B338" s="81" t="n"/>
      <x:c r="C338" s="81" t="n"/>
      <x:c r="D338" s="81" t="n"/>
      <x:c r="E338" s="81" t="n"/>
      <x:c r="F338" s="81" t="n"/>
      <x:c r="G338" s="81" t="n"/>
      <x:c r="H338" s="81" t="n"/>
      <x:c r="I338" s="81" t="n"/>
      <x:c r="J338" s="81" t="n"/>
      <x:c r="K338" s="81" t="n"/>
      <x:c r="L338" s="81" t="n"/>
      <x:c r="M338" s="81" t="n"/>
      <x:c r="N338" s="81" t="n"/>
      <x:c r="O338" s="81" t="n"/>
      <x:c r="P338" s="81" t="n"/>
      <x:c r="Q338" s="81" t="n"/>
      <x:c r="R338" s="81" t="n"/>
      <x:c r="S338" s="81" t="n"/>
      <x:c r="T338" s="81" t="n"/>
      <x:c r="U338" s="81" t="n"/>
      <x:c r="V338" s="81" t="n"/>
      <x:c r="W338" s="81" t="n"/>
      <x:c r="X338" s="81" t="n"/>
      <x:c r="Y338" s="81" t="n"/>
      <x:c r="Z338" s="81" t="n"/>
      <x:c r="AA338" s="81" t="n"/>
      <x:c r="AB338" s="81" t="n"/>
      <x:c r="AC338" s="81" t="n"/>
      <x:c r="AD338" s="81" t="n"/>
      <x:c r="AE338" s="81" t="n"/>
      <x:c r="AF338" s="81" t="n"/>
      <x:c r="AG338" s="81" t="n"/>
      <x:c r="AH338" s="81" t="n"/>
      <x:c r="AI338" s="81" t="n"/>
    </x:row>
    <x:row r="339">
      <x:c r="A339" s="81" t="n"/>
      <x:c r="B339" s="81" t="n"/>
      <x:c r="C339" s="81" t="n"/>
      <x:c r="D339" s="81" t="n"/>
      <x:c r="E339" s="81" t="n"/>
      <x:c r="F339" s="81" t="n"/>
      <x:c r="G339" s="81" t="n"/>
      <x:c r="H339" s="81" t="n"/>
      <x:c r="I339" s="81" t="n"/>
      <x:c r="J339" s="81" t="n"/>
      <x:c r="K339" s="81" t="n"/>
      <x:c r="L339" s="81" t="n"/>
      <x:c r="M339" s="81" t="n"/>
      <x:c r="N339" s="81" t="n"/>
      <x:c r="O339" s="81" t="n"/>
      <x:c r="P339" s="81" t="n"/>
      <x:c r="Q339" s="81" t="n"/>
      <x:c r="R339" s="81" t="n"/>
      <x:c r="S339" s="81" t="n"/>
      <x:c r="T339" s="81" t="n"/>
      <x:c r="U339" s="81" t="n"/>
      <x:c r="V339" s="81" t="n"/>
      <x:c r="W339" s="81" t="n"/>
      <x:c r="X339" s="81" t="n"/>
      <x:c r="Y339" s="81" t="n"/>
      <x:c r="Z339" s="81" t="n"/>
      <x:c r="AA339" s="81" t="n"/>
      <x:c r="AB339" s="81" t="n"/>
      <x:c r="AC339" s="81" t="n"/>
      <x:c r="AD339" s="81" t="n"/>
      <x:c r="AE339" s="81" t="n"/>
      <x:c r="AF339" s="81" t="n"/>
      <x:c r="AG339" s="81" t="n"/>
      <x:c r="AH339" s="81" t="n"/>
      <x:c r="AI339" s="81" t="n"/>
    </x:row>
    <x:row r="340">
      <x:c r="A340" s="81" t="n"/>
      <x:c r="B340" s="81" t="n"/>
      <x:c r="C340" s="81" t="n"/>
      <x:c r="D340" s="81" t="n"/>
      <x:c r="E340" s="81" t="n"/>
      <x:c r="F340" s="81" t="n"/>
      <x:c r="G340" s="81" t="n"/>
      <x:c r="H340" s="81" t="n"/>
      <x:c r="I340" s="81" t="n"/>
      <x:c r="J340" s="81" t="n"/>
      <x:c r="K340" s="81" t="n"/>
      <x:c r="L340" s="81" t="n"/>
      <x:c r="M340" s="81" t="n"/>
      <x:c r="N340" s="81" t="n"/>
      <x:c r="O340" s="81" t="n"/>
      <x:c r="P340" s="81" t="n"/>
      <x:c r="Q340" s="81" t="n"/>
      <x:c r="R340" s="81" t="n"/>
      <x:c r="S340" s="81" t="n"/>
      <x:c r="T340" s="81" t="n"/>
      <x:c r="U340" s="81" t="n"/>
      <x:c r="V340" s="81" t="n"/>
      <x:c r="W340" s="81" t="n"/>
      <x:c r="X340" s="81" t="n"/>
      <x:c r="Y340" s="81" t="n"/>
      <x:c r="Z340" s="81" t="n"/>
      <x:c r="AA340" s="81" t="n"/>
      <x:c r="AB340" s="81" t="n"/>
      <x:c r="AC340" s="81" t="n"/>
      <x:c r="AD340" s="81" t="n"/>
      <x:c r="AE340" s="81" t="n"/>
      <x:c r="AF340" s="81" t="n"/>
      <x:c r="AG340" s="81" t="n"/>
      <x:c r="AH340" s="81" t="n"/>
      <x:c r="AI340" s="81" t="n"/>
    </x:row>
    <x:row r="341">
      <x:c r="A341" s="81" t="n"/>
      <x:c r="B341" s="81" t="n"/>
      <x:c r="C341" s="81" t="n"/>
      <x:c r="D341" s="81" t="n"/>
      <x:c r="E341" s="81" t="n"/>
      <x:c r="F341" s="81" t="n"/>
      <x:c r="G341" s="81" t="n"/>
      <x:c r="H341" s="81" t="n"/>
      <x:c r="I341" s="81" t="n"/>
      <x:c r="J341" s="81" t="n"/>
      <x:c r="K341" s="81" t="n"/>
      <x:c r="L341" s="81" t="n"/>
      <x:c r="M341" s="81" t="n"/>
      <x:c r="N341" s="81" t="n"/>
      <x:c r="O341" s="81" t="n"/>
      <x:c r="P341" s="81" t="n"/>
      <x:c r="Q341" s="81" t="n"/>
      <x:c r="R341" s="81" t="n"/>
      <x:c r="S341" s="81" t="n"/>
      <x:c r="T341" s="81" t="n"/>
      <x:c r="U341" s="81" t="n"/>
      <x:c r="V341" s="81" t="n"/>
      <x:c r="W341" s="81" t="n"/>
      <x:c r="X341" s="81" t="n"/>
      <x:c r="Y341" s="81" t="n"/>
      <x:c r="Z341" s="81" t="n"/>
      <x:c r="AA341" s="81" t="n"/>
      <x:c r="AB341" s="81" t="n"/>
      <x:c r="AC341" s="81" t="n"/>
      <x:c r="AD341" s="81" t="n"/>
      <x:c r="AE341" s="81" t="n"/>
      <x:c r="AF341" s="81" t="n"/>
      <x:c r="AG341" s="81" t="n"/>
      <x:c r="AH341" s="81" t="n"/>
      <x:c r="AI341" s="81" t="n"/>
    </x:row>
    <x:row r="342">
      <x:c r="A342" s="81" t="n"/>
      <x:c r="B342" s="81" t="n"/>
      <x:c r="C342" s="81" t="n"/>
      <x:c r="D342" s="81" t="n"/>
      <x:c r="E342" s="81" t="n"/>
      <x:c r="F342" s="81" t="n"/>
      <x:c r="G342" s="81" t="n"/>
      <x:c r="H342" s="81" t="n"/>
      <x:c r="I342" s="81" t="n"/>
      <x:c r="J342" s="81" t="n"/>
      <x:c r="K342" s="81" t="n"/>
      <x:c r="L342" s="81" t="n"/>
      <x:c r="M342" s="81" t="n"/>
      <x:c r="N342" s="81" t="n"/>
      <x:c r="O342" s="81" t="n"/>
      <x:c r="P342" s="81" t="n"/>
      <x:c r="Q342" s="81" t="n"/>
      <x:c r="R342" s="81" t="n"/>
      <x:c r="S342" s="81" t="n"/>
      <x:c r="T342" s="81" t="n"/>
      <x:c r="U342" s="81" t="n"/>
      <x:c r="V342" s="81" t="n"/>
      <x:c r="W342" s="81" t="n"/>
      <x:c r="X342" s="81" t="n"/>
      <x:c r="Y342" s="81" t="n"/>
      <x:c r="Z342" s="81" t="n"/>
      <x:c r="AA342" s="81" t="n"/>
      <x:c r="AB342" s="81" t="n"/>
      <x:c r="AC342" s="81" t="n"/>
      <x:c r="AD342" s="81" t="n"/>
      <x:c r="AE342" s="81" t="n"/>
      <x:c r="AF342" s="81" t="n"/>
      <x:c r="AG342" s="81" t="n"/>
      <x:c r="AH342" s="81" t="n"/>
      <x:c r="AI342" s="81" t="n"/>
    </x:row>
    <x:row r="343">
      <x:c r="A343" s="81" t="n"/>
      <x:c r="B343" s="81" t="n"/>
      <x:c r="C343" s="81" t="n"/>
      <x:c r="D343" s="81" t="n"/>
      <x:c r="E343" s="81" t="n"/>
      <x:c r="F343" s="81" t="n"/>
      <x:c r="G343" s="81" t="n"/>
      <x:c r="H343" s="81" t="n"/>
      <x:c r="I343" s="81" t="n"/>
      <x:c r="J343" s="81" t="n"/>
      <x:c r="K343" s="81" t="n"/>
      <x:c r="L343" s="81" t="n"/>
      <x:c r="M343" s="81" t="n"/>
      <x:c r="N343" s="81" t="n"/>
      <x:c r="O343" s="81" t="n"/>
      <x:c r="P343" s="81" t="n"/>
      <x:c r="Q343" s="81" t="n"/>
      <x:c r="R343" s="81" t="n"/>
      <x:c r="S343" s="81" t="n"/>
      <x:c r="T343" s="81" t="n"/>
      <x:c r="U343" s="81" t="n"/>
      <x:c r="V343" s="81" t="n"/>
      <x:c r="W343" s="81" t="n"/>
      <x:c r="X343" s="81" t="n"/>
      <x:c r="Y343" s="81" t="n"/>
      <x:c r="Z343" s="81" t="n"/>
      <x:c r="AA343" s="81" t="n"/>
      <x:c r="AB343" s="81" t="n"/>
      <x:c r="AC343" s="81" t="n"/>
      <x:c r="AD343" s="81" t="n"/>
      <x:c r="AE343" s="81" t="n"/>
      <x:c r="AF343" s="81" t="n"/>
      <x:c r="AG343" s="81" t="n"/>
      <x:c r="AH343" s="81" t="n"/>
      <x:c r="AI343" s="81" t="n"/>
    </x:row>
    <x:row r="344">
      <x:c r="A344" s="81" t="n"/>
      <x:c r="B344" s="81" t="n"/>
      <x:c r="C344" s="81" t="n"/>
      <x:c r="D344" s="81" t="n"/>
      <x:c r="E344" s="81" t="n"/>
      <x:c r="F344" s="81" t="n"/>
      <x:c r="G344" s="81" t="n"/>
      <x:c r="H344" s="81" t="n"/>
      <x:c r="I344" s="81" t="n"/>
      <x:c r="J344" s="81" t="n"/>
      <x:c r="K344" s="81" t="n"/>
      <x:c r="L344" s="81" t="n"/>
      <x:c r="M344" s="81" t="n"/>
      <x:c r="N344" s="81" t="n"/>
      <x:c r="O344" s="81" t="n"/>
      <x:c r="P344" s="81" t="n"/>
      <x:c r="Q344" s="81" t="n"/>
      <x:c r="R344" s="81" t="n"/>
      <x:c r="S344" s="81" t="n"/>
      <x:c r="T344" s="81" t="n"/>
      <x:c r="U344" s="81" t="n"/>
      <x:c r="V344" s="81" t="n"/>
      <x:c r="W344" s="81" t="n"/>
      <x:c r="X344" s="81" t="n"/>
      <x:c r="Y344" s="81" t="n"/>
      <x:c r="Z344" s="81" t="n"/>
      <x:c r="AA344" s="81" t="n"/>
      <x:c r="AB344" s="81" t="n"/>
      <x:c r="AC344" s="81" t="n"/>
      <x:c r="AD344" s="81" t="n"/>
      <x:c r="AE344" s="81" t="n"/>
      <x:c r="AF344" s="81" t="n"/>
      <x:c r="AG344" s="81" t="n"/>
      <x:c r="AH344" s="81" t="n"/>
      <x:c r="AI344" s="81" t="n"/>
    </x:row>
    <x:row r="345">
      <x:c r="A345" s="81" t="n"/>
      <x:c r="B345" s="81" t="n"/>
      <x:c r="C345" s="81" t="n"/>
      <x:c r="D345" s="81" t="n"/>
      <x:c r="E345" s="81" t="n"/>
      <x:c r="F345" s="81" t="n"/>
      <x:c r="G345" s="81" t="n"/>
      <x:c r="H345" s="81" t="n"/>
      <x:c r="I345" s="81" t="n"/>
      <x:c r="J345" s="81" t="n"/>
      <x:c r="K345" s="81" t="n"/>
      <x:c r="L345" s="81" t="n"/>
      <x:c r="M345" s="81" t="n"/>
      <x:c r="N345" s="81" t="n"/>
      <x:c r="O345" s="81" t="n"/>
      <x:c r="P345" s="81" t="n"/>
      <x:c r="Q345" s="81" t="n"/>
      <x:c r="R345" s="81" t="n"/>
      <x:c r="S345" s="81" t="n"/>
      <x:c r="T345" s="81" t="n"/>
      <x:c r="U345" s="81" t="n"/>
      <x:c r="V345" s="81" t="n"/>
      <x:c r="W345" s="81" t="n"/>
      <x:c r="X345" s="81" t="n"/>
      <x:c r="Y345" s="81" t="n"/>
      <x:c r="Z345" s="81" t="n"/>
      <x:c r="AA345" s="81" t="n"/>
      <x:c r="AB345" s="81" t="n"/>
      <x:c r="AC345" s="81" t="n"/>
      <x:c r="AD345" s="81" t="n"/>
      <x:c r="AE345" s="81" t="n"/>
      <x:c r="AF345" s="81" t="n"/>
      <x:c r="AG345" s="81" t="n"/>
      <x:c r="AH345" s="81" t="n"/>
      <x:c r="AI345" s="81" t="n"/>
    </x:row>
    <x:row r="346">
      <x:c r="A346" s="81" t="n"/>
      <x:c r="B346" s="81" t="n"/>
      <x:c r="C346" s="81" t="n"/>
      <x:c r="D346" s="81" t="n"/>
      <x:c r="E346" s="81" t="n"/>
      <x:c r="F346" s="81" t="n"/>
      <x:c r="G346" s="81" t="n"/>
      <x:c r="H346" s="81" t="n"/>
      <x:c r="I346" s="81" t="n"/>
      <x:c r="J346" s="81" t="n"/>
      <x:c r="K346" s="81" t="n"/>
      <x:c r="L346" s="81" t="n"/>
      <x:c r="M346" s="81" t="n"/>
      <x:c r="N346" s="81" t="n"/>
      <x:c r="O346" s="81" t="n"/>
      <x:c r="P346" s="81" t="n"/>
      <x:c r="Q346" s="81" t="n"/>
      <x:c r="R346" s="81" t="n"/>
      <x:c r="S346" s="81" t="n"/>
      <x:c r="T346" s="81" t="n"/>
      <x:c r="U346" s="81" t="n"/>
      <x:c r="V346" s="81" t="n"/>
      <x:c r="W346" s="81" t="n"/>
      <x:c r="X346" s="81" t="n"/>
      <x:c r="Y346" s="81" t="n"/>
      <x:c r="Z346" s="81" t="n"/>
      <x:c r="AA346" s="81" t="n"/>
      <x:c r="AB346" s="81" t="n"/>
      <x:c r="AC346" s="81" t="n"/>
      <x:c r="AD346" s="81" t="n"/>
      <x:c r="AE346" s="81" t="n"/>
      <x:c r="AF346" s="81" t="n"/>
      <x:c r="AG346" s="81" t="n"/>
      <x:c r="AH346" s="81" t="n"/>
      <x:c r="AI346" s="81" t="n"/>
    </x:row>
    <x:row r="347">
      <x:c r="A347" s="81" t="n"/>
      <x:c r="B347" s="81" t="n"/>
      <x:c r="C347" s="81" t="n"/>
      <x:c r="D347" s="81" t="n"/>
      <x:c r="E347" s="81" t="n"/>
      <x:c r="F347" s="81" t="n"/>
      <x:c r="G347" s="81" t="n"/>
      <x:c r="H347" s="81" t="n"/>
      <x:c r="I347" s="81" t="n"/>
      <x:c r="J347" s="81" t="n"/>
      <x:c r="K347" s="81" t="n"/>
      <x:c r="L347" s="81" t="n"/>
      <x:c r="M347" s="81" t="n"/>
      <x:c r="N347" s="81" t="n"/>
      <x:c r="O347" s="81" t="n"/>
      <x:c r="P347" s="81" t="n"/>
      <x:c r="Q347" s="81" t="n"/>
      <x:c r="R347" s="81" t="n"/>
      <x:c r="S347" s="81" t="n"/>
      <x:c r="T347" s="81" t="n"/>
      <x:c r="U347" s="81" t="n"/>
      <x:c r="V347" s="81" t="n"/>
      <x:c r="W347" s="81" t="n"/>
      <x:c r="X347" s="81" t="n"/>
      <x:c r="Y347" s="81" t="n"/>
      <x:c r="Z347" s="81" t="n"/>
      <x:c r="AA347" s="81" t="n"/>
      <x:c r="AB347" s="81" t="n"/>
      <x:c r="AC347" s="81" t="n"/>
      <x:c r="AD347" s="81" t="n"/>
      <x:c r="AE347" s="81" t="n"/>
      <x:c r="AF347" s="81" t="n"/>
      <x:c r="AG347" s="81" t="n"/>
      <x:c r="AH347" s="81" t="n"/>
      <x:c r="AI347" s="81" t="n"/>
    </x:row>
    <x:row r="348">
      <x:c r="A348" s="81" t="n"/>
      <x:c r="B348" s="81" t="n"/>
      <x:c r="C348" s="81" t="n"/>
      <x:c r="D348" s="81" t="n"/>
      <x:c r="E348" s="81" t="n"/>
      <x:c r="F348" s="81" t="n"/>
      <x:c r="G348" s="81" t="n"/>
      <x:c r="H348" s="81" t="n"/>
      <x:c r="I348" s="81" t="n"/>
      <x:c r="J348" s="81" t="n"/>
      <x:c r="K348" s="81" t="n"/>
      <x:c r="L348" s="81" t="n"/>
      <x:c r="M348" s="81" t="n"/>
      <x:c r="N348" s="81" t="n"/>
      <x:c r="O348" s="81" t="n"/>
      <x:c r="P348" s="81" t="n"/>
      <x:c r="Q348" s="81" t="n"/>
      <x:c r="R348" s="81" t="n"/>
      <x:c r="S348" s="81" t="n"/>
      <x:c r="T348" s="81" t="n"/>
      <x:c r="U348" s="81" t="n"/>
      <x:c r="V348" s="81" t="n"/>
      <x:c r="W348" s="81" t="n"/>
      <x:c r="X348" s="81" t="n"/>
      <x:c r="Y348" s="81" t="n"/>
      <x:c r="Z348" s="81" t="n"/>
      <x:c r="AA348" s="81" t="n"/>
      <x:c r="AB348" s="81" t="n"/>
      <x:c r="AC348" s="81" t="n"/>
      <x:c r="AD348" s="81" t="n"/>
      <x:c r="AE348" s="81" t="n"/>
      <x:c r="AF348" s="81" t="n"/>
      <x:c r="AG348" s="81" t="n"/>
      <x:c r="AH348" s="81" t="n"/>
      <x:c r="AI348" s="81" t="n"/>
    </x:row>
    <x:row r="349">
      <x:c r="A349" s="81" t="n"/>
      <x:c r="B349" s="81" t="n"/>
      <x:c r="C349" s="81" t="n"/>
      <x:c r="D349" s="81" t="n"/>
      <x:c r="E349" s="81" t="n"/>
      <x:c r="F349" s="81" t="n"/>
      <x:c r="G349" s="81" t="n"/>
      <x:c r="H349" s="81" t="n"/>
      <x:c r="I349" s="81" t="n"/>
      <x:c r="J349" s="81" t="n"/>
      <x:c r="K349" s="81" t="n"/>
      <x:c r="L349" s="81" t="n"/>
      <x:c r="M349" s="81" t="n"/>
      <x:c r="N349" s="81" t="n"/>
      <x:c r="O349" s="81" t="n"/>
      <x:c r="P349" s="81" t="n"/>
      <x:c r="Q349" s="81" t="n"/>
      <x:c r="R349" s="81" t="n"/>
      <x:c r="S349" s="81" t="n"/>
      <x:c r="T349" s="81" t="n"/>
      <x:c r="U349" s="81" t="n"/>
      <x:c r="V349" s="81" t="n"/>
      <x:c r="W349" s="81" t="n"/>
      <x:c r="X349" s="81" t="n"/>
      <x:c r="Y349" s="81" t="n"/>
      <x:c r="Z349" s="81" t="n"/>
      <x:c r="AA349" s="81" t="n"/>
      <x:c r="AB349" s="81" t="n"/>
      <x:c r="AC349" s="81" t="n"/>
      <x:c r="AD349" s="81" t="n"/>
      <x:c r="AE349" s="81" t="n"/>
      <x:c r="AF349" s="81" t="n"/>
      <x:c r="AG349" s="81" t="n"/>
      <x:c r="AH349" s="81" t="n"/>
      <x:c r="AI349" s="81" t="n"/>
    </x:row>
    <x:row r="350">
      <x:c r="A350" s="81" t="n"/>
      <x:c r="B350" s="81" t="n"/>
      <x:c r="C350" s="81" t="n"/>
      <x:c r="D350" s="81" t="n"/>
      <x:c r="E350" s="81" t="n"/>
      <x:c r="F350" s="81" t="n"/>
      <x:c r="G350" s="81" t="n"/>
      <x:c r="H350" s="81" t="n"/>
      <x:c r="I350" s="81" t="n"/>
      <x:c r="J350" s="81" t="n"/>
      <x:c r="K350" s="81" t="n"/>
      <x:c r="L350" s="81" t="n"/>
      <x:c r="M350" s="81" t="n"/>
      <x:c r="N350" s="81" t="n"/>
      <x:c r="O350" s="81" t="n"/>
      <x:c r="P350" s="81" t="n"/>
      <x:c r="Q350" s="81" t="n"/>
      <x:c r="R350" s="81" t="n"/>
      <x:c r="S350" s="81" t="n"/>
      <x:c r="T350" s="81" t="n"/>
      <x:c r="U350" s="81" t="n"/>
      <x:c r="V350" s="81" t="n"/>
      <x:c r="W350" s="81" t="n"/>
      <x:c r="X350" s="81" t="n"/>
      <x:c r="Y350" s="81" t="n"/>
      <x:c r="Z350" s="81" t="n"/>
      <x:c r="AA350" s="81" t="n"/>
      <x:c r="AB350" s="81" t="n"/>
      <x:c r="AC350" s="81" t="n"/>
      <x:c r="AD350" s="81" t="n"/>
      <x:c r="AE350" s="81" t="n"/>
      <x:c r="AF350" s="81" t="n"/>
      <x:c r="AG350" s="81" t="n"/>
      <x:c r="AH350" s="81" t="n"/>
      <x:c r="AI350" s="81" t="n"/>
    </x:row>
    <x:row r="351">
      <x:c r="A351" s="81" t="n"/>
      <x:c r="B351" s="81" t="n"/>
      <x:c r="C351" s="81" t="n"/>
      <x:c r="D351" s="81" t="n"/>
      <x:c r="E351" s="81" t="n"/>
      <x:c r="F351" s="81" t="n"/>
      <x:c r="G351" s="81" t="n"/>
      <x:c r="H351" s="81" t="n"/>
      <x:c r="I351" s="81" t="n"/>
      <x:c r="J351" s="81" t="n"/>
      <x:c r="K351" s="81" t="n"/>
      <x:c r="L351" s="81" t="n"/>
      <x:c r="M351" s="81" t="n"/>
      <x:c r="N351" s="81" t="n"/>
      <x:c r="O351" s="81" t="n"/>
      <x:c r="P351" s="81" t="n"/>
      <x:c r="Q351" s="81" t="n"/>
      <x:c r="R351" s="81" t="n"/>
      <x:c r="S351" s="81" t="n"/>
      <x:c r="T351" s="81" t="n"/>
      <x:c r="U351" s="81" t="n"/>
      <x:c r="V351" s="81" t="n"/>
      <x:c r="W351" s="81" t="n"/>
      <x:c r="X351" s="81" t="n"/>
      <x:c r="Y351" s="81" t="n"/>
      <x:c r="Z351" s="81" t="n"/>
      <x:c r="AA351" s="81" t="n"/>
      <x:c r="AB351" s="81" t="n"/>
      <x:c r="AC351" s="81" t="n"/>
      <x:c r="AD351" s="81" t="n"/>
      <x:c r="AE351" s="81" t="n"/>
      <x:c r="AF351" s="81" t="n"/>
      <x:c r="AG351" s="81" t="n"/>
      <x:c r="AH351" s="81" t="n"/>
      <x:c r="AI351" s="81" t="n"/>
    </x:row>
    <x:row r="352">
      <x:c r="A352" s="81" t="n"/>
      <x:c r="B352" s="81" t="n"/>
      <x:c r="C352" s="81" t="n"/>
      <x:c r="D352" s="81" t="n"/>
      <x:c r="E352" s="81" t="n"/>
      <x:c r="F352" s="81" t="n"/>
      <x:c r="G352" s="81" t="n"/>
      <x:c r="H352" s="81" t="n"/>
      <x:c r="I352" s="81" t="n"/>
      <x:c r="J352" s="81" t="n"/>
      <x:c r="K352" s="81" t="n"/>
      <x:c r="L352" s="81" t="n"/>
      <x:c r="M352" s="81" t="n"/>
      <x:c r="N352" s="81" t="n"/>
      <x:c r="O352" s="81" t="n"/>
      <x:c r="P352" s="81" t="n"/>
      <x:c r="Q352" s="81" t="n"/>
      <x:c r="R352" s="81" t="n"/>
      <x:c r="S352" s="81" t="n"/>
      <x:c r="T352" s="81" t="n"/>
      <x:c r="U352" s="81" t="n"/>
      <x:c r="V352" s="81" t="n"/>
      <x:c r="W352" s="81" t="n"/>
      <x:c r="X352" s="81" t="n"/>
      <x:c r="Y352" s="81" t="n"/>
      <x:c r="Z352" s="81" t="n"/>
      <x:c r="AA352" s="81" t="n"/>
      <x:c r="AB352" s="81" t="n"/>
      <x:c r="AC352" s="81" t="n"/>
      <x:c r="AD352" s="81" t="n"/>
      <x:c r="AE352" s="81" t="n"/>
      <x:c r="AF352" s="81" t="n"/>
      <x:c r="AG352" s="81" t="n"/>
      <x:c r="AH352" s="81" t="n"/>
      <x:c r="AI352" s="81" t="n"/>
    </x:row>
    <x:row r="353">
      <x:c r="A353" s="81" t="n"/>
      <x:c r="B353" s="81" t="n"/>
      <x:c r="C353" s="81" t="n"/>
      <x:c r="D353" s="81" t="n"/>
      <x:c r="E353" s="81" t="n"/>
      <x:c r="F353" s="81" t="n"/>
      <x:c r="G353" s="81" t="n"/>
      <x:c r="H353" s="81" t="n"/>
      <x:c r="I353" s="81" t="n"/>
      <x:c r="J353" s="81" t="n"/>
      <x:c r="K353" s="81" t="n"/>
      <x:c r="L353" s="81" t="n"/>
      <x:c r="M353" s="81" t="n"/>
      <x:c r="N353" s="81" t="n"/>
      <x:c r="O353" s="81" t="n"/>
      <x:c r="P353" s="81" t="n"/>
      <x:c r="Q353" s="81" t="n"/>
      <x:c r="R353" s="81" t="n"/>
      <x:c r="S353" s="81" t="n"/>
      <x:c r="T353" s="81" t="n"/>
      <x:c r="U353" s="81" t="n"/>
      <x:c r="V353" s="81" t="n"/>
      <x:c r="W353" s="81" t="n"/>
      <x:c r="X353" s="81" t="n"/>
      <x:c r="Y353" s="81" t="n"/>
      <x:c r="Z353" s="81" t="n"/>
      <x:c r="AA353" s="81" t="n"/>
      <x:c r="AB353" s="81" t="n"/>
      <x:c r="AC353" s="81" t="n"/>
      <x:c r="AD353" s="81" t="n"/>
      <x:c r="AE353" s="81" t="n"/>
      <x:c r="AF353" s="81" t="n"/>
      <x:c r="AG353" s="81" t="n"/>
      <x:c r="AH353" s="81" t="n"/>
      <x:c r="AI353" s="81" t="n"/>
    </x:row>
    <x:row r="354">
      <x:c r="A354" s="81" t="n"/>
      <x:c r="B354" s="81" t="n"/>
      <x:c r="C354" s="81" t="n"/>
      <x:c r="D354" s="81" t="n"/>
      <x:c r="E354" s="81" t="n"/>
      <x:c r="F354" s="81" t="n"/>
      <x:c r="G354" s="81" t="n"/>
      <x:c r="H354" s="81" t="n"/>
      <x:c r="I354" s="81" t="n"/>
      <x:c r="J354" s="81" t="n"/>
      <x:c r="K354" s="81" t="n"/>
      <x:c r="L354" s="81" t="n"/>
      <x:c r="M354" s="81" t="n"/>
      <x:c r="N354" s="81" t="n"/>
      <x:c r="O354" s="81" t="n"/>
      <x:c r="P354" s="81" t="n"/>
      <x:c r="Q354" s="81" t="n"/>
      <x:c r="R354" s="81" t="n"/>
      <x:c r="S354" s="81" t="n"/>
      <x:c r="T354" s="81" t="n"/>
      <x:c r="U354" s="81" t="n"/>
      <x:c r="V354" s="81" t="n"/>
      <x:c r="W354" s="81" t="n"/>
      <x:c r="X354" s="81" t="n"/>
      <x:c r="Y354" s="81" t="n"/>
      <x:c r="Z354" s="81" t="n"/>
      <x:c r="AA354" s="81" t="n"/>
      <x:c r="AB354" s="81" t="n"/>
      <x:c r="AC354" s="81" t="n"/>
      <x:c r="AD354" s="81" t="n"/>
      <x:c r="AE354" s="81" t="n"/>
      <x:c r="AF354" s="81" t="n"/>
      <x:c r="AG354" s="81" t="n"/>
      <x:c r="AH354" s="81" t="n"/>
      <x:c r="AI354" s="81" t="n"/>
    </x:row>
    <x:row r="355">
      <x:c r="A355" s="81" t="n"/>
      <x:c r="B355" s="81" t="n"/>
      <x:c r="C355" s="81" t="n"/>
      <x:c r="D355" s="81" t="n"/>
      <x:c r="E355" s="81" t="n"/>
      <x:c r="F355" s="81" t="n"/>
      <x:c r="G355" s="81" t="n"/>
      <x:c r="H355" s="81" t="n"/>
      <x:c r="I355" s="81" t="n"/>
      <x:c r="J355" s="81" t="n"/>
      <x:c r="K355" s="81" t="n"/>
      <x:c r="L355" s="81" t="n"/>
      <x:c r="M355" s="81" t="n"/>
      <x:c r="N355" s="81" t="n"/>
      <x:c r="O355" s="81" t="n"/>
      <x:c r="P355" s="81" t="n"/>
      <x:c r="Q355" s="81" t="n"/>
      <x:c r="R355" s="81" t="n"/>
      <x:c r="S355" s="81" t="n"/>
      <x:c r="T355" s="81" t="n"/>
      <x:c r="U355" s="81" t="n"/>
      <x:c r="V355" s="81" t="n"/>
      <x:c r="W355" s="81" t="n"/>
      <x:c r="X355" s="81" t="n"/>
      <x:c r="Y355" s="81" t="n"/>
      <x:c r="Z355" s="81" t="n"/>
      <x:c r="AA355" s="81" t="n"/>
      <x:c r="AB355" s="81" t="n"/>
      <x:c r="AC355" s="81" t="n"/>
      <x:c r="AD355" s="81" t="n"/>
      <x:c r="AE355" s="81" t="n"/>
      <x:c r="AF355" s="81" t="n"/>
      <x:c r="AG355" s="81" t="n"/>
      <x:c r="AH355" s="81" t="n"/>
      <x:c r="AI355" s="81" t="n"/>
    </x:row>
    <x:row r="356">
      <x:c r="A356" s="81" t="n"/>
      <x:c r="B356" s="81" t="n"/>
      <x:c r="C356" s="81" t="n"/>
      <x:c r="D356" s="81" t="n"/>
      <x:c r="E356" s="81" t="n"/>
      <x:c r="F356" s="81" t="n"/>
      <x:c r="G356" s="81" t="n"/>
      <x:c r="H356" s="81" t="n"/>
      <x:c r="I356" s="81" t="n"/>
      <x:c r="J356" s="81" t="n"/>
      <x:c r="K356" s="81" t="n"/>
      <x:c r="L356" s="81" t="n"/>
      <x:c r="M356" s="81" t="n"/>
      <x:c r="N356" s="81" t="n"/>
      <x:c r="O356" s="81" t="n"/>
      <x:c r="P356" s="81" t="n"/>
      <x:c r="Q356" s="81" t="n"/>
      <x:c r="R356" s="81" t="n"/>
      <x:c r="S356" s="81" t="n"/>
      <x:c r="T356" s="81" t="n"/>
      <x:c r="U356" s="81" t="n"/>
      <x:c r="V356" s="81" t="n"/>
      <x:c r="W356" s="81" t="n"/>
      <x:c r="X356" s="81" t="n"/>
      <x:c r="Y356" s="81" t="n"/>
      <x:c r="Z356" s="81" t="n"/>
      <x:c r="AA356" s="81" t="n"/>
      <x:c r="AB356" s="81" t="n"/>
      <x:c r="AC356" s="81" t="n"/>
      <x:c r="AD356" s="81" t="n"/>
      <x:c r="AE356" s="81" t="n"/>
      <x:c r="AF356" s="81" t="n"/>
      <x:c r="AG356" s="81" t="n"/>
      <x:c r="AH356" s="81" t="n"/>
      <x:c r="AI356" s="81" t="n"/>
    </x:row>
    <x:row r="357">
      <x:c r="A357" s="81" t="n"/>
      <x:c r="B357" s="81" t="n"/>
      <x:c r="C357" s="81" t="n"/>
      <x:c r="D357" s="81" t="n"/>
      <x:c r="E357" s="81" t="n"/>
      <x:c r="F357" s="81" t="n"/>
      <x:c r="G357" s="81" t="n"/>
      <x:c r="H357" s="81" t="n"/>
      <x:c r="I357" s="81" t="n"/>
      <x:c r="J357" s="81" t="n"/>
      <x:c r="K357" s="81" t="n"/>
      <x:c r="L357" s="81" t="n"/>
      <x:c r="M357" s="81" t="n"/>
      <x:c r="N357" s="81" t="n"/>
      <x:c r="O357" s="81" t="n"/>
      <x:c r="P357" s="81" t="n"/>
      <x:c r="Q357" s="81" t="n"/>
      <x:c r="R357" s="81" t="n"/>
      <x:c r="S357" s="81" t="n"/>
      <x:c r="T357" s="81" t="n"/>
      <x:c r="U357" s="81" t="n"/>
      <x:c r="V357" s="81" t="n"/>
      <x:c r="W357" s="81" t="n"/>
      <x:c r="X357" s="81" t="n"/>
      <x:c r="Y357" s="81" t="n"/>
      <x:c r="Z357" s="81" t="n"/>
      <x:c r="AA357" s="81" t="n"/>
      <x:c r="AB357" s="81" t="n"/>
      <x:c r="AC357" s="81" t="n"/>
      <x:c r="AD357" s="81" t="n"/>
      <x:c r="AE357" s="81" t="n"/>
      <x:c r="AF357" s="81" t="n"/>
      <x:c r="AG357" s="81" t="n"/>
      <x:c r="AH357" s="81" t="n"/>
      <x:c r="AI357" s="81" t="n"/>
    </x:row>
    <x:row r="358">
      <x:c r="A358" s="81" t="n"/>
      <x:c r="B358" s="81" t="n"/>
      <x:c r="C358" s="81" t="n"/>
      <x:c r="D358" s="81" t="n"/>
      <x:c r="E358" s="81" t="n"/>
      <x:c r="F358" s="81" t="n"/>
      <x:c r="G358" s="81" t="n"/>
      <x:c r="H358" s="81" t="n"/>
      <x:c r="I358" s="81" t="n"/>
      <x:c r="J358" s="81" t="n"/>
      <x:c r="K358" s="81" t="n"/>
      <x:c r="L358" s="81" t="n"/>
      <x:c r="M358" s="81" t="n"/>
      <x:c r="N358" s="81" t="n"/>
      <x:c r="O358" s="81" t="n"/>
      <x:c r="P358" s="81" t="n"/>
      <x:c r="Q358" s="81" t="n"/>
      <x:c r="R358" s="81" t="n"/>
      <x:c r="S358" s="81" t="n"/>
      <x:c r="T358" s="81" t="n"/>
      <x:c r="U358" s="81" t="n"/>
      <x:c r="V358" s="81" t="n"/>
      <x:c r="W358" s="81" t="n"/>
      <x:c r="X358" s="81" t="n"/>
      <x:c r="Y358" s="81" t="n"/>
      <x:c r="Z358" s="81" t="n"/>
      <x:c r="AA358" s="81" t="n"/>
      <x:c r="AB358" s="81" t="n"/>
      <x:c r="AC358" s="81" t="n"/>
      <x:c r="AD358" s="81" t="n"/>
      <x:c r="AE358" s="81" t="n"/>
      <x:c r="AF358" s="81" t="n"/>
      <x:c r="AG358" s="81" t="n"/>
      <x:c r="AH358" s="81" t="n"/>
      <x:c r="AI358" s="81" t="n"/>
    </x:row>
    <x:row r="359">
      <x:c r="A359" s="81" t="n"/>
      <x:c r="B359" s="81" t="n"/>
      <x:c r="C359" s="81" t="n"/>
      <x:c r="D359" s="81" t="n"/>
      <x:c r="E359" s="81" t="n"/>
      <x:c r="F359" s="81" t="n"/>
      <x:c r="G359" s="81" t="n"/>
      <x:c r="H359" s="81" t="n"/>
      <x:c r="I359" s="81" t="n"/>
      <x:c r="J359" s="81" t="n"/>
      <x:c r="K359" s="81" t="n"/>
      <x:c r="L359" s="81" t="n"/>
      <x:c r="M359" s="81" t="n"/>
      <x:c r="N359" s="81" t="n"/>
      <x:c r="O359" s="81" t="n"/>
      <x:c r="P359" s="81" t="n"/>
      <x:c r="Q359" s="81" t="n"/>
      <x:c r="R359" s="81" t="n"/>
      <x:c r="S359" s="81" t="n"/>
      <x:c r="T359" s="81" t="n"/>
      <x:c r="U359" s="81" t="n"/>
      <x:c r="V359" s="81" t="n"/>
      <x:c r="W359" s="81" t="n"/>
      <x:c r="X359" s="81" t="n"/>
      <x:c r="Y359" s="81" t="n"/>
      <x:c r="Z359" s="81" t="n"/>
      <x:c r="AA359" s="81" t="n"/>
      <x:c r="AB359" s="81" t="n"/>
      <x:c r="AC359" s="81" t="n"/>
      <x:c r="AD359" s="81" t="n"/>
      <x:c r="AE359" s="81" t="n"/>
      <x:c r="AF359" s="81" t="n"/>
      <x:c r="AG359" s="81" t="n"/>
      <x:c r="AH359" s="81" t="n"/>
      <x:c r="AI359" s="81" t="n"/>
    </x:row>
    <x:row r="360">
      <x:c r="A360" s="81" t="n"/>
      <x:c r="B360" s="81" t="n"/>
      <x:c r="C360" s="81" t="n"/>
      <x:c r="D360" s="81" t="n"/>
      <x:c r="E360" s="81" t="n"/>
      <x:c r="F360" s="81" t="n"/>
      <x:c r="G360" s="81" t="n"/>
      <x:c r="H360" s="81" t="n"/>
      <x:c r="I360" s="81" t="n"/>
      <x:c r="J360" s="81" t="n"/>
      <x:c r="K360" s="81" t="n"/>
      <x:c r="L360" s="81" t="n"/>
      <x:c r="M360" s="81" t="n"/>
      <x:c r="N360" s="81" t="n"/>
      <x:c r="O360" s="81" t="n"/>
      <x:c r="P360" s="81" t="n"/>
      <x:c r="Q360" s="81" t="n"/>
      <x:c r="R360" s="81" t="n"/>
      <x:c r="S360" s="81" t="n"/>
      <x:c r="T360" s="81" t="n"/>
      <x:c r="U360" s="81" t="n"/>
      <x:c r="V360" s="81" t="n"/>
      <x:c r="W360" s="81" t="n"/>
      <x:c r="X360" s="81" t="n"/>
      <x:c r="Y360" s="81" t="n"/>
      <x:c r="Z360" s="81" t="n"/>
      <x:c r="AA360" s="81" t="n"/>
      <x:c r="AB360" s="81" t="n"/>
      <x:c r="AC360" s="81" t="n"/>
      <x:c r="AD360" s="81" t="n"/>
      <x:c r="AE360" s="81" t="n"/>
      <x:c r="AF360" s="81" t="n"/>
      <x:c r="AG360" s="81" t="n"/>
      <x:c r="AH360" s="81" t="n"/>
      <x:c r="AI360" s="81" t="n"/>
    </x:row>
    <x:row r="361">
      <x:c r="A361" s="81" t="n"/>
      <x:c r="B361" s="81" t="n"/>
      <x:c r="C361" s="81" t="n"/>
      <x:c r="D361" s="81" t="n"/>
      <x:c r="E361" s="81" t="n"/>
      <x:c r="F361" s="81" t="n"/>
      <x:c r="G361" s="81" t="n"/>
      <x:c r="H361" s="81" t="n"/>
      <x:c r="I361" s="81" t="n"/>
      <x:c r="J361" s="81" t="n"/>
      <x:c r="K361" s="81" t="n"/>
      <x:c r="L361" s="81" t="n"/>
      <x:c r="M361" s="81" t="n"/>
      <x:c r="N361" s="81" t="n"/>
      <x:c r="O361" s="81" t="n"/>
      <x:c r="P361" s="81" t="n"/>
      <x:c r="Q361" s="81" t="n"/>
      <x:c r="R361" s="81" t="n"/>
      <x:c r="S361" s="81" t="n"/>
      <x:c r="T361" s="81" t="n"/>
      <x:c r="U361" s="81" t="n"/>
      <x:c r="V361" s="81" t="n"/>
      <x:c r="W361" s="81" t="n"/>
      <x:c r="X361" s="81" t="n"/>
      <x:c r="Y361" s="81" t="n"/>
      <x:c r="Z361" s="81" t="n"/>
      <x:c r="AA361" s="81" t="n"/>
      <x:c r="AB361" s="81" t="n"/>
      <x:c r="AC361" s="81" t="n"/>
      <x:c r="AD361" s="81" t="n"/>
      <x:c r="AE361" s="81" t="n"/>
      <x:c r="AF361" s="81" t="n"/>
      <x:c r="AG361" s="81" t="n"/>
      <x:c r="AH361" s="81" t="n"/>
      <x:c r="AI361" s="81" t="n"/>
    </x:row>
    <x:row r="362">
      <x:c r="A362" s="81" t="n"/>
      <x:c r="B362" s="81" t="n"/>
      <x:c r="C362" s="81" t="n"/>
      <x:c r="D362" s="81" t="n"/>
      <x:c r="E362" s="81" t="n"/>
      <x:c r="F362" s="81" t="n"/>
      <x:c r="G362" s="81" t="n"/>
      <x:c r="H362" s="81" t="n"/>
      <x:c r="I362" s="81" t="n"/>
      <x:c r="J362" s="81" t="n"/>
      <x:c r="K362" s="81" t="n"/>
      <x:c r="L362" s="81" t="n"/>
      <x:c r="M362" s="81" t="n"/>
      <x:c r="N362" s="81" t="n"/>
      <x:c r="O362" s="81" t="n"/>
      <x:c r="P362" s="81" t="n"/>
      <x:c r="Q362" s="81" t="n"/>
      <x:c r="R362" s="81" t="n"/>
      <x:c r="S362" s="81" t="n"/>
      <x:c r="T362" s="81" t="n"/>
      <x:c r="U362" s="81" t="n"/>
      <x:c r="V362" s="81" t="n"/>
      <x:c r="W362" s="81" t="n"/>
      <x:c r="X362" s="81" t="n"/>
      <x:c r="Y362" s="81" t="n"/>
      <x:c r="Z362" s="81" t="n"/>
      <x:c r="AA362" s="81" t="n"/>
      <x:c r="AB362" s="81" t="n"/>
      <x:c r="AC362" s="81" t="n"/>
      <x:c r="AD362" s="81" t="n"/>
      <x:c r="AE362" s="81" t="n"/>
      <x:c r="AF362" s="81" t="n"/>
      <x:c r="AG362" s="81" t="n"/>
      <x:c r="AH362" s="81" t="n"/>
      <x:c r="AI362" s="81" t="n"/>
    </x:row>
    <x:row r="363">
      <x:c r="A363" s="81" t="n"/>
      <x:c r="B363" s="81" t="n"/>
      <x:c r="C363" s="81" t="n"/>
      <x:c r="D363" s="81" t="n"/>
      <x:c r="E363" s="81" t="n"/>
      <x:c r="F363" s="81" t="n"/>
      <x:c r="G363" s="81" t="n"/>
      <x:c r="H363" s="81" t="n"/>
      <x:c r="I363" s="81" t="n"/>
      <x:c r="J363" s="81" t="n"/>
      <x:c r="K363" s="81" t="n"/>
      <x:c r="L363" s="81" t="n"/>
      <x:c r="M363" s="81" t="n"/>
      <x:c r="N363" s="81" t="n"/>
      <x:c r="O363" s="81" t="n"/>
      <x:c r="P363" s="81" t="n"/>
      <x:c r="Q363" s="81" t="n"/>
      <x:c r="R363" s="81" t="n"/>
      <x:c r="S363" s="81" t="n"/>
      <x:c r="T363" s="81" t="n"/>
      <x:c r="U363" s="81" t="n"/>
      <x:c r="V363" s="81" t="n"/>
      <x:c r="W363" s="81" t="n"/>
      <x:c r="X363" s="81" t="n"/>
      <x:c r="Y363" s="81" t="n"/>
      <x:c r="Z363" s="81" t="n"/>
      <x:c r="AA363" s="81" t="n"/>
      <x:c r="AB363" s="81" t="n"/>
      <x:c r="AC363" s="81" t="n"/>
      <x:c r="AD363" s="81" t="n"/>
      <x:c r="AE363" s="81" t="n"/>
      <x:c r="AF363" s="81" t="n"/>
      <x:c r="AG363" s="81" t="n"/>
      <x:c r="AH363" s="81" t="n"/>
      <x:c r="AI363" s="81" t="n"/>
    </x:row>
    <x:row r="364">
      <x:c r="A364" s="81" t="n"/>
      <x:c r="B364" s="81" t="n"/>
      <x:c r="C364" s="81" t="n"/>
      <x:c r="D364" s="81" t="n"/>
      <x:c r="E364" s="81" t="n"/>
      <x:c r="F364" s="81" t="n"/>
      <x:c r="G364" s="81" t="n"/>
      <x:c r="H364" s="81" t="n"/>
      <x:c r="I364" s="81" t="n"/>
      <x:c r="J364" s="81" t="n"/>
      <x:c r="K364" s="81" t="n"/>
      <x:c r="L364" s="81" t="n"/>
      <x:c r="M364" s="81" t="n"/>
      <x:c r="N364" s="81" t="n"/>
      <x:c r="O364" s="81" t="n"/>
      <x:c r="P364" s="81" t="n"/>
      <x:c r="Q364" s="81" t="n"/>
      <x:c r="R364" s="81" t="n"/>
      <x:c r="S364" s="81" t="n"/>
      <x:c r="T364" s="81" t="n"/>
      <x:c r="U364" s="81" t="n"/>
      <x:c r="V364" s="81" t="n"/>
      <x:c r="W364" s="81" t="n"/>
      <x:c r="X364" s="81" t="n"/>
      <x:c r="Y364" s="81" t="n"/>
      <x:c r="Z364" s="81" t="n"/>
      <x:c r="AA364" s="81" t="n"/>
      <x:c r="AB364" s="81" t="n"/>
      <x:c r="AC364" s="81" t="n"/>
      <x:c r="AD364" s="81" t="n"/>
      <x:c r="AE364" s="81" t="n"/>
      <x:c r="AF364" s="81" t="n"/>
      <x:c r="AG364" s="81" t="n"/>
      <x:c r="AH364" s="81" t="n"/>
      <x:c r="AI364" s="81" t="n"/>
    </x:row>
    <x:row r="365">
      <x:c r="A365" s="81" t="n"/>
      <x:c r="B365" s="81" t="n"/>
      <x:c r="C365" s="81" t="n"/>
      <x:c r="D365" s="81" t="n"/>
      <x:c r="E365" s="81" t="n"/>
      <x:c r="F365" s="81" t="n"/>
      <x:c r="G365" s="81" t="n"/>
      <x:c r="H365" s="81" t="n"/>
      <x:c r="I365" s="81" t="n"/>
      <x:c r="J365" s="81" t="n"/>
      <x:c r="K365" s="81" t="n"/>
      <x:c r="L365" s="81" t="n"/>
      <x:c r="M365" s="81" t="n"/>
      <x:c r="N365" s="81" t="n"/>
      <x:c r="O365" s="81" t="n"/>
      <x:c r="P365" s="81" t="n"/>
      <x:c r="Q365" s="81" t="n"/>
      <x:c r="R365" s="81" t="n"/>
      <x:c r="S365" s="81" t="n"/>
      <x:c r="T365" s="81" t="n"/>
      <x:c r="U365" s="81" t="n"/>
      <x:c r="V365" s="81" t="n"/>
      <x:c r="W365" s="81" t="n"/>
      <x:c r="X365" s="81" t="n"/>
      <x:c r="Y365" s="81" t="n"/>
      <x:c r="Z365" s="81" t="n"/>
      <x:c r="AA365" s="81" t="n"/>
      <x:c r="AB365" s="81" t="n"/>
      <x:c r="AC365" s="81" t="n"/>
      <x:c r="AD365" s="81" t="n"/>
      <x:c r="AE365" s="81" t="n"/>
      <x:c r="AF365" s="81" t="n"/>
      <x:c r="AG365" s="81" t="n"/>
      <x:c r="AH365" s="81" t="n"/>
      <x:c r="AI365" s="81" t="n"/>
    </x:row>
    <x:row r="366">
      <x:c r="A366" s="81" t="n"/>
      <x:c r="B366" s="81" t="n"/>
      <x:c r="C366" s="81" t="n"/>
      <x:c r="D366" s="81" t="n"/>
      <x:c r="E366" s="81" t="n"/>
      <x:c r="F366" s="81" t="n"/>
      <x:c r="G366" s="81" t="n"/>
      <x:c r="H366" s="81" t="n"/>
      <x:c r="I366" s="81" t="n"/>
      <x:c r="J366" s="81" t="n"/>
      <x:c r="K366" s="81" t="n"/>
      <x:c r="L366" s="81" t="n"/>
      <x:c r="M366" s="81" t="n"/>
      <x:c r="N366" s="81" t="n"/>
      <x:c r="O366" s="81" t="n"/>
      <x:c r="P366" s="81" t="n"/>
      <x:c r="Q366" s="81" t="n"/>
      <x:c r="R366" s="81" t="n"/>
      <x:c r="S366" s="81" t="n"/>
      <x:c r="T366" s="81" t="n"/>
      <x:c r="U366" s="81" t="n"/>
      <x:c r="V366" s="81" t="n"/>
      <x:c r="W366" s="81" t="n"/>
      <x:c r="X366" s="81" t="n"/>
      <x:c r="Y366" s="81" t="n"/>
      <x:c r="Z366" s="81" t="n"/>
      <x:c r="AA366" s="81" t="n"/>
      <x:c r="AB366" s="81" t="n"/>
      <x:c r="AC366" s="81" t="n"/>
      <x:c r="AD366" s="81" t="n"/>
      <x:c r="AE366" s="81" t="n"/>
      <x:c r="AF366" s="81" t="n"/>
      <x:c r="AG366" s="81" t="n"/>
      <x:c r="AH366" s="81" t="n"/>
      <x:c r="AI366" s="81" t="n"/>
    </x:row>
    <x:row r="367">
      <x:c r="A367" s="81" t="n"/>
      <x:c r="B367" s="81" t="n"/>
      <x:c r="C367" s="81" t="n"/>
      <x:c r="D367" s="81" t="n"/>
      <x:c r="E367" s="81" t="n"/>
      <x:c r="F367" s="81" t="n"/>
      <x:c r="G367" s="81" t="n"/>
      <x:c r="H367" s="81" t="n"/>
      <x:c r="I367" s="81" t="n"/>
      <x:c r="J367" s="81" t="n"/>
      <x:c r="K367" s="81" t="n"/>
      <x:c r="L367" s="81" t="n"/>
      <x:c r="M367" s="81" t="n"/>
      <x:c r="N367" s="81" t="n"/>
      <x:c r="O367" s="81" t="n"/>
      <x:c r="P367" s="81" t="n"/>
      <x:c r="Q367" s="81" t="n"/>
      <x:c r="R367" s="81" t="n"/>
      <x:c r="S367" s="81" t="n"/>
      <x:c r="T367" s="81" t="n"/>
      <x:c r="U367" s="81" t="n"/>
      <x:c r="V367" s="81" t="n"/>
      <x:c r="W367" s="81" t="n"/>
      <x:c r="X367" s="81" t="n"/>
      <x:c r="Y367" s="81" t="n"/>
      <x:c r="Z367" s="81" t="n"/>
      <x:c r="AA367" s="81" t="n"/>
      <x:c r="AB367" s="81" t="n"/>
      <x:c r="AC367" s="81" t="n"/>
      <x:c r="AD367" s="81" t="n"/>
      <x:c r="AE367" s="81" t="n"/>
      <x:c r="AF367" s="81" t="n"/>
      <x:c r="AG367" s="81" t="n"/>
      <x:c r="AH367" s="81" t="n"/>
      <x:c r="AI367" s="81" t="n"/>
    </x:row>
    <x:row r="368">
      <x:c r="A368" s="81" t="n"/>
      <x:c r="B368" s="81" t="n"/>
      <x:c r="C368" s="81" t="n"/>
      <x:c r="D368" s="81" t="n"/>
      <x:c r="E368" s="81" t="n"/>
      <x:c r="F368" s="81" t="n"/>
      <x:c r="G368" s="81" t="n"/>
      <x:c r="H368" s="81" t="n"/>
      <x:c r="I368" s="81" t="n"/>
      <x:c r="J368" s="81" t="n"/>
      <x:c r="K368" s="81" t="n"/>
      <x:c r="L368" s="81" t="n"/>
      <x:c r="M368" s="81" t="n"/>
      <x:c r="N368" s="81" t="n"/>
      <x:c r="O368" s="81" t="n"/>
      <x:c r="P368" s="81" t="n"/>
      <x:c r="Q368" s="81" t="n"/>
      <x:c r="R368" s="81" t="n"/>
      <x:c r="S368" s="81" t="n"/>
      <x:c r="T368" s="81" t="n"/>
      <x:c r="U368" s="81" t="n"/>
      <x:c r="V368" s="81" t="n"/>
      <x:c r="W368" s="81" t="n"/>
      <x:c r="X368" s="81" t="n"/>
      <x:c r="Y368" s="81" t="n"/>
      <x:c r="Z368" s="81" t="n"/>
      <x:c r="AA368" s="81" t="n"/>
      <x:c r="AB368" s="81" t="n"/>
      <x:c r="AC368" s="81" t="n"/>
      <x:c r="AD368" s="81" t="n"/>
      <x:c r="AE368" s="81" t="n"/>
      <x:c r="AF368" s="81" t="n"/>
      <x:c r="AG368" s="81" t="n"/>
      <x:c r="AH368" s="81" t="n"/>
      <x:c r="AI368" s="81" t="n"/>
    </x:row>
    <x:row r="369">
      <x:c r="A369" s="81" t="n"/>
      <x:c r="B369" s="81" t="n"/>
      <x:c r="C369" s="81" t="n"/>
      <x:c r="D369" s="81" t="n"/>
      <x:c r="E369" s="81" t="n"/>
      <x:c r="F369" s="81" t="n"/>
      <x:c r="G369" s="81" t="n"/>
      <x:c r="H369" s="81" t="n"/>
      <x:c r="I369" s="81" t="n"/>
      <x:c r="J369" s="81" t="n"/>
      <x:c r="K369" s="81" t="n"/>
      <x:c r="L369" s="81" t="n"/>
      <x:c r="M369" s="81" t="n"/>
      <x:c r="N369" s="81" t="n"/>
      <x:c r="O369" s="81" t="n"/>
      <x:c r="P369" s="81" t="n"/>
      <x:c r="Q369" s="81" t="n"/>
      <x:c r="R369" s="81" t="n"/>
      <x:c r="S369" s="81" t="n"/>
      <x:c r="T369" s="81" t="n"/>
      <x:c r="U369" s="81" t="n"/>
      <x:c r="V369" s="81" t="n"/>
      <x:c r="W369" s="81" t="n"/>
      <x:c r="X369" s="81" t="n"/>
      <x:c r="Y369" s="81" t="n"/>
      <x:c r="Z369" s="81" t="n"/>
      <x:c r="AA369" s="81" t="n"/>
      <x:c r="AB369" s="81" t="n"/>
      <x:c r="AC369" s="81" t="n"/>
      <x:c r="AD369" s="81" t="n"/>
      <x:c r="AE369" s="81" t="n"/>
      <x:c r="AF369" s="81" t="n"/>
      <x:c r="AG369" s="81" t="n"/>
      <x:c r="AH369" s="81" t="n"/>
      <x:c r="AI369" s="81" t="n"/>
    </x:row>
    <x:row r="370">
      <x:c r="A370" s="81" t="n"/>
      <x:c r="B370" s="81" t="n"/>
      <x:c r="C370" s="81" t="n"/>
      <x:c r="D370" s="81" t="n"/>
      <x:c r="E370" s="81" t="n"/>
      <x:c r="F370" s="81" t="n"/>
      <x:c r="G370" s="81" t="n"/>
      <x:c r="H370" s="81" t="n"/>
      <x:c r="I370" s="81" t="n"/>
      <x:c r="J370" s="81" t="n"/>
      <x:c r="K370" s="81" t="n"/>
      <x:c r="L370" s="81" t="n"/>
      <x:c r="M370" s="81" t="n"/>
      <x:c r="N370" s="81" t="n"/>
      <x:c r="O370" s="81" t="n"/>
      <x:c r="P370" s="81" t="n"/>
      <x:c r="Q370" s="81" t="n"/>
      <x:c r="R370" s="81" t="n"/>
      <x:c r="S370" s="81" t="n"/>
      <x:c r="T370" s="81" t="n"/>
      <x:c r="U370" s="81" t="n"/>
      <x:c r="V370" s="81" t="n"/>
      <x:c r="W370" s="81" t="n"/>
      <x:c r="X370" s="81" t="n"/>
      <x:c r="Y370" s="81" t="n"/>
      <x:c r="Z370" s="81" t="n"/>
      <x:c r="AA370" s="81" t="n"/>
      <x:c r="AB370" s="81" t="n"/>
      <x:c r="AC370" s="81" t="n"/>
      <x:c r="AD370" s="81" t="n"/>
      <x:c r="AE370" s="81" t="n"/>
      <x:c r="AF370" s="81" t="n"/>
      <x:c r="AG370" s="81" t="n"/>
      <x:c r="AH370" s="81" t="n"/>
      <x:c r="AI370" s="81" t="n"/>
    </x:row>
    <x:row r="371">
      <x:c r="A371" s="81" t="n"/>
      <x:c r="B371" s="81" t="n"/>
      <x:c r="C371" s="81" t="n"/>
      <x:c r="D371" s="81" t="n"/>
      <x:c r="E371" s="81" t="n"/>
      <x:c r="F371" s="81" t="n"/>
      <x:c r="G371" s="81" t="n"/>
      <x:c r="H371" s="81" t="n"/>
      <x:c r="I371" s="81" t="n"/>
      <x:c r="J371" s="81" t="n"/>
      <x:c r="K371" s="81" t="n"/>
      <x:c r="L371" s="81" t="n"/>
      <x:c r="M371" s="81" t="n"/>
      <x:c r="N371" s="81" t="n"/>
      <x:c r="O371" s="81" t="n"/>
      <x:c r="P371" s="81" t="n"/>
      <x:c r="Q371" s="81" t="n"/>
      <x:c r="R371" s="81" t="n"/>
      <x:c r="S371" s="81" t="n"/>
      <x:c r="T371" s="81" t="n"/>
      <x:c r="U371" s="81" t="n"/>
      <x:c r="V371" s="81" t="n"/>
      <x:c r="W371" s="81" t="n"/>
      <x:c r="X371" s="81" t="n"/>
      <x:c r="Y371" s="81" t="n"/>
      <x:c r="Z371" s="81" t="n"/>
      <x:c r="AA371" s="81" t="n"/>
      <x:c r="AB371" s="81" t="n"/>
      <x:c r="AC371" s="81" t="n"/>
      <x:c r="AD371" s="81" t="n"/>
      <x:c r="AE371" s="81" t="n"/>
      <x:c r="AF371" s="81" t="n"/>
      <x:c r="AG371" s="81" t="n"/>
      <x:c r="AH371" s="81" t="n"/>
      <x:c r="AI371" s="81" t="n"/>
    </x:row>
    <x:row r="372">
      <x:c r="A372" s="81" t="n"/>
      <x:c r="B372" s="81" t="n"/>
      <x:c r="C372" s="81" t="n"/>
      <x:c r="D372" s="81" t="n"/>
      <x:c r="E372" s="81" t="n"/>
      <x:c r="F372" s="81" t="n"/>
      <x:c r="G372" s="81" t="n"/>
      <x:c r="H372" s="81" t="n"/>
      <x:c r="I372" s="81" t="n"/>
      <x:c r="J372" s="81" t="n"/>
      <x:c r="K372" s="81" t="n"/>
      <x:c r="L372" s="81" t="n"/>
      <x:c r="M372" s="81" t="n"/>
      <x:c r="N372" s="81" t="n"/>
      <x:c r="O372" s="81" t="n"/>
      <x:c r="P372" s="81" t="n"/>
      <x:c r="Q372" s="81" t="n"/>
      <x:c r="R372" s="81" t="n"/>
      <x:c r="S372" s="81" t="n"/>
      <x:c r="T372" s="81" t="n"/>
      <x:c r="U372" s="81" t="n"/>
      <x:c r="V372" s="81" t="n"/>
      <x:c r="W372" s="81" t="n"/>
      <x:c r="X372" s="81" t="n"/>
      <x:c r="Y372" s="81" t="n"/>
      <x:c r="Z372" s="81" t="n"/>
      <x:c r="AA372" s="81" t="n"/>
      <x:c r="AB372" s="81" t="n"/>
      <x:c r="AC372" s="81" t="n"/>
      <x:c r="AD372" s="81" t="n"/>
      <x:c r="AE372" s="81" t="n"/>
      <x:c r="AF372" s="81" t="n"/>
      <x:c r="AG372" s="81" t="n"/>
      <x:c r="AH372" s="81" t="n"/>
      <x:c r="AI372" s="81" t="n"/>
    </x:row>
    <x:row r="373">
      <x:c r="A373" s="81" t="n"/>
      <x:c r="B373" s="81" t="n"/>
      <x:c r="C373" s="81" t="n"/>
      <x:c r="D373" s="81" t="n"/>
      <x:c r="E373" s="81" t="n"/>
      <x:c r="F373" s="81" t="n"/>
      <x:c r="G373" s="81" t="n"/>
      <x:c r="H373" s="81" t="n"/>
      <x:c r="I373" s="81" t="n"/>
      <x:c r="J373" s="81" t="n"/>
      <x:c r="K373" s="81" t="n"/>
      <x:c r="L373" s="81" t="n"/>
      <x:c r="M373" s="81" t="n"/>
      <x:c r="N373" s="81" t="n"/>
      <x:c r="O373" s="81" t="n"/>
      <x:c r="P373" s="81" t="n"/>
      <x:c r="Q373" s="81" t="n"/>
      <x:c r="R373" s="81" t="n"/>
      <x:c r="S373" s="81" t="n"/>
      <x:c r="T373" s="81" t="n"/>
      <x:c r="U373" s="81" t="n"/>
      <x:c r="V373" s="81" t="n"/>
      <x:c r="W373" s="81" t="n"/>
      <x:c r="X373" s="81" t="n"/>
      <x:c r="Y373" s="81" t="n"/>
      <x:c r="Z373" s="81" t="n"/>
      <x:c r="AA373" s="81" t="n"/>
      <x:c r="AB373" s="81" t="n"/>
      <x:c r="AC373" s="81" t="n"/>
      <x:c r="AD373" s="81" t="n"/>
      <x:c r="AE373" s="81" t="n"/>
      <x:c r="AF373" s="81" t="n"/>
      <x:c r="AG373" s="81" t="n"/>
      <x:c r="AH373" s="81" t="n"/>
      <x:c r="AI373" s="81" t="n"/>
    </x:row>
    <x:row r="374">
      <x:c r="A374" s="81" t="n"/>
      <x:c r="B374" s="81" t="n"/>
      <x:c r="C374" s="81" t="n"/>
      <x:c r="D374" s="81" t="n"/>
      <x:c r="E374" s="81" t="n"/>
      <x:c r="F374" s="81" t="n"/>
      <x:c r="G374" s="81" t="n"/>
      <x:c r="H374" s="81" t="n"/>
      <x:c r="I374" s="81" t="n"/>
      <x:c r="J374" s="81" t="n"/>
      <x:c r="K374" s="81" t="n"/>
      <x:c r="L374" s="81" t="n"/>
      <x:c r="M374" s="81" t="n"/>
      <x:c r="N374" s="81" t="n"/>
      <x:c r="O374" s="81" t="n"/>
      <x:c r="P374" s="81" t="n"/>
      <x:c r="Q374" s="81" t="n"/>
      <x:c r="R374" s="81" t="n"/>
      <x:c r="S374" s="81" t="n"/>
      <x:c r="T374" s="81" t="n"/>
      <x:c r="U374" s="81" t="n"/>
      <x:c r="V374" s="81" t="n"/>
      <x:c r="W374" s="81" t="n"/>
      <x:c r="X374" s="81" t="n"/>
      <x:c r="Y374" s="81" t="n"/>
      <x:c r="Z374" s="81" t="n"/>
      <x:c r="AA374" s="81" t="n"/>
      <x:c r="AB374" s="81" t="n"/>
      <x:c r="AC374" s="81" t="n"/>
      <x:c r="AD374" s="81" t="n"/>
      <x:c r="AE374" s="81" t="n"/>
      <x:c r="AF374" s="81" t="n"/>
      <x:c r="AG374" s="81" t="n"/>
      <x:c r="AH374" s="81" t="n"/>
      <x:c r="AI374" s="81" t="n"/>
    </x:row>
    <x:row r="375">
      <x:c r="A375" s="81" t="n"/>
      <x:c r="B375" s="81" t="n"/>
      <x:c r="C375" s="81" t="n"/>
      <x:c r="D375" s="81" t="n"/>
      <x:c r="E375" s="81" t="n"/>
      <x:c r="F375" s="81" t="n"/>
      <x:c r="G375" s="81" t="n"/>
      <x:c r="H375" s="81" t="n"/>
      <x:c r="I375" s="81" t="n"/>
      <x:c r="J375" s="81" t="n"/>
      <x:c r="K375" s="81" t="n"/>
      <x:c r="L375" s="81" t="n"/>
      <x:c r="M375" s="81" t="n"/>
      <x:c r="N375" s="81" t="n"/>
      <x:c r="O375" s="81" t="n"/>
      <x:c r="P375" s="81" t="n"/>
      <x:c r="Q375" s="81" t="n"/>
      <x:c r="R375" s="81" t="n"/>
      <x:c r="S375" s="81" t="n"/>
      <x:c r="T375" s="81" t="n"/>
      <x:c r="U375" s="81" t="n"/>
      <x:c r="V375" s="81" t="n"/>
      <x:c r="W375" s="81" t="n"/>
      <x:c r="X375" s="81" t="n"/>
      <x:c r="Y375" s="81" t="n"/>
      <x:c r="Z375" s="81" t="n"/>
      <x:c r="AA375" s="81" t="n"/>
      <x:c r="AB375" s="81" t="n"/>
      <x:c r="AC375" s="81" t="n"/>
      <x:c r="AD375" s="81" t="n"/>
      <x:c r="AE375" s="81" t="n"/>
      <x:c r="AF375" s="81" t="n"/>
      <x:c r="AG375" s="81" t="n"/>
      <x:c r="AH375" s="81" t="n"/>
      <x:c r="AI375" s="81" t="n"/>
    </x:row>
    <x:row r="376">
      <x:c r="A376" s="81" t="n"/>
      <x:c r="B376" s="81" t="n"/>
      <x:c r="C376" s="81" t="n"/>
      <x:c r="D376" s="81" t="n"/>
      <x:c r="E376" s="81" t="n"/>
      <x:c r="F376" s="81" t="n"/>
      <x:c r="G376" s="81" t="n"/>
      <x:c r="H376" s="81" t="n"/>
      <x:c r="I376" s="81" t="n"/>
      <x:c r="J376" s="81" t="n"/>
      <x:c r="K376" s="81" t="n"/>
      <x:c r="L376" s="81" t="n"/>
      <x:c r="M376" s="81" t="n"/>
      <x:c r="N376" s="81" t="n"/>
      <x:c r="O376" s="81" t="n"/>
      <x:c r="P376" s="81" t="n"/>
      <x:c r="Q376" s="81" t="n"/>
      <x:c r="R376" s="81" t="n"/>
      <x:c r="S376" s="81" t="n"/>
      <x:c r="T376" s="81" t="n"/>
      <x:c r="U376" s="81" t="n"/>
      <x:c r="V376" s="81" t="n"/>
      <x:c r="W376" s="81" t="n"/>
      <x:c r="X376" s="81" t="n"/>
      <x:c r="Y376" s="81" t="n"/>
      <x:c r="Z376" s="81" t="n"/>
      <x:c r="AA376" s="81" t="n"/>
      <x:c r="AB376" s="81" t="n"/>
      <x:c r="AC376" s="81" t="n"/>
      <x:c r="AD376" s="81" t="n"/>
      <x:c r="AE376" s="81" t="n"/>
      <x:c r="AF376" s="81" t="n"/>
      <x:c r="AG376" s="81" t="n"/>
      <x:c r="AH376" s="81" t="n"/>
      <x:c r="AI376" s="81" t="n"/>
    </x:row>
    <x:row r="377">
      <x:c r="A377" s="81" t="n"/>
      <x:c r="B377" s="81" t="n"/>
      <x:c r="C377" s="81" t="n"/>
      <x:c r="D377" s="81" t="n"/>
      <x:c r="E377" s="81" t="n"/>
      <x:c r="F377" s="81" t="n"/>
      <x:c r="G377" s="81" t="n"/>
      <x:c r="H377" s="81" t="n"/>
      <x:c r="I377" s="81" t="n"/>
      <x:c r="J377" s="81" t="n"/>
      <x:c r="K377" s="81" t="n"/>
      <x:c r="L377" s="81" t="n"/>
      <x:c r="M377" s="81" t="n"/>
      <x:c r="N377" s="81" t="n"/>
      <x:c r="O377" s="81" t="n"/>
      <x:c r="P377" s="81" t="n"/>
      <x:c r="Q377" s="81" t="n"/>
      <x:c r="R377" s="81" t="n"/>
      <x:c r="S377" s="81" t="n"/>
      <x:c r="T377" s="81" t="n"/>
      <x:c r="U377" s="81" t="n"/>
      <x:c r="V377" s="81" t="n"/>
      <x:c r="W377" s="81" t="n"/>
      <x:c r="X377" s="81" t="n"/>
      <x:c r="Y377" s="81" t="n"/>
      <x:c r="Z377" s="81" t="n"/>
      <x:c r="AA377" s="81" t="n"/>
      <x:c r="AB377" s="81" t="n"/>
      <x:c r="AC377" s="81" t="n"/>
      <x:c r="AD377" s="81" t="n"/>
      <x:c r="AE377" s="81" t="n"/>
      <x:c r="AF377" s="81" t="n"/>
      <x:c r="AG377" s="81" t="n"/>
      <x:c r="AH377" s="81" t="n"/>
      <x:c r="AI377" s="81" t="n"/>
    </x:row>
    <x:row r="378">
      <x:c r="A378" s="81" t="n"/>
      <x:c r="B378" s="81" t="n"/>
      <x:c r="C378" s="81" t="n"/>
      <x:c r="D378" s="81" t="n"/>
      <x:c r="E378" s="81" t="n"/>
      <x:c r="F378" s="81" t="n"/>
      <x:c r="G378" s="81" t="n"/>
      <x:c r="H378" s="81" t="n"/>
      <x:c r="I378" s="81" t="n"/>
      <x:c r="J378" s="81" t="n"/>
      <x:c r="K378" s="81" t="n"/>
      <x:c r="L378" s="81" t="n"/>
      <x:c r="M378" s="81" t="n"/>
      <x:c r="N378" s="81" t="n"/>
      <x:c r="O378" s="81" t="n"/>
      <x:c r="P378" s="81" t="n"/>
      <x:c r="Q378" s="81" t="n"/>
      <x:c r="R378" s="81" t="n"/>
      <x:c r="S378" s="81" t="n"/>
      <x:c r="T378" s="81" t="n"/>
      <x:c r="U378" s="81" t="n"/>
      <x:c r="V378" s="81" t="n"/>
      <x:c r="W378" s="81" t="n"/>
      <x:c r="X378" s="81" t="n"/>
      <x:c r="Y378" s="81" t="n"/>
      <x:c r="Z378" s="81" t="n"/>
      <x:c r="AA378" s="81" t="n"/>
      <x:c r="AB378" s="81" t="n"/>
      <x:c r="AC378" s="81" t="n"/>
      <x:c r="AD378" s="81" t="n"/>
      <x:c r="AE378" s="81" t="n"/>
      <x:c r="AF378" s="81" t="n"/>
      <x:c r="AG378" s="81" t="n"/>
      <x:c r="AH378" s="81" t="n"/>
      <x:c r="AI378" s="81" t="n"/>
    </x:row>
    <x:row r="379">
      <x:c r="A379" s="81" t="n"/>
      <x:c r="B379" s="81" t="n"/>
      <x:c r="C379" s="81" t="n"/>
      <x:c r="D379" s="81" t="n"/>
      <x:c r="E379" s="81" t="n"/>
      <x:c r="F379" s="81" t="n"/>
      <x:c r="G379" s="81" t="n"/>
      <x:c r="H379" s="81" t="n"/>
      <x:c r="I379" s="81" t="n"/>
      <x:c r="J379" s="81" t="n"/>
      <x:c r="K379" s="81" t="n"/>
      <x:c r="L379" s="81" t="n"/>
      <x:c r="M379" s="81" t="n"/>
      <x:c r="N379" s="81" t="n"/>
      <x:c r="O379" s="81" t="n"/>
      <x:c r="P379" s="81" t="n"/>
      <x:c r="Q379" s="81" t="n"/>
      <x:c r="R379" s="81" t="n"/>
      <x:c r="S379" s="81" t="n"/>
      <x:c r="T379" s="81" t="n"/>
      <x:c r="U379" s="81" t="n"/>
      <x:c r="V379" s="81" t="n"/>
      <x:c r="W379" s="81" t="n"/>
      <x:c r="X379" s="81" t="n"/>
      <x:c r="Y379" s="81" t="n"/>
      <x:c r="Z379" s="81" t="n"/>
      <x:c r="AA379" s="81" t="n"/>
      <x:c r="AB379" s="81" t="n"/>
      <x:c r="AC379" s="81" t="n"/>
      <x:c r="AD379" s="81" t="n"/>
      <x:c r="AE379" s="81" t="n"/>
      <x:c r="AF379" s="81" t="n"/>
      <x:c r="AG379" s="81" t="n"/>
      <x:c r="AH379" s="81" t="n"/>
      <x:c r="AI379" s="81" t="n"/>
    </x:row>
    <x:row r="380">
      <x:c r="A380" s="81" t="n"/>
      <x:c r="B380" s="81" t="n"/>
      <x:c r="C380" s="81" t="n"/>
      <x:c r="D380" s="81" t="n"/>
      <x:c r="E380" s="81" t="n"/>
      <x:c r="F380" s="81" t="n"/>
      <x:c r="G380" s="81" t="n"/>
      <x:c r="H380" s="81" t="n"/>
      <x:c r="I380" s="81" t="n"/>
      <x:c r="J380" s="81" t="n"/>
      <x:c r="K380" s="81" t="n"/>
      <x:c r="L380" s="81" t="n"/>
      <x:c r="M380" s="81" t="n"/>
      <x:c r="N380" s="81" t="n"/>
      <x:c r="O380" s="81" t="n"/>
      <x:c r="P380" s="81" t="n"/>
      <x:c r="Q380" s="81" t="n"/>
      <x:c r="R380" s="81" t="n"/>
      <x:c r="S380" s="81" t="n"/>
      <x:c r="T380" s="81" t="n"/>
      <x:c r="U380" s="81" t="n"/>
      <x:c r="V380" s="81" t="n"/>
      <x:c r="W380" s="81" t="n"/>
      <x:c r="X380" s="81" t="n"/>
      <x:c r="Y380" s="81" t="n"/>
      <x:c r="Z380" s="81" t="n"/>
      <x:c r="AA380" s="81" t="n"/>
      <x:c r="AB380" s="81" t="n"/>
      <x:c r="AC380" s="81" t="n"/>
      <x:c r="AD380" s="81" t="n"/>
      <x:c r="AE380" s="81" t="n"/>
      <x:c r="AF380" s="81" t="n"/>
      <x:c r="AG380" s="81" t="n"/>
      <x:c r="AH380" s="81" t="n"/>
      <x:c r="AI380" s="81" t="n"/>
    </x:row>
    <x:row r="381">
      <x:c r="A381" s="81" t="n"/>
      <x:c r="B381" s="81" t="n"/>
      <x:c r="C381" s="81" t="n"/>
      <x:c r="D381" s="81" t="n"/>
      <x:c r="E381" s="81" t="n"/>
      <x:c r="F381" s="81" t="n"/>
      <x:c r="G381" s="81" t="n"/>
      <x:c r="H381" s="81" t="n"/>
      <x:c r="I381" s="81" t="n"/>
      <x:c r="J381" s="81" t="n"/>
      <x:c r="K381" s="81" t="n"/>
      <x:c r="L381" s="81" t="n"/>
      <x:c r="M381" s="81" t="n"/>
      <x:c r="N381" s="81" t="n"/>
      <x:c r="O381" s="81" t="n"/>
      <x:c r="P381" s="81" t="n"/>
      <x:c r="Q381" s="81" t="n"/>
      <x:c r="R381" s="81" t="n"/>
      <x:c r="S381" s="81" t="n"/>
      <x:c r="T381" s="81" t="n"/>
      <x:c r="U381" s="81" t="n"/>
      <x:c r="V381" s="81" t="n"/>
      <x:c r="W381" s="81" t="n"/>
      <x:c r="X381" s="81" t="n"/>
      <x:c r="Y381" s="81" t="n"/>
      <x:c r="Z381" s="81" t="n"/>
      <x:c r="AA381" s="81" t="n"/>
      <x:c r="AB381" s="81" t="n"/>
      <x:c r="AC381" s="81" t="n"/>
      <x:c r="AD381" s="81" t="n"/>
      <x:c r="AE381" s="81" t="n"/>
      <x:c r="AF381" s="81" t="n"/>
      <x:c r="AG381" s="81" t="n"/>
      <x:c r="AH381" s="81" t="n"/>
      <x:c r="AI381" s="81" t="n"/>
    </x:row>
    <x:row r="382">
      <x:c r="A382" s="81" t="n"/>
      <x:c r="B382" s="81" t="n"/>
      <x:c r="C382" s="81" t="n"/>
      <x:c r="D382" s="81" t="n"/>
      <x:c r="E382" s="81" t="n"/>
      <x:c r="F382" s="81" t="n"/>
      <x:c r="G382" s="81" t="n"/>
      <x:c r="H382" s="81" t="n"/>
      <x:c r="I382" s="81" t="n"/>
      <x:c r="J382" s="81" t="n"/>
      <x:c r="K382" s="81" t="n"/>
      <x:c r="L382" s="81" t="n"/>
      <x:c r="M382" s="81" t="n"/>
      <x:c r="N382" s="81" t="n"/>
      <x:c r="O382" s="81" t="n"/>
      <x:c r="P382" s="81" t="n"/>
      <x:c r="Q382" s="81" t="n"/>
      <x:c r="R382" s="81" t="n"/>
      <x:c r="S382" s="81" t="n"/>
      <x:c r="T382" s="81" t="n"/>
      <x:c r="U382" s="81" t="n"/>
      <x:c r="V382" s="81" t="n"/>
      <x:c r="W382" s="81" t="n"/>
      <x:c r="X382" s="81" t="n"/>
      <x:c r="Y382" s="81" t="n"/>
      <x:c r="Z382" s="81" t="n"/>
      <x:c r="AA382" s="81" t="n"/>
      <x:c r="AB382" s="81" t="n"/>
      <x:c r="AC382" s="81" t="n"/>
      <x:c r="AD382" s="81" t="n"/>
      <x:c r="AE382" s="81" t="n"/>
      <x:c r="AF382" s="81" t="n"/>
      <x:c r="AG382" s="81" t="n"/>
      <x:c r="AH382" s="81" t="n"/>
      <x:c r="AI382" s="81" t="n"/>
    </x:row>
    <x:row r="383">
      <x:c r="A383" s="81" t="n"/>
      <x:c r="B383" s="81" t="n"/>
      <x:c r="C383" s="81" t="n"/>
      <x:c r="D383" s="81" t="n"/>
      <x:c r="E383" s="81" t="n"/>
      <x:c r="F383" s="81" t="n"/>
      <x:c r="G383" s="81" t="n"/>
      <x:c r="H383" s="81" t="n"/>
      <x:c r="I383" s="81" t="n"/>
      <x:c r="J383" s="81" t="n"/>
      <x:c r="K383" s="81" t="n"/>
      <x:c r="L383" s="81" t="n"/>
      <x:c r="M383" s="81" t="n"/>
      <x:c r="N383" s="81" t="n"/>
      <x:c r="O383" s="81" t="n"/>
      <x:c r="P383" s="81" t="n"/>
      <x:c r="Q383" s="81" t="n"/>
      <x:c r="R383" s="81" t="n"/>
      <x:c r="S383" s="81" t="n"/>
      <x:c r="T383" s="81" t="n"/>
      <x:c r="U383" s="81" t="n"/>
      <x:c r="V383" s="81" t="n"/>
      <x:c r="W383" s="81" t="n"/>
      <x:c r="X383" s="81" t="n"/>
      <x:c r="Y383" s="81" t="n"/>
      <x:c r="Z383" s="81" t="n"/>
      <x:c r="AA383" s="81" t="n"/>
      <x:c r="AB383" s="81" t="n"/>
      <x:c r="AC383" s="81" t="n"/>
      <x:c r="AD383" s="81" t="n"/>
      <x:c r="AE383" s="81" t="n"/>
      <x:c r="AF383" s="81" t="n"/>
      <x:c r="AG383" s="81" t="n"/>
      <x:c r="AH383" s="81" t="n"/>
      <x:c r="AI383" s="81" t="n"/>
    </x:row>
    <x:row r="384">
      <x:c r="A384" s="81" t="n"/>
      <x:c r="B384" s="81" t="n"/>
      <x:c r="C384" s="81" t="n"/>
      <x:c r="D384" s="81" t="n"/>
      <x:c r="E384" s="81" t="n"/>
      <x:c r="F384" s="81" t="n"/>
      <x:c r="G384" s="81" t="n"/>
      <x:c r="H384" s="81" t="n"/>
      <x:c r="I384" s="81" t="n"/>
      <x:c r="J384" s="81" t="n"/>
      <x:c r="K384" s="81" t="n"/>
      <x:c r="L384" s="81" t="n"/>
      <x:c r="M384" s="81" t="n"/>
      <x:c r="N384" s="81" t="n"/>
      <x:c r="O384" s="81" t="n"/>
      <x:c r="P384" s="81" t="n"/>
      <x:c r="Q384" s="81" t="n"/>
      <x:c r="R384" s="81" t="n"/>
      <x:c r="S384" s="81" t="n"/>
      <x:c r="T384" s="81" t="n"/>
      <x:c r="U384" s="81" t="n"/>
      <x:c r="V384" s="81" t="n"/>
      <x:c r="W384" s="81" t="n"/>
      <x:c r="X384" s="81" t="n"/>
      <x:c r="Y384" s="81" t="n"/>
      <x:c r="Z384" s="81" t="n"/>
      <x:c r="AA384" s="81" t="n"/>
      <x:c r="AB384" s="81" t="n"/>
      <x:c r="AC384" s="81" t="n"/>
      <x:c r="AD384" s="81" t="n"/>
      <x:c r="AE384" s="81" t="n"/>
      <x:c r="AF384" s="81" t="n"/>
      <x:c r="AG384" s="81" t="n"/>
      <x:c r="AH384" s="81" t="n"/>
      <x:c r="AI384" s="81" t="n"/>
    </x:row>
    <x:row r="385">
      <x:c r="A385" s="81" t="n"/>
      <x:c r="B385" s="81" t="n"/>
      <x:c r="C385" s="81" t="n"/>
      <x:c r="D385" s="81" t="n"/>
      <x:c r="E385" s="81" t="n"/>
      <x:c r="F385" s="81" t="n"/>
      <x:c r="G385" s="81" t="n"/>
      <x:c r="H385" s="81" t="n"/>
      <x:c r="I385" s="81" t="n"/>
      <x:c r="J385" s="81" t="n"/>
      <x:c r="K385" s="81" t="n"/>
      <x:c r="L385" s="81" t="n"/>
      <x:c r="M385" s="81" t="n"/>
      <x:c r="N385" s="81" t="n"/>
      <x:c r="O385" s="81" t="n"/>
      <x:c r="P385" s="81" t="n"/>
      <x:c r="Q385" s="81" t="n"/>
      <x:c r="R385" s="81" t="n"/>
      <x:c r="S385" s="81" t="n"/>
      <x:c r="T385" s="81" t="n"/>
      <x:c r="U385" s="81" t="n"/>
      <x:c r="V385" s="81" t="n"/>
      <x:c r="W385" s="81" t="n"/>
      <x:c r="X385" s="81" t="n"/>
      <x:c r="Y385" s="81" t="n"/>
      <x:c r="Z385" s="81" t="n"/>
      <x:c r="AA385" s="81" t="n"/>
      <x:c r="AB385" s="81" t="n"/>
      <x:c r="AC385" s="81" t="n"/>
      <x:c r="AD385" s="81" t="n"/>
      <x:c r="AE385" s="81" t="n"/>
      <x:c r="AF385" s="81" t="n"/>
      <x:c r="AG385" s="81" t="n"/>
      <x:c r="AH385" s="81" t="n"/>
      <x:c r="AI385" s="81" t="n"/>
    </x:row>
    <x:row r="386">
      <x:c r="A386" s="81" t="n"/>
      <x:c r="B386" s="81" t="n"/>
      <x:c r="C386" s="81" t="n"/>
      <x:c r="D386" s="81" t="n"/>
      <x:c r="E386" s="81" t="n"/>
      <x:c r="F386" s="81" t="n"/>
      <x:c r="G386" s="81" t="n"/>
      <x:c r="H386" s="81" t="n"/>
      <x:c r="I386" s="81" t="n"/>
      <x:c r="J386" s="81" t="n"/>
      <x:c r="K386" s="81" t="n"/>
      <x:c r="L386" s="81" t="n"/>
      <x:c r="M386" s="81" t="n"/>
      <x:c r="N386" s="81" t="n"/>
      <x:c r="O386" s="81" t="n"/>
      <x:c r="P386" s="81" t="n"/>
      <x:c r="Q386" s="81" t="n"/>
      <x:c r="R386" s="81" t="n"/>
      <x:c r="S386" s="81" t="n"/>
      <x:c r="T386" s="81" t="n"/>
      <x:c r="U386" s="81" t="n"/>
      <x:c r="V386" s="81" t="n"/>
      <x:c r="W386" s="81" t="n"/>
      <x:c r="X386" s="81" t="n"/>
      <x:c r="Y386" s="81" t="n"/>
      <x:c r="Z386" s="81" t="n"/>
      <x:c r="AA386" s="81" t="n"/>
      <x:c r="AB386" s="81" t="n"/>
      <x:c r="AC386" s="81" t="n"/>
      <x:c r="AD386" s="81" t="n"/>
      <x:c r="AE386" s="81" t="n"/>
      <x:c r="AF386" s="81" t="n"/>
      <x:c r="AG386" s="81" t="n"/>
      <x:c r="AH386" s="81" t="n"/>
      <x:c r="AI386" s="81" t="n"/>
    </x:row>
    <x:row r="387">
      <x:c r="A387" s="81" t="n"/>
      <x:c r="B387" s="81" t="n"/>
      <x:c r="C387" s="81" t="n"/>
      <x:c r="D387" s="81" t="n"/>
      <x:c r="E387" s="81" t="n"/>
      <x:c r="F387" s="81" t="n"/>
      <x:c r="G387" s="81" t="n"/>
      <x:c r="H387" s="81" t="n"/>
      <x:c r="I387" s="81" t="n"/>
      <x:c r="J387" s="81" t="n"/>
      <x:c r="K387" s="81" t="n"/>
      <x:c r="L387" s="81" t="n"/>
      <x:c r="M387" s="81" t="n"/>
      <x:c r="N387" s="81" t="n"/>
      <x:c r="O387" s="81" t="n"/>
      <x:c r="P387" s="81" t="n"/>
      <x:c r="Q387" s="81" t="n"/>
      <x:c r="R387" s="81" t="n"/>
      <x:c r="S387" s="81" t="n"/>
      <x:c r="T387" s="81" t="n"/>
      <x:c r="U387" s="81" t="n"/>
      <x:c r="V387" s="81" t="n"/>
      <x:c r="W387" s="81" t="n"/>
      <x:c r="X387" s="81" t="n"/>
      <x:c r="Y387" s="81" t="n"/>
      <x:c r="Z387" s="81" t="n"/>
      <x:c r="AA387" s="81" t="n"/>
      <x:c r="AB387" s="81" t="n"/>
      <x:c r="AC387" s="81" t="n"/>
      <x:c r="AD387" s="81" t="n"/>
      <x:c r="AE387" s="81" t="n"/>
      <x:c r="AF387" s="81" t="n"/>
      <x:c r="AG387" s="81" t="n"/>
      <x:c r="AH387" s="81" t="n"/>
      <x:c r="AI387" s="81" t="n"/>
    </x:row>
    <x:row r="388">
      <x:c r="A388" s="81" t="n"/>
      <x:c r="B388" s="81" t="n"/>
      <x:c r="C388" s="81" t="n"/>
      <x:c r="D388" s="81" t="n"/>
      <x:c r="E388" s="81" t="n"/>
      <x:c r="F388" s="81" t="n"/>
      <x:c r="G388" s="81" t="n"/>
      <x:c r="H388" s="81" t="n"/>
      <x:c r="I388" s="81" t="n"/>
      <x:c r="J388" s="81" t="n"/>
      <x:c r="K388" s="81" t="n"/>
      <x:c r="L388" s="81" t="n"/>
      <x:c r="M388" s="81" t="n"/>
      <x:c r="N388" s="81" t="n"/>
      <x:c r="O388" s="81" t="n"/>
      <x:c r="P388" s="81" t="n"/>
      <x:c r="Q388" s="81" t="n"/>
      <x:c r="R388" s="81" t="n"/>
      <x:c r="S388" s="81" t="n"/>
      <x:c r="T388" s="81" t="n"/>
      <x:c r="U388" s="81" t="n"/>
      <x:c r="V388" s="81" t="n"/>
      <x:c r="W388" s="81" t="n"/>
      <x:c r="X388" s="81" t="n"/>
      <x:c r="Y388" s="81" t="n"/>
      <x:c r="Z388" s="81" t="n"/>
      <x:c r="AA388" s="81" t="n"/>
      <x:c r="AB388" s="81" t="n"/>
      <x:c r="AC388" s="81" t="n"/>
      <x:c r="AD388" s="81" t="n"/>
      <x:c r="AE388" s="81" t="n"/>
      <x:c r="AF388" s="81" t="n"/>
      <x:c r="AG388" s="81" t="n"/>
      <x:c r="AH388" s="81" t="n"/>
      <x:c r="AI388" s="81" t="n"/>
    </x:row>
    <x:row r="389">
      <x:c r="A389" s="81" t="n"/>
      <x:c r="B389" s="81" t="n"/>
      <x:c r="C389" s="81" t="n"/>
      <x:c r="D389" s="81" t="n"/>
      <x:c r="E389" s="81" t="n"/>
      <x:c r="F389" s="81" t="n"/>
      <x:c r="G389" s="81" t="n"/>
      <x:c r="H389" s="81" t="n"/>
      <x:c r="I389" s="81" t="n"/>
      <x:c r="J389" s="81" t="n"/>
      <x:c r="K389" s="81" t="n"/>
      <x:c r="L389" s="81" t="n"/>
      <x:c r="M389" s="81" t="n"/>
      <x:c r="N389" s="81" t="n"/>
      <x:c r="O389" s="81" t="n"/>
      <x:c r="P389" s="81" t="n"/>
      <x:c r="Q389" s="81" t="n"/>
      <x:c r="R389" s="81" t="n"/>
      <x:c r="S389" s="81" t="n"/>
      <x:c r="T389" s="81" t="n"/>
      <x:c r="U389" s="81" t="n"/>
      <x:c r="V389" s="81" t="n"/>
      <x:c r="W389" s="81" t="n"/>
      <x:c r="X389" s="81" t="n"/>
      <x:c r="Y389" s="81" t="n"/>
      <x:c r="Z389" s="81" t="n"/>
      <x:c r="AA389" s="81" t="n"/>
      <x:c r="AB389" s="81" t="n"/>
      <x:c r="AC389" s="81" t="n"/>
      <x:c r="AD389" s="81" t="n"/>
      <x:c r="AE389" s="81" t="n"/>
      <x:c r="AF389" s="81" t="n"/>
      <x:c r="AG389" s="81" t="n"/>
      <x:c r="AH389" s="81" t="n"/>
      <x:c r="AI389" s="81" t="n"/>
    </x:row>
    <x:row r="390">
      <x:c r="A390" s="81" t="n"/>
      <x:c r="B390" s="81" t="n"/>
      <x:c r="C390" s="81" t="n"/>
      <x:c r="D390" s="81" t="n"/>
      <x:c r="E390" s="81" t="n"/>
      <x:c r="F390" s="81" t="n"/>
      <x:c r="G390" s="81" t="n"/>
      <x:c r="H390" s="81" t="n"/>
      <x:c r="I390" s="81" t="n"/>
      <x:c r="J390" s="81" t="n"/>
      <x:c r="K390" s="81" t="n"/>
      <x:c r="L390" s="81" t="n"/>
      <x:c r="M390" s="81" t="n"/>
      <x:c r="N390" s="81" t="n"/>
      <x:c r="O390" s="81" t="n"/>
      <x:c r="P390" s="81" t="n"/>
      <x:c r="Q390" s="81" t="n"/>
      <x:c r="R390" s="81" t="n"/>
      <x:c r="S390" s="81" t="n"/>
      <x:c r="T390" s="81" t="n"/>
      <x:c r="U390" s="81" t="n"/>
      <x:c r="V390" s="81" t="n"/>
      <x:c r="W390" s="81" t="n"/>
      <x:c r="X390" s="81" t="n"/>
      <x:c r="Y390" s="81" t="n"/>
      <x:c r="Z390" s="81" t="n"/>
      <x:c r="AA390" s="81" t="n"/>
      <x:c r="AB390" s="81" t="n"/>
      <x:c r="AC390" s="81" t="n"/>
      <x:c r="AD390" s="81" t="n"/>
      <x:c r="AE390" s="81" t="n"/>
      <x:c r="AF390" s="81" t="n"/>
      <x:c r="AG390" s="81" t="n"/>
      <x:c r="AH390" s="81" t="n"/>
      <x:c r="AI390" s="81" t="n"/>
    </x:row>
    <x:row r="391">
      <x:c r="A391" s="81" t="n"/>
      <x:c r="B391" s="81" t="n"/>
      <x:c r="C391" s="81" t="n"/>
      <x:c r="D391" s="81" t="n"/>
      <x:c r="E391" s="81" t="n"/>
      <x:c r="F391" s="81" t="n"/>
      <x:c r="G391" s="81" t="n"/>
      <x:c r="H391" s="81" t="n"/>
      <x:c r="I391" s="81" t="n"/>
      <x:c r="J391" s="81" t="n"/>
      <x:c r="K391" s="81" t="n"/>
      <x:c r="L391" s="81" t="n"/>
      <x:c r="M391" s="81" t="n"/>
      <x:c r="N391" s="81" t="n"/>
      <x:c r="O391" s="81" t="n"/>
      <x:c r="P391" s="81" t="n"/>
      <x:c r="Q391" s="81" t="n"/>
      <x:c r="R391" s="81" t="n"/>
      <x:c r="S391" s="81" t="n"/>
      <x:c r="T391" s="81" t="n"/>
      <x:c r="U391" s="81" t="n"/>
      <x:c r="V391" s="81" t="n"/>
      <x:c r="W391" s="81" t="n"/>
      <x:c r="X391" s="81" t="n"/>
      <x:c r="Y391" s="81" t="n"/>
      <x:c r="Z391" s="81" t="n"/>
      <x:c r="AA391" s="81" t="n"/>
      <x:c r="AB391" s="81" t="n"/>
      <x:c r="AC391" s="81" t="n"/>
      <x:c r="AD391" s="81" t="n"/>
      <x:c r="AE391" s="81" t="n"/>
      <x:c r="AF391" s="81" t="n"/>
      <x:c r="AG391" s="81" t="n"/>
      <x:c r="AH391" s="81" t="n"/>
      <x:c r="AI391" s="81" t="n"/>
    </x:row>
    <x:row r="392">
      <x:c r="A392" s="81" t="n"/>
      <x:c r="B392" s="81" t="n"/>
      <x:c r="C392" s="81" t="n"/>
      <x:c r="D392" s="81" t="n"/>
      <x:c r="E392" s="81" t="n"/>
      <x:c r="F392" s="81" t="n"/>
      <x:c r="G392" s="81" t="n"/>
      <x:c r="H392" s="81" t="n"/>
      <x:c r="I392" s="81" t="n"/>
      <x:c r="J392" s="81" t="n"/>
      <x:c r="K392" s="81" t="n"/>
      <x:c r="L392" s="81" t="n"/>
      <x:c r="M392" s="81" t="n"/>
      <x:c r="N392" s="81" t="n"/>
      <x:c r="O392" s="81" t="n"/>
      <x:c r="P392" s="81" t="n"/>
      <x:c r="Q392" s="81" t="n"/>
      <x:c r="R392" s="81" t="n"/>
      <x:c r="S392" s="81" t="n"/>
      <x:c r="T392" s="81" t="n"/>
      <x:c r="U392" s="81" t="n"/>
      <x:c r="V392" s="81" t="n"/>
      <x:c r="W392" s="81" t="n"/>
      <x:c r="X392" s="81" t="n"/>
      <x:c r="Y392" s="81" t="n"/>
      <x:c r="Z392" s="81" t="n"/>
      <x:c r="AA392" s="81" t="n"/>
      <x:c r="AB392" s="81" t="n"/>
      <x:c r="AC392" s="81" t="n"/>
      <x:c r="AD392" s="81" t="n"/>
      <x:c r="AE392" s="81" t="n"/>
      <x:c r="AF392" s="81" t="n"/>
      <x:c r="AG392" s="81" t="n"/>
      <x:c r="AH392" s="81" t="n"/>
      <x:c r="AI392" s="81" t="n"/>
    </x:row>
    <x:row r="393">
      <x:c r="A393" s="81" t="n"/>
      <x:c r="B393" s="81" t="n"/>
      <x:c r="C393" s="81" t="n"/>
      <x:c r="D393" s="81" t="n"/>
      <x:c r="E393" s="81" t="n"/>
      <x:c r="F393" s="81" t="n"/>
      <x:c r="G393" s="81" t="n"/>
      <x:c r="H393" s="81" t="n"/>
      <x:c r="I393" s="81" t="n"/>
      <x:c r="J393" s="81" t="n"/>
      <x:c r="K393" s="81" t="n"/>
      <x:c r="L393" s="81" t="n"/>
      <x:c r="M393" s="81" t="n"/>
      <x:c r="N393" s="81" t="n"/>
      <x:c r="O393" s="81" t="n"/>
      <x:c r="P393" s="81" t="n"/>
      <x:c r="Q393" s="81" t="n"/>
      <x:c r="R393" s="81" t="n"/>
      <x:c r="S393" s="81" t="n"/>
      <x:c r="T393" s="81" t="n"/>
      <x:c r="U393" s="81" t="n"/>
      <x:c r="V393" s="81" t="n"/>
      <x:c r="W393" s="81" t="n"/>
      <x:c r="X393" s="81" t="n"/>
      <x:c r="Y393" s="81" t="n"/>
      <x:c r="Z393" s="81" t="n"/>
      <x:c r="AA393" s="81" t="n"/>
      <x:c r="AB393" s="81" t="n"/>
      <x:c r="AC393" s="81" t="n"/>
      <x:c r="AD393" s="81" t="n"/>
      <x:c r="AE393" s="81" t="n"/>
      <x:c r="AF393" s="81" t="n"/>
      <x:c r="AG393" s="81" t="n"/>
      <x:c r="AH393" s="81" t="n"/>
      <x:c r="AI393" s="81" t="n"/>
    </x:row>
    <x:row r="394">
      <x:c r="A394" s="81" t="n"/>
      <x:c r="B394" s="81" t="n"/>
      <x:c r="C394" s="81" t="n"/>
      <x:c r="D394" s="81" t="n"/>
      <x:c r="E394" s="81" t="n"/>
      <x:c r="F394" s="81" t="n"/>
      <x:c r="G394" s="81" t="n"/>
      <x:c r="H394" s="81" t="n"/>
      <x:c r="I394" s="81" t="n"/>
      <x:c r="J394" s="81" t="n"/>
      <x:c r="K394" s="81" t="n"/>
      <x:c r="L394" s="81" t="n"/>
      <x:c r="M394" s="81" t="n"/>
      <x:c r="N394" s="81" t="n"/>
      <x:c r="O394" s="81" t="n"/>
      <x:c r="P394" s="81" t="n"/>
      <x:c r="Q394" s="81" t="n"/>
      <x:c r="R394" s="81" t="n"/>
      <x:c r="S394" s="81" t="n"/>
      <x:c r="T394" s="81" t="n"/>
      <x:c r="U394" s="81" t="n"/>
      <x:c r="V394" s="81" t="n"/>
      <x:c r="W394" s="81" t="n"/>
      <x:c r="X394" s="81" t="n"/>
      <x:c r="Y394" s="81" t="n"/>
      <x:c r="Z394" s="81" t="n"/>
      <x:c r="AA394" s="81" t="n"/>
      <x:c r="AB394" s="81" t="n"/>
      <x:c r="AC394" s="81" t="n"/>
      <x:c r="AD394" s="81" t="n"/>
      <x:c r="AE394" s="81" t="n"/>
      <x:c r="AF394" s="81" t="n"/>
      <x:c r="AG394" s="81" t="n"/>
      <x:c r="AH394" s="81" t="n"/>
      <x:c r="AI394" s="81" t="n"/>
    </x:row>
    <x:row r="395">
      <x:c r="A395" s="81" t="n"/>
      <x:c r="B395" s="81" t="n"/>
      <x:c r="C395" s="81" t="n"/>
      <x:c r="D395" s="81" t="n"/>
      <x:c r="E395" s="81" t="n"/>
      <x:c r="F395" s="81" t="n"/>
      <x:c r="G395" s="81" t="n"/>
      <x:c r="H395" s="81" t="n"/>
      <x:c r="I395" s="81" t="n"/>
      <x:c r="J395" s="81" t="n"/>
      <x:c r="K395" s="81" t="n"/>
      <x:c r="L395" s="81" t="n"/>
      <x:c r="M395" s="81" t="n"/>
      <x:c r="N395" s="81" t="n"/>
      <x:c r="O395" s="81" t="n"/>
      <x:c r="P395" s="81" t="n"/>
      <x:c r="Q395" s="81" t="n"/>
      <x:c r="R395" s="81" t="n"/>
      <x:c r="S395" s="81" t="n"/>
      <x:c r="T395" s="81" t="n"/>
      <x:c r="U395" s="81" t="n"/>
      <x:c r="V395" s="81" t="n"/>
      <x:c r="W395" s="81" t="n"/>
      <x:c r="X395" s="81" t="n"/>
      <x:c r="Y395" s="81" t="n"/>
      <x:c r="Z395" s="81" t="n"/>
      <x:c r="AA395" s="81" t="n"/>
      <x:c r="AB395" s="81" t="n"/>
      <x:c r="AC395" s="81" t="n"/>
      <x:c r="AD395" s="81" t="n"/>
      <x:c r="AE395" s="81" t="n"/>
      <x:c r="AF395" s="81" t="n"/>
      <x:c r="AG395" s="81" t="n"/>
      <x:c r="AH395" s="81" t="n"/>
      <x:c r="AI395" s="81" t="n"/>
    </x:row>
    <x:row r="396">
      <x:c r="A396" s="81" t="n"/>
      <x:c r="B396" s="81" t="n"/>
      <x:c r="C396" s="81" t="n"/>
      <x:c r="D396" s="81" t="n"/>
      <x:c r="E396" s="81" t="n"/>
      <x:c r="F396" s="81" t="n"/>
      <x:c r="G396" s="81" t="n"/>
      <x:c r="H396" s="81" t="n"/>
      <x:c r="I396" s="81" t="n"/>
      <x:c r="J396" s="81" t="n"/>
      <x:c r="K396" s="81" t="n"/>
      <x:c r="L396" s="81" t="n"/>
      <x:c r="M396" s="81" t="n"/>
      <x:c r="N396" s="81" t="n"/>
      <x:c r="O396" s="81" t="n"/>
      <x:c r="P396" s="81" t="n"/>
      <x:c r="Q396" s="81" t="n"/>
      <x:c r="R396" s="81" t="n"/>
      <x:c r="S396" s="81" t="n"/>
      <x:c r="T396" s="81" t="n"/>
      <x:c r="U396" s="81" t="n"/>
      <x:c r="V396" s="81" t="n"/>
      <x:c r="W396" s="81" t="n"/>
      <x:c r="X396" s="81" t="n"/>
      <x:c r="Y396" s="81" t="n"/>
      <x:c r="Z396" s="81" t="n"/>
      <x:c r="AA396" s="81" t="n"/>
      <x:c r="AB396" s="81" t="n"/>
      <x:c r="AC396" s="81" t="n"/>
      <x:c r="AD396" s="81" t="n"/>
      <x:c r="AE396" s="81" t="n"/>
      <x:c r="AF396" s="81" t="n"/>
      <x:c r="AG396" s="81" t="n"/>
      <x:c r="AH396" s="81" t="n"/>
      <x:c r="AI396" s="81" t="n"/>
    </x:row>
    <x:row r="397">
      <x:c r="A397" s="81" t="n"/>
      <x:c r="B397" s="81" t="n"/>
      <x:c r="C397" s="81" t="n"/>
      <x:c r="D397" s="81" t="n"/>
      <x:c r="E397" s="81" t="n"/>
      <x:c r="F397" s="81" t="n"/>
      <x:c r="G397" s="81" t="n"/>
      <x:c r="H397" s="81" t="n"/>
      <x:c r="I397" s="81" t="n"/>
      <x:c r="J397" s="81" t="n"/>
      <x:c r="K397" s="81" t="n"/>
      <x:c r="L397" s="81" t="n"/>
      <x:c r="M397" s="81" t="n"/>
      <x:c r="N397" s="81" t="n"/>
      <x:c r="O397" s="81" t="n"/>
      <x:c r="P397" s="81" t="n"/>
      <x:c r="Q397" s="81" t="n"/>
      <x:c r="R397" s="81" t="n"/>
      <x:c r="S397" s="81" t="n"/>
      <x:c r="T397" s="81" t="n"/>
      <x:c r="U397" s="81" t="n"/>
      <x:c r="V397" s="81" t="n"/>
      <x:c r="W397" s="81" t="n"/>
      <x:c r="X397" s="81" t="n"/>
      <x:c r="Y397" s="81" t="n"/>
      <x:c r="Z397" s="81" t="n"/>
      <x:c r="AA397" s="81" t="n"/>
      <x:c r="AB397" s="81" t="n"/>
      <x:c r="AC397" s="81" t="n"/>
      <x:c r="AD397" s="81" t="n"/>
      <x:c r="AE397" s="81" t="n"/>
      <x:c r="AF397" s="81" t="n"/>
      <x:c r="AG397" s="81" t="n"/>
      <x:c r="AH397" s="81" t="n"/>
      <x:c r="AI397" s="81" t="n"/>
    </x:row>
    <x:row r="398">
      <x:c r="A398" s="81" t="n"/>
      <x:c r="B398" s="81" t="n"/>
      <x:c r="C398" s="81" t="n"/>
      <x:c r="D398" s="81" t="n"/>
      <x:c r="E398" s="81" t="n"/>
      <x:c r="F398" s="81" t="n"/>
      <x:c r="G398" s="81" t="n"/>
      <x:c r="H398" s="81" t="n"/>
      <x:c r="I398" s="81" t="n"/>
      <x:c r="J398" s="81" t="n"/>
      <x:c r="K398" s="81" t="n"/>
      <x:c r="L398" s="81" t="n"/>
      <x:c r="M398" s="81" t="n"/>
      <x:c r="N398" s="81" t="n"/>
      <x:c r="O398" s="81" t="n"/>
      <x:c r="P398" s="81" t="n"/>
      <x:c r="Q398" s="81" t="n"/>
      <x:c r="R398" s="81" t="n"/>
      <x:c r="S398" s="81" t="n"/>
      <x:c r="T398" s="81" t="n"/>
      <x:c r="U398" s="81" t="n"/>
      <x:c r="V398" s="81" t="n"/>
      <x:c r="W398" s="81" t="n"/>
      <x:c r="X398" s="81" t="n"/>
      <x:c r="Y398" s="81" t="n"/>
      <x:c r="Z398" s="81" t="n"/>
      <x:c r="AA398" s="81" t="n"/>
      <x:c r="AB398" s="81" t="n"/>
      <x:c r="AC398" s="81" t="n"/>
      <x:c r="AD398" s="81" t="n"/>
      <x:c r="AE398" s="81" t="n"/>
      <x:c r="AF398" s="81" t="n"/>
      <x:c r="AG398" s="81" t="n"/>
      <x:c r="AH398" s="81" t="n"/>
      <x:c r="AI398" s="81" t="n"/>
    </x:row>
    <x:row r="399">
      <x:c r="A399" s="81" t="n"/>
      <x:c r="B399" s="81" t="n"/>
      <x:c r="C399" s="81" t="n"/>
      <x:c r="D399" s="81" t="n"/>
      <x:c r="E399" s="81" t="n"/>
      <x:c r="F399" s="81" t="n"/>
      <x:c r="G399" s="81" t="n"/>
      <x:c r="H399" s="81" t="n"/>
      <x:c r="I399" s="81" t="n"/>
      <x:c r="J399" s="81" t="n"/>
      <x:c r="K399" s="81" t="n"/>
      <x:c r="L399" s="81" t="n"/>
      <x:c r="M399" s="81" t="n"/>
      <x:c r="N399" s="81" t="n"/>
      <x:c r="O399" s="81" t="n"/>
      <x:c r="P399" s="81" t="n"/>
      <x:c r="Q399" s="81" t="n"/>
      <x:c r="R399" s="81" t="n"/>
      <x:c r="S399" s="81" t="n"/>
      <x:c r="T399" s="81" t="n"/>
      <x:c r="U399" s="81" t="n"/>
      <x:c r="V399" s="81" t="n"/>
      <x:c r="W399" s="81" t="n"/>
      <x:c r="X399" s="81" t="n"/>
      <x:c r="Y399" s="81" t="n"/>
      <x:c r="Z399" s="81" t="n"/>
      <x:c r="AA399" s="81" t="n"/>
      <x:c r="AB399" s="81" t="n"/>
      <x:c r="AC399" s="81" t="n"/>
      <x:c r="AD399" s="81" t="n"/>
      <x:c r="AE399" s="81" t="n"/>
      <x:c r="AF399" s="81" t="n"/>
      <x:c r="AG399" s="81" t="n"/>
      <x:c r="AH399" s="81" t="n"/>
      <x:c r="AI399" s="81" t="n"/>
    </x:row>
    <x:row r="400">
      <x:c r="A400" s="81" t="n"/>
      <x:c r="B400" s="81" t="n"/>
      <x:c r="C400" s="81" t="n"/>
      <x:c r="D400" s="81" t="n"/>
      <x:c r="E400" s="81" t="n"/>
      <x:c r="F400" s="81" t="n"/>
      <x:c r="G400" s="81" t="n"/>
      <x:c r="H400" s="81" t="n"/>
      <x:c r="I400" s="81" t="n"/>
      <x:c r="J400" s="81" t="n"/>
      <x:c r="K400" s="81" t="n"/>
      <x:c r="L400" s="81" t="n"/>
      <x:c r="M400" s="81" t="n"/>
      <x:c r="N400" s="81" t="n"/>
      <x:c r="O400" s="81" t="n"/>
      <x:c r="P400" s="81" t="n"/>
      <x:c r="Q400" s="81" t="n"/>
      <x:c r="R400" s="81" t="n"/>
      <x:c r="S400" s="81" t="n"/>
      <x:c r="T400" s="81" t="n"/>
      <x:c r="U400" s="81" t="n"/>
      <x:c r="V400" s="81" t="n"/>
      <x:c r="W400" s="81" t="n"/>
      <x:c r="X400" s="81" t="n"/>
      <x:c r="Y400" s="81" t="n"/>
      <x:c r="Z400" s="81" t="n"/>
      <x:c r="AA400" s="81" t="n"/>
      <x:c r="AB400" s="81" t="n"/>
      <x:c r="AC400" s="81" t="n"/>
      <x:c r="AD400" s="81" t="n"/>
      <x:c r="AE400" s="81" t="n"/>
      <x:c r="AF400" s="81" t="n"/>
      <x:c r="AG400" s="81" t="n"/>
      <x:c r="AH400" s="81" t="n"/>
      <x:c r="AI400" s="81" t="n"/>
    </x:row>
    <x:row r="401">
      <x:c r="A401" s="81" t="n"/>
      <x:c r="B401" s="81" t="n"/>
      <x:c r="C401" s="81" t="n"/>
      <x:c r="D401" s="81" t="n"/>
      <x:c r="E401" s="81" t="n"/>
      <x:c r="F401" s="81" t="n"/>
      <x:c r="G401" s="81" t="n"/>
      <x:c r="H401" s="81" t="n"/>
      <x:c r="I401" s="81" t="n"/>
      <x:c r="J401" s="81" t="n"/>
      <x:c r="K401" s="81" t="n"/>
      <x:c r="L401" s="81" t="n"/>
      <x:c r="M401" s="81" t="n"/>
      <x:c r="N401" s="81" t="n"/>
      <x:c r="O401" s="81" t="n"/>
      <x:c r="P401" s="81" t="n"/>
      <x:c r="Q401" s="81" t="n"/>
      <x:c r="R401" s="81" t="n"/>
      <x:c r="S401" s="81" t="n"/>
      <x:c r="T401" s="81" t="n"/>
      <x:c r="U401" s="81" t="n"/>
      <x:c r="V401" s="81" t="n"/>
      <x:c r="W401" s="81" t="n"/>
      <x:c r="X401" s="81" t="n"/>
      <x:c r="Y401" s="81" t="n"/>
      <x:c r="Z401" s="81" t="n"/>
      <x:c r="AA401" s="81" t="n"/>
      <x:c r="AB401" s="81" t="n"/>
      <x:c r="AC401" s="81" t="n"/>
      <x:c r="AD401" s="81" t="n"/>
      <x:c r="AE401" s="81" t="n"/>
      <x:c r="AF401" s="81" t="n"/>
      <x:c r="AG401" s="81" t="n"/>
      <x:c r="AH401" s="81" t="n"/>
      <x:c r="AI401" s="81" t="n"/>
    </x:row>
    <x:row r="402">
      <x:c r="A402" s="81" t="n"/>
      <x:c r="B402" s="81" t="n"/>
      <x:c r="C402" s="81" t="n"/>
      <x:c r="D402" s="81" t="n"/>
      <x:c r="E402" s="81" t="n"/>
      <x:c r="F402" s="81" t="n"/>
      <x:c r="G402" s="81" t="n"/>
      <x:c r="H402" s="81" t="n"/>
      <x:c r="I402" s="81" t="n"/>
      <x:c r="J402" s="81" t="n"/>
      <x:c r="K402" s="81" t="n"/>
      <x:c r="L402" s="81" t="n"/>
      <x:c r="M402" s="81" t="n"/>
      <x:c r="N402" s="81" t="n"/>
      <x:c r="O402" s="81" t="n"/>
      <x:c r="P402" s="81" t="n"/>
      <x:c r="Q402" s="81" t="n"/>
      <x:c r="R402" s="81" t="n"/>
      <x:c r="S402" s="81" t="n"/>
      <x:c r="T402" s="81" t="n"/>
      <x:c r="U402" s="81" t="n"/>
      <x:c r="V402" s="81" t="n"/>
      <x:c r="W402" s="81" t="n"/>
      <x:c r="X402" s="81" t="n"/>
      <x:c r="Y402" s="81" t="n"/>
      <x:c r="Z402" s="81" t="n"/>
      <x:c r="AA402" s="81" t="n"/>
      <x:c r="AB402" s="81" t="n"/>
      <x:c r="AC402" s="81" t="n"/>
      <x:c r="AD402" s="81" t="n"/>
      <x:c r="AE402" s="81" t="n"/>
      <x:c r="AF402" s="81" t="n"/>
      <x:c r="AG402" s="81" t="n"/>
      <x:c r="AH402" s="81" t="n"/>
      <x:c r="AI402" s="81" t="n"/>
    </x:row>
    <x:row r="403">
      <x:c r="A403" s="81" t="n"/>
      <x:c r="B403" s="81" t="n"/>
      <x:c r="C403" s="81" t="n"/>
      <x:c r="D403" s="81" t="n"/>
      <x:c r="E403" s="81" t="n"/>
      <x:c r="F403" s="81" t="n"/>
      <x:c r="G403" s="81" t="n"/>
      <x:c r="H403" s="81" t="n"/>
      <x:c r="I403" s="81" t="n"/>
      <x:c r="J403" s="81" t="n"/>
      <x:c r="K403" s="81" t="n"/>
      <x:c r="L403" s="81" t="n"/>
      <x:c r="M403" s="81" t="n"/>
      <x:c r="N403" s="81" t="n"/>
      <x:c r="O403" s="81" t="n"/>
      <x:c r="P403" s="81" t="n"/>
      <x:c r="Q403" s="81" t="n"/>
      <x:c r="R403" s="81" t="n"/>
      <x:c r="S403" s="81" t="n"/>
      <x:c r="T403" s="81" t="n"/>
      <x:c r="U403" s="81" t="n"/>
      <x:c r="V403" s="81" t="n"/>
      <x:c r="W403" s="81" t="n"/>
      <x:c r="X403" s="81" t="n"/>
      <x:c r="Y403" s="81" t="n"/>
      <x:c r="Z403" s="81" t="n"/>
      <x:c r="AA403" s="81" t="n"/>
      <x:c r="AB403" s="81" t="n"/>
      <x:c r="AC403" s="81" t="n"/>
      <x:c r="AD403" s="81" t="n"/>
      <x:c r="AE403" s="81" t="n"/>
      <x:c r="AF403" s="81" t="n"/>
      <x:c r="AG403" s="81" t="n"/>
      <x:c r="AH403" s="81" t="n"/>
      <x:c r="AI403" s="81" t="n"/>
    </x:row>
    <x:row r="404">
      <x:c r="A404" s="81" t="n"/>
      <x:c r="B404" s="81" t="n"/>
      <x:c r="C404" s="81" t="n"/>
      <x:c r="D404" s="81" t="n"/>
      <x:c r="E404" s="81" t="n"/>
      <x:c r="F404" s="81" t="n"/>
      <x:c r="G404" s="81" t="n"/>
      <x:c r="H404" s="81" t="n"/>
      <x:c r="I404" s="81" t="n"/>
      <x:c r="J404" s="81" t="n"/>
      <x:c r="K404" s="81" t="n"/>
      <x:c r="L404" s="81" t="n"/>
      <x:c r="M404" s="81" t="n"/>
      <x:c r="N404" s="81" t="n"/>
      <x:c r="O404" s="81" t="n"/>
      <x:c r="P404" s="81" t="n"/>
      <x:c r="Q404" s="81" t="n"/>
      <x:c r="R404" s="81" t="n"/>
      <x:c r="S404" s="81" t="n"/>
      <x:c r="T404" s="81" t="n"/>
      <x:c r="U404" s="81" t="n"/>
      <x:c r="V404" s="81" t="n"/>
      <x:c r="W404" s="81" t="n"/>
      <x:c r="X404" s="81" t="n"/>
      <x:c r="Y404" s="81" t="n"/>
      <x:c r="Z404" s="81" t="n"/>
      <x:c r="AA404" s="81" t="n"/>
      <x:c r="AB404" s="81" t="n"/>
      <x:c r="AC404" s="81" t="n"/>
      <x:c r="AD404" s="81" t="n"/>
      <x:c r="AE404" s="81" t="n"/>
      <x:c r="AF404" s="81" t="n"/>
      <x:c r="AG404" s="81" t="n"/>
      <x:c r="AH404" s="81" t="n"/>
      <x:c r="AI404" s="81" t="n"/>
    </x:row>
    <x:row r="405">
      <x:c r="A405" s="81" t="n"/>
      <x:c r="B405" s="81" t="n"/>
      <x:c r="C405" s="81" t="n"/>
      <x:c r="D405" s="81" t="n"/>
      <x:c r="E405" s="81" t="n"/>
      <x:c r="F405" s="81" t="n"/>
      <x:c r="G405" s="81" t="n"/>
      <x:c r="H405" s="81" t="n"/>
      <x:c r="I405" s="81" t="n"/>
      <x:c r="J405" s="81" t="n"/>
      <x:c r="K405" s="81" t="n"/>
      <x:c r="L405" s="81" t="n"/>
      <x:c r="M405" s="81" t="n"/>
      <x:c r="N405" s="81" t="n"/>
      <x:c r="O405" s="81" t="n"/>
      <x:c r="P405" s="81" t="n"/>
      <x:c r="Q405" s="81" t="n"/>
      <x:c r="R405" s="81" t="n"/>
      <x:c r="S405" s="81" t="n"/>
      <x:c r="T405" s="81" t="n"/>
      <x:c r="U405" s="81" t="n"/>
      <x:c r="V405" s="81" t="n"/>
      <x:c r="W405" s="81" t="n"/>
      <x:c r="X405" s="81" t="n"/>
      <x:c r="Y405" s="81" t="n"/>
      <x:c r="Z405" s="81" t="n"/>
      <x:c r="AA405" s="81" t="n"/>
      <x:c r="AB405" s="81" t="n"/>
      <x:c r="AC405" s="81" t="n"/>
      <x:c r="AD405" s="81" t="n"/>
      <x:c r="AE405" s="81" t="n"/>
      <x:c r="AF405" s="81" t="n"/>
      <x:c r="AG405" s="81" t="n"/>
      <x:c r="AH405" s="81" t="n"/>
      <x:c r="AI405" s="81" t="n"/>
    </x:row>
    <x:row r="406">
      <x:c r="A406" s="81" t="n"/>
      <x:c r="B406" s="81" t="n"/>
      <x:c r="C406" s="81" t="n"/>
      <x:c r="D406" s="81" t="n"/>
      <x:c r="E406" s="81" t="n"/>
      <x:c r="F406" s="81" t="n"/>
      <x:c r="G406" s="81" t="n"/>
      <x:c r="H406" s="81" t="n"/>
      <x:c r="I406" s="81" t="n"/>
      <x:c r="J406" s="81" t="n"/>
      <x:c r="K406" s="81" t="n"/>
      <x:c r="L406" s="81" t="n"/>
      <x:c r="M406" s="81" t="n"/>
      <x:c r="N406" s="81" t="n"/>
      <x:c r="O406" s="81" t="n"/>
      <x:c r="P406" s="81" t="n"/>
      <x:c r="Q406" s="81" t="n"/>
      <x:c r="R406" s="81" t="n"/>
      <x:c r="S406" s="81" t="n"/>
      <x:c r="T406" s="81" t="n"/>
      <x:c r="U406" s="81" t="n"/>
      <x:c r="V406" s="81" t="n"/>
      <x:c r="W406" s="81" t="n"/>
      <x:c r="X406" s="81" t="n"/>
      <x:c r="Y406" s="81" t="n"/>
      <x:c r="Z406" s="81" t="n"/>
      <x:c r="AA406" s="81" t="n"/>
      <x:c r="AB406" s="81" t="n"/>
      <x:c r="AC406" s="81" t="n"/>
      <x:c r="AD406" s="81" t="n"/>
      <x:c r="AE406" s="81" t="n"/>
      <x:c r="AF406" s="81" t="n"/>
      <x:c r="AG406" s="81" t="n"/>
      <x:c r="AH406" s="81" t="n"/>
      <x:c r="AI406" s="81" t="n"/>
    </x:row>
    <x:row r="407">
      <x:c r="A407" s="81" t="n"/>
      <x:c r="B407" s="81" t="n"/>
      <x:c r="C407" s="81" t="n"/>
      <x:c r="D407" s="81" t="n"/>
      <x:c r="E407" s="81" t="n"/>
      <x:c r="F407" s="81" t="n"/>
      <x:c r="G407" s="81" t="n"/>
      <x:c r="H407" s="81" t="n"/>
      <x:c r="I407" s="81" t="n"/>
      <x:c r="J407" s="81" t="n"/>
      <x:c r="K407" s="81" t="n"/>
      <x:c r="L407" s="81" t="n"/>
      <x:c r="M407" s="81" t="n"/>
      <x:c r="N407" s="81" t="n"/>
      <x:c r="O407" s="81" t="n"/>
      <x:c r="P407" s="81" t="n"/>
      <x:c r="Q407" s="81" t="n"/>
      <x:c r="R407" s="81" t="n"/>
      <x:c r="S407" s="81" t="n"/>
      <x:c r="T407" s="81" t="n"/>
      <x:c r="U407" s="81" t="n"/>
      <x:c r="V407" s="81" t="n"/>
      <x:c r="W407" s="81" t="n"/>
      <x:c r="X407" s="81" t="n"/>
      <x:c r="Y407" s="81" t="n"/>
      <x:c r="Z407" s="81" t="n"/>
      <x:c r="AA407" s="81" t="n"/>
      <x:c r="AB407" s="81" t="n"/>
      <x:c r="AC407" s="81" t="n"/>
      <x:c r="AD407" s="81" t="n"/>
      <x:c r="AE407" s="81" t="n"/>
      <x:c r="AF407" s="81" t="n"/>
      <x:c r="AG407" s="81" t="n"/>
      <x:c r="AH407" s="81" t="n"/>
      <x:c r="AI407" s="81" t="n"/>
    </x:row>
    <x:row r="408">
      <x:c r="A408" s="81" t="n"/>
      <x:c r="B408" s="81" t="n"/>
      <x:c r="C408" s="81" t="n"/>
      <x:c r="D408" s="81" t="n"/>
      <x:c r="E408" s="81" t="n"/>
      <x:c r="F408" s="81" t="n"/>
      <x:c r="G408" s="81" t="n"/>
      <x:c r="H408" s="81" t="n"/>
      <x:c r="I408" s="81" t="n"/>
      <x:c r="J408" s="81" t="n"/>
      <x:c r="K408" s="81" t="n"/>
      <x:c r="L408" s="81" t="n"/>
      <x:c r="M408" s="81" t="n"/>
      <x:c r="N408" s="81" t="n"/>
      <x:c r="O408" s="81" t="n"/>
      <x:c r="P408" s="81" t="n"/>
      <x:c r="Q408" s="81" t="n"/>
      <x:c r="R408" s="81" t="n"/>
      <x:c r="S408" s="81" t="n"/>
      <x:c r="T408" s="81" t="n"/>
      <x:c r="U408" s="81" t="n"/>
      <x:c r="V408" s="81" t="n"/>
      <x:c r="W408" s="81" t="n"/>
      <x:c r="X408" s="81" t="n"/>
      <x:c r="Y408" s="81" t="n"/>
      <x:c r="Z408" s="81" t="n"/>
      <x:c r="AA408" s="81" t="n"/>
      <x:c r="AB408" s="81" t="n"/>
      <x:c r="AC408" s="81" t="n"/>
      <x:c r="AD408" s="81" t="n"/>
      <x:c r="AE408" s="81" t="n"/>
      <x:c r="AF408" s="81" t="n"/>
      <x:c r="AG408" s="81" t="n"/>
      <x:c r="AH408" s="81" t="n"/>
      <x:c r="AI408" s="81" t="n"/>
    </x:row>
    <x:row r="409">
      <x:c r="A409" s="81" t="n"/>
      <x:c r="B409" s="81" t="n"/>
      <x:c r="C409" s="81" t="n"/>
      <x:c r="D409" s="81" t="n"/>
      <x:c r="E409" s="81" t="n"/>
      <x:c r="F409" s="81" t="n"/>
      <x:c r="G409" s="81" t="n"/>
      <x:c r="H409" s="81" t="n"/>
      <x:c r="I409" s="81" t="n"/>
      <x:c r="J409" s="81" t="n"/>
      <x:c r="K409" s="81" t="n"/>
      <x:c r="L409" s="81" t="n"/>
      <x:c r="M409" s="81" t="n"/>
      <x:c r="N409" s="81" t="n"/>
      <x:c r="O409" s="81" t="n"/>
      <x:c r="P409" s="81" t="n"/>
      <x:c r="Q409" s="81" t="n"/>
      <x:c r="R409" s="81" t="n"/>
      <x:c r="S409" s="81" t="n"/>
      <x:c r="T409" s="81" t="n"/>
      <x:c r="U409" s="81" t="n"/>
      <x:c r="V409" s="81" t="n"/>
      <x:c r="W409" s="81" t="n"/>
      <x:c r="X409" s="81" t="n"/>
      <x:c r="Y409" s="81" t="n"/>
      <x:c r="Z409" s="81" t="n"/>
      <x:c r="AA409" s="81" t="n"/>
      <x:c r="AB409" s="81" t="n"/>
      <x:c r="AC409" s="81" t="n"/>
      <x:c r="AD409" s="81" t="n"/>
      <x:c r="AE409" s="81" t="n"/>
      <x:c r="AF409" s="81" t="n"/>
      <x:c r="AG409" s="81" t="n"/>
      <x:c r="AH409" s="81" t="n"/>
      <x:c r="AI409" s="81" t="n"/>
    </x:row>
    <x:row r="410">
      <x:c r="A410" s="81" t="n"/>
      <x:c r="B410" s="81" t="n"/>
      <x:c r="C410" s="81" t="n"/>
      <x:c r="D410" s="81" t="n"/>
      <x:c r="E410" s="81" t="n"/>
      <x:c r="F410" s="81" t="n"/>
      <x:c r="G410" s="81" t="n"/>
      <x:c r="H410" s="81" t="n"/>
      <x:c r="I410" s="81" t="n"/>
      <x:c r="J410" s="81" t="n"/>
      <x:c r="K410" s="81" t="n"/>
      <x:c r="L410" s="81" t="n"/>
      <x:c r="M410" s="81" t="n"/>
      <x:c r="N410" s="81" t="n"/>
      <x:c r="O410" s="81" t="n"/>
      <x:c r="P410" s="81" t="n"/>
      <x:c r="Q410" s="81" t="n"/>
      <x:c r="R410" s="81" t="n"/>
      <x:c r="S410" s="81" t="n"/>
      <x:c r="T410" s="81" t="n"/>
      <x:c r="U410" s="81" t="n"/>
      <x:c r="V410" s="81" t="n"/>
      <x:c r="W410" s="81" t="n"/>
      <x:c r="X410" s="81" t="n"/>
      <x:c r="Y410" s="81" t="n"/>
      <x:c r="Z410" s="81" t="n"/>
      <x:c r="AA410" s="81" t="n"/>
      <x:c r="AB410" s="81" t="n"/>
      <x:c r="AC410" s="81" t="n"/>
      <x:c r="AD410" s="81" t="n"/>
      <x:c r="AE410" s="81" t="n"/>
      <x:c r="AF410" s="81" t="n"/>
      <x:c r="AG410" s="81" t="n"/>
      <x:c r="AH410" s="81" t="n"/>
      <x:c r="AI410" s="81" t="n"/>
    </x:row>
    <x:row r="411">
      <x:c r="A411" s="81" t="n"/>
      <x:c r="B411" s="81" t="n"/>
      <x:c r="C411" s="81" t="n"/>
      <x:c r="D411" s="81" t="n"/>
      <x:c r="E411" s="81" t="n"/>
      <x:c r="F411" s="81" t="n"/>
      <x:c r="G411" s="81" t="n"/>
      <x:c r="H411" s="81" t="n"/>
      <x:c r="I411" s="81" t="n"/>
      <x:c r="J411" s="81" t="n"/>
      <x:c r="K411" s="81" t="n"/>
      <x:c r="L411" s="81" t="n"/>
      <x:c r="M411" s="81" t="n"/>
      <x:c r="N411" s="81" t="n"/>
      <x:c r="O411" s="81" t="n"/>
      <x:c r="P411" s="81" t="n"/>
      <x:c r="Q411" s="81" t="n"/>
      <x:c r="R411" s="81" t="n"/>
      <x:c r="S411" s="81" t="n"/>
      <x:c r="T411" s="81" t="n"/>
      <x:c r="U411" s="81" t="n"/>
      <x:c r="V411" s="81" t="n"/>
      <x:c r="W411" s="81" t="n"/>
      <x:c r="X411" s="81" t="n"/>
      <x:c r="Y411" s="81" t="n"/>
      <x:c r="Z411" s="81" t="n"/>
      <x:c r="AA411" s="81" t="n"/>
      <x:c r="AB411" s="81" t="n"/>
      <x:c r="AC411" s="81" t="n"/>
      <x:c r="AD411" s="81" t="n"/>
      <x:c r="AE411" s="81" t="n"/>
      <x:c r="AF411" s="81" t="n"/>
      <x:c r="AG411" s="81" t="n"/>
      <x:c r="AH411" s="81" t="n"/>
      <x:c r="AI411" s="81" t="n"/>
    </x:row>
    <x:row r="412">
      <x:c r="A412" s="81" t="n"/>
      <x:c r="B412" s="81" t="n"/>
      <x:c r="C412" s="81" t="n"/>
      <x:c r="D412" s="81" t="n"/>
      <x:c r="E412" s="81" t="n"/>
      <x:c r="F412" s="81" t="n"/>
      <x:c r="G412" s="81" t="n"/>
      <x:c r="H412" s="81" t="n"/>
      <x:c r="I412" s="81" t="n"/>
      <x:c r="J412" s="81" t="n"/>
      <x:c r="K412" s="81" t="n"/>
      <x:c r="L412" s="81" t="n"/>
      <x:c r="M412" s="81" t="n"/>
      <x:c r="N412" s="81" t="n"/>
      <x:c r="O412" s="81" t="n"/>
      <x:c r="P412" s="81" t="n"/>
      <x:c r="Q412" s="81" t="n"/>
      <x:c r="R412" s="81" t="n"/>
      <x:c r="S412" s="81" t="n"/>
      <x:c r="T412" s="81" t="n"/>
      <x:c r="U412" s="81" t="n"/>
      <x:c r="V412" s="81" t="n"/>
      <x:c r="W412" s="81" t="n"/>
      <x:c r="X412" s="81" t="n"/>
      <x:c r="Y412" s="81" t="n"/>
      <x:c r="Z412" s="81" t="n"/>
      <x:c r="AA412" s="81" t="n"/>
      <x:c r="AB412" s="81" t="n"/>
      <x:c r="AC412" s="81" t="n"/>
      <x:c r="AD412" s="81" t="n"/>
      <x:c r="AE412" s="81" t="n"/>
      <x:c r="AF412" s="81" t="n"/>
      <x:c r="AG412" s="81" t="n"/>
      <x:c r="AH412" s="81" t="n"/>
      <x:c r="AI412" s="81" t="n"/>
    </x:row>
    <x:row r="413">
      <x:c r="A413" s="81" t="n"/>
      <x:c r="B413" s="81" t="n"/>
      <x:c r="C413" s="81" t="n"/>
      <x:c r="D413" s="81" t="n"/>
      <x:c r="E413" s="81" t="n"/>
      <x:c r="F413" s="81" t="n"/>
      <x:c r="G413" s="81" t="n"/>
      <x:c r="H413" s="81" t="n"/>
      <x:c r="I413" s="81" t="n"/>
      <x:c r="J413" s="81" t="n"/>
      <x:c r="K413" s="81" t="n"/>
      <x:c r="L413" s="81" t="n"/>
      <x:c r="M413" s="81" t="n"/>
      <x:c r="N413" s="81" t="n"/>
      <x:c r="O413" s="81" t="n"/>
      <x:c r="P413" s="81" t="n"/>
      <x:c r="Q413" s="81" t="n"/>
      <x:c r="R413" s="81" t="n"/>
      <x:c r="S413" s="81" t="n"/>
      <x:c r="T413" s="81" t="n"/>
      <x:c r="U413" s="81" t="n"/>
      <x:c r="V413" s="81" t="n"/>
      <x:c r="W413" s="81" t="n"/>
      <x:c r="X413" s="81" t="n"/>
      <x:c r="Y413" s="81" t="n"/>
      <x:c r="Z413" s="81" t="n"/>
      <x:c r="AA413" s="81" t="n"/>
      <x:c r="AB413" s="81" t="n"/>
      <x:c r="AC413" s="81" t="n"/>
      <x:c r="AD413" s="81" t="n"/>
      <x:c r="AE413" s="81" t="n"/>
      <x:c r="AF413" s="81" t="n"/>
      <x:c r="AG413" s="81" t="n"/>
      <x:c r="AH413" s="81" t="n"/>
      <x:c r="AI413" s="81" t="n"/>
    </x:row>
    <x:row r="414">
      <x:c r="A414" s="81" t="n"/>
      <x:c r="B414" s="81" t="n"/>
      <x:c r="C414" s="81" t="n"/>
      <x:c r="D414" s="81" t="n"/>
      <x:c r="E414" s="81" t="n"/>
      <x:c r="F414" s="81" t="n"/>
      <x:c r="G414" s="81" t="n"/>
      <x:c r="H414" s="81" t="n"/>
      <x:c r="I414" s="81" t="n"/>
      <x:c r="J414" s="81" t="n"/>
      <x:c r="K414" s="81" t="n"/>
      <x:c r="L414" s="81" t="n"/>
      <x:c r="M414" s="81" t="n"/>
      <x:c r="N414" s="81" t="n"/>
      <x:c r="O414" s="81" t="n"/>
      <x:c r="P414" s="81" t="n"/>
      <x:c r="Q414" s="81" t="n"/>
      <x:c r="R414" s="81" t="n"/>
      <x:c r="S414" s="81" t="n"/>
      <x:c r="T414" s="81" t="n"/>
      <x:c r="U414" s="81" t="n"/>
      <x:c r="V414" s="81" t="n"/>
      <x:c r="W414" s="81" t="n"/>
      <x:c r="X414" s="81" t="n"/>
      <x:c r="Y414" s="81" t="n"/>
      <x:c r="Z414" s="81" t="n"/>
      <x:c r="AA414" s="81" t="n"/>
      <x:c r="AB414" s="81" t="n"/>
      <x:c r="AC414" s="81" t="n"/>
      <x:c r="AD414" s="81" t="n"/>
      <x:c r="AE414" s="81" t="n"/>
      <x:c r="AF414" s="81" t="n"/>
      <x:c r="AG414" s="81" t="n"/>
      <x:c r="AH414" s="81" t="n"/>
      <x:c r="AI414" s="81" t="n"/>
    </x:row>
    <x:row r="415">
      <x:c r="A415" s="81" t="n"/>
      <x:c r="B415" s="81" t="n"/>
      <x:c r="C415" s="81" t="n"/>
      <x:c r="D415" s="81" t="n"/>
      <x:c r="E415" s="81" t="n"/>
      <x:c r="F415" s="81" t="n"/>
      <x:c r="G415" s="81" t="n"/>
      <x:c r="H415" s="81" t="n"/>
      <x:c r="I415" s="81" t="n"/>
      <x:c r="J415" s="81" t="n"/>
      <x:c r="K415" s="81" t="n"/>
      <x:c r="L415" s="81" t="n"/>
      <x:c r="M415" s="81" t="n"/>
      <x:c r="N415" s="81" t="n"/>
      <x:c r="O415" s="81" t="n"/>
      <x:c r="P415" s="81" t="n"/>
      <x:c r="Q415" s="81" t="n"/>
      <x:c r="R415" s="81" t="n"/>
      <x:c r="S415" s="81" t="n"/>
      <x:c r="T415" s="81" t="n"/>
      <x:c r="U415" s="81" t="n"/>
      <x:c r="V415" s="81" t="n"/>
      <x:c r="W415" s="81" t="n"/>
      <x:c r="X415" s="81" t="n"/>
      <x:c r="Y415" s="81" t="n"/>
      <x:c r="Z415" s="81" t="n"/>
      <x:c r="AA415" s="81" t="n"/>
      <x:c r="AB415" s="81" t="n"/>
      <x:c r="AC415" s="81" t="n"/>
      <x:c r="AD415" s="81" t="n"/>
      <x:c r="AE415" s="81" t="n"/>
      <x:c r="AF415" s="81" t="n"/>
      <x:c r="AG415" s="81" t="n"/>
      <x:c r="AH415" s="81" t="n"/>
      <x:c r="AI415" s="81" t="n"/>
    </x:row>
    <x:row r="416">
      <x:c r="A416" s="81" t="n"/>
      <x:c r="B416" s="81" t="n"/>
      <x:c r="C416" s="81" t="n"/>
      <x:c r="D416" s="81" t="n"/>
      <x:c r="E416" s="81" t="n"/>
      <x:c r="F416" s="81" t="n"/>
      <x:c r="G416" s="81" t="n"/>
      <x:c r="H416" s="81" t="n"/>
      <x:c r="I416" s="81" t="n"/>
      <x:c r="J416" s="81" t="n"/>
      <x:c r="K416" s="81" t="n"/>
      <x:c r="L416" s="81" t="n"/>
      <x:c r="M416" s="81" t="n"/>
      <x:c r="N416" s="81" t="n"/>
      <x:c r="O416" s="81" t="n"/>
      <x:c r="P416" s="81" t="n"/>
      <x:c r="Q416" s="81" t="n"/>
      <x:c r="R416" s="81" t="n"/>
      <x:c r="S416" s="81" t="n"/>
      <x:c r="T416" s="81" t="n"/>
      <x:c r="U416" s="81" t="n"/>
      <x:c r="V416" s="81" t="n"/>
      <x:c r="W416" s="81" t="n"/>
      <x:c r="X416" s="81" t="n"/>
      <x:c r="Y416" s="81" t="n"/>
      <x:c r="Z416" s="81" t="n"/>
      <x:c r="AA416" s="81" t="n"/>
      <x:c r="AB416" s="81" t="n"/>
      <x:c r="AC416" s="81" t="n"/>
      <x:c r="AD416" s="81" t="n"/>
      <x:c r="AE416" s="81" t="n"/>
      <x:c r="AF416" s="81" t="n"/>
      <x:c r="AG416" s="81" t="n"/>
      <x:c r="AH416" s="81" t="n"/>
      <x:c r="AI416" s="81" t="n"/>
    </x:row>
    <x:row r="417">
      <x:c r="A417" s="81" t="n"/>
      <x:c r="B417" s="81" t="n"/>
      <x:c r="C417" s="81" t="n"/>
      <x:c r="D417" s="81" t="n"/>
      <x:c r="E417" s="81" t="n"/>
      <x:c r="F417" s="81" t="n"/>
      <x:c r="G417" s="81" t="n"/>
      <x:c r="H417" s="81" t="n"/>
      <x:c r="I417" s="81" t="n"/>
      <x:c r="J417" s="81" t="n"/>
      <x:c r="K417" s="81" t="n"/>
      <x:c r="L417" s="81" t="n"/>
      <x:c r="M417" s="81" t="n"/>
      <x:c r="N417" s="81" t="n"/>
      <x:c r="O417" s="81" t="n"/>
      <x:c r="P417" s="81" t="n"/>
      <x:c r="Q417" s="81" t="n"/>
      <x:c r="R417" s="81" t="n"/>
      <x:c r="S417" s="81" t="n"/>
      <x:c r="T417" s="81" t="n"/>
      <x:c r="U417" s="81" t="n"/>
      <x:c r="V417" s="81" t="n"/>
      <x:c r="W417" s="81" t="n"/>
      <x:c r="X417" s="81" t="n"/>
      <x:c r="Y417" s="81" t="n"/>
      <x:c r="Z417" s="81" t="n"/>
      <x:c r="AA417" s="81" t="n"/>
      <x:c r="AB417" s="81" t="n"/>
      <x:c r="AC417" s="81" t="n"/>
      <x:c r="AD417" s="81" t="n"/>
      <x:c r="AE417" s="81" t="n"/>
      <x:c r="AF417" s="81" t="n"/>
      <x:c r="AG417" s="81" t="n"/>
      <x:c r="AH417" s="81" t="n"/>
      <x:c r="AI417" s="81" t="n"/>
    </x:row>
    <x:row r="418">
      <x:c r="A418" s="81" t="n"/>
      <x:c r="B418" s="81" t="n"/>
      <x:c r="C418" s="81" t="n"/>
      <x:c r="D418" s="81" t="n"/>
      <x:c r="E418" s="81" t="n"/>
      <x:c r="F418" s="81" t="n"/>
      <x:c r="G418" s="81" t="n"/>
      <x:c r="H418" s="81" t="n"/>
      <x:c r="I418" s="81" t="n"/>
      <x:c r="J418" s="81" t="n"/>
      <x:c r="K418" s="81" t="n"/>
      <x:c r="L418" s="81" t="n"/>
      <x:c r="M418" s="81" t="n"/>
      <x:c r="N418" s="81" t="n"/>
      <x:c r="O418" s="81" t="n"/>
      <x:c r="P418" s="81" t="n"/>
      <x:c r="Q418" s="81" t="n"/>
      <x:c r="R418" s="81" t="n"/>
      <x:c r="S418" s="81" t="n"/>
      <x:c r="T418" s="81" t="n"/>
      <x:c r="U418" s="81" t="n"/>
      <x:c r="V418" s="81" t="n"/>
      <x:c r="W418" s="81" t="n"/>
      <x:c r="X418" s="81" t="n"/>
      <x:c r="Y418" s="81" t="n"/>
      <x:c r="Z418" s="81" t="n"/>
      <x:c r="AA418" s="81" t="n"/>
      <x:c r="AB418" s="81" t="n"/>
      <x:c r="AC418" s="81" t="n"/>
      <x:c r="AD418" s="81" t="n"/>
      <x:c r="AE418" s="81" t="n"/>
      <x:c r="AF418" s="81" t="n"/>
      <x:c r="AG418" s="81" t="n"/>
      <x:c r="AH418" s="81" t="n"/>
      <x:c r="AI418" s="81" t="n"/>
    </x:row>
    <x:row r="419">
      <x:c r="A419" s="81" t="n"/>
      <x:c r="B419" s="81" t="n"/>
      <x:c r="C419" s="81" t="n"/>
      <x:c r="D419" s="81" t="n"/>
      <x:c r="E419" s="81" t="n"/>
      <x:c r="F419" s="81" t="n"/>
      <x:c r="G419" s="81" t="n"/>
      <x:c r="H419" s="81" t="n"/>
      <x:c r="I419" s="81" t="n"/>
      <x:c r="J419" s="81" t="n"/>
      <x:c r="K419" s="81" t="n"/>
      <x:c r="L419" s="81" t="n"/>
      <x:c r="M419" s="81" t="n"/>
      <x:c r="N419" s="81" t="n"/>
      <x:c r="O419" s="81" t="n"/>
      <x:c r="P419" s="81" t="n"/>
      <x:c r="Q419" s="81" t="n"/>
      <x:c r="R419" s="81" t="n"/>
      <x:c r="S419" s="81" t="n"/>
      <x:c r="T419" s="81" t="n"/>
      <x:c r="U419" s="81" t="n"/>
      <x:c r="V419" s="81" t="n"/>
      <x:c r="W419" s="81" t="n"/>
      <x:c r="X419" s="81" t="n"/>
      <x:c r="Y419" s="81" t="n"/>
      <x:c r="Z419" s="81" t="n"/>
      <x:c r="AA419" s="81" t="n"/>
      <x:c r="AB419" s="81" t="n"/>
      <x:c r="AC419" s="81" t="n"/>
      <x:c r="AD419" s="81" t="n"/>
      <x:c r="AE419" s="81" t="n"/>
      <x:c r="AF419" s="81" t="n"/>
      <x:c r="AG419" s="81" t="n"/>
      <x:c r="AH419" s="81" t="n"/>
      <x:c r="AI419" s="81" t="n"/>
    </x:row>
    <x:row r="420">
      <x:c r="A420" s="81" t="n"/>
      <x:c r="B420" s="81" t="n"/>
      <x:c r="C420" s="81" t="n"/>
      <x:c r="D420" s="81" t="n"/>
      <x:c r="E420" s="81" t="n"/>
      <x:c r="F420" s="81" t="n"/>
      <x:c r="G420" s="81" t="n"/>
      <x:c r="H420" s="81" t="n"/>
      <x:c r="I420" s="81" t="n"/>
      <x:c r="J420" s="81" t="n"/>
      <x:c r="K420" s="81" t="n"/>
      <x:c r="L420" s="81" t="n"/>
      <x:c r="M420" s="81" t="n"/>
      <x:c r="N420" s="81" t="n"/>
      <x:c r="O420" s="81" t="n"/>
      <x:c r="P420" s="81" t="n"/>
      <x:c r="Q420" s="81" t="n"/>
      <x:c r="R420" s="81" t="n"/>
      <x:c r="S420" s="81" t="n"/>
      <x:c r="T420" s="81" t="n"/>
      <x:c r="U420" s="81" t="n"/>
      <x:c r="V420" s="81" t="n"/>
      <x:c r="W420" s="81" t="n"/>
      <x:c r="X420" s="81" t="n"/>
      <x:c r="Y420" s="81" t="n"/>
      <x:c r="Z420" s="81" t="n"/>
      <x:c r="AA420" s="81" t="n"/>
      <x:c r="AB420" s="81" t="n"/>
      <x:c r="AC420" s="81" t="n"/>
      <x:c r="AD420" s="81" t="n"/>
      <x:c r="AE420" s="81" t="n"/>
      <x:c r="AF420" s="81" t="n"/>
      <x:c r="AG420" s="81" t="n"/>
      <x:c r="AH420" s="81" t="n"/>
      <x:c r="AI420" s="81" t="n"/>
    </x:row>
    <x:row r="421">
      <x:c r="A421" s="81" t="n"/>
      <x:c r="B421" s="81" t="n"/>
      <x:c r="C421" s="81" t="n"/>
      <x:c r="D421" s="81" t="n"/>
      <x:c r="E421" s="81" t="n"/>
      <x:c r="F421" s="81" t="n"/>
      <x:c r="G421" s="81" t="n"/>
      <x:c r="H421" s="81" t="n"/>
      <x:c r="I421" s="81" t="n"/>
      <x:c r="J421" s="81" t="n"/>
      <x:c r="K421" s="81" t="n"/>
      <x:c r="L421" s="81" t="n"/>
      <x:c r="M421" s="81" t="n"/>
      <x:c r="N421" s="81" t="n"/>
      <x:c r="O421" s="81" t="n"/>
      <x:c r="P421" s="81" t="n"/>
      <x:c r="Q421" s="81" t="n"/>
      <x:c r="R421" s="81" t="n"/>
      <x:c r="S421" s="81" t="n"/>
      <x:c r="T421" s="81" t="n"/>
      <x:c r="U421" s="81" t="n"/>
      <x:c r="V421" s="81" t="n"/>
      <x:c r="W421" s="81" t="n"/>
      <x:c r="X421" s="81" t="n"/>
      <x:c r="Y421" s="81" t="n"/>
      <x:c r="Z421" s="81" t="n"/>
      <x:c r="AA421" s="81" t="n"/>
      <x:c r="AB421" s="81" t="n"/>
      <x:c r="AC421" s="81" t="n"/>
      <x:c r="AD421" s="81" t="n"/>
      <x:c r="AE421" s="81" t="n"/>
      <x:c r="AF421" s="81" t="n"/>
      <x:c r="AG421" s="81" t="n"/>
      <x:c r="AH421" s="81" t="n"/>
      <x:c r="AI421" s="81" t="n"/>
    </x:row>
    <x:row r="422">
      <x:c r="A422" s="81" t="n"/>
      <x:c r="B422" s="81" t="n"/>
      <x:c r="C422" s="81" t="n"/>
      <x:c r="D422" s="81" t="n"/>
      <x:c r="E422" s="81" t="n"/>
      <x:c r="F422" s="81" t="n"/>
      <x:c r="G422" s="81" t="n"/>
      <x:c r="H422" s="81" t="n"/>
      <x:c r="I422" s="81" t="n"/>
      <x:c r="J422" s="81" t="n"/>
      <x:c r="K422" s="81" t="n"/>
      <x:c r="L422" s="81" t="n"/>
      <x:c r="M422" s="81" t="n"/>
      <x:c r="N422" s="81" t="n"/>
      <x:c r="O422" s="81" t="n"/>
      <x:c r="P422" s="81" t="n"/>
      <x:c r="Q422" s="81" t="n"/>
      <x:c r="R422" s="81" t="n"/>
      <x:c r="S422" s="81" t="n"/>
      <x:c r="T422" s="81" t="n"/>
      <x:c r="U422" s="81" t="n"/>
      <x:c r="V422" s="81" t="n"/>
      <x:c r="W422" s="81" t="n"/>
      <x:c r="X422" s="81" t="n"/>
      <x:c r="Y422" s="81" t="n"/>
      <x:c r="Z422" s="81" t="n"/>
      <x:c r="AA422" s="81" t="n"/>
      <x:c r="AB422" s="81" t="n"/>
      <x:c r="AC422" s="81" t="n"/>
      <x:c r="AD422" s="81" t="n"/>
      <x:c r="AE422" s="81" t="n"/>
      <x:c r="AF422" s="81" t="n"/>
      <x:c r="AG422" s="81" t="n"/>
      <x:c r="AH422" s="81" t="n"/>
      <x:c r="AI422" s="81" t="n"/>
    </x:row>
    <x:row r="423">
      <x:c r="A423" s="81" t="n"/>
      <x:c r="B423" s="81" t="n"/>
      <x:c r="C423" s="81" t="n"/>
      <x:c r="D423" s="81" t="n"/>
      <x:c r="E423" s="81" t="n"/>
      <x:c r="F423" s="81" t="n"/>
      <x:c r="G423" s="81" t="n"/>
      <x:c r="H423" s="81" t="n"/>
      <x:c r="I423" s="81" t="n"/>
      <x:c r="J423" s="81" t="n"/>
      <x:c r="K423" s="81" t="n"/>
      <x:c r="L423" s="81" t="n"/>
      <x:c r="M423" s="81" t="n"/>
      <x:c r="N423" s="81" t="n"/>
      <x:c r="O423" s="81" t="n"/>
      <x:c r="P423" s="81" t="n"/>
      <x:c r="Q423" s="81" t="n"/>
      <x:c r="R423" s="81" t="n"/>
      <x:c r="S423" s="81" t="n"/>
      <x:c r="T423" s="81" t="n"/>
      <x:c r="U423" s="81" t="n"/>
      <x:c r="V423" s="81" t="n"/>
      <x:c r="W423" s="81" t="n"/>
      <x:c r="X423" s="81" t="n"/>
      <x:c r="Y423" s="81" t="n"/>
      <x:c r="Z423" s="81" t="n"/>
      <x:c r="AA423" s="81" t="n"/>
      <x:c r="AB423" s="81" t="n"/>
      <x:c r="AC423" s="81" t="n"/>
      <x:c r="AD423" s="81" t="n"/>
      <x:c r="AE423" s="81" t="n"/>
      <x:c r="AF423" s="81" t="n"/>
      <x:c r="AG423" s="81" t="n"/>
      <x:c r="AH423" s="81" t="n"/>
      <x:c r="AI423" s="81" t="n"/>
    </x:row>
    <x:row r="424">
      <x:c r="A424" s="81" t="n"/>
      <x:c r="B424" s="81" t="n"/>
      <x:c r="C424" s="81" t="n"/>
      <x:c r="D424" s="81" t="n"/>
      <x:c r="E424" s="81" t="n"/>
      <x:c r="F424" s="81" t="n"/>
      <x:c r="G424" s="81" t="n"/>
      <x:c r="H424" s="81" t="n"/>
      <x:c r="I424" s="81" t="n"/>
      <x:c r="J424" s="81" t="n"/>
      <x:c r="K424" s="81" t="n"/>
      <x:c r="L424" s="81" t="n"/>
      <x:c r="M424" s="81" t="n"/>
      <x:c r="N424" s="81" t="n"/>
      <x:c r="O424" s="81" t="n"/>
      <x:c r="P424" s="81" t="n"/>
      <x:c r="Q424" s="81" t="n"/>
      <x:c r="R424" s="81" t="n"/>
      <x:c r="S424" s="81" t="n"/>
      <x:c r="T424" s="81" t="n"/>
      <x:c r="U424" s="81" t="n"/>
      <x:c r="V424" s="81" t="n"/>
      <x:c r="W424" s="81" t="n"/>
      <x:c r="X424" s="81" t="n"/>
      <x:c r="Y424" s="81" t="n"/>
      <x:c r="Z424" s="81" t="n"/>
      <x:c r="AA424" s="81" t="n"/>
      <x:c r="AB424" s="81" t="n"/>
      <x:c r="AC424" s="81" t="n"/>
      <x:c r="AD424" s="81" t="n"/>
      <x:c r="AE424" s="81" t="n"/>
      <x:c r="AF424" s="81" t="n"/>
      <x:c r="AG424" s="81" t="n"/>
      <x:c r="AH424" s="81" t="n"/>
      <x:c r="AI424" s="81" t="n"/>
    </x:row>
    <x:row r="425">
      <x:c r="A425" s="81" t="n"/>
      <x:c r="B425" s="81" t="n"/>
      <x:c r="C425" s="81" t="n"/>
      <x:c r="D425" s="81" t="n"/>
      <x:c r="E425" s="81" t="n"/>
      <x:c r="F425" s="81" t="n"/>
      <x:c r="G425" s="81" t="n"/>
      <x:c r="H425" s="81" t="n"/>
      <x:c r="I425" s="81" t="n"/>
      <x:c r="J425" s="81" t="n"/>
      <x:c r="K425" s="81" t="n"/>
      <x:c r="L425" s="81" t="n"/>
      <x:c r="M425" s="81" t="n"/>
      <x:c r="N425" s="81" t="n"/>
      <x:c r="O425" s="81" t="n"/>
      <x:c r="P425" s="81" t="n"/>
      <x:c r="Q425" s="81" t="n"/>
      <x:c r="R425" s="81" t="n"/>
      <x:c r="S425" s="81" t="n"/>
      <x:c r="T425" s="81" t="n"/>
      <x:c r="U425" s="81" t="n"/>
      <x:c r="V425" s="81" t="n"/>
      <x:c r="W425" s="81" t="n"/>
      <x:c r="X425" s="81" t="n"/>
      <x:c r="Y425" s="81" t="n"/>
      <x:c r="Z425" s="81" t="n"/>
      <x:c r="AA425" s="81" t="n"/>
      <x:c r="AB425" s="81" t="n"/>
      <x:c r="AC425" s="81" t="n"/>
      <x:c r="AD425" s="81" t="n"/>
      <x:c r="AE425" s="81" t="n"/>
      <x:c r="AF425" s="81" t="n"/>
      <x:c r="AG425" s="81" t="n"/>
      <x:c r="AH425" s="81" t="n"/>
      <x:c r="AI425" s="81" t="n"/>
    </x:row>
    <x:row r="426">
      <x:c r="A426" s="81" t="n"/>
      <x:c r="B426" s="81" t="n"/>
      <x:c r="C426" s="81" t="n"/>
      <x:c r="D426" s="81" t="n"/>
      <x:c r="E426" s="81" t="n"/>
      <x:c r="F426" s="81" t="n"/>
      <x:c r="G426" s="81" t="n"/>
      <x:c r="H426" s="81" t="n"/>
      <x:c r="I426" s="81" t="n"/>
      <x:c r="J426" s="81" t="n"/>
      <x:c r="K426" s="81" t="n"/>
      <x:c r="L426" s="81" t="n"/>
      <x:c r="M426" s="81" t="n"/>
      <x:c r="N426" s="81" t="n"/>
      <x:c r="O426" s="81" t="n"/>
      <x:c r="P426" s="81" t="n"/>
      <x:c r="Q426" s="81" t="n"/>
      <x:c r="R426" s="81" t="n"/>
      <x:c r="S426" s="81" t="n"/>
      <x:c r="T426" s="81" t="n"/>
      <x:c r="U426" s="81" t="n"/>
      <x:c r="V426" s="81" t="n"/>
      <x:c r="W426" s="81" t="n"/>
      <x:c r="X426" s="81" t="n"/>
      <x:c r="Y426" s="81" t="n"/>
      <x:c r="Z426" s="81" t="n"/>
      <x:c r="AA426" s="81" t="n"/>
      <x:c r="AB426" s="81" t="n"/>
      <x:c r="AC426" s="81" t="n"/>
      <x:c r="AD426" s="81" t="n"/>
      <x:c r="AE426" s="81" t="n"/>
      <x:c r="AF426" s="81" t="n"/>
      <x:c r="AG426" s="81" t="n"/>
      <x:c r="AH426" s="81" t="n"/>
      <x:c r="AI426" s="81" t="n"/>
    </x:row>
    <x:row r="427">
      <x:c r="A427" s="81" t="n"/>
      <x:c r="B427" s="81" t="n"/>
      <x:c r="C427" s="81" t="n"/>
      <x:c r="D427" s="81" t="n"/>
      <x:c r="E427" s="81" t="n"/>
      <x:c r="F427" s="81" t="n"/>
      <x:c r="G427" s="81" t="n"/>
      <x:c r="H427" s="81" t="n"/>
      <x:c r="I427" s="81" t="n"/>
      <x:c r="J427" s="81" t="n"/>
      <x:c r="K427" s="81" t="n"/>
      <x:c r="L427" s="81" t="n"/>
      <x:c r="M427" s="81" t="n"/>
      <x:c r="N427" s="81" t="n"/>
      <x:c r="O427" s="81" t="n"/>
      <x:c r="P427" s="81" t="n"/>
      <x:c r="Q427" s="81" t="n"/>
      <x:c r="R427" s="81" t="n"/>
      <x:c r="S427" s="81" t="n"/>
      <x:c r="T427" s="81" t="n"/>
      <x:c r="U427" s="81" t="n"/>
      <x:c r="V427" s="81" t="n"/>
      <x:c r="W427" s="81" t="n"/>
      <x:c r="X427" s="81" t="n"/>
      <x:c r="Y427" s="81" t="n"/>
      <x:c r="Z427" s="81" t="n"/>
      <x:c r="AA427" s="81" t="n"/>
      <x:c r="AB427" s="81" t="n"/>
      <x:c r="AC427" s="81" t="n"/>
      <x:c r="AD427" s="81" t="n"/>
      <x:c r="AE427" s="81" t="n"/>
      <x:c r="AF427" s="81" t="n"/>
      <x:c r="AG427" s="81" t="n"/>
      <x:c r="AH427" s="81" t="n"/>
      <x:c r="AI427" s="81" t="n"/>
    </x:row>
    <x:row r="428">
      <x:c r="A428" s="81" t="n"/>
      <x:c r="B428" s="81" t="n"/>
      <x:c r="C428" s="81" t="n"/>
      <x:c r="D428" s="81" t="n"/>
      <x:c r="E428" s="81" t="n"/>
      <x:c r="F428" s="81" t="n"/>
      <x:c r="G428" s="81" t="n"/>
      <x:c r="H428" s="81" t="n"/>
      <x:c r="I428" s="81" t="n"/>
      <x:c r="J428" s="81" t="n"/>
      <x:c r="K428" s="81" t="n"/>
      <x:c r="L428" s="81" t="n"/>
      <x:c r="M428" s="81" t="n"/>
      <x:c r="N428" s="81" t="n"/>
      <x:c r="O428" s="81" t="n"/>
      <x:c r="P428" s="81" t="n"/>
      <x:c r="Q428" s="81" t="n"/>
      <x:c r="R428" s="81" t="n"/>
      <x:c r="S428" s="81" t="n"/>
      <x:c r="T428" s="81" t="n"/>
      <x:c r="U428" s="81" t="n"/>
      <x:c r="V428" s="81" t="n"/>
      <x:c r="W428" s="81" t="n"/>
      <x:c r="X428" s="81" t="n"/>
      <x:c r="Y428" s="81" t="n"/>
      <x:c r="Z428" s="81" t="n"/>
      <x:c r="AA428" s="81" t="n"/>
      <x:c r="AB428" s="81" t="n"/>
      <x:c r="AC428" s="81" t="n"/>
      <x:c r="AD428" s="81" t="n"/>
      <x:c r="AE428" s="81" t="n"/>
      <x:c r="AF428" s="81" t="n"/>
      <x:c r="AG428" s="81" t="n"/>
      <x:c r="AH428" s="81" t="n"/>
      <x:c r="AI428" s="81" t="n"/>
    </x:row>
    <x:row r="429">
      <x:c r="A429" s="81" t="n"/>
      <x:c r="B429" s="81" t="n"/>
      <x:c r="C429" s="81" t="n"/>
      <x:c r="D429" s="81" t="n"/>
      <x:c r="E429" s="81" t="n"/>
      <x:c r="F429" s="81" t="n"/>
      <x:c r="G429" s="81" t="n"/>
      <x:c r="H429" s="81" t="n"/>
      <x:c r="I429" s="81" t="n"/>
      <x:c r="J429" s="81" t="n"/>
      <x:c r="K429" s="81" t="n"/>
      <x:c r="L429" s="81" t="n"/>
      <x:c r="M429" s="81" t="n"/>
      <x:c r="N429" s="81" t="n"/>
      <x:c r="O429" s="81" t="n"/>
      <x:c r="P429" s="81" t="n"/>
      <x:c r="Q429" s="81" t="n"/>
      <x:c r="R429" s="81" t="n"/>
      <x:c r="S429" s="81" t="n"/>
      <x:c r="T429" s="81" t="n"/>
      <x:c r="U429" s="81" t="n"/>
      <x:c r="V429" s="81" t="n"/>
      <x:c r="W429" s="81" t="n"/>
      <x:c r="X429" s="81" t="n"/>
      <x:c r="Y429" s="81" t="n"/>
      <x:c r="Z429" s="81" t="n"/>
      <x:c r="AA429" s="81" t="n"/>
      <x:c r="AB429" s="81" t="n"/>
      <x:c r="AC429" s="81" t="n"/>
      <x:c r="AD429" s="81" t="n"/>
      <x:c r="AE429" s="81" t="n"/>
      <x:c r="AF429" s="81" t="n"/>
      <x:c r="AG429" s="81" t="n"/>
      <x:c r="AH429" s="81" t="n"/>
      <x:c r="AI429" s="81" t="n"/>
    </x:row>
    <x:row r="430">
      <x:c r="A430" s="81" t="n"/>
      <x:c r="B430" s="81" t="n"/>
      <x:c r="C430" s="81" t="n"/>
      <x:c r="D430" s="81" t="n"/>
      <x:c r="E430" s="81" t="n"/>
      <x:c r="F430" s="81" t="n"/>
      <x:c r="G430" s="81" t="n"/>
      <x:c r="H430" s="81" t="n"/>
      <x:c r="I430" s="81" t="n"/>
      <x:c r="J430" s="81" t="n"/>
      <x:c r="K430" s="81" t="n"/>
      <x:c r="L430" s="81" t="n"/>
      <x:c r="M430" s="81" t="n"/>
      <x:c r="N430" s="81" t="n"/>
      <x:c r="O430" s="81" t="n"/>
      <x:c r="P430" s="81" t="n"/>
      <x:c r="Q430" s="81" t="n"/>
      <x:c r="R430" s="81" t="n"/>
      <x:c r="S430" s="81" t="n"/>
      <x:c r="T430" s="81" t="n"/>
      <x:c r="U430" s="81" t="n"/>
      <x:c r="V430" s="81" t="n"/>
      <x:c r="W430" s="81" t="n"/>
      <x:c r="X430" s="81" t="n"/>
      <x:c r="Y430" s="81" t="n"/>
      <x:c r="Z430" s="81" t="n"/>
      <x:c r="AA430" s="81" t="n"/>
      <x:c r="AB430" s="81" t="n"/>
      <x:c r="AC430" s="81" t="n"/>
      <x:c r="AD430" s="81" t="n"/>
      <x:c r="AE430" s="81" t="n"/>
      <x:c r="AF430" s="81" t="n"/>
      <x:c r="AG430" s="81" t="n"/>
      <x:c r="AH430" s="81" t="n"/>
      <x:c r="AI430" s="81" t="n"/>
    </x:row>
    <x:row r="431">
      <x:c r="A431" s="81" t="n"/>
      <x:c r="B431" s="81" t="n"/>
      <x:c r="C431" s="81" t="n"/>
      <x:c r="D431" s="81" t="n"/>
      <x:c r="E431" s="81" t="n"/>
      <x:c r="F431" s="81" t="n"/>
      <x:c r="G431" s="81" t="n"/>
      <x:c r="H431" s="81" t="n"/>
      <x:c r="I431" s="81" t="n"/>
      <x:c r="J431" s="81" t="n"/>
      <x:c r="K431" s="81" t="n"/>
      <x:c r="L431" s="81" t="n"/>
      <x:c r="M431" s="81" t="n"/>
      <x:c r="N431" s="81" t="n"/>
      <x:c r="O431" s="81" t="n"/>
      <x:c r="P431" s="81" t="n"/>
      <x:c r="Q431" s="81" t="n"/>
      <x:c r="R431" s="81" t="n"/>
      <x:c r="S431" s="81" t="n"/>
      <x:c r="T431" s="81" t="n"/>
      <x:c r="U431" s="81" t="n"/>
      <x:c r="V431" s="81" t="n"/>
      <x:c r="W431" s="81" t="n"/>
      <x:c r="X431" s="81" t="n"/>
      <x:c r="Y431" s="81" t="n"/>
      <x:c r="Z431" s="81" t="n"/>
      <x:c r="AA431" s="81" t="n"/>
      <x:c r="AB431" s="81" t="n"/>
      <x:c r="AC431" s="81" t="n"/>
      <x:c r="AD431" s="81" t="n"/>
      <x:c r="AE431" s="81" t="n"/>
      <x:c r="AF431" s="81" t="n"/>
      <x:c r="AG431" s="81" t="n"/>
      <x:c r="AH431" s="81" t="n"/>
      <x:c r="AI431" s="81" t="n"/>
    </x:row>
    <x:row r="432">
      <x:c r="A432" s="81" t="n"/>
      <x:c r="B432" s="81" t="n"/>
      <x:c r="C432" s="81" t="n"/>
      <x:c r="D432" s="81" t="n"/>
      <x:c r="E432" s="81" t="n"/>
      <x:c r="F432" s="81" t="n"/>
      <x:c r="G432" s="81" t="n"/>
      <x:c r="H432" s="81" t="n"/>
      <x:c r="I432" s="81" t="n"/>
      <x:c r="J432" s="81" t="n"/>
      <x:c r="K432" s="81" t="n"/>
      <x:c r="L432" s="81" t="n"/>
      <x:c r="M432" s="81" t="n"/>
      <x:c r="N432" s="81" t="n"/>
      <x:c r="O432" s="81" t="n"/>
      <x:c r="P432" s="81" t="n"/>
      <x:c r="Q432" s="81" t="n"/>
      <x:c r="R432" s="81" t="n"/>
      <x:c r="S432" s="81" t="n"/>
      <x:c r="T432" s="81" t="n"/>
      <x:c r="U432" s="81" t="n"/>
      <x:c r="V432" s="81" t="n"/>
      <x:c r="W432" s="81" t="n"/>
      <x:c r="X432" s="81" t="n"/>
      <x:c r="Y432" s="81" t="n"/>
      <x:c r="Z432" s="81" t="n"/>
      <x:c r="AA432" s="81" t="n"/>
      <x:c r="AB432" s="81" t="n"/>
      <x:c r="AC432" s="81" t="n"/>
      <x:c r="AD432" s="81" t="n"/>
      <x:c r="AE432" s="81" t="n"/>
      <x:c r="AF432" s="81" t="n"/>
      <x:c r="AG432" s="81" t="n"/>
      <x:c r="AH432" s="81" t="n"/>
      <x:c r="AI432" s="81" t="n"/>
    </x:row>
    <x:row r="433">
      <x:c r="A433" s="81" t="n"/>
      <x:c r="B433" s="81" t="n"/>
      <x:c r="C433" s="81" t="n"/>
      <x:c r="D433" s="81" t="n"/>
      <x:c r="E433" s="81" t="n"/>
      <x:c r="F433" s="81" t="n"/>
      <x:c r="G433" s="81" t="n"/>
      <x:c r="H433" s="81" t="n"/>
      <x:c r="I433" s="81" t="n"/>
      <x:c r="J433" s="81" t="n"/>
      <x:c r="K433" s="81" t="n"/>
      <x:c r="L433" s="81" t="n"/>
      <x:c r="M433" s="81" t="n"/>
      <x:c r="N433" s="81" t="n"/>
      <x:c r="O433" s="81" t="n"/>
      <x:c r="P433" s="81" t="n"/>
      <x:c r="Q433" s="81" t="n"/>
      <x:c r="R433" s="81" t="n"/>
      <x:c r="S433" s="81" t="n"/>
      <x:c r="T433" s="81" t="n"/>
      <x:c r="U433" s="81" t="n"/>
      <x:c r="V433" s="81" t="n"/>
      <x:c r="W433" s="81" t="n"/>
      <x:c r="X433" s="81" t="n"/>
      <x:c r="Y433" s="81" t="n"/>
      <x:c r="Z433" s="81" t="n"/>
      <x:c r="AA433" s="81" t="n"/>
      <x:c r="AB433" s="81" t="n"/>
      <x:c r="AC433" s="81" t="n"/>
      <x:c r="AD433" s="81" t="n"/>
      <x:c r="AE433" s="81" t="n"/>
      <x:c r="AF433" s="81" t="n"/>
      <x:c r="AG433" s="81" t="n"/>
      <x:c r="AH433" s="81" t="n"/>
      <x:c r="AI433" s="81" t="n"/>
    </x:row>
    <x:row r="434">
      <x:c r="A434" s="81" t="n"/>
      <x:c r="B434" s="81" t="n"/>
      <x:c r="C434" s="81" t="n"/>
      <x:c r="D434" s="81" t="n"/>
      <x:c r="E434" s="81" t="n"/>
      <x:c r="F434" s="81" t="n"/>
      <x:c r="G434" s="81" t="n"/>
      <x:c r="H434" s="81" t="n"/>
      <x:c r="I434" s="81" t="n"/>
      <x:c r="J434" s="81" t="n"/>
      <x:c r="K434" s="81" t="n"/>
      <x:c r="L434" s="81" t="n"/>
      <x:c r="M434" s="81" t="n"/>
      <x:c r="N434" s="81" t="n"/>
      <x:c r="O434" s="81" t="n"/>
      <x:c r="P434" s="81" t="n"/>
      <x:c r="Q434" s="81" t="n"/>
      <x:c r="R434" s="81" t="n"/>
      <x:c r="S434" s="81" t="n"/>
      <x:c r="T434" s="81" t="n"/>
      <x:c r="U434" s="81" t="n"/>
      <x:c r="V434" s="81" t="n"/>
      <x:c r="W434" s="81" t="n"/>
      <x:c r="X434" s="81" t="n"/>
      <x:c r="Y434" s="81" t="n"/>
      <x:c r="Z434" s="81" t="n"/>
      <x:c r="AA434" s="81" t="n"/>
      <x:c r="AB434" s="81" t="n"/>
      <x:c r="AC434" s="81" t="n"/>
      <x:c r="AD434" s="81" t="n"/>
      <x:c r="AE434" s="81" t="n"/>
      <x:c r="AF434" s="81" t="n"/>
      <x:c r="AG434" s="81" t="n"/>
      <x:c r="AH434" s="81" t="n"/>
      <x:c r="AI434" s="81" t="n"/>
    </x:row>
    <x:row r="435">
      <x:c r="A435" s="81" t="n"/>
      <x:c r="B435" s="81" t="n"/>
      <x:c r="C435" s="81" t="n"/>
      <x:c r="D435" s="81" t="n"/>
      <x:c r="E435" s="81" t="n"/>
      <x:c r="F435" s="81" t="n"/>
      <x:c r="G435" s="81" t="n"/>
      <x:c r="H435" s="81" t="n"/>
      <x:c r="I435" s="81" t="n"/>
      <x:c r="J435" s="81" t="n"/>
      <x:c r="K435" s="81" t="n"/>
      <x:c r="L435" s="81" t="n"/>
      <x:c r="M435" s="81" t="n"/>
      <x:c r="N435" s="81" t="n"/>
      <x:c r="O435" s="81" t="n"/>
      <x:c r="P435" s="81" t="n"/>
      <x:c r="Q435" s="81" t="n"/>
      <x:c r="R435" s="81" t="n"/>
      <x:c r="S435" s="81" t="n"/>
      <x:c r="T435" s="81" t="n"/>
      <x:c r="U435" s="81" t="n"/>
      <x:c r="V435" s="81" t="n"/>
      <x:c r="W435" s="81" t="n"/>
      <x:c r="X435" s="81" t="n"/>
      <x:c r="Y435" s="81" t="n"/>
      <x:c r="Z435" s="81" t="n"/>
      <x:c r="AA435" s="81" t="n"/>
      <x:c r="AB435" s="81" t="n"/>
      <x:c r="AC435" s="81" t="n"/>
      <x:c r="AD435" s="81" t="n"/>
      <x:c r="AE435" s="81" t="n"/>
      <x:c r="AF435" s="81" t="n"/>
      <x:c r="AG435" s="81" t="n"/>
      <x:c r="AH435" s="81" t="n"/>
      <x:c r="AI435" s="81" t="n"/>
    </x:row>
    <x:row r="436">
      <x:c r="A436" s="81" t="n"/>
      <x:c r="B436" s="81" t="n"/>
      <x:c r="C436" s="81" t="n"/>
      <x:c r="D436" s="81" t="n"/>
      <x:c r="E436" s="81" t="n"/>
      <x:c r="F436" s="81" t="n"/>
      <x:c r="G436" s="81" t="n"/>
      <x:c r="H436" s="81" t="n"/>
      <x:c r="I436" s="81" t="n"/>
      <x:c r="J436" s="81" t="n"/>
      <x:c r="K436" s="81" t="n"/>
      <x:c r="L436" s="81" t="n"/>
      <x:c r="M436" s="81" t="n"/>
      <x:c r="N436" s="81" t="n"/>
      <x:c r="O436" s="81" t="n"/>
      <x:c r="P436" s="81" t="n"/>
      <x:c r="Q436" s="81" t="n"/>
      <x:c r="R436" s="81" t="n"/>
      <x:c r="S436" s="81" t="n"/>
      <x:c r="T436" s="81" t="n"/>
      <x:c r="U436" s="81" t="n"/>
      <x:c r="V436" s="81" t="n"/>
      <x:c r="W436" s="81" t="n"/>
      <x:c r="X436" s="81" t="n"/>
      <x:c r="Y436" s="81" t="n"/>
      <x:c r="Z436" s="81" t="n"/>
      <x:c r="AA436" s="81" t="n"/>
      <x:c r="AB436" s="81" t="n"/>
      <x:c r="AC436" s="81" t="n"/>
      <x:c r="AD436" s="81" t="n"/>
      <x:c r="AE436" s="81" t="n"/>
      <x:c r="AF436" s="81" t="n"/>
      <x:c r="AG436" s="81" t="n"/>
      <x:c r="AH436" s="81" t="n"/>
      <x:c r="AI436" s="81" t="n"/>
    </x:row>
    <x:row r="437">
      <x:c r="A437" s="81" t="n"/>
      <x:c r="B437" s="81" t="n"/>
      <x:c r="C437" s="81" t="n"/>
      <x:c r="D437" s="81" t="n"/>
      <x:c r="E437" s="81" t="n"/>
      <x:c r="F437" s="81" t="n"/>
      <x:c r="G437" s="81" t="n"/>
      <x:c r="H437" s="81" t="n"/>
      <x:c r="I437" s="81" t="n"/>
      <x:c r="J437" s="81" t="n"/>
      <x:c r="K437" s="81" t="n"/>
      <x:c r="L437" s="81" t="n"/>
      <x:c r="M437" s="81" t="n"/>
      <x:c r="N437" s="81" t="n"/>
      <x:c r="O437" s="81" t="n"/>
      <x:c r="P437" s="81" t="n"/>
      <x:c r="Q437" s="81" t="n"/>
      <x:c r="R437" s="81" t="n"/>
      <x:c r="S437" s="81" t="n"/>
      <x:c r="T437" s="81" t="n"/>
      <x:c r="U437" s="81" t="n"/>
      <x:c r="V437" s="81" t="n"/>
      <x:c r="W437" s="81" t="n"/>
      <x:c r="X437" s="81" t="n"/>
      <x:c r="Y437" s="81" t="n"/>
      <x:c r="Z437" s="81" t="n"/>
      <x:c r="AA437" s="81" t="n"/>
      <x:c r="AB437" s="81" t="n"/>
      <x:c r="AC437" s="81" t="n"/>
      <x:c r="AD437" s="81" t="n"/>
      <x:c r="AE437" s="81" t="n"/>
      <x:c r="AF437" s="81" t="n"/>
      <x:c r="AG437" s="81" t="n"/>
      <x:c r="AH437" s="81" t="n"/>
      <x:c r="AI437" s="81" t="n"/>
    </x:row>
    <x:row r="438">
      <x:c r="A438" s="81" t="n"/>
      <x:c r="B438" s="81" t="n"/>
      <x:c r="C438" s="81" t="n"/>
      <x:c r="D438" s="81" t="n"/>
      <x:c r="E438" s="81" t="n"/>
      <x:c r="F438" s="81" t="n"/>
      <x:c r="G438" s="81" t="n"/>
      <x:c r="H438" s="81" t="n"/>
      <x:c r="I438" s="81" t="n"/>
      <x:c r="J438" s="81" t="n"/>
      <x:c r="K438" s="81" t="n"/>
      <x:c r="L438" s="81" t="n"/>
      <x:c r="M438" s="81" t="n"/>
      <x:c r="N438" s="81" t="n"/>
      <x:c r="O438" s="81" t="n"/>
      <x:c r="P438" s="81" t="n"/>
      <x:c r="Q438" s="81" t="n"/>
      <x:c r="R438" s="81" t="n"/>
      <x:c r="S438" s="81" t="n"/>
      <x:c r="T438" s="81" t="n"/>
      <x:c r="U438" s="81" t="n"/>
      <x:c r="V438" s="81" t="n"/>
      <x:c r="W438" s="81" t="n"/>
      <x:c r="X438" s="81" t="n"/>
      <x:c r="Y438" s="81" t="n"/>
      <x:c r="Z438" s="81" t="n"/>
      <x:c r="AA438" s="81" t="n"/>
      <x:c r="AB438" s="81" t="n"/>
      <x:c r="AC438" s="81" t="n"/>
      <x:c r="AD438" s="81" t="n"/>
      <x:c r="AE438" s="81" t="n"/>
      <x:c r="AF438" s="81" t="n"/>
      <x:c r="AG438" s="81" t="n"/>
      <x:c r="AH438" s="81" t="n"/>
      <x:c r="AI438" s="81" t="n"/>
    </x:row>
    <x:row r="439">
      <x:c r="A439" s="81" t="n"/>
      <x:c r="B439" s="81" t="n"/>
      <x:c r="C439" s="81" t="n"/>
      <x:c r="D439" s="81" t="n"/>
      <x:c r="E439" s="81" t="n"/>
      <x:c r="F439" s="81" t="n"/>
      <x:c r="G439" s="81" t="n"/>
      <x:c r="H439" s="81" t="n"/>
      <x:c r="I439" s="81" t="n"/>
      <x:c r="J439" s="81" t="n"/>
      <x:c r="K439" s="81" t="n"/>
      <x:c r="L439" s="81" t="n"/>
      <x:c r="M439" s="81" t="n"/>
      <x:c r="N439" s="81" t="n"/>
      <x:c r="O439" s="81" t="n"/>
      <x:c r="P439" s="81" t="n"/>
      <x:c r="Q439" s="81" t="n"/>
      <x:c r="R439" s="81" t="n"/>
      <x:c r="S439" s="81" t="n"/>
      <x:c r="T439" s="81" t="n"/>
      <x:c r="U439" s="81" t="n"/>
      <x:c r="V439" s="81" t="n"/>
      <x:c r="W439" s="81" t="n"/>
      <x:c r="X439" s="81" t="n"/>
      <x:c r="Y439" s="81" t="n"/>
      <x:c r="Z439" s="81" t="n"/>
      <x:c r="AA439" s="81" t="n"/>
      <x:c r="AB439" s="81" t="n"/>
      <x:c r="AC439" s="81" t="n"/>
      <x:c r="AD439" s="81" t="n"/>
      <x:c r="AE439" s="81" t="n"/>
      <x:c r="AF439" s="81" t="n"/>
      <x:c r="AG439" s="81" t="n"/>
      <x:c r="AH439" s="81" t="n"/>
      <x:c r="AI439" s="81" t="n"/>
    </x:row>
    <x:row r="440">
      <x:c r="A440" s="81" t="n"/>
      <x:c r="B440" s="81" t="n"/>
      <x:c r="C440" s="81" t="n"/>
      <x:c r="D440" s="81" t="n"/>
      <x:c r="E440" s="81" t="n"/>
      <x:c r="F440" s="81" t="n"/>
      <x:c r="G440" s="81" t="n"/>
      <x:c r="H440" s="81" t="n"/>
      <x:c r="I440" s="81" t="n"/>
      <x:c r="J440" s="81" t="n"/>
      <x:c r="K440" s="81" t="n"/>
      <x:c r="L440" s="81" t="n"/>
      <x:c r="M440" s="81" t="n"/>
      <x:c r="N440" s="81" t="n"/>
      <x:c r="O440" s="81" t="n"/>
      <x:c r="P440" s="81" t="n"/>
      <x:c r="Q440" s="81" t="n"/>
      <x:c r="R440" s="81" t="n"/>
      <x:c r="S440" s="81" t="n"/>
      <x:c r="T440" s="81" t="n"/>
      <x:c r="U440" s="81" t="n"/>
      <x:c r="V440" s="81" t="n"/>
      <x:c r="W440" s="81" t="n"/>
      <x:c r="X440" s="81" t="n"/>
      <x:c r="Y440" s="81" t="n"/>
      <x:c r="Z440" s="81" t="n"/>
      <x:c r="AA440" s="81" t="n"/>
      <x:c r="AB440" s="81" t="n"/>
      <x:c r="AC440" s="81" t="n"/>
      <x:c r="AD440" s="81" t="n"/>
      <x:c r="AE440" s="81" t="n"/>
      <x:c r="AF440" s="81" t="n"/>
      <x:c r="AG440" s="81" t="n"/>
      <x:c r="AH440" s="81" t="n"/>
      <x:c r="AI440" s="81" t="n"/>
    </x:row>
    <x:row r="441">
      <x:c r="A441" s="81" t="n"/>
      <x:c r="B441" s="81" t="n"/>
      <x:c r="C441" s="81" t="n"/>
      <x:c r="D441" s="81" t="n"/>
      <x:c r="E441" s="81" t="n"/>
      <x:c r="F441" s="81" t="n"/>
      <x:c r="G441" s="81" t="n"/>
      <x:c r="H441" s="81" t="n"/>
      <x:c r="I441" s="81" t="n"/>
      <x:c r="J441" s="81" t="n"/>
      <x:c r="K441" s="81" t="n"/>
      <x:c r="L441" s="81" t="n"/>
      <x:c r="M441" s="81" t="n"/>
      <x:c r="N441" s="81" t="n"/>
      <x:c r="O441" s="81" t="n"/>
      <x:c r="P441" s="81" t="n"/>
      <x:c r="Q441" s="81" t="n"/>
      <x:c r="R441" s="81" t="n"/>
      <x:c r="S441" s="81" t="n"/>
      <x:c r="T441" s="81" t="n"/>
      <x:c r="U441" s="81" t="n"/>
      <x:c r="V441" s="81" t="n"/>
      <x:c r="W441" s="81" t="n"/>
      <x:c r="X441" s="81" t="n"/>
      <x:c r="Y441" s="81" t="n"/>
      <x:c r="Z441" s="81" t="n"/>
      <x:c r="AA441" s="81" t="n"/>
      <x:c r="AB441" s="81" t="n"/>
      <x:c r="AC441" s="81" t="n"/>
      <x:c r="AD441" s="81" t="n"/>
      <x:c r="AE441" s="81" t="n"/>
      <x:c r="AF441" s="81" t="n"/>
      <x:c r="AG441" s="81" t="n"/>
      <x:c r="AH441" s="81" t="n"/>
      <x:c r="AI441" s="81" t="n"/>
    </x:row>
    <x:row r="442">
      <x:c r="A442" s="81" t="n"/>
      <x:c r="B442" s="81" t="n"/>
      <x:c r="C442" s="81" t="n"/>
      <x:c r="D442" s="81" t="n"/>
      <x:c r="E442" s="81" t="n"/>
      <x:c r="F442" s="81" t="n"/>
      <x:c r="G442" s="81" t="n"/>
      <x:c r="H442" s="81" t="n"/>
      <x:c r="I442" s="81" t="n"/>
      <x:c r="J442" s="81" t="n"/>
      <x:c r="K442" s="81" t="n"/>
      <x:c r="L442" s="81" t="n"/>
      <x:c r="M442" s="81" t="n"/>
      <x:c r="N442" s="81" t="n"/>
      <x:c r="O442" s="81" t="n"/>
      <x:c r="P442" s="81" t="n"/>
      <x:c r="Q442" s="81" t="n"/>
      <x:c r="R442" s="81" t="n"/>
      <x:c r="S442" s="81" t="n"/>
      <x:c r="T442" s="81" t="n"/>
      <x:c r="U442" s="81" t="n"/>
      <x:c r="V442" s="81" t="n"/>
      <x:c r="W442" s="81" t="n"/>
      <x:c r="X442" s="81" t="n"/>
      <x:c r="Y442" s="81" t="n"/>
      <x:c r="Z442" s="81" t="n"/>
      <x:c r="AA442" s="81" t="n"/>
      <x:c r="AB442" s="81" t="n"/>
      <x:c r="AC442" s="81" t="n"/>
      <x:c r="AD442" s="81" t="n"/>
      <x:c r="AE442" s="81" t="n"/>
      <x:c r="AF442" s="81" t="n"/>
      <x:c r="AG442" s="81" t="n"/>
      <x:c r="AH442" s="81" t="n"/>
      <x:c r="AI442" s="81" t="n"/>
    </x:row>
    <x:row r="443">
      <x:c r="A443" s="81" t="n"/>
      <x:c r="B443" s="81" t="n"/>
      <x:c r="C443" s="81" t="n"/>
      <x:c r="D443" s="81" t="n"/>
      <x:c r="E443" s="81" t="n"/>
      <x:c r="F443" s="81" t="n"/>
      <x:c r="G443" s="81" t="n"/>
      <x:c r="H443" s="81" t="n"/>
      <x:c r="I443" s="81" t="n"/>
      <x:c r="J443" s="81" t="n"/>
      <x:c r="K443" s="81" t="n"/>
      <x:c r="L443" s="81" t="n"/>
      <x:c r="M443" s="81" t="n"/>
      <x:c r="N443" s="81" t="n"/>
      <x:c r="O443" s="81" t="n"/>
      <x:c r="P443" s="81" t="n"/>
      <x:c r="Q443" s="81" t="n"/>
      <x:c r="R443" s="81" t="n"/>
      <x:c r="S443" s="81" t="n"/>
      <x:c r="T443" s="81" t="n"/>
      <x:c r="U443" s="81" t="n"/>
      <x:c r="V443" s="81" t="n"/>
      <x:c r="W443" s="81" t="n"/>
      <x:c r="X443" s="81" t="n"/>
      <x:c r="Y443" s="81" t="n"/>
      <x:c r="Z443" s="81" t="n"/>
      <x:c r="AA443" s="81" t="n"/>
      <x:c r="AB443" s="81" t="n"/>
      <x:c r="AC443" s="81" t="n"/>
      <x:c r="AD443" s="81" t="n"/>
      <x:c r="AE443" s="81" t="n"/>
      <x:c r="AF443" s="81" t="n"/>
      <x:c r="AG443" s="81" t="n"/>
      <x:c r="AH443" s="81" t="n"/>
      <x:c r="AI443" s="81" t="n"/>
    </x:row>
    <x:row r="444">
      <x:c r="A444" s="81" t="n"/>
      <x:c r="B444" s="81" t="n"/>
      <x:c r="C444" s="81" t="n"/>
      <x:c r="D444" s="81" t="n"/>
      <x:c r="E444" s="81" t="n"/>
      <x:c r="F444" s="81" t="n"/>
      <x:c r="G444" s="81" t="n"/>
      <x:c r="H444" s="81" t="n"/>
      <x:c r="I444" s="81" t="n"/>
      <x:c r="J444" s="81" t="n"/>
      <x:c r="K444" s="81" t="n"/>
      <x:c r="L444" s="81" t="n"/>
      <x:c r="M444" s="81" t="n"/>
      <x:c r="N444" s="81" t="n"/>
      <x:c r="O444" s="81" t="n"/>
      <x:c r="P444" s="81" t="n"/>
      <x:c r="Q444" s="81" t="n"/>
      <x:c r="R444" s="81" t="n"/>
      <x:c r="S444" s="81" t="n"/>
      <x:c r="T444" s="81" t="n"/>
      <x:c r="U444" s="81" t="n"/>
      <x:c r="V444" s="81" t="n"/>
      <x:c r="W444" s="81" t="n"/>
      <x:c r="X444" s="81" t="n"/>
      <x:c r="Y444" s="81" t="n"/>
      <x:c r="Z444" s="81" t="n"/>
      <x:c r="AA444" s="81" t="n"/>
      <x:c r="AB444" s="81" t="n"/>
      <x:c r="AC444" s="81" t="n"/>
      <x:c r="AD444" s="81" t="n"/>
      <x:c r="AE444" s="81" t="n"/>
      <x:c r="AF444" s="81" t="n"/>
      <x:c r="AG444" s="81" t="n"/>
      <x:c r="AH444" s="81" t="n"/>
      <x:c r="AI444" s="81" t="n"/>
    </x:row>
    <x:row r="445">
      <x:c r="A445" s="81" t="n"/>
      <x:c r="B445" s="81" t="n"/>
      <x:c r="C445" s="81" t="n"/>
      <x:c r="D445" s="81" t="n"/>
      <x:c r="E445" s="81" t="n"/>
      <x:c r="F445" s="81" t="n"/>
      <x:c r="G445" s="81" t="n"/>
      <x:c r="H445" s="81" t="n"/>
      <x:c r="I445" s="81" t="n"/>
      <x:c r="J445" s="81" t="n"/>
      <x:c r="K445" s="81" t="n"/>
      <x:c r="L445" s="81" t="n"/>
      <x:c r="M445" s="81" t="n"/>
      <x:c r="N445" s="81" t="n"/>
      <x:c r="O445" s="81" t="n"/>
      <x:c r="P445" s="81" t="n"/>
      <x:c r="Q445" s="81" t="n"/>
      <x:c r="R445" s="81" t="n"/>
      <x:c r="S445" s="81" t="n"/>
      <x:c r="T445" s="81" t="n"/>
      <x:c r="U445" s="81" t="n"/>
      <x:c r="V445" s="81" t="n"/>
      <x:c r="W445" s="81" t="n"/>
      <x:c r="X445" s="81" t="n"/>
      <x:c r="Y445" s="81" t="n"/>
      <x:c r="Z445" s="81" t="n"/>
      <x:c r="AA445" s="81" t="n"/>
      <x:c r="AB445" s="81" t="n"/>
      <x:c r="AC445" s="81" t="n"/>
      <x:c r="AD445" s="81" t="n"/>
      <x:c r="AE445" s="81" t="n"/>
      <x:c r="AF445" s="81" t="n"/>
      <x:c r="AG445" s="81" t="n"/>
      <x:c r="AH445" s="81" t="n"/>
      <x:c r="AI445" s="81" t="n"/>
    </x:row>
    <x:row r="446">
      <x:c r="A446" s="81" t="n"/>
      <x:c r="B446" s="81" t="n"/>
      <x:c r="C446" s="81" t="n"/>
      <x:c r="D446" s="81" t="n"/>
      <x:c r="E446" s="81" t="n"/>
      <x:c r="F446" s="81" t="n"/>
      <x:c r="G446" s="81" t="n"/>
      <x:c r="H446" s="81" t="n"/>
      <x:c r="I446" s="81" t="n"/>
      <x:c r="J446" s="81" t="n"/>
      <x:c r="K446" s="81" t="n"/>
      <x:c r="L446" s="81" t="n"/>
      <x:c r="M446" s="81" t="n"/>
      <x:c r="N446" s="81" t="n"/>
      <x:c r="O446" s="81" t="n"/>
      <x:c r="P446" s="81" t="n"/>
      <x:c r="Q446" s="81" t="n"/>
      <x:c r="R446" s="81" t="n"/>
      <x:c r="S446" s="81" t="n"/>
      <x:c r="T446" s="81" t="n"/>
      <x:c r="U446" s="81" t="n"/>
      <x:c r="V446" s="81" t="n"/>
      <x:c r="W446" s="81" t="n"/>
      <x:c r="X446" s="81" t="n"/>
      <x:c r="Y446" s="81" t="n"/>
      <x:c r="Z446" s="81" t="n"/>
      <x:c r="AA446" s="81" t="n"/>
      <x:c r="AB446" s="81" t="n"/>
      <x:c r="AC446" s="81" t="n"/>
      <x:c r="AD446" s="81" t="n"/>
      <x:c r="AE446" s="81" t="n"/>
      <x:c r="AF446" s="81" t="n"/>
      <x:c r="AG446" s="81" t="n"/>
      <x:c r="AH446" s="81" t="n"/>
      <x:c r="AI446" s="81" t="n"/>
    </x:row>
    <x:row r="447">
      <x:c r="A447" s="81" t="n"/>
      <x:c r="B447" s="81" t="n"/>
      <x:c r="C447" s="81" t="n"/>
      <x:c r="D447" s="81" t="n"/>
      <x:c r="E447" s="81" t="n"/>
      <x:c r="F447" s="81" t="n"/>
      <x:c r="G447" s="81" t="n"/>
      <x:c r="H447" s="81" t="n"/>
      <x:c r="I447" s="81" t="n"/>
      <x:c r="J447" s="81" t="n"/>
      <x:c r="K447" s="81" t="n"/>
      <x:c r="L447" s="81" t="n"/>
      <x:c r="M447" s="81" t="n"/>
      <x:c r="N447" s="81" t="n"/>
      <x:c r="O447" s="81" t="n"/>
      <x:c r="P447" s="81" t="n"/>
      <x:c r="Q447" s="81" t="n"/>
      <x:c r="R447" s="81" t="n"/>
      <x:c r="S447" s="81" t="n"/>
      <x:c r="T447" s="81" t="n"/>
      <x:c r="U447" s="81" t="n"/>
      <x:c r="V447" s="81" t="n"/>
      <x:c r="W447" s="81" t="n"/>
      <x:c r="X447" s="81" t="n"/>
      <x:c r="Y447" s="81" t="n"/>
      <x:c r="Z447" s="81" t="n"/>
      <x:c r="AA447" s="81" t="n"/>
      <x:c r="AB447" s="81" t="n"/>
      <x:c r="AC447" s="81" t="n"/>
      <x:c r="AD447" s="81" t="n"/>
      <x:c r="AE447" s="81" t="n"/>
      <x:c r="AF447" s="81" t="n"/>
      <x:c r="AG447" s="81" t="n"/>
      <x:c r="AH447" s="81" t="n"/>
      <x:c r="AI447" s="81" t="n"/>
    </x:row>
    <x:row r="448">
      <x:c r="A448" s="81" t="n"/>
      <x:c r="B448" s="81" t="n"/>
      <x:c r="C448" s="81" t="n"/>
      <x:c r="D448" s="81" t="n"/>
      <x:c r="E448" s="81" t="n"/>
      <x:c r="F448" s="81" t="n"/>
      <x:c r="G448" s="81" t="n"/>
      <x:c r="H448" s="81" t="n"/>
      <x:c r="I448" s="81" t="n"/>
      <x:c r="J448" s="81" t="n"/>
      <x:c r="K448" s="81" t="n"/>
      <x:c r="L448" s="81" t="n"/>
      <x:c r="M448" s="81" t="n"/>
      <x:c r="N448" s="81" t="n"/>
      <x:c r="O448" s="81" t="n"/>
      <x:c r="P448" s="81" t="n"/>
      <x:c r="Q448" s="81" t="n"/>
      <x:c r="R448" s="81" t="n"/>
      <x:c r="S448" s="81" t="n"/>
      <x:c r="T448" s="81" t="n"/>
      <x:c r="U448" s="81" t="n"/>
      <x:c r="V448" s="81" t="n"/>
      <x:c r="W448" s="81" t="n"/>
      <x:c r="X448" s="81" t="n"/>
      <x:c r="Y448" s="81" t="n"/>
      <x:c r="Z448" s="81" t="n"/>
      <x:c r="AA448" s="81" t="n"/>
      <x:c r="AB448" s="81" t="n"/>
      <x:c r="AC448" s="81" t="n"/>
      <x:c r="AD448" s="81" t="n"/>
      <x:c r="AE448" s="81" t="n"/>
      <x:c r="AF448" s="81" t="n"/>
      <x:c r="AG448" s="81" t="n"/>
      <x:c r="AH448" s="81" t="n"/>
      <x:c r="AI448" s="81" t="n"/>
    </x:row>
    <x:row r="449">
      <x:c r="A449" s="81" t="n"/>
      <x:c r="B449" s="81" t="n"/>
      <x:c r="C449" s="81" t="n"/>
      <x:c r="D449" s="81" t="n"/>
      <x:c r="E449" s="81" t="n"/>
      <x:c r="F449" s="81" t="n"/>
      <x:c r="G449" s="81" t="n"/>
      <x:c r="H449" s="81" t="n"/>
      <x:c r="I449" s="81" t="n"/>
      <x:c r="J449" s="81" t="n"/>
      <x:c r="K449" s="81" t="n"/>
      <x:c r="L449" s="81" t="n"/>
      <x:c r="M449" s="81" t="n"/>
      <x:c r="N449" s="81" t="n"/>
      <x:c r="O449" s="81" t="n"/>
      <x:c r="P449" s="81" t="n"/>
      <x:c r="Q449" s="81" t="n"/>
      <x:c r="R449" s="81" t="n"/>
      <x:c r="S449" s="81" t="n"/>
      <x:c r="T449" s="81" t="n"/>
      <x:c r="U449" s="81" t="n"/>
      <x:c r="V449" s="81" t="n"/>
      <x:c r="W449" s="81" t="n"/>
      <x:c r="X449" s="81" t="n"/>
      <x:c r="Y449" s="81" t="n"/>
      <x:c r="Z449" s="81" t="n"/>
      <x:c r="AA449" s="81" t="n"/>
      <x:c r="AB449" s="81" t="n"/>
      <x:c r="AC449" s="81" t="n"/>
      <x:c r="AD449" s="81" t="n"/>
      <x:c r="AE449" s="81" t="n"/>
      <x:c r="AF449" s="81" t="n"/>
      <x:c r="AG449" s="81" t="n"/>
      <x:c r="AH449" s="81" t="n"/>
      <x:c r="AI449" s="81" t="n"/>
    </x:row>
    <x:row r="450">
      <x:c r="A450" s="81" t="n"/>
      <x:c r="B450" s="81" t="n"/>
      <x:c r="C450" s="81" t="n"/>
      <x:c r="D450" s="81" t="n"/>
      <x:c r="E450" s="81" t="n"/>
      <x:c r="F450" s="81" t="n"/>
      <x:c r="G450" s="81" t="n"/>
      <x:c r="H450" s="81" t="n"/>
      <x:c r="I450" s="81" t="n"/>
      <x:c r="J450" s="81" t="n"/>
      <x:c r="K450" s="81" t="n"/>
      <x:c r="L450" s="81" t="n"/>
      <x:c r="M450" s="81" t="n"/>
      <x:c r="N450" s="81" t="n"/>
      <x:c r="O450" s="81" t="n"/>
      <x:c r="P450" s="81" t="n"/>
      <x:c r="Q450" s="81" t="n"/>
      <x:c r="R450" s="81" t="n"/>
      <x:c r="S450" s="81" t="n"/>
      <x:c r="T450" s="81" t="n"/>
      <x:c r="U450" s="81" t="n"/>
      <x:c r="V450" s="81" t="n"/>
      <x:c r="W450" s="81" t="n"/>
      <x:c r="X450" s="81" t="n"/>
      <x:c r="Y450" s="81" t="n"/>
      <x:c r="Z450" s="81" t="n"/>
      <x:c r="AA450" s="81" t="n"/>
      <x:c r="AB450" s="81" t="n"/>
      <x:c r="AC450" s="81" t="n"/>
      <x:c r="AD450" s="81" t="n"/>
      <x:c r="AE450" s="81" t="n"/>
      <x:c r="AF450" s="81" t="n"/>
      <x:c r="AG450" s="81" t="n"/>
      <x:c r="AH450" s="81" t="n"/>
      <x:c r="AI450" s="81" t="n"/>
    </x:row>
    <x:row r="451">
      <x:c r="A451" s="81" t="n"/>
      <x:c r="B451" s="81" t="n"/>
      <x:c r="C451" s="81" t="n"/>
      <x:c r="D451" s="81" t="n"/>
      <x:c r="E451" s="81" t="n"/>
      <x:c r="F451" s="81" t="n"/>
      <x:c r="G451" s="81" t="n"/>
      <x:c r="H451" s="81" t="n"/>
      <x:c r="I451" s="81" t="n"/>
      <x:c r="J451" s="81" t="n"/>
      <x:c r="K451" s="81" t="n"/>
      <x:c r="L451" s="81" t="n"/>
      <x:c r="M451" s="81" t="n"/>
      <x:c r="N451" s="81" t="n"/>
      <x:c r="O451" s="81" t="n"/>
      <x:c r="P451" s="81" t="n"/>
      <x:c r="Q451" s="81" t="n"/>
      <x:c r="R451" s="81" t="n"/>
      <x:c r="S451" s="81" t="n"/>
      <x:c r="T451" s="81" t="n"/>
      <x:c r="U451" s="81" t="n"/>
      <x:c r="V451" s="81" t="n"/>
      <x:c r="W451" s="81" t="n"/>
      <x:c r="X451" s="81" t="n"/>
      <x:c r="Y451" s="81" t="n"/>
      <x:c r="Z451" s="81" t="n"/>
      <x:c r="AA451" s="81" t="n"/>
      <x:c r="AB451" s="81" t="n"/>
      <x:c r="AC451" s="81" t="n"/>
      <x:c r="AD451" s="81" t="n"/>
      <x:c r="AE451" s="81" t="n"/>
      <x:c r="AF451" s="81" t="n"/>
      <x:c r="AG451" s="81" t="n"/>
      <x:c r="AH451" s="81" t="n"/>
      <x:c r="AI451" s="81" t="n"/>
    </x:row>
    <x:row r="452">
      <x:c r="A452" s="81" t="n"/>
      <x:c r="B452" s="81" t="n"/>
      <x:c r="C452" s="81" t="n"/>
      <x:c r="D452" s="81" t="n"/>
      <x:c r="E452" s="81" t="n"/>
      <x:c r="F452" s="81" t="n"/>
      <x:c r="G452" s="81" t="n"/>
      <x:c r="H452" s="81" t="n"/>
      <x:c r="I452" s="81" t="n"/>
      <x:c r="J452" s="81" t="n"/>
      <x:c r="K452" s="81" t="n"/>
      <x:c r="L452" s="81" t="n"/>
      <x:c r="M452" s="81" t="n"/>
      <x:c r="N452" s="81" t="n"/>
      <x:c r="O452" s="81" t="n"/>
      <x:c r="P452" s="81" t="n"/>
      <x:c r="Q452" s="81" t="n"/>
      <x:c r="R452" s="81" t="n"/>
      <x:c r="S452" s="81" t="n"/>
      <x:c r="T452" s="81" t="n"/>
      <x:c r="U452" s="81" t="n"/>
      <x:c r="V452" s="81" t="n"/>
      <x:c r="W452" s="81" t="n"/>
      <x:c r="X452" s="81" t="n"/>
      <x:c r="Y452" s="81" t="n"/>
      <x:c r="Z452" s="81" t="n"/>
      <x:c r="AA452" s="81" t="n"/>
      <x:c r="AB452" s="81" t="n"/>
      <x:c r="AC452" s="81" t="n"/>
      <x:c r="AD452" s="81" t="n"/>
      <x:c r="AE452" s="81" t="n"/>
      <x:c r="AF452" s="81" t="n"/>
      <x:c r="AG452" s="81" t="n"/>
      <x:c r="AH452" s="81" t="n"/>
      <x:c r="AI452" s="81" t="n"/>
    </x:row>
    <x:row r="453">
      <x:c r="A453" s="81" t="n"/>
      <x:c r="B453" s="81" t="n"/>
      <x:c r="C453" s="81" t="n"/>
      <x:c r="D453" s="81" t="n"/>
      <x:c r="E453" s="81" t="n"/>
      <x:c r="F453" s="81" t="n"/>
      <x:c r="G453" s="81" t="n"/>
      <x:c r="H453" s="81" t="n"/>
      <x:c r="I453" s="81" t="n"/>
      <x:c r="J453" s="81" t="n"/>
      <x:c r="K453" s="81" t="n"/>
      <x:c r="L453" s="81" t="n"/>
      <x:c r="M453" s="81" t="n"/>
      <x:c r="N453" s="81" t="n"/>
      <x:c r="O453" s="81" t="n"/>
      <x:c r="P453" s="81" t="n"/>
      <x:c r="Q453" s="81" t="n"/>
      <x:c r="R453" s="81" t="n"/>
      <x:c r="S453" s="81" t="n"/>
      <x:c r="T453" s="81" t="n"/>
      <x:c r="U453" s="81" t="n"/>
      <x:c r="V453" s="81" t="n"/>
      <x:c r="W453" s="81" t="n"/>
      <x:c r="X453" s="81" t="n"/>
      <x:c r="Y453" s="81" t="n"/>
      <x:c r="Z453" s="81" t="n"/>
      <x:c r="AA453" s="81" t="n"/>
      <x:c r="AB453" s="81" t="n"/>
      <x:c r="AC453" s="81" t="n"/>
      <x:c r="AD453" s="81" t="n"/>
      <x:c r="AE453" s="81" t="n"/>
      <x:c r="AF453" s="81" t="n"/>
      <x:c r="AG453" s="81" t="n"/>
      <x:c r="AH453" s="81" t="n"/>
      <x:c r="AI453" s="81" t="n"/>
    </x:row>
    <x:row r="454">
      <x:c r="A454" s="81" t="n"/>
      <x:c r="B454" s="81" t="n"/>
      <x:c r="C454" s="81" t="n"/>
      <x:c r="D454" s="81" t="n"/>
      <x:c r="E454" s="81" t="n"/>
      <x:c r="F454" s="81" t="n"/>
      <x:c r="G454" s="81" t="n"/>
      <x:c r="H454" s="81" t="n"/>
      <x:c r="I454" s="81" t="n"/>
      <x:c r="J454" s="81" t="n"/>
      <x:c r="K454" s="81" t="n"/>
      <x:c r="L454" s="81" t="n"/>
      <x:c r="M454" s="81" t="n"/>
      <x:c r="N454" s="81" t="n"/>
      <x:c r="O454" s="81" t="n"/>
      <x:c r="P454" s="81" t="n"/>
      <x:c r="Q454" s="81" t="n"/>
      <x:c r="R454" s="81" t="n"/>
      <x:c r="S454" s="81" t="n"/>
      <x:c r="T454" s="81" t="n"/>
      <x:c r="U454" s="81" t="n"/>
      <x:c r="V454" s="81" t="n"/>
      <x:c r="W454" s="81" t="n"/>
      <x:c r="X454" s="81" t="n"/>
      <x:c r="Y454" s="81" t="n"/>
      <x:c r="Z454" s="81" t="n"/>
      <x:c r="AA454" s="81" t="n"/>
      <x:c r="AB454" s="81" t="n"/>
      <x:c r="AC454" s="81" t="n"/>
      <x:c r="AD454" s="81" t="n"/>
      <x:c r="AE454" s="81" t="n"/>
      <x:c r="AF454" s="81" t="n"/>
      <x:c r="AG454" s="81" t="n"/>
      <x:c r="AH454" s="81" t="n"/>
      <x:c r="AI454" s="81" t="n"/>
    </x:row>
    <x:row r="455">
      <x:c r="A455" s="81" t="n"/>
      <x:c r="B455" s="81" t="n"/>
      <x:c r="C455" s="81" t="n"/>
      <x:c r="D455" s="81" t="n"/>
      <x:c r="E455" s="81" t="n"/>
      <x:c r="F455" s="81" t="n"/>
      <x:c r="G455" s="81" t="n"/>
      <x:c r="H455" s="81" t="n"/>
      <x:c r="I455" s="81" t="n"/>
      <x:c r="J455" s="81" t="n"/>
      <x:c r="K455" s="81" t="n"/>
      <x:c r="L455" s="81" t="n"/>
      <x:c r="M455" s="81" t="n"/>
      <x:c r="N455" s="81" t="n"/>
      <x:c r="O455" s="81" t="n"/>
      <x:c r="P455" s="81" t="n"/>
      <x:c r="Q455" s="81" t="n"/>
      <x:c r="R455" s="81" t="n"/>
      <x:c r="S455" s="81" t="n"/>
      <x:c r="T455" s="81" t="n"/>
      <x:c r="U455" s="81" t="n"/>
      <x:c r="V455" s="81" t="n"/>
      <x:c r="W455" s="81" t="n"/>
      <x:c r="X455" s="81" t="n"/>
      <x:c r="Y455" s="81" t="n"/>
      <x:c r="Z455" s="81" t="n"/>
      <x:c r="AA455" s="81" t="n"/>
      <x:c r="AB455" s="81" t="n"/>
      <x:c r="AC455" s="81" t="n"/>
      <x:c r="AD455" s="81" t="n"/>
      <x:c r="AE455" s="81" t="n"/>
      <x:c r="AF455" s="81" t="n"/>
      <x:c r="AG455" s="81" t="n"/>
      <x:c r="AH455" s="81" t="n"/>
      <x:c r="AI455" s="81" t="n"/>
    </x:row>
    <x:row r="456">
      <x:c r="A456" s="81" t="n"/>
      <x:c r="B456" s="81" t="n"/>
      <x:c r="C456" s="81" t="n"/>
      <x:c r="D456" s="81" t="n"/>
      <x:c r="E456" s="81" t="n"/>
      <x:c r="F456" s="81" t="n"/>
      <x:c r="G456" s="81" t="n"/>
      <x:c r="H456" s="81" t="n"/>
      <x:c r="I456" s="81" t="n"/>
      <x:c r="J456" s="81" t="n"/>
      <x:c r="K456" s="81" t="n"/>
      <x:c r="L456" s="81" t="n"/>
      <x:c r="M456" s="81" t="n"/>
      <x:c r="N456" s="81" t="n"/>
      <x:c r="O456" s="81" t="n"/>
      <x:c r="P456" s="81" t="n"/>
      <x:c r="Q456" s="81" t="n"/>
      <x:c r="R456" s="81" t="n"/>
      <x:c r="S456" s="81" t="n"/>
      <x:c r="T456" s="81" t="n"/>
      <x:c r="U456" s="81" t="n"/>
      <x:c r="V456" s="81" t="n"/>
      <x:c r="W456" s="81" t="n"/>
      <x:c r="X456" s="81" t="n"/>
      <x:c r="Y456" s="81" t="n"/>
      <x:c r="Z456" s="81" t="n"/>
      <x:c r="AA456" s="81" t="n"/>
      <x:c r="AB456" s="81" t="n"/>
      <x:c r="AC456" s="81" t="n"/>
      <x:c r="AD456" s="81" t="n"/>
      <x:c r="AE456" s="81" t="n"/>
      <x:c r="AF456" s="81" t="n"/>
      <x:c r="AG456" s="81" t="n"/>
      <x:c r="AH456" s="81" t="n"/>
      <x:c r="AI456" s="81" t="n"/>
    </x:row>
    <x:row r="457">
      <x:c r="A457" s="81" t="n"/>
      <x:c r="B457" s="81" t="n"/>
      <x:c r="C457" s="81" t="n"/>
      <x:c r="D457" s="81" t="n"/>
      <x:c r="E457" s="81" t="n"/>
      <x:c r="F457" s="81" t="n"/>
      <x:c r="G457" s="81" t="n"/>
      <x:c r="H457" s="81" t="n"/>
      <x:c r="I457" s="81" t="n"/>
      <x:c r="J457" s="81" t="n"/>
      <x:c r="K457" s="81" t="n"/>
      <x:c r="L457" s="81" t="n"/>
      <x:c r="M457" s="81" t="n"/>
      <x:c r="N457" s="81" t="n"/>
      <x:c r="O457" s="81" t="n"/>
      <x:c r="P457" s="81" t="n"/>
      <x:c r="Q457" s="81" t="n"/>
      <x:c r="R457" s="81" t="n"/>
      <x:c r="S457" s="81" t="n"/>
      <x:c r="T457" s="81" t="n"/>
      <x:c r="U457" s="81" t="n"/>
      <x:c r="V457" s="81" t="n"/>
      <x:c r="W457" s="81" t="n"/>
      <x:c r="X457" s="81" t="n"/>
      <x:c r="Y457" s="81" t="n"/>
      <x:c r="Z457" s="81" t="n"/>
      <x:c r="AA457" s="81" t="n"/>
      <x:c r="AB457" s="81" t="n"/>
      <x:c r="AC457" s="81" t="n"/>
      <x:c r="AD457" s="81" t="n"/>
      <x:c r="AE457" s="81" t="n"/>
      <x:c r="AF457" s="81" t="n"/>
      <x:c r="AG457" s="81" t="n"/>
      <x:c r="AH457" s="81" t="n"/>
      <x:c r="AI457" s="81" t="n"/>
    </x:row>
    <x:row r="458">
      <x:c r="A458" s="81" t="n"/>
      <x:c r="B458" s="81" t="n"/>
      <x:c r="C458" s="81" t="n"/>
      <x:c r="D458" s="81" t="n"/>
      <x:c r="E458" s="81" t="n"/>
      <x:c r="F458" s="81" t="n"/>
      <x:c r="G458" s="81" t="n"/>
      <x:c r="H458" s="81" t="n"/>
      <x:c r="I458" s="81" t="n"/>
      <x:c r="J458" s="81" t="n"/>
      <x:c r="K458" s="81" t="n"/>
      <x:c r="L458" s="81" t="n"/>
      <x:c r="M458" s="81" t="n"/>
      <x:c r="N458" s="81" t="n"/>
      <x:c r="O458" s="81" t="n"/>
      <x:c r="P458" s="81" t="n"/>
      <x:c r="Q458" s="81" t="n"/>
      <x:c r="R458" s="81" t="n"/>
      <x:c r="S458" s="81" t="n"/>
      <x:c r="T458" s="81" t="n"/>
      <x:c r="U458" s="81" t="n"/>
      <x:c r="V458" s="81" t="n"/>
      <x:c r="W458" s="81" t="n"/>
      <x:c r="X458" s="81" t="n"/>
      <x:c r="Y458" s="81" t="n"/>
      <x:c r="Z458" s="81" t="n"/>
      <x:c r="AA458" s="81" t="n"/>
      <x:c r="AB458" s="81" t="n"/>
      <x:c r="AC458" s="81" t="n"/>
      <x:c r="AD458" s="81" t="n"/>
      <x:c r="AE458" s="81" t="n"/>
      <x:c r="AF458" s="81" t="n"/>
      <x:c r="AG458" s="81" t="n"/>
      <x:c r="AH458" s="81" t="n"/>
      <x:c r="AI458" s="81" t="n"/>
    </x:row>
    <x:row r="459">
      <x:c r="A459" s="81" t="n"/>
      <x:c r="B459" s="81" t="n"/>
      <x:c r="C459" s="81" t="n"/>
      <x:c r="D459" s="81" t="n"/>
      <x:c r="E459" s="81" t="n"/>
      <x:c r="F459" s="81" t="n"/>
      <x:c r="G459" s="81" t="n"/>
      <x:c r="H459" s="81" t="n"/>
      <x:c r="I459" s="81" t="n"/>
      <x:c r="J459" s="81" t="n"/>
      <x:c r="K459" s="81" t="n"/>
      <x:c r="L459" s="81" t="n"/>
      <x:c r="M459" s="81" t="n"/>
      <x:c r="N459" s="81" t="n"/>
      <x:c r="O459" s="81" t="n"/>
      <x:c r="P459" s="81" t="n"/>
      <x:c r="Q459" s="81" t="n"/>
      <x:c r="R459" s="81" t="n"/>
      <x:c r="S459" s="81" t="n"/>
      <x:c r="T459" s="81" t="n"/>
      <x:c r="U459" s="81" t="n"/>
      <x:c r="V459" s="81" t="n"/>
      <x:c r="W459" s="81" t="n"/>
      <x:c r="X459" s="81" t="n"/>
      <x:c r="Y459" s="81" t="n"/>
      <x:c r="Z459" s="81" t="n"/>
      <x:c r="AA459" s="81" t="n"/>
      <x:c r="AB459" s="81" t="n"/>
      <x:c r="AC459" s="81" t="n"/>
      <x:c r="AD459" s="81" t="n"/>
      <x:c r="AE459" s="81" t="n"/>
      <x:c r="AF459" s="81" t="n"/>
      <x:c r="AG459" s="81" t="n"/>
      <x:c r="AH459" s="81" t="n"/>
      <x:c r="AI459" s="81" t="n"/>
    </x:row>
    <x:row r="460">
      <x:c r="A460" s="81" t="n"/>
      <x:c r="B460" s="81" t="n"/>
      <x:c r="C460" s="81" t="n"/>
      <x:c r="D460" s="81" t="n"/>
      <x:c r="E460" s="81" t="n"/>
      <x:c r="F460" s="81" t="n"/>
      <x:c r="G460" s="81" t="n"/>
      <x:c r="H460" s="81" t="n"/>
      <x:c r="I460" s="81" t="n"/>
      <x:c r="J460" s="81" t="n"/>
      <x:c r="K460" s="81" t="n"/>
      <x:c r="L460" s="81" t="n"/>
      <x:c r="M460" s="81" t="n"/>
      <x:c r="N460" s="81" t="n"/>
      <x:c r="O460" s="81" t="n"/>
      <x:c r="P460" s="81" t="n"/>
      <x:c r="Q460" s="81" t="n"/>
      <x:c r="R460" s="81" t="n"/>
      <x:c r="S460" s="81" t="n"/>
      <x:c r="T460" s="81" t="n"/>
      <x:c r="U460" s="81" t="n"/>
      <x:c r="V460" s="81" t="n"/>
      <x:c r="W460" s="81" t="n"/>
      <x:c r="X460" s="81" t="n"/>
      <x:c r="Y460" s="81" t="n"/>
      <x:c r="Z460" s="81" t="n"/>
      <x:c r="AA460" s="81" t="n"/>
      <x:c r="AB460" s="81" t="n"/>
      <x:c r="AC460" s="81" t="n"/>
      <x:c r="AD460" s="81" t="n"/>
      <x:c r="AE460" s="81" t="n"/>
      <x:c r="AF460" s="81" t="n"/>
      <x:c r="AG460" s="81" t="n"/>
      <x:c r="AH460" s="81" t="n"/>
      <x:c r="AI460" s="81" t="n"/>
    </x:row>
    <x:row r="461">
      <x:c r="A461" s="81" t="n"/>
      <x:c r="B461" s="81" t="n"/>
      <x:c r="C461" s="81" t="n"/>
      <x:c r="D461" s="81" t="n"/>
      <x:c r="E461" s="81" t="n"/>
      <x:c r="F461" s="81" t="n"/>
      <x:c r="G461" s="81" t="n"/>
      <x:c r="H461" s="81" t="n"/>
      <x:c r="I461" s="81" t="n"/>
      <x:c r="J461" s="81" t="n"/>
      <x:c r="K461" s="81" t="n"/>
      <x:c r="L461" s="81" t="n"/>
      <x:c r="M461" s="81" t="n"/>
      <x:c r="N461" s="81" t="n"/>
      <x:c r="O461" s="81" t="n"/>
      <x:c r="P461" s="81" t="n"/>
      <x:c r="Q461" s="81" t="n"/>
      <x:c r="R461" s="81" t="n"/>
      <x:c r="S461" s="81" t="n"/>
      <x:c r="T461" s="81" t="n"/>
      <x:c r="U461" s="81" t="n"/>
      <x:c r="V461" s="81" t="n"/>
      <x:c r="W461" s="81" t="n"/>
      <x:c r="X461" s="81" t="n"/>
      <x:c r="Y461" s="81" t="n"/>
      <x:c r="Z461" s="81" t="n"/>
      <x:c r="AA461" s="81" t="n"/>
      <x:c r="AB461" s="81" t="n"/>
      <x:c r="AC461" s="81" t="n"/>
      <x:c r="AD461" s="81" t="n"/>
      <x:c r="AE461" s="81" t="n"/>
      <x:c r="AF461" s="81" t="n"/>
      <x:c r="AG461" s="81" t="n"/>
      <x:c r="AH461" s="81" t="n"/>
      <x:c r="AI461" s="81" t="n"/>
    </x:row>
    <x:row r="462">
      <x:c r="A462" s="81" t="n"/>
      <x:c r="B462" s="81" t="n"/>
      <x:c r="C462" s="81" t="n"/>
      <x:c r="D462" s="81" t="n"/>
      <x:c r="E462" s="81" t="n"/>
      <x:c r="F462" s="81" t="n"/>
      <x:c r="G462" s="81" t="n"/>
      <x:c r="H462" s="81" t="n"/>
      <x:c r="I462" s="81" t="n"/>
      <x:c r="J462" s="81" t="n"/>
      <x:c r="K462" s="81" t="n"/>
      <x:c r="L462" s="81" t="n"/>
      <x:c r="M462" s="81" t="n"/>
      <x:c r="N462" s="81" t="n"/>
      <x:c r="O462" s="81" t="n"/>
      <x:c r="P462" s="81" t="n"/>
      <x:c r="Q462" s="81" t="n"/>
      <x:c r="R462" s="81" t="n"/>
      <x:c r="S462" s="81" t="n"/>
      <x:c r="T462" s="81" t="n"/>
      <x:c r="U462" s="81" t="n"/>
      <x:c r="V462" s="81" t="n"/>
      <x:c r="W462" s="81" t="n"/>
      <x:c r="X462" s="81" t="n"/>
      <x:c r="Y462" s="81" t="n"/>
      <x:c r="Z462" s="81" t="n"/>
      <x:c r="AA462" s="81" t="n"/>
      <x:c r="AB462" s="81" t="n"/>
      <x:c r="AC462" s="81" t="n"/>
      <x:c r="AD462" s="81" t="n"/>
      <x:c r="AE462" s="81" t="n"/>
      <x:c r="AF462" s="81" t="n"/>
      <x:c r="AG462" s="81" t="n"/>
      <x:c r="AH462" s="81" t="n"/>
      <x:c r="AI462" s="81" t="n"/>
    </x:row>
    <x:row r="463">
      <x:c r="A463" s="81" t="n"/>
      <x:c r="B463" s="81" t="n"/>
      <x:c r="C463" s="81" t="n"/>
      <x:c r="D463" s="81" t="n"/>
      <x:c r="E463" s="81" t="n"/>
      <x:c r="F463" s="81" t="n"/>
      <x:c r="G463" s="81" t="n"/>
      <x:c r="H463" s="81" t="n"/>
      <x:c r="I463" s="81" t="n"/>
      <x:c r="J463" s="81" t="n"/>
      <x:c r="K463" s="81" t="n"/>
      <x:c r="L463" s="81" t="n"/>
      <x:c r="M463" s="81" t="n"/>
      <x:c r="N463" s="81" t="n"/>
      <x:c r="O463" s="81" t="n"/>
      <x:c r="P463" s="81" t="n"/>
      <x:c r="Q463" s="81" t="n"/>
      <x:c r="R463" s="81" t="n"/>
      <x:c r="S463" s="81" t="n"/>
      <x:c r="T463" s="81" t="n"/>
      <x:c r="U463" s="81" t="n"/>
      <x:c r="V463" s="81" t="n"/>
      <x:c r="W463" s="81" t="n"/>
      <x:c r="X463" s="81" t="n"/>
      <x:c r="Y463" s="81" t="n"/>
      <x:c r="Z463" s="81" t="n"/>
      <x:c r="AA463" s="81" t="n"/>
      <x:c r="AB463" s="81" t="n"/>
      <x:c r="AC463" s="81" t="n"/>
      <x:c r="AD463" s="81" t="n"/>
      <x:c r="AE463" s="81" t="n"/>
      <x:c r="AF463" s="81" t="n"/>
      <x:c r="AG463" s="81" t="n"/>
      <x:c r="AH463" s="81" t="n"/>
      <x:c r="AI463" s="81" t="n"/>
    </x:row>
    <x:row r="464">
      <x:c r="A464" s="81" t="n"/>
      <x:c r="B464" s="81" t="n"/>
      <x:c r="C464" s="81" t="n"/>
      <x:c r="D464" s="81" t="n"/>
      <x:c r="E464" s="81" t="n"/>
      <x:c r="F464" s="81" t="n"/>
      <x:c r="G464" s="81" t="n"/>
      <x:c r="H464" s="81" t="n"/>
      <x:c r="I464" s="81" t="n"/>
      <x:c r="J464" s="81" t="n"/>
      <x:c r="K464" s="81" t="n"/>
      <x:c r="L464" s="81" t="n"/>
      <x:c r="M464" s="81" t="n"/>
      <x:c r="N464" s="81" t="n"/>
      <x:c r="O464" s="81" t="n"/>
      <x:c r="P464" s="81" t="n"/>
      <x:c r="Q464" s="81" t="n"/>
      <x:c r="R464" s="81" t="n"/>
      <x:c r="S464" s="81" t="n"/>
      <x:c r="T464" s="81" t="n"/>
      <x:c r="U464" s="81" t="n"/>
      <x:c r="V464" s="81" t="n"/>
      <x:c r="W464" s="81" t="n"/>
      <x:c r="X464" s="81" t="n"/>
      <x:c r="Y464" s="81" t="n"/>
      <x:c r="Z464" s="81" t="n"/>
      <x:c r="AA464" s="81" t="n"/>
      <x:c r="AB464" s="81" t="n"/>
      <x:c r="AC464" s="81" t="n"/>
      <x:c r="AD464" s="81" t="n"/>
      <x:c r="AE464" s="81" t="n"/>
      <x:c r="AF464" s="81" t="n"/>
      <x:c r="AG464" s="81" t="n"/>
      <x:c r="AH464" s="81" t="n"/>
      <x:c r="AI464" s="81" t="n"/>
    </x:row>
    <x:row r="465">
      <x:c r="A465" s="81" t="n"/>
      <x:c r="B465" s="81" t="n"/>
      <x:c r="C465" s="81" t="n"/>
      <x:c r="D465" s="81" t="n"/>
      <x:c r="E465" s="81" t="n"/>
      <x:c r="F465" s="81" t="n"/>
      <x:c r="G465" s="81" t="n"/>
      <x:c r="H465" s="81" t="n"/>
      <x:c r="I465" s="81" t="n"/>
      <x:c r="J465" s="81" t="n"/>
      <x:c r="K465" s="81" t="n"/>
      <x:c r="L465" s="81" t="n"/>
      <x:c r="M465" s="81" t="n"/>
      <x:c r="N465" s="81" t="n"/>
      <x:c r="O465" s="81" t="n"/>
      <x:c r="P465" s="81" t="n"/>
      <x:c r="Q465" s="81" t="n"/>
      <x:c r="R465" s="81" t="n"/>
      <x:c r="S465" s="81" t="n"/>
      <x:c r="T465" s="81" t="n"/>
      <x:c r="U465" s="81" t="n"/>
      <x:c r="V465" s="81" t="n"/>
      <x:c r="W465" s="81" t="n"/>
      <x:c r="X465" s="81" t="n"/>
      <x:c r="Y465" s="81" t="n"/>
      <x:c r="Z465" s="81" t="n"/>
      <x:c r="AA465" s="81" t="n"/>
      <x:c r="AB465" s="81" t="n"/>
      <x:c r="AC465" s="81" t="n"/>
      <x:c r="AD465" s="81" t="n"/>
      <x:c r="AE465" s="81" t="n"/>
      <x:c r="AF465" s="81" t="n"/>
      <x:c r="AG465" s="81" t="n"/>
      <x:c r="AH465" s="81" t="n"/>
      <x:c r="AI465" s="81" t="n"/>
    </x:row>
    <x:row r="466">
      <x:c r="A466" s="81" t="n"/>
      <x:c r="B466" s="81" t="n"/>
      <x:c r="C466" s="81" t="n"/>
      <x:c r="D466" s="81" t="n"/>
      <x:c r="E466" s="81" t="n"/>
      <x:c r="F466" s="81" t="n"/>
      <x:c r="G466" s="81" t="n"/>
      <x:c r="H466" s="81" t="n"/>
      <x:c r="I466" s="81" t="n"/>
      <x:c r="J466" s="81" t="n"/>
      <x:c r="K466" s="81" t="n"/>
      <x:c r="L466" s="81" t="n"/>
      <x:c r="M466" s="81" t="n"/>
      <x:c r="N466" s="81" t="n"/>
      <x:c r="O466" s="81" t="n"/>
      <x:c r="P466" s="81" t="n"/>
      <x:c r="Q466" s="81" t="n"/>
      <x:c r="R466" s="81" t="n"/>
      <x:c r="S466" s="81" t="n"/>
      <x:c r="T466" s="81" t="n"/>
      <x:c r="U466" s="81" t="n"/>
      <x:c r="V466" s="81" t="n"/>
      <x:c r="W466" s="81" t="n"/>
      <x:c r="X466" s="81" t="n"/>
      <x:c r="Y466" s="81" t="n"/>
      <x:c r="Z466" s="81" t="n"/>
      <x:c r="AA466" s="81" t="n"/>
      <x:c r="AB466" s="81" t="n"/>
      <x:c r="AC466" s="81" t="n"/>
      <x:c r="AD466" s="81" t="n"/>
      <x:c r="AE466" s="81" t="n"/>
      <x:c r="AF466" s="81" t="n"/>
      <x:c r="AG466" s="81" t="n"/>
      <x:c r="AH466" s="81" t="n"/>
      <x:c r="AI466" s="81" t="n"/>
    </x:row>
    <x:row r="467">
      <x:c r="A467" s="81" t="n"/>
      <x:c r="B467" s="81" t="n"/>
      <x:c r="C467" s="81" t="n"/>
      <x:c r="D467" s="81" t="n"/>
      <x:c r="E467" s="81" t="n"/>
      <x:c r="F467" s="81" t="n"/>
      <x:c r="G467" s="81" t="n"/>
      <x:c r="H467" s="81" t="n"/>
      <x:c r="I467" s="81" t="n"/>
      <x:c r="J467" s="81" t="n"/>
      <x:c r="K467" s="81" t="n"/>
      <x:c r="L467" s="81" t="n"/>
      <x:c r="M467" s="81" t="n"/>
      <x:c r="N467" s="81" t="n"/>
      <x:c r="O467" s="81" t="n"/>
      <x:c r="P467" s="81" t="n"/>
      <x:c r="Q467" s="81" t="n"/>
      <x:c r="R467" s="81" t="n"/>
      <x:c r="S467" s="81" t="n"/>
      <x:c r="T467" s="81" t="n"/>
      <x:c r="U467" s="81" t="n"/>
      <x:c r="V467" s="81" t="n"/>
      <x:c r="W467" s="81" t="n"/>
      <x:c r="X467" s="81" t="n"/>
      <x:c r="Y467" s="81" t="n"/>
      <x:c r="Z467" s="81" t="n"/>
      <x:c r="AA467" s="81" t="n"/>
      <x:c r="AB467" s="81" t="n"/>
      <x:c r="AC467" s="81" t="n"/>
      <x:c r="AD467" s="81" t="n"/>
      <x:c r="AE467" s="81" t="n"/>
      <x:c r="AF467" s="81" t="n"/>
      <x:c r="AG467" s="81" t="n"/>
      <x:c r="AH467" s="81" t="n"/>
      <x:c r="AI467" s="81" t="n"/>
    </x:row>
    <x:row r="468">
      <x:c r="A468" s="81" t="n"/>
      <x:c r="B468" s="81" t="n"/>
      <x:c r="C468" s="81" t="n"/>
      <x:c r="D468" s="81" t="n"/>
      <x:c r="E468" s="81" t="n"/>
      <x:c r="F468" s="81" t="n"/>
      <x:c r="G468" s="81" t="n"/>
      <x:c r="H468" s="81" t="n"/>
      <x:c r="I468" s="81" t="n"/>
      <x:c r="J468" s="81" t="n"/>
      <x:c r="K468" s="81" t="n"/>
      <x:c r="L468" s="81" t="n"/>
      <x:c r="M468" s="81" t="n"/>
      <x:c r="N468" s="81" t="n"/>
      <x:c r="O468" s="81" t="n"/>
      <x:c r="P468" s="81" t="n"/>
      <x:c r="Q468" s="81" t="n"/>
      <x:c r="R468" s="81" t="n"/>
      <x:c r="S468" s="81" t="n"/>
      <x:c r="T468" s="81" t="n"/>
      <x:c r="U468" s="81" t="n"/>
      <x:c r="V468" s="81" t="n"/>
      <x:c r="W468" s="81" t="n"/>
      <x:c r="X468" s="81" t="n"/>
      <x:c r="Y468" s="81" t="n"/>
      <x:c r="Z468" s="81" t="n"/>
      <x:c r="AA468" s="81" t="n"/>
      <x:c r="AB468" s="81" t="n"/>
      <x:c r="AC468" s="81" t="n"/>
      <x:c r="AD468" s="81" t="n"/>
      <x:c r="AE468" s="81" t="n"/>
      <x:c r="AF468" s="81" t="n"/>
      <x:c r="AG468" s="81" t="n"/>
      <x:c r="AH468" s="81" t="n"/>
      <x:c r="AI468" s="81" t="n"/>
    </x:row>
    <x:row r="469">
      <x:c r="A469" s="81" t="n"/>
      <x:c r="B469" s="81" t="n"/>
      <x:c r="C469" s="81" t="n"/>
      <x:c r="D469" s="81" t="n"/>
      <x:c r="E469" s="81" t="n"/>
      <x:c r="F469" s="81" t="n"/>
      <x:c r="G469" s="81" t="n"/>
      <x:c r="H469" s="81" t="n"/>
      <x:c r="I469" s="81" t="n"/>
      <x:c r="J469" s="81" t="n"/>
      <x:c r="K469" s="81" t="n"/>
      <x:c r="L469" s="81" t="n"/>
      <x:c r="M469" s="81" t="n"/>
      <x:c r="N469" s="81" t="n"/>
      <x:c r="O469" s="81" t="n"/>
      <x:c r="P469" s="81" t="n"/>
      <x:c r="Q469" s="81" t="n"/>
      <x:c r="R469" s="81" t="n"/>
      <x:c r="S469" s="81" t="n"/>
      <x:c r="T469" s="81" t="n"/>
      <x:c r="U469" s="81" t="n"/>
      <x:c r="V469" s="81" t="n"/>
      <x:c r="W469" s="81" t="n"/>
      <x:c r="X469" s="81" t="n"/>
      <x:c r="Y469" s="81" t="n"/>
      <x:c r="Z469" s="81" t="n"/>
      <x:c r="AA469" s="81" t="n"/>
      <x:c r="AB469" s="81" t="n"/>
      <x:c r="AC469" s="81" t="n"/>
      <x:c r="AD469" s="81" t="n"/>
      <x:c r="AE469" s="81" t="n"/>
      <x:c r="AF469" s="81" t="n"/>
      <x:c r="AG469" s="81" t="n"/>
      <x:c r="AH469" s="81" t="n"/>
      <x:c r="AI469" s="81" t="n"/>
    </x:row>
    <x:row r="470">
      <x:c r="A470" s="81" t="n"/>
      <x:c r="B470" s="81" t="n"/>
      <x:c r="C470" s="81" t="n"/>
      <x:c r="D470" s="81" t="n"/>
      <x:c r="E470" s="81" t="n"/>
      <x:c r="F470" s="81" t="n"/>
      <x:c r="G470" s="81" t="n"/>
      <x:c r="H470" s="81" t="n"/>
      <x:c r="I470" s="81" t="n"/>
      <x:c r="J470" s="81" t="n"/>
      <x:c r="K470" s="81" t="n"/>
      <x:c r="L470" s="81" t="n"/>
      <x:c r="M470" s="81" t="n"/>
      <x:c r="N470" s="81" t="n"/>
      <x:c r="O470" s="81" t="n"/>
      <x:c r="P470" s="81" t="n"/>
      <x:c r="Q470" s="81" t="n"/>
      <x:c r="R470" s="81" t="n"/>
      <x:c r="S470" s="81" t="n"/>
      <x:c r="T470" s="81" t="n"/>
      <x:c r="U470" s="81" t="n"/>
      <x:c r="V470" s="81" t="n"/>
      <x:c r="W470" s="81" t="n"/>
      <x:c r="X470" s="81" t="n"/>
      <x:c r="Y470" s="81" t="n"/>
      <x:c r="Z470" s="81" t="n"/>
      <x:c r="AA470" s="81" t="n"/>
      <x:c r="AB470" s="81" t="n"/>
      <x:c r="AC470" s="81" t="n"/>
      <x:c r="AD470" s="81" t="n"/>
      <x:c r="AE470" s="81" t="n"/>
      <x:c r="AF470" s="81" t="n"/>
      <x:c r="AG470" s="81" t="n"/>
      <x:c r="AH470" s="81" t="n"/>
      <x:c r="AI470" s="81" t="n"/>
    </x:row>
    <x:row r="471">
      <x:c r="A471" s="81" t="n"/>
      <x:c r="B471" s="81" t="n"/>
      <x:c r="C471" s="81" t="n"/>
      <x:c r="D471" s="81" t="n"/>
      <x:c r="E471" s="81" t="n"/>
      <x:c r="F471" s="81" t="n"/>
      <x:c r="G471" s="81" t="n"/>
      <x:c r="H471" s="81" t="n"/>
      <x:c r="I471" s="81" t="n"/>
      <x:c r="J471" s="81" t="n"/>
      <x:c r="K471" s="81" t="n"/>
      <x:c r="L471" s="81" t="n"/>
      <x:c r="M471" s="81" t="n"/>
      <x:c r="N471" s="81" t="n"/>
      <x:c r="O471" s="81" t="n"/>
      <x:c r="P471" s="81" t="n"/>
      <x:c r="Q471" s="81" t="n"/>
      <x:c r="R471" s="81" t="n"/>
      <x:c r="S471" s="81" t="n"/>
      <x:c r="T471" s="81" t="n"/>
      <x:c r="U471" s="81" t="n"/>
      <x:c r="V471" s="81" t="n"/>
      <x:c r="W471" s="81" t="n"/>
      <x:c r="X471" s="81" t="n"/>
      <x:c r="Y471" s="81" t="n"/>
      <x:c r="Z471" s="81" t="n"/>
      <x:c r="AA471" s="81" t="n"/>
      <x:c r="AB471" s="81" t="n"/>
      <x:c r="AC471" s="81" t="n"/>
      <x:c r="AD471" s="81" t="n"/>
      <x:c r="AE471" s="81" t="n"/>
      <x:c r="AF471" s="81" t="n"/>
      <x:c r="AG471" s="81" t="n"/>
      <x:c r="AH471" s="81" t="n"/>
      <x:c r="AI471" s="81" t="n"/>
    </x:row>
    <x:row r="472">
      <x:c r="A472" s="81" t="n"/>
      <x:c r="B472" s="81" t="n"/>
      <x:c r="C472" s="81" t="n"/>
      <x:c r="D472" s="81" t="n"/>
      <x:c r="E472" s="81" t="n"/>
      <x:c r="F472" s="81" t="n"/>
      <x:c r="G472" s="81" t="n"/>
      <x:c r="H472" s="81" t="n"/>
      <x:c r="I472" s="81" t="n"/>
      <x:c r="J472" s="81" t="n"/>
      <x:c r="K472" s="81" t="n"/>
      <x:c r="L472" s="81" t="n"/>
      <x:c r="M472" s="81" t="n"/>
      <x:c r="N472" s="81" t="n"/>
      <x:c r="O472" s="81" t="n"/>
      <x:c r="P472" s="81" t="n"/>
      <x:c r="Q472" s="81" t="n"/>
      <x:c r="R472" s="81" t="n"/>
      <x:c r="S472" s="81" t="n"/>
      <x:c r="T472" s="81" t="n"/>
      <x:c r="U472" s="81" t="n"/>
      <x:c r="V472" s="81" t="n"/>
      <x:c r="W472" s="81" t="n"/>
      <x:c r="X472" s="81" t="n"/>
      <x:c r="Y472" s="81" t="n"/>
      <x:c r="Z472" s="81" t="n"/>
      <x:c r="AA472" s="81" t="n"/>
      <x:c r="AB472" s="81" t="n"/>
      <x:c r="AC472" s="81" t="n"/>
      <x:c r="AD472" s="81" t="n"/>
      <x:c r="AE472" s="81" t="n"/>
      <x:c r="AF472" s="81" t="n"/>
      <x:c r="AG472" s="81" t="n"/>
      <x:c r="AH472" s="81" t="n"/>
      <x:c r="AI472" s="81" t="n"/>
    </x:row>
    <x:row r="473">
      <x:c r="A473" s="81" t="n"/>
      <x:c r="B473" s="81" t="n"/>
      <x:c r="C473" s="81" t="n"/>
      <x:c r="D473" s="81" t="n"/>
      <x:c r="E473" s="81" t="n"/>
      <x:c r="F473" s="81" t="n"/>
      <x:c r="G473" s="81" t="n"/>
      <x:c r="H473" s="81" t="n"/>
      <x:c r="I473" s="81" t="n"/>
      <x:c r="J473" s="81" t="n"/>
      <x:c r="K473" s="81" t="n"/>
      <x:c r="L473" s="81" t="n"/>
      <x:c r="M473" s="81" t="n"/>
      <x:c r="N473" s="81" t="n"/>
      <x:c r="O473" s="81" t="n"/>
      <x:c r="P473" s="81" t="n"/>
      <x:c r="Q473" s="81" t="n"/>
      <x:c r="R473" s="81" t="n"/>
      <x:c r="S473" s="81" t="n"/>
      <x:c r="T473" s="81" t="n"/>
      <x:c r="U473" s="81" t="n"/>
      <x:c r="V473" s="81" t="n"/>
      <x:c r="W473" s="81" t="n"/>
      <x:c r="X473" s="81" t="n"/>
      <x:c r="Y473" s="81" t="n"/>
      <x:c r="Z473" s="81" t="n"/>
      <x:c r="AA473" s="81" t="n"/>
      <x:c r="AB473" s="81" t="n"/>
      <x:c r="AC473" s="81" t="n"/>
      <x:c r="AD473" s="81" t="n"/>
      <x:c r="AE473" s="81" t="n"/>
      <x:c r="AF473" s="81" t="n"/>
      <x:c r="AG473" s="81" t="n"/>
      <x:c r="AH473" s="81" t="n"/>
      <x:c r="AI473" s="81" t="n"/>
    </x:row>
    <x:row r="474">
      <x:c r="A474" s="81" t="n"/>
      <x:c r="B474" s="81" t="n"/>
      <x:c r="C474" s="81" t="n"/>
      <x:c r="D474" s="81" t="n"/>
      <x:c r="E474" s="81" t="n"/>
      <x:c r="F474" s="81" t="n"/>
      <x:c r="G474" s="81" t="n"/>
      <x:c r="H474" s="81" t="n"/>
      <x:c r="I474" s="81" t="n"/>
      <x:c r="J474" s="81" t="n"/>
      <x:c r="K474" s="81" t="n"/>
      <x:c r="L474" s="81" t="n"/>
      <x:c r="M474" s="81" t="n"/>
      <x:c r="N474" s="81" t="n"/>
      <x:c r="O474" s="81" t="n"/>
      <x:c r="P474" s="81" t="n"/>
      <x:c r="Q474" s="81" t="n"/>
      <x:c r="R474" s="81" t="n"/>
      <x:c r="S474" s="81" t="n"/>
      <x:c r="T474" s="81" t="n"/>
      <x:c r="U474" s="81" t="n"/>
      <x:c r="V474" s="81" t="n"/>
      <x:c r="W474" s="81" t="n"/>
      <x:c r="X474" s="81" t="n"/>
      <x:c r="Y474" s="81" t="n"/>
      <x:c r="Z474" s="81" t="n"/>
      <x:c r="AA474" s="81" t="n"/>
      <x:c r="AB474" s="81" t="n"/>
      <x:c r="AC474" s="81" t="n"/>
      <x:c r="AD474" s="81" t="n"/>
      <x:c r="AE474" s="81" t="n"/>
      <x:c r="AF474" s="81" t="n"/>
      <x:c r="AG474" s="81" t="n"/>
      <x:c r="AH474" s="81" t="n"/>
      <x:c r="AI474" s="81" t="n"/>
    </x:row>
    <x:row r="475">
      <x:c r="A475" s="81" t="n"/>
      <x:c r="B475" s="81" t="n"/>
      <x:c r="C475" s="81" t="n"/>
      <x:c r="D475" s="81" t="n"/>
      <x:c r="E475" s="81" t="n"/>
      <x:c r="F475" s="81" t="n"/>
      <x:c r="G475" s="81" t="n"/>
      <x:c r="H475" s="81" t="n"/>
      <x:c r="I475" s="81" t="n"/>
      <x:c r="J475" s="81" t="n"/>
      <x:c r="K475" s="81" t="n"/>
      <x:c r="L475" s="81" t="n"/>
      <x:c r="M475" s="81" t="n"/>
      <x:c r="N475" s="81" t="n"/>
      <x:c r="O475" s="81" t="n"/>
      <x:c r="P475" s="81" t="n"/>
      <x:c r="Q475" s="81" t="n"/>
      <x:c r="R475" s="81" t="n"/>
      <x:c r="S475" s="81" t="n"/>
      <x:c r="T475" s="81" t="n"/>
      <x:c r="U475" s="81" t="n"/>
      <x:c r="V475" s="81" t="n"/>
      <x:c r="W475" s="81" t="n"/>
      <x:c r="X475" s="81" t="n"/>
      <x:c r="Y475" s="81" t="n"/>
      <x:c r="Z475" s="81" t="n"/>
      <x:c r="AA475" s="81" t="n"/>
      <x:c r="AB475" s="81" t="n"/>
      <x:c r="AC475" s="81" t="n"/>
      <x:c r="AD475" s="81" t="n"/>
      <x:c r="AE475" s="81" t="n"/>
      <x:c r="AF475" s="81" t="n"/>
      <x:c r="AG475" s="81" t="n"/>
      <x:c r="AH475" s="81" t="n"/>
      <x:c r="AI475" s="81" t="n"/>
    </x:row>
    <x:row r="476">
      <x:c r="A476" s="81" t="n"/>
      <x:c r="B476" s="81" t="n"/>
      <x:c r="C476" s="81" t="n"/>
      <x:c r="D476" s="81" t="n"/>
      <x:c r="E476" s="81" t="n"/>
      <x:c r="F476" s="81" t="n"/>
      <x:c r="G476" s="81" t="n"/>
      <x:c r="H476" s="81" t="n"/>
      <x:c r="I476" s="81" t="n"/>
      <x:c r="J476" s="81" t="n"/>
      <x:c r="K476" s="81" t="n"/>
      <x:c r="L476" s="81" t="n"/>
      <x:c r="M476" s="81" t="n"/>
      <x:c r="N476" s="81" t="n"/>
      <x:c r="O476" s="81" t="n"/>
      <x:c r="P476" s="81" t="n"/>
      <x:c r="Q476" s="81" t="n"/>
      <x:c r="R476" s="81" t="n"/>
      <x:c r="S476" s="81" t="n"/>
      <x:c r="T476" s="81" t="n"/>
      <x:c r="U476" s="81" t="n"/>
      <x:c r="V476" s="81" t="n"/>
      <x:c r="W476" s="81" t="n"/>
      <x:c r="X476" s="81" t="n"/>
      <x:c r="Y476" s="81" t="n"/>
      <x:c r="Z476" s="81" t="n"/>
      <x:c r="AA476" s="81" t="n"/>
      <x:c r="AB476" s="81" t="n"/>
      <x:c r="AC476" s="81" t="n"/>
      <x:c r="AD476" s="81" t="n"/>
      <x:c r="AE476" s="81" t="n"/>
      <x:c r="AF476" s="81" t="n"/>
      <x:c r="AG476" s="81" t="n"/>
      <x:c r="AH476" s="81" t="n"/>
      <x:c r="AI476" s="81" t="n"/>
    </x:row>
    <x:row r="477">
      <x:c r="A477" s="81" t="n"/>
      <x:c r="B477" s="81" t="n"/>
      <x:c r="C477" s="81" t="n"/>
      <x:c r="D477" s="81" t="n"/>
      <x:c r="E477" s="81" t="n"/>
      <x:c r="F477" s="81" t="n"/>
      <x:c r="G477" s="81" t="n"/>
      <x:c r="H477" s="81" t="n"/>
      <x:c r="I477" s="81" t="n"/>
      <x:c r="J477" s="81" t="n"/>
      <x:c r="K477" s="81" t="n"/>
      <x:c r="L477" s="81" t="n"/>
      <x:c r="M477" s="81" t="n"/>
      <x:c r="N477" s="81" t="n"/>
      <x:c r="O477" s="81" t="n"/>
      <x:c r="P477" s="81" t="n"/>
      <x:c r="Q477" s="81" t="n"/>
      <x:c r="R477" s="81" t="n"/>
      <x:c r="S477" s="81" t="n"/>
      <x:c r="T477" s="81" t="n"/>
      <x:c r="U477" s="81" t="n"/>
      <x:c r="V477" s="81" t="n"/>
      <x:c r="W477" s="81" t="n"/>
      <x:c r="X477" s="81" t="n"/>
      <x:c r="Y477" s="81" t="n"/>
      <x:c r="Z477" s="81" t="n"/>
      <x:c r="AA477" s="81" t="n"/>
      <x:c r="AB477" s="81" t="n"/>
      <x:c r="AC477" s="81" t="n"/>
      <x:c r="AD477" s="81" t="n"/>
      <x:c r="AE477" s="81" t="n"/>
      <x:c r="AF477" s="81" t="n"/>
      <x:c r="AG477" s="81" t="n"/>
      <x:c r="AH477" s="81" t="n"/>
      <x:c r="AI477" s="81" t="n"/>
    </x:row>
    <x:row r="478">
      <x:c r="A478" s="81" t="n"/>
      <x:c r="B478" s="81" t="n"/>
      <x:c r="C478" s="81" t="n"/>
      <x:c r="D478" s="81" t="n"/>
      <x:c r="E478" s="81" t="n"/>
      <x:c r="F478" s="81" t="n"/>
      <x:c r="G478" s="81" t="n"/>
      <x:c r="H478" s="81" t="n"/>
      <x:c r="I478" s="81" t="n"/>
      <x:c r="J478" s="81" t="n"/>
      <x:c r="K478" s="81" t="n"/>
      <x:c r="L478" s="81" t="n"/>
      <x:c r="M478" s="81" t="n"/>
      <x:c r="N478" s="81" t="n"/>
      <x:c r="O478" s="81" t="n"/>
      <x:c r="P478" s="81" t="n"/>
      <x:c r="Q478" s="81" t="n"/>
      <x:c r="R478" s="81" t="n"/>
      <x:c r="S478" s="81" t="n"/>
      <x:c r="T478" s="81" t="n"/>
      <x:c r="U478" s="81" t="n"/>
      <x:c r="V478" s="81" t="n"/>
      <x:c r="W478" s="81" t="n"/>
      <x:c r="X478" s="81" t="n"/>
      <x:c r="Y478" s="81" t="n"/>
      <x:c r="Z478" s="81" t="n"/>
      <x:c r="AA478" s="81" t="n"/>
      <x:c r="AB478" s="81" t="n"/>
      <x:c r="AC478" s="81" t="n"/>
      <x:c r="AD478" s="81" t="n"/>
      <x:c r="AE478" s="81" t="n"/>
      <x:c r="AF478" s="81" t="n"/>
      <x:c r="AG478" s="81" t="n"/>
      <x:c r="AH478" s="81" t="n"/>
      <x:c r="AI478" s="81" t="n"/>
    </x:row>
    <x:row r="479">
      <x:c r="A479" s="81" t="n"/>
      <x:c r="B479" s="81" t="n"/>
      <x:c r="C479" s="81" t="n"/>
      <x:c r="D479" s="81" t="n"/>
      <x:c r="E479" s="81" t="n"/>
      <x:c r="F479" s="81" t="n"/>
      <x:c r="G479" s="81" t="n"/>
      <x:c r="H479" s="81" t="n"/>
      <x:c r="I479" s="81" t="n"/>
      <x:c r="J479" s="81" t="n"/>
      <x:c r="K479" s="81" t="n"/>
      <x:c r="L479" s="81" t="n"/>
      <x:c r="M479" s="81" t="n"/>
      <x:c r="N479" s="81" t="n"/>
      <x:c r="O479" s="81" t="n"/>
      <x:c r="P479" s="81" t="n"/>
      <x:c r="Q479" s="81" t="n"/>
      <x:c r="R479" s="81" t="n"/>
      <x:c r="S479" s="81" t="n"/>
      <x:c r="T479" s="81" t="n"/>
      <x:c r="U479" s="81" t="n"/>
      <x:c r="V479" s="81" t="n"/>
      <x:c r="W479" s="81" t="n"/>
      <x:c r="X479" s="81" t="n"/>
      <x:c r="Y479" s="81" t="n"/>
      <x:c r="Z479" s="81" t="n"/>
      <x:c r="AA479" s="81" t="n"/>
      <x:c r="AB479" s="81" t="n"/>
      <x:c r="AC479" s="81" t="n"/>
      <x:c r="AD479" s="81" t="n"/>
      <x:c r="AE479" s="81" t="n"/>
      <x:c r="AF479" s="81" t="n"/>
      <x:c r="AG479" s="81" t="n"/>
      <x:c r="AH479" s="81" t="n"/>
      <x:c r="AI479" s="81" t="n"/>
    </x:row>
    <x:row r="480">
      <x:c r="A480" s="81" t="n"/>
      <x:c r="B480" s="81" t="n"/>
      <x:c r="C480" s="81" t="n"/>
      <x:c r="D480" s="81" t="n"/>
      <x:c r="E480" s="81" t="n"/>
      <x:c r="F480" s="81" t="n"/>
      <x:c r="G480" s="81" t="n"/>
      <x:c r="H480" s="81" t="n"/>
      <x:c r="I480" s="81" t="n"/>
      <x:c r="J480" s="81" t="n"/>
      <x:c r="K480" s="81" t="n"/>
      <x:c r="L480" s="81" t="n"/>
      <x:c r="M480" s="81" t="n"/>
      <x:c r="N480" s="81" t="n"/>
      <x:c r="O480" s="81" t="n"/>
      <x:c r="P480" s="81" t="n"/>
      <x:c r="Q480" s="81" t="n"/>
      <x:c r="R480" s="81" t="n"/>
      <x:c r="S480" s="81" t="n"/>
      <x:c r="T480" s="81" t="n"/>
      <x:c r="U480" s="81" t="n"/>
      <x:c r="V480" s="81" t="n"/>
      <x:c r="W480" s="81" t="n"/>
      <x:c r="X480" s="81" t="n"/>
      <x:c r="Y480" s="81" t="n"/>
      <x:c r="Z480" s="81" t="n"/>
      <x:c r="AA480" s="81" t="n"/>
      <x:c r="AB480" s="81" t="n"/>
      <x:c r="AC480" s="81" t="n"/>
      <x:c r="AD480" s="81" t="n"/>
      <x:c r="AE480" s="81" t="n"/>
      <x:c r="AF480" s="81" t="n"/>
      <x:c r="AG480" s="81" t="n"/>
      <x:c r="AH480" s="81" t="n"/>
      <x:c r="AI480" s="81" t="n"/>
    </x:row>
    <x:row r="481">
      <x:c r="A481" s="81" t="n"/>
      <x:c r="B481" s="81" t="n"/>
      <x:c r="C481" s="81" t="n"/>
      <x:c r="D481" s="81" t="n"/>
      <x:c r="E481" s="81" t="n"/>
      <x:c r="F481" s="81" t="n"/>
      <x:c r="G481" s="81" t="n"/>
      <x:c r="H481" s="81" t="n"/>
      <x:c r="I481" s="81" t="n"/>
      <x:c r="J481" s="81" t="n"/>
      <x:c r="K481" s="81" t="n"/>
      <x:c r="L481" s="81" t="n"/>
      <x:c r="M481" s="81" t="n"/>
      <x:c r="N481" s="81" t="n"/>
      <x:c r="O481" s="81" t="n"/>
      <x:c r="P481" s="81" t="n"/>
      <x:c r="Q481" s="81" t="n"/>
      <x:c r="R481" s="81" t="n"/>
      <x:c r="S481" s="81" t="n"/>
      <x:c r="T481" s="81" t="n"/>
      <x:c r="U481" s="81" t="n"/>
      <x:c r="V481" s="81" t="n"/>
      <x:c r="W481" s="81" t="n"/>
      <x:c r="X481" s="81" t="n"/>
      <x:c r="Y481" s="81" t="n"/>
      <x:c r="Z481" s="81" t="n"/>
      <x:c r="AA481" s="81" t="n"/>
      <x:c r="AB481" s="81" t="n"/>
      <x:c r="AC481" s="81" t="n"/>
      <x:c r="AD481" s="81" t="n"/>
      <x:c r="AE481" s="81" t="n"/>
      <x:c r="AF481" s="81" t="n"/>
      <x:c r="AG481" s="81" t="n"/>
      <x:c r="AH481" s="81" t="n"/>
      <x:c r="AI481" s="81" t="n"/>
    </x:row>
    <x:row r="482">
      <x:c r="A482" s="81" t="n"/>
      <x:c r="B482" s="81" t="n"/>
      <x:c r="C482" s="81" t="n"/>
      <x:c r="D482" s="81" t="n"/>
      <x:c r="E482" s="81" t="n"/>
      <x:c r="F482" s="81" t="n"/>
      <x:c r="G482" s="81" t="n"/>
      <x:c r="H482" s="81" t="n"/>
      <x:c r="I482" s="81" t="n"/>
      <x:c r="J482" s="81" t="n"/>
      <x:c r="K482" s="81" t="n"/>
      <x:c r="L482" s="81" t="n"/>
      <x:c r="M482" s="81" t="n"/>
      <x:c r="N482" s="81" t="n"/>
      <x:c r="O482" s="81" t="n"/>
      <x:c r="P482" s="81" t="n"/>
      <x:c r="Q482" s="81" t="n"/>
      <x:c r="R482" s="81" t="n"/>
      <x:c r="S482" s="81" t="n"/>
      <x:c r="T482" s="81" t="n"/>
      <x:c r="U482" s="81" t="n"/>
      <x:c r="V482" s="81" t="n"/>
      <x:c r="W482" s="81" t="n"/>
      <x:c r="X482" s="81" t="n"/>
      <x:c r="Y482" s="81" t="n"/>
      <x:c r="Z482" s="81" t="n"/>
      <x:c r="AA482" s="81" t="n"/>
      <x:c r="AB482" s="81" t="n"/>
      <x:c r="AC482" s="81" t="n"/>
      <x:c r="AD482" s="81" t="n"/>
      <x:c r="AE482" s="81" t="n"/>
      <x:c r="AF482" s="81" t="n"/>
      <x:c r="AG482" s="81" t="n"/>
      <x:c r="AH482" s="81" t="n"/>
      <x:c r="AI482" s="81" t="n"/>
    </x:row>
    <x:row r="483">
      <x:c r="A483" s="81" t="n"/>
      <x:c r="B483" s="81" t="n"/>
      <x:c r="C483" s="81" t="n"/>
      <x:c r="D483" s="81" t="n"/>
      <x:c r="E483" s="81" t="n"/>
      <x:c r="F483" s="81" t="n"/>
      <x:c r="G483" s="81" t="n"/>
      <x:c r="H483" s="81" t="n"/>
      <x:c r="I483" s="81" t="n"/>
      <x:c r="J483" s="81" t="n"/>
      <x:c r="K483" s="81" t="n"/>
      <x:c r="L483" s="81" t="n"/>
      <x:c r="M483" s="81" t="n"/>
      <x:c r="N483" s="81" t="n"/>
      <x:c r="O483" s="81" t="n"/>
      <x:c r="P483" s="81" t="n"/>
      <x:c r="Q483" s="81" t="n"/>
      <x:c r="R483" s="81" t="n"/>
      <x:c r="S483" s="81" t="n"/>
      <x:c r="T483" s="81" t="n"/>
      <x:c r="U483" s="81" t="n"/>
      <x:c r="V483" s="81" t="n"/>
      <x:c r="W483" s="81" t="n"/>
      <x:c r="X483" s="81" t="n"/>
      <x:c r="Y483" s="81" t="n"/>
      <x:c r="Z483" s="81" t="n"/>
      <x:c r="AA483" s="81" t="n"/>
      <x:c r="AB483" s="81" t="n"/>
      <x:c r="AC483" s="81" t="n"/>
      <x:c r="AD483" s="81" t="n"/>
      <x:c r="AE483" s="81" t="n"/>
      <x:c r="AF483" s="81" t="n"/>
      <x:c r="AG483" s="81" t="n"/>
      <x:c r="AH483" s="81" t="n"/>
      <x:c r="AI483" s="81" t="n"/>
    </x:row>
    <x:row r="484">
      <x:c r="A484" s="81" t="n"/>
      <x:c r="B484" s="81" t="n"/>
      <x:c r="C484" s="81" t="n"/>
      <x:c r="D484" s="81" t="n"/>
      <x:c r="E484" s="81" t="n"/>
      <x:c r="F484" s="81" t="n"/>
      <x:c r="G484" s="81" t="n"/>
      <x:c r="H484" s="81" t="n"/>
      <x:c r="I484" s="81" t="n"/>
      <x:c r="J484" s="81" t="n"/>
      <x:c r="K484" s="81" t="n"/>
      <x:c r="L484" s="81" t="n"/>
      <x:c r="M484" s="81" t="n"/>
      <x:c r="N484" s="81" t="n"/>
      <x:c r="O484" s="81" t="n"/>
      <x:c r="P484" s="81" t="n"/>
      <x:c r="Q484" s="81" t="n"/>
      <x:c r="R484" s="81" t="n"/>
      <x:c r="S484" s="81" t="n"/>
      <x:c r="T484" s="81" t="n"/>
      <x:c r="U484" s="81" t="n"/>
      <x:c r="V484" s="81" t="n"/>
      <x:c r="W484" s="81" t="n"/>
      <x:c r="X484" s="81" t="n"/>
      <x:c r="Y484" s="81" t="n"/>
      <x:c r="Z484" s="81" t="n"/>
      <x:c r="AA484" s="81" t="n"/>
      <x:c r="AB484" s="81" t="n"/>
      <x:c r="AC484" s="81" t="n"/>
      <x:c r="AD484" s="81" t="n"/>
      <x:c r="AE484" s="81" t="n"/>
      <x:c r="AF484" s="81" t="n"/>
      <x:c r="AG484" s="81" t="n"/>
      <x:c r="AH484" s="81" t="n"/>
      <x:c r="AI484" s="81" t="n"/>
    </x:row>
    <x:row r="485">
      <x:c r="A485" s="81" t="n"/>
      <x:c r="B485" s="81" t="n"/>
      <x:c r="C485" s="81" t="n"/>
      <x:c r="D485" s="81" t="n"/>
      <x:c r="E485" s="81" t="n"/>
      <x:c r="F485" s="81" t="n"/>
      <x:c r="G485" s="81" t="n"/>
      <x:c r="H485" s="81" t="n"/>
      <x:c r="I485" s="81" t="n"/>
      <x:c r="J485" s="81" t="n"/>
      <x:c r="K485" s="81" t="n"/>
      <x:c r="L485" s="81" t="n"/>
      <x:c r="M485" s="81" t="n"/>
      <x:c r="N485" s="81" t="n"/>
      <x:c r="O485" s="81" t="n"/>
      <x:c r="P485" s="81" t="n"/>
      <x:c r="Q485" s="81" t="n"/>
      <x:c r="R485" s="81" t="n"/>
      <x:c r="S485" s="81" t="n"/>
      <x:c r="T485" s="81" t="n"/>
      <x:c r="U485" s="81" t="n"/>
      <x:c r="V485" s="81" t="n"/>
      <x:c r="W485" s="81" t="n"/>
      <x:c r="X485" s="81" t="n"/>
      <x:c r="Y485" s="81" t="n"/>
      <x:c r="Z485" s="81" t="n"/>
      <x:c r="AA485" s="81" t="n"/>
      <x:c r="AB485" s="81" t="n"/>
      <x:c r="AC485" s="81" t="n"/>
      <x:c r="AD485" s="81" t="n"/>
      <x:c r="AE485" s="81" t="n"/>
      <x:c r="AF485" s="81" t="n"/>
      <x:c r="AG485" s="81" t="n"/>
      <x:c r="AH485" s="81" t="n"/>
      <x:c r="AI485" s="81" t="n"/>
    </x:row>
    <x:row r="486">
      <x:c r="A486" s="81" t="n"/>
      <x:c r="B486" s="81" t="n"/>
      <x:c r="C486" s="81" t="n"/>
      <x:c r="D486" s="81" t="n"/>
      <x:c r="E486" s="81" t="n"/>
      <x:c r="F486" s="81" t="n"/>
      <x:c r="G486" s="81" t="n"/>
      <x:c r="H486" s="81" t="n"/>
      <x:c r="I486" s="81" t="n"/>
      <x:c r="J486" s="81" t="n"/>
      <x:c r="K486" s="81" t="n"/>
      <x:c r="L486" s="81" t="n"/>
      <x:c r="M486" s="81" t="n"/>
      <x:c r="N486" s="81" t="n"/>
      <x:c r="O486" s="81" t="n"/>
      <x:c r="P486" s="81" t="n"/>
      <x:c r="Q486" s="81" t="n"/>
      <x:c r="R486" s="81" t="n"/>
      <x:c r="S486" s="81" t="n"/>
      <x:c r="T486" s="81" t="n"/>
      <x:c r="U486" s="81" t="n"/>
      <x:c r="V486" s="81" t="n"/>
      <x:c r="W486" s="81" t="n"/>
      <x:c r="X486" s="81" t="n"/>
      <x:c r="Y486" s="81" t="n"/>
      <x:c r="Z486" s="81" t="n"/>
      <x:c r="AA486" s="81" t="n"/>
      <x:c r="AB486" s="81" t="n"/>
      <x:c r="AC486" s="81" t="n"/>
      <x:c r="AD486" s="81" t="n"/>
      <x:c r="AE486" s="81" t="n"/>
      <x:c r="AF486" s="81" t="n"/>
      <x:c r="AG486" s="81" t="n"/>
      <x:c r="AH486" s="81" t="n"/>
      <x:c r="AI486" s="81" t="n"/>
    </x:row>
    <x:row r="487">
      <x:c r="A487" s="81" t="n"/>
      <x:c r="B487" s="81" t="n"/>
      <x:c r="C487" s="81" t="n"/>
      <x:c r="D487" s="81" t="n"/>
      <x:c r="E487" s="81" t="n"/>
      <x:c r="F487" s="81" t="n"/>
      <x:c r="G487" s="81" t="n"/>
      <x:c r="H487" s="81" t="n"/>
      <x:c r="I487" s="81" t="n"/>
      <x:c r="J487" s="81" t="n"/>
      <x:c r="K487" s="81" t="n"/>
      <x:c r="L487" s="81" t="n"/>
      <x:c r="M487" s="81" t="n"/>
      <x:c r="N487" s="81" t="n"/>
      <x:c r="O487" s="81" t="n"/>
      <x:c r="P487" s="81" t="n"/>
      <x:c r="Q487" s="81" t="n"/>
      <x:c r="R487" s="81" t="n"/>
      <x:c r="S487" s="81" t="n"/>
      <x:c r="T487" s="81" t="n"/>
      <x:c r="U487" s="81" t="n"/>
      <x:c r="V487" s="81" t="n"/>
      <x:c r="W487" s="81" t="n"/>
      <x:c r="X487" s="81" t="n"/>
      <x:c r="Y487" s="81" t="n"/>
      <x:c r="Z487" s="81" t="n"/>
      <x:c r="AA487" s="81" t="n"/>
      <x:c r="AB487" s="81" t="n"/>
      <x:c r="AC487" s="81" t="n"/>
      <x:c r="AD487" s="81" t="n"/>
      <x:c r="AE487" s="81" t="n"/>
      <x:c r="AF487" s="81" t="n"/>
      <x:c r="AG487" s="81" t="n"/>
      <x:c r="AH487" s="81" t="n"/>
      <x:c r="AI487" s="81" t="n"/>
    </x:row>
    <x:row r="488">
      <x:c r="A488" s="81" t="n"/>
      <x:c r="B488" s="81" t="n"/>
      <x:c r="C488" s="81" t="n"/>
      <x:c r="D488" s="81" t="n"/>
      <x:c r="E488" s="81" t="n"/>
      <x:c r="F488" s="81" t="n"/>
      <x:c r="G488" s="81" t="n"/>
      <x:c r="H488" s="81" t="n"/>
      <x:c r="I488" s="81" t="n"/>
      <x:c r="J488" s="81" t="n"/>
      <x:c r="K488" s="81" t="n"/>
      <x:c r="L488" s="81" t="n"/>
      <x:c r="M488" s="81" t="n"/>
      <x:c r="N488" s="81" t="n"/>
      <x:c r="O488" s="81" t="n"/>
      <x:c r="P488" s="81" t="n"/>
      <x:c r="Q488" s="81" t="n"/>
      <x:c r="R488" s="81" t="n"/>
      <x:c r="S488" s="81" t="n"/>
      <x:c r="T488" s="81" t="n"/>
      <x:c r="U488" s="81" t="n"/>
      <x:c r="V488" s="81" t="n"/>
      <x:c r="W488" s="81" t="n"/>
      <x:c r="X488" s="81" t="n"/>
      <x:c r="Y488" s="81" t="n"/>
      <x:c r="Z488" s="81" t="n"/>
      <x:c r="AA488" s="81" t="n"/>
      <x:c r="AB488" s="81" t="n"/>
      <x:c r="AC488" s="81" t="n"/>
      <x:c r="AD488" s="81" t="n"/>
      <x:c r="AE488" s="81" t="n"/>
      <x:c r="AF488" s="81" t="n"/>
      <x:c r="AG488" s="81" t="n"/>
      <x:c r="AH488" s="81" t="n"/>
      <x:c r="AI488" s="81" t="n"/>
    </x:row>
    <x:row r="489">
      <x:c r="A489" s="81" t="n"/>
      <x:c r="B489" s="81" t="n"/>
      <x:c r="C489" s="81" t="n"/>
      <x:c r="D489" s="81" t="n"/>
      <x:c r="E489" s="81" t="n"/>
      <x:c r="F489" s="81" t="n"/>
      <x:c r="G489" s="81" t="n"/>
      <x:c r="H489" s="81" t="n"/>
      <x:c r="I489" s="81" t="n"/>
      <x:c r="J489" s="81" t="n"/>
      <x:c r="K489" s="81" t="n"/>
      <x:c r="L489" s="81" t="n"/>
      <x:c r="M489" s="81" t="n"/>
      <x:c r="N489" s="81" t="n"/>
      <x:c r="O489" s="81" t="n"/>
      <x:c r="P489" s="81" t="n"/>
      <x:c r="Q489" s="81" t="n"/>
      <x:c r="R489" s="81" t="n"/>
      <x:c r="S489" s="81" t="n"/>
      <x:c r="T489" s="81" t="n"/>
      <x:c r="U489" s="81" t="n"/>
      <x:c r="V489" s="81" t="n"/>
      <x:c r="W489" s="81" t="n"/>
      <x:c r="X489" s="81" t="n"/>
      <x:c r="Y489" s="81" t="n"/>
      <x:c r="Z489" s="81" t="n"/>
      <x:c r="AA489" s="81" t="n"/>
      <x:c r="AB489" s="81" t="n"/>
      <x:c r="AC489" s="81" t="n"/>
      <x:c r="AD489" s="81" t="n"/>
      <x:c r="AE489" s="81" t="n"/>
      <x:c r="AF489" s="81" t="n"/>
      <x:c r="AG489" s="81" t="n"/>
      <x:c r="AH489" s="81" t="n"/>
      <x:c r="AI489" s="81" t="n"/>
    </x:row>
    <x:row r="490">
      <x:c r="A490" s="81" t="n"/>
      <x:c r="B490" s="81" t="n"/>
      <x:c r="C490" s="81" t="n"/>
      <x:c r="D490" s="81" t="n"/>
      <x:c r="E490" s="81" t="n"/>
      <x:c r="F490" s="81" t="n"/>
      <x:c r="G490" s="81" t="n"/>
      <x:c r="H490" s="81" t="n"/>
      <x:c r="I490" s="81" t="n"/>
      <x:c r="J490" s="81" t="n"/>
      <x:c r="K490" s="81" t="n"/>
      <x:c r="L490" s="81" t="n"/>
      <x:c r="M490" s="81" t="n"/>
      <x:c r="N490" s="81" t="n"/>
      <x:c r="O490" s="81" t="n"/>
      <x:c r="P490" s="81" t="n"/>
      <x:c r="Q490" s="81" t="n"/>
      <x:c r="R490" s="81" t="n"/>
      <x:c r="S490" s="81" t="n"/>
      <x:c r="T490" s="81" t="n"/>
      <x:c r="U490" s="81" t="n"/>
      <x:c r="V490" s="81" t="n"/>
      <x:c r="W490" s="81" t="n"/>
      <x:c r="X490" s="81" t="n"/>
      <x:c r="Y490" s="81" t="n"/>
      <x:c r="Z490" s="81" t="n"/>
      <x:c r="AA490" s="81" t="n"/>
      <x:c r="AB490" s="81" t="n"/>
      <x:c r="AC490" s="81" t="n"/>
      <x:c r="AD490" s="81" t="n"/>
      <x:c r="AE490" s="81" t="n"/>
      <x:c r="AF490" s="81" t="n"/>
      <x:c r="AG490" s="81" t="n"/>
      <x:c r="AH490" s="81" t="n"/>
      <x:c r="AI490" s="81" t="n"/>
    </x:row>
    <x:row r="491">
      <x:c r="A491" s="81" t="n"/>
      <x:c r="B491" s="81" t="n"/>
      <x:c r="C491" s="81" t="n"/>
      <x:c r="D491" s="81" t="n"/>
      <x:c r="E491" s="81" t="n"/>
      <x:c r="F491" s="81" t="n"/>
      <x:c r="G491" s="81" t="n"/>
      <x:c r="H491" s="81" t="n"/>
      <x:c r="I491" s="81" t="n"/>
      <x:c r="J491" s="81" t="n"/>
      <x:c r="K491" s="81" t="n"/>
      <x:c r="L491" s="81" t="n"/>
      <x:c r="M491" s="81" t="n"/>
      <x:c r="N491" s="81" t="n"/>
      <x:c r="O491" s="81" t="n"/>
      <x:c r="P491" s="81" t="n"/>
      <x:c r="Q491" s="81" t="n"/>
      <x:c r="R491" s="81" t="n"/>
      <x:c r="S491" s="81" t="n"/>
      <x:c r="T491" s="81" t="n"/>
      <x:c r="U491" s="81" t="n"/>
      <x:c r="V491" s="81" t="n"/>
      <x:c r="W491" s="81" t="n"/>
      <x:c r="X491" s="81" t="n"/>
      <x:c r="Y491" s="81" t="n"/>
      <x:c r="Z491" s="81" t="n"/>
      <x:c r="AA491" s="81" t="n"/>
      <x:c r="AB491" s="81" t="n"/>
      <x:c r="AC491" s="81" t="n"/>
      <x:c r="AD491" s="81" t="n"/>
      <x:c r="AE491" s="81" t="n"/>
      <x:c r="AF491" s="81" t="n"/>
      <x:c r="AG491" s="81" t="n"/>
      <x:c r="AH491" s="81" t="n"/>
      <x:c r="AI491" s="81" t="n"/>
    </x:row>
    <x:row r="492">
      <x:c r="A492" s="81" t="n"/>
      <x:c r="B492" s="81" t="n"/>
      <x:c r="C492" s="81" t="n"/>
      <x:c r="D492" s="81" t="n"/>
      <x:c r="E492" s="81" t="n"/>
      <x:c r="F492" s="81" t="n"/>
      <x:c r="G492" s="81" t="n"/>
      <x:c r="H492" s="81" t="n"/>
      <x:c r="I492" s="81" t="n"/>
      <x:c r="J492" s="81" t="n"/>
      <x:c r="K492" s="81" t="n"/>
      <x:c r="L492" s="81" t="n"/>
      <x:c r="M492" s="81" t="n"/>
      <x:c r="N492" s="81" t="n"/>
      <x:c r="O492" s="81" t="n"/>
      <x:c r="P492" s="81" t="n"/>
      <x:c r="Q492" s="81" t="n"/>
      <x:c r="R492" s="81" t="n"/>
      <x:c r="S492" s="81" t="n"/>
      <x:c r="T492" s="81" t="n"/>
      <x:c r="U492" s="81" t="n"/>
      <x:c r="V492" s="81" t="n"/>
      <x:c r="W492" s="81" t="n"/>
      <x:c r="X492" s="81" t="n"/>
      <x:c r="Y492" s="81" t="n"/>
      <x:c r="Z492" s="81" t="n"/>
      <x:c r="AA492" s="81" t="n"/>
      <x:c r="AB492" s="81" t="n"/>
      <x:c r="AC492" s="81" t="n"/>
      <x:c r="AD492" s="81" t="n"/>
      <x:c r="AE492" s="81" t="n"/>
      <x:c r="AF492" s="81" t="n"/>
      <x:c r="AG492" s="81" t="n"/>
      <x:c r="AH492" s="81" t="n"/>
      <x:c r="AI492" s="81" t="n"/>
    </x:row>
    <x:row r="493">
      <x:c r="A493" s="81" t="n"/>
      <x:c r="B493" s="81" t="n"/>
      <x:c r="C493" s="81" t="n"/>
      <x:c r="D493" s="81" t="n"/>
      <x:c r="E493" s="81" t="n"/>
      <x:c r="F493" s="81" t="n"/>
      <x:c r="G493" s="81" t="n"/>
      <x:c r="H493" s="81" t="n"/>
      <x:c r="I493" s="81" t="n"/>
      <x:c r="J493" s="81" t="n"/>
      <x:c r="K493" s="81" t="n"/>
      <x:c r="L493" s="81" t="n"/>
      <x:c r="M493" s="81" t="n"/>
      <x:c r="N493" s="81" t="n"/>
      <x:c r="O493" s="81" t="n"/>
      <x:c r="P493" s="81" t="n"/>
      <x:c r="Q493" s="81" t="n"/>
      <x:c r="R493" s="81" t="n"/>
      <x:c r="S493" s="81" t="n"/>
      <x:c r="T493" s="81" t="n"/>
      <x:c r="U493" s="81" t="n"/>
      <x:c r="V493" s="81" t="n"/>
      <x:c r="W493" s="81" t="n"/>
      <x:c r="X493" s="81" t="n"/>
      <x:c r="Y493" s="81" t="n"/>
      <x:c r="Z493" s="81" t="n"/>
      <x:c r="AA493" s="81" t="n"/>
      <x:c r="AB493" s="81" t="n"/>
      <x:c r="AC493" s="81" t="n"/>
      <x:c r="AD493" s="81" t="n"/>
      <x:c r="AE493" s="81" t="n"/>
      <x:c r="AF493" s="81" t="n"/>
      <x:c r="AG493" s="81" t="n"/>
      <x:c r="AH493" s="81" t="n"/>
      <x:c r="AI493" s="81" t="n"/>
    </x:row>
    <x:row r="494">
      <x:c r="A494" s="81" t="n"/>
      <x:c r="B494" s="81" t="n"/>
      <x:c r="C494" s="81" t="n"/>
      <x:c r="D494" s="81" t="n"/>
      <x:c r="E494" s="81" t="n"/>
      <x:c r="F494" s="81" t="n"/>
      <x:c r="G494" s="81" t="n"/>
      <x:c r="H494" s="81" t="n"/>
      <x:c r="I494" s="81" t="n"/>
      <x:c r="J494" s="81" t="n"/>
      <x:c r="K494" s="81" t="n"/>
      <x:c r="L494" s="81" t="n"/>
      <x:c r="M494" s="81" t="n"/>
      <x:c r="N494" s="81" t="n"/>
      <x:c r="O494" s="81" t="n"/>
      <x:c r="P494" s="81" t="n"/>
      <x:c r="Q494" s="81" t="n"/>
      <x:c r="R494" s="81" t="n"/>
      <x:c r="S494" s="81" t="n"/>
      <x:c r="T494" s="81" t="n"/>
      <x:c r="U494" s="81" t="n"/>
      <x:c r="V494" s="81" t="n"/>
      <x:c r="W494" s="81" t="n"/>
      <x:c r="X494" s="81" t="n"/>
      <x:c r="Y494" s="81" t="n"/>
      <x:c r="Z494" s="81" t="n"/>
      <x:c r="AA494" s="81" t="n"/>
      <x:c r="AB494" s="81" t="n"/>
      <x:c r="AC494" s="81" t="n"/>
      <x:c r="AD494" s="81" t="n"/>
      <x:c r="AE494" s="81" t="n"/>
      <x:c r="AF494" s="81" t="n"/>
      <x:c r="AG494" s="81" t="n"/>
      <x:c r="AH494" s="81" t="n"/>
      <x:c r="AI494" s="81" t="n"/>
    </x:row>
    <x:row r="495">
      <x:c r="A495" s="81" t="n"/>
      <x:c r="B495" s="81" t="n"/>
      <x:c r="C495" s="81" t="n"/>
      <x:c r="D495" s="81" t="n"/>
      <x:c r="E495" s="81" t="n"/>
      <x:c r="F495" s="81" t="n"/>
      <x:c r="G495" s="81" t="n"/>
      <x:c r="H495" s="81" t="n"/>
      <x:c r="I495" s="81" t="n"/>
      <x:c r="J495" s="81" t="n"/>
      <x:c r="K495" s="81" t="n"/>
      <x:c r="L495" s="81" t="n"/>
      <x:c r="M495" s="81" t="n"/>
      <x:c r="N495" s="81" t="n"/>
      <x:c r="O495" s="81" t="n"/>
      <x:c r="P495" s="81" t="n"/>
      <x:c r="Q495" s="81" t="n"/>
      <x:c r="R495" s="81" t="n"/>
      <x:c r="S495" s="81" t="n"/>
      <x:c r="T495" s="81" t="n"/>
      <x:c r="U495" s="81" t="n"/>
      <x:c r="V495" s="81" t="n"/>
      <x:c r="W495" s="81" t="n"/>
      <x:c r="X495" s="81" t="n"/>
      <x:c r="Y495" s="81" t="n"/>
      <x:c r="Z495" s="81" t="n"/>
      <x:c r="AA495" s="81" t="n"/>
      <x:c r="AB495" s="81" t="n"/>
      <x:c r="AC495" s="81" t="n"/>
      <x:c r="AD495" s="81" t="n"/>
      <x:c r="AE495" s="81" t="n"/>
      <x:c r="AF495" s="81" t="n"/>
      <x:c r="AG495" s="81" t="n"/>
      <x:c r="AH495" s="81" t="n"/>
      <x:c r="AI495" s="81" t="n"/>
    </x:row>
    <x:row r="496">
      <x:c r="A496" s="81" t="n"/>
      <x:c r="B496" s="81" t="n"/>
      <x:c r="C496" s="81" t="n"/>
      <x:c r="D496" s="81" t="n"/>
      <x:c r="E496" s="81" t="n"/>
      <x:c r="F496" s="81" t="n"/>
      <x:c r="G496" s="81" t="n"/>
      <x:c r="H496" s="81" t="n"/>
      <x:c r="I496" s="81" t="n"/>
      <x:c r="J496" s="81" t="n"/>
      <x:c r="K496" s="81" t="n"/>
      <x:c r="L496" s="81" t="n"/>
      <x:c r="M496" s="81" t="n"/>
      <x:c r="N496" s="81" t="n"/>
      <x:c r="O496" s="81" t="n"/>
      <x:c r="P496" s="81" t="n"/>
      <x:c r="Q496" s="81" t="n"/>
      <x:c r="R496" s="81" t="n"/>
      <x:c r="S496" s="81" t="n"/>
      <x:c r="T496" s="81" t="n"/>
      <x:c r="U496" s="81" t="n"/>
      <x:c r="V496" s="81" t="n"/>
      <x:c r="W496" s="81" t="n"/>
      <x:c r="X496" s="81" t="n"/>
      <x:c r="Y496" s="81" t="n"/>
      <x:c r="Z496" s="81" t="n"/>
      <x:c r="AA496" s="81" t="n"/>
      <x:c r="AB496" s="81" t="n"/>
      <x:c r="AC496" s="81" t="n"/>
      <x:c r="AD496" s="81" t="n"/>
      <x:c r="AE496" s="81" t="n"/>
      <x:c r="AF496" s="81" t="n"/>
      <x:c r="AG496" s="81" t="n"/>
      <x:c r="AH496" s="81" t="n"/>
      <x:c r="AI496" s="81" t="n"/>
    </x:row>
    <x:row r="497">
      <x:c r="A497" s="81" t="n"/>
      <x:c r="B497" s="81" t="n"/>
      <x:c r="C497" s="81" t="n"/>
      <x:c r="D497" s="81" t="n"/>
      <x:c r="E497" s="81" t="n"/>
      <x:c r="F497" s="81" t="n"/>
      <x:c r="G497" s="81" t="n"/>
      <x:c r="H497" s="81" t="n"/>
      <x:c r="I497" s="81" t="n"/>
      <x:c r="J497" s="81" t="n"/>
      <x:c r="K497" s="81" t="n"/>
      <x:c r="L497" s="81" t="n"/>
      <x:c r="M497" s="81" t="n"/>
      <x:c r="N497" s="81" t="n"/>
      <x:c r="O497" s="81" t="n"/>
      <x:c r="P497" s="81" t="n"/>
      <x:c r="Q497" s="81" t="n"/>
      <x:c r="R497" s="81" t="n"/>
      <x:c r="S497" s="81" t="n"/>
      <x:c r="T497" s="81" t="n"/>
      <x:c r="U497" s="81" t="n"/>
      <x:c r="V497" s="81" t="n"/>
      <x:c r="W497" s="81" t="n"/>
      <x:c r="X497" s="81" t="n"/>
      <x:c r="Y497" s="81" t="n"/>
      <x:c r="Z497" s="81" t="n"/>
      <x:c r="AA497" s="81" t="n"/>
      <x:c r="AB497" s="81" t="n"/>
      <x:c r="AC497" s="81" t="n"/>
      <x:c r="AD497" s="81" t="n"/>
      <x:c r="AE497" s="81" t="n"/>
      <x:c r="AF497" s="81" t="n"/>
      <x:c r="AG497" s="81" t="n"/>
      <x:c r="AH497" s="81" t="n"/>
      <x:c r="AI497" s="81" t="n"/>
    </x:row>
    <x:row r="498">
      <x:c r="A498" s="81" t="n"/>
      <x:c r="B498" s="81" t="n"/>
      <x:c r="C498" s="81" t="n"/>
      <x:c r="D498" s="81" t="n"/>
      <x:c r="E498" s="81" t="n"/>
      <x:c r="F498" s="81" t="n"/>
      <x:c r="G498" s="81" t="n"/>
      <x:c r="H498" s="81" t="n"/>
      <x:c r="I498" s="81" t="n"/>
      <x:c r="J498" s="81" t="n"/>
      <x:c r="K498" s="81" t="n"/>
      <x:c r="L498" s="81" t="n"/>
      <x:c r="M498" s="81" t="n"/>
      <x:c r="N498" s="81" t="n"/>
      <x:c r="O498" s="81" t="n"/>
      <x:c r="P498" s="81" t="n"/>
      <x:c r="Q498" s="81" t="n"/>
      <x:c r="R498" s="81" t="n"/>
      <x:c r="S498" s="81" t="n"/>
      <x:c r="T498" s="81" t="n"/>
      <x:c r="U498" s="81" t="n"/>
      <x:c r="V498" s="81" t="n"/>
      <x:c r="W498" s="81" t="n"/>
      <x:c r="X498" s="81" t="n"/>
      <x:c r="Y498" s="81" t="n"/>
      <x:c r="Z498" s="81" t="n"/>
      <x:c r="AA498" s="81" t="n"/>
      <x:c r="AB498" s="81" t="n"/>
      <x:c r="AC498" s="81" t="n"/>
      <x:c r="AD498" s="81" t="n"/>
      <x:c r="AE498" s="81" t="n"/>
      <x:c r="AF498" s="81" t="n"/>
      <x:c r="AG498" s="81" t="n"/>
      <x:c r="AH498" s="81" t="n"/>
      <x:c r="AI498" s="81" t="n"/>
    </x:row>
    <x:row r="499">
      <x:c r="A499" s="81" t="n"/>
      <x:c r="B499" s="81" t="n"/>
      <x:c r="C499" s="81" t="n"/>
      <x:c r="D499" s="81" t="n"/>
      <x:c r="E499" s="81" t="n"/>
      <x:c r="F499" s="81" t="n"/>
      <x:c r="G499" s="81" t="n"/>
      <x:c r="H499" s="81" t="n"/>
      <x:c r="I499" s="81" t="n"/>
      <x:c r="J499" s="81" t="n"/>
      <x:c r="K499" s="81" t="n"/>
      <x:c r="L499" s="81" t="n"/>
      <x:c r="M499" s="81" t="n"/>
      <x:c r="N499" s="81" t="n"/>
      <x:c r="O499" s="81" t="n"/>
      <x:c r="P499" s="81" t="n"/>
      <x:c r="Q499" s="81" t="n"/>
      <x:c r="R499" s="81" t="n"/>
      <x:c r="S499" s="81" t="n"/>
      <x:c r="T499" s="81" t="n"/>
      <x:c r="U499" s="81" t="n"/>
      <x:c r="V499" s="81" t="n"/>
      <x:c r="W499" s="81" t="n"/>
      <x:c r="X499" s="81" t="n"/>
      <x:c r="Y499" s="81" t="n"/>
      <x:c r="Z499" s="81" t="n"/>
      <x:c r="AA499" s="81" t="n"/>
      <x:c r="AB499" s="81" t="n"/>
      <x:c r="AC499" s="81" t="n"/>
      <x:c r="AD499" s="81" t="n"/>
      <x:c r="AE499" s="81" t="n"/>
      <x:c r="AF499" s="81" t="n"/>
      <x:c r="AG499" s="81" t="n"/>
      <x:c r="AH499" s="81" t="n"/>
      <x:c r="AI499" s="81" t="n"/>
    </x:row>
    <x:row r="500">
      <x:c r="A500" s="81" t="n"/>
      <x:c r="B500" s="81" t="n"/>
      <x:c r="C500" s="81" t="n"/>
      <x:c r="D500" s="81" t="n"/>
      <x:c r="E500" s="81" t="n"/>
      <x:c r="F500" s="81" t="n"/>
      <x:c r="G500" s="81" t="n"/>
      <x:c r="H500" s="81" t="n"/>
      <x:c r="I500" s="81" t="n"/>
      <x:c r="J500" s="81" t="n"/>
      <x:c r="K500" s="81" t="n"/>
      <x:c r="L500" s="81" t="n"/>
      <x:c r="M500" s="81" t="n"/>
      <x:c r="N500" s="81" t="n"/>
      <x:c r="O500" s="81" t="n"/>
      <x:c r="P500" s="81" t="n"/>
      <x:c r="Q500" s="81" t="n"/>
      <x:c r="R500" s="81" t="n"/>
      <x:c r="S500" s="81" t="n"/>
      <x:c r="T500" s="81" t="n"/>
      <x:c r="U500" s="81" t="n"/>
      <x:c r="V500" s="81" t="n"/>
      <x:c r="W500" s="81" t="n"/>
      <x:c r="X500" s="81" t="n"/>
      <x:c r="Y500" s="81" t="n"/>
      <x:c r="Z500" s="81" t="n"/>
      <x:c r="AA500" s="81" t="n"/>
      <x:c r="AB500" s="81" t="n"/>
      <x:c r="AC500" s="81" t="n"/>
      <x:c r="AD500" s="81" t="n"/>
      <x:c r="AE500" s="81" t="n"/>
      <x:c r="AF500" s="81" t="n"/>
      <x:c r="AG500" s="81" t="n"/>
      <x:c r="AH500" s="81" t="n"/>
      <x:c r="AI500" s="81" t="n"/>
    </x:row>
    <x:row r="501">
      <x:c r="A501" s="81" t="n"/>
      <x:c r="B501" s="81" t="n"/>
      <x:c r="C501" s="81" t="n"/>
      <x:c r="D501" s="81" t="n"/>
      <x:c r="E501" s="81" t="n"/>
      <x:c r="F501" s="81" t="n"/>
      <x:c r="G501" s="81" t="n"/>
      <x:c r="H501" s="81" t="n"/>
      <x:c r="I501" s="81" t="n"/>
      <x:c r="J501" s="81" t="n"/>
      <x:c r="K501" s="81" t="n"/>
      <x:c r="L501" s="81" t="n"/>
      <x:c r="M501" s="81" t="n"/>
      <x:c r="N501" s="81" t="n"/>
      <x:c r="O501" s="81" t="n"/>
      <x:c r="P501" s="81" t="n"/>
      <x:c r="Q501" s="81" t="n"/>
      <x:c r="R501" s="81" t="n"/>
      <x:c r="S501" s="81" t="n"/>
      <x:c r="T501" s="81" t="n"/>
      <x:c r="U501" s="81" t="n"/>
      <x:c r="V501" s="81" t="n"/>
      <x:c r="W501" s="81" t="n"/>
      <x:c r="X501" s="81" t="n"/>
      <x:c r="Y501" s="81" t="n"/>
      <x:c r="Z501" s="81" t="n"/>
      <x:c r="AA501" s="81" t="n"/>
      <x:c r="AB501" s="81" t="n"/>
      <x:c r="AC501" s="81" t="n"/>
      <x:c r="AD501" s="81" t="n"/>
      <x:c r="AE501" s="81" t="n"/>
      <x:c r="AF501" s="81" t="n"/>
      <x:c r="AG501" s="81" t="n"/>
      <x:c r="AH501" s="81" t="n"/>
      <x:c r="AI501" s="81" t="n"/>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F2:F500">
      <x:formula1>"Recognize,Name,Permit,Reframe,Distinguish,Return agency"</x:formula1>
    </x:dataValidation>
    <x:dataValidation type="list" allowBlank="0" showDropDown="0" showInputMessage="0" showErrorMessage="0" sqref="G2:G500">
      <x:formula1>"Recognize,Name,Permit,Reframe,Distinguish,Return agency"</x:formula1>
    </x:dataValidation>
    <x:dataValidation type="list" allowBlank="0" showDropDown="0" showInputMessage="0" showErrorMessage="0"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P2:P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Q2:Q500">
      <x:formula1>"Verbatim,Working translation,Published translation,Paraphrase,Proverb / traditional,Selflo Original - AI-assisted draft,Selflo Original - owner edited"</x:formula1>
    </x:dataValidation>
    <x:dataValidation type="list" allowBlank="0" showDropDown="0" showInputMessage="0" showErrorMessage="0" sqref="R2:R500">
      <x:formula1>"A - Primary source,B - Authoritative secondary,C - Plausible / needs primary,D - Disputed / internet-only,N/A - Selflo Original"</x:formula1>
    </x:dataValidation>
    <x:dataValidation type="list" allowBlank="0" showDropDown="0" showInputMessage="0" showErrorMessage="0" sqref="T2:T500">
      <x:formula1>"Public domain / likely,Copyrighted / research only,Permission needed,Selflo owned,Unknown / verify"</x:formula1>
    </x:dataValidation>
    <x:dataValidation type="list" allowBlank="0" showDropDown="0" showInputMessage="0" showErrorMessage="0" sqref="V2:V500">
      <x:formula1>"High,Medium,Low,Not reviewed"</x:formula1>
    </x:dataValidation>
    <x:dataValidation type="list" allowBlank="0" showDropDown="0" showInputMessage="0" showErrorMessage="0" sqref="AB2:AB500">
      <x:formula1>"No,Yes - story must pass gate,Unknown"</x:formula1>
    </x:dataValidation>
    <x:dataValidation type="list" allowBlank="0" showDropDown="0" showInputMessage="0" showErrorMessage="0" sqref="AC2:AC500">
      <x:formula1>"Not reviewed,Needs owner review,Approved,Rejected"</x:formula1>
    </x:dataValidation>
    <x:dataValidation type="list" allowBlank="0" showDropDown="0" showInputMessage="0" showErrorMessage="0"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733cfa8c91b248f7"/>
  </x:tableParts>
</x:worksheet>
</file>

<file path=xl/worksheets/sheet5.xml><?xml version="1.0" encoding="utf-8"?>
<x:worksheet xmlns:x="http://schemas.openxmlformats.org/spreadsheetml/2006/main">
  <x:sheetFormatPr baseColWidth="8" defaultRowHeight="15"/>
  <x:cols>
    <x:col min="1" max="1" width="22" style="72" customWidth="1"/>
    <x:col min="2" max="2" width="22" style="72" customWidth="1"/>
    <x:col min="3" max="3" width="34" style="72" customWidth="1"/>
    <x:col min="4" max="4" width="22" style="72" customWidth="1"/>
    <x:col min="5" max="5" width="22" style="72" customWidth="1"/>
    <x:col min="6" max="6" width="22" style="72" customWidth="1"/>
    <x:col min="7" max="7" width="22" style="72" customWidth="1"/>
    <x:col min="8" max="8" width="22" style="72" customWidth="1"/>
    <x:col min="9" max="9" width="22" style="72" customWidth="1"/>
    <x:col min="10" max="10" width="60" style="72" customWidth="1"/>
    <x:col min="11" max="11" width="38" style="72" customWidth="1"/>
    <x:col min="12" max="12" width="38" style="72" customWidth="1"/>
    <x:col min="13" max="13" width="38" style="72" customWidth="1"/>
    <x:col min="14" max="14" width="38" style="72" customWidth="1"/>
    <x:col min="15" max="15" width="22" style="72" customWidth="1"/>
    <x:col min="16" max="16" width="22" style="72" customWidth="1"/>
    <x:col min="17" max="17" width="22" style="72" customWidth="1"/>
    <x:col min="18" max="18" width="22" style="72" customWidth="1"/>
    <x:col min="19" max="19" width="22" style="72" customWidth="1"/>
    <x:col min="20" max="20" width="22" style="72" customWidth="1"/>
    <x:col min="21" max="21" width="22" style="72" customWidth="1"/>
    <x:col min="22" max="22" width="22" style="72" customWidth="1"/>
    <x:col min="23" max="23" width="48" style="72" customWidth="1"/>
    <x:col min="24" max="24" width="22" style="72" customWidth="1"/>
    <x:col min="25" max="25" width="22" style="72" customWidth="1"/>
    <x:col min="26" max="26" width="22" style="72" customWidth="1"/>
    <x:col min="27" max="27" width="22" style="72" customWidth="1"/>
    <x:col min="28" max="28" width="22" style="72" customWidth="1"/>
    <x:col min="29" max="29" width="22" style="72" customWidth="1"/>
    <x:col min="30" max="30" width="22" style="72" customWidth="1"/>
    <x:col min="31" max="31" width="22" style="72" customWidth="1"/>
    <x:col min="32" max="32" width="22" style="72" customWidth="1"/>
  </x:cols>
  <x:sheetData>
    <x:row r="1">
      <x:c r="A1" s="77" t="inlineStr">
        <x:is>
          <x:t xml:space="preserve">Story ID</x:t>
        </x:is>
      </x:c>
      <x:c r="B1" s="77" t="inlineStr">
        <x:is>
          <x:t xml:space="preserve">Status</x:t>
        </x:is>
      </x:c>
      <x:c r="C1" s="77" t="inlineStr">
        <x:is>
          <x:t xml:space="preserve">Title</x:t>
        </x:is>
      </x:c>
      <x:c r="D1" s="77" t="inlineStr">
        <x:is>
          <x:t xml:space="preserve">Original / Local Title</x:t>
        </x:is>
      </x:c>
      <x:c r="E1" s="77" t="inlineStr">
        <x:is>
          <x:t xml:space="preserve">Story Type</x:t>
        </x:is>
      </x:c>
      <x:c r="F1" s="77" t="inlineStr">
        <x:is>
          <x:t xml:space="preserve">Tradition / Region</x:t>
        </x:is>
      </x:c>
      <x:c r="G1" s="77" t="inlineStr">
        <x:is>
          <x:t xml:space="preserve">Cluster Primary</x:t>
        </x:is>
      </x:c>
      <x:c r="H1" s="77" t="inlineStr">
        <x:is>
          <x:t xml:space="preserve">Cluster Secondary</x:t>
        </x:is>
      </x:c>
      <x:c r="I1" s="77" t="inlineStr">
        <x:is>
          <x:t xml:space="preserve">Human Experience</x:t>
        </x:is>
      </x:c>
      <x:c r="J1" s="77" t="inlineStr">
        <x:is>
          <x:t xml:space="preserve">Summary (research only)</x:t>
        </x:is>
      </x:c>
      <x:c r="K1" s="77" t="inlineStr">
        <x:is>
          <x:t xml:space="preserve">Primary Source / Work</x:t>
        </x:is>
      </x:c>
      <x:c r="L1" s="77" t="inlineStr">
        <x:is>
          <x:t xml:space="preserve">Source Location</x:t>
        </x:is>
      </x:c>
      <x:c r="M1" s="77" t="inlineStr">
        <x:is>
          <x:t xml:space="preserve">Source URL</x:t>
        </x:is>
      </x:c>
      <x:c r="N1" s="77" t="inlineStr">
        <x:is>
          <x:t xml:space="preserve">Secondary Verification URL</x:t>
        </x:is>
      </x:c>
      <x:c r="O1" s="77" t="inlineStr">
        <x:is>
          <x:t xml:space="preserve">Verification Grade</x:t>
        </x:is>
      </x:c>
      <x:c r="P1" s="77" t="inlineStr">
        <x:is>
          <x:t xml:space="preserve">Verification Notes</x:t>
        </x:is>
      </x:c>
      <x:c r="Q1" s="77" t="inlineStr">
        <x:is>
          <x:t xml:space="preserve">Rights Status</x:t>
        </x:is>
      </x:c>
      <x:c r="R1" s="77" t="inlineStr">
        <x:is>
          <x:t xml:space="preserve">Copyright / Adaptation Notes</x:t>
        </x:is>
      </x:c>
      <x:c r="S1" s="77" t="inlineStr">
        <x:is>
          <x:t xml:space="preserve">Historical / Traditional Context</x:t>
        </x:is>
      </x:c>
      <x:c r="T1" s="77" t="inlineStr">
        <x:is>
          <x:t xml:space="preserve">Key Principle ID(s)</x:t>
        </x:is>
      </x:c>
      <x:c r="U1" s="77" t="inlineStr">
        <x:is>
          <x:t xml:space="preserve">Related Quote ID(s)</x:t>
        </x:is>
      </x:c>
      <x:c r="V1" s="77" t="inlineStr">
        <x:is>
          <x:t xml:space="preserve">Selflo Fit</x:t>
        </x:is>
      </x:c>
      <x:c r="W1" s="77" t="inlineStr">
        <x:is>
          <x:t xml:space="preserve">Selflo Fit Notes</x:t>
        </x:is>
      </x:c>
      <x:c r="X1" s="77" t="inlineStr">
        <x:is>
          <x:t xml:space="preserve">Adaptation Allowed?</x:t>
        </x:is>
      </x:c>
      <x:c r="Y1" s="77" t="inlineStr">
        <x:is>
          <x:t xml:space="preserve">Human Edited?</x:t>
        </x:is>
      </x:c>
      <x:c r="Z1" s="77" t="inlineStr">
        <x:is>
          <x:t xml:space="preserve">Rights Verified?</x:t>
        </x:is>
      </x:c>
      <x:c r="AA1" s="77" t="inlineStr">
        <x:is>
          <x:t xml:space="preserve">Story Gate Status</x:t>
        </x:is>
      </x:c>
      <x:c r="AB1" s="77" t="inlineStr">
        <x:is>
          <x:t xml:space="preserve">Current Library Location</x:t>
        </x:is>
      </x:c>
      <x:c r="AC1" s="77" t="inlineStr">
        <x:is>
          <x:t xml:space="preserve">Collected Day</x:t>
        </x:is>
      </x:c>
      <x:c r="AD1" s="77" t="inlineStr">
        <x:is>
          <x:t xml:space="preserve">Collected By</x:t>
        </x:is>
      </x:c>
      <x:c r="AE1" s="77" t="inlineStr">
        <x:is>
          <x:t xml:space="preserve">Date Collected</x:t>
        </x:is>
      </x:c>
      <x:c r="AF1" s="77" t="inlineStr">
        <x:is>
          <x:t xml:space="preserve">Notes</x:t>
        </x:is>
      </x:c>
    </x:row>
    <x:row r="2">
      <x:c r="A2" s="81" t="inlineStr">
        <x:is>
          <x:t xml:space="preserve">story.zhuangzi.day4.giant_gourd</x:t>
        </x:is>
      </x:c>
      <x:c r="B2" s="81" t="inlineStr">
        <x:is>
          <x:t xml:space="preserve">Collected</x:t>
        </x:is>
      </x:c>
      <x:c r="C2" s="81" t="inlineStr">
        <x:is>
          <x:t xml:space="preserve">Quả bầu lớn và câu hỏi 'dùng để làm gì'</x:t>
        </x:is>
      </x:c>
      <x:c r="D2" s="81" t="inlineStr">
        <x:is>
          <x:t xml:space="preserve">五石之瓠</x:t>
        </x:is>
      </x:c>
      <x:c r="E2" s="81" t="inlineStr">
        <x:is>
          <x:t xml:space="preserve">Parable</x:t>
        </x:is>
      </x:c>
      <x:c r="F2" s="81" t="inlineStr">
        <x:is>
          <x:t xml:space="preserve">China / Daoist</x:t>
        </x:is>
      </x:c>
      <x:c r="G2" s="81" t="inlineStr">
        <x:is>
          <x:t xml:space="preserve">Context / Reframing</x:t>
        </x:is>
      </x:c>
      <x:c r="H2" s="81" t="inlineStr">
        <x:is>
          <x:t xml:space="preserve">Usefulness</x:t>
        </x:is>
      </x:c>
      <x:c r="I2" s="81" t="inlineStr">
        <x:is>
          <x:t xml:space="preserve">Khi một khả năng bị xem là vô dụng vì chỉ thử nó trong một khuôn dùng quen thuộc</x:t>
        </x:is>
      </x:c>
      <x:c r="J2" s="81" t="inlineStr">
        <x:is>
          <x:t xml:space="preserve">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x:t>
        </x:is>
      </x:c>
      <x:c r="K2" s="81" t="inlineStr">
        <x:is>
          <x:t xml:space="preserve">莊子 / Zhuangzi</x:t>
        </x:is>
      </x:c>
      <x:c r="L2" s="81" t="inlineStr">
        <x:is>
          <x:t xml:space="preserve">Inner Chapter 1 — 逍遙遊</x:t>
        </x:is>
      </x:c>
      <x:c r="M2" s="81" t="inlineStr">
        <x:is>
          <x:t xml:space="preserve">https://zh.wikisource.org/wiki/%E8%8E%8A%E5%AD%90/%E9%80%8D%E9%81%99%E9%81%8A</x:t>
        </x:is>
      </x:c>
      <x:c r="N2" s="81" t="inlineStr">
        <x:is>
          <x:t xml:space="preserve">https://ctext.org/zhuangzi/ens</x:t>
        </x:is>
      </x:c>
      <x:c r="O2" s="81" t="inlineStr">
        <x:is>
          <x:t xml:space="preserve">A - Primary source</x:t>
        </x:is>
      </x:c>
      <x:c r="P2" s="81" t="inlineStr">
        <x:is>
          <x:t xml:space="preserve">Primary Chinese story located in Inner Chapter 1; CText used for chapter/edition cross-check.</x:t>
        </x:is>
      </x:c>
      <x:c r="Q2" s="81" t="inlineStr">
        <x:is>
          <x:t xml:space="preserve">Public domain / likely</x:t>
        </x:is>
      </x:c>
      <x:c r="R2" s="81" t="inlineStr">
        <x:is>
          <x:t xml:space="preserve">Ancient story; Selflo adaptation must be newly written and preserve source attribution/context.</x:t>
        </x:is>
      </x:c>
      <x:c r="S2" s="81" t="inlineStr">
        <x:is>
          <x:t xml:space="preserve">Ancient philosophical parable; not a historical report.</x:t>
        </x:is>
      </x:c>
      <x:c r="T2" s="81" t="inlineStr">
        <x:is>
          <x:t xml:space="preserve">principle.zhuangzi.day4.context_changes_use</x:t>
        </x:is>
      </x:c>
      <x:c r="U2" s="81" t="str"/>
      <x:c r="V2" s="81" t="inlineStr">
        <x:is>
          <x:t xml:space="preserve">High</x:t>
        </x:is>
      </x:c>
      <x:c r="W2" s="81" t="inlineStr">
        <x:is>
          <x:t xml:space="preserve">Rất hợp career/identity: năng lực ≠ một use case duy nhất.</x:t>
        </x:is>
      </x:c>
      <x:c r="X2" s="81" t="inlineStr">
        <x:is>
          <x:t xml:space="preserve">Yes</x:t>
        </x:is>
      </x:c>
      <x:c r="Y2" s="81" t="inlineStr">
        <x:is>
          <x:t xml:space="preserve">No</x:t>
        </x:is>
      </x:c>
      <x:c r="Z2" s="81" t="inlineStr">
        <x:is>
          <x:t xml:space="preserve">Source verified; adaptation rights to verify</x:t>
        </x:is>
      </x:c>
      <x:c r="AA2" s="81" t="n"/>
      <x:c r="AB2" s="81" t="n"/>
      <x:c r="AC2" s="81" t="n"/>
      <x:c r="AD2" s="81" t="n"/>
      <x:c r="AE2" s="81" t="n"/>
      <x:c r="AF2" s="81" t="n"/>
    </x:row>
    <x:row r="3">
      <x:c r="A3" s="81" t="inlineStr">
        <x:is>
          <x:t xml:space="preserve">story.zhuangzi.day4.useless_tree</x:t>
        </x:is>
      </x:c>
      <x:c r="B3" s="81" t="inlineStr">
        <x:is>
          <x:t xml:space="preserve">Collected</x:t>
        </x:is>
      </x:c>
      <x:c r="C3" s="81" t="inlineStr">
        <x:is>
          <x:t xml:space="preserve">Cây 'vô dụng' sống được đời mình</x:t>
        </x:is>
      </x:c>
      <x:c r="D3" s="81" t="inlineStr">
        <x:is>
          <x:t xml:space="preserve">櫟社樹 / 無用之用</x:t>
        </x:is>
      </x:c>
      <x:c r="E3" s="81" t="inlineStr">
        <x:is>
          <x:t xml:space="preserve">Parable</x:t>
        </x:is>
      </x:c>
      <x:c r="F3" s="81" t="inlineStr">
        <x:is>
          <x:t xml:space="preserve">China / Daoist</x:t>
        </x:is>
      </x:c>
      <x:c r="G3" s="81" t="inlineStr">
        <x:is>
          <x:t xml:space="preserve">Self-worth / Values</x:t>
        </x:is>
      </x:c>
      <x:c r="H3" s="81" t="inlineStr">
        <x:is>
          <x:t xml:space="preserve">Usefulness / Productivity</x:t>
        </x:is>
      </x:c>
      <x:c r="I3" s="81" t="inlineStr">
        <x:is>
          <x:t xml:space="preserve">Khi giá trị bản thân bị đồng nhất với năng suất hoặc tính hữu dụng</x:t>
        </x:is>
      </x:c>
      <x:c r="J3" s="81" t="inlineStr">
        <x:is>
          <x:t xml:space="preserve">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x:t>
        </x:is>
      </x:c>
      <x:c r="K3" s="81" t="inlineStr">
        <x:is>
          <x:t xml:space="preserve">莊子 / Zhuangzi</x:t>
        </x:is>
      </x:c>
      <x:c r="L3" s="81" t="inlineStr">
        <x:is>
          <x:t xml:space="preserve">Inner Chapter 4 — 人間世</x:t>
        </x:is>
      </x:c>
      <x:c r="M3" s="81" t="inlineStr">
        <x:is>
          <x:t xml:space="preserve">https://zh.wikisource.org/wiki/%E8%8E%8A%E5%AD%90/%E4%BA%BA%E9%96%93%E4%B8%96</x:t>
        </x:is>
      </x:c>
      <x:c r="N3" s="81" t="inlineStr">
        <x:is>
          <x:t xml:space="preserve">https://ctext.org/zhuangzi/ens</x:t>
        </x:is>
      </x:c>
      <x:c r="O3" s="81" t="inlineStr">
        <x:is>
          <x:t xml:space="preserve">A - Primary source</x:t>
        </x:is>
      </x:c>
      <x:c r="P3" s="81" t="inlineStr">
        <x:is>
          <x:t xml:space="preserve">Primary Chinese story located in Inner Chapter 4.</x:t>
        </x:is>
      </x:c>
      <x:c r="Q3" s="81" t="inlineStr">
        <x:is>
          <x:t xml:space="preserve">Public domain / likely</x:t>
        </x:is>
      </x:c>
      <x:c r="R3" s="81" t="inlineStr">
        <x:is>
          <x:t xml:space="preserve">Ancient story; adapt rather than copy modern translations.</x:t>
        </x:is>
      </x:c>
      <x:c r="S3" s="81" t="inlineStr">
        <x:is>
          <x:t xml:space="preserve">Parable about usefulness; should not be simplified into 'never be useful'.</x:t>
        </x:is>
      </x:c>
      <x:c r="T3" s="81" t="inlineStr">
        <x:is>
          <x:t xml:space="preserve">principle.zhuangzi.day4.value_beyond_productivity</x:t>
        </x:is>
      </x:c>
      <x:c r="U3" s="81" t="str"/>
      <x:c r="V3" s="81" t="inlineStr">
        <x:is>
          <x:t xml:space="preserve">High</x:t>
        </x:is>
      </x:c>
      <x:c r="W3" s="81" t="inlineStr">
        <x:is>
          <x:t xml:space="preserve">Một trong các story phù hợp Selflo nhất.</x:t>
        </x:is>
      </x:c>
      <x:c r="X3" s="81" t="inlineStr">
        <x:is>
          <x:t xml:space="preserve">Yes</x:t>
        </x:is>
      </x:c>
      <x:c r="Y3" s="81" t="inlineStr">
        <x:is>
          <x:t xml:space="preserve">No</x:t>
        </x:is>
      </x:c>
      <x:c r="Z3" s="81" t="inlineStr">
        <x:is>
          <x:t xml:space="preserve">Source verified; adaptation rights to verify</x:t>
        </x:is>
      </x:c>
      <x:c r="AA3" s="81" t="n"/>
      <x:c r="AB3" s="81" t="n"/>
      <x:c r="AC3" s="81" t="n"/>
      <x:c r="AD3" s="81" t="n"/>
      <x:c r="AE3" s="81" t="n"/>
      <x:c r="AF3" s="81" t="n"/>
    </x:row>
    <x:row r="4">
      <x:c r="A4" s="81" t="inlineStr">
        <x:is>
          <x:t xml:space="preserve">story.zhuangzi.day4.butterfly_dream</x:t>
        </x:is>
      </x:c>
      <x:c r="B4" s="81" t="inlineStr">
        <x:is>
          <x:t xml:space="preserve">Collected</x:t>
        </x:is>
      </x:c>
      <x:c r="C4" s="81" t="inlineStr">
        <x:is>
          <x:t xml:space="preserve">Giấc mơ con bướm</x:t>
        </x:is>
      </x:c>
      <x:c r="D4" s="81" t="inlineStr">
        <x:is>
          <x:t xml:space="preserve">莊周夢蝶</x:t>
        </x:is>
      </x:c>
      <x:c r="E4" s="81" t="inlineStr">
        <x:is>
          <x:t xml:space="preserve">Parable / philosophical vignette</x:t>
        </x:is>
      </x:c>
      <x:c r="F4" s="81" t="inlineStr">
        <x:is>
          <x:t xml:space="preserve">China / Daoist</x:t>
        </x:is>
      </x:c>
      <x:c r="G4" s="81" t="inlineStr">
        <x:is>
          <x:t xml:space="preserve">Identity / Perspective</x:t>
        </x:is>
      </x:c>
      <x:c r="H4" s="81" t="inlineStr">
        <x:is>
          <x:t xml:space="preserve">Uncertainty</x:t>
        </x:is>
      </x:c>
      <x:c r="I4" s="81" t="inlineStr">
        <x:is>
          <x:t xml:space="preserve">Khi mình quá chắc một nhãn hiện tại là toàn bộ con người mình</x:t>
        </x:is>
      </x:c>
      <x:c r="J4" s="81" t="inlineStr">
        <x:is>
          <x:t xml:space="preserve">Zhuang Zhou mơ mình là bướm, tỉnh dậy lại là Zhou, rồi đặt câu hỏi: Zhou mơ thành bướm hay bướm đang mơ thành Zhou? Đoạn kết gọi đó là 'vật hóa' — sự chuyển hóa của sự vật.</x:t>
        </x:is>
      </x:c>
      <x:c r="K4" s="81" t="inlineStr">
        <x:is>
          <x:t xml:space="preserve">莊子 / Zhuangzi</x:t>
        </x:is>
      </x:c>
      <x:c r="L4" s="81" t="inlineStr">
        <x:is>
          <x:t xml:space="preserve">Inner Chapter 2 — 齊物論</x:t>
        </x:is>
      </x:c>
      <x:c r="M4" s="81" t="inlineStr">
        <x:is>
          <x:t xml:space="preserve">https://zh.wikisource.org/wiki/%E8%8E%8A%E5%AD%90/%E9%BD%8A%E7%89%A9%E8%AB%96</x:t>
        </x:is>
      </x:c>
      <x:c r="N4" s="81" t="inlineStr">
        <x:is>
          <x:t xml:space="preserve">https://ctext.org/zhuangzi/ens</x:t>
        </x:is>
      </x:c>
      <x:c r="O4" s="81" t="inlineStr">
        <x:is>
          <x:t xml:space="preserve">A - Primary source</x:t>
        </x:is>
      </x:c>
      <x:c r="P4" s="81" t="inlineStr">
        <x:is>
          <x:t xml:space="preserve">Primary Chinese vignette located at end of Inner Chapter 2.</x:t>
        </x:is>
      </x:c>
      <x:c r="Q4" s="81" t="inlineStr">
        <x:is>
          <x:t xml:space="preserve">Public domain / likely</x:t>
        </x:is>
      </x:c>
      <x:c r="R4" s="81" t="inlineStr">
        <x:is>
          <x:t xml:space="preserve">Ancient story; Selflo adaptation should avoid asserting one definitive metaphysical interpretation.</x:t>
        </x:is>
      </x:c>
      <x:c r="S4" s="81" t="inlineStr">
        <x:is>
          <x:t xml:space="preserve">Classic philosophical vignette, not historical evidence.</x:t>
        </x:is>
      </x:c>
      <x:c r="T4" s="81" t="inlineStr">
        <x:is>
          <x:t xml:space="preserve">principle.zhuangzi.day4.identity_not_fixed</x:t>
        </x:is>
      </x:c>
      <x:c r="U4" s="81" t="str"/>
      <x:c r="V4" s="81" t="inlineStr">
        <x:is>
          <x:t xml:space="preserve">High</x:t>
        </x:is>
      </x:c>
      <x:c r="W4" s="81" t="inlineStr">
        <x:is>
          <x:t xml:space="preserve">Mở identity/uncertainty rất tốt, không cần kết luận thay user.</x:t>
        </x:is>
      </x:c>
      <x:c r="X4" s="81" t="inlineStr">
        <x:is>
          <x:t xml:space="preserve">Yes</x:t>
        </x:is>
      </x:c>
      <x:c r="Y4" s="81" t="inlineStr">
        <x:is>
          <x:t xml:space="preserve">No</x:t>
        </x:is>
      </x:c>
      <x:c r="Z4" s="81" t="inlineStr">
        <x:is>
          <x:t xml:space="preserve">Source verified; adaptation rights to verify</x:t>
        </x:is>
      </x:c>
      <x:c r="AA4" s="81" t="n"/>
      <x:c r="AB4" s="81" t="n"/>
      <x:c r="AC4" s="81" t="n"/>
      <x:c r="AD4" s="81" t="n"/>
      <x:c r="AE4" s="81" t="n"/>
      <x:c r="AF4" s="81" t="n"/>
    </x:row>
    <x:row r="5">
      <x:c r="A5" s="81" t="inlineStr">
        <x:is>
          <x:t xml:space="preserve">story.zhuangzi.day4.cook_ding</x:t>
        </x:is>
      </x:c>
      <x:c r="B5" s="81" t="inlineStr">
        <x:is>
          <x:t xml:space="preserve">Collected</x:t>
        </x:is>
      </x:c>
      <x:c r="C5" s="81" t="inlineStr">
        <x:is>
          <x:t xml:space="preserve">Bào Đinh mổ bò</x:t>
        </x:is>
      </x:c>
      <x:c r="D5" s="81" t="inlineStr">
        <x:is>
          <x:t xml:space="preserve">庖丁解牛</x:t>
        </x:is>
      </x:c>
      <x:c r="E5" s="81" t="inlineStr">
        <x:is>
          <x:t xml:space="preserve">Parable</x:t>
        </x:is>
      </x:c>
      <x:c r="F5" s="81" t="inlineStr">
        <x:is>
          <x:t xml:space="preserve">China / Daoist</x:t>
        </x:is>
      </x:c>
      <x:c r="G5" s="81" t="inlineStr">
        <x:is>
          <x:t xml:space="preserve">Learning / Mastery</x:t>
        </x:is>
      </x:c>
      <x:c r="H5" s="81" t="inlineStr">
        <x:is>
          <x:t xml:space="preserve">Work / Capacity</x:t>
        </x:is>
      </x:c>
      <x:c r="I5" s="81" t="inlineStr">
        <x:is>
          <x:t xml:space="preserve">Khi người học thấy vấn đề là một khối lớn và nghĩ mình thiếu năng lực</x:t>
        </x:is>
      </x:c>
      <x:c r="J5" s="81" t="inlineStr">
        <x:is>
          <x:t xml:space="preserve">Cook Ding mô tả quá trình từ chỉ thấy 'cả con bò' đến nhận ra cấu trúc và khoảng giữa các khớp. Ông đi theo cấu trúc thay vì chặt bằng lực; nhưng ở chỗ khó vẫn chậm lại và cẩn trọng, rồi làm xong thì cất dao.</x:t>
        </x:is>
      </x:c>
      <x:c r="K5" s="81" t="inlineStr">
        <x:is>
          <x:t xml:space="preserve">莊子 / Zhuangzi</x:t>
        </x:is>
      </x:c>
      <x:c r="L5" s="81" t="inlineStr">
        <x:is>
          <x:t xml:space="preserve">Inner Chapter 3 — 養生主</x:t>
        </x:is>
      </x:c>
      <x:c r="M5" s="81" t="inlineStr">
        <x:is>
          <x:t xml:space="preserve">https://zh.wikisource.org/wiki/%E8%8E%8A%E5%AD%90/%E9%A4%8A%E7%94%9F%E4%B8%BB</x:t>
        </x:is>
      </x:c>
      <x:c r="N5" s="81" t="inlineStr">
        <x:is>
          <x:t xml:space="preserve">https://ctext.org/zhuangzi/ens</x:t>
        </x:is>
      </x:c>
      <x:c r="O5" s="81" t="inlineStr">
        <x:is>
          <x:t xml:space="preserve">A - Primary source</x:t>
        </x:is>
      </x:c>
      <x:c r="P5" s="81" t="inlineStr">
        <x:is>
          <x:t xml:space="preserve">Primary Chinese story located in Inner Chapter 3.</x:t>
        </x:is>
      </x:c>
      <x:c r="Q5" s="81" t="inlineStr">
        <x:is>
          <x:t xml:space="preserve">Public domain / likely</x:t>
        </x:is>
      </x:c>
      <x:c r="R5" s="81" t="inlineStr">
        <x:is>
          <x:t xml:space="preserve">Ancient story; modern adaptation can retell with clear attribution.</x:t>
        </x:is>
      </x:c>
      <x:c r="S5" s="81" t="inlineStr">
        <x:is>
          <x:t xml:space="preserve">Parable about skill, structure and preserving life/energy.</x:t>
        </x:is>
      </x:c>
      <x:c r="T5" s="81" t="inlineStr">
        <x:is>
          <x:t xml:space="preserve">principle.zhuangzi.day4.mastery_follows_structure</x:t>
        </x:is>
      </x:c>
      <x:c r="U5" s="81" t="str"/>
      <x:c r="V5" s="81" t="inlineStr">
        <x:is>
          <x:t xml:space="preserve">High</x:t>
        </x:is>
      </x:c>
      <x:c r="W5" s="81" t="inlineStr">
        <x:is>
          <x:t xml:space="preserve">Rất mạnh cho learning, work pressure, recovery.</x:t>
        </x:is>
      </x:c>
      <x:c r="X5" s="81" t="inlineStr">
        <x:is>
          <x:t xml:space="preserve">Yes</x:t>
        </x:is>
      </x:c>
      <x:c r="Y5" s="81" t="inlineStr">
        <x:is>
          <x:t xml:space="preserve">No</x:t>
        </x:is>
      </x:c>
      <x:c r="Z5" s="81" t="inlineStr">
        <x:is>
          <x:t xml:space="preserve">Source verified; adaptation rights to verify</x:t>
        </x:is>
      </x:c>
      <x:c r="AA5" s="81" t="n"/>
      <x:c r="AB5" s="81" t="n"/>
      <x:c r="AC5" s="81" t="n"/>
      <x:c r="AD5" s="81" t="n"/>
      <x:c r="AE5" s="81" t="n"/>
      <x:c r="AF5" s="81" t="n"/>
    </x:row>
    <x:row r="6">
      <x:c r="A6" s="81" t="inlineStr">
        <x:is>
          <x:t xml:space="preserve">story.zhuangzi.day4.heart_fasting</x:t>
        </x:is>
      </x:c>
      <x:c r="B6" s="81" t="inlineStr">
        <x:is>
          <x:t xml:space="preserve">Collected</x:t>
        </x:is>
      </x:c>
      <x:c r="C6" s="81" t="inlineStr">
        <x:is>
          <x:t xml:space="preserve">Nhan Hồi và 'tâm trai'</x:t>
        </x:is>
      </x:c>
      <x:c r="D6" s="81" t="inlineStr">
        <x:is>
          <x:t xml:space="preserve">心齋</x:t>
        </x:is>
      </x:c>
      <x:c r="E6" s="81" t="inlineStr">
        <x:is>
          <x:t xml:space="preserve">Dialogue / parable</x:t>
        </x:is>
      </x:c>
      <x:c r="F6" s="81" t="inlineStr">
        <x:is>
          <x:t xml:space="preserve">China / Daoist</x:t>
        </x:is>
      </x:c>
      <x:c r="G6" s="81" t="inlineStr">
        <x:is>
          <x:t xml:space="preserve">Attention / Listening</x:t>
        </x:is>
      </x:c>
      <x:c r="H6" s="81" t="inlineStr">
        <x:is>
          <x:t xml:space="preserve">Judgment</x:t>
        </x:is>
      </x:c>
      <x:c r="I6" s="81" t="inlineStr">
        <x:is>
          <x:t xml:space="preserve">Khi mình mang quá nhiều câu trả lời vào một cuộc gặp</x:t>
        </x:is>
      </x:c>
      <x:c r="J6" s="81" t="inlineStr">
        <x:is>
          <x:t xml:space="preserve">Yan Hui muốn đi cải hóa một vị vua. Confucius trong câu chuyện liên tục chỉ ra rủi ro của việc mang sẵn khuôn đạo lý và cuối cùng nói về 'tâm trai': tạo khoảng trống để tiếp nhận thay vì chỉ nghe bằng mô hình sẵn có.</x:t>
        </x:is>
      </x:c>
      <x:c r="K6" s="81" t="inlineStr">
        <x:is>
          <x:t xml:space="preserve">莊子 / Zhuangzi</x:t>
        </x:is>
      </x:c>
      <x:c r="L6" s="81" t="inlineStr">
        <x:is>
          <x:t xml:space="preserve">Inner Chapter 4 — 人間世</x:t>
        </x:is>
      </x:c>
      <x:c r="M6" s="81" t="inlineStr">
        <x:is>
          <x:t xml:space="preserve">https://zh.wikisource.org/wiki/%E8%8E%8A%E5%AD%90/%E4%BA%BA%E9%96%93%E4%B8%96</x:t>
        </x:is>
      </x:c>
      <x:c r="N6" s="81" t="inlineStr">
        <x:is>
          <x:t xml:space="preserve">https://ctext.org/zhuangzi/ens</x:t>
        </x:is>
      </x:c>
      <x:c r="O6" s="81" t="inlineStr">
        <x:is>
          <x:t xml:space="preserve">A - Primary source</x:t>
        </x:is>
      </x:c>
      <x:c r="P6" s="81" t="inlineStr">
        <x:is>
          <x:t xml:space="preserve">Primary Chinese dialogue located in Inner Chapter 4.</x:t>
        </x:is>
      </x:c>
      <x:c r="Q6" s="81" t="inlineStr">
        <x:is>
          <x:t xml:space="preserve">Public domain / likely</x:t>
        </x:is>
      </x:c>
      <x:c r="R6" s="81" t="inlineStr">
        <x:is>
          <x:t xml:space="preserve">Ancient dialogue; adaptation should preserve that Confucius/Yan Hui are literary characters within Zhuangzi.</x:t>
        </x:is>
      </x:c>
      <x:c r="S6" s="81" t="inlineStr">
        <x:is>
          <x:t xml:space="preserve">Philosophical dialogue, not reliable historical transcript.</x:t>
        </x:is>
      </x:c>
      <x:c r="T6" s="81" t="inlineStr">
        <x:is>
          <x:t xml:space="preserve">principle.zhuangzi.day4.space_before_answer</x:t>
        </x:is>
      </x:c>
      <x:c r="U6" s="81" t="str"/>
      <x:c r="V6" s="81" t="inlineStr">
        <x:is>
          <x:t xml:space="preserve">High</x:t>
        </x:is>
      </x:c>
      <x:c r="W6" s="81" t="inlineStr">
        <x:is>
          <x:t xml:space="preserve">Rất gần Selflo: không diễn giải thay user.</x:t>
        </x:is>
      </x:c>
      <x:c r="X6" s="81" t="inlineStr">
        <x:is>
          <x:t xml:space="preserve">Yes</x:t>
        </x:is>
      </x:c>
      <x:c r="Y6" s="81" t="inlineStr">
        <x:is>
          <x:t xml:space="preserve">No</x:t>
        </x:is>
      </x:c>
      <x:c r="Z6" s="81" t="inlineStr">
        <x:is>
          <x:t xml:space="preserve">Source verified; adaptation rights to verify</x:t>
        </x:is>
      </x:c>
      <x:c r="AA6" s="81" t="n"/>
      <x:c r="AB6" s="81" t="n"/>
      <x:c r="AC6" s="81" t="n"/>
      <x:c r="AD6" s="81" t="n"/>
      <x:c r="AE6" s="81" t="n"/>
      <x:c r="AF6" s="81" t="n"/>
    </x:row>
    <x:row r="7">
      <x:c r="A7" s="81" t="inlineStr">
        <x:is>
          <x:t xml:space="preserve">story.zhuangzi.day4.shentu_jia</x:t>
        </x:is>
      </x:c>
      <x:c r="B7" s="81" t="inlineStr">
        <x:is>
          <x:t xml:space="preserve">Collected</x:t>
        </x:is>
      </x:c>
      <x:c r="C7" s="81" t="inlineStr">
        <x:is>
          <x:t xml:space="preserve">Thân Đồ Gia và cái chân đã mất</x:t>
        </x:is>
      </x:c>
      <x:c r="D7" s="81" t="inlineStr">
        <x:is>
          <x:t xml:space="preserve">申徒嘉</x:t>
        </x:is>
      </x:c>
      <x:c r="E7" s="81" t="inlineStr">
        <x:is>
          <x:t xml:space="preserve">Dialogue / parable</x:t>
        </x:is>
      </x:c>
      <x:c r="F7" s="81" t="inlineStr">
        <x:is>
          <x:t xml:space="preserve">China / Daoist</x:t>
        </x:is>
      </x:c>
      <x:c r="G7" s="81" t="inlineStr">
        <x:is>
          <x:t xml:space="preserve">Identity / Dignity</x:t>
        </x:is>
      </x:c>
      <x:c r="H7" s="81" t="inlineStr">
        <x:is>
          <x:t xml:space="preserve">Self-worth</x:t>
        </x:is>
      </x:c>
      <x:c r="I7" s="81" t="inlineStr">
        <x:is>
          <x:t xml:space="preserve">Khi một người bị người khác thu gọn vào một khiếm khuyết hoặc quá khứ</x:t>
        </x:is>
      </x:c>
      <x:c r="J7" s="81" t="inlineStr">
        <x:is>
          <x:t xml:space="preserve">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x:t>
        </x:is>
      </x:c>
      <x:c r="K7" s="81" t="inlineStr">
        <x:is>
          <x:t xml:space="preserve">莊子 / Zhuangzi</x:t>
        </x:is>
      </x:c>
      <x:c r="L7" s="81" t="inlineStr">
        <x:is>
          <x:t xml:space="preserve">Inner Chapter 5 — 德充符</x:t>
        </x:is>
      </x:c>
      <x:c r="M7" s="81" t="inlineStr">
        <x:is>
          <x:t xml:space="preserve">https://zh.wikisource.org/wiki/%E8%8E%8A%E5%AD%90/%E5%BE%B7%E5%85%85%E7%AC%A6</x:t>
        </x:is>
      </x:c>
      <x:c r="N7" s="81" t="inlineStr">
        <x:is>
          <x:t xml:space="preserve">https://ctext.org/zhuangzi/ens</x:t>
        </x:is>
      </x:c>
      <x:c r="O7" s="81" t="inlineStr">
        <x:is>
          <x:t xml:space="preserve">A - Primary source</x:t>
        </x:is>
      </x:c>
      <x:c r="P7" s="81" t="inlineStr">
        <x:is>
          <x:t xml:space="preserve">Primary Chinese dialogue located in Inner Chapter 5.</x:t>
        </x:is>
      </x:c>
      <x:c r="Q7" s="81" t="inlineStr">
        <x:is>
          <x:t xml:space="preserve">Public domain / likely</x:t>
        </x:is>
      </x:c>
      <x:c r="R7" s="81" t="inlineStr">
        <x:is>
          <x:t xml:space="preserve">Ancient story; disability framing requires sensitive human editorial review.</x:t>
        </x:is>
      </x:c>
      <x:c r="S7" s="81" t="inlineStr">
        <x:is>
          <x:t xml:space="preserve">Ancient disability imagery; do not romanticize disability or imply suffering is spiritually superior.</x:t>
        </x:is>
      </x:c>
      <x:c r="T7" s="81" t="inlineStr">
        <x:is>
          <x:t xml:space="preserve">principle.zhuangzi.day4.person_not_deficit</x:t>
        </x:is>
      </x:c>
      <x:c r="U7" s="81" t="str"/>
      <x:c r="V7" s="81" t="inlineStr">
        <x:is>
          <x:t xml:space="preserve">High</x:t>
        </x:is>
      </x:c>
      <x:c r="W7" s="81" t="inlineStr">
        <x:is>
          <x:t xml:space="preserve">Có giá trị lớn nhưng phải biên tập thận trọng.</x:t>
        </x:is>
      </x:c>
      <x:c r="X7" s="81" t="inlineStr">
        <x:is>
          <x:t xml:space="preserve">Yes</x:t>
        </x:is>
      </x:c>
      <x:c r="Y7" s="81" t="inlineStr">
        <x:is>
          <x:t xml:space="preserve">No</x:t>
        </x:is>
      </x:c>
      <x:c r="Z7" s="81" t="inlineStr">
        <x:is>
          <x:t xml:space="preserve">Source verified; adaptation rights to verify</x:t>
        </x:is>
      </x:c>
      <x:c r="AA7" s="81" t="n"/>
      <x:c r="AB7" s="81" t="n"/>
      <x:c r="AC7" s="81" t="n"/>
      <x:c r="AD7" s="81" t="n"/>
      <x:c r="AE7" s="81" t="n"/>
      <x:c r="AF7" s="81" t="n"/>
    </x:row>
    <x:row r="8">
      <x:c r="A8" s="81" t="inlineStr">
        <x:is>
          <x:t xml:space="preserve">story.zhuangzi.day4.fish_on_dry_land</x:t>
        </x:is>
      </x:c>
      <x:c r="B8" s="81" t="inlineStr">
        <x:is>
          <x:t xml:space="preserve">Collected</x:t>
        </x:is>
      </x:c>
      <x:c r="C8" s="81" t="inlineStr">
        <x:is>
          <x:t xml:space="preserve">Hai con cá trên cạn</x:t>
        </x:is>
      </x:c>
      <x:c r="D8" s="81" t="inlineStr">
        <x:is>
          <x:t xml:space="preserve">相濡以沫</x:t>
        </x:is>
      </x:c>
      <x:c r="E8" s="81" t="inlineStr">
        <x:is>
          <x:t xml:space="preserve">Metaphorical vignette</x:t>
        </x:is>
      </x:c>
      <x:c r="F8" s="81" t="inlineStr">
        <x:is>
          <x:t xml:space="preserve">China / Daoist</x:t>
        </x:is>
      </x:c>
      <x:c r="G8" s="81" t="inlineStr">
        <x:is>
          <x:t xml:space="preserve">Context / Recovery</x:t>
        </x:is>
      </x:c>
      <x:c r="H8" s="81" t="inlineStr">
        <x:is>
          <x:t xml:space="preserve">Support</x:t>
        </x:is>
      </x:c>
      <x:c r="I8" s="81" t="inlineStr">
        <x:is>
          <x:t xml:space="preserve">Khi hai người đang cố cứu nhau trong một môi trường vốn không còn phù hợp</x:t>
        </x:is>
      </x:c>
      <x:c r="J8" s="81" t="inlineStr">
        <x:is>
          <x:t xml:space="preserve">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x:t>
        </x:is>
      </x:c>
      <x:c r="K8" s="81" t="inlineStr">
        <x:is>
          <x:t xml:space="preserve">莊子 / Zhuangzi</x:t>
        </x:is>
      </x:c>
      <x:c r="L8" s="81" t="inlineStr">
        <x:is>
          <x:t xml:space="preserve">Inner Chapter 6 — 大宗師</x:t>
        </x:is>
      </x:c>
      <x:c r="M8" s="81" t="inlineStr">
        <x:is>
          <x:t xml:space="preserve">https://zh.wikisource.org/wiki/%E8%8E%8A%E5%AD%90/%E5%A4%A7%E5%AE%97%E5%B8%AB</x:t>
        </x:is>
      </x:c>
      <x:c r="N8" s="81" t="inlineStr">
        <x:is>
          <x:t xml:space="preserve">https://ctext.org/zhuangzi/ens</x:t>
        </x:is>
      </x:c>
      <x:c r="O8" s="81" t="inlineStr">
        <x:is>
          <x:t xml:space="preserve">A - Primary source</x:t>
        </x:is>
      </x:c>
      <x:c r="P8" s="81" t="inlineStr">
        <x:is>
          <x:t xml:space="preserve">Primary Chinese vignette located in Inner Chapter 6.</x:t>
        </x:is>
      </x:c>
      <x:c r="Q8" s="81" t="inlineStr">
        <x:is>
          <x:t xml:space="preserve">Public domain / likely</x:t>
        </x:is>
      </x:c>
      <x:c r="R8" s="81" t="inlineStr">
        <x:is>
          <x:t xml:space="preserve">Ancient vignette; adaptation should not use it to advise leaving relationships without context.</x:t>
        </x:is>
      </x:c>
      <x:c r="S8" s="81" t="inlineStr">
        <x:is>
          <x:t xml:space="preserve">Metaphor about conditions and transformation.</x:t>
        </x:is>
      </x:c>
      <x:c r="T8" s="81" t="inlineStr">
        <x:is>
          <x:t xml:space="preserve">principle.zhuangzi.day4.environment_before_rescue</x:t>
        </x:is>
      </x:c>
      <x:c r="U8" s="81" t="str"/>
      <x:c r="V8" s="81" t="inlineStr">
        <x:is>
          <x:t xml:space="preserve">High</x:t>
        </x:is>
      </x:c>
      <x:c r="W8" s="81" t="inlineStr">
        <x:is>
          <x:t xml:space="preserve">Mạnh cho system/context ≠ personal failure.</x:t>
        </x:is>
      </x:c>
      <x:c r="X8" s="81" t="inlineStr">
        <x:is>
          <x:t xml:space="preserve">Yes</x:t>
        </x:is>
      </x:c>
      <x:c r="Y8" s="81" t="inlineStr">
        <x:is>
          <x:t xml:space="preserve">No</x:t>
        </x:is>
      </x:c>
      <x:c r="Z8" s="81" t="inlineStr">
        <x:is>
          <x:t xml:space="preserve">Source verified; adaptation rights to verify</x:t>
        </x:is>
      </x:c>
      <x:c r="AA8" s="81" t="n"/>
      <x:c r="AB8" s="81" t="n"/>
      <x:c r="AC8" s="81" t="n"/>
      <x:c r="AD8" s="81" t="n"/>
      <x:c r="AE8" s="81" t="n"/>
      <x:c r="AF8" s="81" t="n"/>
    </x:row>
    <x:row r="9">
      <x:c r="A9" s="81" t="inlineStr">
        <x:is>
          <x:t xml:space="preserve">story.zhuangzi.day4.zisang_poverty</x:t>
        </x:is>
      </x:c>
      <x:c r="B9" s="81" t="inlineStr">
        <x:is>
          <x:t xml:space="preserve">Collected</x:t>
        </x:is>
      </x:c>
      <x:c r="C9" s="81" t="inlineStr">
        <x:is>
          <x:t xml:space="preserve">Tử Tang trong mười ngày mưa</x:t>
        </x:is>
      </x:c>
      <x:c r="D9" s="81" t="inlineStr">
        <x:is>
          <x:t xml:space="preserve">子桑困窮</x:t>
        </x:is>
      </x:c>
      <x:c r="E9" s="81" t="inlineStr">
        <x:is>
          <x:t xml:space="preserve">Dialogue / vignette</x:t>
        </x:is>
      </x:c>
      <x:c r="F9" s="81" t="inlineStr">
        <x:is>
          <x:t xml:space="preserve">China / Daoist</x:t>
        </x:is>
      </x:c>
      <x:c r="G9" s="81" t="inlineStr">
        <x:is>
          <x:t xml:space="preserve">Adversity / Uncertainty</x:t>
        </x:is>
      </x:c>
      <x:c r="H9" s="81" t="inlineStr">
        <x:is>
          <x:t xml:space="preserve">Self-blame</x:t>
        </x:is>
      </x:c>
      <x:c r="I9" s="81" t="inlineStr">
        <x:is>
          <x:t xml:space="preserve">Khi mình cố tìm một người hoặc một lỗi duy nhất để giải thích cảnh ngộ</x:t>
        </x:is>
      </x:c>
      <x:c r="J9" s="81" t="inlineStr">
        <x:is>
          <x:t xml:space="preserve">Sau mười ngày mưa, Zisang rơi vào cảnh khốn khó. Ông tự hỏi cha mẹ, trời hay người nào khiến mình đến mức này, rồi thừa nhận mình không tìm được một thủ phạm đơn giản.</x:t>
        </x:is>
      </x:c>
      <x:c r="K9" s="81" t="inlineStr">
        <x:is>
          <x:t xml:space="preserve">莊子 / Zhuangzi</x:t>
        </x:is>
      </x:c>
      <x:c r="L9" s="81" t="inlineStr">
        <x:is>
          <x:t xml:space="preserve">Inner Chapter 6 — 大宗師</x:t>
        </x:is>
      </x:c>
      <x:c r="M9" s="81" t="inlineStr">
        <x:is>
          <x:t xml:space="preserve">https://zh.wikisource.org/wiki/%E8%8E%8A%E5%AD%90/%E5%A4%A7%E5%AE%97%E5%B8%AB</x:t>
        </x:is>
      </x:c>
      <x:c r="N9" s="81" t="inlineStr">
        <x:is>
          <x:t xml:space="preserve">https://ctext.org/zhuangzi/ens</x:t>
        </x:is>
      </x:c>
      <x:c r="O9" s="81" t="inlineStr">
        <x:is>
          <x:t xml:space="preserve">A - Primary source</x:t>
        </x:is>
      </x:c>
      <x:c r="P9" s="81" t="inlineStr">
        <x:is>
          <x:t xml:space="preserve">Primary Chinese vignette located at end of Inner Chapter 6.</x:t>
        </x:is>
      </x:c>
      <x:c r="Q9" s="81" t="inlineStr">
        <x:is>
          <x:t xml:space="preserve">Public domain / likely</x:t>
        </x:is>
      </x:c>
      <x:c r="R9" s="81" t="inlineStr">
        <x:is>
          <x:t xml:space="preserve">Ancient story; do not turn '命' into fatalistic advice in Selflo adaptation.</x:t>
        </x:is>
      </x:c>
      <x:c r="S9" s="81" t="inlineStr">
        <x:is>
          <x:t xml:space="preserve">Philosophical treatment of circumstance/fate; not empirical explanation.</x:t>
        </x:is>
      </x:c>
      <x:c r="T9" s="81" t="inlineStr">
        <x:is>
          <x:t xml:space="preserve">principle.zhuangzi.day4.no_single_cause</x:t>
        </x:is>
      </x:c>
      <x:c r="U9" s="81" t="str"/>
      <x:c r="V9" s="81" t="inlineStr">
        <x:is>
          <x:t xml:space="preserve">High</x:t>
        </x:is>
      </x:c>
      <x:c r="W9" s="81" t="inlineStr">
        <x:is>
          <x:t xml:space="preserve">Hợp Selflo nếu giữ mở, tránh định mệnh luận.</x:t>
        </x:is>
      </x:c>
      <x:c r="X9" s="81" t="inlineStr">
        <x:is>
          <x:t xml:space="preserve">Yes</x:t>
        </x:is>
      </x:c>
      <x:c r="Y9" s="81" t="inlineStr">
        <x:is>
          <x:t xml:space="preserve">No</x:t>
        </x:is>
      </x:c>
      <x:c r="Z9" s="81" t="inlineStr">
        <x:is>
          <x:t xml:space="preserve">Source verified; adaptation rights to verify</x:t>
        </x:is>
      </x:c>
      <x:c r="AA9" s="81" t="n"/>
      <x:c r="AB9" s="81" t="n"/>
      <x:c r="AC9" s="81" t="n"/>
      <x:c r="AD9" s="81" t="n"/>
      <x:c r="AE9" s="81" t="n"/>
      <x:c r="AF9" s="81" t="n"/>
    </x:row>
    <x:row r="10">
      <x:c r="A10" s="81" t="inlineStr">
        <x:is>
          <x:t xml:space="preserve">story.zhuangzi.day4.huzi_shaman</x:t>
        </x:is>
      </x:c>
      <x:c r="B10" s="81" t="inlineStr">
        <x:is>
          <x:t xml:space="preserve">Collected</x:t>
        </x:is>
      </x:c>
      <x:c r="C10" s="81" t="inlineStr">
        <x:is>
          <x:t xml:space="preserve">Hồ Tử và người xem tướng</x:t>
        </x:is>
      </x:c>
      <x:c r="D10" s="81" t="inlineStr">
        <x:is>
          <x:t xml:space="preserve">壺子與季咸</x:t>
        </x:is>
      </x:c>
      <x:c r="E10" s="81" t="inlineStr">
        <x:is>
          <x:t xml:space="preserve">Parable</x:t>
        </x:is>
      </x:c>
      <x:c r="F10" s="81" t="inlineStr">
        <x:is>
          <x:t xml:space="preserve">China / Daoist</x:t>
        </x:is>
      </x:c>
      <x:c r="G10" s="81" t="inlineStr">
        <x:is>
          <x:t xml:space="preserve">Judgment / Identity</x:t>
        </x:is>
      </x:c>
      <x:c r="H10" s="81" t="inlineStr">
        <x:is>
          <x:t xml:space="preserve">Prediction</x:t>
        </x:is>
      </x:c>
      <x:c r="I10" s="81" t="inlineStr">
        <x:is>
          <x:t xml:space="preserve">Khi một dự đoán hoặc mô hình khiến ta tưởng nó đã nhìn thấy toàn bộ con người</x:t>
        </x:is>
      </x:c>
      <x:c r="J10" s="81" t="inlineStr">
        <x:is>
          <x:t xml:space="preserve">A famous diviner repeatedly reads Huzi differently as Huzi presents different states. On the final visit, the diviner cannot stabilize what he sees and flees. Liezi then recognizes how little he has learned and returns to ordinary life for years.</x:t>
        </x:is>
      </x:c>
      <x:c r="K10" s="81" t="inlineStr">
        <x:is>
          <x:t xml:space="preserve">莊子 / Zhuangzi</x:t>
        </x:is>
      </x:c>
      <x:c r="L10" s="81" t="inlineStr">
        <x:is>
          <x:t xml:space="preserve">Inner Chapter 7 — 應帝王</x:t>
        </x:is>
      </x:c>
      <x:c r="M10" s="81" t="inlineStr">
        <x:is>
          <x:t xml:space="preserve">https://zh.wikisource.org/wiki/%E8%8E%8A%E5%AD%90/%E6%87%89%E5%B8%9D%E7%8E%8B</x:t>
        </x:is>
      </x:c>
      <x:c r="N10" s="81" t="inlineStr">
        <x:is>
          <x:t xml:space="preserve">https://ctext.org/zhuangzi/ens</x:t>
        </x:is>
      </x:c>
      <x:c r="O10" s="81" t="inlineStr">
        <x:is>
          <x:t xml:space="preserve">A - Primary source</x:t>
        </x:is>
      </x:c>
      <x:c r="P10" s="81" t="inlineStr">
        <x:is>
          <x:t xml:space="preserve">Primary Chinese story located in Inner Chapter 7.</x:t>
        </x:is>
      </x:c>
      <x:c r="Q10" s="81" t="inlineStr">
        <x:is>
          <x:t xml:space="preserve">Public domain / likely</x:t>
        </x:is>
      </x:c>
      <x:c r="R10" s="81" t="inlineStr">
        <x:is>
          <x:t xml:space="preserve">Ancient parable; do not present divination as factual or validated prediction.</x:t>
        </x:is>
      </x:c>
      <x:c r="S10" s="81" t="inlineStr">
        <x:is>
          <x:t xml:space="preserve">Useful for AI prediction/model humility if clearly framed as parable.</x:t>
        </x:is>
      </x:c>
      <x:c r="T10" s="81" t="inlineStr">
        <x:is>
          <x:t xml:space="preserve">principle.zhuangzi.day4.model_not_person</x:t>
        </x:is>
      </x:c>
      <x:c r="U10" s="81" t="str"/>
      <x:c r="V10" s="81" t="inlineStr">
        <x:is>
          <x:t xml:space="preserve">High</x:t>
        </x:is>
      </x:c>
      <x:c r="W10" s="81" t="inlineStr">
        <x:is>
          <x:t xml:space="preserve">Rất hợp thời AI: model/prediction ≠ whole person.</x:t>
        </x:is>
      </x:c>
      <x:c r="X10" s="81" t="inlineStr">
        <x:is>
          <x:t xml:space="preserve">Yes</x:t>
        </x:is>
      </x:c>
      <x:c r="Y10" s="81" t="inlineStr">
        <x:is>
          <x:t xml:space="preserve">No</x:t>
        </x:is>
      </x:c>
      <x:c r="Z10" s="81" t="inlineStr">
        <x:is>
          <x:t xml:space="preserve">Source verified; adaptation rights to verify</x:t>
        </x:is>
      </x:c>
      <x:c r="AA10" s="81" t="n"/>
      <x:c r="AB10" s="81" t="n"/>
      <x:c r="AC10" s="81" t="n"/>
      <x:c r="AD10" s="81" t="n"/>
      <x:c r="AE10" s="81" t="n"/>
      <x:c r="AF10" s="81" t="n"/>
    </x:row>
    <x:row r="11">
      <x:c r="A11" s="81" t="inlineStr">
        <x:is>
          <x:t xml:space="preserve">story.zhuangzi.day4.hundun</x:t>
        </x:is>
      </x:c>
      <x:c r="B11" s="81" t="inlineStr">
        <x:is>
          <x:t xml:space="preserve">Collected</x:t>
        </x:is>
      </x:c>
      <x:c r="C11" s="81" t="inlineStr">
        <x:is>
          <x:t xml:space="preserve">Hỗn Độn và bảy cái lỗ</x:t>
        </x:is>
      </x:c>
      <x:c r="D11" s="81" t="inlineStr">
        <x:is>
          <x:t xml:space="preserve">渾沌之死</x:t>
        </x:is>
      </x:c>
      <x:c r="E11" s="81" t="inlineStr">
        <x:is>
          <x:t xml:space="preserve">Parable</x:t>
        </x:is>
      </x:c>
      <x:c r="F11" s="81" t="inlineStr">
        <x:is>
          <x:t xml:space="preserve">China / Daoist</x:t>
        </x:is>
      </x:c>
      <x:c r="G11" s="81" t="inlineStr">
        <x:is>
          <x:t xml:space="preserve">Control / Difference</x:t>
        </x:is>
      </x:c>
      <x:c r="H11" s="81" t="inlineStr">
        <x:is>
          <x:t xml:space="preserve">Intervention</x:t>
        </x:is>
      </x:c>
      <x:c r="I11" s="81" t="inlineStr">
        <x:is>
          <x:t xml:space="preserve">Khi ta muốn sửa một người chỉ vì họ không giống chuẩn của mình</x:t>
        </x:is>
      </x:c>
      <x:c r="J11" s="81" t="inlineStr">
        <x:is>
          <x:t xml:space="preserve">Shu và Hu muốn trả ơn Hundun, người đã đối xử tốt với họ. Vì con người có bảy lỗ để nhìn, nghe, ăn và thở còn Hundun không có, họ mỗi ngày khoan cho ông một lỗ. Ngày thứ bảy Hundun chết.</x:t>
        </x:is>
      </x:c>
      <x:c r="K11" s="81" t="inlineStr">
        <x:is>
          <x:t xml:space="preserve">莊子 / Zhuangzi</x:t>
        </x:is>
      </x:c>
      <x:c r="L11" s="81" t="inlineStr">
        <x:is>
          <x:t xml:space="preserve">Inner Chapter 7 — 應帝王</x:t>
        </x:is>
      </x:c>
      <x:c r="M11" s="81" t="inlineStr">
        <x:is>
          <x:t xml:space="preserve">https://zh.wikisource.org/wiki/%E8%8E%8A%E5%AD%90/%E6%87%89%E5%B8%9D%E7%8E%8B</x:t>
        </x:is>
      </x:c>
      <x:c r="N11" s="81" t="inlineStr">
        <x:is>
          <x:t xml:space="preserve">https://ctext.org/zhuangzi/ens</x:t>
        </x:is>
      </x:c>
      <x:c r="O11" s="81" t="inlineStr">
        <x:is>
          <x:t xml:space="preserve">A - Primary source</x:t>
        </x:is>
      </x:c>
      <x:c r="P11" s="81" t="inlineStr">
        <x:is>
          <x:t xml:space="preserve">Primary Chinese parable located at end of Inner Chapter 7.</x:t>
        </x:is>
      </x:c>
      <x:c r="Q11" s="81" t="inlineStr">
        <x:is>
          <x:t xml:space="preserve">Public domain / likely</x:t>
        </x:is>
      </x:c>
      <x:c r="R11" s="81" t="inlineStr">
        <x:is>
          <x:t xml:space="preserve">Ancient parable; preserve ambiguity and avoid simplistic anti-change conclusion.</x:t>
        </x:is>
      </x:c>
      <x:c r="S11" s="81" t="inlineStr">
        <x:is>
          <x:t xml:space="preserve">Classic warning about well-intended normalization/intervention.</x:t>
        </x:is>
      </x:c>
      <x:c r="T11" s="81" t="inlineStr">
        <x:is>
          <x:t xml:space="preserve">principle.zhuangzi.day4.help_can_harm</x:t>
        </x:is>
      </x:c>
      <x:c r="U11" s="81" t="str"/>
      <x:c r="V11" s="81" t="inlineStr">
        <x:is>
          <x:t xml:space="preserve">High</x:t>
        </x:is>
      </x:c>
      <x:c r="W11" s="81" t="inlineStr">
        <x:is>
          <x:t xml:space="preserve">Một story rất mạnh cho triết lý 'không diễn giải/sửa thay user'.</x:t>
        </x:is>
      </x:c>
      <x:c r="X11" s="81" t="inlineStr">
        <x:is>
          <x:t xml:space="preserve">Yes</x:t>
        </x:is>
      </x:c>
      <x:c r="Y11" s="81" t="inlineStr">
        <x:is>
          <x:t xml:space="preserve">No</x:t>
        </x:is>
      </x:c>
      <x:c r="Z11" s="81" t="inlineStr">
        <x:is>
          <x:t xml:space="preserve">Source verified; adaptation rights to verify</x:t>
        </x:is>
      </x:c>
      <x:c r="AA11" s="81" t="n"/>
      <x:c r="AB11" s="81" t="n"/>
      <x:c r="AC11" s="81" t="n"/>
      <x:c r="AD11" s="81" t="n"/>
      <x:c r="AE11" s="81" t="n"/>
      <x:c r="AF11" s="81" t="n"/>
    </x:row>
    <x:row r="12">
      <x:c r="A12" s="81" t="inlineStr">
        <x:is>
          <x:t xml:space="preserve">story.liezi.day5.archer_knows_why</x:t>
        </x:is>
      </x:c>
      <x:c r="B12" s="81" t="inlineStr">
        <x:is>
          <x:t xml:space="preserve">Collected</x:t>
        </x:is>
      </x:c>
      <x:c r="C12" s="81" t="inlineStr">
        <x:is>
          <x:t xml:space="preserve">Bắn trúng nhưng chưa biết vì sao</x:t>
        </x:is>
      </x:c>
      <x:c r="D12" s="81" t="inlineStr">
        <x:is>
          <x:t xml:space="preserve">列子學射</x:t>
        </x:is>
      </x:c>
      <x:c r="E12" s="81" t="inlineStr">
        <x:is>
          <x:t xml:space="preserve">Dialogue / parable</x:t>
        </x:is>
      </x:c>
      <x:c r="F12" s="81" t="inlineStr">
        <x:is>
          <x:t xml:space="preserve">China / Daoist</x:t>
        </x:is>
      </x:c>
      <x:c r="G12" s="81" t="inlineStr">
        <x:is>
          <x:t xml:space="preserve">Learning / Judgment</x:t>
        </x:is>
      </x:c>
      <x:c r="H12" s="81" t="inlineStr">
        <x:is>
          <x:t xml:space="preserve">Success ≠ understanding</x:t>
        </x:is>
      </x:c>
      <x:c r="I12" s="81" t="inlineStr">
        <x:is>
          <x:t xml:space="preserve">Khi một lần thành công khiến mình tưởng đã hiểu</x:t>
        </x:is>
      </x:c>
      <x:c r="J12" s="81" t="inlineStr">
        <x:is>
          <x:t xml:space="preserve">Liezi bắn trúng mục tiêu và hỏi Guan Yin. Người thầy hỏi liệu ông có biết vì sao mình trúng không. Khi Liezi nói không, câu trả lời là: vậy vẫn chưa thật sự biết. Ông luyện thêm rồi quay lại.</x:t>
        </x:is>
      </x:c>
      <x:c r="K12" s="81" t="inlineStr">
        <x:is>
          <x:t xml:space="preserve">列子 / Liezi</x:t>
        </x:is>
      </x:c>
      <x:c r="L12" s="81" t="inlineStr">
        <x:is>
          <x:t xml:space="preserve">Chapter 2 — 黃帝</x:t>
        </x:is>
      </x:c>
      <x:c r="M12" s="81" t="inlineStr">
        <x:is>
          <x:t xml:space="preserve">https://ctext.org/liezi/zh</x:t>
        </x:is>
      </x:c>
      <x:c r="N12" s="81" t="inlineStr">
        <x:is>
          <x:t xml:space="preserve">https://ctext.org/wiki.pl?chapter=434786&amp;if=gb</x:t>
        </x:is>
      </x:c>
      <x:c r="O12" s="81" t="inlineStr">
        <x:is>
          <x:t xml:space="preserve">A - Primary source / received text</x:t>
        </x:is>
      </x:c>
      <x:c r="P12" s="81" t="inlineStr">
        <x:is>
          <x:t xml:space="preserve">Story located in the received Liezi text; chapter structure cross-checked with Chinese Text Project. Authorship/date of received text is debated.</x:t>
        </x:is>
      </x:c>
      <x:c r="Q12" s="81" t="inlineStr">
        <x:is>
          <x:t xml:space="preserve">Public domain ancient text / verify edition terms</x:t>
        </x:is>
      </x:c>
      <x:c r="R12" s="81" t="inlineStr">
        <x:is>
          <x:t xml:space="preserve">Write a fresh Selflo adaptation; do not copy modern translations. Preserve attribution uncertainty where material.</x:t>
        </x:is>
      </x:c>
      <x:c r="S12" s="81" t="inlineStr">
        <x:is>
          <x:t xml:space="preserve">Traditional philosophical/parabolic narrative; not treated as verified historical reporting.</x:t>
        </x:is>
      </x:c>
      <x:c r="T12" s="81" t="inlineStr">
        <x:is>
          <x:t xml:space="preserve">principle.liezi.day5.*</x:t>
        </x:is>
      </x:c>
      <x:c r="U12" s="81" t="str"/>
      <x:c r="V12" s="81" t="inlineStr">
        <x:is>
          <x:t xml:space="preserve">High</x:t>
        </x:is>
      </x:c>
      <x:c r="W12" s="81" t="inlineStr">
        <x:is>
          <x:t xml:space="preserve">Rất hợp AI/model evaluation và beginnerhood.</x:t>
        </x:is>
      </x:c>
      <x:c r="X12" s="81" t="inlineStr">
        <x:is>
          <x:t xml:space="preserve">Yes</x:t>
        </x:is>
      </x:c>
      <x:c r="Y12" s="81" t="inlineStr">
        <x:is>
          <x:t xml:space="preserve">No</x:t>
        </x:is>
      </x:c>
      <x:c r="Z12" s="81" t="inlineStr">
        <x:is>
          <x:t xml:space="preserve">Source verified; adaptation rights to verify</x:t>
        </x:is>
      </x:c>
      <x:c r="AA12" s="81" t="n"/>
      <x:c r="AB12" s="81" t="n"/>
      <x:c r="AC12" s="81" t="n"/>
      <x:c r="AD12" s="81" t="n"/>
      <x:c r="AE12" s="81" t="n"/>
      <x:c r="AF12" s="81" t="n"/>
    </x:row>
    <x:row r="13">
      <x:c r="A13" s="81" t="inlineStr">
        <x:is>
          <x:t xml:space="preserve">story.liezi.day5.man_worries_sky_falls</x:t>
        </x:is>
      </x:c>
      <x:c r="B13" s="81" t="inlineStr">
        <x:is>
          <x:t xml:space="preserve">Collected</x:t>
        </x:is>
      </x:c>
      <x:c r="C13" s="81" t="inlineStr">
        <x:is>
          <x:t xml:space="preserve">Người nước Kỷ lo trời sập</x:t>
        </x:is>
      </x:c>
      <x:c r="D13" s="81" t="inlineStr">
        <x:is>
          <x:t xml:space="preserve">杞人憂天</x:t>
        </x:is>
      </x:c>
      <x:c r="E13" s="81" t="inlineStr">
        <x:is>
          <x:t xml:space="preserve">Parable</x:t>
        </x:is>
      </x:c>
      <x:c r="F13" s="81" t="inlineStr">
        <x:is>
          <x:t xml:space="preserve">China / Daoist</x:t>
        </x:is>
      </x:c>
      <x:c r="G13" s="81" t="inlineStr">
        <x:is>
          <x:t xml:space="preserve">Worry / Perspective</x:t>
        </x:is>
      </x:c>
      <x:c r="H13" s="81" t="inlineStr">
        <x:is>
          <x:t xml:space="preserve">Anxiety / assumptions</x:t>
        </x:is>
      </x:c>
      <x:c r="I13" s="81" t="inlineStr">
        <x:is>
          <x:t xml:space="preserve">Khi nỗi lo về điều chưa xảy ra chiếm hết ăn ngủ</x:t>
        </x:is>
      </x:c>
      <x:c r="J13" s="81" t="inlineStr">
        <x:is>
          <x:t xml:space="preserve">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x:t>
        </x:is>
      </x:c>
      <x:c r="K13" s="81" t="inlineStr">
        <x:is>
          <x:t xml:space="preserve">列子 / Liezi</x:t>
        </x:is>
      </x:c>
      <x:c r="L13" s="81" t="inlineStr">
        <x:is>
          <x:t xml:space="preserve">Chapter 5 — 湯問</x:t>
        </x:is>
      </x:c>
      <x:c r="M13" s="81" t="inlineStr">
        <x:is>
          <x:t xml:space="preserve">https://ctext.org/liezi/zh</x:t>
        </x:is>
      </x:c>
      <x:c r="N13" s="81" t="inlineStr">
        <x:is>
          <x:t xml:space="preserve">https://ctext.org/wiki.pl?chapter=434786&amp;if=gb</x:t>
        </x:is>
      </x:c>
      <x:c r="O13" s="81" t="inlineStr">
        <x:is>
          <x:t xml:space="preserve">A - Primary source / received text</x:t>
        </x:is>
      </x:c>
      <x:c r="P13" s="81" t="inlineStr">
        <x:is>
          <x:t xml:space="preserve">Story located in the received Liezi text; chapter structure cross-checked with Chinese Text Project. Authorship/date of received text is debated.</x:t>
        </x:is>
      </x:c>
      <x:c r="Q13" s="81" t="inlineStr">
        <x:is>
          <x:t xml:space="preserve">Public domain ancient text / verify edition terms</x:t>
        </x:is>
      </x:c>
      <x:c r="R13" s="81" t="inlineStr">
        <x:is>
          <x:t xml:space="preserve">Write a fresh Selflo adaptation; do not copy modern translations. Preserve attribution uncertainty where material.</x:t>
        </x:is>
      </x:c>
      <x:c r="S13" s="81" t="inlineStr">
        <x:is>
          <x:t xml:space="preserve">Traditional philosophical/parabolic narrative; not treated as verified historical reporting.</x:t>
        </x:is>
      </x:c>
      <x:c r="T13" s="81" t="inlineStr">
        <x:is>
          <x:t xml:space="preserve">principle.liezi.day5.*</x:t>
        </x:is>
      </x:c>
      <x:c r="U13" s="81" t="str"/>
      <x:c r="V13" s="81" t="inlineStr">
        <x:is>
          <x:t xml:space="preserve">High</x:t>
        </x:is>
      </x:c>
      <x:c r="W13" s="81" t="inlineStr">
        <x:is>
          <x:t xml:space="preserve">Giữ sắc thái: không chế giễu anxiety; ancient cosmology không phải science.</x:t>
        </x:is>
      </x:c>
      <x:c r="X13" s="81" t="inlineStr">
        <x:is>
          <x:t xml:space="preserve">Yes</x:t>
        </x:is>
      </x:c>
      <x:c r="Y13" s="81" t="inlineStr">
        <x:is>
          <x:t xml:space="preserve">No</x:t>
        </x:is>
      </x:c>
      <x:c r="Z13" s="81" t="inlineStr">
        <x:is>
          <x:t xml:space="preserve">Source verified; adaptation rights to verify</x:t>
        </x:is>
      </x:c>
      <x:c r="AA13" s="81" t="n"/>
      <x:c r="AB13" s="81" t="n"/>
      <x:c r="AC13" s="81" t="n"/>
      <x:c r="AD13" s="81" t="n"/>
      <x:c r="AE13" s="81" t="n"/>
      <x:c r="AF13" s="81" t="n"/>
    </x:row>
    <x:row r="14">
      <x:c r="A14" s="81" t="inlineStr">
        <x:is>
          <x:t xml:space="preserve">story.liezi.day5.yugong_moves_mountains</x:t>
        </x:is>
      </x:c>
      <x:c r="B14" s="81" t="inlineStr">
        <x:is>
          <x:t xml:space="preserve">Collected</x:t>
        </x:is>
      </x:c>
      <x:c r="C14" s="81" t="inlineStr">
        <x:is>
          <x:t xml:space="preserve">Ngu Công dời núi</x:t>
        </x:is>
      </x:c>
      <x:c r="D14" s="81" t="inlineStr">
        <x:is>
          <x:t xml:space="preserve">愚公移山</x:t>
        </x:is>
      </x:c>
      <x:c r="E14" s="81" t="inlineStr">
        <x:is>
          <x:t xml:space="preserve">Parable</x:t>
        </x:is>
      </x:c>
      <x:c r="F14" s="81" t="inlineStr">
        <x:is>
          <x:t xml:space="preserve">China / Daoist</x:t>
        </x:is>
      </x:c>
      <x:c r="G14" s="81" t="inlineStr">
        <x:is>
          <x:t xml:space="preserve">Long horizon / Agency</x:t>
        </x:is>
      </x:c>
      <x:c r="H14" s="81" t="inlineStr">
        <x:is>
          <x:t xml:space="preserve">Persistence / collective effort</x:t>
        </x:is>
      </x:c>
      <x:c r="I14" s="81" t="inlineStr">
        <x:is>
          <x:t xml:space="preserve">Khi một việc lớn đến mức một đời người không đủ</x:t>
        </x:is>
      </x:c>
      <x:c r="J14" s="81" t="inlineStr">
        <x:is>
          <x:t xml:space="preserve">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x:t>
        </x:is>
      </x:c>
      <x:c r="K14" s="81" t="inlineStr">
        <x:is>
          <x:t xml:space="preserve">列子 / Liezi</x:t>
        </x:is>
      </x:c>
      <x:c r="L14" s="81" t="inlineStr">
        <x:is>
          <x:t xml:space="preserve">Chapter 5 — 湯問</x:t>
        </x:is>
      </x:c>
      <x:c r="M14" s="81" t="inlineStr">
        <x:is>
          <x:t xml:space="preserve">https://ctext.org/liezi/zh</x:t>
        </x:is>
      </x:c>
      <x:c r="N14" s="81" t="inlineStr">
        <x:is>
          <x:t xml:space="preserve">https://ctext.org/wiki.pl?chapter=434786&amp;if=gb</x:t>
        </x:is>
      </x:c>
      <x:c r="O14" s="81" t="inlineStr">
        <x:is>
          <x:t xml:space="preserve">A - Primary source / received text</x:t>
        </x:is>
      </x:c>
      <x:c r="P14" s="81" t="inlineStr">
        <x:is>
          <x:t xml:space="preserve">Story located in the received Liezi text; chapter structure cross-checked with Chinese Text Project. Authorship/date of received text is debated.</x:t>
        </x:is>
      </x:c>
      <x:c r="Q14" s="81" t="inlineStr">
        <x:is>
          <x:t xml:space="preserve">Public domain ancient text / verify edition terms</x:t>
        </x:is>
      </x:c>
      <x:c r="R14" s="81" t="inlineStr">
        <x:is>
          <x:t xml:space="preserve">Write a fresh Selflo adaptation; do not copy modern translations. Preserve attribution uncertainty where material.</x:t>
        </x:is>
      </x:c>
      <x:c r="S14" s="81" t="inlineStr">
        <x:is>
          <x:t xml:space="preserve">Traditional philosophical/parabolic narrative; not treated as verified historical reporting.</x:t>
        </x:is>
      </x:c>
      <x:c r="T14" s="81" t="inlineStr">
        <x:is>
          <x:t xml:space="preserve">principle.liezi.day5.*</x:t>
        </x:is>
      </x:c>
      <x:c r="U14" s="81" t="str"/>
      <x:c r="V14" s="81" t="inlineStr">
        <x:is>
          <x:t xml:space="preserve">High</x:t>
        </x:is>
      </x:c>
      <x:c r="W14" s="81" t="inlineStr">
        <x:is>
          <x:t xml:space="preserve">Dùng cho long-horizon/collective contribution, không biến thành hustle quote.</x:t>
        </x:is>
      </x:c>
      <x:c r="X14" s="81" t="inlineStr">
        <x:is>
          <x:t xml:space="preserve">Yes</x:t>
        </x:is>
      </x:c>
      <x:c r="Y14" s="81" t="inlineStr">
        <x:is>
          <x:t xml:space="preserve">No</x:t>
        </x:is>
      </x:c>
      <x:c r="Z14" s="81" t="inlineStr">
        <x:is>
          <x:t xml:space="preserve">Source verified; adaptation rights to verify</x:t>
        </x:is>
      </x:c>
      <x:c r="AA14" s="81" t="n"/>
      <x:c r="AB14" s="81" t="n"/>
      <x:c r="AC14" s="81" t="n"/>
      <x:c r="AD14" s="81" t="n"/>
      <x:c r="AE14" s="81" t="n"/>
      <x:c r="AF14" s="81" t="n"/>
    </x:row>
    <x:row r="15">
      <x:c r="A15" s="81" t="inlineStr">
        <x:is>
          <x:t xml:space="preserve">story.liezi.day5.two_children_sun</x:t>
        </x:is>
      </x:c>
      <x:c r="B15" s="81" t="inlineStr">
        <x:is>
          <x:t xml:space="preserve">Collected</x:t>
        </x:is>
      </x:c>
      <x:c r="C15" s="81" t="inlineStr">
        <x:is>
          <x:t xml:space="preserve">Hai đứa trẻ tranh luận về mặt trời</x:t>
        </x:is>
      </x:c>
      <x:c r="D15" s="81" t="inlineStr">
        <x:is>
          <x:t xml:space="preserve">兩小兒辯日</x:t>
        </x:is>
      </x:c>
      <x:c r="E15" s="81" t="inlineStr">
        <x:is>
          <x:t xml:space="preserve">Dialogue / parable</x:t>
        </x:is>
      </x:c>
      <x:c r="F15" s="81" t="inlineStr">
        <x:is>
          <x:t xml:space="preserve">China / Daoist</x:t>
        </x:is>
      </x:c>
      <x:c r="G15" s="81" t="inlineStr">
        <x:is>
          <x:t xml:space="preserve">Judgment / Perspective</x:t>
        </x:is>
      </x:c>
      <x:c r="H15" s="81" t="inlineStr">
        <x:is>
          <x:t xml:space="preserve">Conflicting observations</x:t>
        </x:is>
      </x:c>
      <x:c r="I15" s="81" t="inlineStr">
        <x:is>
          <x:t xml:space="preserve">Khi hai quan sát đều có vẻ hợp lý nhưng dẫn đến kết luận trái nhau</x:t>
        </x:is>
      </x:c>
      <x:c r="J15" s="81" t="inlineStr">
        <x:is>
          <x:t xml:space="preserve">Hai đứa trẻ tranh luận lúc nào mặt trời gần hơn, mỗi em đưa một quan sát cảm giác khác nhau. Confucius trong truyện không phân xử được, và các em cười câu chuyện rằng người lớn/uy tín không biết mọi thứ.</x:t>
        </x:is>
      </x:c>
      <x:c r="K15" s="81" t="inlineStr">
        <x:is>
          <x:t xml:space="preserve">列子 / Liezi</x:t>
        </x:is>
      </x:c>
      <x:c r="L15" s="81" t="inlineStr">
        <x:is>
          <x:t xml:space="preserve">Chapter 5 — 湯問</x:t>
        </x:is>
      </x:c>
      <x:c r="M15" s="81" t="inlineStr">
        <x:is>
          <x:t xml:space="preserve">https://ctext.org/liezi/zh</x:t>
        </x:is>
      </x:c>
      <x:c r="N15" s="81" t="inlineStr">
        <x:is>
          <x:t xml:space="preserve">https://ctext.org/wiki.pl?chapter=434786&amp;if=gb</x:t>
        </x:is>
      </x:c>
      <x:c r="O15" s="81" t="inlineStr">
        <x:is>
          <x:t xml:space="preserve">A - Primary source / received text</x:t>
        </x:is>
      </x:c>
      <x:c r="P15" s="81" t="inlineStr">
        <x:is>
          <x:t xml:space="preserve">Story located in the received Liezi text; chapter structure cross-checked with Chinese Text Project. Authorship/date of received text is debated.</x:t>
        </x:is>
      </x:c>
      <x:c r="Q15" s="81" t="inlineStr">
        <x:is>
          <x:t xml:space="preserve">Public domain ancient text / verify edition terms</x:t>
        </x:is>
      </x:c>
      <x:c r="R15" s="81" t="inlineStr">
        <x:is>
          <x:t xml:space="preserve">Write a fresh Selflo adaptation; do not copy modern translations. Preserve attribution uncertainty where material.</x:t>
        </x:is>
      </x:c>
      <x:c r="S15" s="81" t="inlineStr">
        <x:is>
          <x:t xml:space="preserve">Traditional philosophical/parabolic narrative; not treated as verified historical reporting.</x:t>
        </x:is>
      </x:c>
      <x:c r="T15" s="81" t="inlineStr">
        <x:is>
          <x:t xml:space="preserve">principle.liezi.day5.*</x:t>
        </x:is>
      </x:c>
      <x:c r="U15" s="81" t="str"/>
      <x:c r="V15" s="81" t="inlineStr">
        <x:is>
          <x:t xml:space="preserve">High</x:t>
        </x:is>
      </x:c>
      <x:c r="W15" s="81" t="inlineStr">
        <x:is>
          <x:t xml:space="preserve">Rất hợp epistemic humility.</x:t>
        </x:is>
      </x:c>
      <x:c r="X15" s="81" t="inlineStr">
        <x:is>
          <x:t xml:space="preserve">Yes</x:t>
        </x:is>
      </x:c>
      <x:c r="Y15" s="81" t="inlineStr">
        <x:is>
          <x:t xml:space="preserve">No</x:t>
        </x:is>
      </x:c>
      <x:c r="Z15" s="81" t="inlineStr">
        <x:is>
          <x:t xml:space="preserve">Source verified; adaptation rights to verify</x:t>
        </x:is>
      </x:c>
      <x:c r="AA15" s="81" t="n"/>
      <x:c r="AB15" s="81" t="n"/>
      <x:c r="AC15" s="81" t="n"/>
      <x:c r="AD15" s="81" t="n"/>
      <x:c r="AE15" s="81" t="n"/>
      <x:c r="AF15" s="81" t="n"/>
    </x:row>
    <x:row r="16">
      <x:c r="A16" s="81" t="inlineStr">
        <x:is>
          <x:t xml:space="preserve">story.liezi.day5.boya_ziqi</x:t>
        </x:is>
      </x:c>
      <x:c r="B16" s="81" t="inlineStr">
        <x:is>
          <x:t xml:space="preserve">Collected</x:t>
        </x:is>
      </x:c>
      <x:c r="C16" s="81" t="inlineStr">
        <x:is>
          <x:t xml:space="preserve">Bá Nha và Chung Tử Kỳ</x:t>
        </x:is>
      </x:c>
      <x:c r="D16" s="81" t="inlineStr">
        <x:is>
          <x:t xml:space="preserve">伯牙鼓琴</x:t>
        </x:is>
      </x:c>
      <x:c r="E16" s="81" t="inlineStr">
        <x:is>
          <x:t xml:space="preserve">Anecdote / parable</x:t>
        </x:is>
      </x:c>
      <x:c r="F16" s="81" t="inlineStr">
        <x:is>
          <x:t xml:space="preserve">China / Daoist</x:t>
        </x:is>
      </x:c>
      <x:c r="G16" s="81" t="inlineStr">
        <x:is>
          <x:t xml:space="preserve">Listening / Belonging</x:t>
        </x:is>
      </x:c>
      <x:c r="H16" s="81" t="inlineStr">
        <x:is>
          <x:t xml:space="preserve">Being understood</x:t>
        </x:is>
      </x:c>
      <x:c r="I16" s="81" t="inlineStr">
        <x:is>
          <x:t xml:space="preserve">Khi điều mình cần không phải thêm lời khuyên mà là được nghe đúng</x:t>
        </x:is>
      </x:c>
      <x:c r="J16" s="81" t="inlineStr">
        <x:is>
          <x:t xml:space="preserve">Boya chơi đàn; Zhong Ziqi nghe ra hình ảnh/ý hướng mà Boya đang gửi qua âm nhạc. Câu chuyện nhấn vào năng lực lắng nghe đến mức chạm được điều người kia đang biểu đạt.</x:t>
        </x:is>
      </x:c>
      <x:c r="K16" s="81" t="inlineStr">
        <x:is>
          <x:t xml:space="preserve">列子 / Liezi</x:t>
        </x:is>
      </x:c>
      <x:c r="L16" s="81" t="inlineStr">
        <x:is>
          <x:t xml:space="preserve">Chapter 5 — 湯問</x:t>
        </x:is>
      </x:c>
      <x:c r="M16" s="81" t="inlineStr">
        <x:is>
          <x:t xml:space="preserve">https://ctext.org/liezi/zh</x:t>
        </x:is>
      </x:c>
      <x:c r="N16" s="81" t="inlineStr">
        <x:is>
          <x:t xml:space="preserve">https://ctext.org/wiki.pl?chapter=434786&amp;if=gb</x:t>
        </x:is>
      </x:c>
      <x:c r="O16" s="81" t="inlineStr">
        <x:is>
          <x:t xml:space="preserve">A - Primary source / received text</x:t>
        </x:is>
      </x:c>
      <x:c r="P16" s="81" t="inlineStr">
        <x:is>
          <x:t xml:space="preserve">Story located in the received Liezi text; chapter structure cross-checked with Chinese Text Project. Authorship/date of received text is debated.</x:t>
        </x:is>
      </x:c>
      <x:c r="Q16" s="81" t="inlineStr">
        <x:is>
          <x:t xml:space="preserve">Public domain ancient text / verify edition terms</x:t>
        </x:is>
      </x:c>
      <x:c r="R16" s="81" t="inlineStr">
        <x:is>
          <x:t xml:space="preserve">Write a fresh Selflo adaptation; do not copy modern translations. Preserve attribution uncertainty where material.</x:t>
        </x:is>
      </x:c>
      <x:c r="S16" s="81" t="inlineStr">
        <x:is>
          <x:t xml:space="preserve">Traditional philosophical/parabolic narrative; not treated as verified historical reporting.</x:t>
        </x:is>
      </x:c>
      <x:c r="T16" s="81" t="inlineStr">
        <x:is>
          <x:t xml:space="preserve">principle.liezi.day5.*</x:t>
        </x:is>
      </x:c>
      <x:c r="U16" s="81" t="str"/>
      <x:c r="V16" s="81" t="inlineStr">
        <x:is>
          <x:t xml:space="preserve">High</x:t>
        </x:is>
      </x:c>
      <x:c r="W16" s="81" t="inlineStr">
        <x:is>
          <x:t xml:space="preserve">Nguồn trong Liezi; cần provenance review vì motif có truyền thống rộng.</x:t>
        </x:is>
      </x:c>
      <x:c r="X16" s="81" t="inlineStr">
        <x:is>
          <x:t xml:space="preserve">Yes</x:t>
        </x:is>
      </x:c>
      <x:c r="Y16" s="81" t="inlineStr">
        <x:is>
          <x:t xml:space="preserve">No</x:t>
        </x:is>
      </x:c>
      <x:c r="Z16" s="81" t="inlineStr">
        <x:is>
          <x:t xml:space="preserve">Source verified; adaptation rights to verify</x:t>
        </x:is>
      </x:c>
      <x:c r="AA16" s="81" t="n"/>
      <x:c r="AB16" s="81" t="n"/>
      <x:c r="AC16" s="81" t="n"/>
      <x:c r="AD16" s="81" t="n"/>
      <x:c r="AE16" s="81" t="n"/>
      <x:c r="AF16" s="81" t="n"/>
    </x:row>
    <x:row r="17">
      <x:c r="A17" s="81" t="inlineStr">
        <x:is>
          <x:t xml:space="preserve">story.liezi.day5.lost_sheep_crossroads</x:t>
        </x:is>
      </x:c>
      <x:c r="B17" s="81" t="inlineStr">
        <x:is>
          <x:t xml:space="preserve">Collected</x:t>
        </x:is>
      </x:c>
      <x:c r="C17" s="81" t="inlineStr">
        <x:is>
          <x:t xml:space="preserve">Mất dê giữa quá nhiều ngã rẽ</x:t>
        </x:is>
      </x:c>
      <x:c r="D17" s="81" t="inlineStr">
        <x:is>
          <x:t xml:space="preserve">歧路亡羊</x:t>
        </x:is>
      </x:c>
      <x:c r="E17" s="81" t="inlineStr">
        <x:is>
          <x:t xml:space="preserve">Parable</x:t>
        </x:is>
      </x:c>
      <x:c r="F17" s="81" t="inlineStr">
        <x:is>
          <x:t xml:space="preserve">China / Daoist</x:t>
        </x:is>
      </x:c>
      <x:c r="G17" s="81" t="inlineStr">
        <x:is>
          <x:t xml:space="preserve">Choice / Information overload</x:t>
        </x:is>
      </x:c>
      <x:c r="H17" s="81" t="inlineStr">
        <x:is>
          <x:t xml:space="preserve">Too many paths</x:t>
        </x:is>
      </x:c>
      <x:c r="I17" s="81" t="inlineStr">
        <x:is>
          <x:t xml:space="preserve">Khi càng nhiều lựa chọn/phương pháp càng khó biết đi đâu</x:t>
        </x:is>
      </x:c>
      <x:c r="J17" s="81" t="inlineStr">
        <x:is>
          <x:t xml:space="preserve">Hàng xóm Yangzi mất dê, nhiều người cùng đi tìm nhưng quay về tay không vì đường lớn chia nhiều nhánh, mỗi nhánh lại chia tiếp. Yangzi sau đó dùng hình ảnh này để suy ngẫm về việc học bị tản ra quá nhiều phương.</x:t>
        </x:is>
      </x:c>
      <x:c r="K17" s="81" t="inlineStr">
        <x:is>
          <x:t xml:space="preserve">列子 / Liezi</x:t>
        </x:is>
      </x:c>
      <x:c r="L17" s="81" t="inlineStr">
        <x:is>
          <x:t xml:space="preserve">Chapter 8 — 說符</x:t>
        </x:is>
      </x:c>
      <x:c r="M17" s="81" t="inlineStr">
        <x:is>
          <x:t xml:space="preserve">https://ctext.org/liezi/zh</x:t>
        </x:is>
      </x:c>
      <x:c r="N17" s="81" t="inlineStr">
        <x:is>
          <x:t xml:space="preserve">https://ctext.org/wiki.pl?chapter=434786&amp;if=gb</x:t>
        </x:is>
      </x:c>
      <x:c r="O17" s="81" t="inlineStr">
        <x:is>
          <x:t xml:space="preserve">A - Primary source / received text</x:t>
        </x:is>
      </x:c>
      <x:c r="P17" s="81" t="inlineStr">
        <x:is>
          <x:t xml:space="preserve">Story located in the received Liezi text; chapter structure cross-checked with Chinese Text Project. Authorship/date of received text is debated.</x:t>
        </x:is>
      </x:c>
      <x:c r="Q17" s="81" t="inlineStr">
        <x:is>
          <x:t xml:space="preserve">Public domain ancient text / verify edition terms</x:t>
        </x:is>
      </x:c>
      <x:c r="R17" s="81" t="inlineStr">
        <x:is>
          <x:t xml:space="preserve">Write a fresh Selflo adaptation; do not copy modern translations. Preserve attribution uncertainty where material.</x:t>
        </x:is>
      </x:c>
      <x:c r="S17" s="81" t="inlineStr">
        <x:is>
          <x:t xml:space="preserve">Traditional philosophical/parabolic narrative; not treated as verified historical reporting.</x:t>
        </x:is>
      </x:c>
      <x:c r="T17" s="81" t="inlineStr">
        <x:is>
          <x:t xml:space="preserve">principle.liezi.day5.*</x:t>
        </x:is>
      </x:c>
      <x:c r="U17" s="81" t="str"/>
      <x:c r="V17" s="81" t="inlineStr">
        <x:is>
          <x:t xml:space="preserve">High</x:t>
        </x:is>
      </x:c>
      <x:c r="W17" s="81" t="inlineStr">
        <x:is>
          <x:t xml:space="preserve">Một story rất mạnh cho thời AI/information abundance.</x:t>
        </x:is>
      </x:c>
      <x:c r="X17" s="81" t="inlineStr">
        <x:is>
          <x:t xml:space="preserve">Yes</x:t>
        </x:is>
      </x:c>
      <x:c r="Y17" s="81" t="inlineStr">
        <x:is>
          <x:t xml:space="preserve">No</x:t>
        </x:is>
      </x:c>
      <x:c r="Z17" s="81" t="inlineStr">
        <x:is>
          <x:t xml:space="preserve">Source verified; adaptation rights to verify</x:t>
        </x:is>
      </x:c>
      <x:c r="AA17" s="81" t="n"/>
      <x:c r="AB17" s="81" t="n"/>
      <x:c r="AC17" s="81" t="n"/>
      <x:c r="AD17" s="81" t="n"/>
      <x:c r="AE17" s="81" t="n"/>
      <x:c r="AF17" s="81" t="n"/>
    </x:row>
    <x:row r="18">
      <x:c r="A18" s="81" t="inlineStr">
        <x:is>
          <x:t xml:space="preserve">story.liezi.day5.same_advice_different_reception</x:t>
        </x:is>
      </x:c>
      <x:c r="B18" s="81" t="inlineStr">
        <x:is>
          <x:t xml:space="preserve">Collected</x:t>
        </x:is>
      </x:c>
      <x:c r="C18" s="81" t="inlineStr">
        <x:is>
          <x:t xml:space="preserve">Cùng một lời, hai cách được nghe</x:t>
        </x:is>
      </x:c>
      <x:c r="D18" s="81" t="inlineStr">
        <x:is>
          <x:t xml:space="preserve">智子疑鄰 motif</x:t>
        </x:is>
      </x:c>
      <x:c r="E18" s="81" t="inlineStr">
        <x:is>
          <x:t xml:space="preserve">Anecdote / parable</x:t>
        </x:is>
      </x:c>
      <x:c r="F18" s="81" t="inlineStr">
        <x:is>
          <x:t xml:space="preserve">China / Daoist</x:t>
        </x:is>
      </x:c>
      <x:c r="G18" s="81" t="inlineStr">
        <x:is>
          <x:t xml:space="preserve">Communication / Bias</x:t>
        </x:is>
      </x:c>
      <x:c r="H18" s="81" t="inlineStr">
        <x:is>
          <x:t xml:space="preserve">Relationship context</x:t>
        </x:is>
      </x:c>
      <x:c r="I18" s="81" t="inlineStr">
        <x:is>
          <x:t xml:space="preserve">Khi cùng một lời đúng nhưng người nói khác nhau làm ta nghe khác đi</x:t>
        </x:is>
      </x:c>
      <x:c r="J18" s="81" t="inlineStr">
        <x:is>
          <x:t xml:space="preserve">Trong một câu chuyện về bức tường hỏng và nguy cơ mất trộm, hai người đưa lời cảnh báo tương tự. Sau khi mất của, người thân được xem là sáng suốt còn người hàng xóm lại bị nghi ngờ.</x:t>
        </x:is>
      </x:c>
      <x:c r="K18" s="81" t="inlineStr">
        <x:is>
          <x:t xml:space="preserve">列子 / Liezi</x:t>
        </x:is>
      </x:c>
      <x:c r="L18" s="81" t="inlineStr">
        <x:is>
          <x:t xml:space="preserve">Chapter 8 — 說符</x:t>
        </x:is>
      </x:c>
      <x:c r="M18" s="81" t="inlineStr">
        <x:is>
          <x:t xml:space="preserve">https://ctext.org/liezi/zh</x:t>
        </x:is>
      </x:c>
      <x:c r="N18" s="81" t="inlineStr">
        <x:is>
          <x:t xml:space="preserve">https://ctext.org/wiki.pl?chapter=434786&amp;if=gb</x:t>
        </x:is>
      </x:c>
      <x:c r="O18" s="81" t="inlineStr">
        <x:is>
          <x:t xml:space="preserve">A - Primary source / received text</x:t>
        </x:is>
      </x:c>
      <x:c r="P18" s="81" t="inlineStr">
        <x:is>
          <x:t xml:space="preserve">Story located in the received Liezi text; chapter structure cross-checked with Chinese Text Project. Authorship/date of received text is debated.</x:t>
        </x:is>
      </x:c>
      <x:c r="Q18" s="81" t="inlineStr">
        <x:is>
          <x:t xml:space="preserve">Public domain ancient text / verify edition terms</x:t>
        </x:is>
      </x:c>
      <x:c r="R18" s="81" t="inlineStr">
        <x:is>
          <x:t xml:space="preserve">Write a fresh Selflo adaptation; do not copy modern translations. Preserve attribution uncertainty where material.</x:t>
        </x:is>
      </x:c>
      <x:c r="S18" s="81" t="inlineStr">
        <x:is>
          <x:t xml:space="preserve">Traditional philosophical/parabolic narrative; not treated as verified historical reporting.</x:t>
        </x:is>
      </x:c>
      <x:c r="T18" s="81" t="inlineStr">
        <x:is>
          <x:t xml:space="preserve">principle.liezi.day5.*</x:t>
        </x:is>
      </x:c>
      <x:c r="U18" s="81" t="str"/>
      <x:c r="V18" s="81" t="inlineStr">
        <x:is>
          <x:t xml:space="preserve">High</x:t>
        </x:is>
      </x:c>
      <x:c r="W18" s="81" t="inlineStr">
        <x:is>
          <x:t xml:space="preserve">Rất hợp framing/bias; motif cũng nổi tiếng trong Han Feizi, cần provenance cross-check.</x:t>
        </x:is>
      </x:c>
      <x:c r="X18" s="81" t="inlineStr">
        <x:is>
          <x:t xml:space="preserve">Yes</x:t>
        </x:is>
      </x:c>
      <x:c r="Y18" s="81" t="inlineStr">
        <x:is>
          <x:t xml:space="preserve">No</x:t>
        </x:is>
      </x:c>
      <x:c r="Z18" s="81" t="inlineStr">
        <x:is>
          <x:t xml:space="preserve">Source verified; adaptation rights to verify</x:t>
        </x:is>
      </x:c>
      <x:c r="AA18" s="81" t="n"/>
      <x:c r="AB18" s="81" t="n"/>
      <x:c r="AC18" s="81" t="n"/>
      <x:c r="AD18" s="81" t="n"/>
      <x:c r="AE18" s="81" t="n"/>
      <x:c r="AF18" s="81" t="n"/>
    </x:row>
    <x:row r="19">
      <x:c r="A19" s="81" t="inlineStr">
        <x:is>
          <x:t xml:space="preserve">story.liezi.day5.force_and_fate</x:t>
        </x:is>
      </x:c>
      <x:c r="B19" s="81" t="inlineStr">
        <x:is>
          <x:t xml:space="preserve">Collected</x:t>
        </x:is>
      </x:c>
      <x:c r="C19" s="81" t="inlineStr">
        <x:is>
          <x:t xml:space="preserve">Sức lực tranh luận với Số mệnh</x:t>
        </x:is>
      </x:c>
      <x:c r="D19" s="81" t="inlineStr">
        <x:is>
          <x:t xml:space="preserve">力與命</x:t>
        </x:is>
      </x:c>
      <x:c r="E19" s="81" t="inlineStr">
        <x:is>
          <x:t xml:space="preserve">Personified dialogue</x:t>
        </x:is>
      </x:c>
      <x:c r="F19" s="81" t="inlineStr">
        <x:is>
          <x:t xml:space="preserve">China / Daoist</x:t>
        </x:is>
      </x:c>
      <x:c r="G19" s="81" t="inlineStr">
        <x:is>
          <x:t xml:space="preserve">Agency / Context</x:t>
        </x:is>
      </x:c>
      <x:c r="H19" s="81" t="inlineStr">
        <x:is>
          <x:t xml:space="preserve">Effort vs conditions</x:t>
        </x:is>
      </x:c>
      <x:c r="I19" s="81" t="inlineStr">
        <x:is>
          <x:t xml:space="preserve">Khi mình nhận toàn bộ công hoặc toàn bộ lỗi về kết quả</x:t>
        </x:is>
      </x:c>
      <x:c r="J19" s="81" t="inlineStr">
        <x:is>
          <x:t xml:space="preserve">'Sức lực' và 'Số mệnh' được nhân cách hóa để tranh luận xem ai tạo nên giàu-nghèo, thuận-nghịch, dài-ngắn. Đối thoại cố làm lung lay ý tưởng rằng ý chí cá nhân là biến duy nhất.</x:t>
        </x:is>
      </x:c>
      <x:c r="K19" s="81" t="inlineStr">
        <x:is>
          <x:t xml:space="preserve">列子 / Liezi</x:t>
        </x:is>
      </x:c>
      <x:c r="L19" s="81" t="inlineStr">
        <x:is>
          <x:t xml:space="preserve">Chapter 6 — 力命</x:t>
        </x:is>
      </x:c>
      <x:c r="M19" s="81" t="inlineStr">
        <x:is>
          <x:t xml:space="preserve">https://ctext.org/liezi/zh</x:t>
        </x:is>
      </x:c>
      <x:c r="N19" s="81" t="inlineStr">
        <x:is>
          <x:t xml:space="preserve">https://ctext.org/wiki.pl?chapter=434786&amp;if=gb</x:t>
        </x:is>
      </x:c>
      <x:c r="O19" s="81" t="inlineStr">
        <x:is>
          <x:t xml:space="preserve">A - Primary source / received text</x:t>
        </x:is>
      </x:c>
      <x:c r="P19" s="81" t="inlineStr">
        <x:is>
          <x:t xml:space="preserve">Story located in the received Liezi text; chapter structure cross-checked with Chinese Text Project. Authorship/date of received text is debated.</x:t>
        </x:is>
      </x:c>
      <x:c r="Q19" s="81" t="inlineStr">
        <x:is>
          <x:t xml:space="preserve">Public domain ancient text / verify edition terms</x:t>
        </x:is>
      </x:c>
      <x:c r="R19" s="81" t="inlineStr">
        <x:is>
          <x:t xml:space="preserve">Write a fresh Selflo adaptation; do not copy modern translations. Preserve attribution uncertainty where material.</x:t>
        </x:is>
      </x:c>
      <x:c r="S19" s="81" t="inlineStr">
        <x:is>
          <x:t xml:space="preserve">Traditional philosophical/parabolic narrative; not treated as verified historical reporting.</x:t>
        </x:is>
      </x:c>
      <x:c r="T19" s="81" t="inlineStr">
        <x:is>
          <x:t xml:space="preserve">principle.liezi.day5.*</x:t>
        </x:is>
      </x:c>
      <x:c r="U19" s="81" t="str"/>
      <x:c r="V19" s="81" t="inlineStr">
        <x:is>
          <x:t xml:space="preserve">High</x:t>
        </x:is>
      </x:c>
      <x:c r="W19" s="81" t="inlineStr">
        <x:is>
          <x:t xml:space="preserve">Hữu ích cho self-blame nhưng phải tránh fatalism.</x:t>
        </x:is>
      </x:c>
      <x:c r="X19" s="81" t="inlineStr">
        <x:is>
          <x:t xml:space="preserve">Yes</x:t>
        </x:is>
      </x:c>
      <x:c r="Y19" s="81" t="inlineStr">
        <x:is>
          <x:t xml:space="preserve">No</x:t>
        </x:is>
      </x:c>
      <x:c r="Z19" s="81" t="inlineStr">
        <x:is>
          <x:t xml:space="preserve">Source verified; adaptation rights to verify</x:t>
        </x:is>
      </x:c>
      <x:c r="AA19" s="81" t="n"/>
      <x:c r="AB19" s="81" t="n"/>
      <x:c r="AC19" s="81" t="n"/>
      <x:c r="AD19" s="81" t="n"/>
      <x:c r="AE19" s="81" t="n"/>
      <x:c r="AF19" s="81" t="n"/>
    </x:row>
    <x:row r="20">
      <x:c r="A20" s="81" t="inlineStr">
        <x:is>
          <x:t xml:space="preserve">story.liezi.day5.muwang_illusion</x:t>
        </x:is>
      </x:c>
      <x:c r="B20" s="81" t="inlineStr">
        <x:is>
          <x:t xml:space="preserve">Collected</x:t>
        </x:is>
      </x:c>
      <x:c r="C20" s="81" t="inlineStr">
        <x:is>
          <x:t xml:space="preserve">Chu Mục Vương và thế giới của người hóa nhân</x:t>
        </x:is>
      </x:c>
      <x:c r="D20" s="81" t="inlineStr">
        <x:is>
          <x:t xml:space="preserve">周穆王見化人</x:t>
        </x:is>
      </x:c>
      <x:c r="E20" s="81" t="inlineStr">
        <x:is>
          <x:t xml:space="preserve">Mythic tale</x:t>
        </x:is>
      </x:c>
      <x:c r="F20" s="81" t="inlineStr">
        <x:is>
          <x:t xml:space="preserve">China / Daoist</x:t>
        </x:is>
      </x:c>
      <x:c r="G20" s="81" t="inlineStr">
        <x:is>
          <x:t xml:space="preserve">Experience / Perspective</x:t>
        </x:is>
      </x:c>
      <x:c r="H20" s="81" t="inlineStr">
        <x:is>
          <x:t xml:space="preserve">Reality and experience</x:t>
        </x:is>
      </x:c>
      <x:c r="I20" s="81" t="inlineStr">
        <x:is>
          <x:t xml:space="preserve">Khi trải nghiệm chủ quan rất thật nhưng khó xác minh từ bên ngoài</x:t>
        </x:is>
      </x:c>
      <x:c r="J20" s="81" t="inlineStr">
        <x:is>
          <x:t xml:space="preserve">King Mu encounters a mysterious 'transformation man' and experiences an extraordinary realm. The narrative blurs travel, altered experience, memory and what counts as real to the experiencer.</x:t>
        </x:is>
      </x:c>
      <x:c r="K20" s="81" t="inlineStr">
        <x:is>
          <x:t xml:space="preserve">列子 / Liezi</x:t>
        </x:is>
      </x:c>
      <x:c r="L20" s="81" t="inlineStr">
        <x:is>
          <x:t xml:space="preserve">Chapter 3 — 周穆王</x:t>
        </x:is>
      </x:c>
      <x:c r="M20" s="81" t="inlineStr">
        <x:is>
          <x:t xml:space="preserve">https://ctext.org/liezi/zh</x:t>
        </x:is>
      </x:c>
      <x:c r="N20" s="81" t="inlineStr">
        <x:is>
          <x:t xml:space="preserve">https://ctext.org/wiki.pl?chapter=434786&amp;if=gb</x:t>
        </x:is>
      </x:c>
      <x:c r="O20" s="81" t="inlineStr">
        <x:is>
          <x:t xml:space="preserve">A - Primary source / received text</x:t>
        </x:is>
      </x:c>
      <x:c r="P20" s="81" t="inlineStr">
        <x:is>
          <x:t xml:space="preserve">Story located in the received Liezi text; chapter structure cross-checked with Chinese Text Project. Authorship/date of received text is debated.</x:t>
        </x:is>
      </x:c>
      <x:c r="Q20" s="81" t="inlineStr">
        <x:is>
          <x:t xml:space="preserve">Public domain ancient text / verify edition terms</x:t>
        </x:is>
      </x:c>
      <x:c r="R20" s="81" t="inlineStr">
        <x:is>
          <x:t xml:space="preserve">Write a fresh Selflo adaptation; do not copy modern translations. Preserve attribution uncertainty where material.</x:t>
        </x:is>
      </x:c>
      <x:c r="S20" s="81" t="inlineStr">
        <x:is>
          <x:t xml:space="preserve">Traditional philosophical/parabolic narrative; not treated as verified historical reporting.</x:t>
        </x:is>
      </x:c>
      <x:c r="T20" s="81" t="inlineStr">
        <x:is>
          <x:t xml:space="preserve">principle.liezi.day5.*</x:t>
        </x:is>
      </x:c>
      <x:c r="U20" s="81" t="str"/>
      <x:c r="V20" s="81" t="inlineStr">
        <x:is>
          <x:t xml:space="preserve">Medium</x:t>
        </x:is>
      </x:c>
      <x:c r="W20" s="81" t="inlineStr">
        <x:is>
          <x:t xml:space="preserve">Mythic; không dùng như historical/supernatural evidence.</x:t>
        </x:is>
      </x:c>
      <x:c r="X20" s="81" t="inlineStr">
        <x:is>
          <x:t xml:space="preserve">Yes</x:t>
        </x:is>
      </x:c>
      <x:c r="Y20" s="81" t="inlineStr">
        <x:is>
          <x:t xml:space="preserve">No</x:t>
        </x:is>
      </x:c>
      <x:c r="Z20" s="81" t="inlineStr">
        <x:is>
          <x:t xml:space="preserve">Source verified; adaptation rights to verify</x:t>
        </x:is>
      </x:c>
      <x:c r="AA20" s="81" t="n"/>
      <x:c r="AB20" s="81" t="n"/>
      <x:c r="AC20" s="81" t="n"/>
      <x:c r="AD20" s="81" t="n"/>
      <x:c r="AE20" s="81" t="n"/>
      <x:c r="AF20" s="81" t="n"/>
    </x:row>
    <x:row r="21">
      <x:c r="A21" s="81" t="inlineStr">
        <x:is>
          <x:t xml:space="preserve">story.huainanzi.day6.sai_weng</x:t>
        </x:is>
      </x:c>
      <x:c r="B21" s="81" t="inlineStr">
        <x:is>
          <x:t xml:space="preserve">Collected</x:t>
        </x:is>
      </x:c>
      <x:c r="C21" s="81" t="inlineStr">
        <x:is>
          <x:t xml:space="preserve">Tái ông thất mã</x:t>
        </x:is>
      </x:c>
      <x:c r="D21" s="81" t="inlineStr">
        <x:is>
          <x:t xml:space="preserve">塞翁失馬</x:t>
        </x:is>
      </x:c>
      <x:c r="E21" s="81" t="inlineStr">
        <x:is>
          <x:t xml:space="preserve">Parable</x:t>
        </x:is>
      </x:c>
      <x:c r="F21" s="81" t="inlineStr">
        <x:is>
          <x:t xml:space="preserve">Han China / Huainanzi</x:t>
        </x:is>
      </x:c>
      <x:c r="G21" s="81" t="inlineStr">
        <x:is>
          <x:t xml:space="preserve">Uncertainty / Change</x:t>
        </x:is>
      </x:c>
      <x:c r="H21" s="81" t="inlineStr">
        <x:is>
          <x:t xml:space="preserve">Fortune and misfortune</x:t>
        </x:is>
      </x:c>
      <x:c r="I21" s="81" t="inlineStr">
        <x:is>
          <x:t xml:space="preserve">Khi mình muốn kết luận quá sớm một biến cố là tốt hay xấu</x:t>
        </x:is>
      </x:c>
      <x:c r="J21" s="81" t="inlineStr">
        <x:is>
          <x:t xml:space="preserve">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x:t>
        </x:is>
      </x:c>
      <x:c r="K21" s="81" t="inlineStr">
        <x:is>
          <x:t xml:space="preserve">淮南子 / Huainanzi</x:t>
        </x:is>
      </x:c>
      <x:c r="L21" s="81" t="inlineStr">
        <x:is>
          <x:t xml:space="preserve">Chapter 18 — 人閒訓</x:t>
        </x:is>
      </x:c>
      <x:c r="M21" s="81" t="inlineStr">
        <x:is>
          <x:t xml:space="preserve">https://ctext.org/huainanzi/ren-xian-xun</x:t>
        </x:is>
      </x:c>
      <x:c r="N21" s="81" t="inlineStr">
        <x:is>
          <x:t xml:space="preserve">https://ctext.org/huainanzi/ens</x:t>
        </x:is>
      </x:c>
      <x:c r="O21" s="81" t="inlineStr">
        <x:is>
          <x:t xml:space="preserve">A - Primary source</x:t>
        </x:is>
      </x:c>
      <x:c r="P21" s="81" t="inlineStr">
        <x:is>
          <x:t xml:space="preserve">Located in CText digital base text; research summary does not add fictional events.</x:t>
        </x:is>
      </x:c>
      <x:c r="Q21" s="81" t="inlineStr">
        <x:is>
          <x:t xml:space="preserve">Public domain ancient text / verify edition terms</x:t>
        </x:is>
      </x:c>
      <x:c r="R21" s="81" t="inlineStr">
        <x:is>
          <x:t xml:space="preserve">Write fresh Selflo adaptation; do not copy modern translations.</x:t>
        </x:is>
      </x:c>
      <x:c r="S21" s="81" t="inlineStr">
        <x:is>
          <x:t xml:space="preserve">Ancient philosophical anecdote/parable; not treated as verified historical reporting.</x:t>
        </x:is>
      </x:c>
      <x:c r="T21" s="81" t="inlineStr">
        <x:is>
          <x:t xml:space="preserve">principle.huainanzi.day6.*</x:t>
        </x:is>
      </x:c>
      <x:c r="U21" s="81" t="str"/>
      <x:c r="V21" s="81" t="inlineStr">
        <x:is>
          <x:t xml:space="preserve">High</x:t>
        </x:is>
      </x:c>
      <x:c r="W21" s="81" t="inlineStr">
        <x:is>
          <x:t xml:space="preserve">Đây là primary-source anchor cho story Selflo hiện có; nên đối chiếu adaptation hiện tại trực tiếp với 人閒訓.</x:t>
        </x:is>
      </x:c>
      <x:c r="X21" s="81" t="inlineStr">
        <x:is>
          <x:t xml:space="preserve">Yes</x:t>
        </x:is>
      </x:c>
      <x:c r="Y21" s="81" t="inlineStr">
        <x:is>
          <x:t xml:space="preserve">No</x:t>
        </x:is>
      </x:c>
      <x:c r="Z21" s="81" t="inlineStr">
        <x:is>
          <x:t xml:space="preserve">Source verified; adaptation rights to verify</x:t>
        </x:is>
      </x:c>
      <x:c r="AA21" s="81" t="n"/>
      <x:c r="AB21" s="81" t="n"/>
      <x:c r="AC21" s="81" t="n"/>
      <x:c r="AD21" s="81" t="n"/>
      <x:c r="AE21" s="81" t="n"/>
      <x:c r="AF21" s="81" t="n"/>
    </x:row>
    <x:row r="22">
      <x:c r="A22" s="81" t="inlineStr">
        <x:is>
          <x:t xml:space="preserve">story.huainanzi.day6.green_wood_house</x:t>
        </x:is>
      </x:c>
      <x:c r="B22" s="81" t="inlineStr">
        <x:is>
          <x:t xml:space="preserve">Collected</x:t>
        </x:is>
      </x:c>
      <x:c r="C22" s="81" t="inlineStr">
        <x:is>
          <x:t xml:space="preserve">Ngôi nhà dựng bằng gỗ còn ướt</x:t>
        </x:is>
      </x:c>
      <x:c r="D22" s="81" t="inlineStr">
        <x:is>
          <x:t xml:space="preserve">生材任重塗</x:t>
        </x:is>
      </x:c>
      <x:c r="E22" s="81" t="inlineStr">
        <x:is>
          <x:t xml:space="preserve">Anecdote / parable</x:t>
        </x:is>
      </x:c>
      <x:c r="F22" s="81" t="inlineStr">
        <x:is>
          <x:t xml:space="preserve">Han China / Huainanzi</x:t>
        </x:is>
      </x:c>
      <x:c r="G22" s="81" t="inlineStr">
        <x:is>
          <x:t xml:space="preserve">Capacity / Sustainability</x:t>
        </x:is>
      </x:c>
      <x:c r="H22" s="81" t="inlineStr">
        <x:is>
          <x:t xml:space="preserve">Foundation before load</x:t>
        </x:is>
      </x:c>
      <x:c r="I22" s="81" t="inlineStr">
        <x:is>
          <x:t xml:space="preserve">Khi một thứ nhìn đã hoàn thành nhưng nền chưa sẵn sàng</x:t>
        </x:is>
      </x:c>
      <x:c r="J22" s="81" t="inlineStr">
        <x:is>
          <x:t xml:space="preserve">Một người muốn dựng nhà. Thợ nói gỗ còn tươi, phủ tải nặng sẽ cong; chủ nhà dùng lý luận nghe hợp lý để bác lại. Thợ không thắng được bằng lời nên làm theo. Nhà ban đầu trông ổn nhưng về sau hỏng như cảnh báo.</x:t>
        </x:is>
      </x:c>
      <x:c r="K22" s="81" t="inlineStr">
        <x:is>
          <x:t xml:space="preserve">淮南子 / Huainanzi</x:t>
        </x:is>
      </x:c>
      <x:c r="L22" s="81" t="inlineStr">
        <x:is>
          <x:t xml:space="preserve">Chapter 18 — 人閒訓</x:t>
        </x:is>
      </x:c>
      <x:c r="M22" s="81" t="inlineStr">
        <x:is>
          <x:t xml:space="preserve">https://ctext.org/huainanzi/ren-xian-xun</x:t>
        </x:is>
      </x:c>
      <x:c r="N22" s="81" t="inlineStr">
        <x:is>
          <x:t xml:space="preserve">https://ctext.org/huainanzi/ens</x:t>
        </x:is>
      </x:c>
      <x:c r="O22" s="81" t="inlineStr">
        <x:is>
          <x:t xml:space="preserve">A - Primary source</x:t>
        </x:is>
      </x:c>
      <x:c r="P22" s="81" t="inlineStr">
        <x:is>
          <x:t xml:space="preserve">Located in CText digital base text; research summary does not add fictional events.</x:t>
        </x:is>
      </x:c>
      <x:c r="Q22" s="81" t="inlineStr">
        <x:is>
          <x:t xml:space="preserve">Public domain ancient text / verify edition terms</x:t>
        </x:is>
      </x:c>
      <x:c r="R22" s="81" t="inlineStr">
        <x:is>
          <x:t xml:space="preserve">Write fresh Selflo adaptation; do not copy modern translations.</x:t>
        </x:is>
      </x:c>
      <x:c r="S22" s="81" t="inlineStr">
        <x:is>
          <x:t xml:space="preserve">Ancient philosophical anecdote/parable; not treated as verified historical reporting.</x:t>
        </x:is>
      </x:c>
      <x:c r="T22" s="81" t="inlineStr">
        <x:is>
          <x:t xml:space="preserve">principle.huainanzi.day6.*</x:t>
        </x:is>
      </x:c>
      <x:c r="U22" s="81" t="str"/>
      <x:c r="V22" s="81" t="inlineStr">
        <x:is>
          <x:t xml:space="preserve">High</x:t>
        </x:is>
      </x:c>
      <x:c r="W22" s="81" t="inlineStr">
        <x:is>
          <x:t xml:space="preserve">Rất hợp delivery pressure, architecture, capacity; không cần moralize.</x:t>
        </x:is>
      </x:c>
      <x:c r="X22" s="81" t="inlineStr">
        <x:is>
          <x:t xml:space="preserve">Yes</x:t>
        </x:is>
      </x:c>
      <x:c r="Y22" s="81" t="inlineStr">
        <x:is>
          <x:t xml:space="preserve">No</x:t>
        </x:is>
      </x:c>
      <x:c r="Z22" s="81" t="inlineStr">
        <x:is>
          <x:t xml:space="preserve">Source verified; adaptation rights to verify</x:t>
        </x:is>
      </x:c>
      <x:c r="AA22" s="81" t="n"/>
      <x:c r="AB22" s="81" t="n"/>
      <x:c r="AC22" s="81" t="n"/>
      <x:c r="AD22" s="81" t="n"/>
      <x:c r="AE22" s="81" t="n"/>
      <x:c r="AF22" s="81" t="n"/>
    </x:row>
    <x:row r="23">
      <x:c r="A23" s="81" t="inlineStr">
        <x:is>
          <x:t xml:space="preserve">story.huainanzi.day6.cover_ears_bell</x:t>
        </x:is>
      </x:c>
      <x:c r="B23" s="81" t="inlineStr">
        <x:is>
          <x:t xml:space="preserve">Collected</x:t>
        </x:is>
      </x:c>
      <x:c r="C23" s="81" t="inlineStr">
        <x:is>
          <x:t xml:space="preserve">Bịt tai khi lấy chuông</x:t>
        </x:is>
      </x:c>
      <x:c r="D23" s="81" t="inlineStr">
        <x:is>
          <x:t xml:space="preserve">掩耳</x:t>
        </x:is>
      </x:c>
      <x:c r="E23" s="81" t="inlineStr">
        <x:is>
          <x:t xml:space="preserve">Parable</x:t>
        </x:is>
      </x:c>
      <x:c r="F23" s="81" t="inlineStr">
        <x:is>
          <x:t xml:space="preserve">Han China / Huainanzi</x:t>
        </x:is>
      </x:c>
      <x:c r="G23" s="81" t="inlineStr">
        <x:is>
          <x:t xml:space="preserve">Avoidance / Judgment</x:t>
        </x:is>
      </x:c>
      <x:c r="H23" s="81" t="inlineStr">
        <x:is>
          <x:t xml:space="preserve">Reality vs avoidance</x:t>
        </x:is>
      </x:c>
      <x:c r="I23" s="81" t="inlineStr">
        <x:is>
          <x:t xml:space="preserve">Khi không muốn nghe một tín hiệu khó chịu</x:t>
        </x:is>
      </x:c>
      <x:c r="J23" s="81" t="inlineStr">
        <x:is>
          <x:t xml:space="preserve">Một người lấy chuông nhưng sợ tiếng chuông khiến người khác nghe thấy nên bịt tai mình. Văn bản dùng hình ảnh này để chỉ ra việc che kênh nhận biết của bản thân không làm tín hiệu bên ngoài biến mất.</x:t>
        </x:is>
      </x:c>
      <x:c r="K23" s="81" t="inlineStr">
        <x:is>
          <x:t xml:space="preserve">淮南子 / Huainanzi</x:t>
        </x:is>
      </x:c>
      <x:c r="L23" s="81" t="inlineStr">
        <x:is>
          <x:t xml:space="preserve">Chapter 16 — 說山訓</x:t>
        </x:is>
      </x:c>
      <x:c r="M23" s="81" t="inlineStr">
        <x:is>
          <x:t xml:space="preserve">https://ctext.org/huainanzi/shuo-shan-xun/zhs</x:t>
        </x:is>
      </x:c>
      <x:c r="N23" s="81" t="inlineStr">
        <x:is>
          <x:t xml:space="preserve">https://ctext.org/huainanzi/ens</x:t>
        </x:is>
      </x:c>
      <x:c r="O23" s="81" t="inlineStr">
        <x:is>
          <x:t xml:space="preserve">A - Primary source</x:t>
        </x:is>
      </x:c>
      <x:c r="P23" s="81" t="inlineStr">
        <x:is>
          <x:t xml:space="preserve">Located in CText digital base text; research summary does not add fictional events.</x:t>
        </x:is>
      </x:c>
      <x:c r="Q23" s="81" t="inlineStr">
        <x:is>
          <x:t xml:space="preserve">Public domain ancient text / verify edition terms</x:t>
        </x:is>
      </x:c>
      <x:c r="R23" s="81" t="inlineStr">
        <x:is>
          <x:t xml:space="preserve">Write fresh Selflo adaptation; do not copy modern translations.</x:t>
        </x:is>
      </x:c>
      <x:c r="S23" s="81" t="inlineStr">
        <x:is>
          <x:t xml:space="preserve">Ancient philosophical anecdote/parable; not treated as verified historical reporting.</x:t>
        </x:is>
      </x:c>
      <x:c r="T23" s="81" t="inlineStr">
        <x:is>
          <x:t xml:space="preserve">principle.huainanzi.day6.*</x:t>
        </x:is>
      </x:c>
      <x:c r="U23" s="81" t="str"/>
      <x:c r="V23" s="81" t="inlineStr">
        <x:is>
          <x:t xml:space="preserve">High</x:t>
        </x:is>
      </x:c>
      <x:c r="W23" s="81" t="inlineStr">
        <x:is>
          <x:t xml:space="preserve">Ngắn, rõ, nguồn cổ; motif có dị bản/truyền thống khác nên provenance review.</x:t>
        </x:is>
      </x:c>
      <x:c r="X23" s="81" t="inlineStr">
        <x:is>
          <x:t xml:space="preserve">Yes</x:t>
        </x:is>
      </x:c>
      <x:c r="Y23" s="81" t="inlineStr">
        <x:is>
          <x:t xml:space="preserve">No</x:t>
        </x:is>
      </x:c>
      <x:c r="Z23" s="81" t="inlineStr">
        <x:is>
          <x:t xml:space="preserve">Source verified; adaptation rights to verify</x:t>
        </x:is>
      </x:c>
      <x:c r="AA23" s="81" t="n"/>
      <x:c r="AB23" s="81" t="n"/>
      <x:c r="AC23" s="81" t="n"/>
      <x:c r="AD23" s="81" t="n"/>
      <x:c r="AE23" s="81" t="n"/>
      <x:c r="AF23" s="81" t="n"/>
    </x:row>
    <x:row r="24">
      <x:c r="A24" s="81" t="inlineStr">
        <x:is>
          <x:t xml:space="preserve">story.huainanzi.day6.mark_boat_sword</x:t>
        </x:is>
      </x:c>
      <x:c r="B24" s="81" t="inlineStr">
        <x:is>
          <x:t xml:space="preserve">Collected</x:t>
        </x:is>
      </x:c>
      <x:c r="C24" s="81" t="inlineStr">
        <x:is>
          <x:t xml:space="preserve">Đánh dấu thuyền để tìm kiếm</x:t>
        </x:is>
      </x:c>
      <x:c r="D24" s="81" t="inlineStr">
        <x:is>
          <x:t xml:space="preserve">刻舟求劍 motif</x:t>
        </x:is>
      </x:c>
      <x:c r="E24" s="81" t="inlineStr">
        <x:is>
          <x:t xml:space="preserve">Parable</x:t>
        </x:is>
      </x:c>
      <x:c r="F24" s="81" t="inlineStr">
        <x:is>
          <x:t xml:space="preserve">Han China / Huainanzi</x:t>
        </x:is>
      </x:c>
      <x:c r="G24" s="81" t="inlineStr">
        <x:is>
          <x:t xml:space="preserve">Change / Models</x:t>
        </x:is>
      </x:c>
      <x:c r="H24" s="81" t="inlineStr">
        <x:is>
          <x:t xml:space="preserve">Static model in moving context</x:t>
        </x:is>
      </x:c>
      <x:c r="I24" s="81" t="inlineStr">
        <x:is>
          <x:t xml:space="preserve">Khi mình dùng vị trí cũ để giải quyết một hệ đã dịch chuyển</x:t>
        </x:is>
      </x:c>
      <x:c r="J24" s="81" t="inlineStr">
        <x:is>
          <x:t xml:space="preserve">Một người làm rơi kiếm giữa dòng rồi đánh dấu trên thuyền, định sau đó dựa vào dấu ấy để tìm. Huainanzi dùng hình ảnh này để phê bình việc lấy một thước đo của một thời áp lên thế giới đã thay đổi.</x:t>
        </x:is>
      </x:c>
      <x:c r="K24" s="81" t="inlineStr">
        <x:is>
          <x:t xml:space="preserve">淮南子 / Huainanzi</x:t>
        </x:is>
      </x:c>
      <x:c r="L24" s="81" t="inlineStr">
        <x:is>
          <x:t xml:space="preserve">Chapter 17 — 說林訓</x:t>
        </x:is>
      </x:c>
      <x:c r="M24" s="81" t="inlineStr">
        <x:is>
          <x:t xml:space="preserve">https://ctext.org/huainanzi/shuo-lin-xun/zh</x:t>
        </x:is>
      </x:c>
      <x:c r="N24" s="81" t="inlineStr">
        <x:is>
          <x:t xml:space="preserve">https://ctext.org/huainanzi/ens</x:t>
        </x:is>
      </x:c>
      <x:c r="O24" s="81" t="inlineStr">
        <x:is>
          <x:t xml:space="preserve">A - Primary source</x:t>
        </x:is>
      </x:c>
      <x:c r="P24" s="81" t="inlineStr">
        <x:is>
          <x:t xml:space="preserve">Located in CText digital base text; research summary does not add fictional events.</x:t>
        </x:is>
      </x:c>
      <x:c r="Q24" s="81" t="inlineStr">
        <x:is>
          <x:t xml:space="preserve">Public domain ancient text / verify edition terms</x:t>
        </x:is>
      </x:c>
      <x:c r="R24" s="81" t="inlineStr">
        <x:is>
          <x:t xml:space="preserve">Write fresh Selflo adaptation; do not copy modern translations.</x:t>
        </x:is>
      </x:c>
      <x:c r="S24" s="81" t="inlineStr">
        <x:is>
          <x:t xml:space="preserve">Ancient philosophical anecdote/parable; not treated as verified historical reporting.</x:t>
        </x:is>
      </x:c>
      <x:c r="T24" s="81" t="inlineStr">
        <x:is>
          <x:t xml:space="preserve">principle.huainanzi.day6.*</x:t>
        </x:is>
      </x:c>
      <x:c r="U24" s="81" t="str"/>
      <x:c r="V24" s="81" t="inlineStr">
        <x:is>
          <x:t xml:space="preserve">High</x:t>
        </x:is>
      </x:c>
      <x:c r="W24" s="81" t="inlineStr">
        <x:is>
          <x:t xml:space="preserve">Rất hợp AI/architecture: map/model ≠ moving reality.</x:t>
        </x:is>
      </x:c>
      <x:c r="X24" s="81" t="inlineStr">
        <x:is>
          <x:t xml:space="preserve">Yes</x:t>
        </x:is>
      </x:c>
      <x:c r="Y24" s="81" t="inlineStr">
        <x:is>
          <x:t xml:space="preserve">No</x:t>
        </x:is>
      </x:c>
      <x:c r="Z24" s="81" t="inlineStr">
        <x:is>
          <x:t xml:space="preserve">Source verified; adaptation rights to verify</x:t>
        </x:is>
      </x:c>
      <x:c r="AA24" s="81" t="n"/>
      <x:c r="AB24" s="81" t="n"/>
      <x:c r="AC24" s="81" t="n"/>
      <x:c r="AD24" s="81" t="n"/>
      <x:c r="AE24" s="81" t="n"/>
      <x:c r="AF24" s="81" t="n"/>
    </x:row>
    <x:row r="25">
      <x:c r="A25" s="81" t="inlineStr">
        <x:is>
          <x:t xml:space="preserve">story.huainanzi.day6.yangzi_crossroads</x:t>
        </x:is>
      </x:c>
      <x:c r="B25" s="81" t="inlineStr">
        <x:is>
          <x:t xml:space="preserve">Collected</x:t>
        </x:is>
      </x:c>
      <x:c r="C25" s="81" t="inlineStr">
        <x:is>
          <x:t xml:space="preserve">Dương Tử trước ngã đường</x:t>
        </x:is>
      </x:c>
      <x:c r="D25" s="81" t="inlineStr">
        <x:is>
          <x:t xml:space="preserve">楊子見逵路而哭之</x:t>
        </x:is>
      </x:c>
      <x:c r="E25" s="81" t="inlineStr">
        <x:is>
          <x:t xml:space="preserve">Philosophical vignette</x:t>
        </x:is>
      </x:c>
      <x:c r="F25" s="81" t="inlineStr">
        <x:is>
          <x:t xml:space="preserve">Han China / Huainanzi</x:t>
        </x:is>
      </x:c>
      <x:c r="G25" s="81" t="inlineStr">
        <x:is>
          <x:t xml:space="preserve">Choice / Uncertainty</x:t>
        </x:is>
      </x:c>
      <x:c r="H25" s="81" t="inlineStr">
        <x:is>
          <x:t xml:space="preserve">Branching paths</x:t>
        </x:is>
      </x:c>
      <x:c r="I25" s="81" t="inlineStr">
        <x:is>
          <x:t xml:space="preserve">Khi nhiều hướng đều có thể đi khiến lựa chọn trở nên nặng</x:t>
        </x:is>
      </x:c>
      <x:c r="J25" s="81" t="inlineStr">
        <x:is>
          <x:t xml:space="preserve">Dương Tử nhìn một ngã đường có thể đi về nam hoặc bắc và khóc. Huainanzi đặt hình ảnh cạnh tấm lụa trắng có thể bị nhuộm nhiều màu, nhấn vào sức nặng của hướng rẽ và điều kiện định hình.</x:t>
        </x:is>
      </x:c>
      <x:c r="K25" s="81" t="inlineStr">
        <x:is>
          <x:t xml:space="preserve">淮南子 / Huainanzi</x:t>
        </x:is>
      </x:c>
      <x:c r="L25" s="81" t="inlineStr">
        <x:is>
          <x:t xml:space="preserve">Chapter 17 — 說林訓</x:t>
        </x:is>
      </x:c>
      <x:c r="M25" s="81" t="inlineStr">
        <x:is>
          <x:t xml:space="preserve">https://ctext.org/huainanzi/shuo-lin-xun/zh</x:t>
        </x:is>
      </x:c>
      <x:c r="N25" s="81" t="inlineStr">
        <x:is>
          <x:t xml:space="preserve">https://ctext.org/huainanzi/ens</x:t>
        </x:is>
      </x:c>
      <x:c r="O25" s="81" t="inlineStr">
        <x:is>
          <x:t xml:space="preserve">A - Primary source</x:t>
        </x:is>
      </x:c>
      <x:c r="P25" s="81" t="inlineStr">
        <x:is>
          <x:t xml:space="preserve">Located in CText digital base text; research summary does not add fictional events.</x:t>
        </x:is>
      </x:c>
      <x:c r="Q25" s="81" t="inlineStr">
        <x:is>
          <x:t xml:space="preserve">Public domain ancient text / verify edition terms</x:t>
        </x:is>
      </x:c>
      <x:c r="R25" s="81" t="inlineStr">
        <x:is>
          <x:t xml:space="preserve">Write fresh Selflo adaptation; do not copy modern translations.</x:t>
        </x:is>
      </x:c>
      <x:c r="S25" s="81" t="inlineStr">
        <x:is>
          <x:t xml:space="preserve">Ancient philosophical anecdote/parable; not treated as verified historical reporting.</x:t>
        </x:is>
      </x:c>
      <x:c r="T25" s="81" t="inlineStr">
        <x:is>
          <x:t xml:space="preserve">principle.huainanzi.day6.*</x:t>
        </x:is>
      </x:c>
      <x:c r="U25" s="81" t="str"/>
      <x:c r="V25" s="81" t="inlineStr">
        <x:is>
          <x:t xml:space="preserve">High</x:t>
        </x:is>
      </x:c>
      <x:c r="W25" s="81" t="inlineStr">
        <x:is>
          <x:t xml:space="preserve">Rất hợp choice; không biến thành lời khuyên sợ lựa chọn.</x:t>
        </x:is>
      </x:c>
      <x:c r="X25" s="81" t="inlineStr">
        <x:is>
          <x:t xml:space="preserve">Yes</x:t>
        </x:is>
      </x:c>
      <x:c r="Y25" s="81" t="inlineStr">
        <x:is>
          <x:t xml:space="preserve">No</x:t>
        </x:is>
      </x:c>
      <x:c r="Z25" s="81" t="inlineStr">
        <x:is>
          <x:t xml:space="preserve">Source verified; adaptation rights to verify</x:t>
        </x:is>
      </x:c>
      <x:c r="AA25" s="81" t="n"/>
      <x:c r="AB25" s="81" t="n"/>
      <x:c r="AC25" s="81" t="n"/>
      <x:c r="AD25" s="81" t="n"/>
      <x:c r="AE25" s="81" t="n"/>
      <x:c r="AF25" s="81" t="n"/>
    </x:row>
    <x:row r="26">
      <x:c r="A26" s="81" t="inlineStr">
        <x:is>
          <x:t xml:space="preserve">story.huainanzi.day6.prevent_before_fire</x:t>
        </x:is>
      </x:c>
      <x:c r="B26" s="81" t="inlineStr">
        <x:is>
          <x:t xml:space="preserve">Collected</x:t>
        </x:is>
      </x:c>
      <x:c r="C26" s="81" t="inlineStr">
        <x:is>
          <x:t xml:space="preserve">Đào ao sau khi cháy</x:t>
        </x:is>
      </x:c>
      <x:c r="D26" s="81" t="inlineStr">
        <x:is>
          <x:t xml:space="preserve">失火而鑿池</x:t>
        </x:is>
      </x:c>
      <x:c r="E26" s="81" t="inlineStr">
        <x:is>
          <x:t xml:space="preserve">Metaphorical vignette</x:t>
        </x:is>
      </x:c>
      <x:c r="F26" s="81" t="inlineStr">
        <x:is>
          <x:t xml:space="preserve">Han China / Huainanzi</x:t>
        </x:is>
      </x:c>
      <x:c r="G26" s="81" t="inlineStr">
        <x:is>
          <x:t xml:space="preserve">Prevention / Systems</x:t>
        </x:is>
      </x:c>
      <x:c r="H26" s="81" t="inlineStr">
        <x:is>
          <x:t xml:space="preserve">Firefighting</x:t>
        </x:is>
      </x:c>
      <x:c r="I26" s="81" t="inlineStr">
        <x:is>
          <x:t xml:space="preserve">Khi tổ chức chỉ phản ứng sau khi vấn đề đã lớn</x:t>
        </x:is>
      </x:c>
      <x:c r="J26" s="81" t="inlineStr">
        <x:is>
          <x:t xml:space="preserve">Huainanzi so việc đợi tai họa rồi mới cứu với lúc cháy mới bắt đầu đào ao. Phần surrounding text nhấn rằng tạo điều kiện để vấn đề không sinh ra thường dễ hơn cứu khi nó đã thành khủng hoảng.</x:t>
        </x:is>
      </x:c>
      <x:c r="K26" s="81" t="inlineStr">
        <x:is>
          <x:t xml:space="preserve">淮南子 / Huainanzi</x:t>
        </x:is>
      </x:c>
      <x:c r="L26" s="81" t="inlineStr">
        <x:is>
          <x:t xml:space="preserve">Chapter 18 — 人閒訓</x:t>
        </x:is>
      </x:c>
      <x:c r="M26" s="81" t="inlineStr">
        <x:is>
          <x:t xml:space="preserve">https://ctext.org/huainanzi/ren-xian-xun</x:t>
        </x:is>
      </x:c>
      <x:c r="N26" s="81" t="inlineStr">
        <x:is>
          <x:t xml:space="preserve">https://ctext.org/huainanzi/ens</x:t>
        </x:is>
      </x:c>
      <x:c r="O26" s="81" t="inlineStr">
        <x:is>
          <x:t xml:space="preserve">A - Primary source</x:t>
        </x:is>
      </x:c>
      <x:c r="P26" s="81" t="inlineStr">
        <x:is>
          <x:t xml:space="preserve">Located in CText digital base text; research summary does not add fictional events.</x:t>
        </x:is>
      </x:c>
      <x:c r="Q26" s="81" t="inlineStr">
        <x:is>
          <x:t xml:space="preserve">Public domain ancient text / verify edition terms</x:t>
        </x:is>
      </x:c>
      <x:c r="R26" s="81" t="inlineStr">
        <x:is>
          <x:t xml:space="preserve">Write fresh Selflo adaptation; do not copy modern translations.</x:t>
        </x:is>
      </x:c>
      <x:c r="S26" s="81" t="inlineStr">
        <x:is>
          <x:t xml:space="preserve">Ancient philosophical anecdote/parable; not treated as verified historical reporting.</x:t>
        </x:is>
      </x:c>
      <x:c r="T26" s="81" t="inlineStr">
        <x:is>
          <x:t xml:space="preserve">principle.huainanzi.day6.*</x:t>
        </x:is>
      </x:c>
      <x:c r="U26" s="81" t="str"/>
      <x:c r="V26" s="81" t="inlineStr">
        <x:is>
          <x:t xml:space="preserve">High</x:t>
        </x:is>
      </x:c>
      <x:c r="W26" s="81" t="inlineStr">
        <x:is>
          <x:t xml:space="preserve">Strong for work/system; metaphor rather than full narrative.</x:t>
        </x:is>
      </x:c>
      <x:c r="X26" s="81" t="inlineStr">
        <x:is>
          <x:t xml:space="preserve">Yes</x:t>
        </x:is>
      </x:c>
      <x:c r="Y26" s="81" t="inlineStr">
        <x:is>
          <x:t xml:space="preserve">No</x:t>
        </x:is>
      </x:c>
      <x:c r="Z26" s="81" t="inlineStr">
        <x:is>
          <x:t xml:space="preserve">Source verified; adaptation rights to verify</x:t>
        </x:is>
      </x:c>
      <x:c r="AA26" s="81" t="n"/>
      <x:c r="AB26" s="81" t="n"/>
      <x:c r="AC26" s="81" t="n"/>
      <x:c r="AD26" s="81" t="n"/>
      <x:c r="AE26" s="81" t="n"/>
      <x:c r="AF26" s="81" t="n"/>
    </x:row>
    <x:row r="27">
      <x:c r="A27" s="81" t="inlineStr">
        <x:is>
          <x:t xml:space="preserve">story.epictetus.day7.bathhouse</x:t>
        </x:is>
      </x:c>
      <x:c r="B27" s="81" t="inlineStr">
        <x:is>
          <x:t xml:space="preserve">Collected</x:t>
        </x:is>
      </x:c>
      <x:c r="C27" s="81" t="inlineStr">
        <x:is>
          <x:t xml:space="preserve">Đi tắm với hai mục tiêu</x:t>
        </x:is>
      </x:c>
      <x:c r="D27" s="81" t="inlineStr">
        <x:is>
          <x:t xml:space="preserve">The bathhouse example</x:t>
        </x:is>
      </x:c>
      <x:c r="E27" s="81" t="inlineStr">
        <x:is>
          <x:t xml:space="preserve">Teaching example</x:t>
        </x:is>
      </x:c>
      <x:c r="F27" s="81" t="inlineStr">
        <x:is>
          <x:t xml:space="preserve">Greco-Roman / Stoic</x:t>
        </x:is>
      </x:c>
      <x:c r="G27" s="81" t="inlineStr">
        <x:is>
          <x:t xml:space="preserve">Preparation / Control</x:t>
        </x:is>
      </x:c>
      <x:c r="H27" s="81" t="inlineStr">
        <x:is>
          <x:t xml:space="preserve">Expectation setting</x:t>
        </x:is>
      </x:c>
      <x:c r="I27" s="81" t="inlineStr">
        <x:is>
          <x:t xml:space="preserve">Khi một việc bình thường trở nên bực vì thực tế không giống kế hoạch</x:t>
        </x:is>
      </x:c>
      <x:c r="J27" s="81" t="inlineStr">
        <x:is>
          <x:t xml:space="preserve">Trước khi đi tắm, Epictetus bảo hãy nhớ nơi tắm công cộng có thể có người té nước, chen lấn, chửi nhau hoặc lấy đồ. Mục tiêu không chỉ là 'tắm được', mà còn là giữ cách mình muốn phản ứng khi điều ngoài kế hoạch xảy ra.</x:t>
        </x:is>
      </x:c>
      <x:c r="K27" s="81" t="inlineStr">
        <x:is>
          <x:t xml:space="preserve">Epictetus / Arrian tradition</x:t>
        </x:is>
      </x:c>
      <x:c r="L27" s="81" t="inlineStr">
        <x:is>
          <x:t xml:space="preserve">Enchiridion 4</x:t>
        </x:is>
      </x:c>
      <x:c r="M27" s="81" t="inlineStr">
        <x:is>
          <x:t xml:space="preserve">https://www.perseus.tufts.edu/hopper/text?doc=Perseus:text:1999.01.0235:text=enc</x:t>
        </x:is>
      </x:c>
      <x:c r="N27" s="81" t="inlineStr">
        <x:is>
          <x:t xml:space="preserve">https://catalog.perseus.tufts.edu/catalog/urn:cts:greekLit:tlg0557.tlg001</x:t>
        </x:is>
      </x:c>
      <x:c r="O27" s="81" t="inlineStr">
        <x:is>
          <x:t xml:space="preserve">A - Primary source / institutional corpus</x:t>
        </x:is>
      </x:c>
      <x:c r="P27" s="81" t="inlineStr">
        <x:is>
          <x:t xml:space="preserve">Teaching scene/metaphor traceable to Epictetus corpus; summary is Selflo research summary, not a copied modern translation.</x:t>
        </x:is>
      </x:c>
      <x:c r="Q27" s="81" t="inlineStr">
        <x:is>
          <x:t xml:space="preserve">Ancient work public domain / digital edition terms to verify</x:t>
        </x:is>
      </x:c>
      <x:c r="R27" s="81" t="inlineStr">
        <x:is>
          <x:t xml:space="preserve">Write fresh Selflo adaptation; preserve philosophical context and safety caveats.</x:t>
        </x:is>
      </x:c>
      <x:c r="S27" s="81" t="inlineStr">
        <x:is>
          <x:t xml:space="preserve">Philosophical teaching example/anecdote; not treated as independently verified biography.</x:t>
        </x:is>
      </x:c>
      <x:c r="T27" s="81" t="inlineStr">
        <x:is>
          <x:t xml:space="preserve">principle.epictetus.day7.*</x:t>
        </x:is>
      </x:c>
      <x:c r="U27" s="81" t="str"/>
      <x:c r="V27" s="81" t="inlineStr">
        <x:is>
          <x:t xml:space="preserve">High</x:t>
        </x:is>
      </x:c>
      <x:c r="W27" s="81" t="inlineStr">
        <x:is>
          <x:t xml:space="preserve">Rất hợp work/commute/daily friction; adaptation should not become emotional suppression.</x:t>
        </x:is>
      </x:c>
      <x:c r="X27" s="81" t="inlineStr">
        <x:is>
          <x:t xml:space="preserve">Yes</x:t>
        </x:is>
      </x:c>
      <x:c r="Y27" s="81" t="inlineStr">
        <x:is>
          <x:t xml:space="preserve">No</x:t>
        </x:is>
      </x:c>
      <x:c r="Z27" s="81" t="inlineStr">
        <x:is>
          <x:t xml:space="preserve">Source verified at work/chapter level; exact passage recheck before Release</x:t>
        </x:is>
      </x:c>
      <x:c r="AA27" s="81" t="n"/>
      <x:c r="AB27" s="81" t="n"/>
      <x:c r="AC27" s="81" t="n"/>
      <x:c r="AD27" s="81" t="n"/>
      <x:c r="AE27" s="81" t="n"/>
      <x:c r="AF27" s="81" t="n"/>
    </x:row>
    <x:row r="28">
      <x:c r="A28" s="81" t="inlineStr">
        <x:is>
          <x:t xml:space="preserve">story.epictetus.day7.ship_anchor</x:t>
        </x:is>
      </x:c>
      <x:c r="B28" s="81" t="inlineStr">
        <x:is>
          <x:t xml:space="preserve">Collected</x:t>
        </x:is>
      </x:c>
      <x:c r="C28" s="81" t="inlineStr">
        <x:is>
          <x:t xml:space="preserve">Con tàu đang neo</x:t>
        </x:is>
      </x:c>
      <x:c r="D28" s="81" t="inlineStr">
        <x:is>
          <x:t xml:space="preserve">The ship at anchor</x:t>
        </x:is>
      </x:c>
      <x:c r="E28" s="81" t="inlineStr">
        <x:is>
          <x:t xml:space="preserve">Teaching metaphor</x:t>
        </x:is>
      </x:c>
      <x:c r="F28" s="81" t="inlineStr">
        <x:is>
          <x:t xml:space="preserve">Greco-Roman / Stoic</x:t>
        </x:is>
      </x:c>
      <x:c r="G28" s="81" t="inlineStr">
        <x:is>
          <x:t xml:space="preserve">Values / Mortality</x:t>
        </x:is>
      </x:c>
      <x:c r="H28" s="81" t="inlineStr">
        <x:is>
          <x:t xml:space="preserve">Priority / impermanence</x:t>
        </x:is>
      </x:c>
      <x:c r="I28" s="81" t="inlineStr">
        <x:is>
          <x:t xml:space="preserve">Khi những thứ mình yêu quý dễ bị biến thành thứ mình tưởng phải giữ mãi</x:t>
        </x:is>
      </x:c>
      <x:c r="J28" s="81" t="inlineStr">
        <x:is>
          <x:t xml:space="preserve">Epictetus ví đời như chuyến tàu ghé bờ: ta có thể nhặt những thứ đẹp trên đường, nhưng vẫn nhớ mình đang ở trong một hành trình lớn hơn và không sở hữu thời gian vô hạn.</x:t>
        </x:is>
      </x:c>
      <x:c r="K28" s="81" t="inlineStr">
        <x:is>
          <x:t xml:space="preserve">Epictetus / Arrian tradition</x:t>
        </x:is>
      </x:c>
      <x:c r="L28" s="81" t="inlineStr">
        <x:is>
          <x:t xml:space="preserve">Enchiridion 7</x:t>
        </x:is>
      </x:c>
      <x:c r="M28" s="81" t="inlineStr">
        <x:is>
          <x:t xml:space="preserve">https://www.perseus.tufts.edu/hopper/text?doc=Perseus:text:1999.01.0235:text=enc</x:t>
        </x:is>
      </x:c>
      <x:c r="N28" s="81" t="inlineStr">
        <x:is>
          <x:t xml:space="preserve">https://catalog.perseus.tufts.edu/catalog/urn:cts:greekLit:tlg0557.tlg001</x:t>
        </x:is>
      </x:c>
      <x:c r="O28" s="81" t="inlineStr">
        <x:is>
          <x:t xml:space="preserve">A - Primary source / institutional corpus</x:t>
        </x:is>
      </x:c>
      <x:c r="P28" s="81" t="inlineStr">
        <x:is>
          <x:t xml:space="preserve">Teaching scene/metaphor traceable to Epictetus corpus; summary is Selflo research summary, not a copied modern translation.</x:t>
        </x:is>
      </x:c>
      <x:c r="Q28" s="81" t="inlineStr">
        <x:is>
          <x:t xml:space="preserve">Ancient work public domain / digital edition terms to verify</x:t>
        </x:is>
      </x:c>
      <x:c r="R28" s="81" t="inlineStr">
        <x:is>
          <x:t xml:space="preserve">Write fresh Selflo adaptation; preserve philosophical context and safety caveats.</x:t>
        </x:is>
      </x:c>
      <x:c r="S28" s="81" t="inlineStr">
        <x:is>
          <x:t xml:space="preserve">Philosophical teaching example/anecdote; not treated as independently verified biography.</x:t>
        </x:is>
      </x:c>
      <x:c r="T28" s="81" t="inlineStr">
        <x:is>
          <x:t xml:space="preserve">principle.epictetus.day7.*</x:t>
        </x:is>
      </x:c>
      <x:c r="U28" s="81" t="str"/>
      <x:c r="V28" s="81" t="inlineStr">
        <x:is>
          <x:t xml:space="preserve">Medium</x:t>
        </x:is>
      </x:c>
      <x:c r="W28" s="81" t="inlineStr">
        <x:is>
          <x:t xml:space="preserve">Death/relationship framing in original is severe; research only until carefully adapted.</x:t>
        </x:is>
      </x:c>
      <x:c r="X28" s="81" t="inlineStr">
        <x:is>
          <x:t xml:space="preserve">Yes</x:t>
        </x:is>
      </x:c>
      <x:c r="Y28" s="81" t="inlineStr">
        <x:is>
          <x:t xml:space="preserve">No</x:t>
        </x:is>
      </x:c>
      <x:c r="Z28" s="81" t="inlineStr">
        <x:is>
          <x:t xml:space="preserve">Source verified at work/chapter level; exact passage recheck before Release</x:t>
        </x:is>
      </x:c>
      <x:c r="AA28" s="81" t="n"/>
      <x:c r="AB28" s="81" t="n"/>
      <x:c r="AC28" s="81" t="n"/>
      <x:c r="AD28" s="81" t="n"/>
      <x:c r="AE28" s="81" t="n"/>
      <x:c r="AF28" s="81" t="n"/>
    </x:row>
    <x:row r="29">
      <x:c r="A29" s="81" t="inlineStr">
        <x:is>
          <x:t xml:space="preserve">story.epictetus.day7.athlete_cost</x:t>
        </x:is>
      </x:c>
      <x:c r="B29" s="81" t="inlineStr">
        <x:is>
          <x:t xml:space="preserve">Collected</x:t>
        </x:is>
      </x:c>
      <x:c r="C29" s="81" t="inlineStr">
        <x:is>
          <x:t xml:space="preserve">Muốn thành vận động viên Olympic</x:t>
        </x:is>
      </x:c>
      <x:c r="D29" s="81" t="inlineStr">
        <x:is>
          <x:t xml:space="preserve">Olympic athlete example</x:t>
        </x:is>
      </x:c>
      <x:c r="E29" s="81" t="inlineStr">
        <x:is>
          <x:t xml:space="preserve">Teaching dialogue</x:t>
        </x:is>
      </x:c>
      <x:c r="F29" s="81" t="inlineStr">
        <x:is>
          <x:t xml:space="preserve">Greco-Roman / Stoic</x:t>
        </x:is>
      </x:c>
      <x:c r="G29" s="81" t="inlineStr">
        <x:is>
          <x:t xml:space="preserve">Choice / Capacity</x:t>
        </x:is>
      </x:c>
      <x:c r="H29" s="81" t="inlineStr">
        <x:is>
          <x:t xml:space="preserve">Trade-offs</x:t>
        </x:is>
      </x:c>
      <x:c r="I29" s="81" t="inlineStr">
        <x:is>
          <x:t xml:space="preserve">Khi mình muốn một kết quả nhưng chưa nhìn cái giá của nó</x:t>
        </x:is>
      </x:c>
      <x:c r="J29" s="81" t="inlineStr">
        <x:is>
          <x:t xml:space="preserve">Epictetus bảo người muốn thi Olympic hãy nhìn những gì đi trước và theo sau: kỷ luật, ăn uống, tập luyện, thời tiết, chấn thương và thất bại có thể xảy ra; sau đó mới quyết định có nhận con đường ấy không.</x:t>
        </x:is>
      </x:c>
      <x:c r="K29" s="81" t="inlineStr">
        <x:is>
          <x:t xml:space="preserve">Epictetus / Arrian tradition</x:t>
        </x:is>
      </x:c>
      <x:c r="L29" s="81" t="inlineStr">
        <x:is>
          <x:t xml:space="preserve">Enchiridion 29</x:t>
        </x:is>
      </x:c>
      <x:c r="M29" s="81" t="inlineStr">
        <x:is>
          <x:t xml:space="preserve">https://www.perseus.tufts.edu/hopper/text?doc=Perseus:text:1999.01.0235:text=enc</x:t>
        </x:is>
      </x:c>
      <x:c r="N29" s="81" t="inlineStr">
        <x:is>
          <x:t xml:space="preserve">https://catalog.perseus.tufts.edu/catalog/urn:cts:greekLit:tlg0557.tlg001</x:t>
        </x:is>
      </x:c>
      <x:c r="O29" s="81" t="inlineStr">
        <x:is>
          <x:t xml:space="preserve">A - Primary source / institutional corpus</x:t>
        </x:is>
      </x:c>
      <x:c r="P29" s="81" t="inlineStr">
        <x:is>
          <x:t xml:space="preserve">Teaching scene/metaphor traceable to Epictetus corpus; summary is Selflo research summary, not a copied modern translation.</x:t>
        </x:is>
      </x:c>
      <x:c r="Q29" s="81" t="inlineStr">
        <x:is>
          <x:t xml:space="preserve">Ancient work public domain / digital edition terms to verify</x:t>
        </x:is>
      </x:c>
      <x:c r="R29" s="81" t="inlineStr">
        <x:is>
          <x:t xml:space="preserve">Write fresh Selflo adaptation; preserve philosophical context and safety caveats.</x:t>
        </x:is>
      </x:c>
      <x:c r="S29" s="81" t="inlineStr">
        <x:is>
          <x:t xml:space="preserve">Philosophical teaching example/anecdote; not treated as independently verified biography.</x:t>
        </x:is>
      </x:c>
      <x:c r="T29" s="81" t="inlineStr">
        <x:is>
          <x:t xml:space="preserve">principle.epictetus.day7.*</x:t>
        </x:is>
      </x:c>
      <x:c r="U29" s="81" t="str"/>
      <x:c r="V29" s="81" t="inlineStr">
        <x:is>
          <x:t xml:space="preserve">High</x:t>
        </x:is>
      </x:c>
      <x:c r="W29" s="81" t="inlineStr">
        <x:is>
          <x:t xml:space="preserve">Excellent for informed choice; do not glorify overwork.</x:t>
        </x:is>
      </x:c>
      <x:c r="X29" s="81" t="inlineStr">
        <x:is>
          <x:t xml:space="preserve">Yes</x:t>
        </x:is>
      </x:c>
      <x:c r="Y29" s="81" t="inlineStr">
        <x:is>
          <x:t xml:space="preserve">No</x:t>
        </x:is>
      </x:c>
      <x:c r="Z29" s="81" t="inlineStr">
        <x:is>
          <x:t xml:space="preserve">Source verified at work/chapter level; exact passage recheck before Release</x:t>
        </x:is>
      </x:c>
      <x:c r="AA29" s="81" t="n"/>
      <x:c r="AB29" s="81" t="n"/>
      <x:c r="AC29" s="81" t="n"/>
      <x:c r="AD29" s="81" t="n"/>
      <x:c r="AE29" s="81" t="n"/>
      <x:c r="AF29" s="81" t="n"/>
    </x:row>
    <x:row r="30">
      <x:c r="A30" s="81" t="inlineStr">
        <x:is>
          <x:t xml:space="preserve">story.epictetus.day7.two_handles</x:t>
        </x:is>
      </x:c>
      <x:c r="B30" s="81" t="inlineStr">
        <x:is>
          <x:t xml:space="preserve">Collected</x:t>
        </x:is>
      </x:c>
      <x:c r="C30" s="81" t="inlineStr">
        <x:is>
          <x:t xml:space="preserve">Hai tay cầm của một việc</x:t>
        </x:is>
      </x:c>
      <x:c r="D30" s="81" t="inlineStr">
        <x:is>
          <x:t xml:space="preserve">Two handles</x:t>
        </x:is>
      </x:c>
      <x:c r="E30" s="81" t="inlineStr">
        <x:is>
          <x:t xml:space="preserve">Teaching metaphor</x:t>
        </x:is>
      </x:c>
      <x:c r="F30" s="81" t="inlineStr">
        <x:is>
          <x:t xml:space="preserve">Greco-Roman / Stoic</x:t>
        </x:is>
      </x:c>
      <x:c r="G30" s="81" t="inlineStr">
        <x:is>
          <x:t xml:space="preserve">Reframing / Relationships</x:t>
        </x:is>
      </x:c>
      <x:c r="H30" s="81" t="inlineStr">
        <x:is>
          <x:t xml:space="preserve">Perspective</x:t>
        </x:is>
      </x:c>
      <x:c r="I30" s="81" t="inlineStr">
        <x:is>
          <x:t xml:space="preserve">Khi một mối quan hệ hoặc sự việc có nhiều cách để mình 'nắm' lấy</x:t>
        </x:is>
      </x:c>
      <x:c r="J30" s="81" t="inlineStr">
        <x:is>
          <x:t xml:space="preserve">Epictetus nói mỗi sự việc có hai tay cầm: một cách khiến nó khó mang và một cách có thể mang được. Ví dụ về người anh em được dùng để chuyển từ chỉ nhìn hành vi khó chịu sang nhìn cả mối quan hệ.</x:t>
        </x:is>
      </x:c>
      <x:c r="K30" s="81" t="inlineStr">
        <x:is>
          <x:t xml:space="preserve">Epictetus / Arrian tradition</x:t>
        </x:is>
      </x:c>
      <x:c r="L30" s="81" t="inlineStr">
        <x:is>
          <x:t xml:space="preserve">Enchiridion 43</x:t>
        </x:is>
      </x:c>
      <x:c r="M30" s="81" t="inlineStr">
        <x:is>
          <x:t xml:space="preserve">https://www.perseus.tufts.edu/hopper/text?doc=Perseus:text:1999.01.0235:text=enc</x:t>
        </x:is>
      </x:c>
      <x:c r="N30" s="81" t="inlineStr">
        <x:is>
          <x:t xml:space="preserve">https://catalog.perseus.tufts.edu/catalog/urn:cts:greekLit:tlg0557.tlg001</x:t>
        </x:is>
      </x:c>
      <x:c r="O30" s="81" t="inlineStr">
        <x:is>
          <x:t xml:space="preserve">A - Primary source / institutional corpus</x:t>
        </x:is>
      </x:c>
      <x:c r="P30" s="81" t="inlineStr">
        <x:is>
          <x:t xml:space="preserve">Teaching scene/metaphor traceable to Epictetus corpus; summary is Selflo research summary, not a copied modern translation.</x:t>
        </x:is>
      </x:c>
      <x:c r="Q30" s="81" t="inlineStr">
        <x:is>
          <x:t xml:space="preserve">Ancient work public domain / digital edition terms to verify</x:t>
        </x:is>
      </x:c>
      <x:c r="R30" s="81" t="inlineStr">
        <x:is>
          <x:t xml:space="preserve">Write fresh Selflo adaptation; preserve philosophical context and safety caveats.</x:t>
        </x:is>
      </x:c>
      <x:c r="S30" s="81" t="inlineStr">
        <x:is>
          <x:t xml:space="preserve">Philosophical teaching example/anecdote; not treated as independently verified biography.</x:t>
        </x:is>
      </x:c>
      <x:c r="T30" s="81" t="inlineStr">
        <x:is>
          <x:t xml:space="preserve">principle.epictetus.day7.*</x:t>
        </x:is>
      </x:c>
      <x:c r="U30" s="81" t="str"/>
      <x:c r="V30" s="81" t="inlineStr">
        <x:is>
          <x:t xml:space="preserve">High</x:t>
        </x:is>
      </x:c>
      <x:c r="W30" s="81" t="inlineStr">
        <x:is>
          <x:t xml:space="preserve">Good Selflo reframe; must not be used to keep users in unsafe relationships.</x:t>
        </x:is>
      </x:c>
      <x:c r="X30" s="81" t="inlineStr">
        <x:is>
          <x:t xml:space="preserve">Yes</x:t>
        </x:is>
      </x:c>
      <x:c r="Y30" s="81" t="inlineStr">
        <x:is>
          <x:t xml:space="preserve">No</x:t>
        </x:is>
      </x:c>
      <x:c r="Z30" s="81" t="inlineStr">
        <x:is>
          <x:t xml:space="preserve">Source verified at work/chapter level; exact passage recheck before Release</x:t>
        </x:is>
      </x:c>
      <x:c r="AA30" s="81" t="n"/>
      <x:c r="AB30" s="81" t="n"/>
      <x:c r="AC30" s="81" t="n"/>
      <x:c r="AD30" s="81" t="n"/>
      <x:c r="AE30" s="81" t="n"/>
      <x:c r="AF30" s="81" t="n"/>
    </x:row>
    <x:row r="31">
      <x:c r="A31" s="81" t="inlineStr">
        <x:is>
          <x:t xml:space="preserve">story.epictetus.day7.lamp_thief</x:t>
        </x:is>
      </x:c>
      <x:c r="B31" s="81" t="inlineStr">
        <x:is>
          <x:t xml:space="preserve">Collected</x:t>
        </x:is>
      </x:c>
      <x:c r="C31" s="81" t="inlineStr">
        <x:is>
          <x:t xml:space="preserve">Chiếc đèn bị lấy mất</x:t>
        </x:is>
      </x:c>
      <x:c r="D31" s="81" t="inlineStr">
        <x:is>
          <x:t xml:space="preserve">The stolen lamp</x:t>
        </x:is>
      </x:c>
      <x:c r="E31" s="81" t="inlineStr">
        <x:is>
          <x:t xml:space="preserve">Anecdote / teaching scene</x:t>
        </x:is>
      </x:c>
      <x:c r="F31" s="81" t="inlineStr">
        <x:is>
          <x:t xml:space="preserve">Greco-Roman / Stoic</x:t>
        </x:is>
      </x:c>
      <x:c r="G31" s="81" t="inlineStr">
        <x:is>
          <x:t xml:space="preserve">Loss / Values</x:t>
        </x:is>
      </x:c>
      <x:c r="H31" s="81" t="inlineStr">
        <x:is>
          <x:t xml:space="preserve">External loss</x:t>
        </x:is>
      </x:c>
      <x:c r="I31" s="81" t="inlineStr">
        <x:is>
          <x:t xml:space="preserve">Khi mất một vật khiến mình muốn mất luôn cách mình muốn sống</x:t>
        </x:is>
      </x:c>
      <x:c r="J31" s="81" t="inlineStr">
        <x:is>
          <x:t xml:space="preserve">Trong Discourses, Epictetus nhắc chuyện chiếc đèn bị lấy mất để phân biệt giá trị của món đồ với giá trị của cách mình đáp lại người lấy nó. Câu chuyện không phủ nhận mất mát; nó hỏi điều gì còn thuộc phần lựa chọn của mình.</x:t>
        </x:is>
      </x:c>
      <x:c r="K31" s="81" t="inlineStr">
        <x:is>
          <x:t xml:space="preserve">Epictetus / Arrian tradition</x:t>
        </x:is>
      </x:c>
      <x:c r="L31" s="81" t="inlineStr">
        <x:is>
          <x:t xml:space="preserve">Discourses 1</x:t>
        </x:is>
      </x:c>
      <x:c r="M31" s="81" t="inlineStr">
        <x:is>
          <x:t xml:space="preserve">https://atlas.perseus.tufts.edu/library/urn:cts:greekLit:tlg0557.tlg001/</x:t>
        </x:is>
      </x:c>
      <x:c r="N31" s="81" t="inlineStr">
        <x:is>
          <x:t xml:space="preserve">https://catalog.perseus.tufts.edu/catalog/urn:cts:greekLit:tlg0557.tlg001</x:t>
        </x:is>
      </x:c>
      <x:c r="O31" s="81" t="inlineStr">
        <x:is>
          <x:t xml:space="preserve">A - Primary source / institutional corpus</x:t>
        </x:is>
      </x:c>
      <x:c r="P31" s="81" t="inlineStr">
        <x:is>
          <x:t xml:space="preserve">Teaching scene/metaphor traceable to Epictetus corpus; summary is Selflo research summary, not a copied modern translation.</x:t>
        </x:is>
      </x:c>
      <x:c r="Q31" s="81" t="inlineStr">
        <x:is>
          <x:t xml:space="preserve">Ancient work public domain / digital edition terms to verify</x:t>
        </x:is>
      </x:c>
      <x:c r="R31" s="81" t="inlineStr">
        <x:is>
          <x:t xml:space="preserve">Write fresh Selflo adaptation; preserve philosophical context and safety caveats.</x:t>
        </x:is>
      </x:c>
      <x:c r="S31" s="81" t="inlineStr">
        <x:is>
          <x:t xml:space="preserve">Philosophical teaching example/anecdote; not treated as independently verified biography.</x:t>
        </x:is>
      </x:c>
      <x:c r="T31" s="81" t="inlineStr">
        <x:is>
          <x:t xml:space="preserve">principle.epictetus.day7.*</x:t>
        </x:is>
      </x:c>
      <x:c r="U31" s="81" t="str"/>
      <x:c r="V31" s="81" t="inlineStr">
        <x:is>
          <x:t xml:space="preserve">Medium</x:t>
        </x:is>
      </x:c>
      <x:c r="W31" s="81" t="inlineStr">
        <x:is>
          <x:t xml:space="preserve">Verify exact discourse location before release; keep as research story.</x:t>
        </x:is>
      </x:c>
      <x:c r="X31" s="81" t="inlineStr">
        <x:is>
          <x:t xml:space="preserve">Yes</x:t>
        </x:is>
      </x:c>
      <x:c r="Y31" s="81" t="inlineStr">
        <x:is>
          <x:t xml:space="preserve">No</x:t>
        </x:is>
      </x:c>
      <x:c r="Z31" s="81" t="inlineStr">
        <x:is>
          <x:t xml:space="preserve">Source verified at work/chapter level; exact passage recheck before Release</x:t>
        </x:is>
      </x:c>
      <x:c r="AA31" s="81" t="n"/>
      <x:c r="AB31" s="81" t="n"/>
      <x:c r="AC31" s="81" t="n"/>
      <x:c r="AD31" s="81" t="n"/>
      <x:c r="AE31" s="81" t="n"/>
      <x:c r="AF31" s="81" t="n"/>
    </x:row>
    <x:row r="32">
      <x:c r="A32" s="81" t="inlineStr">
        <x:is>
          <x:t xml:space="preserve">story.marcus.day8.morning_difficult_people</x:t>
        </x:is>
      </x:c>
      <x:c r="B32" s="81" t="inlineStr">
        <x:is>
          <x:t xml:space="preserve">Collected</x:t>
        </x:is>
      </x:c>
      <x:c r="C32" s="81" t="inlineStr">
        <x:is>
          <x:t xml:space="preserve">Buổi sáng trước khi gặp người khó chịu</x:t>
        </x:is>
      </x:c>
      <x:c r="D32" s="81" t="inlineStr">
        <x:is>
          <x:t xml:space="preserve">Morning self-reminder</x:t>
        </x:is>
      </x:c>
      <x:c r="E32" s="81" t="inlineStr">
        <x:is>
          <x:t xml:space="preserve">Self-address / scene</x:t>
        </x:is>
      </x:c>
      <x:c r="F32" s="81" t="inlineStr">
        <x:is>
          <x:t xml:space="preserve">Greco-Roman / Stoic</x:t>
        </x:is>
      </x:c>
      <x:c r="G32" s="81" t="inlineStr">
        <x:is>
          <x:t xml:space="preserve">Relationships / Preparation</x:t>
        </x:is>
      </x:c>
      <x:c r="H32" s="81" t="inlineStr">
        <x:is>
          <x:t xml:space="preserve">Social friction</x:t>
        </x:is>
      </x:c>
      <x:c r="I32" s="81" t="inlineStr">
        <x:is>
          <x:t xml:space="preserve">Khi chưa bắt đầu ngày mà đã biết mình sẽ gặp ma sát</x:t>
        </x:is>
      </x:c>
      <x:c r="J32" s="81" t="inlineStr">
        <x:is>
          <x:t xml:space="preserve">Marcus tự nhắc vào buổi sáng rằng mình có thể gặp người tò mò, vô ơn, kiêu ngạo, gian dối, đố kỵ hoặc khó hợp tác; rồi đặt điều đó trong một khung lớn hơn: con người vẫn có quan hệ họ hàng về lý trí và được tạo để hợp tác.</x:t>
        </x:is>
      </x:c>
      <x:c r="K32" s="81" t="inlineStr">
        <x:is>
          <x:t xml:space="preserve">Marcus Aurelius</x:t>
        </x:is>
      </x:c>
      <x:c r="L32" s="81" t="inlineStr">
        <x:is>
          <x:t xml:space="preserve">Meditations Book 2</x:t>
        </x:is>
      </x:c>
      <x:c r="M32" s="81" t="inlineStr">
        <x:is>
          <x:t xml:space="preserve">https://www.perseus.tufts.edu/hopper/text?doc=Perseus:text:2008.01.0641:book=2</x:t>
        </x:is>
      </x:c>
      <x:c r="N32" s="81" t="inlineStr">
        <x:is>
          <x:t xml:space="preserve">https://catalog.perseus.tufts.edu/catalog/urn:cts:greekLit:tlg0562.tlg001</x:t>
        </x:is>
      </x:c>
      <x:c r="O32" s="81" t="inlineStr">
        <x:is>
          <x:t xml:space="preserve">A - Primary source / institutional corpus</x:t>
        </x:is>
      </x:c>
      <x:c r="P32" s="81" t="inlineStr">
        <x:is>
          <x:t xml:space="preserve">Traceable self-address/image in Meditations; summary is Selflo research summary, not an invented historical scene.</x:t>
        </x:is>
      </x:c>
      <x:c r="Q32" s="81" t="inlineStr">
        <x:is>
          <x:t xml:space="preserve">Ancient work public domain / digital edition terms apply</x:t>
        </x:is>
      </x:c>
      <x:c r="R32" s="81" t="inlineStr">
        <x:is>
          <x:t xml:space="preserve">Fresh Selflo adaptation only; do not add biography or dialogue not present in the source.</x:t>
        </x:is>
      </x:c>
      <x:c r="S32" s="81" t="inlineStr">
        <x:is>
          <x:t xml:space="preserve">Meditative self-address, not independent historical reporting.</x:t>
        </x:is>
      </x:c>
      <x:c r="T32" s="81" t="inlineStr">
        <x:is>
          <x:t xml:space="preserve">principle.marcus.day8.*</x:t>
        </x:is>
      </x:c>
      <x:c r="U32" s="81" t="str"/>
      <x:c r="V32" s="81" t="inlineStr">
        <x:is>
          <x:t xml:space="preserve">High</x:t>
        </x:is>
      </x:c>
      <x:c r="W32" s="81" t="inlineStr">
        <x:is>
          <x:t xml:space="preserve">Không biến thành 'phải chịu đựng mọi người'; dùng để chuẩn bị tâm thế và giữ boundaries.</x:t>
        </x:is>
      </x:c>
      <x:c r="X32" s="81" t="inlineStr">
        <x:is>
          <x:t xml:space="preserve">Yes</x:t>
        </x:is>
      </x:c>
      <x:c r="Y32" s="81" t="inlineStr">
        <x:is>
          <x:t xml:space="preserve">No</x:t>
        </x:is>
      </x:c>
      <x:c r="Z32" s="81" t="inlineStr">
        <x:is>
          <x:t xml:space="preserve">Source verified at book/passage level; exact wording recheck before Release</x:t>
        </x:is>
      </x:c>
      <x:c r="AA32" s="81" t="n"/>
      <x:c r="AB32" s="81" t="n"/>
      <x:c r="AC32" s="81" t="n"/>
      <x:c r="AD32" s="81" t="n"/>
      <x:c r="AE32" s="81" t="n"/>
      <x:c r="AF32" s="81" t="n"/>
    </x:row>
    <x:row r="33">
      <x:c r="A33" s="81" t="inlineStr">
        <x:is>
          <x:t xml:space="preserve">story.marcus.day8.inner_retreat</x:t>
        </x:is>
      </x:c>
      <x:c r="B33" s="81" t="inlineStr">
        <x:is>
          <x:t xml:space="preserve">Collected</x:t>
        </x:is>
      </x:c>
      <x:c r="C33" s="81" t="inlineStr">
        <x:is>
          <x:t xml:space="preserve">Nơi trú không cần rời đi đâu</x:t>
        </x:is>
      </x:c>
      <x:c r="D33" s="81" t="inlineStr">
        <x:is>
          <x:t xml:space="preserve">Inner retreat</x:t>
        </x:is>
      </x:c>
      <x:c r="E33" s="81" t="inlineStr">
        <x:is>
          <x:t xml:space="preserve">Meditative image</x:t>
        </x:is>
      </x:c>
      <x:c r="F33" s="81" t="inlineStr">
        <x:is>
          <x:t xml:space="preserve">Greco-Roman / Stoic</x:t>
        </x:is>
      </x:c>
      <x:c r="G33" s="81" t="inlineStr">
        <x:is>
          <x:t xml:space="preserve">Recovery / Attention</x:t>
        </x:is>
      </x:c>
      <x:c r="H33" s="81" t="inlineStr">
        <x:is>
          <x:t xml:space="preserve">Inner space</x:t>
        </x:is>
      </x:c>
      <x:c r="I33" s="81" t="inlineStr">
        <x:is>
          <x:t xml:space="preserve">Khi mình muốn trốn khỏi mọi thứ để có một khoảng yên</x:t>
        </x:is>
      </x:c>
      <x:c r="J33" s="81" t="inlineStr">
        <x:is>
          <x:t xml:space="preserve">Marcus quan sát rằng người ta tìm nơi nghỉ ở đồng quê, biển hay núi, rồi nhắc rằng còn có một kiểu lùi lại vào chính tâm trí. Ý chính là khả năng tạo khoảng dừng nội tại, không phải phủ nhận nhu cầu nghỉ thật hoặc rời môi trường không an toàn.</x:t>
        </x:is>
      </x:c>
      <x:c r="K33" s="81" t="inlineStr">
        <x:is>
          <x:t xml:space="preserve">Marcus Aurelius</x:t>
        </x:is>
      </x:c>
      <x:c r="L33" s="81" t="inlineStr">
        <x:is>
          <x:t xml:space="preserve">Meditations Book 4</x:t>
        </x:is>
      </x:c>
      <x:c r="M33" s="81" t="inlineStr">
        <x:is>
          <x:t xml:space="preserve">https://www.perseus.tufts.edu/hopper/text?doc=Perseus:text:2008.01.0641:book=4</x:t>
        </x:is>
      </x:c>
      <x:c r="N33" s="81" t="inlineStr">
        <x:is>
          <x:t xml:space="preserve">https://catalog.perseus.tufts.edu/catalog/urn:cts:greekLit:tlg0562.tlg001</x:t>
        </x:is>
      </x:c>
      <x:c r="O33" s="81" t="inlineStr">
        <x:is>
          <x:t xml:space="preserve">A - Primary source / institutional corpus</x:t>
        </x:is>
      </x:c>
      <x:c r="P33" s="81" t="inlineStr">
        <x:is>
          <x:t xml:space="preserve">Traceable self-address/image in Meditations; summary is Selflo research summary, not an invented historical scene.</x:t>
        </x:is>
      </x:c>
      <x:c r="Q33" s="81" t="inlineStr">
        <x:is>
          <x:t xml:space="preserve">Ancient work public domain / digital edition terms apply</x:t>
        </x:is>
      </x:c>
      <x:c r="R33" s="81" t="inlineStr">
        <x:is>
          <x:t xml:space="preserve">Fresh Selflo adaptation only; do not add biography or dialogue not present in the source.</x:t>
        </x:is>
      </x:c>
      <x:c r="S33" s="81" t="inlineStr">
        <x:is>
          <x:t xml:space="preserve">Meditative self-address, not independent historical reporting.</x:t>
        </x:is>
      </x:c>
      <x:c r="T33" s="81" t="inlineStr">
        <x:is>
          <x:t xml:space="preserve">principle.marcus.day8.*</x:t>
        </x:is>
      </x:c>
      <x:c r="U33" s="81" t="str"/>
      <x:c r="V33" s="81" t="inlineStr">
        <x:is>
          <x:t xml:space="preserve">High</x:t>
        </x:is>
      </x:c>
      <x:c r="W33" s="81" t="inlineStr">
        <x:is>
          <x:t xml:space="preserve">Rất hợp Selflo; adaptation phải giữ external-rest caveat.</x:t>
        </x:is>
      </x:c>
      <x:c r="X33" s="81" t="inlineStr">
        <x:is>
          <x:t xml:space="preserve">Yes</x:t>
        </x:is>
      </x:c>
      <x:c r="Y33" s="81" t="inlineStr">
        <x:is>
          <x:t xml:space="preserve">No</x:t>
        </x:is>
      </x:c>
      <x:c r="Z33" s="81" t="inlineStr">
        <x:is>
          <x:t xml:space="preserve">Source verified at book/passage level; exact wording recheck before Release</x:t>
        </x:is>
      </x:c>
      <x:c r="AA33" s="81" t="n"/>
      <x:c r="AB33" s="81" t="n"/>
      <x:c r="AC33" s="81" t="n"/>
      <x:c r="AD33" s="81" t="n"/>
      <x:c r="AE33" s="81" t="n"/>
      <x:c r="AF33" s="81" t="n"/>
    </x:row>
    <x:row r="34">
      <x:c r="A34" s="81" t="inlineStr">
        <x:is>
          <x:t xml:space="preserve">story.marcus.day8_getting_out_of_bed</x:t>
        </x:is>
      </x:c>
      <x:c r="B34" s="81" t="inlineStr">
        <x:is>
          <x:t xml:space="preserve">Collected</x:t>
        </x:is>
      </x:c>
      <x:c r="C34" s="81" t="inlineStr">
        <x:is>
          <x:t xml:space="preserve">Sáng không muốn rời giường</x:t>
        </x:is>
      </x:c>
      <x:c r="D34" s="81" t="inlineStr">
        <x:is>
          <x:t xml:space="preserve">Morning bed dialogue</x:t>
        </x:is>
      </x:c>
      <x:c r="E34" s="81" t="inlineStr">
        <x:is>
          <x:t xml:space="preserve">Self-dialogue</x:t>
        </x:is>
      </x:c>
      <x:c r="F34" s="81" t="inlineStr">
        <x:is>
          <x:t xml:space="preserve">Greco-Roman / Stoic</x:t>
        </x:is>
      </x:c>
      <x:c r="G34" s="81" t="inlineStr">
        <x:is>
          <x:t xml:space="preserve">Motivation / Capacity</x:t>
        </x:is>
      </x:c>
      <x:c r="H34" s="81" t="inlineStr">
        <x:is>
          <x:t xml:space="preserve">Starting the day</x:t>
        </x:is>
      </x:c>
      <x:c r="I34" s="81" t="inlineStr">
        <x:is>
          <x:t xml:space="preserve">Khi cơ thể muốn nằm lại nhưng ngày vẫn có việc chờ</x:t>
        </x:is>
      </x:c>
      <x:c r="J34" s="81" t="inlineStr">
        <x:is>
          <x:t xml:space="preserve">Marcus tranh luận với chính mình vào một buổi sáng khó thức dậy: một phần muốn ở lại trong chăn, một phần nhắc về công việc của con người. Đoạn sau thừa nhận nghỉ ngơi cũng tự nhiên nhưng hỏi đâu là mức đủ.</x:t>
        </x:is>
      </x:c>
      <x:c r="K34" s="81" t="inlineStr">
        <x:is>
          <x:t xml:space="preserve">Marcus Aurelius</x:t>
        </x:is>
      </x:c>
      <x:c r="L34" s="81" t="inlineStr">
        <x:is>
          <x:t xml:space="preserve">Meditations Book 5</x:t>
        </x:is>
      </x:c>
      <x:c r="M34" s="81" t="inlineStr">
        <x:is>
          <x:t xml:space="preserve">https://www.perseus.tufts.edu/hopper/text?doc=Perseus:text:2008.01.0641:book=5</x:t>
        </x:is>
      </x:c>
      <x:c r="N34" s="81" t="inlineStr">
        <x:is>
          <x:t xml:space="preserve">https://catalog.perseus.tufts.edu/catalog/urn:cts:greekLit:tlg0562.tlg001</x:t>
        </x:is>
      </x:c>
      <x:c r="O34" s="81" t="inlineStr">
        <x:is>
          <x:t xml:space="preserve">A - Primary source / institutional corpus</x:t>
        </x:is>
      </x:c>
      <x:c r="P34" s="81" t="inlineStr">
        <x:is>
          <x:t xml:space="preserve">Traceable self-address/image in Meditations; summary is Selflo research summary, not an invented historical scene.</x:t>
        </x:is>
      </x:c>
      <x:c r="Q34" s="81" t="inlineStr">
        <x:is>
          <x:t xml:space="preserve">Ancient work public domain / digital edition terms apply</x:t>
        </x:is>
      </x:c>
      <x:c r="R34" s="81" t="inlineStr">
        <x:is>
          <x:t xml:space="preserve">Fresh Selflo adaptation only; do not add biography or dialogue not present in the source.</x:t>
        </x:is>
      </x:c>
      <x:c r="S34" s="81" t="inlineStr">
        <x:is>
          <x:t xml:space="preserve">Meditative self-address, not independent historical reporting.</x:t>
        </x:is>
      </x:c>
      <x:c r="T34" s="81" t="inlineStr">
        <x:is>
          <x:t xml:space="preserve">principle.marcus.day8.*</x:t>
        </x:is>
      </x:c>
      <x:c r="U34" s="81" t="str"/>
      <x:c r="V34" s="81" t="inlineStr">
        <x:is>
          <x:t xml:space="preserve">Medium</x:t>
        </x:is>
      </x:c>
      <x:c r="W34" s="81" t="inlineStr">
        <x:is>
          <x:t xml:space="preserve">Dễ thành hustle/shame nếu cắt ngắn; chỉ dùng nếu giữ cả tension giữa rest và duty.</x:t>
        </x:is>
      </x:c>
      <x:c r="X34" s="81" t="inlineStr">
        <x:is>
          <x:t xml:space="preserve">Yes</x:t>
        </x:is>
      </x:c>
      <x:c r="Y34" s="81" t="inlineStr">
        <x:is>
          <x:t xml:space="preserve">No</x:t>
        </x:is>
      </x:c>
      <x:c r="Z34" s="81" t="inlineStr">
        <x:is>
          <x:t xml:space="preserve">Source verified at book/passage level; exact wording recheck before Release</x:t>
        </x:is>
      </x:c>
      <x:c r="AA34" s="81" t="n"/>
      <x:c r="AB34" s="81" t="n"/>
      <x:c r="AC34" s="81" t="n"/>
      <x:c r="AD34" s="81" t="n"/>
      <x:c r="AE34" s="81" t="n"/>
      <x:c r="AF34" s="81" t="n"/>
    </x:row>
    <x:row r="35">
      <x:c r="A35" s="81" t="inlineStr">
        <x:is>
          <x:t xml:space="preserve">story.marcus.day8_return_to_self</x:t>
        </x:is>
      </x:c>
      <x:c r="B35" s="81" t="inlineStr">
        <x:is>
          <x:t xml:space="preserve">Collected</x:t>
        </x:is>
      </x:c>
      <x:c r="C35" s="81" t="inlineStr">
        <x:is>
          <x:t xml:space="preserve">Bị kéo lệch rồi quay lại</x:t>
        </x:is>
      </x:c>
      <x:c r="D35" s="81" t="inlineStr">
        <x:is>
          <x:t xml:space="preserve">Return to self</x:t>
        </x:is>
      </x:c>
      <x:c r="E35" s="81" t="inlineStr">
        <x:is>
          <x:t xml:space="preserve">Meditative instruction</x:t>
        </x:is>
      </x:c>
      <x:c r="F35" s="81" t="inlineStr">
        <x:is>
          <x:t xml:space="preserve">Greco-Roman / Stoic</x:t>
        </x:is>
      </x:c>
      <x:c r="G35" s="81" t="inlineStr">
        <x:is>
          <x:t xml:space="preserve">Recovery / Agency</x:t>
        </x:is>
      </x:c>
      <x:c r="H35" s="81" t="inlineStr">
        <x:is>
          <x:t xml:space="preserve">Re-centering</x:t>
        </x:is>
      </x:c>
      <x:c r="I35" s="81" t="inlineStr">
        <x:is>
          <x:t xml:space="preserve">Khi hoàn cảnh liên tục kéo mình khỏi nhịp</x:t>
        </x:is>
      </x:c>
      <x:c r="J35" s="81" t="inlineStr">
        <x:is>
          <x:t xml:space="preserve">Marcus tự nhắc rằng khi hoàn cảnh xung quanh kéo mình lệch đi, hãy quay lại với mình sớm nhất có thể; việc quay lại nhiều lần giúp nhịp nội tại trở nên quen thuộc hơn.</x:t>
        </x:is>
      </x:c>
      <x:c r="K35" s="81" t="inlineStr">
        <x:is>
          <x:t xml:space="preserve">Marcus Aurelius</x:t>
        </x:is>
      </x:c>
      <x:c r="L35" s="81" t="inlineStr">
        <x:is>
          <x:t xml:space="preserve">Meditations Book 6</x:t>
        </x:is>
      </x:c>
      <x:c r="M35" s="81" t="inlineStr">
        <x:is>
          <x:t xml:space="preserve">https://www.perseus.tufts.edu/hopper/text?doc=Perseus:text:2008.01.0641:book=6</x:t>
        </x:is>
      </x:c>
      <x:c r="N35" s="81" t="inlineStr">
        <x:is>
          <x:t xml:space="preserve">https://catalog.perseus.tufts.edu/catalog/urn:cts:greekLit:tlg0562.tlg001</x:t>
        </x:is>
      </x:c>
      <x:c r="O35" s="81" t="inlineStr">
        <x:is>
          <x:t xml:space="preserve">A - Primary source / institutional corpus</x:t>
        </x:is>
      </x:c>
      <x:c r="P35" s="81" t="inlineStr">
        <x:is>
          <x:t xml:space="preserve">Traceable self-address/image in Meditations; summary is Selflo research summary, not an invented historical scene.</x:t>
        </x:is>
      </x:c>
      <x:c r="Q35" s="81" t="inlineStr">
        <x:is>
          <x:t xml:space="preserve">Ancient work public domain / digital edition terms apply</x:t>
        </x:is>
      </x:c>
      <x:c r="R35" s="81" t="inlineStr">
        <x:is>
          <x:t xml:space="preserve">Fresh Selflo adaptation only; do not add biography or dialogue not present in the source.</x:t>
        </x:is>
      </x:c>
      <x:c r="S35" s="81" t="inlineStr">
        <x:is>
          <x:t xml:space="preserve">Meditative self-address, not independent historical reporting.</x:t>
        </x:is>
      </x:c>
      <x:c r="T35" s="81" t="inlineStr">
        <x:is>
          <x:t xml:space="preserve">principle.marcus.day8.*</x:t>
        </x:is>
      </x:c>
      <x:c r="U35" s="81" t="str"/>
      <x:c r="V35" s="81" t="inlineStr">
        <x:is>
          <x:t xml:space="preserve">High</x:t>
        </x:is>
      </x:c>
      <x:c r="W35" s="81" t="inlineStr">
        <x:is>
          <x:t xml:space="preserve">Gần flow Quote → Reflection → Journey.</x:t>
        </x:is>
      </x:c>
      <x:c r="X35" s="81" t="inlineStr">
        <x:is>
          <x:t xml:space="preserve">Yes</x:t>
        </x:is>
      </x:c>
      <x:c r="Y35" s="81" t="inlineStr">
        <x:is>
          <x:t xml:space="preserve">No</x:t>
        </x:is>
      </x:c>
      <x:c r="Z35" s="81" t="inlineStr">
        <x:is>
          <x:t xml:space="preserve">Source verified at book/passage level; exact wording recheck before Release</x:t>
        </x:is>
      </x:c>
      <x:c r="AA35" s="81" t="n"/>
      <x:c r="AB35" s="81" t="n"/>
      <x:c r="AC35" s="81" t="n"/>
      <x:c r="AD35" s="81" t="n"/>
      <x:c r="AE35" s="81" t="n"/>
      <x:c r="AF35" s="81" t="n"/>
    </x:row>
    <x:row r="36">
      <x:c r="A36" t="inlineStr">
        <x:is>
          <x:t xml:space="preserve">story.seneca.day9.serenus_after_illness</x:t>
        </x:is>
      </x:c>
      <x:c r="B36" t="inlineStr">
        <x:is>
          <x:t xml:space="preserve">Collected</x:t>
        </x:is>
      </x:c>
      <x:c r="C36" t="inlineStr">
        <x:is>
          <x:t xml:space="preserve">Mặt biển đã yên nhưng vẫn còn rung</x:t>
        </x:is>
      </x:c>
      <x:c r="D36" t="inlineStr">
        <x:is>
          <x:t xml:space="preserve">Mặt biển đã yên nhưng vẫn còn rung</x:t>
        </x:is>
      </x:c>
      <x:c r="E36" t="inlineStr">
        <x:is>
          <x:t xml:space="preserve">Traceable textual scene / letter episode</x:t>
        </x:is>
      </x:c>
      <x:c r="M36" t="inlineStr">
        <x:is>
          <x:t xml:space="preserve">https://la.wikisource.org/wiki/De_Tranquillitate_Animi</x:t>
        </x:is>
      </x:c>
      <x:c r="V36" t="inlineStr">
        <x:is>
          <x:t xml:space="preserve">High</x:t>
        </x:is>
      </x:c>
    </x:row>
    <x:row r="37">
      <x:c r="A37" t="inlineStr">
        <x:is>
          <x:t xml:space="preserve">story.seneca.day9.change_sky_not_mind</x:t>
        </x:is>
      </x:c>
      <x:c r="B37" t="inlineStr">
        <x:is>
          <x:t xml:space="preserve">Collected</x:t>
        </x:is>
      </x:c>
      <x:c r="C37" t="inlineStr">
        <x:is>
          <x:t xml:space="preserve">Đi xa nhưng mang mình theo</x:t>
        </x:is>
      </x:c>
      <x:c r="D37" t="inlineStr">
        <x:is>
          <x:t xml:space="preserve">Đi xa nhưng mang mình theo</x:t>
        </x:is>
      </x:c>
      <x:c r="E37" t="inlineStr">
        <x:is>
          <x:t xml:space="preserve">Traceable textual scene / letter episode</x:t>
        </x:is>
      </x:c>
      <x:c r="M37" t="inlineStr">
        <x:is>
          <x:t xml:space="preserve">https://la.wikisource.org/wiki/Epistulae_morales_ad_Lucilium</x:t>
        </x:is>
      </x:c>
      <x:c r="V37" t="inlineStr">
        <x:is>
          <x:t xml:space="preserve">High</x:t>
        </x:is>
      </x:c>
    </x:row>
    <x:row r="38">
      <x:c r="A38" t="inlineStr">
        <x:is>
          <x:t xml:space="preserve">story.seneca.day9_noise_above_bathhouse</x:t>
        </x:is>
      </x:c>
      <x:c r="B38" t="inlineStr">
        <x:is>
          <x:t xml:space="preserve">Collected</x:t>
        </x:is>
      </x:c>
      <x:c r="C38" t="inlineStr">
        <x:is>
          <x:t xml:space="preserve">Căn phòng trên nhà tắm công cộng</x:t>
        </x:is>
      </x:c>
      <x:c r="D38" t="inlineStr">
        <x:is>
          <x:t xml:space="preserve">Căn phòng trên nhà tắm công cộng</x:t>
        </x:is>
      </x:c>
      <x:c r="E38" t="inlineStr">
        <x:is>
          <x:t xml:space="preserve">Traceable textual scene / letter episode</x:t>
        </x:is>
      </x:c>
      <x:c r="M38" t="inlineStr">
        <x:is>
          <x:t xml:space="preserve">https://la.wikisource.org/wiki/Epistulae_morales_ad_Lucilium</x:t>
        </x:is>
      </x:c>
      <x:c r="V38" t="inlineStr">
        <x:is>
          <x:t xml:space="preserve">High</x:t>
        </x:is>
      </x:c>
    </x:row>
    <x:row r="39">
      <x:c r="A39" t="inlineStr">
        <x:is>
          <x:t xml:space="preserve">story.seneca.day9_simple_meal_after_journey</x:t>
        </x:is>
      </x:c>
      <x:c r="B39" t="inlineStr">
        <x:is>
          <x:t xml:space="preserve">Collected</x:t>
        </x:is>
      </x:c>
      <x:c r="C39" t="inlineStr">
        <x:is>
          <x:t xml:space="preserve">Bữa ăn muộn sau chuyến đi</x:t>
        </x:is>
      </x:c>
      <x:c r="D39" t="inlineStr">
        <x:is>
          <x:t xml:space="preserve">Bữa ăn muộn sau chuyến đi</x:t>
        </x:is>
      </x:c>
      <x:c r="E39" t="inlineStr">
        <x:is>
          <x:t xml:space="preserve">Traceable textual scene / letter episode</x:t>
        </x:is>
      </x:c>
      <x:c r="M39" t="inlineStr">
        <x:is>
          <x:t xml:space="preserve">https://la.wikisource.org/wiki/Epistulae_morales_ad_Lucilium</x:t>
        </x:is>
      </x:c>
      <x:c r="V39" t="inlineStr">
        <x:is>
          <x:t xml:space="preserve">Medium</x:t>
        </x:is>
      </x:c>
    </x:row>
    <x:row r="40">
      <x:c r="A40" t="inlineStr">
        <x:is>
          <x:t xml:space="preserve">story.seneca.day9_slaves_are_people</x:t>
        </x:is>
      </x:c>
      <x:c r="B40" t="inlineStr">
        <x:is>
          <x:t xml:space="preserve">Collected</x:t>
        </x:is>
      </x:c>
      <x:c r="C40" t="inlineStr">
        <x:is>
          <x:t xml:space="preserve">Bữa ăn với người bị gọi là nô lệ</x:t>
        </x:is>
      </x:c>
      <x:c r="D40" t="inlineStr">
        <x:is>
          <x:t xml:space="preserve">Bữa ăn với người bị gọi là nô lệ</x:t>
        </x:is>
      </x:c>
      <x:c r="E40" t="inlineStr">
        <x:is>
          <x:t xml:space="preserve">Traceable textual scene / letter episode</x:t>
        </x:is>
      </x:c>
      <x:c r="M40" t="inlineStr">
        <x:is>
          <x:t xml:space="preserve">https://la.wikisource.org/wiki/Epistulae_morales_ad_Lucilium</x:t>
        </x:is>
      </x:c>
      <x:c r="V40" t="inlineStr">
        <x:is>
          <x:t xml:space="preserve">High</x:t>
        </x:is>
      </x:c>
    </x:row>
    <x:row r="41">
      <x:c r="A41" t="inlineStr">
        <x:is>
          <x:t xml:space="preserve">story.seneca.day9_serenus_public_life</x:t>
        </x:is>
      </x:c>
      <x:c r="B41" t="inlineStr">
        <x:is>
          <x:t xml:space="preserve">Collected</x:t>
        </x:is>
      </x:c>
      <x:c r="C41" t="inlineStr">
        <x:is>
          <x:t xml:space="preserve">Serenus giữa tham vọng và đời sống giản dị</x:t>
        </x:is>
      </x:c>
      <x:c r="D41" t="inlineStr">
        <x:is>
          <x:t xml:space="preserve">Serenus giữa tham vọng và đời sống giản dị</x:t>
        </x:is>
      </x:c>
      <x:c r="E41" t="inlineStr">
        <x:is>
          <x:t xml:space="preserve">Traceable textual scene / letter episode</x:t>
        </x:is>
      </x:c>
      <x:c r="M41" t="inlineStr">
        <x:is>
          <x:t xml:space="preserve">https://la.wikisource.org/wiki/De_Tranquillitate_Animi</x:t>
        </x:is>
      </x:c>
      <x:c r="V41" t="inlineStr">
        <x:is>
          <x:t xml:space="preserve">High</x:t>
        </x:is>
      </x:c>
    </x:row>
    <x:row r="42">
      <x:c r="A42" t="inlineStr">
        <x:is>
          <x:t xml:space="preserve">story.musonius.day10.syrian_king</x:t>
        </x:is>
      </x:c>
      <x:c r="B42" t="inlineStr">
        <x:is>
          <x:t xml:space="preserve">Collected</x:t>
        </x:is>
      </x:c>
      <x:c r="C42" t="inlineStr">
        <x:is>
          <x:t xml:space="preserve">Nhà vua hỏi triết gia</x:t>
        </x:is>
      </x:c>
      <x:c r="D42" t="inlineStr">
        <x:is>
          <x:t xml:space="preserve">Nhà vua hỏi triết gia</x:t>
        </x:is>
      </x:c>
      <x:c r="E42" t="inlineStr">
        <x:is>
          <x:t xml:space="preserve">Traceable teaching scene/testimonium</x:t>
        </x:is>
      </x:c>
      <x:c r="M42" t="inlineStr">
        <x:is>
          <x:t xml:space="preserve">https://iep.utm.edu/musonius/</x:t>
        </x:is>
      </x:c>
      <x:c r="V42" t="inlineStr">
        <x:is>
          <x:t xml:space="preserve">High</x:t>
        </x:is>
      </x:c>
    </x:row>
    <x:row r="43">
      <x:c r="A43" t="inlineStr">
        <x:is>
          <x:t xml:space="preserve">story.musonius.day10.gyaros_exile</x:t>
        </x:is>
      </x:c>
      <x:c r="B43" t="inlineStr">
        <x:is>
          <x:t xml:space="preserve">Collected</x:t>
        </x:is>
      </x:c>
      <x:c r="C43" t="inlineStr">
        <x:is>
          <x:t xml:space="preserve">Đảo Gyaros và dòng nước</x:t>
        </x:is>
      </x:c>
      <x:c r="D43" t="inlineStr">
        <x:is>
          <x:t xml:space="preserve">Đảo Gyaros và dòng nước</x:t>
        </x:is>
      </x:c>
      <x:c r="E43" t="inlineStr">
        <x:is>
          <x:t xml:space="preserve">Traceable teaching scene/testimonium</x:t>
        </x:is>
      </x:c>
      <x:c r="M43" t="inlineStr">
        <x:is>
          <x:t xml:space="preserve">https://iep.utm.edu/musonius/</x:t>
        </x:is>
      </x:c>
      <x:c r="V43" t="inlineStr">
        <x:is>
          <x:t xml:space="preserve">Medium</x:t>
        </x:is>
      </x:c>
    </x:row>
    <x:row r="44">
      <x:c r="A44" t="inlineStr">
        <x:is>
          <x:t xml:space="preserve">story.musonius.day10.farming_and_philosophy</x:t>
        </x:is>
      </x:c>
      <x:c r="B44" t="inlineStr">
        <x:is>
          <x:t xml:space="preserve">Collected</x:t>
        </x:is>
      </x:c>
      <x:c r="C44" t="inlineStr">
        <x:is>
          <x:t xml:space="preserve">Làm ruộng mà vẫn học triết</x:t>
        </x:is>
      </x:c>
      <x:c r="D44" t="inlineStr">
        <x:is>
          <x:t xml:space="preserve">Làm ruộng mà vẫn học triết</x:t>
        </x:is>
      </x:c>
      <x:c r="E44" t="inlineStr">
        <x:is>
          <x:t xml:space="preserve">Traceable teaching scene/testimonium</x:t>
        </x:is>
      </x:c>
      <x:c r="M44" t="inlineStr">
        <x:is>
          <x:t xml:space="preserve">https://iep.utm.edu/musonius/</x:t>
        </x:is>
      </x:c>
      <x:c r="V44" t="inlineStr">
        <x:is>
          <x:t xml:space="preserve">High</x:t>
        </x:is>
      </x:c>
    </x:row>
    <x:row r="45">
      <x:c r="A45" t="inlineStr">
        <x:is>
          <x:t xml:space="preserve">story.musonius.day10.parents_and_wrong_action</x:t>
        </x:is>
      </x:c>
      <x:c r="B45" t="inlineStr">
        <x:is>
          <x:t xml:space="preserve">Collected</x:t>
        </x:is>
      </x:c>
      <x:c r="C45" t="inlineStr">
        <x:is>
          <x:t xml:space="preserve">Khi cha mẹ yêu cầu điều mình cho là sai</x:t>
        </x:is>
      </x:c>
      <x:c r="D45" t="inlineStr">
        <x:is>
          <x:t xml:space="preserve">Khi cha mẹ yêu cầu điều mình cho là sai</x:t>
        </x:is>
      </x:c>
      <x:c r="E45" t="inlineStr">
        <x:is>
          <x:t xml:space="preserve">Traceable teaching scene/testimonium</x:t>
        </x:is>
      </x:c>
      <x:c r="M45" t="inlineStr">
        <x:is>
          <x:t xml:space="preserve">https://iep.utm.edu/musonius/</x:t>
        </x:is>
      </x:c>
      <x:c r="V45" t="inlineStr">
        <x:is>
          <x:t xml:space="preserve">High</x:t>
        </x:is>
      </x:c>
    </x:row>
    <x:row r="46">
      <x:c r="A46" t="inlineStr">
        <x:is>
          <x:t xml:space="preserve">story.musonius.day10_theory_practice</x:t>
        </x:is>
      </x:c>
      <x:c r="B46" t="inlineStr">
        <x:is>
          <x:t xml:space="preserve">Collected</x:t>
        </x:is>
      </x:c>
      <x:c r="C46" t="inlineStr">
        <x:is>
          <x:t xml:space="preserve">Người biết lý thuyết và người đã luyện</x:t>
        </x:is>
      </x:c>
      <x:c r="D46" t="inlineStr">
        <x:is>
          <x:t xml:space="preserve">Người biết lý thuyết và người đã luyện</x:t>
        </x:is>
      </x:c>
      <x:c r="E46" t="inlineStr">
        <x:is>
          <x:t xml:space="preserve">Traceable teaching scene/testimonium</x:t>
        </x:is>
      </x:c>
      <x:c r="M46" t="inlineStr">
        <x:is>
          <x:t xml:space="preserve">https://iep.utm.edu/musonius/</x:t>
        </x:is>
      </x:c>
      <x:c r="V46" t="inlineStr">
        <x:is>
          <x:t xml:space="preserve">High</x:t>
        </x:is>
      </x:c>
    </x:row>
    <x:row r="47">
      <x:c r="A47" t="inlineStr">
        <x:is>
          <x:t xml:space="preserve">story.dhammapada.day11.kisa_gotami</x:t>
        </x:is>
      </x:c>
      <x:c r="B47" t="inlineStr">
        <x:is>
          <x:t xml:space="preserve">Collected</x:t>
        </x:is>
      </x:c>
      <x:c r="C47" t="inlineStr">
        <x:is>
          <x:t xml:space="preserve">Kisā Gotamī và hạt cải</x:t>
        </x:is>
      </x:c>
      <x:c r="D47" t="inlineStr">
        <x:is>
          <x:t xml:space="preserve">Kisā Gotamī và hạt cải</x:t>
        </x:is>
      </x:c>
      <x:c r="E47" t="inlineStr">
        <x:is>
          <x:t xml:space="preserve">Canonical teaching image / Dhammapada Commentary story</x:t>
        </x:is>
      </x:c>
      <x:c r="M47" t="inlineStr">
        <x:is>
          <x:t xml:space="preserve">https://ancient-buddhist-texts.net/English-Texts/Dhamma-Verses-Comm/index.htm</x:t>
        </x:is>
      </x:c>
      <x:c r="V47" t="inlineStr">
        <x:is>
          <x:t xml:space="preserve">High</x:t>
        </x:is>
      </x:c>
    </x:row>
    <x:row r="48">
      <x:c r="A48" t="inlineStr">
        <x:is>
          <x:t xml:space="preserve">story.dhammapada.day11.patacara</x:t>
        </x:is>
      </x:c>
      <x:c r="B48" t="inlineStr">
        <x:is>
          <x:t xml:space="preserve">Collected</x:t>
        </x:is>
      </x:c>
      <x:c r="C48" t="inlineStr">
        <x:is>
          <x:t xml:space="preserve">Paṭācārā sau nhiều mất mát</x:t>
        </x:is>
      </x:c>
      <x:c r="D48" t="inlineStr">
        <x:is>
          <x:t xml:space="preserve">Paṭācārā sau nhiều mất mát</x:t>
        </x:is>
      </x:c>
      <x:c r="E48" t="inlineStr">
        <x:is>
          <x:t xml:space="preserve">Canonical teaching image / Dhammapada Commentary story</x:t>
        </x:is>
      </x:c>
      <x:c r="M48" t="inlineStr">
        <x:is>
          <x:t xml:space="preserve">https://ancient-buddhist-texts.net/English-Texts/Dhamma-Verses-Comm/index.htm</x:t>
        </x:is>
      </x:c>
      <x:c r="V48" t="inlineStr">
        <x:is>
          <x:t xml:space="preserve">High</x:t>
        </x:is>
      </x:c>
    </x:row>
    <x:row r="49">
      <x:c r="A49" t="inlineStr">
        <x:is>
          <x:t xml:space="preserve">story.dhammapada.day11_quarrelling_monks</x:t>
        </x:is>
      </x:c>
      <x:c r="B49" t="inlineStr">
        <x:is>
          <x:t xml:space="preserve">Collected</x:t>
        </x:is>
      </x:c>
      <x:c r="C49" t="inlineStr">
        <x:is>
          <x:t xml:space="preserve">Những người tranh cãi không chịu dừng</x:t>
        </x:is>
      </x:c>
      <x:c r="D49" t="inlineStr">
        <x:is>
          <x:t xml:space="preserve">Những người tranh cãi không chịu dừng</x:t>
        </x:is>
      </x:c>
      <x:c r="E49" t="inlineStr">
        <x:is>
          <x:t xml:space="preserve">Canonical teaching image / Dhammapada Commentary story</x:t>
        </x:is>
      </x:c>
      <x:c r="M49" t="inlineStr">
        <x:is>
          <x:t xml:space="preserve">https://ancient-buddhist-texts.net/English-Texts/Dhamma-Verses-Comm/index.htm</x:t>
        </x:is>
      </x:c>
      <x:c r="V49" t="inlineStr">
        <x:is>
          <x:t xml:space="preserve">High</x:t>
        </x:is>
      </x:c>
    </x:row>
    <x:row r="50">
      <x:c r="A50" t="inlineStr">
        <x:is>
          <x:t xml:space="preserve">story.dhammapada.day11.spoon_and_tongue</x:t>
        </x:is>
      </x:c>
      <x:c r="B50" t="inlineStr">
        <x:is>
          <x:t xml:space="preserve">Collected</x:t>
        </x:is>
      </x:c>
      <x:c r="C50" t="inlineStr">
        <x:is>
          <x:t xml:space="preserve">Chiếc muỗng và cái lưỡi</x:t>
        </x:is>
      </x:c>
      <x:c r="D50" t="inlineStr">
        <x:is>
          <x:t xml:space="preserve">Chiếc muỗng và cái lưỡi</x:t>
        </x:is>
      </x:c>
      <x:c r="E50" t="inlineStr">
        <x:is>
          <x:t xml:space="preserve">Canonical teaching image / Dhammapada Commentary story</x:t>
        </x:is>
      </x:c>
      <x:c r="M50" t="inlineStr">
        <x:is>
          <x:t xml:space="preserve">https://ancient-buddhist-texts.net/English-Texts/Dhamma-Verses-Comm/index.htm</x:t>
        </x:is>
      </x:c>
      <x:c r="V50" t="inlineStr">
        <x:is>
          <x:t xml:space="preserve">High</x:t>
        </x:is>
      </x:c>
    </x:row>
    <x:row r="51">
      <x:c r="A51" t="inlineStr">
        <x:is>
          <x:t xml:space="preserve">story.dhammapada.day11_water_pot</x:t>
        </x:is>
      </x:c>
      <x:c r="B51" t="inlineStr">
        <x:is>
          <x:t xml:space="preserve">Collected</x:t>
        </x:is>
      </x:c>
      <x:c r="C51" t="inlineStr">
        <x:is>
          <x:t xml:space="preserve">Chiếc bình đầy từng giọt</x:t>
        </x:is>
      </x:c>
      <x:c r="D51" t="inlineStr">
        <x:is>
          <x:t xml:space="preserve">Chiếc bình đầy từng giọt</x:t>
        </x:is>
      </x:c>
      <x:c r="E51" t="inlineStr">
        <x:is>
          <x:t xml:space="preserve">Canonical teaching image / Dhammapada Commentary story</x:t>
        </x:is>
      </x:c>
      <x:c r="M51" t="inlineStr">
        <x:is>
          <x:t xml:space="preserve">https://ancient-buddhist-texts.net/English-Texts/Dhamma-Verses-Comm/index.htm</x:t>
        </x:is>
      </x:c>
      <x:c r="V51" t="inlineStr">
        <x:is>
          <x:t xml:space="preserve">High</x:t>
        </x:is>
      </x:c>
    </x:row>
    <x:row r="52">
      <x:c r="A52" t="inlineStr">
        <x:is>
          <x:t xml:space="preserve">story.dhammapada.day11_elephant_alone</x:t>
        </x:is>
      </x:c>
      <x:c r="B52" t="inlineStr">
        <x:is>
          <x:t xml:space="preserve">Collected</x:t>
        </x:is>
      </x:c>
      <x:c r="C52" t="inlineStr">
        <x:is>
          <x:t xml:space="preserve">Con voi đi một mình trong rừng</x:t>
        </x:is>
      </x:c>
      <x:c r="D52" t="inlineStr">
        <x:is>
          <x:t xml:space="preserve">Con voi đi một mình trong rừng</x:t>
        </x:is>
      </x:c>
      <x:c r="E52" t="inlineStr">
        <x:is>
          <x:t xml:space="preserve">Canonical teaching image / Dhammapada Commentary story</x:t>
        </x:is>
      </x:c>
      <x:c r="M52" t="inlineStr">
        <x:is>
          <x:t xml:space="preserve">https://ancient-buddhist-texts.net/English-Texts/Dhamma-Verses-Comm/index.htm</x:t>
        </x:is>
      </x:c>
      <x:c r="V52" t="inlineStr">
        <x:is>
          <x:t xml:space="preserve">High</x:t>
        </x:is>
      </x:c>
    </x:row>
    <x:row r="53">
      <x:c r="A53" t="inlineStr">
        <x:is>
          <x:t xml:space="preserve">story.mn.day12.raft</x:t>
        </x:is>
      </x:c>
      <x:c r="B53" t="inlineStr">
        <x:is>
          <x:t xml:space="preserve">Collected</x:t>
        </x:is>
      </x:c>
      <x:c r="C53" t="inlineStr">
        <x:is>
          <x:t xml:space="preserve">Chiếc bè để qua sông</x:t>
        </x:is>
      </x:c>
      <x:c r="D53" t="inlineStr">
        <x:is>
          <x:t xml:space="preserve">Chiếc bè để qua sông</x:t>
        </x:is>
      </x:c>
      <x:c r="E53" t="inlineStr">
        <x:is>
          <x:t xml:space="preserve">Canonical simile / canonical narrative episode</x:t>
        </x:is>
      </x:c>
      <x:c r="F53" t="inlineStr">
        <x:is>
          <x:t xml:space="preserve">Early Buddhist / Pāḷi tradition</x:t>
        </x:is>
      </x:c>
      <x:c r="G53" t="inlineStr">
        <x:is>
          <x:t xml:space="preserve">Day 12 / Majjhima Nikāya</x:t>
        </x:is>
      </x:c>
      <x:c r="I53" t="inlineStr">
        <x:is>
          <x:t xml:space="preserve">Learning / attachment / change</x:t>
        </x:is>
      </x:c>
      <x:c r="J53" t="inlineStr">
        <x:is>
          <x:t xml:space="preserve">Một người đứng trước dòng nước nguy hiểm, tự kết cỏ, cành và lá thành bè rồi dùng tay chân để qua bờ an toàn. Sau khi qua, câu hỏi là có nên vác chiếc bè trên vai mãi không. Bài kinh dùng hình ảnh này để phân biệt công cụ giúp mình đi qua với thứ phải bám giữ mãi.</x:t>
        </x:is>
      </x:c>
      <x:c r="K53" t="inlineStr">
        <x:is>
          <x:t xml:space="preserve">MN 22 Alagaddūpamasutta</x:t>
        </x:is>
      </x:c>
      <x:c r="M53" t="inlineStr">
        <x:is>
          <x:t xml:space="preserve">https://suttacentral.net/mn22/pli/ms</x:t>
        </x:is>
      </x:c>
      <x:c r="O53" t="inlineStr">
        <x:is>
          <x:t xml:space="preserve">A - Primary source</x:t>
        </x:is>
      </x:c>
      <x:c r="P53" t="inlineStr">
        <x:is>
          <x:t xml:space="preserve">Narrative/simile located in the named Majjhima Nikāya sutta; no invented plot added.</x:t>
        </x:is>
      </x:c>
      <x:c r="Q53" t="inlineStr">
        <x:is>
          <x:t xml:space="preserve">Public domain / likely</x:t>
        </x:is>
      </x:c>
      <x:c r="R53" t="inlineStr">
        <x:is>
          <x:t xml:space="preserve">Ancient canonical material; write fresh Selflo adaptation and do not copy a modern translation.</x:t>
        </x:is>
      </x:c>
      <x:c r="V53" t="inlineStr">
        <x:is>
          <x:t xml:space="preserve">High</x:t>
        </x:is>
      </x:c>
      <x:c r="X53" t="inlineStr">
        <x:is>
          <x:t xml:space="preserve">Yes</x:t>
        </x:is>
      </x:c>
      <x:c r="Y53" t="inlineStr">
        <x:is>
          <x:t xml:space="preserve">No</x:t>
        </x:is>
      </x:c>
      <x:c r="Z53" t="inlineStr">
        <x:is>
          <x:t xml:space="preserve">Source verified; adaptation wording pending</x:t>
        </x:is>
      </x:c>
      <x:c r="AA53" t="inlineStr">
        <x:is>
          <x:t xml:space="preserve">Research only</x:t>
        </x:is>
      </x:c>
      <x:c r="AB53" t="inlineStr">
        <x:is>
          <x:t xml:space="preserve">Research Pool</x:t>
        </x:is>
      </x:c>
      <x:c r="AC53" t="n">
        <x:v>12</x:v>
      </x:c>
      <x:c r="AD53" t="inlineStr">
        <x:is>
          <x:t xml:space="preserve">ChatGPT research</x:t>
        </x:is>
      </x:c>
      <x:c r="AE53" t="inlineStr">
        <x:is>
          <x:t xml:space="preserve">2026-09-18</x:t>
        </x:is>
      </x:c>
    </x:row>
    <x:row r="54">
      <x:c r="A54" t="inlineStr">
        <x:is>
          <x:t xml:space="preserve">story.mn.day12.snake</x:t>
        </x:is>
      </x:c>
      <x:c r="B54" t="inlineStr">
        <x:is>
          <x:t xml:space="preserve">Collected</x:t>
        </x:is>
      </x:c>
      <x:c r="C54" t="inlineStr">
        <x:is>
          <x:t xml:space="preserve">Bắt con rắn sai chỗ</x:t>
        </x:is>
      </x:c>
      <x:c r="D54" t="inlineStr">
        <x:is>
          <x:t xml:space="preserve">Bắt con rắn sai chỗ</x:t>
        </x:is>
      </x:c>
      <x:c r="E54" t="inlineStr">
        <x:is>
          <x:t xml:space="preserve">Canonical simile / canonical narrative episode</x:t>
        </x:is>
      </x:c>
      <x:c r="F54" t="inlineStr">
        <x:is>
          <x:t xml:space="preserve">Early Buddhist / Pāḷi tradition</x:t>
        </x:is>
      </x:c>
      <x:c r="G54" t="inlineStr">
        <x:is>
          <x:t xml:space="preserve">Day 12 / Majjhima Nikāya</x:t>
        </x:is>
      </x:c>
      <x:c r="I54" t="inlineStr">
        <x:is>
          <x:t xml:space="preserve">Learning / misuse / judgment</x:t>
        </x:is>
      </x:c>
      <x:c r="J54" t="inlineStr">
        <x:is>
          <x:t xml:space="preserve">Một người cần bắt rắn nhưng nắm sai chỗ có thể bị chính con rắn quay lại cắn. Hình ảnh được dùng cho việc học một điều nhưng nắm sai ý nghĩa hoặc dùng nó để tranh thắng thay vì hiểu.</x:t>
        </x:is>
      </x:c>
      <x:c r="K54" t="inlineStr">
        <x:is>
          <x:t xml:space="preserve">MN 22 Alagaddūpamasutta</x:t>
        </x:is>
      </x:c>
      <x:c r="M54" t="inlineStr">
        <x:is>
          <x:t xml:space="preserve">https://suttacentral.net/mn22/pli/ms</x:t>
        </x:is>
      </x:c>
      <x:c r="O54" t="inlineStr">
        <x:is>
          <x:t xml:space="preserve">A - Primary source</x:t>
        </x:is>
      </x:c>
      <x:c r="P54" t="inlineStr">
        <x:is>
          <x:t xml:space="preserve">Narrative/simile located in the named Majjhima Nikāya sutta; no invented plot added.</x:t>
        </x:is>
      </x:c>
      <x:c r="Q54" t="inlineStr">
        <x:is>
          <x:t xml:space="preserve">Public domain / likely</x:t>
        </x:is>
      </x:c>
      <x:c r="R54" t="inlineStr">
        <x:is>
          <x:t xml:space="preserve">Ancient canonical material; write fresh Selflo adaptation and do not copy a modern translation.</x:t>
        </x:is>
      </x:c>
      <x:c r="V54" t="inlineStr">
        <x:is>
          <x:t xml:space="preserve">High</x:t>
        </x:is>
      </x:c>
      <x:c r="X54" t="inlineStr">
        <x:is>
          <x:t xml:space="preserve">Yes</x:t>
        </x:is>
      </x:c>
      <x:c r="Y54" t="inlineStr">
        <x:is>
          <x:t xml:space="preserve">No</x:t>
        </x:is>
      </x:c>
      <x:c r="Z54" t="inlineStr">
        <x:is>
          <x:t xml:space="preserve">Source verified; adaptation wording pending</x:t>
        </x:is>
      </x:c>
      <x:c r="AA54" t="inlineStr">
        <x:is>
          <x:t xml:space="preserve">Research only</x:t>
        </x:is>
      </x:c>
      <x:c r="AB54" t="inlineStr">
        <x:is>
          <x:t xml:space="preserve">Research Pool</x:t>
        </x:is>
      </x:c>
      <x:c r="AC54" t="n">
        <x:v>12</x:v>
      </x:c>
      <x:c r="AD54" t="inlineStr">
        <x:is>
          <x:t xml:space="preserve">ChatGPT research</x:t>
        </x:is>
      </x:c>
      <x:c r="AE54" t="inlineStr">
        <x:is>
          <x:t xml:space="preserve">2026-09-18</x:t>
        </x:is>
      </x:c>
    </x:row>
    <x:row r="55">
      <x:c r="A55" t="inlineStr">
        <x:is>
          <x:t xml:space="preserve">story.mn.day12.elephant_footprints</x:t>
        </x:is>
      </x:c>
      <x:c r="B55" t="inlineStr">
        <x:is>
          <x:t xml:space="preserve">Collected</x:t>
        </x:is>
      </x:c>
      <x:c r="C55" t="inlineStr">
        <x:is>
          <x:t xml:space="preserve">Dấu chân voi chưa phải con voi</x:t>
        </x:is>
      </x:c>
      <x:c r="D55" t="inlineStr">
        <x:is>
          <x:t xml:space="preserve">Dấu chân voi chưa phải con voi</x:t>
        </x:is>
      </x:c>
      <x:c r="E55" t="inlineStr">
        <x:is>
          <x:t xml:space="preserve">Canonical simile / canonical narrative episode</x:t>
        </x:is>
      </x:c>
      <x:c r="F55" t="inlineStr">
        <x:is>
          <x:t xml:space="preserve">Early Buddhist / Pāḷi tradition</x:t>
        </x:is>
      </x:c>
      <x:c r="G55" t="inlineStr">
        <x:is>
          <x:t xml:space="preserve">Day 12 / Majjhima Nikāya</x:t>
        </x:is>
      </x:c>
      <x:c r="I55" t="inlineStr">
        <x:is>
          <x:t xml:space="preserve">Verification / judgment / AI age</x:t>
        </x:is>
      </x:c>
      <x:c r="J55" t="inlineStr">
        <x:is>
          <x:t xml:space="preserve">Người theo dấu voi thấy một dấu chân lớn nhưng người thợ săn giỏi chưa vội kết luận, vì những con voi cái nhỏ hơn cũng có thể để dấu tương tự. Sự chắc chắn chỉ tăng sau nhiều lớp kiểm chứng.</x:t>
        </x:is>
      </x:c>
      <x:c r="K55" t="inlineStr">
        <x:is>
          <x:t xml:space="preserve">MN 27 Cūḷahatthipadopamasutta</x:t>
        </x:is>
      </x:c>
      <x:c r="M55" t="inlineStr">
        <x:is>
          <x:t xml:space="preserve">https://suttacentral.net/mn27/pli/ms</x:t>
        </x:is>
      </x:c>
      <x:c r="O55" t="inlineStr">
        <x:is>
          <x:t xml:space="preserve">A - Primary source</x:t>
        </x:is>
      </x:c>
      <x:c r="P55" t="inlineStr">
        <x:is>
          <x:t xml:space="preserve">Narrative/simile located in the named Majjhima Nikāya sutta; no invented plot added.</x:t>
        </x:is>
      </x:c>
      <x:c r="Q55" t="inlineStr">
        <x:is>
          <x:t xml:space="preserve">Public domain / likely</x:t>
        </x:is>
      </x:c>
      <x:c r="R55" t="inlineStr">
        <x:is>
          <x:t xml:space="preserve">Ancient canonical material; write fresh Selflo adaptation and do not copy a modern translation.</x:t>
        </x:is>
      </x:c>
      <x:c r="V55" t="inlineStr">
        <x:is>
          <x:t xml:space="preserve">High</x:t>
        </x:is>
      </x:c>
      <x:c r="X55" t="inlineStr">
        <x:is>
          <x:t xml:space="preserve">Yes</x:t>
        </x:is>
      </x:c>
      <x:c r="Y55" t="inlineStr">
        <x:is>
          <x:t xml:space="preserve">No</x:t>
        </x:is>
      </x:c>
      <x:c r="Z55" t="inlineStr">
        <x:is>
          <x:t xml:space="preserve">Source verified; adaptation wording pending</x:t>
        </x:is>
      </x:c>
      <x:c r="AA55" t="inlineStr">
        <x:is>
          <x:t xml:space="preserve">Research only</x:t>
        </x:is>
      </x:c>
      <x:c r="AB55" t="inlineStr">
        <x:is>
          <x:t xml:space="preserve">Research Pool</x:t>
        </x:is>
      </x:c>
      <x:c r="AC55" t="n">
        <x:v>12</x:v>
      </x:c>
      <x:c r="AD55" t="inlineStr">
        <x:is>
          <x:t xml:space="preserve">ChatGPT research</x:t>
        </x:is>
      </x:c>
      <x:c r="AE55" t="inlineStr">
        <x:is>
          <x:t xml:space="preserve">2026-09-18</x:t>
        </x:is>
      </x:c>
    </x:row>
    <x:row r="56">
      <x:c r="A56" t="inlineStr">
        <x:is>
          <x:t xml:space="preserve">story.mn.day12.abhaya_child</x:t>
        </x:is>
      </x:c>
      <x:c r="B56" t="inlineStr">
        <x:is>
          <x:t xml:space="preserve">Collected</x:t>
        </x:is>
      </x:c>
      <x:c r="C56" t="inlineStr">
        <x:is>
          <x:t xml:space="preserve">Đứa trẻ và vật mắc trong miệng</x:t>
        </x:is>
      </x:c>
      <x:c r="D56" t="inlineStr">
        <x:is>
          <x:t xml:space="preserve">Đứa trẻ và vật mắc trong miệng</x:t>
        </x:is>
      </x:c>
      <x:c r="E56" t="inlineStr">
        <x:is>
          <x:t xml:space="preserve">Canonical simile / canonical narrative episode</x:t>
        </x:is>
      </x:c>
      <x:c r="F56" t="inlineStr">
        <x:is>
          <x:t xml:space="preserve">Early Buddhist / Pāḷi tradition</x:t>
        </x:is>
      </x:c>
      <x:c r="G56" t="inlineStr">
        <x:is>
          <x:t xml:space="preserve">Day 12 / Majjhima Nikāya</x:t>
        </x:is>
      </x:c>
      <x:c r="I56" t="inlineStr">
        <x:is>
          <x:t xml:space="preserve">Communication / compassion / timing</x:t>
        </x:is>
      </x:c>
      <x:c r="J56" t="inlineStr">
        <x:is>
          <x:t xml:space="preserve">Khi Vương tử Abhaya hỏi về lời nói khó nghe, một đứa trẻ đang ngồi trên lòng ông trở thành ví dụ: nếu đứa trẻ ngậm vật nguy hiểm, người chăm sóc sẽ lấy nó ra dù có thể gây khó chịu, vì quan tâm đến đứa trẻ. Bài kinh từ đó phân biệt thật/giả, có ích/không ích và đúng thời.</x:t>
        </x:is>
      </x:c>
      <x:c r="K56" t="inlineStr">
        <x:is>
          <x:t xml:space="preserve">MN 58 Abhayarājakumārasutta</x:t>
        </x:is>
      </x:c>
      <x:c r="M56" t="inlineStr">
        <x:is>
          <x:t xml:space="preserve">https://suttacentral.net/mn58/pli/ms</x:t>
        </x:is>
      </x:c>
      <x:c r="O56" t="inlineStr">
        <x:is>
          <x:t xml:space="preserve">A - Primary source</x:t>
        </x:is>
      </x:c>
      <x:c r="P56" t="inlineStr">
        <x:is>
          <x:t xml:space="preserve">Narrative/simile located in the named Majjhima Nikāya sutta; no invented plot added.</x:t>
        </x:is>
      </x:c>
      <x:c r="Q56" t="inlineStr">
        <x:is>
          <x:t xml:space="preserve">Public domain / likely</x:t>
        </x:is>
      </x:c>
      <x:c r="R56" t="inlineStr">
        <x:is>
          <x:t xml:space="preserve">Ancient canonical material; write fresh Selflo adaptation and do not copy a modern translation.</x:t>
        </x:is>
      </x:c>
      <x:c r="V56" t="inlineStr">
        <x:is>
          <x:t xml:space="preserve">High</x:t>
        </x:is>
      </x:c>
      <x:c r="X56" t="inlineStr">
        <x:is>
          <x:t xml:space="preserve">Yes</x:t>
        </x:is>
      </x:c>
      <x:c r="Y56" t="inlineStr">
        <x:is>
          <x:t xml:space="preserve">No</x:t>
        </x:is>
      </x:c>
      <x:c r="Z56" t="inlineStr">
        <x:is>
          <x:t xml:space="preserve">Source verified; adaptation wording pending</x:t>
        </x:is>
      </x:c>
      <x:c r="AA56" t="inlineStr">
        <x:is>
          <x:t xml:space="preserve">Research only</x:t>
        </x:is>
      </x:c>
      <x:c r="AB56" t="inlineStr">
        <x:is>
          <x:t xml:space="preserve">Research Pool</x:t>
        </x:is>
      </x:c>
      <x:c r="AC56" t="n">
        <x:v>12</x:v>
      </x:c>
      <x:c r="AD56" t="inlineStr">
        <x:is>
          <x:t xml:space="preserve">ChatGPT research</x:t>
        </x:is>
      </x:c>
      <x:c r="AE56" t="inlineStr">
        <x:is>
          <x:t xml:space="preserve">2026-09-18</x:t>
        </x:is>
      </x:c>
    </x:row>
    <x:row r="57">
      <x:c r="A57" t="inlineStr">
        <x:is>
          <x:t xml:space="preserve">story.mn.day12.rahula_mirror</x:t>
        </x:is>
      </x:c>
      <x:c r="B57" t="inlineStr">
        <x:is>
          <x:t xml:space="preserve">Collected</x:t>
        </x:is>
      </x:c>
      <x:c r="C57" t="inlineStr">
        <x:is>
          <x:t xml:space="preserve">Rāhula và chiếc gương</x:t>
        </x:is>
      </x:c>
      <x:c r="D57" t="inlineStr">
        <x:is>
          <x:t xml:space="preserve">Rāhula và chiếc gương</x:t>
        </x:is>
      </x:c>
      <x:c r="E57" t="inlineStr">
        <x:is>
          <x:t xml:space="preserve">Canonical simile / canonical narrative episode</x:t>
        </x:is>
      </x:c>
      <x:c r="F57" t="inlineStr">
        <x:is>
          <x:t xml:space="preserve">Early Buddhist / Pāḷi tradition</x:t>
        </x:is>
      </x:c>
      <x:c r="G57" t="inlineStr">
        <x:is>
          <x:t xml:space="preserve">Day 12 / Majjhima Nikāya</x:t>
        </x:is>
      </x:c>
      <x:c r="I57" t="inlineStr">
        <x:is>
          <x:t xml:space="preserve">Reflection / responsibility</x:t>
        </x:is>
      </x:c>
      <x:c r="J57" t="inlineStr">
        <x:is>
          <x:t xml:space="preserve">Rāhula được hỏi chiếc gương dùng để làm gì; từ đó việc soi gương trở thành hình ảnh cho việc nhìn lại hành động trước, trong và sau khi làm, dựa trên tác động tới mình và người khác.</x:t>
        </x:is>
      </x:c>
      <x:c r="K57" t="inlineStr">
        <x:is>
          <x:t xml:space="preserve">MN 61 Ambalaṭṭhikarāhulovādasutta</x:t>
        </x:is>
      </x:c>
      <x:c r="M57" t="inlineStr">
        <x:is>
          <x:t xml:space="preserve">https://suttacentral.net/mn61/pli/ms</x:t>
        </x:is>
      </x:c>
      <x:c r="O57" t="inlineStr">
        <x:is>
          <x:t xml:space="preserve">A - Primary source</x:t>
        </x:is>
      </x:c>
      <x:c r="P57" t="inlineStr">
        <x:is>
          <x:t xml:space="preserve">Narrative/simile located in the named Majjhima Nikāya sutta; no invented plot added.</x:t>
        </x:is>
      </x:c>
      <x:c r="Q57" t="inlineStr">
        <x:is>
          <x:t xml:space="preserve">Public domain / likely</x:t>
        </x:is>
      </x:c>
      <x:c r="R57" t="inlineStr">
        <x:is>
          <x:t xml:space="preserve">Ancient canonical material; write fresh Selflo adaptation and do not copy a modern translation.</x:t>
        </x:is>
      </x:c>
      <x:c r="V57" t="inlineStr">
        <x:is>
          <x:t xml:space="preserve">High</x:t>
        </x:is>
      </x:c>
      <x:c r="X57" t="inlineStr">
        <x:is>
          <x:t xml:space="preserve">Yes</x:t>
        </x:is>
      </x:c>
      <x:c r="Y57" t="inlineStr">
        <x:is>
          <x:t xml:space="preserve">No</x:t>
        </x:is>
      </x:c>
      <x:c r="Z57" t="inlineStr">
        <x:is>
          <x:t xml:space="preserve">Source verified; adaptation wording pending</x:t>
        </x:is>
      </x:c>
      <x:c r="AA57" t="inlineStr">
        <x:is>
          <x:t xml:space="preserve">Research only</x:t>
        </x:is>
      </x:c>
      <x:c r="AB57" t="inlineStr">
        <x:is>
          <x:t xml:space="preserve">Research Pool</x:t>
        </x:is>
      </x:c>
      <x:c r="AC57" t="n">
        <x:v>12</x:v>
      </x:c>
      <x:c r="AD57" t="inlineStr">
        <x:is>
          <x:t xml:space="preserve">ChatGPT research</x:t>
        </x:is>
      </x:c>
      <x:c r="AE57" t="inlineStr">
        <x:is>
          <x:t xml:space="preserve">2026-09-18</x:t>
        </x:is>
      </x:c>
    </x:row>
    <x:row r="58">
      <x:c r="A58" t="inlineStr">
        <x:is>
          <x:t xml:space="preserve">story.mn.day12.earth_water_fire_air</x:t>
        </x:is>
      </x:c>
      <x:c r="B58" t="inlineStr">
        <x:is>
          <x:t xml:space="preserve">Collected</x:t>
        </x:is>
      </x:c>
      <x:c r="C58" t="inlineStr">
        <x:is>
          <x:t xml:space="preserve">Đất, nước, lửa và gió</x:t>
        </x:is>
      </x:c>
      <x:c r="D58" t="inlineStr">
        <x:is>
          <x:t xml:space="preserve">Đất, nước, lửa và gió</x:t>
        </x:is>
      </x:c>
      <x:c r="E58" t="inlineStr">
        <x:is>
          <x:t xml:space="preserve">Canonical simile / canonical narrative episode</x:t>
        </x:is>
      </x:c>
      <x:c r="F58" t="inlineStr">
        <x:is>
          <x:t xml:space="preserve">Early Buddhist / Pāḷi tradition</x:t>
        </x:is>
      </x:c>
      <x:c r="G58" t="inlineStr">
        <x:is>
          <x:t xml:space="preserve">Day 12 / Majjhima Nikāya</x:t>
        </x:is>
      </x:c>
      <x:c r="I58" t="inlineStr">
        <x:is>
          <x:t xml:space="preserve">Emotional capacity / identity</x:t>
        </x:is>
      </x:c>
      <x:c r="J58" t="inlineStr">
        <x:is>
          <x:t xml:space="preserve">Rāhula được mời học từ bốn yếu tố: đất, nước, lửa và gió tiếp xúc với nhiều thứ dễ chịu hay khó chịu mà không vì thế trở thành chính những thứ ấy. Đây là chuỗi simile canonical, không phải truyện dân gian.</x:t>
        </x:is>
      </x:c>
      <x:c r="K58" t="inlineStr">
        <x:is>
          <x:t xml:space="preserve">MN 62 Mahārāhulovādasutta</x:t>
        </x:is>
      </x:c>
      <x:c r="M58" t="inlineStr">
        <x:is>
          <x:t xml:space="preserve">https://suttacentral.net/mn62/pli/ms</x:t>
        </x:is>
      </x:c>
      <x:c r="O58" t="inlineStr">
        <x:is>
          <x:t xml:space="preserve">A - Primary source</x:t>
        </x:is>
      </x:c>
      <x:c r="P58" t="inlineStr">
        <x:is>
          <x:t xml:space="preserve">Narrative/simile located in the named Majjhima Nikāya sutta; no invented plot added.</x:t>
        </x:is>
      </x:c>
      <x:c r="Q58" t="inlineStr">
        <x:is>
          <x:t xml:space="preserve">Public domain / likely</x:t>
        </x:is>
      </x:c>
      <x:c r="R58" t="inlineStr">
        <x:is>
          <x:t xml:space="preserve">Ancient canonical material; write fresh Selflo adaptation and do not copy a modern translation.</x:t>
        </x:is>
      </x:c>
      <x:c r="V58" t="inlineStr">
        <x:is>
          <x:t xml:space="preserve">High</x:t>
        </x:is>
      </x:c>
      <x:c r="X58" t="inlineStr">
        <x:is>
          <x:t xml:space="preserve">Yes</x:t>
        </x:is>
      </x:c>
      <x:c r="Y58" t="inlineStr">
        <x:is>
          <x:t xml:space="preserve">No</x:t>
        </x:is>
      </x:c>
      <x:c r="Z58" t="inlineStr">
        <x:is>
          <x:t xml:space="preserve">Source verified; adaptation wording pending</x:t>
        </x:is>
      </x:c>
      <x:c r="AA58" t="inlineStr">
        <x:is>
          <x:t xml:space="preserve">Research only</x:t>
        </x:is>
      </x:c>
      <x:c r="AB58" t="inlineStr">
        <x:is>
          <x:t xml:space="preserve">Research Pool</x:t>
        </x:is>
      </x:c>
      <x:c r="AC58" t="n">
        <x:v>12</x:v>
      </x:c>
      <x:c r="AD58" t="inlineStr">
        <x:is>
          <x:t xml:space="preserve">ChatGPT research</x:t>
        </x:is>
      </x:c>
      <x:c r="AE58" t="inlineStr">
        <x:is>
          <x:t xml:space="preserve">2026-09-18</x:t>
        </x:is>
      </x:c>
    </x:row>
    <x:row r="59">
      <x:c r="A59" t="inlineStr">
        <x:is>
          <x:t xml:space="preserve">story.mn.day12.pukkusati</x:t>
        </x:is>
      </x:c>
      <x:c r="B59" t="inlineStr">
        <x:is>
          <x:t xml:space="preserve">Collected</x:t>
        </x:is>
      </x:c>
      <x:c r="C59" t="inlineStr">
        <x:is>
          <x:t xml:space="preserve">Ở cạnh người mình tìm mà không nhận ra</x:t>
        </x:is>
      </x:c>
      <x:c r="D59" t="inlineStr">
        <x:is>
          <x:t xml:space="preserve">Ở cạnh người mình tìm mà không nhận ra</x:t>
        </x:is>
      </x:c>
      <x:c r="E59" t="inlineStr">
        <x:is>
          <x:t xml:space="preserve">Canonical simile / canonical narrative episode</x:t>
        </x:is>
      </x:c>
      <x:c r="F59" t="inlineStr">
        <x:is>
          <x:t xml:space="preserve">Early Buddhist / Pāḷi tradition</x:t>
        </x:is>
      </x:c>
      <x:c r="G59" t="inlineStr">
        <x:is>
          <x:t xml:space="preserve">Day 12 / Majjhima Nikāya</x:t>
        </x:is>
      </x:c>
      <x:c r="I59" t="inlineStr">
        <x:is>
          <x:t xml:space="preserve">Expectation / identity / recognition</x:t>
        </x:is>
      </x:c>
      <x:c r="J59" t="inlineStr">
        <x:is>
          <x:t xml:space="preserve">Pukkusāti xuất gia vì niềm tin vào Đức Phật nhưng chưa từng gặp Ngài. Một đêm trong nhà người thợ gốm, ông ở cùng Đức Phật mà không nhận ra. Sau khi nghe giảng, ông mới nhận ra người trước mặt chính là vị thầy mình tìm kiếm.</x:t>
        </x:is>
      </x:c>
      <x:c r="K59" t="inlineStr">
        <x:is>
          <x:t xml:space="preserve">MN 140 Dhātuvibhaṅgasutta</x:t>
        </x:is>
      </x:c>
      <x:c r="M59" t="inlineStr">
        <x:is>
          <x:t xml:space="preserve">https://suttacentral.net/mn140/pli/ms</x:t>
        </x:is>
      </x:c>
      <x:c r="O59" t="inlineStr">
        <x:is>
          <x:t xml:space="preserve">A - Primary source</x:t>
        </x:is>
      </x:c>
      <x:c r="P59" t="inlineStr">
        <x:is>
          <x:t xml:space="preserve">Narrative/simile located in the named Majjhima Nikāya sutta; no invented plot added.</x:t>
        </x:is>
      </x:c>
      <x:c r="Q59" t="inlineStr">
        <x:is>
          <x:t xml:space="preserve">Public domain / likely</x:t>
        </x:is>
      </x:c>
      <x:c r="R59" t="inlineStr">
        <x:is>
          <x:t xml:space="preserve">Ancient canonical material; write fresh Selflo adaptation and do not copy a modern translation.</x:t>
        </x:is>
      </x:c>
      <x:c r="V59" t="inlineStr">
        <x:is>
          <x:t xml:space="preserve">High</x:t>
        </x:is>
      </x:c>
      <x:c r="X59" t="inlineStr">
        <x:is>
          <x:t xml:space="preserve">Yes</x:t>
        </x:is>
      </x:c>
      <x:c r="Y59" t="inlineStr">
        <x:is>
          <x:t xml:space="preserve">No</x:t>
        </x:is>
      </x:c>
      <x:c r="Z59" t="inlineStr">
        <x:is>
          <x:t xml:space="preserve">Source verified; adaptation wording pending</x:t>
        </x:is>
      </x:c>
      <x:c r="AA59" t="inlineStr">
        <x:is>
          <x:t xml:space="preserve">Research only</x:t>
        </x:is>
      </x:c>
      <x:c r="AB59" t="inlineStr">
        <x:is>
          <x:t xml:space="preserve">Research Pool</x:t>
        </x:is>
      </x:c>
      <x:c r="AC59" t="n">
        <x:v>12</x:v>
      </x:c>
      <x:c r="AD59" t="inlineStr">
        <x:is>
          <x:t xml:space="preserve">ChatGPT research</x:t>
        </x:is>
      </x:c>
      <x:c r="AE59" t="inlineStr">
        <x:is>
          <x:t xml:space="preserve">2026-09-18</x:t>
        </x:is>
      </x:c>
    </x:row>
    <x:row r="60">
      <x:c r="A60" t="inlineStr">
        <x:is>
          <x:t xml:space="preserve">story.sn.day13.two_arrows</x:t>
        </x:is>
      </x:c>
      <x:c r="B60" t="inlineStr">
        <x:is>
          <x:t xml:space="preserve">Collected</x:t>
        </x:is>
      </x:c>
      <x:c r="C60" t="inlineStr">
        <x:is>
          <x:t xml:space="preserve">Hai mũi tên</x:t>
        </x:is>
      </x:c>
      <x:c r="D60" t="inlineStr">
        <x:is>
          <x:t xml:space="preserve">Hai mũi tên</x:t>
        </x:is>
      </x:c>
      <x:c r="E60" t="inlineStr">
        <x:is>
          <x:t xml:space="preserve">Canonical simile / narrative episode</x:t>
        </x:is>
      </x:c>
      <x:c r="F60" t="inlineStr">
        <x:is>
          <x:t xml:space="preserve">Early Buddhist / Pāḷi tradition</x:t>
        </x:is>
      </x:c>
      <x:c r="G60" t="inlineStr">
        <x:is>
          <x:t xml:space="preserve">Day 13 / Saṁyutta + Aṅguttara Nikāya</x:t>
        </x:is>
      </x:c>
      <x:c r="H60" t="inlineStr">
        <x:is>
          <x:t xml:space="preserve"/>
        </x:is>
      </x:c>
      <x:c r="I60" t="inlineStr">
        <x:is>
          <x:t xml:space="preserve">Pain / secondary suffering</x:t>
        </x:is>
      </x:c>
      <x:c r="J60" t="inlineStr">
        <x:is>
          <x:t xml:space="preserve">Một người bị trúng một mũi tên rồi lại trúng thêm mũi thứ hai. Bài kinh dùng hình ảnh này để phân biệt cảm giác đau ban đầu với lớp đau khổ tâm lý có thể phát sinh tiếp theo. Selflo phải giữ nuance: mũi tên thứ hai không phải lý do để trách người đang đau.</x:t>
        </x:is>
      </x:c>
      <x:c r="K60" t="inlineStr">
        <x:is>
          <x:t xml:space="preserve">SN 36.6 Sallasutta</x:t>
        </x:is>
      </x:c>
      <x:c r="L60" t="inlineStr">
        <x:is>
          <x:t xml:space="preserve"/>
        </x:is>
      </x:c>
      <x:c r="M60" t="inlineStr">
        <x:is>
          <x:t xml:space="preserve">https://suttacentral.net/sn36.6</x:t>
        </x:is>
      </x:c>
      <x:c r="N60" t="inlineStr">
        <x:is>
          <x:t xml:space="preserve"/>
        </x:is>
      </x:c>
      <x:c r="O60" t="inlineStr">
        <x:is>
          <x:t xml:space="preserve">A - canonical source anchor</x:t>
        </x:is>
      </x:c>
      <x:c r="P60" t="inlineStr">
        <x:is>
          <x:t xml:space="preserve">Story/simile is source-grounded; summary is fresh Selflo research wording.</x:t>
        </x:is>
      </x:c>
      <x:c r="Q60" t="inlineStr">
        <x:is>
          <x:t xml:space="preserve">Public domain / likely</x:t>
        </x:is>
      </x:c>
      <x:c r="R60" t="inlineStr">
        <x:is>
          <x:t xml:space="preserve">Ancient canonical material; create fresh adaptation; modern translations have separate rights.</x:t>
        </x:is>
      </x:c>
      <x:c r="S60" t="inlineStr">
        <x:is>
          <x:t xml:space="preserve"/>
        </x:is>
      </x:c>
      <x:c r="T60" t="inlineStr">
        <x:is>
          <x:t xml:space="preserve"/>
        </x:is>
      </x:c>
      <x:c r="U60" t="inlineStr">
        <x:is>
          <x:t xml:space="preserve"/>
        </x:is>
      </x:c>
      <x:c r="V60" t="inlineStr">
        <x:is>
          <x:t xml:space="preserve">High</x:t>
        </x:is>
      </x:c>
      <x:c r="W60" t="inlineStr">
        <x:is>
          <x:t xml:space="preserve"/>
        </x:is>
      </x:c>
      <x:c r="X60" t="inlineStr">
        <x:is>
          <x:t xml:space="preserve">Yes</x:t>
        </x:is>
      </x:c>
      <x:c r="Y60" t="inlineStr">
        <x:is>
          <x:t xml:space="preserve">No</x:t>
        </x:is>
      </x:c>
      <x:c r="Z60" t="inlineStr">
        <x:is>
          <x:t xml:space="preserve">Source verified; adaptation pending</x:t>
        </x:is>
      </x:c>
      <x:c r="AA60" t="inlineStr">
        <x:is>
          <x:t xml:space="preserve">Research only</x:t>
        </x:is>
      </x:c>
      <x:c r="AB60" t="inlineStr">
        <x:is>
          <x:t xml:space="preserve">Research Pool</x:t>
        </x:is>
      </x:c>
      <x:c r="AC60" t="n">
        <x:v>13</x:v>
      </x:c>
      <x:c r="AD60" t="inlineStr">
        <x:is>
          <x:t xml:space="preserve">ChatGPT research</x:t>
        </x:is>
      </x:c>
      <x:c r="AE60" t="inlineStr">
        <x:is>
          <x:t xml:space="preserve">2026-09-18</x:t>
        </x:is>
      </x:c>
      <x:c r="AF60" t="inlineStr">
        <x:is>
          <x:t xml:space="preserve"/>
        </x:is>
      </x:c>
    </x:row>
    <x:row r="61">
      <x:c r="A61" t="inlineStr">
        <x:is>
          <x:t xml:space="preserve">story.sn.day13.lute</x:t>
        </x:is>
      </x:c>
      <x:c r="B61" t="inlineStr">
        <x:is>
          <x:t xml:space="preserve">Collected</x:t>
        </x:is>
      </x:c>
      <x:c r="C61" t="inlineStr">
        <x:is>
          <x:t xml:space="preserve">Nhà vua đi tìm âm thanh của cây đàn</x:t>
        </x:is>
      </x:c>
      <x:c r="D61" t="inlineStr">
        <x:is>
          <x:t xml:space="preserve">Nhà vua đi tìm âm thanh của cây đàn</x:t>
        </x:is>
      </x:c>
      <x:c r="E61" t="inlineStr">
        <x:is>
          <x:t xml:space="preserve">Canonical simile / narrative episode</x:t>
        </x:is>
      </x:c>
      <x:c r="F61" t="inlineStr">
        <x:is>
          <x:t xml:space="preserve">Early Buddhist / Pāḷi tradition</x:t>
        </x:is>
      </x:c>
      <x:c r="G61" t="inlineStr">
        <x:is>
          <x:t xml:space="preserve">Day 13 / Saṁyutta + Aṅguttara Nikāya</x:t>
        </x:is>
      </x:c>
      <x:c r="H61" t="inlineStr">
        <x:is>
          <x:t xml:space="preserve"/>
        </x:is>
      </x:c>
      <x:c r="I61" t="inlineStr">
        <x:is>
          <x:t xml:space="preserve">Perception / conditions / identity</x:t>
        </x:is>
      </x:c>
      <x:c r="J61" t="inlineStr">
        <x:is>
          <x:t xml:space="preserve">Một vị vua nghe tiếng đàn hấp dẫn và yêu cầu mang riêng 'âm thanh' tới. Khi được giải thích rằng âm thanh xuất hiện nhờ thân đàn, dây, miếng gảy và người chơi cùng hoạt động, ông tháo cây đàn ra nhưng vẫn không tìm thấy một vật riêng tên là âm thanh.</x:t>
        </x:is>
      </x:c>
      <x:c r="K61" t="inlineStr">
        <x:is>
          <x:t xml:space="preserve">SN 35.246 Vīṇopamasutta</x:t>
        </x:is>
      </x:c>
      <x:c r="L61" t="inlineStr">
        <x:is>
          <x:t xml:space="preserve"/>
        </x:is>
      </x:c>
      <x:c r="M61" t="inlineStr">
        <x:is>
          <x:t xml:space="preserve">https://suttacentral.net/sn35.246</x:t>
        </x:is>
      </x:c>
      <x:c r="N61" t="inlineStr">
        <x:is>
          <x:t xml:space="preserve"/>
        </x:is>
      </x:c>
      <x:c r="O61" t="inlineStr">
        <x:is>
          <x:t xml:space="preserve">A - canonical source anchor</x:t>
        </x:is>
      </x:c>
      <x:c r="P61" t="inlineStr">
        <x:is>
          <x:t xml:space="preserve">Story/simile is source-grounded; summary is fresh Selflo research wording.</x:t>
        </x:is>
      </x:c>
      <x:c r="Q61" t="inlineStr">
        <x:is>
          <x:t xml:space="preserve">Public domain / likely</x:t>
        </x:is>
      </x:c>
      <x:c r="R61" t="inlineStr">
        <x:is>
          <x:t xml:space="preserve">Ancient canonical material; create fresh adaptation; modern translations have separate rights.</x:t>
        </x:is>
      </x:c>
      <x:c r="S61" t="inlineStr">
        <x:is>
          <x:t xml:space="preserve"/>
        </x:is>
      </x:c>
      <x:c r="T61" t="inlineStr">
        <x:is>
          <x:t xml:space="preserve"/>
        </x:is>
      </x:c>
      <x:c r="U61" t="inlineStr">
        <x:is>
          <x:t xml:space="preserve"/>
        </x:is>
      </x:c>
      <x:c r="V61" t="inlineStr">
        <x:is>
          <x:t xml:space="preserve">High</x:t>
        </x:is>
      </x:c>
      <x:c r="W61" t="inlineStr">
        <x:is>
          <x:t xml:space="preserve"/>
        </x:is>
      </x:c>
      <x:c r="X61" t="inlineStr">
        <x:is>
          <x:t xml:space="preserve">Yes</x:t>
        </x:is>
      </x:c>
      <x:c r="Y61" t="inlineStr">
        <x:is>
          <x:t xml:space="preserve">No</x:t>
        </x:is>
      </x:c>
      <x:c r="Z61" t="inlineStr">
        <x:is>
          <x:t xml:space="preserve">Source verified; adaptation pending</x:t>
        </x:is>
      </x:c>
      <x:c r="AA61" t="inlineStr">
        <x:is>
          <x:t xml:space="preserve">Research only</x:t>
        </x:is>
      </x:c>
      <x:c r="AB61" t="inlineStr">
        <x:is>
          <x:t xml:space="preserve">Research Pool</x:t>
        </x:is>
      </x:c>
      <x:c r="AC61" t="n">
        <x:v>13</x:v>
      </x:c>
      <x:c r="AD61" t="inlineStr">
        <x:is>
          <x:t xml:space="preserve">ChatGPT research</x:t>
        </x:is>
      </x:c>
      <x:c r="AE61" t="inlineStr">
        <x:is>
          <x:t xml:space="preserve">2026-09-18</x:t>
        </x:is>
      </x:c>
      <x:c r="AF61" t="inlineStr">
        <x:is>
          <x:t xml:space="preserve"/>
        </x:is>
      </x:c>
    </x:row>
    <x:row r="62">
      <x:c r="A62" t="inlineStr">
        <x:is>
          <x:t xml:space="preserve">story.sn.day13.handful_leaves</x:t>
        </x:is>
      </x:c>
      <x:c r="B62" t="inlineStr">
        <x:is>
          <x:t xml:space="preserve">Collected</x:t>
        </x:is>
      </x:c>
      <x:c r="C62" t="inlineStr">
        <x:is>
          <x:t xml:space="preserve">Nắm lá và cả khu rừng</x:t>
        </x:is>
      </x:c>
      <x:c r="D62" t="inlineStr">
        <x:is>
          <x:t xml:space="preserve">Nắm lá và cả khu rừng</x:t>
        </x:is>
      </x:c>
      <x:c r="E62" t="inlineStr">
        <x:is>
          <x:t xml:space="preserve">Canonical simile / narrative episode</x:t>
        </x:is>
      </x:c>
      <x:c r="F62" t="inlineStr">
        <x:is>
          <x:t xml:space="preserve">Early Buddhist / Pāḷi tradition</x:t>
        </x:is>
      </x:c>
      <x:c r="G62" t="inlineStr">
        <x:is>
          <x:t xml:space="preserve">Day 13 / Saṁyutta + Aṅguttara Nikāya</x:t>
        </x:is>
      </x:c>
      <x:c r="H62" t="inlineStr">
        <x:is>
          <x:t xml:space="preserve"/>
        </x:is>
      </x:c>
      <x:c r="I62" t="inlineStr">
        <x:is>
          <x:t xml:space="preserve">Knowledge abundance / relevance</x:t>
        </x:is>
      </x:c>
      <x:c r="J62" t="inlineStr">
        <x:is>
          <x:t xml:space="preserve">Trong rừng siṁsapā, Đức Phật cầm một nắm lá và hỏi lá trong tay hay lá trong rừng nhiều hơn. Hình ảnh được dùng để nói rằng có rất nhiều điều có thể biết nhưng lời dạy tập trung vào phần phục vụ mục tiêu giải thoát.</x:t>
        </x:is>
      </x:c>
      <x:c r="K62" t="inlineStr">
        <x:is>
          <x:t xml:space="preserve">SN 56.31 Siṁsapāvanasutta</x:t>
        </x:is>
      </x:c>
      <x:c r="L62" t="inlineStr">
        <x:is>
          <x:t xml:space="preserve"/>
        </x:is>
      </x:c>
      <x:c r="M62" t="inlineStr">
        <x:is>
          <x:t xml:space="preserve">https://suttacentral.net/sn56.31</x:t>
        </x:is>
      </x:c>
      <x:c r="N62" t="inlineStr">
        <x:is>
          <x:t xml:space="preserve"/>
        </x:is>
      </x:c>
      <x:c r="O62" t="inlineStr">
        <x:is>
          <x:t xml:space="preserve">A - canonical source anchor</x:t>
        </x:is>
      </x:c>
      <x:c r="P62" t="inlineStr">
        <x:is>
          <x:t xml:space="preserve">Story/simile is source-grounded; summary is fresh Selflo research wording.</x:t>
        </x:is>
      </x:c>
      <x:c r="Q62" t="inlineStr">
        <x:is>
          <x:t xml:space="preserve">Public domain / likely</x:t>
        </x:is>
      </x:c>
      <x:c r="R62" t="inlineStr">
        <x:is>
          <x:t xml:space="preserve">Ancient canonical material; create fresh adaptation; modern translations have separate rights.</x:t>
        </x:is>
      </x:c>
      <x:c r="S62" t="inlineStr">
        <x:is>
          <x:t xml:space="preserve"/>
        </x:is>
      </x:c>
      <x:c r="T62" t="inlineStr">
        <x:is>
          <x:t xml:space="preserve"/>
        </x:is>
      </x:c>
      <x:c r="U62" t="inlineStr">
        <x:is>
          <x:t xml:space="preserve"/>
        </x:is>
      </x:c>
      <x:c r="V62" t="inlineStr">
        <x:is>
          <x:t xml:space="preserve">High</x:t>
        </x:is>
      </x:c>
      <x:c r="W62" t="inlineStr">
        <x:is>
          <x:t xml:space="preserve"/>
        </x:is>
      </x:c>
      <x:c r="X62" t="inlineStr">
        <x:is>
          <x:t xml:space="preserve">Yes</x:t>
        </x:is>
      </x:c>
      <x:c r="Y62" t="inlineStr">
        <x:is>
          <x:t xml:space="preserve">No</x:t>
        </x:is>
      </x:c>
      <x:c r="Z62" t="inlineStr">
        <x:is>
          <x:t xml:space="preserve">Source verified; adaptation pending</x:t>
        </x:is>
      </x:c>
      <x:c r="AA62" t="inlineStr">
        <x:is>
          <x:t xml:space="preserve">Research only</x:t>
        </x:is>
      </x:c>
      <x:c r="AB62" t="inlineStr">
        <x:is>
          <x:t xml:space="preserve">Research Pool</x:t>
        </x:is>
      </x:c>
      <x:c r="AC62" t="n">
        <x:v>13</x:v>
      </x:c>
      <x:c r="AD62" t="inlineStr">
        <x:is>
          <x:t xml:space="preserve">ChatGPT research</x:t>
        </x:is>
      </x:c>
      <x:c r="AE62" t="inlineStr">
        <x:is>
          <x:t xml:space="preserve">2026-09-18</x:t>
        </x:is>
      </x:c>
      <x:c r="AF62" t="inlineStr">
        <x:is>
          <x:t xml:space="preserve"/>
        </x:is>
      </x:c>
    </x:row>
    <x:row r="63">
      <x:c r="A63" t="inlineStr">
        <x:is>
          <x:t xml:space="preserve">story.an.day13.kalamas</x:t>
        </x:is>
      </x:c>
      <x:c r="B63" t="inlineStr">
        <x:is>
          <x:t xml:space="preserve">Collected</x:t>
        </x:is>
      </x:c>
      <x:c r="C63" t="inlineStr">
        <x:is>
          <x:t xml:space="preserve">Ngôi làng nơi ai cũng nói mình đúng</x:t>
        </x:is>
      </x:c>
      <x:c r="D63" t="inlineStr">
        <x:is>
          <x:t xml:space="preserve">Ngôi làng nơi ai cũng nói mình đúng</x:t>
        </x:is>
      </x:c>
      <x:c r="E63" t="inlineStr">
        <x:is>
          <x:t xml:space="preserve">Canonical simile / narrative episode</x:t>
        </x:is>
      </x:c>
      <x:c r="F63" t="inlineStr">
        <x:is>
          <x:t xml:space="preserve">Early Buddhist / Pāḷi tradition</x:t>
        </x:is>
      </x:c>
      <x:c r="G63" t="inlineStr">
        <x:is>
          <x:t xml:space="preserve">Day 13 / Saṁyutta + Aṅguttara Nikāya</x:t>
        </x:is>
      </x:c>
      <x:c r="H63" t="inlineStr">
        <x:is>
          <x:t xml:space="preserve"/>
        </x:is>
      </x:c>
      <x:c r="I63" t="inlineStr">
        <x:is>
          <x:t xml:space="preserve">Conflicting answers / judgment</x:t>
        </x:is>
      </x:c>
      <x:c r="J63" t="inlineStr">
        <x:is>
          <x:t xml:space="preserve">Người Kālāma kể rằng nhiều giáo sĩ đến Kesaputta, mỗi người ca ngợi học thuyết của mình và hạ thấp người khác. Họ không biết ai nói thật. Bài kinh xác nhận sự hoài nghi của họ là dễ hiểu rồi đưa ra một cách xem xét không dựa vào authority đơn lẻ.</x:t>
        </x:is>
      </x:c>
      <x:c r="K63" t="inlineStr">
        <x:is>
          <x:t xml:space="preserve">AN 3.65 Kesamuttisutta</x:t>
        </x:is>
      </x:c>
      <x:c r="L63" t="inlineStr">
        <x:is>
          <x:t xml:space="preserve"/>
        </x:is>
      </x:c>
      <x:c r="M63" t="inlineStr">
        <x:is>
          <x:t xml:space="preserve">https://suttacentral.net/an3.65</x:t>
        </x:is>
      </x:c>
      <x:c r="N63" t="inlineStr">
        <x:is>
          <x:t xml:space="preserve"/>
        </x:is>
      </x:c>
      <x:c r="O63" t="inlineStr">
        <x:is>
          <x:t xml:space="preserve">A - canonical source anchor</x:t>
        </x:is>
      </x:c>
      <x:c r="P63" t="inlineStr">
        <x:is>
          <x:t xml:space="preserve">Story/simile is source-grounded; summary is fresh Selflo research wording.</x:t>
        </x:is>
      </x:c>
      <x:c r="Q63" t="inlineStr">
        <x:is>
          <x:t xml:space="preserve">Public domain / likely</x:t>
        </x:is>
      </x:c>
      <x:c r="R63" t="inlineStr">
        <x:is>
          <x:t xml:space="preserve">Ancient canonical material; create fresh adaptation; modern translations have separate rights.</x:t>
        </x:is>
      </x:c>
      <x:c r="S63" t="inlineStr">
        <x:is>
          <x:t xml:space="preserve"/>
        </x:is>
      </x:c>
      <x:c r="T63" t="inlineStr">
        <x:is>
          <x:t xml:space="preserve"/>
        </x:is>
      </x:c>
      <x:c r="U63" t="inlineStr">
        <x:is>
          <x:t xml:space="preserve"/>
        </x:is>
      </x:c>
      <x:c r="V63" t="inlineStr">
        <x:is>
          <x:t xml:space="preserve">High</x:t>
        </x:is>
      </x:c>
      <x:c r="W63" t="inlineStr">
        <x:is>
          <x:t xml:space="preserve"/>
        </x:is>
      </x:c>
      <x:c r="X63" t="inlineStr">
        <x:is>
          <x:t xml:space="preserve">Yes</x:t>
        </x:is>
      </x:c>
      <x:c r="Y63" t="inlineStr">
        <x:is>
          <x:t xml:space="preserve">No</x:t>
        </x:is>
      </x:c>
      <x:c r="Z63" t="inlineStr">
        <x:is>
          <x:t xml:space="preserve">Source verified; adaptation pending</x:t>
        </x:is>
      </x:c>
      <x:c r="AA63" t="inlineStr">
        <x:is>
          <x:t xml:space="preserve">Research only</x:t>
        </x:is>
      </x:c>
      <x:c r="AB63" t="inlineStr">
        <x:is>
          <x:t xml:space="preserve">Research Pool</x:t>
        </x:is>
      </x:c>
      <x:c r="AC63" t="n">
        <x:v>13</x:v>
      </x:c>
      <x:c r="AD63" t="inlineStr">
        <x:is>
          <x:t xml:space="preserve">ChatGPT research</x:t>
        </x:is>
      </x:c>
      <x:c r="AE63" t="inlineStr">
        <x:is>
          <x:t xml:space="preserve">2026-09-18</x:t>
        </x:is>
      </x:c>
      <x:c r="AF63" t="inlineStr">
        <x:is>
          <x:t xml:space="preserve"/>
        </x:is>
      </x:c>
    </x:row>
    <x:row r="64">
      <x:c r="A64" t="inlineStr">
        <x:is>
          <x:t xml:space="preserve">story.sn.day13.quail_hawk</x:t>
        </x:is>
      </x:c>
      <x:c r="B64" t="inlineStr">
        <x:is>
          <x:t xml:space="preserve">Collected</x:t>
        </x:is>
      </x:c>
      <x:c r="C64" t="inlineStr">
        <x:is>
          <x:t xml:space="preserve">Chim cút và chim ưng</x:t>
        </x:is>
      </x:c>
      <x:c r="D64" t="inlineStr">
        <x:is>
          <x:t xml:space="preserve">Chim cút và chim ưng</x:t>
        </x:is>
      </x:c>
      <x:c r="E64" t="inlineStr">
        <x:is>
          <x:t xml:space="preserve">Canonical simile / narrative episode</x:t>
        </x:is>
      </x:c>
      <x:c r="F64" t="inlineStr">
        <x:is>
          <x:t xml:space="preserve">Early Buddhist / Pāḷi tradition</x:t>
        </x:is>
      </x:c>
      <x:c r="G64" t="inlineStr">
        <x:is>
          <x:t xml:space="preserve">Day 13 / Saṁyutta + Aṅguttara Nikāya</x:t>
        </x:is>
      </x:c>
      <x:c r="H64" t="inlineStr">
        <x:is>
          <x:t xml:space="preserve"/>
        </x:is>
      </x:c>
      <x:c r="I64" t="inlineStr">
        <x:is>
          <x:t xml:space="preserve">Capacity / environment</x:t>
        </x:is>
      </x:c>
      <x:c r="J64" t="inlineStr">
        <x:is>
          <x:t xml:space="preserve">Một con chim cút rời vùng đất quen thuộc và bị chim ưng bắt. Nó xin được trở lại địa hình của mình rồi thách chim ưng; trong đúng môi trường, nó có nơi trú và lợi thế khác. Câu chuyện cho thấy capacity phụ thuộc context.</x:t>
        </x:is>
      </x:c>
      <x:c r="K64" t="inlineStr">
        <x:is>
          <x:t xml:space="preserve">SN 47.6 Sakuṇagghisutta</x:t>
        </x:is>
      </x:c>
      <x:c r="L64" t="inlineStr">
        <x:is>
          <x:t xml:space="preserve"/>
        </x:is>
      </x:c>
      <x:c r="M64" t="inlineStr">
        <x:is>
          <x:t xml:space="preserve">https://suttacentral.net/sn47.6</x:t>
        </x:is>
      </x:c>
      <x:c r="N64" t="inlineStr">
        <x:is>
          <x:t xml:space="preserve"/>
        </x:is>
      </x:c>
      <x:c r="O64" t="inlineStr">
        <x:is>
          <x:t xml:space="preserve">A - canonical source anchor</x:t>
        </x:is>
      </x:c>
      <x:c r="P64" t="inlineStr">
        <x:is>
          <x:t xml:space="preserve">Story/simile is source-grounded; summary is fresh Selflo research wording.</x:t>
        </x:is>
      </x:c>
      <x:c r="Q64" t="inlineStr">
        <x:is>
          <x:t xml:space="preserve">Public domain / likely</x:t>
        </x:is>
      </x:c>
      <x:c r="R64" t="inlineStr">
        <x:is>
          <x:t xml:space="preserve">Ancient canonical material; create fresh adaptation; modern translations have separate rights.</x:t>
        </x:is>
      </x:c>
      <x:c r="S64" t="inlineStr">
        <x:is>
          <x:t xml:space="preserve"/>
        </x:is>
      </x:c>
      <x:c r="T64" t="inlineStr">
        <x:is>
          <x:t xml:space="preserve"/>
        </x:is>
      </x:c>
      <x:c r="U64" t="inlineStr">
        <x:is>
          <x:t xml:space="preserve"/>
        </x:is>
      </x:c>
      <x:c r="V64" t="inlineStr">
        <x:is>
          <x:t xml:space="preserve">High</x:t>
        </x:is>
      </x:c>
      <x:c r="W64" t="inlineStr">
        <x:is>
          <x:t xml:space="preserve"/>
        </x:is>
      </x:c>
      <x:c r="X64" t="inlineStr">
        <x:is>
          <x:t xml:space="preserve">Yes</x:t>
        </x:is>
      </x:c>
      <x:c r="Y64" t="inlineStr">
        <x:is>
          <x:t xml:space="preserve">No</x:t>
        </x:is>
      </x:c>
      <x:c r="Z64" t="inlineStr">
        <x:is>
          <x:t xml:space="preserve">Source verified; adaptation pending</x:t>
        </x:is>
      </x:c>
      <x:c r="AA64" t="inlineStr">
        <x:is>
          <x:t xml:space="preserve">Research only</x:t>
        </x:is>
      </x:c>
      <x:c r="AB64" t="inlineStr">
        <x:is>
          <x:t xml:space="preserve">Research Pool</x:t>
        </x:is>
      </x:c>
      <x:c r="AC64" t="n">
        <x:v>13</x:v>
      </x:c>
      <x:c r="AD64" t="inlineStr">
        <x:is>
          <x:t xml:space="preserve">ChatGPT research</x:t>
        </x:is>
      </x:c>
      <x:c r="AE64" t="inlineStr">
        <x:is>
          <x:t xml:space="preserve">2026-09-18</x:t>
        </x:is>
      </x:c>
      <x:c r="AF64" t="inlineStr">
        <x:is>
          <x:t xml:space="preserve"/>
        </x:is>
      </x:c>
    </x:row>
    <x:row r="65">
      <x:c r="A65" t="inlineStr">
        <x:is>
          <x:t xml:space="preserve">story.sn.day13.foam_river</x:t>
        </x:is>
      </x:c>
      <x:c r="B65" t="inlineStr">
        <x:is>
          <x:t xml:space="preserve">Collected</x:t>
        </x:is>
      </x:c>
      <x:c r="C65" t="inlineStr">
        <x:is>
          <x:t xml:space="preserve">Bọt, bong bóng, ảo ảnh và màn ảo thuật</x:t>
        </x:is>
      </x:c>
      <x:c r="D65" t="inlineStr">
        <x:is>
          <x:t xml:space="preserve">Bọt, bong bóng, ảo ảnh và màn ảo thuật</x:t>
        </x:is>
      </x:c>
      <x:c r="E65" t="inlineStr">
        <x:is>
          <x:t xml:space="preserve">Canonical simile / narrative episode</x:t>
        </x:is>
      </x:c>
      <x:c r="F65" t="inlineStr">
        <x:is>
          <x:t xml:space="preserve">Early Buddhist / Pāḷi tradition</x:t>
        </x:is>
      </x:c>
      <x:c r="G65" t="inlineStr">
        <x:is>
          <x:t xml:space="preserve">Day 13 / Saṁyutta + Aṅguttara Nikāya</x:t>
        </x:is>
      </x:c>
      <x:c r="H65" t="inlineStr">
        <x:is>
          <x:t xml:space="preserve"/>
        </x:is>
      </x:c>
      <x:c r="I65" t="inlineStr">
        <x:is>
          <x:t xml:space="preserve">Impermanence / perception</x:t>
        </x:is>
      </x:c>
      <x:c r="J65" t="inlineStr">
        <x:is>
          <x:t xml:space="preserve">Bài kinh xếp nhiều hình ảnh cạnh nhau—bọt trên sông, bong bóng, ảo ảnh, thân chuối và màn ảo thuật—để mời nhìn kỹ những thứ thường bị xem là chắc đặc và cố định.</x:t>
        </x:is>
      </x:c>
      <x:c r="K65" t="inlineStr">
        <x:is>
          <x:t xml:space="preserve">SN 22.95 Pheṇapiṇḍūpamasutta</x:t>
        </x:is>
      </x:c>
      <x:c r="L65" t="inlineStr">
        <x:is>
          <x:t xml:space="preserve"/>
        </x:is>
      </x:c>
      <x:c r="M65" t="inlineStr">
        <x:is>
          <x:t xml:space="preserve">https://suttacentral.net/sn22.95</x:t>
        </x:is>
      </x:c>
      <x:c r="N65" t="inlineStr">
        <x:is>
          <x:t xml:space="preserve"/>
        </x:is>
      </x:c>
      <x:c r="O65" t="inlineStr">
        <x:is>
          <x:t xml:space="preserve">A - canonical source anchor</x:t>
        </x:is>
      </x:c>
      <x:c r="P65" t="inlineStr">
        <x:is>
          <x:t xml:space="preserve">Story/simile is source-grounded; summary is fresh Selflo research wording.</x:t>
        </x:is>
      </x:c>
      <x:c r="Q65" t="inlineStr">
        <x:is>
          <x:t xml:space="preserve">Public domain / likely</x:t>
        </x:is>
      </x:c>
      <x:c r="R65" t="inlineStr">
        <x:is>
          <x:t xml:space="preserve">Ancient canonical material; create fresh adaptation; modern translations have separate rights.</x:t>
        </x:is>
      </x:c>
      <x:c r="S65" t="inlineStr">
        <x:is>
          <x:t xml:space="preserve"/>
        </x:is>
      </x:c>
      <x:c r="T65" t="inlineStr">
        <x:is>
          <x:t xml:space="preserve"/>
        </x:is>
      </x:c>
      <x:c r="U65" t="inlineStr">
        <x:is>
          <x:t xml:space="preserve"/>
        </x:is>
      </x:c>
      <x:c r="V65" t="inlineStr">
        <x:is>
          <x:t xml:space="preserve">High</x:t>
        </x:is>
      </x:c>
      <x:c r="W65" t="inlineStr">
        <x:is>
          <x:t xml:space="preserve"/>
        </x:is>
      </x:c>
      <x:c r="X65" t="inlineStr">
        <x:is>
          <x:t xml:space="preserve">Yes</x:t>
        </x:is>
      </x:c>
      <x:c r="Y65" t="inlineStr">
        <x:is>
          <x:t xml:space="preserve">No</x:t>
        </x:is>
      </x:c>
      <x:c r="Z65" t="inlineStr">
        <x:is>
          <x:t xml:space="preserve">Source verified; adaptation pending</x:t>
        </x:is>
      </x:c>
      <x:c r="AA65" t="inlineStr">
        <x:is>
          <x:t xml:space="preserve">Research only</x:t>
        </x:is>
      </x:c>
      <x:c r="AB65" t="inlineStr">
        <x:is>
          <x:t xml:space="preserve">Research Pool</x:t>
        </x:is>
      </x:c>
      <x:c r="AC65" t="n">
        <x:v>13</x:v>
      </x:c>
      <x:c r="AD65" t="inlineStr">
        <x:is>
          <x:t xml:space="preserve">ChatGPT research</x:t>
        </x:is>
      </x:c>
      <x:c r="AE65" t="inlineStr">
        <x:is>
          <x:t xml:space="preserve">2026-09-18</x:t>
        </x:is>
      </x:c>
      <x:c r="AF65" t="inlineStr">
        <x:is>
          <x:t xml:space="preserve"/>
        </x:is>
      </x:c>
    </x:row>
    <x:row r="66">
      <x:c r="A66" t="str">
        <x:v>story.buddhist.day14.poisoned_arrow</x:v>
      </x:c>
      <x:c r="B66" t="str">
        <x:v>Collected</x:v>
      </x:c>
      <x:c r="C66" t="str">
        <x:v>Mũi tên độc và những câu hỏi chưa cần trả lời</x:v>
      </x:c>
      <x:c r="D66" t="str"/>
      <x:c r="E66" t="str">
        <x:v>Canonical simile / narrative vignette</x:v>
      </x:c>
      <x:c r="F66" t="str">
        <x:v>Early Buddhist / Pāḷi tradition</x:v>
      </x:c>
      <x:c r="G66" t="str">
        <x:v>Day 14 / Early Buddhist parables</x:v>
      </x:c>
      <x:c r="H66" t="str"/>
      <x:c r="I66" t="str">
        <x:v>Judgment / uncertainty</x:v>
      </x:c>
      <x:c r="J66" t="str">
        <x:v>Một người bị tên độc bắn nhưng nhất quyết chưa cho bác sĩ lấy tên ra cho tới khi biết người bắn thuộc tầng lớp nào, tên gì, cao thấp ra sao, dùng loại cung, dây và mũi tên nào. Ông có thể chết trước khi những câu hỏi ấy được giải đáp. Đây là canonical simile, không phải truyện lịch sử.</x:v>
      </x:c>
      <x:c r="K66" t="str">
        <x:v>MN 63 Cūḷamāluṅkyovādasutta</x:v>
      </x:c>
      <x:c r="L66" t="str"/>
      <x:c r="M66" t="str">
        <x:v>https://accesstoinsight.org/tipitaka/mn/mn.063.than.html</x:v>
      </x:c>
      <x:c r="N66" t="str">
        <x:v>https://accesstoinsight.org/index-similes</x:v>
      </x:c>
      <x:c r="O66" t="str">
        <x:v>A/B - canonical source anchored</x:v>
      </x:c>
      <x:c r="P66" t="str">
        <x:v>Canonical simile/narrative source identified; summary is fresh research wording, not copied translation.</x:v>
      </x:c>
      <x:c r="Q66" t="str">
        <x:v>Public domain ancient source; translation rights separate</x:v>
      </x:c>
      <x:c r="R66" t="str">
        <x:v>Write fresh Selflo adaptation; preserve source and do not reproduce modern translation.</x:v>
      </x:c>
      <x:c r="S66" t="str">
        <x:v>Early Buddhist canonical teaching image; not treated as a modern historical report.</x:v>
      </x:c>
      <x:c r="T66" t="str"/>
      <x:c r="U66" t="str"/>
      <x:c r="V66" t="str">
        <x:v>High</x:v>
      </x:c>
      <x:c r="W66" t="str">
        <x:v>Strong image-based candidate; later owner review required.</x:v>
      </x:c>
      <x:c r="X66" t="str">
        <x:v>Yes</x:v>
      </x:c>
      <x:c r="Y66" t="str">
        <x:v>No</x:v>
      </x:c>
      <x:c r="Z66" t="str">
        <x:v>Source verified; adaptation pending</x:v>
      </x:c>
      <x:c r="AA66" t="str">
        <x:v>Research only</x:v>
      </x:c>
      <x:c r="AB66" t="str">
        <x:v>Research Pool</x:v>
      </x:c>
      <x:c r="AC66" t="n">
        <x:v>14</x:v>
      </x:c>
      <x:c r="AD66" t="str">
        <x:v>ChatGPT research</x:v>
      </x:c>
      <x:c r="AE66" t="str">
        <x:v>2026-09-18</x:v>
      </x:c>
      <x:c r="AF66" t="str">
        <x:v>Day 14 provenance-first.</x:v>
      </x:c>
    </x:row>
    <x:row r="67">
      <x:c r="A67" t="str">
        <x:v>story.buddhist.day14.blind_elephant</x:v>
      </x:c>
      <x:c r="B67" t="str">
        <x:v>Collected</x:v>
      </x:c>
      <x:c r="C67" t="str">
        <x:v>Những người mù và con voi</x:v>
      </x:c>
      <x:c r="D67" t="str"/>
      <x:c r="E67" t="str">
        <x:v>Canonical simile / narrative vignette</x:v>
      </x:c>
      <x:c r="F67" t="str">
        <x:v>Early Buddhist / Pāḷi tradition</x:v>
      </x:c>
      <x:c r="G67" t="str">
        <x:v>Day 14 / Early Buddhist parables</x:v>
      </x:c>
      <x:c r="H67" t="str"/>
      <x:c r="I67" t="str">
        <x:v>Perspective / partial truth</x:v>
      </x:c>
      <x:c r="J67" t="str">
        <x:v>Một vị vua cho những người mù bẩm sinh chạm vào các phần khác nhau của một con voi. Mỗi người mô tả con voi theo phần mình chạm rồi tranh cãi với những người khác. Canonical parable in the Udāna.</x:v>
      </x:c>
      <x:c r="K67" t="str">
        <x:v>Ud 6.4 Tittha Sutta</x:v>
      </x:c>
      <x:c r="L67" t="str"/>
      <x:c r="M67" t="str">
        <x:v>https://accesstoinsight.org/tipitaka/kn/ud/ud.6.04.irel</x:v>
      </x:c>
      <x:c r="N67" t="str">
        <x:v>https://accesstoinsight.org/index-similes</x:v>
      </x:c>
      <x:c r="O67" t="str">
        <x:v>A/B - canonical source anchored</x:v>
      </x:c>
      <x:c r="P67" t="str">
        <x:v>Canonical simile/narrative source identified; summary is fresh research wording, not copied translation.</x:v>
      </x:c>
      <x:c r="Q67" t="str">
        <x:v>Public domain ancient source; translation rights separate</x:v>
      </x:c>
      <x:c r="R67" t="str">
        <x:v>Write fresh Selflo adaptation; preserve source and do not reproduce modern translation.</x:v>
      </x:c>
      <x:c r="S67" t="str">
        <x:v>Early Buddhist canonical teaching image; not treated as a modern historical report.</x:v>
      </x:c>
      <x:c r="T67" t="str"/>
      <x:c r="U67" t="str"/>
      <x:c r="V67" t="str">
        <x:v>High</x:v>
      </x:c>
      <x:c r="W67" t="str">
        <x:v>Strong image-based candidate; later owner review required.</x:v>
      </x:c>
      <x:c r="X67" t="str">
        <x:v>Yes</x:v>
      </x:c>
      <x:c r="Y67" t="str">
        <x:v>No</x:v>
      </x:c>
      <x:c r="Z67" t="str">
        <x:v>Source verified; adaptation pending</x:v>
      </x:c>
      <x:c r="AA67" t="str">
        <x:v>Research only</x:v>
      </x:c>
      <x:c r="AB67" t="str">
        <x:v>Research Pool</x:v>
      </x:c>
      <x:c r="AC67" t="n">
        <x:v>14</x:v>
      </x:c>
      <x:c r="AD67" t="str">
        <x:v>ChatGPT research</x:v>
      </x:c>
      <x:c r="AE67" t="str">
        <x:v>2026-09-18</x:v>
      </x:c>
      <x:c r="AF67" t="str">
        <x:v>Day 14 provenance-first.</x:v>
      </x:c>
    </x:row>
    <x:row r="68">
      <x:c r="A68" t="str">
        <x:v>story.buddhist.day14.bamboo_acrobats</x:v>
      </x:c>
      <x:c r="B68" t="str">
        <x:v>Collected</x:v>
      </x:c>
      <x:c r="C68" t="str">
        <x:v>Hai người biểu diễn trên cây sào</x:v>
      </x:c>
      <x:c r="D68" t="str"/>
      <x:c r="E68" t="str">
        <x:v>Canonical simile / narrative vignette</x:v>
      </x:c>
      <x:c r="F68" t="str">
        <x:v>Early Buddhist / Pāḷi tradition</x:v>
      </x:c>
      <x:c r="G68" t="str">
        <x:v>Day 14 / Early Buddhist parables</x:v>
      </x:c>
      <x:c r="H68" t="str"/>
      <x:c r="I68" t="str">
        <x:v>Self-care / mutual care</x:v>
      </x:c>
      <x:c r="J68" t="str">
        <x:v>Một nghệ nhân biểu diễn trên sào bảo người trợ diễn hãy trông chừng mình để mình trông chừng cô. Người trợ diễn đáp rằng mỗi người cần giữ phần thăng bằng của chính mình; bằng cách ấy cả hai mới có thể xuống an toàn.</x:v>
      </x:c>
      <x:c r="K68" t="str">
        <x:v>SN 47.19 Sedaka Sutta</x:v>
      </x:c>
      <x:c r="L68" t="str"/>
      <x:c r="M68" t="str">
        <x:v>https://accesstoinsight.org/tipitaka/sn/sn47/sn47.019.than</x:v>
      </x:c>
      <x:c r="N68" t="str">
        <x:v>https://accesstoinsight.org/index-similes</x:v>
      </x:c>
      <x:c r="O68" t="str">
        <x:v>A/B - canonical source anchored</x:v>
      </x:c>
      <x:c r="P68" t="str">
        <x:v>Canonical simile/narrative source identified; summary is fresh research wording, not copied translation.</x:v>
      </x:c>
      <x:c r="Q68" t="str">
        <x:v>Public domain ancient source; translation rights separate</x:v>
      </x:c>
      <x:c r="R68" t="str">
        <x:v>Write fresh Selflo adaptation; preserve source and do not reproduce modern translation.</x:v>
      </x:c>
      <x:c r="S68" t="str">
        <x:v>Early Buddhist canonical teaching image; not treated as a modern historical report.</x:v>
      </x:c>
      <x:c r="T68" t="str"/>
      <x:c r="U68" t="str"/>
      <x:c r="V68" t="str">
        <x:v>High</x:v>
      </x:c>
      <x:c r="W68" t="str">
        <x:v>Strong image-based candidate; later owner review required.</x:v>
      </x:c>
      <x:c r="X68" t="str">
        <x:v>Yes</x:v>
      </x:c>
      <x:c r="Y68" t="str">
        <x:v>No</x:v>
      </x:c>
      <x:c r="Z68" t="str">
        <x:v>Source verified; adaptation pending</x:v>
      </x:c>
      <x:c r="AA68" t="str">
        <x:v>Research only</x:v>
      </x:c>
      <x:c r="AB68" t="str">
        <x:v>Research Pool</x:v>
      </x:c>
      <x:c r="AC68" t="n">
        <x:v>14</x:v>
      </x:c>
      <x:c r="AD68" t="str">
        <x:v>ChatGPT research</x:v>
      </x:c>
      <x:c r="AE68" t="str">
        <x:v>2026-09-18</x:v>
      </x:c>
      <x:c r="AF68" t="str">
        <x:v>Day 14 provenance-first.</x:v>
      </x:c>
    </x:row>
    <x:row r="69">
      <x:c r="A69" t="str">
        <x:v>story.buddhist.day14.sheaves_reeds</x:v>
      </x:c>
      <x:c r="B69" t="str">
        <x:v>Collected</x:v>
      </x:c>
      <x:c r="C69" t="str">
        <x:v>Hai bó lau tựa vào nhau</x:v>
      </x:c>
      <x:c r="D69" t="str"/>
      <x:c r="E69" t="str">
        <x:v>Canonical simile / narrative vignette</x:v>
      </x:c>
      <x:c r="F69" t="str">
        <x:v>Early Buddhist / Pāḷi tradition</x:v>
      </x:c>
      <x:c r="G69" t="str">
        <x:v>Day 14 / Early Buddhist parables</x:v>
      </x:c>
      <x:c r="H69" t="str"/>
      <x:c r="I69" t="str">
        <x:v>Conditionality / systems</x:v>
      </x:c>
      <x:c r="J69" t="str">
        <x:v>Hai bó lau có thể đứng khi tựa vào nhau; lấy một bó đi thì bó kia cũng ngã. Canonical analogy used to explain mutually conditioning processes.</x:v>
      </x:c>
      <x:c r="K69" t="str">
        <x:v>SN 12.67 Naḷakalāpi Sutta</x:v>
      </x:c>
      <x:c r="L69" t="str"/>
      <x:c r="M69" t="str">
        <x:v>https://accesstoinsight.org/ati/tipitaka/sn/sn12/sn12.067.than.html</x:v>
      </x:c>
      <x:c r="N69" t="str">
        <x:v>https://accesstoinsight.org/index-similes</x:v>
      </x:c>
      <x:c r="O69" t="str">
        <x:v>A/B - canonical source anchored</x:v>
      </x:c>
      <x:c r="P69" t="str">
        <x:v>Canonical simile/narrative source identified; summary is fresh research wording, not copied translation.</x:v>
      </x:c>
      <x:c r="Q69" t="str">
        <x:v>Public domain ancient source; translation rights separate</x:v>
      </x:c>
      <x:c r="R69" t="str">
        <x:v>Write fresh Selflo adaptation; preserve source and do not reproduce modern translation.</x:v>
      </x:c>
      <x:c r="S69" t="str">
        <x:v>Early Buddhist canonical teaching image; not treated as a modern historical report.</x:v>
      </x:c>
      <x:c r="T69" t="str"/>
      <x:c r="U69" t="str"/>
      <x:c r="V69" t="str">
        <x:v>High</x:v>
      </x:c>
      <x:c r="W69" t="str">
        <x:v>Strong image-based candidate; later owner review required.</x:v>
      </x:c>
      <x:c r="X69" t="str">
        <x:v>Yes</x:v>
      </x:c>
      <x:c r="Y69" t="str">
        <x:v>No</x:v>
      </x:c>
      <x:c r="Z69" t="str">
        <x:v>Source verified; adaptation pending</x:v>
      </x:c>
      <x:c r="AA69" t="str">
        <x:v>Research only</x:v>
      </x:c>
      <x:c r="AB69" t="str">
        <x:v>Research Pool</x:v>
      </x:c>
      <x:c r="AC69" t="n">
        <x:v>14</x:v>
      </x:c>
      <x:c r="AD69" t="str">
        <x:v>ChatGPT research</x:v>
      </x:c>
      <x:c r="AE69" t="str">
        <x:v>2026-09-18</x:v>
      </x:c>
      <x:c r="AF69" t="str">
        <x:v>Day 14 provenance-first.</x:v>
      </x:c>
    </x:row>
    <x:row r="70">
      <x:c r="A70" t="str">
        <x:v>story.buddhist.day14.ancient_city</x:v>
      </x:c>
      <x:c r="B70" t="str">
        <x:v>Collected</x:v>
      </x:c>
      <x:c r="C70" t="str">
        <x:v>Con đường cũ dẫn tới thành phố bị quên</x:v>
      </x:c>
      <x:c r="D70" t="str"/>
      <x:c r="E70" t="str">
        <x:v>Canonical simile / narrative vignette</x:v>
      </x:c>
      <x:c r="F70" t="str">
        <x:v>Early Buddhist / Pāḷi tradition</x:v>
      </x:c>
      <x:c r="G70" t="str">
        <x:v>Day 14 / Early Buddhist parables</x:v>
      </x:c>
      <x:c r="H70" t="str"/>
      <x:c r="I70" t="str">
        <x:v>Learning / rediscovery</x:v>
      </x:c>
      <x:c r="J70" t="str">
        <x:v>Một người đi qua vùng hoang vu tìm thấy con đường cổ, đi theo và gặp một thành phố cũ có tường, hồ và vườn. Ông báo cho nhà vua để thành phố được dựng lại. Canonical simile about rediscovering a path.</x:v>
      </x:c>
      <x:c r="K70" t="str">
        <x:v>SN 12.65 Nagara Sutta</x:v>
      </x:c>
      <x:c r="L70" t="str"/>
      <x:c r="M70" t="str">
        <x:v>https://www.accesstoinsight.org/tipitaka/sn/sn12/sn12.065.than.html</x:v>
      </x:c>
      <x:c r="N70" t="str">
        <x:v>https://accesstoinsight.org/index-similes</x:v>
      </x:c>
      <x:c r="O70" t="str">
        <x:v>A/B - canonical source anchored</x:v>
      </x:c>
      <x:c r="P70" t="str">
        <x:v>Canonical simile/narrative source identified; summary is fresh research wording, not copied translation.</x:v>
      </x:c>
      <x:c r="Q70" t="str">
        <x:v>Public domain ancient source; translation rights separate</x:v>
      </x:c>
      <x:c r="R70" t="str">
        <x:v>Write fresh Selflo adaptation; preserve source and do not reproduce modern translation.</x:v>
      </x:c>
      <x:c r="S70" t="str">
        <x:v>Early Buddhist canonical teaching image; not treated as a modern historical report.</x:v>
      </x:c>
      <x:c r="T70" t="str"/>
      <x:c r="U70" t="str"/>
      <x:c r="V70" t="str">
        <x:v>High</x:v>
      </x:c>
      <x:c r="W70" t="str">
        <x:v>Strong image-based candidate; later owner review required.</x:v>
      </x:c>
      <x:c r="X70" t="str">
        <x:v>Yes</x:v>
      </x:c>
      <x:c r="Y70" t="str">
        <x:v>No</x:v>
      </x:c>
      <x:c r="Z70" t="str">
        <x:v>Source verified; adaptation pending</x:v>
      </x:c>
      <x:c r="AA70" t="str">
        <x:v>Research only</x:v>
      </x:c>
      <x:c r="AB70" t="str">
        <x:v>Research Pool</x:v>
      </x:c>
      <x:c r="AC70" t="n">
        <x:v>14</x:v>
      </x:c>
      <x:c r="AD70" t="str">
        <x:v>ChatGPT research</x:v>
      </x:c>
      <x:c r="AE70" t="str">
        <x:v>2026-09-18</x:v>
      </x:c>
      <x:c r="AF70" t="str">
        <x:v>Day 14 provenance-first.</x:v>
      </x:c>
    </x:row>
    <x:row r="71">
      <x:c r="A71" t="str">
        <x:v>story.buddhist.day14.mountains</x:v>
      </x:c>
      <x:c r="B71" t="str">
        <x:v>Collected</x:v>
      </x:c>
      <x:c r="C71" t="str">
        <x:v>Bốn ngọn núi đang tiến tới</x:v>
      </x:c>
      <x:c r="D71" t="str"/>
      <x:c r="E71" t="str">
        <x:v>Canonical simile / narrative vignette</x:v>
      </x:c>
      <x:c r="F71" t="str">
        <x:v>Early Buddhist / Pāḷi tradition</x:v>
      </x:c>
      <x:c r="G71" t="str">
        <x:v>Day 14 / Early Buddhist parables</x:v>
      </x:c>
      <x:c r="H71" t="str"/>
      <x:c r="I71" t="str">
        <x:v>Mortality / values</x:v>
      </x:c>
      <x:c r="J71" t="str">
        <x:v>Bốn người báo tin rằng từ bốn hướng có những ngọn núi khổng lồ đang tiến tới và nghiền mọi sinh vật trên đường. Vua Pasenadi được hỏi trong tình thế ấy điều gì còn đáng làm.</x:v>
      </x:c>
      <x:c r="K71" t="str">
        <x:v>SN 3.25 Pabbatopama Sutta</x:v>
      </x:c>
      <x:c r="L71" t="str"/>
      <x:c r="M71" t="str">
        <x:v>https://accesstoinsight.org/tipitaka/sn/sn03/sn03.025.than</x:v>
      </x:c>
      <x:c r="N71" t="str">
        <x:v>https://accesstoinsight.org/index-similes</x:v>
      </x:c>
      <x:c r="O71" t="str">
        <x:v>A/B - canonical source anchored</x:v>
      </x:c>
      <x:c r="P71" t="str">
        <x:v>Canonical simile/narrative source identified; summary is fresh research wording, not copied translation.</x:v>
      </x:c>
      <x:c r="Q71" t="str">
        <x:v>Public domain ancient source; translation rights separate</x:v>
      </x:c>
      <x:c r="R71" t="str">
        <x:v>Write fresh Selflo adaptation; preserve source and do not reproduce modern translation.</x:v>
      </x:c>
      <x:c r="S71" t="str">
        <x:v>Early Buddhist canonical teaching image; not treated as a modern historical report.</x:v>
      </x:c>
      <x:c r="T71" t="str"/>
      <x:c r="U71" t="str"/>
      <x:c r="V71" t="str">
        <x:v>High</x:v>
      </x:c>
      <x:c r="W71" t="str">
        <x:v>Strong image-based candidate; later owner review required.</x:v>
      </x:c>
      <x:c r="X71" t="str">
        <x:v>Yes</x:v>
      </x:c>
      <x:c r="Y71" t="str">
        <x:v>No</x:v>
      </x:c>
      <x:c r="Z71" t="str">
        <x:v>Source verified; adaptation pending</x:v>
      </x:c>
      <x:c r="AA71" t="str">
        <x:v>Research only</x:v>
      </x:c>
      <x:c r="AB71" t="str">
        <x:v>Research Pool</x:v>
      </x:c>
      <x:c r="AC71" t="n">
        <x:v>14</x:v>
      </x:c>
      <x:c r="AD71" t="str">
        <x:v>ChatGPT research</x:v>
      </x:c>
      <x:c r="AE71" t="str">
        <x:v>2026-09-18</x:v>
      </x:c>
      <x:c r="AF71" t="str">
        <x:v>Day 14 provenance-first.</x:v>
      </x:c>
    </x:row>
    <x:row r="72">
      <x:c r="A72" t="str">
        <x:v>story.buddhist.day14.drum_pegs</x:v>
      </x:c>
      <x:c r="B72" t="str">
        <x:v>Collected</x:v>
      </x:c>
      <x:c r="C72" t="str">
        <x:v>Chiếc trống chỉ còn những chốt vá</x:v>
      </x:c>
      <x:c r="D72" t="str"/>
      <x:c r="E72" t="str">
        <x:v>Canonical simile / narrative vignette</x:v>
      </x:c>
      <x:c r="F72" t="str">
        <x:v>Early Buddhist / Pāḷi tradition</x:v>
      </x:c>
      <x:c r="G72" t="str">
        <x:v>Day 14 / Early Buddhist parables</x:v>
      </x:c>
      <x:c r="H72" t="str"/>
      <x:c r="I72" t="str">
        <x:v>Learning / signal preservation</x:v>
      </x:c>
      <x:c r="J72" t="str">
        <x:v>Một chiếc trống của người Dasāraha bị nứt và được đóng thêm chốt mới mỗi lần hỏng, cho tới khi phần thân gỗ nguyên thủy biến mất và chỉ còn một tập hợp các chốt thay thế.</x:v>
      </x:c>
      <x:c r="K72" t="str">
        <x:v>SN 20.7 Āṇi Sutta</x:v>
      </x:c>
      <x:c r="L72" t="str"/>
      <x:c r="M72" t="str">
        <x:v>https://mail.accesstoinsight.org/tipitaka/sn/sn20/sn20.007.than.html</x:v>
      </x:c>
      <x:c r="N72" t="str">
        <x:v>https://accesstoinsight.org/index-similes</x:v>
      </x:c>
      <x:c r="O72" t="str">
        <x:v>A/B - canonical source anchored</x:v>
      </x:c>
      <x:c r="P72" t="str">
        <x:v>Canonical simile/narrative source identified; summary is fresh research wording, not copied translation.</x:v>
      </x:c>
      <x:c r="Q72" t="str">
        <x:v>Public domain ancient source; translation rights separate</x:v>
      </x:c>
      <x:c r="R72" t="str">
        <x:v>Write fresh Selflo adaptation; preserve source and do not reproduce modern translation.</x:v>
      </x:c>
      <x:c r="S72" t="str">
        <x:v>Early Buddhist canonical teaching image; not treated as a modern historical report.</x:v>
      </x:c>
      <x:c r="T72" t="str"/>
      <x:c r="U72" t="str"/>
      <x:c r="V72" t="str">
        <x:v>High</x:v>
      </x:c>
      <x:c r="W72" t="str">
        <x:v>Strong image-based candidate; later owner review required.</x:v>
      </x:c>
      <x:c r="X72" t="str">
        <x:v>Yes</x:v>
      </x:c>
      <x:c r="Y72" t="str">
        <x:v>No</x:v>
      </x:c>
      <x:c r="Z72" t="str">
        <x:v>Source verified; adaptation pending</x:v>
      </x:c>
      <x:c r="AA72" t="str">
        <x:v>Research only</x:v>
      </x:c>
      <x:c r="AB72" t="str">
        <x:v>Research Pool</x:v>
      </x:c>
      <x:c r="AC72" t="n">
        <x:v>14</x:v>
      </x:c>
      <x:c r="AD72" t="str">
        <x:v>ChatGPT research</x:v>
      </x:c>
      <x:c r="AE72" t="str">
        <x:v>2026-09-18</x:v>
      </x:c>
      <x:c r="AF72" t="str">
        <x:v>Day 14 provenance-first.</x:v>
      </x:c>
    </x:row>
    <x:row r="73">
      <x:c r="A73" t="str">
        <x:v>story.buddhist.day14.quail_snare</x:v>
      </x:c>
      <x:c r="B73" t="str">
        <x:v>Collected</x:v>
      </x:c>
      <x:c r="C73" t="str">
        <x:v>Con chim cút và chiếc bẫy</x:v>
      </x:c>
      <x:c r="D73" t="str"/>
      <x:c r="E73" t="str">
        <x:v>Canonical simile / narrative vignette</x:v>
      </x:c>
      <x:c r="F73" t="str">
        <x:v>Early Buddhist / Pāḷi tradition</x:v>
      </x:c>
      <x:c r="G73" t="str">
        <x:v>Day 14 / Early Buddhist parables</x:v>
      </x:c>
      <x:c r="H73" t="str"/>
      <x:c r="I73" t="str">
        <x:v>Capacity / burden</x:v>
      </x:c>
      <x:c r="J73" t="str">
        <x:v>Bài kinh dùng hình ảnh một con chim cút bị trói bởi một sợi dây nhỏ để cho thấy một ràng buộc không thể được đánh giá chỉ bằng vẻ ngoài mỏng nhẹ của nó.</x:v>
      </x:c>
      <x:c r="K73" t="str">
        <x:v>MN 66 Laṭukikopama Sutta</x:v>
      </x:c>
      <x:c r="L73" t="str"/>
      <x:c r="M73" t="str">
        <x:v>https://accesstoinsight.org/tipitaka/mn/</x:v>
      </x:c>
      <x:c r="N73" t="str">
        <x:v>https://accesstoinsight.org/index-similes</x:v>
      </x:c>
      <x:c r="O73" t="str">
        <x:v>A/B - canonical source anchored</x:v>
      </x:c>
      <x:c r="P73" t="str">
        <x:v>Canonical simile/narrative source identified; summary is fresh research wording, not copied translation.</x:v>
      </x:c>
      <x:c r="Q73" t="str">
        <x:v>Public domain ancient source; translation rights separate</x:v>
      </x:c>
      <x:c r="R73" t="str">
        <x:v>Write fresh Selflo adaptation; preserve source and do not reproduce modern translation.</x:v>
      </x:c>
      <x:c r="S73" t="str">
        <x:v>Early Buddhist canonical teaching image; not treated as a modern historical report.</x:v>
      </x:c>
      <x:c r="T73" t="str"/>
      <x:c r="U73" t="str"/>
      <x:c r="V73" t="str">
        <x:v>High</x:v>
      </x:c>
      <x:c r="W73" t="str">
        <x:v>Strong image-based candidate; later owner review required.</x:v>
      </x:c>
      <x:c r="X73" t="str">
        <x:v>Yes</x:v>
      </x:c>
      <x:c r="Y73" t="str">
        <x:v>No</x:v>
      </x:c>
      <x:c r="Z73" t="str">
        <x:v>Source verified; adaptation pending</x:v>
      </x:c>
      <x:c r="AA73" t="str">
        <x:v>Research only</x:v>
      </x:c>
      <x:c r="AB73" t="str">
        <x:v>Research Pool</x:v>
      </x:c>
      <x:c r="AC73" t="n">
        <x:v>14</x:v>
      </x:c>
      <x:c r="AD73" t="str">
        <x:v>ChatGPT research</x:v>
      </x:c>
      <x:c r="AE73" t="str">
        <x:v>2026-09-18</x:v>
      </x:c>
      <x:c r="AF73" t="str">
        <x:v>Day 14 provenance-first.</x:v>
      </x:c>
    </x:row>
    <x:row r="74">
      <x:c r="A74" t="str">
        <x:v>story.buddhist.day14.vedehika</x:v>
      </x:c>
      <x:c r="B74" t="str">
        <x:v>Collected</x:v>
      </x:c>
      <x:c r="C74" t="str">
        <x:v>Vedehikā chỉ bình tĩnh khi mọi thứ thuận lợi</x:v>
      </x:c>
      <x:c r="D74" t="str"/>
      <x:c r="E74" t="str">
        <x:v>Canonical simile / narrative vignette</x:v>
      </x:c>
      <x:c r="F74" t="str">
        <x:v>Early Buddhist / Pāḷi tradition</x:v>
      </x:c>
      <x:c r="G74" t="str">
        <x:v>Day 14 / Early Buddhist parables</x:v>
      </x:c>
      <x:c r="H74" t="str"/>
      <x:c r="I74" t="str">
        <x:v>Character / conditions</x:v>
      </x:c>
      <x:c r="J74" t="str">
        <x:v>Vedehikā nổi tiếng hiền và điềm tĩnh. Người hầu Kālī thử thay đổi giờ thức dậy; khi điều kiện thuận lợi biến mất, cơn giận của bà dần lộ ra. Đây là canonical narrative vignette inside MN 21.</x:v>
      </x:c>
      <x:c r="K74" t="str">
        <x:v>MN 21 Kakacūpama Sutta</x:v>
      </x:c>
      <x:c r="L74" t="str"/>
      <x:c r="M74" t="str">
        <x:v>https://accesstoinsight.org/tipitaka/mn/mn.021x.than</x:v>
      </x:c>
      <x:c r="N74" t="str">
        <x:v>https://accesstoinsight.org/index-similes</x:v>
      </x:c>
      <x:c r="O74" t="str">
        <x:v>A/B - canonical source anchored</x:v>
      </x:c>
      <x:c r="P74" t="str">
        <x:v>Canonical simile/narrative source identified; summary is fresh research wording, not copied translation.</x:v>
      </x:c>
      <x:c r="Q74" t="str">
        <x:v>Public domain ancient source; translation rights separate</x:v>
      </x:c>
      <x:c r="R74" t="str">
        <x:v>Write fresh Selflo adaptation; preserve source and do not reproduce modern translation.</x:v>
      </x:c>
      <x:c r="S74" t="str">
        <x:v>Early Buddhist canonical teaching image; not treated as a modern historical report.</x:v>
      </x:c>
      <x:c r="T74" t="str"/>
      <x:c r="U74" t="str"/>
      <x:c r="V74" t="str">
        <x:v>High</x:v>
      </x:c>
      <x:c r="W74" t="str">
        <x:v>Strong image-based candidate; later owner review required.</x:v>
      </x:c>
      <x:c r="X74" t="str">
        <x:v>Yes</x:v>
      </x:c>
      <x:c r="Y74" t="str">
        <x:v>No</x:v>
      </x:c>
      <x:c r="Z74" t="str">
        <x:v>Source verified; adaptation pending</x:v>
      </x:c>
      <x:c r="AA74" t="str">
        <x:v>Research only</x:v>
      </x:c>
      <x:c r="AB74" t="str">
        <x:v>Research Pool</x:v>
      </x:c>
      <x:c r="AC74" t="n">
        <x:v>14</x:v>
      </x:c>
      <x:c r="AD74" t="str">
        <x:v>ChatGPT research</x:v>
      </x:c>
      <x:c r="AE74" t="str">
        <x:v>2026-09-18</x:v>
      </x:c>
      <x:c r="AF74" t="str">
        <x:v>Day 14 provenance-first.</x:v>
      </x:c>
    </x:row>
    <x:row r="75">
      <x:c r="A75" t="str">
        <x:v>story.buddhist.day14.wound_healing</x:v>
      </x:c>
      <x:c r="B75" t="str">
        <x:v>Collected</x:v>
      </x:c>
      <x:c r="C75" t="str">
        <x:v>Mũi tên đã lấy ra nhưng vết thương chưa lành</x:v>
      </x:c>
      <x:c r="D75" t="str"/>
      <x:c r="E75" t="str">
        <x:v>Canonical simile / narrative vignette</x:v>
      </x:c>
      <x:c r="F75" t="str">
        <x:v>Early Buddhist / Pāḷi tradition</x:v>
      </x:c>
      <x:c r="G75" t="str">
        <x:v>Day 14 / Early Buddhist parables</x:v>
      </x:c>
      <x:c r="H75" t="str"/>
      <x:c r="I75" t="str">
        <x:v>Recovery / aftereffects</x:v>
      </x:c>
      <x:c r="J75" t="str">
        <x:v>Một bác sĩ lấy mũi tên và phần lớn chất độc ra nhưng dặn người bệnh tiếp tục chăm vết thương. Nếu xem việc lấy tên ra là toàn bộ quá trình và bỏ chăm sóc, vết thương vẫn có thể xấu đi.</x:v>
      </x:c>
      <x:c r="K75" t="str">
        <x:v>MN 105 Sunakkhatta Sutta</x:v>
      </x:c>
      <x:c r="L75" t="str"/>
      <x:c r="M75" t="str">
        <x:v>https://accesstoinsight.org/tipitaka/mn/mn.105.than.html</x:v>
      </x:c>
      <x:c r="N75" t="str">
        <x:v>https://accesstoinsight.org/index-similes</x:v>
      </x:c>
      <x:c r="O75" t="str">
        <x:v>A/B - canonical source anchored</x:v>
      </x:c>
      <x:c r="P75" t="str">
        <x:v>Canonical simile/narrative source identified; summary is fresh research wording, not copied translation.</x:v>
      </x:c>
      <x:c r="Q75" t="str">
        <x:v>Public domain ancient source; translation rights separate</x:v>
      </x:c>
      <x:c r="R75" t="str">
        <x:v>Write fresh Selflo adaptation; preserve source and do not reproduce modern translation.</x:v>
      </x:c>
      <x:c r="S75" t="str">
        <x:v>Early Buddhist canonical teaching image; not treated as a modern historical report.</x:v>
      </x:c>
      <x:c r="T75" t="str"/>
      <x:c r="U75" t="str"/>
      <x:c r="V75" t="str">
        <x:v>High</x:v>
      </x:c>
      <x:c r="W75" t="str">
        <x:v>Strong image-based candidate; later owner review required.</x:v>
      </x:c>
      <x:c r="X75" t="str">
        <x:v>Yes</x:v>
      </x:c>
      <x:c r="Y75" t="str">
        <x:v>No</x:v>
      </x:c>
      <x:c r="Z75" t="str">
        <x:v>Source verified; adaptation pending</x:v>
      </x:c>
      <x:c r="AA75" t="str">
        <x:v>Research only</x:v>
      </x:c>
      <x:c r="AB75" t="str">
        <x:v>Research Pool</x:v>
      </x:c>
      <x:c r="AC75" t="n">
        <x:v>14</x:v>
      </x:c>
      <x:c r="AD75" t="str">
        <x:v>ChatGPT research</x:v>
      </x:c>
      <x:c r="AE75" t="str">
        <x:v>2026-09-18</x:v>
      </x:c>
      <x:c r="AF75" t="str">
        <x:v>Day 14 provenance-first.</x:v>
      </x:c>
    </x:row>
    <x:row r="76">
      <x:c r="A76" t="str">
        <x:v>story.buddhist.day14.boat_teacher</x:v>
      </x:c>
      <x:c r="B76" t="str">
        <x:v>Collected</x:v>
      </x:c>
      <x:c r="C76" t="str">
        <x:v>Người bị dòng nước cuốn không thể kéo người khác qua</x:v>
      </x:c>
      <x:c r="D76" t="str"/>
      <x:c r="E76" t="str">
        <x:v>Canonical simile / narrative vignette</x:v>
      </x:c>
      <x:c r="F76" t="str">
        <x:v>Early Buddhist / Pāḷi tradition</x:v>
      </x:c>
      <x:c r="G76" t="str">
        <x:v>Day 14 / Early Buddhist parables</x:v>
      </x:c>
      <x:c r="H76" t="str"/>
      <x:c r="I76" t="str">
        <x:v>Helping / capacity / learning</x:v>
      </x:c>
      <x:c r="J76" t="str">
        <x:v>Bài kệ dùng hình ảnh người đang bị dòng sông lớn cuốn đi: nếu chính mình chưa đứng vững và chưa hiểu đường qua, rất khó giúp người khác sang bờ.</x:v>
      </x:c>
      <x:c r="K76" t="str">
        <x:v>Sn 2.8 Nāvā Sutta</x:v>
      </x:c>
      <x:c r="L76" t="str"/>
      <x:c r="M76" t="str">
        <x:v>https://accesstoinsight.org/tipitaka/kn/snp/snp.2.08.irel</x:v>
      </x:c>
      <x:c r="N76" t="str">
        <x:v>https://accesstoinsight.org/index-similes</x:v>
      </x:c>
      <x:c r="O76" t="str">
        <x:v>A/B - canonical source anchored</x:v>
      </x:c>
      <x:c r="P76" t="str">
        <x:v>Canonical simile/narrative source identified; summary is fresh research wording, not copied translation.</x:v>
      </x:c>
      <x:c r="Q76" t="str">
        <x:v>Public domain ancient source; translation rights separate</x:v>
      </x:c>
      <x:c r="R76" t="str">
        <x:v>Write fresh Selflo adaptation; preserve source and do not reproduce modern translation.</x:v>
      </x:c>
      <x:c r="S76" t="str">
        <x:v>Early Buddhist canonical teaching image; not treated as a modern historical report.</x:v>
      </x:c>
      <x:c r="T76" t="str"/>
      <x:c r="U76" t="str"/>
      <x:c r="V76" t="str">
        <x:v>High</x:v>
      </x:c>
      <x:c r="W76" t="str">
        <x:v>Strong image-based candidate; later owner review required.</x:v>
      </x:c>
      <x:c r="X76" t="str">
        <x:v>Yes</x:v>
      </x:c>
      <x:c r="Y76" t="str">
        <x:v>No</x:v>
      </x:c>
      <x:c r="Z76" t="str">
        <x:v>Source verified; adaptation pending</x:v>
      </x:c>
      <x:c r="AA76" t="str">
        <x:v>Research only</x:v>
      </x:c>
      <x:c r="AB76" t="str">
        <x:v>Research Pool</x:v>
      </x:c>
      <x:c r="AC76" t="n">
        <x:v>14</x:v>
      </x:c>
      <x:c r="AD76" t="str">
        <x:v>ChatGPT research</x:v>
      </x:c>
      <x:c r="AE76" t="str">
        <x:v>2026-09-18</x:v>
      </x:c>
      <x:c r="AF76" t="str">
        <x:v>Day 14 provenance-first.</x:v>
      </x:c>
    </x:row>
    <x:row r="77">
      <x:c r="A77" t="str">
        <x:v>story.buddhist.day14.moths_flame</x:v>
      </x:c>
      <x:c r="B77" t="str">
        <x:v>Collected</x:v>
      </x:c>
      <x:c r="C77" t="str">
        <x:v>Những con thiêu thân lao vào lửa</x:v>
      </x:c>
      <x:c r="D77" t="str"/>
      <x:c r="E77" t="str">
        <x:v>Canonical simile / narrative vignette</x:v>
      </x:c>
      <x:c r="F77" t="str">
        <x:v>Early Buddhist / Pāḷi tradition</x:v>
      </x:c>
      <x:c r="G77" t="str">
        <x:v>Day 14 / Early Buddhist parables</x:v>
      </x:c>
      <x:c r="H77" t="str"/>
      <x:c r="I77" t="str">
        <x:v>Desire / attention</x:v>
      </x:c>
      <x:c r="J77" t="str">
        <x:v>Udāna dùng hình ảnh côn trùng lao vào ngọn lửa để gợi sức hút có thể che khuất hậu quả. Giữ đúng là canonical image; không thêm nhân vật hay kết cục ngoài nguồn.</x:v>
      </x:c>
      <x:c r="K77" t="str">
        <x:v>Ud 6.9</x:v>
      </x:c>
      <x:c r="L77" t="str"/>
      <x:c r="M77" t="str">
        <x:v>https://accesstoinsight.org/tipitaka/kn/ud/</x:v>
      </x:c>
      <x:c r="N77" t="str">
        <x:v>https://accesstoinsight.org/index-similes</x:v>
      </x:c>
      <x:c r="O77" t="str">
        <x:v>A/B - canonical source anchored</x:v>
      </x:c>
      <x:c r="P77" t="str">
        <x:v>Canonical simile/narrative source identified; summary is fresh research wording, not copied translation.</x:v>
      </x:c>
      <x:c r="Q77" t="str">
        <x:v>Public domain ancient source; translation rights separate</x:v>
      </x:c>
      <x:c r="R77" t="str">
        <x:v>Write fresh Selflo adaptation; preserve source and do not reproduce modern translation.</x:v>
      </x:c>
      <x:c r="S77" t="str">
        <x:v>Early Buddhist canonical teaching image; not treated as a modern historical report.</x:v>
      </x:c>
      <x:c r="T77" t="str"/>
      <x:c r="U77" t="str"/>
      <x:c r="V77" t="str">
        <x:v>Medium</x:v>
      </x:c>
      <x:c r="W77" t="str">
        <x:v>Strong image-based candidate; later owner review required.</x:v>
      </x:c>
      <x:c r="X77" t="str">
        <x:v>Yes</x:v>
      </x:c>
      <x:c r="Y77" t="str">
        <x:v>No</x:v>
      </x:c>
      <x:c r="Z77" t="str">
        <x:v>Source verified; adaptation pending</x:v>
      </x:c>
      <x:c r="AA77" t="str">
        <x:v>Research only</x:v>
      </x:c>
      <x:c r="AB77" t="str">
        <x:v>Research Pool</x:v>
      </x:c>
      <x:c r="AC77" t="n">
        <x:v>14</x:v>
      </x:c>
      <x:c r="AD77" t="str">
        <x:v>ChatGPT research</x:v>
      </x:c>
      <x:c r="AE77" t="str">
        <x:v>2026-09-18</x:v>
      </x:c>
      <x:c r="AF77" t="str">
        <x:v>Day 14 provenance-first.</x:v>
      </x:c>
    </x:row>
  </x:sheetData>
  <x:conditionalFormatting sqref="AA2:AA300">
    <x:cfRule type="expression" dxfId="0" priority="1">
      <x:formula>AA2="Passed"</x:formula>
    </x:cfRule>
    <x:cfRule type="expression" dxfId="1" priority="2">
      <x:formula>LEFT(AA2,7)="Blocked"</x:formula>
    </x:cfRule>
  </x:conditionalFormatting>
  <x:dataValidations count="12">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E2:E300">
      <x:formula1>"Parable,Folktale,Historical episode,Biography episode,Research case,Journalism case,Documented personal account,Literary episode"</x:formula1>
    </x:dataValidation>
    <x:dataValidation type="list" allowBlank="0" showDropDown="0" showInputMessage="0" showErrorMessage="0" sqref="F2:F3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G2:G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H2:H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O2:O300">
      <x:formula1>"A - Primary source,B - Authoritative secondary,C - Plausible / needs primary,D - Disputed / internet-only,N/A - Selflo Original"</x:formula1>
    </x:dataValidation>
    <x:dataValidation type="list" allowBlank="0" showDropDown="0" showInputMessage="0" showErrorMessage="0" sqref="Q2:Q300">
      <x:formula1>"Public domain / likely,Copyrighted / research only,Permission needed,Selflo owned,Unknown / verify"</x:formula1>
    </x:dataValidation>
    <x:dataValidation type="list" allowBlank="0" showDropDown="0" showInputMessage="0" showErrorMessage="0" sqref="V2:V300">
      <x:formula1>"High,Medium,Low,Not reviewed"</x:formula1>
    </x:dataValidation>
    <x:dataValidation type="list" allowBlank="0" showDropDown="0" showInputMessage="0" showErrorMessage="0" sqref="X2:X300">
      <x:formula1>"Yes,No,Needs rights review"</x:formula1>
    </x:dataValidation>
    <x:dataValidation type="list" allowBlank="0" showDropDown="0" showInputMessage="0" showErrorMessage="0" sqref="Y2:Y300">
      <x:formula1>"Yes,No"</x:formula1>
    </x:dataValidation>
    <x:dataValidation type="list" allowBlank="0" showDropDown="0" showInputMessage="0" showErrorMessage="0" sqref="Z2:Z300">
      <x:formula1>"Yes,No,Unknown"</x:formula1>
    </x:dataValidation>
    <x:dataValidation type="list" allowBlank="0" showDropDown="0" showInputMessage="0" showErrorMessage="0" sqref="AA2:AA300">
      <x:formula1>"Open,Blocked - human edit,Blocked - rights,Blocked - source,Passed"</x:formula1>
    </x:dataValidation>
  </x:dataValidations>
  <x:pageMargins left="0.7" right="0.7" top="0.75" bottom="0.75" header="0.3" footer="0.3"/>
  <x:tableParts count="1">
    <x:tablePart xmlns:r="http://schemas.openxmlformats.org/officeDocument/2006/relationships" r:id="R36fd3e4139674ce0"/>
  </x:tableParts>
</x:worksheet>
</file>

<file path=xl/worksheets/sheet6.xml><?xml version="1.0" encoding="utf-8"?>
<x:worksheet xmlns:x="http://schemas.openxmlformats.org/spreadsheetml/2006/main">
  <x:sheetFormatPr baseColWidth="8" defaultRowHeight="15"/>
  <x:cols>
    <x:col min="1" max="1" width="24" style="72" customWidth="1"/>
    <x:col min="2" max="2" width="24" style="72" customWidth="1"/>
    <x:col min="3" max="3" width="24" style="72" customWidth="1"/>
    <x:col min="4" max="4" width="24" style="72" customWidth="1"/>
    <x:col min="5" max="5" width="55" style="72" customWidth="1"/>
    <x:col min="6" max="6" width="24" style="72" customWidth="1"/>
    <x:col min="7" max="7" width="24" style="72" customWidth="1"/>
    <x:col min="8" max="8" width="24" style="72" customWidth="1"/>
    <x:col min="9" max="9" width="24" style="72" customWidth="1"/>
    <x:col min="10" max="10" width="50" style="72" customWidth="1"/>
    <x:col min="11" max="11" width="50" style="72" customWidth="1"/>
    <x:col min="12" max="12" width="24" style="72" customWidth="1"/>
    <x:col min="13" max="13" width="24" style="72" customWidth="1"/>
    <x:col min="14" max="14" width="24" style="72" customWidth="1"/>
    <x:col min="15" max="15" width="24" style="72" customWidth="1"/>
    <x:col min="16" max="16" width="24" style="72" customWidth="1"/>
    <x:col min="17" max="17" width="24" style="72" customWidth="1"/>
    <x:col min="18" max="18" width="24" style="72" customWidth="1"/>
    <x:col min="19" max="19" width="24" style="72" customWidth="1"/>
    <x:col min="20" max="20" width="24" style="72" customWidth="1"/>
    <x:col min="21" max="21" width="24" style="72" customWidth="1"/>
    <x:col min="22" max="22" width="40" style="72" customWidth="1"/>
  </x:cols>
  <x:sheetData>
    <x:row r="1">
      <x:c r="A1" s="77" t="inlineStr">
        <x:is>
          <x:t xml:space="preserve">Principle ID</x:t>
        </x:is>
      </x:c>
      <x:c r="B1" s="77" t="inlineStr">
        <x:is>
          <x:t xml:space="preserve">Status</x:t>
        </x:is>
      </x:c>
      <x:c r="C1" s="77" t="inlineStr">
        <x:is>
          <x:t xml:space="preserve">Principle Name</x:t>
        </x:is>
      </x:c>
      <x:c r="D1" s="77" t="inlineStr">
        <x:is>
          <x:t xml:space="preserve">Domain</x:t>
        </x:is>
      </x:c>
      <x:c r="E1" s="77" t="inlineStr">
        <x:is>
          <x:t xml:space="preserve">Definition / Claim</x:t>
        </x:is>
      </x:c>
      <x:c r="F1" s="77" t="inlineStr">
        <x:is>
          <x:t xml:space="preserve">Source Title</x:t>
        </x:is>
      </x:c>
      <x:c r="G1" s="77" t="inlineStr">
        <x:is>
          <x:t xml:space="preserve">Source Author / Institution</x:t>
        </x:is>
      </x:c>
      <x:c r="H1" s="77" t="inlineStr">
        <x:is>
          <x:t xml:space="preserve">Source URL</x:t>
        </x:is>
      </x:c>
      <x:c r="I1" s="77" t="inlineStr">
        <x:is>
          <x:t xml:space="preserve">Source Type</x:t>
        </x:is>
      </x:c>
      <x:c r="J1" s="77" t="inlineStr">
        <x:is>
          <x:t xml:space="preserve">Evidence / Basis</x:t>
        </x:is>
      </x:c>
      <x:c r="K1" s="77" t="inlineStr">
        <x:is>
          <x:t xml:space="preserve">Limitations / Counterpoints</x:t>
        </x:is>
      </x:c>
      <x:c r="L1" s="77" t="inlineStr">
        <x:is>
          <x:t xml:space="preserve">Verification Grade</x:t>
        </x:is>
      </x:c>
      <x:c r="M1" s="77" t="inlineStr">
        <x:is>
          <x:t xml:space="preserve">Related AI-doc Principle</x:t>
        </x:is>
      </x:c>
      <x:c r="N1" s="77" t="inlineStr">
        <x:is>
          <x:t xml:space="preserve">Human Experience Link</x:t>
        </x:is>
      </x:c>
      <x:c r="O1" s="77" t="inlineStr">
        <x:is>
          <x:t xml:space="preserve">Cluster Primary</x:t>
        </x:is>
      </x:c>
      <x:c r="P1" s="77" t="inlineStr">
        <x:is>
          <x:t xml:space="preserve">Editorial Relevance</x:t>
        </x:is>
      </x:c>
      <x:c r="Q1" s="77" t="inlineStr">
        <x:is>
          <x:t xml:space="preserve">Related Quote ID(s)</x:t>
        </x:is>
      </x:c>
      <x:c r="R1" s="77" t="inlineStr">
        <x:is>
          <x:t xml:space="preserve">Related Story ID(s)</x:t>
        </x:is>
      </x:c>
      <x:c r="S1" s="77" t="inlineStr">
        <x:is>
          <x:t xml:space="preserve">Selflo Use</x:t>
        </x:is>
      </x:c>
      <x:c r="T1" s="77" t="inlineStr">
        <x:is>
          <x:t xml:space="preserve">Selflo Original Seed Allowed?</x:t>
        </x:is>
      </x:c>
      <x:c r="U1" s="77" t="inlineStr">
        <x:is>
          <x:t xml:space="preserve">Collected Day</x:t>
        </x:is>
      </x:c>
      <x:c r="V1" s="77" t="inlineStr">
        <x:is>
          <x:t xml:space="preserve">Notes</x:t>
        </x:is>
      </x:c>
    </x:row>
    <x:row r="2">
      <x:c r="A2" s="81" t="inlineStr">
        <x:is>
          <x:t xml:space="preserve">principle.laozi.naming_not_reality</x:t>
        </x:is>
      </x:c>
      <x:c r="B2" s="81" t="inlineStr">
        <x:is>
          <x:t xml:space="preserve">Collected</x:t>
        </x:is>
      </x:c>
      <x:c r="C2" s="81" t="inlineStr">
        <x:is>
          <x:t xml:space="preserve">Tên gọi không phải toàn bộ thực tại</x:t>
        </x:is>
      </x:c>
      <x:c r="D2" s="81" t="inlineStr">
        <x:is>
          <x:t xml:space="preserve">Philosophy / judgment</x:t>
        </x:is>
      </x:c>
      <x:c r="E2" s="81" t="inlineStr">
        <x:is>
          <x:t xml:space="preserve">Một nhãn hoặc mô tả giúp ta thấy một khía cạnh nhưng không đồng nhất với toàn bộ điều được mô tả.</x:t>
        </x:is>
      </x:c>
      <x:c r="F2" s="81" t="inlineStr">
        <x:is>
          <x:t xml:space="preserve">道德經 / Tao Te Ching</x:t>
        </x:is>
      </x:c>
      <x:c r="G2" s="81" t="inlineStr">
        <x:is>
          <x:t xml:space="preserve">Laozi / 老子</x:t>
        </x:is>
      </x:c>
      <x:c r="H2" s="81" t="inlineStr">
        <x:is>
          <x:t xml:space="preserve">https://zh.wikisource.org/zh-hans/%E9%81%93%E5%BE%B7%E7%B6%93_(%E7%8E%8B%E5%BC%BC%E6%9C%AC)</x:t>
        </x:is>
      </x:c>
      <x:c r="I2" s="81" t="inlineStr">
        <x:is>
          <x:t xml:space="preserve">Primary text</x:t>
        </x:is>
      </x:c>
      <x:c r="J2" s="81" t="inlineStr">
        <x:is>
          <x:t xml:space="preserve">Ch.1: distinction between what can be named/spoken and the enduring Dao.</x:t>
        </x:is>
      </x:c>
      <x:c r="K2" s="81" t="inlineStr">
        <x:is>
          <x:t xml:space="preserve">Không biến thành chủ nghĩa tương đối.</x:t>
        </x:is>
      </x:c>
      <x:c r="L2" s="81" t="inlineStr">
        <x:is>
          <x:t xml:space="preserve">A - Primary source</x:t>
        </x:is>
      </x:c>
      <x:c r="M2" s="81" t="inlineStr">
        <x:is>
          <x:t xml:space="preserve">Human judgment</x:t>
        </x:is>
      </x:c>
      <x:c r="N2" s="81" t="inlineStr">
        <x:is>
          <x:t xml:space="preserve">Tên gọi không chứa trọn trải nghiệm</x:t>
        </x:is>
      </x:c>
      <x:c r="O2" s="81" t="inlineStr">
        <x:is>
          <x:t xml:space="preserve">AI-age Human Judgment</x:t>
        </x:is>
      </x:c>
      <x:c r="P2" s="81" t="inlineStr">
        <x:is>
          <x:t xml:space="preserve">Distinguish</x:t>
        </x:is>
      </x:c>
      <x:c r="Q2" s="81" t="inlineStr">
        <x:is>
          <x:t xml:space="preserve">research.laozi.ch01.001</x:t>
        </x:is>
      </x:c>
      <x:c r="R2" s="81" t="str"/>
      <x:c r="S2" s="81" t="inlineStr">
        <x:is>
          <x:t xml:space="preserve">Editorial lens</x:t>
        </x:is>
      </x:c>
      <x:c r="T2" s="81" t="inlineStr">
        <x:is>
          <x:t xml:space="preserve">Yes</x:t>
        </x:is>
      </x:c>
      <x:c r="U2" s="81" t="n">
        <x:v>1</x:v>
      </x:c>
      <x:c r="V2" s="81" t="inlineStr">
        <x:is>
          <x:t xml:space="preserve">Day 1 seed.</x:t>
        </x:is>
      </x:c>
    </x:row>
    <x:row r="3">
      <x:c r="A3" s="81" t="inlineStr">
        <x:is>
          <x:t xml:space="preserve">principle.laozi.relational_opposites</x:t>
        </x:is>
      </x:c>
      <x:c r="B3" s="81" t="inlineStr">
        <x:is>
          <x:t xml:space="preserve">Collected</x:t>
        </x:is>
      </x:c>
      <x:c r="C3" s="81" t="inlineStr">
        <x:is>
          <x:t xml:space="preserve">Các đối cực làm rõ lẫn nhau</x:t>
        </x:is>
      </x:c>
      <x:c r="D3" s="81" t="inlineStr">
        <x:is>
          <x:t xml:space="preserve">Philosophy</x:t>
        </x:is>
      </x:c>
      <x:c r="E3" s="81" t="inlineStr">
        <x:is>
          <x:t xml:space="preserve">Một số khái niệm trở nên rõ trong quan hệ/đối chiếu với phía kia.</x:t>
        </x:is>
      </x:c>
      <x:c r="F3" s="81" t="inlineStr">
        <x:is>
          <x:t xml:space="preserve">道德經 / Tao Te Ching</x:t>
        </x:is>
      </x:c>
      <x:c r="G3" s="81" t="inlineStr">
        <x:is>
          <x:t xml:space="preserve">Laozi / 老子</x:t>
        </x:is>
      </x:c>
      <x:c r="H3" s="81" t="inlineStr">
        <x:is>
          <x:t xml:space="preserve">https://zh.wikisource.org/zh-hans/%E9%81%93%E5%BE%B7%E7%B6%93_(%E7%8E%8B%E5%BC%BC%E6%9C%AC)</x:t>
        </x:is>
      </x:c>
      <x:c r="I3" s="81" t="inlineStr">
        <x:is>
          <x:t xml:space="preserve">Primary text</x:t>
        </x:is>
      </x:c>
      <x:c r="J3" s="81" t="inlineStr">
        <x:is>
          <x:t xml:space="preserve">Ch.2 relational pairs.</x:t>
        </x:is>
      </x:c>
      <x:c r="K3" s="81" t="inlineStr">
        <x:is>
          <x:t xml:space="preserve">Không suy rộng thành mọi đối lập đều tốt.</x:t>
        </x:is>
      </x:c>
      <x:c r="L3" s="81" t="inlineStr">
        <x:is>
          <x:t xml:space="preserve">A - Primary source</x:t>
        </x:is>
      </x:c>
      <x:c r="M3" s="81" t="inlineStr">
        <x:is>
          <x:t xml:space="preserve">Interdependence</x:t>
        </x:is>
      </x:c>
      <x:c r="N3" s="81" t="inlineStr">
        <x:is>
          <x:t xml:space="preserve">Hai mặt cùng tồn tại</x:t>
        </x:is>
      </x:c>
      <x:c r="O3" s="81" t="inlineStr">
        <x:is>
          <x:t xml:space="preserve">Mixed emotions / Emotional memory</x:t>
        </x:is>
      </x:c>
      <x:c r="P3" s="81" t="inlineStr">
        <x:is>
          <x:t xml:space="preserve">Distinguish</x:t>
        </x:is>
      </x:c>
      <x:c r="Q3" s="81" t="inlineStr">
        <x:is>
          <x:t xml:space="preserve">research.laozi.ch02.006</x:t>
        </x:is>
      </x:c>
      <x:c r="R3" s="81" t="str"/>
      <x:c r="S3" s="81" t="inlineStr">
        <x:is>
          <x:t xml:space="preserve">Editorial lens</x:t>
        </x:is>
      </x:c>
      <x:c r="T3" s="81" t="inlineStr">
        <x:is>
          <x:t xml:space="preserve">Yes</x:t>
        </x:is>
      </x:c>
      <x:c r="U3" s="81" t="n">
        <x:v>1</x:v>
      </x:c>
      <x:c r="V3" s="81" t="inlineStr">
        <x:is>
          <x:t xml:space="preserve">Day 1 seed.</x:t>
        </x:is>
      </x:c>
    </x:row>
    <x:row r="4">
      <x:c r="A4" s="81" t="inlineStr">
        <x:is>
          <x:t xml:space="preserve">principle.laozi.non_attachment_to_achievement</x:t>
        </x:is>
      </x:c>
      <x:c r="B4" s="81" t="inlineStr">
        <x:is>
          <x:t xml:space="preserve">Collected</x:t>
        </x:is>
      </x:c>
      <x:c r="C4" s="81" t="inlineStr">
        <x:is>
          <x:t xml:space="preserve">Thành tựu không cần trở thành bản sắc</x:t>
        </x:is>
      </x:c>
      <x:c r="D4" s="81" t="inlineStr">
        <x:is>
          <x:t xml:space="preserve">Philosophy / work</x:t>
        </x:is>
      </x:c>
      <x:c r="E4" s="81" t="inlineStr">
        <x:is>
          <x:t xml:space="preserve">Làm xong một việc không nhất thiết phải bám vào công trạng hay biến thành tự định nghĩa.</x:t>
        </x:is>
      </x:c>
      <x:c r="F4" s="81" t="inlineStr">
        <x:is>
          <x:t xml:space="preserve">道德經 / Tao Te Ching</x:t>
        </x:is>
      </x:c>
      <x:c r="G4" s="81" t="inlineStr">
        <x:is>
          <x:t xml:space="preserve">Laozi / 老子</x:t>
        </x:is>
      </x:c>
      <x:c r="H4" s="81" t="inlineStr">
        <x:is>
          <x:t xml:space="preserve">https://zh.wikisource.org/zh-hans/%E9%81%93%E5%BE%B7%E7%B6%93_(%E7%8E%8B%E5%BC%BC%E6%9C%AC)</x:t>
        </x:is>
      </x:c>
      <x:c r="I4" s="81" t="inlineStr">
        <x:is>
          <x:t xml:space="preserve">Primary text</x:t>
        </x:is>
      </x:c>
      <x:c r="J4" s="81" t="inlineStr">
        <x:is>
          <x:t xml:space="preserve">Ch.2 and Ch.9.</x:t>
        </x:is>
      </x:c>
      <x:c r="K4" s="81" t="inlineStr">
        <x:is>
          <x:t xml:space="preserve">Không phủ nhận thành tựu/trách nhiệm.</x:t>
        </x:is>
      </x:c>
      <x:c r="L4" s="81" t="inlineStr">
        <x:is>
          <x:t xml:space="preserve">A - Primary source</x:t>
        </x:is>
      </x:c>
      <x:c r="M4" s="81" t="inlineStr">
        <x:is>
          <x:t xml:space="preserve">Identity in abundance</x:t>
        </x:is>
      </x:c>
      <x:c r="N4" s="81" t="inlineStr">
        <x:is>
          <x:t xml:space="preserve">Thành tựu và bản sắc</x:t>
        </x:is>
      </x:c>
      <x:c r="O4" s="81" t="inlineStr">
        <x:is>
          <x:t xml:space="preserve">Meaning / Identity / Work</x:t>
        </x:is>
      </x:c>
      <x:c r="P4" s="81" t="inlineStr">
        <x:is>
          <x:t xml:space="preserve">Distinguish</x:t>
        </x:is>
      </x:c>
      <x:c r="Q4" s="81" t="inlineStr">
        <x:is>
          <x:t xml:space="preserve">research.laozi.ch02.008; research.laozi.ch09.026</x:t>
        </x:is>
      </x:c>
      <x:c r="R4" s="81" t="str"/>
      <x:c r="S4" s="81" t="inlineStr">
        <x:is>
          <x:t xml:space="preserve">Editorial lens</x:t>
        </x:is>
      </x:c>
      <x:c r="T4" s="81" t="inlineStr">
        <x:is>
          <x:t xml:space="preserve">Yes</x:t>
        </x:is>
      </x:c>
      <x:c r="U4" s="81" t="n">
        <x:v>1</x:v>
      </x:c>
      <x:c r="V4" s="81" t="inlineStr">
        <x:is>
          <x:t xml:space="preserve">Day 1 seed.</x:t>
        </x:is>
      </x:c>
    </x:row>
    <x:row r="5">
      <x:c r="A5" s="81" t="inlineStr">
        <x:is>
          <x:t xml:space="preserve">principle.laozi.functional_emptiness</x:t>
        </x:is>
      </x:c>
      <x:c r="B5" s="81" t="inlineStr">
        <x:is>
          <x:t xml:space="preserve">Collected</x:t>
        </x:is>
      </x:c>
      <x:c r="C5" s="81" t="inlineStr">
        <x:is>
          <x:t xml:space="preserve">Khoảng trống có chức năng</x:t>
        </x:is>
      </x:c>
      <x:c r="D5" s="81" t="inlineStr">
        <x:is>
          <x:t xml:space="preserve">Philosophy / attention</x:t>
        </x:is>
      </x:c>
      <x:c r="E5" s="81" t="inlineStr">
        <x:is>
          <x:t xml:space="preserve">Giá trị không chỉ đến từ thứ được thêm vào; khoảng trống có thể là điều kiện để một vật hay trải nghiệm có công dụng.</x:t>
        </x:is>
      </x:c>
      <x:c r="F5" s="81" t="inlineStr">
        <x:is>
          <x:t xml:space="preserve">道德經 / Tao Te Ching</x:t>
        </x:is>
      </x:c>
      <x:c r="G5" s="81" t="inlineStr">
        <x:is>
          <x:t xml:space="preserve">Laozi / 老子</x:t>
        </x:is>
      </x:c>
      <x:c r="H5" s="81" t="inlineStr">
        <x:is>
          <x:t xml:space="preserve">https://zh.wikisource.org/zh-hans/%E9%81%93%E5%BE%B7%E7%B6%93_(%E7%8E%8B%E5%BC%BC%E6%9C%AC)</x:t>
        </x:is>
      </x:c>
      <x:c r="I5" s="81" t="inlineStr">
        <x:is>
          <x:t xml:space="preserve">Primary text</x:t>
        </x:is>
      </x:c>
      <x:c r="J5" s="81" t="inlineStr">
        <x:is>
          <x:t xml:space="preserve">Ch.11 wheel, vessel, room.</x:t>
        </x:is>
      </x:c>
      <x:c r="K5" s="81" t="inlineStr">
        <x:is>
          <x:t xml:space="preserve">Không biến thành 'ít luôn tốt hơn'.</x:t>
        </x:is>
      </x:c>
      <x:c r="L5" s="81" t="inlineStr">
        <x:is>
          <x:t xml:space="preserve">A - Primary source</x:t>
        </x:is>
      </x:c>
      <x:c r="M5" s="81" t="inlineStr">
        <x:is>
          <x:t xml:space="preserve">Attention scarcity</x:t>
        </x:is>
      </x:c>
      <x:c r="N5" s="81" t="inlineStr">
        <x:is>
          <x:t xml:space="preserve">Quá nhiều đầu vào, thiếu khoảng trống</x:t>
        </x:is>
      </x:c>
      <x:c r="O5" s="81" t="inlineStr">
        <x:is>
          <x:t xml:space="preserve">Attention / Noise / Deep focus</x:t>
        </x:is>
      </x:c>
      <x:c r="P5" s="81" t="inlineStr">
        <x:is>
          <x:t xml:space="preserve">Reframe</x:t>
        </x:is>
      </x:c>
      <x:c r="Q5" s="81" t="inlineStr">
        <x:is>
          <x:t xml:space="preserve">research.laozi.ch11.*</x:t>
        </x:is>
      </x:c>
      <x:c r="R5" s="81" t="str"/>
      <x:c r="S5" s="81" t="inlineStr">
        <x:is>
          <x:t xml:space="preserve">Product philosophy</x:t>
        </x:is>
      </x:c>
      <x:c r="T5" s="81" t="inlineStr">
        <x:is>
          <x:t xml:space="preserve">Yes</x:t>
        </x:is>
      </x:c>
      <x:c r="U5" s="81" t="n">
        <x:v>1</x:v>
      </x:c>
      <x:c r="V5" s="81" t="inlineStr">
        <x:is>
          <x:t xml:space="preserve">Core Selflo/AI-age principle.</x:t>
        </x:is>
      </x:c>
    </x:row>
    <x:row r="6">
      <x:c r="A6" s="81" t="inlineStr">
        <x:is>
          <x:t xml:space="preserve">principle.laozi.enoughness_limits</x:t>
        </x:is>
      </x:c>
      <x:c r="B6" s="81" t="inlineStr">
        <x:is>
          <x:t xml:space="preserve">Collected</x:t>
        </x:is>
      </x:c>
      <x:c r="C6" s="81" t="inlineStr">
        <x:is>
          <x:t xml:space="preserve">Biết đủ và giới hạn</x:t>
        </x:is>
      </x:c>
      <x:c r="D6" s="81" t="inlineStr">
        <x:is>
          <x:t xml:space="preserve">Philosophy / wellbeing</x:t>
        </x:is>
      </x:c>
      <x:c r="E6" s="81" t="inlineStr">
        <x:is>
          <x:t xml:space="preserve">Tiếp tục làm đầy hoặc tối ưu không phải lúc nào cũng tạo thêm giá trị; có ngưỡng làm giảm tính bền vững.</x:t>
        </x:is>
      </x:c>
      <x:c r="F6" s="81" t="inlineStr">
        <x:is>
          <x:t xml:space="preserve">道德經 / Tao Te Ching</x:t>
        </x:is>
      </x:c>
      <x:c r="G6" s="81" t="inlineStr">
        <x:is>
          <x:t xml:space="preserve">Laozi / 老子</x:t>
        </x:is>
      </x:c>
      <x:c r="H6" s="81" t="inlineStr">
        <x:is>
          <x:t xml:space="preserve">https://zh.wikisource.org/zh-hans/%E9%81%93%E5%BE%B7%E7%B6%93_(%E7%8E%8B%E5%BC%BC%E6%9C%AC)</x:t>
        </x:is>
      </x:c>
      <x:c r="I6" s="81" t="inlineStr">
        <x:is>
          <x:t xml:space="preserve">Primary text</x:t>
        </x:is>
      </x:c>
      <x:c r="J6" s="81" t="inlineStr">
        <x:is>
          <x:t xml:space="preserve">Ch.9 and Ch.15.</x:t>
        </x:is>
      </x:c>
      <x:c r="K6" s="81" t="inlineStr">
        <x:is>
          <x:t xml:space="preserve">Không dùng để chống tham vọng.</x:t>
        </x:is>
      </x:c>
      <x:c r="L6" s="81" t="inlineStr">
        <x:is>
          <x:t xml:space="preserve">A - Primary source</x:t>
        </x:is>
      </x:c>
      <x:c r="M6" s="81" t="inlineStr">
        <x:is>
          <x:t xml:space="preserve">Productivity ≠ leisure</x:t>
        </x:is>
      </x:c>
      <x:c r="N6" s="81" t="inlineStr">
        <x:is>
          <x:t xml:space="preserve">Cạn năng lượng / over-optimization</x:t>
        </x:is>
      </x:c>
      <x:c r="O6" s="81" t="inlineStr">
        <x:is>
          <x:t xml:space="preserve">Rest / Limits / Wellbeing</x:t>
        </x:is>
      </x:c>
      <x:c r="P6" s="81" t="inlineStr">
        <x:is>
          <x:t xml:space="preserve">Distinguish</x:t>
        </x:is>
      </x:c>
      <x:c r="Q6" s="81" t="inlineStr">
        <x:is>
          <x:t xml:space="preserve">research.laozi.ch09.*; research.laozi.ch15.*</x:t>
        </x:is>
      </x:c>
      <x:c r="R6" s="81" t="str"/>
      <x:c r="S6" s="81" t="inlineStr">
        <x:is>
          <x:t xml:space="preserve">Editorial lens</x:t>
        </x:is>
      </x:c>
      <x:c r="T6" s="81" t="inlineStr">
        <x:is>
          <x:t xml:space="preserve">Yes</x:t>
        </x:is>
      </x:c>
      <x:c r="U6" s="81" t="n">
        <x:v>1</x:v>
      </x:c>
      <x:c r="V6" s="81" t="inlineStr">
        <x:is>
          <x:t xml:space="preserve">Day 1 seed.</x:t>
        </x:is>
      </x:c>
    </x:row>
    <x:row r="7">
      <x:c r="A7" s="81" t="inlineStr">
        <x:is>
          <x:t xml:space="preserve">principle.laozi.stimulus_overload</x:t>
        </x:is>
      </x:c>
      <x:c r="B7" s="81" t="inlineStr">
        <x:is>
          <x:t xml:space="preserve">Collected</x:t>
        </x:is>
      </x:c>
      <x:c r="C7" s="81" t="inlineStr">
        <x:is>
          <x:t xml:space="preserve">Quá nhiều kích thích có thể làm giảm khả năng cảm nhận</x:t>
        </x:is>
      </x:c>
      <x:c r="D7" s="81" t="inlineStr">
        <x:is>
          <x:t xml:space="preserve">Philosophy / attention</x:t>
        </x:is>
      </x:c>
      <x:c r="E7" s="81" t="inlineStr">
        <x:is>
          <x:t xml:space="preserve">Khi đầu vào tăng quá mức, khả năng phân biệt và chú ý có thể giảm thay vì tăng.</x:t>
        </x:is>
      </x:c>
      <x:c r="F7" s="81" t="inlineStr">
        <x:is>
          <x:t xml:space="preserve">道德經 / Tao Te Ching</x:t>
        </x:is>
      </x:c>
      <x:c r="G7" s="81" t="inlineStr">
        <x:is>
          <x:t xml:space="preserve">Laozi / 老子</x:t>
        </x:is>
      </x:c>
      <x:c r="H7" s="81" t="inlineStr">
        <x:is>
          <x:t xml:space="preserve">https://zh.wikisource.org/zh-hans/%E9%81%93%E5%BE%B7%E7%B6%93_(%E7%8E%8B%E5%BC%BC%E6%9C%AC)</x:t>
        </x:is>
      </x:c>
      <x:c r="I7" s="81" t="inlineStr">
        <x:is>
          <x:t xml:space="preserve">Primary text</x:t>
        </x:is>
      </x:c>
      <x:c r="J7" s="81" t="inlineStr">
        <x:is>
          <x:t xml:space="preserve">Ch.12.</x:t>
        </x:is>
      </x:c>
      <x:c r="K7" s="81" t="inlineStr">
        <x:is>
          <x:t xml:space="preserve">Đây là ẩn dụ triết học cổ, không phải bằng chứng khoa học hiện đại.</x:t>
        </x:is>
      </x:c>
      <x:c r="L7" s="81" t="inlineStr">
        <x:is>
          <x:t xml:space="preserve">A - Primary source</x:t>
        </x:is>
      </x:c>
      <x:c r="M7" s="81" t="inlineStr">
        <x:is>
          <x:t xml:space="preserve">Information abundance / noise</x:t>
        </x:is>
      </x:c>
      <x:c r="N7" s="81" t="inlineStr">
        <x:is>
          <x:t xml:space="preserve">Quá tải thông tin</x:t>
        </x:is>
      </x:c>
      <x:c r="O7" s="81" t="inlineStr">
        <x:is>
          <x:t xml:space="preserve">Attention / Noise / Deep focus</x:t>
        </x:is>
      </x:c>
      <x:c r="P7" s="81" t="inlineStr">
        <x:is>
          <x:t xml:space="preserve">Recognize</x:t>
        </x:is>
      </x:c>
      <x:c r="Q7" s="81" t="inlineStr">
        <x:is>
          <x:t xml:space="preserve">research.laozi.ch12.*</x:t>
        </x:is>
      </x:c>
      <x:c r="R7" s="81" t="str"/>
      <x:c r="S7" s="81" t="inlineStr">
        <x:is>
          <x:t xml:space="preserve">Quote seed</x:t>
        </x:is>
      </x:c>
      <x:c r="T7" s="81" t="inlineStr">
        <x:is>
          <x:t xml:space="preserve">Yes</x:t>
        </x:is>
      </x:c>
      <x:c r="U7" s="81" t="n">
        <x:v>1</x:v>
      </x:c>
      <x:c r="V7" s="81" t="inlineStr">
        <x:is>
          <x:t xml:space="preserve">Connect to modern research later.</x:t>
        </x:is>
      </x:c>
    </x:row>
    <x:row r="8">
      <x:c r="A8" s="81" t="inlineStr">
        <x:is>
          <x:t xml:space="preserve">principle.laozi.clarity_not_forced</x:t>
        </x:is>
      </x:c>
      <x:c r="B8" s="81" t="inlineStr">
        <x:is>
          <x:t xml:space="preserve">Collected</x:t>
        </x:is>
      </x:c>
      <x:c r="C8" s="81" t="inlineStr">
        <x:is>
          <x:t xml:space="preserve">Sáng rõ không phải lúc nào cũng cần bị ép ra ngay</x:t>
        </x:is>
      </x:c>
      <x:c r="D8" s="81" t="inlineStr">
        <x:is>
          <x:t xml:space="preserve">Philosophy / reflection</x:t>
        </x:is>
      </x:c>
      <x:c r="E8" s="81" t="inlineStr">
        <x:is>
          <x:t xml:space="preserve">Khi trải nghiệm còn đục/rối, không tiếp tục khuấy động có thể tạo điều kiện cho sáng rõ xuất hiện dần.</x:t>
        </x:is>
      </x:c>
      <x:c r="F8" s="81" t="inlineStr">
        <x:is>
          <x:t xml:space="preserve">道德經 / Tao Te Ching</x:t>
        </x:is>
      </x:c>
      <x:c r="G8" s="81" t="inlineStr">
        <x:is>
          <x:t xml:space="preserve">Laozi / 老子</x:t>
        </x:is>
      </x:c>
      <x:c r="H8" s="81" t="inlineStr">
        <x:is>
          <x:t xml:space="preserve">https://zh.wikisource.org/zh-hans/%E9%81%93%E5%BE%B7%E7%B6%93_(%E7%8E%8B%E5%BC%BC%E6%9C%AC)</x:t>
        </x:is>
      </x:c>
      <x:c r="I8" s="81" t="inlineStr">
        <x:is>
          <x:t xml:space="preserve">Primary text</x:t>
        </x:is>
      </x:c>
      <x:c r="J8" s="81" t="inlineStr">
        <x:is>
          <x:t xml:space="preserve">Ch.15 muddy water.</x:t>
        </x:is>
      </x:c>
      <x:c r="K8" s="81" t="inlineStr">
        <x:is>
          <x:t xml:space="preserve">Không hứa chờ đợi sẽ tự giải quyết vấn đề.</x:t>
        </x:is>
      </x:c>
      <x:c r="L8" s="81" t="inlineStr">
        <x:is>
          <x:t xml:space="preserve">A - Primary source</x:t>
        </x:is>
      </x:c>
      <x:c r="M8" s="81" t="inlineStr">
        <x:is>
          <x:t xml:space="preserve">Fast execution / slow cognition</x:t>
        </x:is>
      </x:c>
      <x:c r="N8" s="81" t="inlineStr">
        <x:is>
          <x:t xml:space="preserve">Chưa gọi tên được / chưa rõ lựa chọn</x:t>
        </x:is>
      </x:c>
      <x:c r="O8" s="81" t="inlineStr">
        <x:is>
          <x:t xml:space="preserve">Uncertainty / Choice / Agency</x:t>
        </x:is>
      </x:c>
      <x:c r="P8" s="81" t="inlineStr">
        <x:is>
          <x:t xml:space="preserve">Permit</x:t>
        </x:is>
      </x:c>
      <x:c r="Q8" s="81" t="inlineStr">
        <x:is>
          <x:t xml:space="preserve">research.laozi.ch15.*</x:t>
        </x:is>
      </x:c>
      <x:c r="R8" s="81" t="str"/>
      <x:c r="S8" s="81" t="inlineStr">
        <x:is>
          <x:t xml:space="preserve">Editorial lens</x:t>
        </x:is>
      </x:c>
      <x:c r="T8" s="81" t="inlineStr">
        <x:is>
          <x:t xml:space="preserve">Yes</x:t>
        </x:is>
      </x:c>
      <x:c r="U8" s="81" t="n">
        <x:v>1</x:v>
      </x:c>
      <x:c r="V8" s="81" t="inlineStr">
        <x:is>
          <x:t xml:space="preserve">Strong Selflo principle.</x:t>
        </x:is>
      </x:c>
    </x:row>
    <x:row r="9">
      <x:c r="A9" s="81" t="inlineStr">
        <x:is>
          <x:t xml:space="preserve">principle.laozi.enduring_principles</x:t>
        </x:is>
      </x:c>
      <x:c r="B9" s="81" t="inlineStr">
        <x:is>
          <x:t xml:space="preserve">Collected</x:t>
        </x:is>
      </x:c>
      <x:c r="C9" s="81" t="inlineStr">
        <x:is>
          <x:t xml:space="preserve">Nguyên lý bền để soi hoàn cảnh mới</x:t>
        </x:is>
      </x:c>
      <x:c r="D9" s="81" t="inlineStr">
        <x:is>
          <x:t xml:space="preserve">Philosophy / judgment</x:t>
        </x:is>
      </x:c>
      <x:c r="E9" s="81" t="inlineStr">
        <x:is>
          <x:t xml:space="preserve">Một số nguyên lý có thể tồn tại lâu hơn bối cảnh cụ thể và giúp soi tình huống mới.</x:t>
        </x:is>
      </x:c>
      <x:c r="F9" s="81" t="inlineStr">
        <x:is>
          <x:t xml:space="preserve">道德經 / Tao Te Ching</x:t>
        </x:is>
      </x:c>
      <x:c r="G9" s="81" t="inlineStr">
        <x:is>
          <x:t xml:space="preserve">Laozi / 老子</x:t>
        </x:is>
      </x:c>
      <x:c r="H9" s="81" t="inlineStr">
        <x:is>
          <x:t xml:space="preserve">https://zh.wikisource.org/zh-hans/%E9%81%93%E5%BE%B7%E7%B6%93_(%E7%8E%8B%E5%BC%BC%E6%9C%AC)</x:t>
        </x:is>
      </x:c>
      <x:c r="I9" s="81" t="inlineStr">
        <x:is>
          <x:t xml:space="preserve">Primary text</x:t>
        </x:is>
      </x:c>
      <x:c r="J9" s="81" t="inlineStr">
        <x:is>
          <x:t xml:space="preserve">Ch.14 and Ch.16.</x:t>
        </x:is>
      </x:c>
      <x:c r="K9" s="81" t="inlineStr">
        <x:is>
          <x:t xml:space="preserve">Không giả định mọi nguyên lý cổ đều đúng cho hiện đại.</x:t>
        </x:is>
      </x:c>
      <x:c r="L9" s="81" t="inlineStr">
        <x:is>
          <x:t xml:space="preserve">A - Primary source</x:t>
        </x:is>
      </x:c>
      <x:c r="M9" s="81" t="inlineStr">
        <x:is>
          <x:t xml:space="preserve">Enduring principles</x:t>
        </x:is>
      </x:c>
      <x:c r="N9" s="81" t="inlineStr">
        <x:is>
          <x:t xml:space="preserve">Bối cảnh AI thay đổi nhanh</x:t>
        </x:is>
      </x:c>
      <x:c r="O9" s="81" t="inlineStr">
        <x:is>
          <x:t xml:space="preserve">AI-age Human Judgment</x:t>
        </x:is>
      </x:c>
      <x:c r="P9" s="81" t="inlineStr">
        <x:is>
          <x:t xml:space="preserve">Distinguish</x:t>
        </x:is>
      </x:c>
      <x:c r="Q9" s="81" t="inlineStr">
        <x:is>
          <x:t xml:space="preserve">research.laozi.ch14.*; research.laozi.ch16.*</x:t>
        </x:is>
      </x:c>
      <x:c r="R9" s="81" t="str"/>
      <x:c r="S9" s="81" t="inlineStr">
        <x:is>
          <x:t xml:space="preserve">Product philosophy</x:t>
        </x:is>
      </x:c>
      <x:c r="T9" s="81" t="inlineStr">
        <x:is>
          <x:t xml:space="preserve">Yes</x:t>
        </x:is>
      </x:c>
      <x:c r="U9" s="81" t="n">
        <x:v>1</x:v>
      </x:c>
      <x:c r="V9" s="81" t="inlineStr">
        <x:is>
          <x:t xml:space="preserve">Directly relevant to AI-era docs.</x:t>
        </x:is>
      </x:c>
    </x:row>
    <x:row r="10">
      <x:c r="A10" s="81" t="inlineStr">
        <x:is>
          <x:t xml:space="preserve">principle.laozi.return_agency</x:t>
        </x:is>
      </x:c>
      <x:c r="B10" s="81" t="inlineStr">
        <x:is>
          <x:t xml:space="preserve">Collected</x:t>
        </x:is>
      </x:c>
      <x:c r="C10" s="81" t="inlineStr">
        <x:is>
          <x:t xml:space="preserve">Hỗ trợ tốt có thể giữ lại cảm giác chủ thể</x:t>
        </x:is>
      </x:c>
      <x:c r="D10" s="81" t="inlineStr">
        <x:is>
          <x:t xml:space="preserve">Philosophy / leadership</x:t>
        </x:is>
      </x:c>
      <x:c r="E10" s="81" t="inlineStr">
        <x:is>
          <x:t xml:space="preserve">Một dạng hỗ trợ tốt không nhất thiết khiến người nhận cảm thấy bị điều khiển; họ vẫn thấy mình là người thực hiện.</x:t>
        </x:is>
      </x:c>
      <x:c r="F10" s="81" t="inlineStr">
        <x:is>
          <x:t xml:space="preserve">道德經 / Tao Te Ching</x:t>
        </x:is>
      </x:c>
      <x:c r="G10" s="81" t="inlineStr">
        <x:is>
          <x:t xml:space="preserve">Laozi / 老子</x:t>
        </x:is>
      </x:c>
      <x:c r="H10" s="81" t="inlineStr">
        <x:is>
          <x:t xml:space="preserve">https://zh.wikisource.org/zh-hans/%E9%81%93%E5%BE%B7%E7%B6%93_(%E7%8E%8B%E5%BC%BC%E6%9C%AC)</x:t>
        </x:is>
      </x:c>
      <x:c r="I10" s="81" t="inlineStr">
        <x:is>
          <x:t xml:space="preserve">Primary text</x:t>
        </x:is>
      </x:c>
      <x:c r="J10" s="81" t="inlineStr">
        <x:is>
          <x:t xml:space="preserve">Ch.17.</x:t>
        </x:is>
      </x:c>
      <x:c r="K10" s="81" t="inlineStr">
        <x:is>
          <x:t xml:space="preserve">Đây là diễn giải editorial, không phải kết luận duy nhất.</x:t>
        </x:is>
      </x:c>
      <x:c r="L10" s="81" t="inlineStr">
        <x:is>
          <x:t xml:space="preserve">A - Primary source</x:t>
        </x:is>
      </x:c>
      <x:c r="M10" s="81" t="inlineStr">
        <x:is>
          <x:t xml:space="preserve">Human agency</x:t>
        </x:is>
      </x:c>
      <x:c r="N10" s="81" t="inlineStr">
        <x:is>
          <x:t xml:space="preserve">Người dùng vẫn là chủ thể</x:t>
        </x:is>
      </x:c>
      <x:c r="O10" s="81" t="inlineStr">
        <x:is>
          <x:t xml:space="preserve">AI-age Human Judgment</x:t>
        </x:is>
      </x:c>
      <x:c r="P10" s="81" t="inlineStr">
        <x:is>
          <x:t xml:space="preserve">Return agency</x:t>
        </x:is>
      </x:c>
      <x:c r="Q10" s="81" t="inlineStr">
        <x:is>
          <x:t xml:space="preserve">research.laozi.ch17.*</x:t>
        </x:is>
      </x:c>
      <x:c r="R10" s="81" t="str"/>
      <x:c r="S10" s="81" t="inlineStr">
        <x:is>
          <x:t xml:space="preserve">Product philosophy</x:t>
        </x:is>
      </x:c>
      <x:c r="T10" s="81" t="inlineStr">
        <x:is>
          <x:t xml:space="preserve">Yes</x:t>
        </x:is>
      </x:c>
      <x:c r="U10" s="81" t="n">
        <x:v>1</x:v>
      </x:c>
      <x:c r="V10" s="81" t="inlineStr">
        <x:is>
          <x:t xml:space="preserve">Core Selflo philosophy.</x:t>
        </x:is>
      </x:c>
    </x:row>
    <x:row r="11">
      <x:c r="A11" s="81" t="inlineStr">
        <x:is>
          <x:t xml:space="preserve">principle.laozi.social_comparison_uncertainty</x:t>
        </x:is>
      </x:c>
      <x:c r="B11" s="81" t="inlineStr">
        <x:is>
          <x:t xml:space="preserve">Collected</x:t>
        </x:is>
      </x:c>
      <x:c r="C11" s="81" t="inlineStr">
        <x:is>
          <x:t xml:space="preserve">Sự chắc chắn của số đông không quyết định trải nghiệm của mình</x:t>
        </x:is>
      </x:c>
      <x:c r="D11" s="81" t="inlineStr">
        <x:is>
          <x:t xml:space="preserve">Philosophy / self-understanding</x:t>
        </x:is>
      </x:c>
      <x:c r="E11" s="81" t="inlineStr">
        <x:is>
          <x:t xml:space="preserve">Cảm giác người khác đều đủ, rõ và có hướng đi có thể cùng tồn tại với việc mình chưa rõ.</x:t>
        </x:is>
      </x:c>
      <x:c r="F11" s="81" t="inlineStr">
        <x:is>
          <x:t xml:space="preserve">道德經 / Tao Te Ching</x:t>
        </x:is>
      </x:c>
      <x:c r="G11" s="81" t="inlineStr">
        <x:is>
          <x:t xml:space="preserve">Laozi / 老子</x:t>
        </x:is>
      </x:c>
      <x:c r="H11" s="81" t="inlineStr">
        <x:is>
          <x:t xml:space="preserve">https://zh.wikisource.org/zh-hans/%E9%81%93%E5%BE%B7%E7%B6%93_(%E7%8E%8B%E5%BC%BC%E6%9C%AC)</x:t>
        </x:is>
      </x:c>
      <x:c r="I11" s="81" t="inlineStr">
        <x:is>
          <x:t xml:space="preserve">Primary text</x:t>
        </x:is>
      </x:c>
      <x:c r="J11" s="81" t="inlineStr">
        <x:is>
          <x:t xml:space="preserve">Ch.20.</x:t>
        </x:is>
      </x:c>
      <x:c r="K11" s="81" t="inlineStr">
        <x:is>
          <x:t xml:space="preserve">Không lãng mạn hóa cô lập hoặc khác biệt.</x:t>
        </x:is>
      </x:c>
      <x:c r="L11" s="81" t="inlineStr">
        <x:is>
          <x:t xml:space="preserve">A - Primary source</x:t>
        </x:is>
      </x:c>
      <x:c r="M11" s="81" t="inlineStr">
        <x:is>
          <x:t xml:space="preserve">Human judgment</x:t>
        </x:is>
      </x:c>
      <x:c r="N11" s="81" t="inlineStr">
        <x:is>
          <x:t xml:space="preserve">Mọi người có vẻ biết còn mình chưa biết</x:t>
        </x:is>
      </x:c>
      <x:c r="O11" s="81" t="inlineStr">
        <x:is>
          <x:t xml:space="preserve">Comparison / External standards / Values</x:t>
        </x:is>
      </x:c>
      <x:c r="P11" s="81" t="inlineStr">
        <x:is>
          <x:t xml:space="preserve">Recognize</x:t>
        </x:is>
      </x:c>
      <x:c r="Q11" s="81" t="inlineStr">
        <x:is>
          <x:t xml:space="preserve">research.laozi.ch20.*</x:t>
        </x:is>
      </x:c>
      <x:c r="R11" s="81" t="str"/>
      <x:c r="S11" s="81" t="inlineStr">
        <x:is>
          <x:t xml:space="preserve">Editorial lens</x:t>
        </x:is>
      </x:c>
      <x:c r="T11" s="81" t="inlineStr">
        <x:is>
          <x:t xml:space="preserve">Yes</x:t>
        </x:is>
      </x:c>
      <x:c r="U11" s="81" t="n">
        <x:v>1</x:v>
      </x:c>
      <x:c r="V11" s="81" t="inlineStr">
        <x:is>
          <x:t xml:space="preserve">Strong recognition/permission seed.</x:t>
        </x:is>
      </x:c>
    </x:row>
    <x:row r="12">
      <x:c r="A12" s="81" t="inlineStr">
        <x:is>
          <x:t xml:space="preserve">principle.laozi.day2.progress_can_look_backward</x:t>
        </x:is>
      </x:c>
      <x:c r="B12" s="81" t="inlineStr">
        <x:is>
          <x:t xml:space="preserve">Collected</x:t>
        </x:is>
      </x:c>
      <x:c r="C12" s="81" t="inlineStr">
        <x:is>
          <x:t xml:space="preserve">Tiến bộ không phải lúc nào trông giống tiến bộ</x:t>
        </x:is>
      </x:c>
      <x:c r="D12" s="81" t="inlineStr">
        <x:is>
          <x:t xml:space="preserve">Philosophy / AI-age</x:t>
        </x:is>
      </x:c>
      <x:c r="E12" s="81" t="inlineStr">
        <x:is>
          <x:t xml:space="preserve">Một bước lùi bề ngoài có thể vẫn thuộc một chuyển động sâu hơn; không dùng hình thức bên ngoài làm thước đo duy nhất.</x:t>
        </x:is>
      </x:c>
      <x:c r="F12" s="81" t="inlineStr">
        <x:is>
          <x:t xml:space="preserve">道德經 / Tao Te Ching</x:t>
        </x:is>
      </x:c>
      <x:c r="G12" s="81" t="inlineStr">
        <x:is>
          <x:t xml:space="preserve">Laozi / 老子</x:t>
        </x:is>
      </x:c>
      <x:c r="H12" s="81" t="inlineStr">
        <x:is>
          <x:t xml:space="preserve">https://zh.wikisource.org/zh-hant/%E9%81%93%E5%BE%B7%E7%B6%93_(%E7%8E%8B%E5%BC%BC%E6%9C%AC)</x:t>
        </x:is>
      </x:c>
      <x:c r="I12" s="81" t="inlineStr">
        <x:is>
          <x:t xml:space="preserve">Primary text</x:t>
        </x:is>
      </x:c>
      <x:c r="J12" s="81" t="inlineStr">
        <x:is>
          <x:t xml:space="preserve">Ch.41</x:t>
        </x:is>
      </x:c>
      <x:c r="K12" s="81" t="inlineStr">
        <x:is>
          <x:t xml:space="preserve">Editorial principle seed; review against scholarship before publication.</x:t>
        </x:is>
      </x:c>
      <x:c r="L12" s="81" t="inlineStr">
        <x:is>
          <x:t xml:space="preserve">A - Primary source</x:t>
        </x:is>
      </x:c>
      <x:c r="M12" s="81" t="inlineStr">
        <x:is>
          <x:t xml:space="preserve">Progress</x:t>
        </x:is>
      </x:c>
      <x:c r="N12" s="81" t="inlineStr">
        <x:is>
          <x:t xml:space="preserve">Selflo philosophy / research</x:t>
        </x:is>
      </x:c>
      <x:c r="O12" s="81" t="inlineStr">
        <x:is>
          <x:t xml:space="preserve">Day 2 / Laozi</x:t>
        </x:is>
      </x:c>
      <x:c r="P12" s="81" t="inlineStr">
        <x:is>
          <x:t xml:space="preserve">Distinguish / Reframe</x:t>
        </x:is>
      </x:c>
      <x:c r="Q12" s="81" t="str"/>
      <x:c r="R12" s="81" t="str"/>
      <x:c r="S12" s="81" t="inlineStr">
        <x:is>
          <x:t xml:space="preserve">Editorial lens</x:t>
        </x:is>
      </x:c>
      <x:c r="T12" s="81" t="inlineStr">
        <x:is>
          <x:t xml:space="preserve">Yes</x:t>
        </x:is>
      </x:c>
      <x:c r="U12" s="81" t="n">
        <x:v>2</x:v>
      </x:c>
      <x:c r="V12" s="81" t="inlineStr">
        <x:is>
          <x:t xml:space="preserve">Day 2 principle seed.</x:t>
        </x:is>
      </x:c>
    </x:row>
    <x:row r="13">
      <x:c r="A13" s="81" t="inlineStr">
        <x:is>
          <x:t xml:space="preserve">principle.laozi.day2.soft_strength</x:t>
        </x:is>
      </x:c>
      <x:c r="B13" s="81" t="inlineStr">
        <x:is>
          <x:t xml:space="preserve">Collected</x:t>
        </x:is>
      </x:c>
      <x:c r="C13" s="81" t="inlineStr">
        <x:is>
          <x:t xml:space="preserve">Mềm có thể là một dạng sức mạnh</x:t>
        </x:is>
      </x:c>
      <x:c r="D13" s="81" t="inlineStr">
        <x:is>
          <x:t xml:space="preserve">Philosophy / AI-age</x:t>
        </x:is>
      </x:c>
      <x:c r="E13" s="81" t="inlineStr">
        <x:is>
          <x:t xml:space="preserve">Mềm và linh hoạt không đồng nghĩa yếu; sức mạnh không chỉ có dạng cưỡng ép.</x:t>
        </x:is>
      </x:c>
      <x:c r="F13" s="81" t="inlineStr">
        <x:is>
          <x:t xml:space="preserve">道德經 / Tao Te Ching</x:t>
        </x:is>
      </x:c>
      <x:c r="G13" s="81" t="inlineStr">
        <x:is>
          <x:t xml:space="preserve">Laozi / 老子</x:t>
        </x:is>
      </x:c>
      <x:c r="H13" s="81" t="inlineStr">
        <x:is>
          <x:t xml:space="preserve">https://zh.wikisource.org/zh-hant/%E9%81%93%E5%BE%B7%E7%B6%93_(%E7%8E%8B%E5%BC%BC%E6%9C%AC)</x:t>
        </x:is>
      </x:c>
      <x:c r="I13" s="81" t="inlineStr">
        <x:is>
          <x:t xml:space="preserve">Primary text</x:t>
        </x:is>
      </x:c>
      <x:c r="J13" s="81" t="inlineStr">
        <x:is>
          <x:t xml:space="preserve">Ch.36, 43</x:t>
        </x:is>
      </x:c>
      <x:c r="K13" s="81" t="inlineStr">
        <x:is>
          <x:t xml:space="preserve">Editorial principle seed; review against scholarship before publication.</x:t>
        </x:is>
      </x:c>
      <x:c r="L13" s="81" t="inlineStr">
        <x:is>
          <x:t xml:space="preserve">A - Primary source</x:t>
        </x:is>
      </x:c>
      <x:c r="M13" s="81" t="inlineStr">
        <x:is>
          <x:t xml:space="preserve">Strength</x:t>
        </x:is>
      </x:c>
      <x:c r="N13" s="81" t="inlineStr">
        <x:is>
          <x:t xml:space="preserve">Selflo philosophy / research</x:t>
        </x:is>
      </x:c>
      <x:c r="O13" s="81" t="inlineStr">
        <x:is>
          <x:t xml:space="preserve">Day 2 / Laozi</x:t>
        </x:is>
      </x:c>
      <x:c r="P13" s="81" t="inlineStr">
        <x:is>
          <x:t xml:space="preserve">Distinguish / Reframe</x:t>
        </x:is>
      </x:c>
      <x:c r="Q13" s="81" t="str"/>
      <x:c r="R13" s="81" t="str"/>
      <x:c r="S13" s="81" t="inlineStr">
        <x:is>
          <x:t xml:space="preserve">Editorial lens</x:t>
        </x:is>
      </x:c>
      <x:c r="T13" s="81" t="inlineStr">
        <x:is>
          <x:t xml:space="preserve">Yes</x:t>
        </x:is>
      </x:c>
      <x:c r="U13" s="81" t="n">
        <x:v>2</x:v>
      </x:c>
      <x:c r="V13" s="81" t="inlineStr">
        <x:is>
          <x:t xml:space="preserve">Day 2 principle seed.</x:t>
        </x:is>
      </x:c>
    </x:row>
    <x:row r="14">
      <x:c r="A14" s="81" t="inlineStr">
        <x:is>
          <x:t xml:space="preserve">principle.laozi.day2.self_knowledge</x:t>
        </x:is>
      </x:c>
      <x:c r="B14" s="81" t="inlineStr">
        <x:is>
          <x:t xml:space="preserve">Collected</x:t>
        </x:is>
      </x:c>
      <x:c r="C14" s="81" t="inlineStr">
        <x:is>
          <x:t xml:space="preserve">Tự hiểu mình là một dạng sáng rõ riêng</x:t>
        </x:is>
      </x:c>
      <x:c r="D14" s="81" t="inlineStr">
        <x:is>
          <x:t xml:space="preserve">Philosophy / AI-age</x:t>
        </x:is>
      </x:c>
      <x:c r="E14" s="81" t="inlineStr">
        <x:is>
          <x:t xml:space="preserve">Biết nhiều về bên ngoài không thay thế được khả năng nhận ra điều đang diễn ra trong mình.</x:t>
        </x:is>
      </x:c>
      <x:c r="F14" s="81" t="inlineStr">
        <x:is>
          <x:t xml:space="preserve">道德經 / Tao Te Ching</x:t>
        </x:is>
      </x:c>
      <x:c r="G14" s="81" t="inlineStr">
        <x:is>
          <x:t xml:space="preserve">Laozi / 老子</x:t>
        </x:is>
      </x:c>
      <x:c r="H14" s="81" t="inlineStr">
        <x:is>
          <x:t xml:space="preserve">https://zh.wikisource.org/zh-hant/%E9%81%93%E5%BE%B7%E7%B6%93_(%E7%8E%8B%E5%BC%BC%E6%9C%AC)</x:t>
        </x:is>
      </x:c>
      <x:c r="I14" s="81" t="inlineStr">
        <x:is>
          <x:t xml:space="preserve">Primary text</x:t>
        </x:is>
      </x:c>
      <x:c r="J14" s="81" t="inlineStr">
        <x:is>
          <x:t xml:space="preserve">Ch.33</x:t>
        </x:is>
      </x:c>
      <x:c r="K14" s="81" t="inlineStr">
        <x:is>
          <x:t xml:space="preserve">Editorial principle seed; review against scholarship before publication.</x:t>
        </x:is>
      </x:c>
      <x:c r="L14" s="81" t="inlineStr">
        <x:is>
          <x:t xml:space="preserve">A - Primary source</x:t>
        </x:is>
      </x:c>
      <x:c r="M14" s="81" t="inlineStr">
        <x:is>
          <x:t xml:space="preserve">Self-understanding</x:t>
        </x:is>
      </x:c>
      <x:c r="N14" s="81" t="inlineStr">
        <x:is>
          <x:t xml:space="preserve">Selflo philosophy / research</x:t>
        </x:is>
      </x:c>
      <x:c r="O14" s="81" t="inlineStr">
        <x:is>
          <x:t xml:space="preserve">Day 2 / Laozi</x:t>
        </x:is>
      </x:c>
      <x:c r="P14" s="81" t="inlineStr">
        <x:is>
          <x:t xml:space="preserve">Distinguish / Reframe</x:t>
        </x:is>
      </x:c>
      <x:c r="Q14" s="81" t="str"/>
      <x:c r="R14" s="81" t="str"/>
      <x:c r="S14" s="81" t="inlineStr">
        <x:is>
          <x:t xml:space="preserve">Editorial lens</x:t>
        </x:is>
      </x:c>
      <x:c r="T14" s="81" t="inlineStr">
        <x:is>
          <x:t xml:space="preserve">Yes</x:t>
        </x:is>
      </x:c>
      <x:c r="U14" s="81" t="n">
        <x:v>2</x:v>
      </x:c>
      <x:c r="V14" s="81" t="inlineStr">
        <x:is>
          <x:t xml:space="preserve">Day 2 principle seed.</x:t>
        </x:is>
      </x:c>
    </x:row>
    <x:row r="15">
      <x:c r="A15" s="81" t="inlineStr">
        <x:is>
          <x:t xml:space="preserve">principle.laozi.day2.enough_and_stop</x:t>
        </x:is>
      </x:c>
      <x:c r="B15" s="81" t="inlineStr">
        <x:is>
          <x:t xml:space="preserve">Collected</x:t>
        </x:is>
      </x:c>
      <x:c r="C15" s="81" t="inlineStr">
        <x:is>
          <x:t xml:space="preserve">Biết đủ và biết dừng hỗ trợ tính bền vững</x:t>
        </x:is>
      </x:c>
      <x:c r="D15" s="81" t="inlineStr">
        <x:is>
          <x:t xml:space="preserve">Philosophy / AI-age</x:t>
        </x:is>
      </x:c>
      <x:c r="E15" s="81" t="inlineStr">
        <x:is>
          <x:t xml:space="preserve">Thêm mãi và đi mãi không phải mặc định tốt hơn; giới hạn là một phần của phán đoán.</x:t>
        </x:is>
      </x:c>
      <x:c r="F15" s="81" t="inlineStr">
        <x:is>
          <x:t xml:space="preserve">道德經 / Tao Te Ching</x:t>
        </x:is>
      </x:c>
      <x:c r="G15" s="81" t="inlineStr">
        <x:is>
          <x:t xml:space="preserve">Laozi / 老子</x:t>
        </x:is>
      </x:c>
      <x:c r="H15" s="81" t="inlineStr">
        <x:is>
          <x:t xml:space="preserve">https://zh.wikisource.org/zh-hant/%E9%81%93%E5%BE%B7%E7%B6%93_(%E7%8E%8B%E5%BC%BC%E6%9C%AC)</x:t>
        </x:is>
      </x:c>
      <x:c r="I15" s="81" t="inlineStr">
        <x:is>
          <x:t xml:space="preserve">Primary text</x:t>
        </x:is>
      </x:c>
      <x:c r="J15" s="81" t="inlineStr">
        <x:is>
          <x:t xml:space="preserve">Ch.32, 44, 46</x:t>
        </x:is>
      </x:c>
      <x:c r="K15" s="81" t="inlineStr">
        <x:is>
          <x:t xml:space="preserve">Editorial principle seed; review against scholarship before publication.</x:t>
        </x:is>
      </x:c>
      <x:c r="L15" s="81" t="inlineStr">
        <x:is>
          <x:t xml:space="preserve">A - Primary source</x:t>
        </x:is>
      </x:c>
      <x:c r="M15" s="81" t="inlineStr">
        <x:is>
          <x:t xml:space="preserve">Enoughness</x:t>
        </x:is>
      </x:c>
      <x:c r="N15" s="81" t="inlineStr">
        <x:is>
          <x:t xml:space="preserve">Selflo philosophy / research</x:t>
        </x:is>
      </x:c>
      <x:c r="O15" s="81" t="inlineStr">
        <x:is>
          <x:t xml:space="preserve">Day 2 / Laozi</x:t>
        </x:is>
      </x:c>
      <x:c r="P15" s="81" t="inlineStr">
        <x:is>
          <x:t xml:space="preserve">Distinguish / Reframe</x:t>
        </x:is>
      </x:c>
      <x:c r="Q15" s="81" t="str"/>
      <x:c r="R15" s="81" t="str"/>
      <x:c r="S15" s="81" t="inlineStr">
        <x:is>
          <x:t xml:space="preserve">Editorial lens</x:t>
        </x:is>
      </x:c>
      <x:c r="T15" s="81" t="inlineStr">
        <x:is>
          <x:t xml:space="preserve">Yes</x:t>
        </x:is>
      </x:c>
      <x:c r="U15" s="81" t="n">
        <x:v>2</x:v>
      </x:c>
      <x:c r="V15" s="81" t="inlineStr">
        <x:is>
          <x:t xml:space="preserve">Day 2 principle seed.</x:t>
        </x:is>
      </x:c>
    </x:row>
    <x:row r="16">
      <x:c r="A16" s="81" t="inlineStr">
        <x:is>
          <x:t xml:space="preserve">principle.laozi.day2.context_over_force</x:t>
        </x:is>
      </x:c>
      <x:c r="B16" s="81" t="inlineStr">
        <x:is>
          <x:t xml:space="preserve">Collected</x:t>
        </x:is>
      </x:c>
      <x:c r="C16" s="81" t="inlineStr">
        <x:is>
          <x:t xml:space="preserve">Bối cảnh và điều kiện có thể quan trọng hơn lực trực tiếp</x:t>
        </x:is>
      </x:c>
      <x:c r="D16" s="81" t="inlineStr">
        <x:is>
          <x:t xml:space="preserve">Philosophy / AI-age</x:t>
        </x:is>
      </x:c>
      <x:c r="E16" s="81" t="inlineStr">
        <x:is>
          <x:t xml:space="preserve">Không phải mọi kết quả đều được tạo tốt nhất bằng tăng kiểm soát hay tăng lực.</x:t>
        </x:is>
      </x:c>
      <x:c r="F16" s="81" t="inlineStr">
        <x:is>
          <x:t xml:space="preserve">道德經 / Tao Te Ching</x:t>
        </x:is>
      </x:c>
      <x:c r="G16" s="81" t="inlineStr">
        <x:is>
          <x:t xml:space="preserve">Laozi / 老子</x:t>
        </x:is>
      </x:c>
      <x:c r="H16" s="81" t="inlineStr">
        <x:is>
          <x:t xml:space="preserve">https://zh.wikisource.org/zh-hant/%E9%81%93%E5%BE%B7%E7%B6%93_(%E7%8E%8B%E5%BC%BC%E6%9C%AC)</x:t>
        </x:is>
      </x:c>
      <x:c r="I16" s="81" t="inlineStr">
        <x:is>
          <x:t xml:space="preserve">Primary text</x:t>
        </x:is>
      </x:c>
      <x:c r="J16" s="81" t="inlineStr">
        <x:is>
          <x:t xml:space="preserve">Ch.25, 29, 36</x:t>
        </x:is>
      </x:c>
      <x:c r="K16" s="81" t="inlineStr">
        <x:is>
          <x:t xml:space="preserve">Editorial principle seed; review against scholarship before publication.</x:t>
        </x:is>
      </x:c>
      <x:c r="L16" s="81" t="inlineStr">
        <x:is>
          <x:t xml:space="preserve">A - Primary source</x:t>
        </x:is>
      </x:c>
      <x:c r="M16" s="81" t="inlineStr">
        <x:is>
          <x:t xml:space="preserve">Context</x:t>
        </x:is>
      </x:c>
      <x:c r="N16" s="81" t="inlineStr">
        <x:is>
          <x:t xml:space="preserve">Selflo philosophy / research</x:t>
        </x:is>
      </x:c>
      <x:c r="O16" s="81" t="inlineStr">
        <x:is>
          <x:t xml:space="preserve">Day 2 / Laozi</x:t>
        </x:is>
      </x:c>
      <x:c r="P16" s="81" t="inlineStr">
        <x:is>
          <x:t xml:space="preserve">Distinguish / Reframe</x:t>
        </x:is>
      </x:c>
      <x:c r="Q16" s="81" t="str"/>
      <x:c r="R16" s="81" t="str"/>
      <x:c r="S16" s="81" t="inlineStr">
        <x:is>
          <x:t xml:space="preserve">Editorial lens</x:t>
        </x:is>
      </x:c>
      <x:c r="T16" s="81" t="inlineStr">
        <x:is>
          <x:t xml:space="preserve">Yes</x:t>
        </x:is>
      </x:c>
      <x:c r="U16" s="81" t="n">
        <x:v>2</x:v>
      </x:c>
      <x:c r="V16" s="81" t="inlineStr">
        <x:is>
          <x:t xml:space="preserve">Day 2 principle seed.</x:t>
        </x:is>
      </x:c>
    </x:row>
    <x:row r="17">
      <x:c r="A17" s="81" t="inlineStr">
        <x:is>
          <x:t xml:space="preserve">principle.laozi.day2.value_not_attention</x:t>
        </x:is>
      </x:c>
      <x:c r="B17" s="81" t="inlineStr">
        <x:is>
          <x:t xml:space="preserve">Collected</x:t>
        </x:is>
      </x:c>
      <x:c r="C17" s="81" t="inlineStr">
        <x:is>
          <x:t xml:space="preserve">Thứ gây chú ý và thứ có giá trị không phải một</x:t>
        </x:is>
      </x:c>
      <x:c r="D17" s="81" t="inlineStr">
        <x:is>
          <x:t xml:space="preserve">Philosophy / AI-age</x:t>
        </x:is>
      </x:c>
      <x:c r="E17" s="81" t="inlineStr">
        <x:is>
          <x:t xml:space="preserve">Điều ít kích thích hoặc ít phô bày vẫn có thể hữu dụng và bền.</x:t>
        </x:is>
      </x:c>
      <x:c r="F17" s="81" t="inlineStr">
        <x:is>
          <x:t xml:space="preserve">道德經 / Tao Te Ching</x:t>
        </x:is>
      </x:c>
      <x:c r="G17" s="81" t="inlineStr">
        <x:is>
          <x:t xml:space="preserve">Laozi / 老子</x:t>
        </x:is>
      </x:c>
      <x:c r="H17" s="81" t="inlineStr">
        <x:is>
          <x:t xml:space="preserve">https://zh.wikisource.org/zh-hant/%E9%81%93%E5%BE%B7%E7%B6%93_(%E7%8E%8B%E5%BC%BC%E6%9C%AC)</x:t>
        </x:is>
      </x:c>
      <x:c r="I17" s="81" t="inlineStr">
        <x:is>
          <x:t xml:space="preserve">Primary text</x:t>
        </x:is>
      </x:c>
      <x:c r="J17" s="81" t="inlineStr">
        <x:is>
          <x:t xml:space="preserve">Ch.35</x:t>
        </x:is>
      </x:c>
      <x:c r="K17" s="81" t="inlineStr">
        <x:is>
          <x:t xml:space="preserve">Editorial principle seed; review against scholarship before publication.</x:t>
        </x:is>
      </x:c>
      <x:c r="L17" s="81" t="inlineStr">
        <x:is>
          <x:t xml:space="preserve">A - Primary source</x:t>
        </x:is>
      </x:c>
      <x:c r="M17" s="81" t="inlineStr">
        <x:is>
          <x:t xml:space="preserve">Attention</x:t>
        </x:is>
      </x:c>
      <x:c r="N17" s="81" t="inlineStr">
        <x:is>
          <x:t xml:space="preserve">Selflo philosophy / research</x:t>
        </x:is>
      </x:c>
      <x:c r="O17" s="81" t="inlineStr">
        <x:is>
          <x:t xml:space="preserve">Day 2 / Laozi</x:t>
        </x:is>
      </x:c>
      <x:c r="P17" s="81" t="inlineStr">
        <x:is>
          <x:t xml:space="preserve">Distinguish / Reframe</x:t>
        </x:is>
      </x:c>
      <x:c r="Q17" s="81" t="str"/>
      <x:c r="R17" s="81" t="str"/>
      <x:c r="S17" s="81" t="inlineStr">
        <x:is>
          <x:t xml:space="preserve">Editorial lens</x:t>
        </x:is>
      </x:c>
      <x:c r="T17" s="81" t="inlineStr">
        <x:is>
          <x:t xml:space="preserve">Yes</x:t>
        </x:is>
      </x:c>
      <x:c r="U17" s="81" t="n">
        <x:v>2</x:v>
      </x:c>
      <x:c r="V17" s="81" t="inlineStr">
        <x:is>
          <x:t xml:space="preserve">Day 2 principle seed.</x:t>
        </x:is>
      </x:c>
    </x:row>
    <x:row r="18">
      <x:c r="A18" s="81" t="inlineStr">
        <x:is>
          <x:t xml:space="preserve">principle.laozi.day2.whole_not_parts</x:t>
        </x:is>
      </x:c>
      <x:c r="B18" s="81" t="inlineStr">
        <x:is>
          <x:t xml:space="preserve">Collected</x:t>
        </x:is>
      </x:c>
      <x:c r="C18" s="81" t="inlineStr">
        <x:is>
          <x:t xml:space="preserve">Phân tích các phần không thay thế được cái nhìn toàn thể</x:t>
        </x:is>
      </x:c>
      <x:c r="D18" s="81" t="inlineStr">
        <x:is>
          <x:t xml:space="preserve">Philosophy / AI-age</x:t>
        </x:is>
      </x:c>
      <x:c r="E18" s="81" t="inlineStr">
        <x:is>
          <x:t xml:space="preserve">Tách nhỏ giúp hiểu, nhưng nếu chỉ còn các phần ta có thể đánh mất quan hệ tạo nên toàn thể.</x:t>
        </x:is>
      </x:c>
      <x:c r="F18" s="81" t="inlineStr">
        <x:is>
          <x:t xml:space="preserve">道德經 / Tao Te Ching</x:t>
        </x:is>
      </x:c>
      <x:c r="G18" s="81" t="inlineStr">
        <x:is>
          <x:t xml:space="preserve">Laozi / 老子</x:t>
        </x:is>
      </x:c>
      <x:c r="H18" s="81" t="inlineStr">
        <x:is>
          <x:t xml:space="preserve">https://zh.wikisource.org/zh-hant/%E9%81%93%E5%BE%B7%E7%B6%93_(%E7%8E%8B%E5%BC%BC%E6%9C%AC)</x:t>
        </x:is>
      </x:c>
      <x:c r="I18" s="81" t="inlineStr">
        <x:is>
          <x:t xml:space="preserve">Primary text</x:t>
        </x:is>
      </x:c>
      <x:c r="J18" s="81" t="inlineStr">
        <x:is>
          <x:t xml:space="preserve">Ch.39</x:t>
        </x:is>
      </x:c>
      <x:c r="K18" s="81" t="inlineStr">
        <x:is>
          <x:t xml:space="preserve">Editorial principle seed; review against scholarship before publication.</x:t>
        </x:is>
      </x:c>
      <x:c r="L18" s="81" t="inlineStr">
        <x:is>
          <x:t xml:space="preserve">A - Primary source</x:t>
        </x:is>
      </x:c>
      <x:c r="M18" s="81" t="inlineStr">
        <x:is>
          <x:t xml:space="preserve">Systems</x:t>
        </x:is>
      </x:c>
      <x:c r="N18" s="81" t="inlineStr">
        <x:is>
          <x:t xml:space="preserve">Selflo philosophy / research</x:t>
        </x:is>
      </x:c>
      <x:c r="O18" s="81" t="inlineStr">
        <x:is>
          <x:t xml:space="preserve">Day 2 / Laozi</x:t>
        </x:is>
      </x:c>
      <x:c r="P18" s="81" t="inlineStr">
        <x:is>
          <x:t xml:space="preserve">Distinguish / Reframe</x:t>
        </x:is>
      </x:c>
      <x:c r="Q18" s="81" t="str"/>
      <x:c r="R18" s="81" t="str"/>
      <x:c r="S18" s="81" t="inlineStr">
        <x:is>
          <x:t xml:space="preserve">Editorial lens</x:t>
        </x:is>
      </x:c>
      <x:c r="T18" s="81" t="inlineStr">
        <x:is>
          <x:t xml:space="preserve">Yes</x:t>
        </x:is>
      </x:c>
      <x:c r="U18" s="81" t="n">
        <x:v>2</x:v>
      </x:c>
      <x:c r="V18" s="81" t="inlineStr">
        <x:is>
          <x:t xml:space="preserve">Day 2 principle seed.</x:t>
        </x:is>
      </x:c>
    </x:row>
    <x:row r="19">
      <x:c r="A19" s="81" t="inlineStr">
        <x:is>
          <x:t xml:space="preserve">principle.laozi.day2.addition_and_subtraction</x:t>
        </x:is>
      </x:c>
      <x:c r="B19" s="81" t="inlineStr">
        <x:is>
          <x:t xml:space="preserve">Collected</x:t>
        </x:is>
      </x:c>
      <x:c r="C19" s="81" t="inlineStr">
        <x:is>
          <x:t xml:space="preserve">Phát triển có lúc bằng thêm, có lúc bằng bớt</x:t>
        </x:is>
      </x:c>
      <x:c r="D19" s="81" t="inlineStr">
        <x:is>
          <x:t xml:space="preserve">Philosophy / AI-age</x:t>
        </x:is>
      </x:c>
      <x:c r="E19" s="81" t="inlineStr">
        <x:is>
          <x:t xml:space="preserve">Học có thể tích lũy thêm; sáng rõ đôi khi đến từ loại bỏ nhiễu, can thiệp thừa hoặc giả định.</x:t>
        </x:is>
      </x:c>
      <x:c r="F19" s="81" t="inlineStr">
        <x:is>
          <x:t xml:space="preserve">道德經 / Tao Te Ching</x:t>
        </x:is>
      </x:c>
      <x:c r="G19" s="81" t="inlineStr">
        <x:is>
          <x:t xml:space="preserve">Laozi / 老子</x:t>
        </x:is>
      </x:c>
      <x:c r="H19" s="81" t="inlineStr">
        <x:is>
          <x:t xml:space="preserve">https://zh.wikisource.org/zh-hant/%E9%81%93%E5%BE%B7%E7%B6%93_(%E7%8E%8B%E5%BC%BC%E6%9C%AC)</x:t>
        </x:is>
      </x:c>
      <x:c r="I19" s="81" t="inlineStr">
        <x:is>
          <x:t xml:space="preserve">Primary text</x:t>
        </x:is>
      </x:c>
      <x:c r="J19" s="81" t="inlineStr">
        <x:is>
          <x:t xml:space="preserve">Ch.42, 48</x:t>
        </x:is>
      </x:c>
      <x:c r="K19" s="81" t="inlineStr">
        <x:is>
          <x:t xml:space="preserve">Editorial principle seed; review against scholarship before publication.</x:t>
        </x:is>
      </x:c>
      <x:c r="L19" s="81" t="inlineStr">
        <x:is>
          <x:t xml:space="preserve">A - Primary source</x:t>
        </x:is>
      </x:c>
      <x:c r="M19" s="81" t="inlineStr">
        <x:is>
          <x:t xml:space="preserve">Learning</x:t>
        </x:is>
      </x:c>
      <x:c r="N19" s="81" t="inlineStr">
        <x:is>
          <x:t xml:space="preserve">Selflo philosophy / research</x:t>
        </x:is>
      </x:c>
      <x:c r="O19" s="81" t="inlineStr">
        <x:is>
          <x:t xml:space="preserve">Day 2 / Laozi</x:t>
        </x:is>
      </x:c>
      <x:c r="P19" s="81" t="inlineStr">
        <x:is>
          <x:t xml:space="preserve">Distinguish / Reframe</x:t>
        </x:is>
      </x:c>
      <x:c r="Q19" s="81" t="str"/>
      <x:c r="R19" s="81" t="str"/>
      <x:c r="S19" s="81" t="inlineStr">
        <x:is>
          <x:t xml:space="preserve">Editorial lens</x:t>
        </x:is>
      </x:c>
      <x:c r="T19" s="81" t="inlineStr">
        <x:is>
          <x:t xml:space="preserve">Yes</x:t>
        </x:is>
      </x:c>
      <x:c r="U19" s="81" t="n">
        <x:v>2</x:v>
      </x:c>
      <x:c r="V19" s="81" t="inlineStr">
        <x:is>
          <x:t xml:space="preserve">Day 2 principle seed.</x:t>
        </x:is>
      </x:c>
    </x:row>
    <x:row r="20">
      <x:c r="A20" s="81" t="inlineStr">
        <x:is>
          <x:t xml:space="preserve">principle.laozi.day2.nonfixed_response</x:t>
        </x:is>
      </x:c>
      <x:c r="B20" s="81" t="inlineStr">
        <x:is>
          <x:t xml:space="preserve">Collected</x:t>
        </x:is>
      </x:c>
      <x:c r="C20" s="81" t="inlineStr">
        <x:is>
          <x:t xml:space="preserve">Không một phản ứng cố định phù hợp với mọi người</x:t>
        </x:is>
      </x:c>
      <x:c r="D20" s="81" t="inlineStr">
        <x:is>
          <x:t xml:space="preserve">Philosophy / AI-age</x:t>
        </x:is>
      </x:c>
      <x:c r="E20" s="81" t="inlineStr">
        <x:is>
          <x:t xml:space="preserve">Cùng một nội dung có thể tạo phản ứng khác nhau; hỗ trợ nên chừa chỗ cho bối cảnh và chủ thể.</x:t>
        </x:is>
      </x:c>
      <x:c r="F20" s="81" t="inlineStr">
        <x:is>
          <x:t xml:space="preserve">道德經 / Tao Te Ching</x:t>
        </x:is>
      </x:c>
      <x:c r="G20" s="81" t="inlineStr">
        <x:is>
          <x:t xml:space="preserve">Laozi / 老子</x:t>
        </x:is>
      </x:c>
      <x:c r="H20" s="81" t="inlineStr">
        <x:is>
          <x:t xml:space="preserve">https://zh.wikisource.org/zh-hant/%E9%81%93%E5%BE%B7%E7%B6%93_(%E7%8E%8B%E5%BC%BC%E6%9C%AC)</x:t>
        </x:is>
      </x:c>
      <x:c r="I20" s="81" t="inlineStr">
        <x:is>
          <x:t xml:space="preserve">Primary text</x:t>
        </x:is>
      </x:c>
      <x:c r="J20" s="81" t="inlineStr">
        <x:is>
          <x:t xml:space="preserve">Ch.41, 49</x:t>
        </x:is>
      </x:c>
      <x:c r="K20" s="81" t="inlineStr">
        <x:is>
          <x:t xml:space="preserve">Editorial principle seed; review against scholarship before publication.</x:t>
        </x:is>
      </x:c>
      <x:c r="L20" s="81" t="inlineStr">
        <x:is>
          <x:t xml:space="preserve">A - Primary source</x:t>
        </x:is>
      </x:c>
      <x:c r="M20" s="81" t="inlineStr">
        <x:is>
          <x:t xml:space="preserve">Empathy</x:t>
        </x:is>
      </x:c>
      <x:c r="N20" s="81" t="inlineStr">
        <x:is>
          <x:t xml:space="preserve">Selflo philosophy / research</x:t>
        </x:is>
      </x:c>
      <x:c r="O20" s="81" t="inlineStr">
        <x:is>
          <x:t xml:space="preserve">Day 2 / Laozi</x:t>
        </x:is>
      </x:c>
      <x:c r="P20" s="81" t="inlineStr">
        <x:is>
          <x:t xml:space="preserve">Distinguish / Reframe</x:t>
        </x:is>
      </x:c>
      <x:c r="Q20" s="81" t="str"/>
      <x:c r="R20" s="81" t="str"/>
      <x:c r="S20" s="81" t="inlineStr">
        <x:is>
          <x:t xml:space="preserve">Editorial lens</x:t>
        </x:is>
      </x:c>
      <x:c r="T20" s="81" t="inlineStr">
        <x:is>
          <x:t xml:space="preserve">Yes</x:t>
        </x:is>
      </x:c>
      <x:c r="U20" s="81" t="n">
        <x:v>2</x:v>
      </x:c>
      <x:c r="V20" s="81" t="inlineStr">
        <x:is>
          <x:t xml:space="preserve">Day 2 principle seed.</x:t>
        </x:is>
      </x:c>
    </x:row>
    <x:row r="21">
      <x:c r="A21" s="81" t="inlineStr">
        <x:is>
          <x:t xml:space="preserve">principle.laozi.day2.return_agency</x:t>
        </x:is>
      </x:c>
      <x:c r="B21" s="81" t="inlineStr">
        <x:is>
          <x:t xml:space="preserve">Collected</x:t>
        </x:is>
      </x:c>
      <x:c r="C21" s="81" t="inlineStr">
        <x:is>
          <x:t xml:space="preserve">Hỗ trợ mà không chiếm quyền chủ thể</x:t>
        </x:is>
      </x:c>
      <x:c r="D21" s="81" t="inlineStr">
        <x:is>
          <x:t xml:space="preserve">Philosophy / AI-age</x:t>
        </x:is>
      </x:c>
      <x:c r="E21" s="81" t="inlineStr">
        <x:is>
          <x:t xml:space="preserve">Tạo điều kiện có thể có giá trị hơn điều khiển; người nhận vẫn là chủ thể của trải nghiệm.</x:t>
        </x:is>
      </x:c>
      <x:c r="F21" s="81" t="inlineStr">
        <x:is>
          <x:t xml:space="preserve">道德經 / Tao Te Ching</x:t>
        </x:is>
      </x:c>
      <x:c r="G21" s="81" t="inlineStr">
        <x:is>
          <x:t xml:space="preserve">Laozi / 老子</x:t>
        </x:is>
      </x:c>
      <x:c r="H21" s="81" t="inlineStr">
        <x:is>
          <x:t xml:space="preserve">https://zh.wikisource.org/zh-hant/%E9%81%93%E5%BE%B7%E7%B6%93_(%E7%8E%8B%E5%BC%BC%E6%9C%AC)</x:t>
        </x:is>
      </x:c>
      <x:c r="I21" s="81" t="inlineStr">
        <x:is>
          <x:t xml:space="preserve">Primary text</x:t>
        </x:is>
      </x:c>
      <x:c r="J21" s="81" t="inlineStr">
        <x:is>
          <x:t xml:space="preserve">Ch.34, 37, 43, 49</x:t>
        </x:is>
      </x:c>
      <x:c r="K21" s="81" t="inlineStr">
        <x:is>
          <x:t xml:space="preserve">Editorial principle seed; review against scholarship before publication.</x:t>
        </x:is>
      </x:c>
      <x:c r="L21" s="81" t="inlineStr">
        <x:is>
          <x:t xml:space="preserve">A - Primary source</x:t>
        </x:is>
      </x:c>
      <x:c r="M21" s="81" t="inlineStr">
        <x:is>
          <x:t xml:space="preserve">Agency</x:t>
        </x:is>
      </x:c>
      <x:c r="N21" s="81" t="inlineStr">
        <x:is>
          <x:t xml:space="preserve">Selflo philosophy / research</x:t>
        </x:is>
      </x:c>
      <x:c r="O21" s="81" t="inlineStr">
        <x:is>
          <x:t xml:space="preserve">Day 2 / Laozi</x:t>
        </x:is>
      </x:c>
      <x:c r="P21" s="81" t="inlineStr">
        <x:is>
          <x:t xml:space="preserve">Distinguish / Reframe</x:t>
        </x:is>
      </x:c>
      <x:c r="Q21" s="81" t="str"/>
      <x:c r="R21" s="81" t="str"/>
      <x:c r="S21" s="81" t="inlineStr">
        <x:is>
          <x:t xml:space="preserve">Editorial lens</x:t>
        </x:is>
      </x:c>
      <x:c r="T21" s="81" t="inlineStr">
        <x:is>
          <x:t xml:space="preserve">Yes</x:t>
        </x:is>
      </x:c>
      <x:c r="U21" s="81" t="n">
        <x:v>2</x:v>
      </x:c>
      <x:c r="V21" s="81" t="inlineStr">
        <x:is>
          <x:t xml:space="preserve">Day 2 principle seed.</x:t>
        </x:is>
      </x:c>
    </x:row>
    <x:row r="22">
      <x:c r="A22" s="81" t="inlineStr">
        <x:is>
          <x:t xml:space="preserve">principle.laozi.day2.form_not_substance</x:t>
        </x:is>
      </x:c>
      <x:c r="B22" s="81" t="inlineStr">
        <x:is>
          <x:t xml:space="preserve">Collected</x:t>
        </x:is>
      </x:c>
      <x:c r="C22" s="81" t="inlineStr">
        <x:is>
          <x:t xml:space="preserve">Hình thức và nhãn không thay thế được nền tảng thật</x:t>
        </x:is>
      </x:c>
      <x:c r="D22" s="81" t="inlineStr">
        <x:is>
          <x:t xml:space="preserve">Philosophy / AI-age</x:t>
        </x:is>
      </x:c>
      <x:c r="E22" s="81" t="inlineStr">
        <x:is>
          <x:t xml:space="preserve">Quy tắc, danh xưng hoặc biểu hiện bên ngoài không bảo đảm giá trị đang được sống.</x:t>
        </x:is>
      </x:c>
      <x:c r="F22" s="81" t="inlineStr">
        <x:is>
          <x:t xml:space="preserve">道德經 / Tao Te Ching</x:t>
        </x:is>
      </x:c>
      <x:c r="G22" s="81" t="inlineStr">
        <x:is>
          <x:t xml:space="preserve">Laozi / 老子</x:t>
        </x:is>
      </x:c>
      <x:c r="H22" s="81" t="inlineStr">
        <x:is>
          <x:t xml:space="preserve">https://zh.wikisource.org/zh-hant/%E9%81%93%E5%BE%B7%E7%B6%93_(%E7%8E%8B%E5%BC%BC%E6%9C%AC)</x:t>
        </x:is>
      </x:c>
      <x:c r="I22" s="81" t="inlineStr">
        <x:is>
          <x:t xml:space="preserve">Primary text</x:t>
        </x:is>
      </x:c>
      <x:c r="J22" s="81" t="inlineStr">
        <x:is>
          <x:t xml:space="preserve">Ch.38</x:t>
        </x:is>
      </x:c>
      <x:c r="K22" s="81" t="inlineStr">
        <x:is>
          <x:t xml:space="preserve">Editorial principle seed; review against scholarship before publication.</x:t>
        </x:is>
      </x:c>
      <x:c r="L22" s="81" t="inlineStr">
        <x:is>
          <x:t xml:space="preserve">A - Primary source</x:t>
        </x:is>
      </x:c>
      <x:c r="M22" s="81" t="inlineStr">
        <x:is>
          <x:t xml:space="preserve">Values</x:t>
        </x:is>
      </x:c>
      <x:c r="N22" s="81" t="inlineStr">
        <x:is>
          <x:t xml:space="preserve">Selflo philosophy / research</x:t>
        </x:is>
      </x:c>
      <x:c r="O22" s="81" t="inlineStr">
        <x:is>
          <x:t xml:space="preserve">Day 2 / Laozi</x:t>
        </x:is>
      </x:c>
      <x:c r="P22" s="81" t="inlineStr">
        <x:is>
          <x:t xml:space="preserve">Distinguish / Reframe</x:t>
        </x:is>
      </x:c>
      <x:c r="Q22" s="81" t="str"/>
      <x:c r="R22" s="81" t="str"/>
      <x:c r="S22" s="81" t="inlineStr">
        <x:is>
          <x:t xml:space="preserve">Editorial lens</x:t>
        </x:is>
      </x:c>
      <x:c r="T22" s="81" t="inlineStr">
        <x:is>
          <x:t xml:space="preserve">Yes</x:t>
        </x:is>
      </x:c>
      <x:c r="U22" s="81" t="n">
        <x:v>2</x:v>
      </x:c>
      <x:c r="V22" s="81" t="inlineStr">
        <x:is>
          <x:t xml:space="preserve">Day 2 principle seed.</x:t>
        </x:is>
      </x:c>
    </x:row>
    <x:row r="23">
      <x:c r="A23" s="81" t="inlineStr">
        <x:is>
          <x:t xml:space="preserve">principle.laozi.day2.human_judgment_limits</x:t>
        </x:is>
      </x:c>
      <x:c r="B23" s="81" t="inlineStr">
        <x:is>
          <x:t xml:space="preserve">Collected</x:t>
        </x:is>
      </x:c>
      <x:c r="C23" s="81" t="inlineStr">
        <x:is>
          <x:t xml:space="preserve">Biết nhiều không đồng nghĩa phán đoán đúng</x:t>
        </x:is>
      </x:c>
      <x:c r="D23" s="81" t="inlineStr">
        <x:is>
          <x:t xml:space="preserve">Philosophy / AI-age</x:t>
        </x:is>
      </x:c>
      <x:c r="E23" s="81" t="inlineStr">
        <x:is>
          <x:t xml:space="preserve">Tri thức, khoảng cách tìm kiếm và lượng thông tin không tự động chuyển thành hiểu biết hay phán đoán tốt.</x:t>
        </x:is>
      </x:c>
      <x:c r="F23" s="81" t="inlineStr">
        <x:is>
          <x:t xml:space="preserve">道德經 / Tao Te Ching</x:t>
        </x:is>
      </x:c>
      <x:c r="G23" s="81" t="inlineStr">
        <x:is>
          <x:t xml:space="preserve">Laozi / 老子</x:t>
        </x:is>
      </x:c>
      <x:c r="H23" s="81" t="inlineStr">
        <x:is>
          <x:t xml:space="preserve">https://zh.wikisource.org/zh-hant/%E9%81%93%E5%BE%B7%E7%B6%93_(%E7%8E%8B%E5%BC%BC%E6%9C%AC)</x:t>
        </x:is>
      </x:c>
      <x:c r="I23" s="81" t="inlineStr">
        <x:is>
          <x:t xml:space="preserve">Primary text</x:t>
        </x:is>
      </x:c>
      <x:c r="J23" s="81" t="inlineStr">
        <x:is>
          <x:t xml:space="preserve">Ch.27, 38, 47</x:t>
        </x:is>
      </x:c>
      <x:c r="K23" s="81" t="inlineStr">
        <x:is>
          <x:t xml:space="preserve">Editorial principle seed; review against scholarship before publication.</x:t>
        </x:is>
      </x:c>
      <x:c r="L23" s="81" t="inlineStr">
        <x:is>
          <x:t xml:space="preserve">A - Primary source</x:t>
        </x:is>
      </x:c>
      <x:c r="M23" s="81" t="inlineStr">
        <x:is>
          <x:t xml:space="preserve">Judgment</x:t>
        </x:is>
      </x:c>
      <x:c r="N23" s="81" t="inlineStr">
        <x:is>
          <x:t xml:space="preserve">Selflo philosophy / research</x:t>
        </x:is>
      </x:c>
      <x:c r="O23" s="81" t="inlineStr">
        <x:is>
          <x:t xml:space="preserve">Day 2 / Laozi</x:t>
        </x:is>
      </x:c>
      <x:c r="P23" s="81" t="inlineStr">
        <x:is>
          <x:t xml:space="preserve">Distinguish / Reframe</x:t>
        </x:is>
      </x:c>
      <x:c r="Q23" s="81" t="str"/>
      <x:c r="R23" s="81" t="str"/>
      <x:c r="S23" s="81" t="inlineStr">
        <x:is>
          <x:t xml:space="preserve">Editorial lens</x:t>
        </x:is>
      </x:c>
      <x:c r="T23" s="81" t="inlineStr">
        <x:is>
          <x:t xml:space="preserve">Yes</x:t>
        </x:is>
      </x:c>
      <x:c r="U23" s="81" t="n">
        <x:v>2</x:v>
      </x:c>
      <x:c r="V23" s="81" t="inlineStr">
        <x:is>
          <x:t xml:space="preserve">Day 2 principle seed.</x:t>
        </x:is>
      </x:c>
    </x:row>
    <x:row r="24">
      <x:c r="A24" s="81" t="inlineStr">
        <x:is>
          <x:t xml:space="preserve">principle.laozi.day3.conditions_shape_outcomes</x:t>
        </x:is>
      </x:c>
      <x:c r="B24" s="81" t="inlineStr">
        <x:is>
          <x:t xml:space="preserve">Collected</x:t>
        </x:is>
      </x:c>
      <x:c r="C24" s="81" t="inlineStr">
        <x:is>
          <x:t xml:space="preserve">Kết quả được tạo bởi nhiều tầng điều kiện</x:t>
        </x:is>
      </x:c>
      <x:c r="D24" s="81" t="inlineStr">
        <x:is>
          <x:t xml:space="preserve">Philosophy / AI-age</x:t>
        </x:is>
      </x:c>
      <x:c r="E24" s="81" t="inlineStr">
        <x:is>
          <x:t xml:space="preserve">Không mặc định hiệu suất hay kết quả chỉ phản ánh phẩm chất cá nhân; bối cảnh, nền và cấu trúc cùng tham gia.</x:t>
        </x:is>
      </x:c>
      <x:c r="F24" s="81" t="inlineStr">
        <x:is>
          <x:t xml:space="preserve">道德經 / Tao Te Ching</x:t>
        </x:is>
      </x:c>
      <x:c r="G24" s="81" t="inlineStr">
        <x:is>
          <x:t xml:space="preserve">Laozi / 老子</x:t>
        </x:is>
      </x:c>
      <x:c r="H24" s="81" t="inlineStr">
        <x:is>
          <x:t xml:space="preserve">https://zh.wikisource.org/zh-hant/%E9%81%93%E5%BE%B7%E7%B6%93_(%E7%8E%8B%E5%BC%BC%E6%9C%AC)</x:t>
        </x:is>
      </x:c>
      <x:c r="I24" s="81" t="inlineStr">
        <x:is>
          <x:t xml:space="preserve">Primary text</x:t>
        </x:is>
      </x:c>
      <x:c r="J24" s="81" t="inlineStr">
        <x:is>
          <x:t xml:space="preserve">Ch.51, 54, 75</x:t>
        </x:is>
      </x:c>
      <x:c r="K24" s="81" t="inlineStr">
        <x:is>
          <x:t xml:space="preserve">Editorial principle seed; review against scholarship before publication.</x:t>
        </x:is>
      </x:c>
      <x:c r="L24" s="81" t="inlineStr">
        <x:is>
          <x:t xml:space="preserve">A - Primary source</x:t>
        </x:is>
      </x:c>
      <x:c r="M24" s="81" t="inlineStr">
        <x:is>
          <x:t xml:space="preserve">Context</x:t>
        </x:is>
      </x:c>
      <x:c r="N24" s="81" t="inlineStr">
        <x:is>
          <x:t xml:space="preserve">Selflo philosophy / research</x:t>
        </x:is>
      </x:c>
      <x:c r="O24" s="81" t="inlineStr">
        <x:is>
          <x:t xml:space="preserve">Day 3 / Laozi</x:t>
        </x:is>
      </x:c>
      <x:c r="P24" s="81" t="inlineStr">
        <x:is>
          <x:t xml:space="preserve">Distinguish / Reframe</x:t>
        </x:is>
      </x:c>
      <x:c r="Q24" s="81" t="str"/>
      <x:c r="R24" s="81" t="str"/>
      <x:c r="S24" s="81" t="inlineStr">
        <x:is>
          <x:t xml:space="preserve">Editorial lens</x:t>
        </x:is>
      </x:c>
      <x:c r="T24" s="81" t="inlineStr">
        <x:is>
          <x:t xml:space="preserve">Yes</x:t>
        </x:is>
      </x:c>
      <x:c r="U24" s="81" t="n">
        <x:v>3</x:v>
      </x:c>
      <x:c r="V24" s="81" t="inlineStr">
        <x:is>
          <x:t xml:space="preserve">Day 3 principle seed.</x:t>
        </x:is>
      </x:c>
    </x:row>
    <x:row r="25">
      <x:c r="A25" s="81" t="inlineStr">
        <x:is>
          <x:t xml:space="preserve">principle.laozi.day3.tools_do_not_command_use</x:t>
        </x:is>
      </x:c>
      <x:c r="B25" s="81" t="inlineStr">
        <x:is>
          <x:t xml:space="preserve">Collected</x:t>
        </x:is>
      </x:c>
      <x:c r="C25" s="81" t="inlineStr">
        <x:is>
          <x:t xml:space="preserve">Có công cụ không đồng nghĩa phải dùng</x:t>
        </x:is>
      </x:c>
      <x:c r="D25" s="81" t="inlineStr">
        <x:is>
          <x:t xml:space="preserve">Philosophy / AI-age</x:t>
        </x:is>
      </x:c>
      <x:c r="E25" s="81" t="inlineStr">
        <x:is>
          <x:t xml:space="preserve">Khả năng kỹ thuật mở thêm lựa chọn nhưng không tự quyết định điều đáng làm.</x:t>
        </x:is>
      </x:c>
      <x:c r="F25" s="81" t="inlineStr">
        <x:is>
          <x:t xml:space="preserve">道德經 / Tao Te Ching</x:t>
        </x:is>
      </x:c>
      <x:c r="G25" s="81" t="inlineStr">
        <x:is>
          <x:t xml:space="preserve">Laozi / 老子</x:t>
        </x:is>
      </x:c>
      <x:c r="H25" s="81" t="inlineStr">
        <x:is>
          <x:t xml:space="preserve">https://zh.wikisource.org/zh-hant/%E9%81%93%E5%BE%B7%E7%B6%93_(%E7%8E%8B%E5%BC%BC%E6%9C%AC)</x:t>
        </x:is>
      </x:c>
      <x:c r="I25" s="81" t="inlineStr">
        <x:is>
          <x:t xml:space="preserve">Primary text</x:t>
        </x:is>
      </x:c>
      <x:c r="J25" s="81" t="inlineStr">
        <x:is>
          <x:t xml:space="preserve">Ch.60, 80</x:t>
        </x:is>
      </x:c>
      <x:c r="K25" s="81" t="inlineStr">
        <x:is>
          <x:t xml:space="preserve">Editorial principle seed; review against scholarship before publication.</x:t>
        </x:is>
      </x:c>
      <x:c r="L25" s="81" t="inlineStr">
        <x:is>
          <x:t xml:space="preserve">A - Primary source</x:t>
        </x:is>
      </x:c>
      <x:c r="M25" s="81" t="inlineStr">
        <x:is>
          <x:t xml:space="preserve">Technology</x:t>
        </x:is>
      </x:c>
      <x:c r="N25" s="81" t="inlineStr">
        <x:is>
          <x:t xml:space="preserve">Selflo philosophy / research</x:t>
        </x:is>
      </x:c>
      <x:c r="O25" s="81" t="inlineStr">
        <x:is>
          <x:t xml:space="preserve">Day 3 / Laozi</x:t>
        </x:is>
      </x:c>
      <x:c r="P25" s="81" t="inlineStr">
        <x:is>
          <x:t xml:space="preserve">Distinguish / Reframe</x:t>
        </x:is>
      </x:c>
      <x:c r="Q25" s="81" t="str"/>
      <x:c r="R25" s="81" t="str"/>
      <x:c r="S25" s="81" t="inlineStr">
        <x:is>
          <x:t xml:space="preserve">Editorial lens</x:t>
        </x:is>
      </x:c>
      <x:c r="T25" s="81" t="inlineStr">
        <x:is>
          <x:t xml:space="preserve">Yes</x:t>
        </x:is>
      </x:c>
      <x:c r="U25" s="81" t="n">
        <x:v>3</x:v>
      </x:c>
      <x:c r="V25" s="81" t="inlineStr">
        <x:is>
          <x:t xml:space="preserve">Day 3 principle seed.</x:t>
        </x:is>
      </x:c>
    </x:row>
    <x:row r="26">
      <x:c r="A26" s="81" t="inlineStr">
        <x:is>
          <x:t xml:space="preserve">principle.laozi.day3.knowledge_limits</x:t>
        </x:is>
      </x:c>
      <x:c r="B26" s="81" t="inlineStr">
        <x:is>
          <x:t xml:space="preserve">Collected</x:t>
        </x:is>
      </x:c>
      <x:c r="C26" s="81" t="inlineStr">
        <x:is>
          <x:t xml:space="preserve">Biết mình chưa biết là năng lực phán đoán</x:t>
        </x:is>
      </x:c>
      <x:c r="D26" s="81" t="inlineStr">
        <x:is>
          <x:t xml:space="preserve">Philosophy / AI-age</x:t>
        </x:is>
      </x:c>
      <x:c r="E26" s="81" t="inlineStr">
        <x:is>
          <x:t xml:space="preserve">Bề rộng thông tin, khả năng nói hay và sự tự tin không thay thế nhận thức về giới hạn hiểu biết.</x:t>
        </x:is>
      </x:c>
      <x:c r="F26" s="81" t="inlineStr">
        <x:is>
          <x:t xml:space="preserve">道德經 / Tao Te Ching</x:t>
        </x:is>
      </x:c>
      <x:c r="G26" s="81" t="inlineStr">
        <x:is>
          <x:t xml:space="preserve">Laozi / 老子</x:t>
        </x:is>
      </x:c>
      <x:c r="H26" s="81" t="inlineStr">
        <x:is>
          <x:t xml:space="preserve">https://zh.wikisource.org/zh-hant/%E9%81%93%E5%BE%B7%E7%B6%93_(%E7%8E%8B%E5%BC%BC%E6%9C%AC)</x:t>
        </x:is>
      </x:c>
      <x:c r="I26" s="81" t="inlineStr">
        <x:is>
          <x:t xml:space="preserve">Primary text</x:t>
        </x:is>
      </x:c>
      <x:c r="J26" s="81" t="inlineStr">
        <x:is>
          <x:t xml:space="preserve">Ch.70–71, 81</x:t>
        </x:is>
      </x:c>
      <x:c r="K26" s="81" t="inlineStr">
        <x:is>
          <x:t xml:space="preserve">Editorial principle seed; review against scholarship before publication.</x:t>
        </x:is>
      </x:c>
      <x:c r="L26" s="81" t="inlineStr">
        <x:is>
          <x:t xml:space="preserve">A - Primary source</x:t>
        </x:is>
      </x:c>
      <x:c r="M26" s="81" t="inlineStr">
        <x:is>
          <x:t xml:space="preserve">Judgment</x:t>
        </x:is>
      </x:c>
      <x:c r="N26" s="81" t="inlineStr">
        <x:is>
          <x:t xml:space="preserve">Selflo philosophy / research</x:t>
        </x:is>
      </x:c>
      <x:c r="O26" s="81" t="inlineStr">
        <x:is>
          <x:t xml:space="preserve">Day 3 / Laozi</x:t>
        </x:is>
      </x:c>
      <x:c r="P26" s="81" t="inlineStr">
        <x:is>
          <x:t xml:space="preserve">Distinguish / Reframe</x:t>
        </x:is>
      </x:c>
      <x:c r="Q26" s="81" t="str"/>
      <x:c r="R26" s="81" t="str"/>
      <x:c r="S26" s="81" t="inlineStr">
        <x:is>
          <x:t xml:space="preserve">Editorial lens</x:t>
        </x:is>
      </x:c>
      <x:c r="T26" s="81" t="inlineStr">
        <x:is>
          <x:t xml:space="preserve">Yes</x:t>
        </x:is>
      </x:c>
      <x:c r="U26" s="81" t="n">
        <x:v>3</x:v>
      </x:c>
      <x:c r="V26" s="81" t="inlineStr">
        <x:is>
          <x:t xml:space="preserve">Day 3 principle seed.</x:t>
        </x:is>
      </x:c>
    </x:row>
    <x:row r="27">
      <x:c r="A27" s="81" t="inlineStr">
        <x:is>
          <x:t xml:space="preserve">principle.laozi.day3.softness_is_adaptive</x:t>
        </x:is>
      </x:c>
      <x:c r="B27" s="81" t="inlineStr">
        <x:is>
          <x:t xml:space="preserve">Collected</x:t>
        </x:is>
      </x:c>
      <x:c r="C27" s="81" t="inlineStr">
        <x:is>
          <x:t xml:space="preserve">Mềm và linh hoạt là một dạng sức sống</x:t>
        </x:is>
      </x:c>
      <x:c r="D27" s="81" t="inlineStr">
        <x:is>
          <x:t xml:space="preserve">Philosophy / AI-age</x:t>
        </x:is>
      </x:c>
      <x:c r="E27" s="81" t="inlineStr">
        <x:is>
          <x:t xml:space="preserve">Sức mạnh không chỉ là cứng, ép hoặc tiến; mềm, lùi và thích nghi cũng có thể là sức mạnh.</x:t>
        </x:is>
      </x:c>
      <x:c r="F27" s="81" t="inlineStr">
        <x:is>
          <x:t xml:space="preserve">道德經 / Tao Te Ching</x:t>
        </x:is>
      </x:c>
      <x:c r="G27" s="81" t="inlineStr">
        <x:is>
          <x:t xml:space="preserve">Laozi / 老子</x:t>
        </x:is>
      </x:c>
      <x:c r="H27" s="81" t="inlineStr">
        <x:is>
          <x:t xml:space="preserve">https://zh.wikisource.org/zh-hant/%E9%81%93%E5%BE%B7%E7%B6%93_(%E7%8E%8B%E5%BC%BC%E6%9C%AC)</x:t>
        </x:is>
      </x:c>
      <x:c r="I27" s="81" t="inlineStr">
        <x:is>
          <x:t xml:space="preserve">Primary text</x:t>
        </x:is>
      </x:c>
      <x:c r="J27" s="81" t="inlineStr">
        <x:is>
          <x:t xml:space="preserve">Ch.55, 67, 68, 76, 78</x:t>
        </x:is>
      </x:c>
      <x:c r="K27" s="81" t="inlineStr">
        <x:is>
          <x:t xml:space="preserve">Editorial principle seed; review against scholarship before publication.</x:t>
        </x:is>
      </x:c>
      <x:c r="L27" s="81" t="inlineStr">
        <x:is>
          <x:t xml:space="preserve">A - Primary source</x:t>
        </x:is>
      </x:c>
      <x:c r="M27" s="81" t="inlineStr">
        <x:is>
          <x:t xml:space="preserve">Strength</x:t>
        </x:is>
      </x:c>
      <x:c r="N27" s="81" t="inlineStr">
        <x:is>
          <x:t xml:space="preserve">Selflo philosophy / research</x:t>
        </x:is>
      </x:c>
      <x:c r="O27" s="81" t="inlineStr">
        <x:is>
          <x:t xml:space="preserve">Day 3 / Laozi</x:t>
        </x:is>
      </x:c>
      <x:c r="P27" s="81" t="inlineStr">
        <x:is>
          <x:t xml:space="preserve">Distinguish / Reframe</x:t>
        </x:is>
      </x:c>
      <x:c r="Q27" s="81" t="str"/>
      <x:c r="R27" s="81" t="str"/>
      <x:c r="S27" s="81" t="inlineStr">
        <x:is>
          <x:t xml:space="preserve">Editorial lens</x:t>
        </x:is>
      </x:c>
      <x:c r="T27" s="81" t="inlineStr">
        <x:is>
          <x:t xml:space="preserve">Yes</x:t>
        </x:is>
      </x:c>
      <x:c r="U27" s="81" t="n">
        <x:v>3</x:v>
      </x:c>
      <x:c r="V27" s="81" t="inlineStr">
        <x:is>
          <x:t xml:space="preserve">Day 3 principle seed.</x:t>
        </x:is>
      </x:c>
    </x:row>
    <x:row r="28">
      <x:c r="A28" s="81" t="inlineStr">
        <x:is>
          <x:t xml:space="preserve">principle.laozi.day3.support_without_ownership</x:t>
        </x:is>
      </x:c>
      <x:c r="B28" s="81" t="inlineStr">
        <x:is>
          <x:t xml:space="preserve">Collected</x:t>
        </x:is>
      </x:c>
      <x:c r="C28" s="81" t="inlineStr">
        <x:is>
          <x:t xml:space="preserve">Nuôi dưỡng mà không sở hữu</x:t>
        </x:is>
      </x:c>
      <x:c r="D28" s="81" t="inlineStr">
        <x:is>
          <x:t xml:space="preserve">Philosophy / AI-age</x:t>
        </x:is>
      </x:c>
      <x:c r="E28" s="81" t="inlineStr">
        <x:is>
          <x:t xml:space="preserve">Hỗ trợ tốt tạo điều kiện để người khác phát triển mà không lấy mất quyền chủ thể.</x:t>
        </x:is>
      </x:c>
      <x:c r="F28" s="81" t="inlineStr">
        <x:is>
          <x:t xml:space="preserve">道德經 / Tao Te Ching</x:t>
        </x:is>
      </x:c>
      <x:c r="G28" s="81" t="inlineStr">
        <x:is>
          <x:t xml:space="preserve">Laozi / 老子</x:t>
        </x:is>
      </x:c>
      <x:c r="H28" s="81" t="inlineStr">
        <x:is>
          <x:t xml:space="preserve">https://zh.wikisource.org/zh-hant/%E9%81%93%E5%BE%B7%E7%B6%93_(%E7%8E%8B%E5%BC%BC%E6%9C%AC)</x:t>
        </x:is>
      </x:c>
      <x:c r="I28" s="81" t="inlineStr">
        <x:is>
          <x:t xml:space="preserve">Primary text</x:t>
        </x:is>
      </x:c>
      <x:c r="J28" s="81" t="inlineStr">
        <x:is>
          <x:t xml:space="preserve">Ch.51, 57, 64, 66</x:t>
        </x:is>
      </x:c>
      <x:c r="K28" s="81" t="inlineStr">
        <x:is>
          <x:t xml:space="preserve">Editorial principle seed; review against scholarship before publication.</x:t>
        </x:is>
      </x:c>
      <x:c r="L28" s="81" t="inlineStr">
        <x:is>
          <x:t xml:space="preserve">A - Primary source</x:t>
        </x:is>
      </x:c>
      <x:c r="M28" s="81" t="inlineStr">
        <x:is>
          <x:t xml:space="preserve">Agency</x:t>
        </x:is>
      </x:c>
      <x:c r="N28" s="81" t="inlineStr">
        <x:is>
          <x:t xml:space="preserve">Selflo philosophy / research</x:t>
        </x:is>
      </x:c>
      <x:c r="O28" s="81" t="inlineStr">
        <x:is>
          <x:t xml:space="preserve">Day 3 / Laozi</x:t>
        </x:is>
      </x:c>
      <x:c r="P28" s="81" t="inlineStr">
        <x:is>
          <x:t xml:space="preserve">Distinguish / Reframe</x:t>
        </x:is>
      </x:c>
      <x:c r="Q28" s="81" t="str"/>
      <x:c r="R28" s="81" t="str"/>
      <x:c r="S28" s="81" t="inlineStr">
        <x:is>
          <x:t xml:space="preserve">Editorial lens</x:t>
        </x:is>
      </x:c>
      <x:c r="T28" s="81" t="inlineStr">
        <x:is>
          <x:t xml:space="preserve">Yes</x:t>
        </x:is>
      </x:c>
      <x:c r="U28" s="81" t="n">
        <x:v>3</x:v>
      </x:c>
      <x:c r="V28" s="81" t="inlineStr">
        <x:is>
          <x:t xml:space="preserve">Day 3 principle seed.</x:t>
        </x:is>
      </x:c>
    </x:row>
    <x:row r="29">
      <x:c r="A29" s="81" t="inlineStr">
        <x:is>
          <x:t xml:space="preserve">principle.laozi.day3.early_small_signals</x:t>
        </x:is>
      </x:c>
      <x:c r="B29" s="81" t="inlineStr">
        <x:is>
          <x:t xml:space="preserve">Collected</x:t>
        </x:is>
      </x:c>
      <x:c r="C29" s="81" t="inlineStr">
        <x:is>
          <x:t xml:space="preserve">Điều lớn thường bắt đầu từ tín hiệu nhỏ</x:t>
        </x:is>
      </x:c>
      <x:c r="D29" s="81" t="inlineStr">
        <x:is>
          <x:t xml:space="preserve">Philosophy / AI-age</x:t>
        </x:is>
      </x:c>
      <x:c r="E29" s="81" t="inlineStr">
        <x:is>
          <x:t xml:space="preserve">Chú ý phần nhỏ trước khi thành khủng hoảng có thể quan trọng hơn phản ứng mạnh sau đó.</x:t>
        </x:is>
      </x:c>
      <x:c r="F29" s="81" t="inlineStr">
        <x:is>
          <x:t xml:space="preserve">道德經 / Tao Te Ching</x:t>
        </x:is>
      </x:c>
      <x:c r="G29" s="81" t="inlineStr">
        <x:is>
          <x:t xml:space="preserve">Laozi / 老子</x:t>
        </x:is>
      </x:c>
      <x:c r="H29" s="81" t="inlineStr">
        <x:is>
          <x:t xml:space="preserve">https://zh.wikisource.org/zh-hant/%E9%81%93%E5%BE%B7%E7%B6%93_(%E7%8E%8B%E5%BC%BC%E6%9C%AC)</x:t>
        </x:is>
      </x:c>
      <x:c r="I29" s="81" t="inlineStr">
        <x:is>
          <x:t xml:space="preserve">Primary text</x:t>
        </x:is>
      </x:c>
      <x:c r="J29" s="81" t="inlineStr">
        <x:is>
          <x:t xml:space="preserve">Ch.63–64</x:t>
        </x:is>
      </x:c>
      <x:c r="K29" s="81" t="inlineStr">
        <x:is>
          <x:t xml:space="preserve">Editorial principle seed; review against scholarship before publication.</x:t>
        </x:is>
      </x:c>
      <x:c r="L29" s="81" t="inlineStr">
        <x:is>
          <x:t xml:space="preserve">A - Primary source</x:t>
        </x:is>
      </x:c>
      <x:c r="M29" s="81" t="inlineStr">
        <x:is>
          <x:t xml:space="preserve">Prevention</x:t>
        </x:is>
      </x:c>
      <x:c r="N29" s="81" t="inlineStr">
        <x:is>
          <x:t xml:space="preserve">Selflo philosophy / research</x:t>
        </x:is>
      </x:c>
      <x:c r="O29" s="81" t="inlineStr">
        <x:is>
          <x:t xml:space="preserve">Day 3 / Laozi</x:t>
        </x:is>
      </x:c>
      <x:c r="P29" s="81" t="inlineStr">
        <x:is>
          <x:t xml:space="preserve">Distinguish / Reframe</x:t>
        </x:is>
      </x:c>
      <x:c r="Q29" s="81" t="str"/>
      <x:c r="R29" s="81" t="str"/>
      <x:c r="S29" s="81" t="inlineStr">
        <x:is>
          <x:t xml:space="preserve">Editorial lens</x:t>
        </x:is>
      </x:c>
      <x:c r="T29" s="81" t="inlineStr">
        <x:is>
          <x:t xml:space="preserve">Yes</x:t>
        </x:is>
      </x:c>
      <x:c r="U29" s="81" t="n">
        <x:v>3</x:v>
      </x:c>
      <x:c r="V29" s="81" t="inlineStr">
        <x:is>
          <x:t xml:space="preserve">Day 3 principle seed.</x:t>
        </x:is>
      </x:c>
    </x:row>
    <x:row r="30">
      <x:c r="A30" s="81" t="inlineStr">
        <x:is>
          <x:t xml:space="preserve">principle.laozi.day3.nonforcing_systems</x:t>
        </x:is>
      </x:c>
      <x:c r="B30" s="81" t="inlineStr">
        <x:is>
          <x:t xml:space="preserve">Collected</x:t>
        </x:is>
      </x:c>
      <x:c r="C30" s="81" t="inlineStr">
        <x:is>
          <x:t xml:space="preserve">Can thiệp nhiều không mặc định làm hệ tốt hơn</x:t>
        </x:is>
      </x:c>
      <x:c r="D30" s="81" t="inlineStr">
        <x:is>
          <x:t xml:space="preserve">Philosophy / AI-age</x:t>
        </x:is>
      </x:c>
      <x:c r="E30" s="81" t="inlineStr">
        <x:is>
          <x:t xml:space="preserve">Một hệ có thể bị làm rối bởi kiểm soát hoặc tối ưu quá mức; cần phân biệt hỗ trợ với cưỡng điều khiển.</x:t>
        </x:is>
      </x:c>
      <x:c r="F30" s="81" t="inlineStr">
        <x:is>
          <x:t xml:space="preserve">道德經 / Tao Te Ching</x:t>
        </x:is>
      </x:c>
      <x:c r="G30" s="81" t="inlineStr">
        <x:is>
          <x:t xml:space="preserve">Laozi / 老子</x:t>
        </x:is>
      </x:c>
      <x:c r="H30" s="81" t="inlineStr">
        <x:is>
          <x:t xml:space="preserve">https://zh.wikisource.org/zh-hant/%E9%81%93%E5%BE%B7%E7%B6%93_(%E7%8E%8B%E5%BC%BC%E6%9C%AC)</x:t>
        </x:is>
      </x:c>
      <x:c r="I30" s="81" t="inlineStr">
        <x:is>
          <x:t xml:space="preserve">Primary text</x:t>
        </x:is>
      </x:c>
      <x:c r="J30" s="81" t="inlineStr">
        <x:is>
          <x:t xml:space="preserve">Ch.57, 60, 75</x:t>
        </x:is>
      </x:c>
      <x:c r="K30" s="81" t="inlineStr">
        <x:is>
          <x:t xml:space="preserve">Editorial principle seed; review against scholarship before publication.</x:t>
        </x:is>
      </x:c>
      <x:c r="L30" s="81" t="inlineStr">
        <x:is>
          <x:t xml:space="preserve">A - Primary source</x:t>
        </x:is>
      </x:c>
      <x:c r="M30" s="81" t="inlineStr">
        <x:is>
          <x:t xml:space="preserve">Systems</x:t>
        </x:is>
      </x:c>
      <x:c r="N30" s="81" t="inlineStr">
        <x:is>
          <x:t xml:space="preserve">Selflo philosophy / research</x:t>
        </x:is>
      </x:c>
      <x:c r="O30" s="81" t="inlineStr">
        <x:is>
          <x:t xml:space="preserve">Day 3 / Laozi</x:t>
        </x:is>
      </x:c>
      <x:c r="P30" s="81" t="inlineStr">
        <x:is>
          <x:t xml:space="preserve">Distinguish / Reframe</x:t>
        </x:is>
      </x:c>
      <x:c r="Q30" s="81" t="str"/>
      <x:c r="R30" s="81" t="str"/>
      <x:c r="S30" s="81" t="inlineStr">
        <x:is>
          <x:t xml:space="preserve">Editorial lens</x:t>
        </x:is>
      </x:c>
      <x:c r="T30" s="81" t="inlineStr">
        <x:is>
          <x:t xml:space="preserve">Yes</x:t>
        </x:is>
      </x:c>
      <x:c r="U30" s="81" t="n">
        <x:v>3</x:v>
      </x:c>
      <x:c r="V30" s="81" t="inlineStr">
        <x:is>
          <x:t xml:space="preserve">Day 3 principle seed.</x:t>
        </x:is>
      </x:c>
    </x:row>
    <x:row r="31">
      <x:c r="A31" s="81" t="inlineStr">
        <x:is>
          <x:t xml:space="preserve">principle.laozi.day3.outcome_not_final_meaning</x:t>
        </x:is>
      </x:c>
      <x:c r="B31" s="81" t="inlineStr">
        <x:is>
          <x:t xml:space="preserve">Collected</x:t>
        </x:is>
      </x:c>
      <x:c r="C31" s="81" t="inlineStr">
        <x:is>
          <x:t xml:space="preserve">Kết quả hiện tại không chứa trọn ý nghĩa cuối cùng</x:t>
        </x:is>
      </x:c>
      <x:c r="D31" s="81" t="inlineStr">
        <x:is>
          <x:t xml:space="preserve">Philosophy / AI-age</x:t>
        </x:is>
      </x:c>
      <x:c r="E31" s="81" t="inlineStr">
        <x:is>
          <x:t xml:space="preserve">Phúc–họa, lợi–hại và đúng–sai có thể khó thấy hết tại một thời điểm; giữ chỗ cho bất định.</x:t>
        </x:is>
      </x:c>
      <x:c r="F31" s="81" t="inlineStr">
        <x:is>
          <x:t xml:space="preserve">道德經 / Tao Te Ching</x:t>
        </x:is>
      </x:c>
      <x:c r="G31" s="81" t="inlineStr">
        <x:is>
          <x:t xml:space="preserve">Laozi / 老子</x:t>
        </x:is>
      </x:c>
      <x:c r="H31" s="81" t="inlineStr">
        <x:is>
          <x:t xml:space="preserve">https://zh.wikisource.org/zh-hant/%E9%81%93%E5%BE%B7%E7%B6%93_(%E7%8E%8B%E5%BC%BC%E6%9C%AC)</x:t>
        </x:is>
      </x:c>
      <x:c r="I31" s="81" t="inlineStr">
        <x:is>
          <x:t xml:space="preserve">Primary text</x:t>
        </x:is>
      </x:c>
      <x:c r="J31" s="81" t="inlineStr">
        <x:is>
          <x:t xml:space="preserve">Ch.58, 73</x:t>
        </x:is>
      </x:c>
      <x:c r="K31" s="81" t="inlineStr">
        <x:is>
          <x:t xml:space="preserve">Editorial principle seed; review against scholarship before publication.</x:t>
        </x:is>
      </x:c>
      <x:c r="L31" s="81" t="inlineStr">
        <x:is>
          <x:t xml:space="preserve">A - Primary source</x:t>
        </x:is>
      </x:c>
      <x:c r="M31" s="81" t="inlineStr">
        <x:is>
          <x:t xml:space="preserve">Uncertainty</x:t>
        </x:is>
      </x:c>
      <x:c r="N31" s="81" t="inlineStr">
        <x:is>
          <x:t xml:space="preserve">Selflo philosophy / research</x:t>
        </x:is>
      </x:c>
      <x:c r="O31" s="81" t="inlineStr">
        <x:is>
          <x:t xml:space="preserve">Day 3 / Laozi</x:t>
        </x:is>
      </x:c>
      <x:c r="P31" s="81" t="inlineStr">
        <x:is>
          <x:t xml:space="preserve">Distinguish / Reframe</x:t>
        </x:is>
      </x:c>
      <x:c r="Q31" s="81" t="str"/>
      <x:c r="R31" s="81" t="str"/>
      <x:c r="S31" s="81" t="inlineStr">
        <x:is>
          <x:t xml:space="preserve">Editorial lens</x:t>
        </x:is>
      </x:c>
      <x:c r="T31" s="81" t="inlineStr">
        <x:is>
          <x:t xml:space="preserve">Yes</x:t>
        </x:is>
      </x:c>
      <x:c r="U31" s="81" t="n">
        <x:v>3</x:v>
      </x:c>
      <x:c r="V31" s="81" t="inlineStr">
        <x:is>
          <x:t xml:space="preserve">Day 3 principle seed.</x:t>
        </x:is>
      </x:c>
    </x:row>
    <x:row r="32">
      <x:c r="A32" s="81" t="inlineStr">
        <x:is>
          <x:t xml:space="preserve">principle.laozi.day3.lingering_after_event</x:t>
        </x:is>
      </x:c>
      <x:c r="B32" s="81" t="inlineStr">
        <x:is>
          <x:t xml:space="preserve">Collected</x:t>
        </x:is>
      </x:c>
      <x:c r="C32" s="81" t="inlineStr">
        <x:is>
          <x:t xml:space="preserve">Sự kiện kết thúc không đồng nghĩa trải nghiệm đã kết thúc</x:t>
        </x:is>
      </x:c>
      <x:c r="D32" s="81" t="inlineStr">
        <x:is>
          <x:t xml:space="preserve">Philosophy / AI-age</x:t>
        </x:is>
      </x:c>
      <x:c r="E32" s="81" t="inlineStr">
        <x:is>
          <x:t xml:space="preserve">Sau xung đột hoặc biến cố, phần dư cảm xúc có thể còn lại; không ép hồi phục theo công tắc.</x:t>
        </x:is>
      </x:c>
      <x:c r="F32" s="81" t="inlineStr">
        <x:is>
          <x:t xml:space="preserve">道德經 / Tao Te Ching</x:t>
        </x:is>
      </x:c>
      <x:c r="G32" s="81" t="inlineStr">
        <x:is>
          <x:t xml:space="preserve">Laozi / 老子</x:t>
        </x:is>
      </x:c>
      <x:c r="H32" s="81" t="inlineStr">
        <x:is>
          <x:t xml:space="preserve">https://zh.wikisource.org/zh-hant/%E9%81%93%E5%BE%B7%E7%B6%93_(%E7%8E%8B%E5%BC%BC%E6%9C%AC)</x:t>
        </x:is>
      </x:c>
      <x:c r="I32" s="81" t="inlineStr">
        <x:is>
          <x:t xml:space="preserve">Primary text</x:t>
        </x:is>
      </x:c>
      <x:c r="J32" s="81" t="inlineStr">
        <x:is>
          <x:t xml:space="preserve">Ch.79</x:t>
        </x:is>
      </x:c>
      <x:c r="K32" s="81" t="inlineStr">
        <x:is>
          <x:t xml:space="preserve">Editorial principle seed; review against scholarship before publication.</x:t>
        </x:is>
      </x:c>
      <x:c r="L32" s="81" t="inlineStr">
        <x:is>
          <x:t xml:space="preserve">A - Primary source</x:t>
        </x:is>
      </x:c>
      <x:c r="M32" s="81" t="inlineStr">
        <x:is>
          <x:t xml:space="preserve">Recovery</x:t>
        </x:is>
      </x:c>
      <x:c r="N32" s="81" t="inlineStr">
        <x:is>
          <x:t xml:space="preserve">Selflo philosophy / research</x:t>
        </x:is>
      </x:c>
      <x:c r="O32" s="81" t="inlineStr">
        <x:is>
          <x:t xml:space="preserve">Day 3 / Laozi</x:t>
        </x:is>
      </x:c>
      <x:c r="P32" s="81" t="inlineStr">
        <x:is>
          <x:t xml:space="preserve">Distinguish / Reframe</x:t>
        </x:is>
      </x:c>
      <x:c r="Q32" s="81" t="str"/>
      <x:c r="R32" s="81" t="str"/>
      <x:c r="S32" s="81" t="inlineStr">
        <x:is>
          <x:t xml:space="preserve">Editorial lens</x:t>
        </x:is>
      </x:c>
      <x:c r="T32" s="81" t="inlineStr">
        <x:is>
          <x:t xml:space="preserve">Yes</x:t>
        </x:is>
      </x:c>
      <x:c r="U32" s="81" t="n">
        <x:v>3</x:v>
      </x:c>
      <x:c r="V32" s="81" t="inlineStr">
        <x:is>
          <x:t xml:space="preserve">Day 3 principle seed.</x:t>
        </x:is>
      </x:c>
    </x:row>
    <x:row r="33">
      <x:c r="A33" s="81" t="inlineStr">
        <x:is>
          <x:t xml:space="preserve">principle.laozi.day3.surface_vs_foundation</x:t>
        </x:is>
      </x:c>
      <x:c r="B33" s="81" t="inlineStr">
        <x:is>
          <x:t xml:space="preserve">Collected</x:t>
        </x:is>
      </x:c>
      <x:c r="C33" s="81" t="inlineStr">
        <x:is>
          <x:t xml:space="preserve">Bề ngoài hấp dẫn không thay thế nền tảng</x:t>
        </x:is>
      </x:c>
      <x:c r="D33" s="81" t="inlineStr">
        <x:is>
          <x:t xml:space="preserve">Philosophy / AI-age</x:t>
        </x:is>
      </x:c>
      <x:c r="E33" s="81" t="inlineStr">
        <x:is>
          <x:t xml:space="preserve">Lời đẹp, hình thức đẹp, quy mô hay sự chú ý không tự chứng minh chiều sâu, độ tin cậy hoặc giá trị.</x:t>
        </x:is>
      </x:c>
      <x:c r="F33" s="81" t="inlineStr">
        <x:is>
          <x:t xml:space="preserve">道德經 / Tao Te Ching</x:t>
        </x:is>
      </x:c>
      <x:c r="G33" s="81" t="inlineStr">
        <x:is>
          <x:t xml:space="preserve">Laozi / 老子</x:t>
        </x:is>
      </x:c>
      <x:c r="H33" s="81" t="inlineStr">
        <x:is>
          <x:t xml:space="preserve">https://zh.wikisource.org/zh-hant/%E9%81%93%E5%BE%B7%E7%B6%93_(%E7%8E%8B%E5%BC%BC%E6%9C%AC)</x:t>
        </x:is>
      </x:c>
      <x:c r="I33" s="81" t="inlineStr">
        <x:is>
          <x:t xml:space="preserve">Primary text</x:t>
        </x:is>
      </x:c>
      <x:c r="J33" s="81" t="inlineStr">
        <x:is>
          <x:t xml:space="preserve">Ch.53, 54, 62, 70, 81</x:t>
        </x:is>
      </x:c>
      <x:c r="K33" s="81" t="inlineStr">
        <x:is>
          <x:t xml:space="preserve">Editorial principle seed; review against scholarship before publication.</x:t>
        </x:is>
      </x:c>
      <x:c r="L33" s="81" t="inlineStr">
        <x:is>
          <x:t xml:space="preserve">A - Primary source</x:t>
        </x:is>
      </x:c>
      <x:c r="M33" s="81" t="inlineStr">
        <x:is>
          <x:t xml:space="preserve">Values</x:t>
        </x:is>
      </x:c>
      <x:c r="N33" s="81" t="inlineStr">
        <x:is>
          <x:t xml:space="preserve">Selflo philosophy / research</x:t>
        </x:is>
      </x:c>
      <x:c r="O33" s="81" t="inlineStr">
        <x:is>
          <x:t xml:space="preserve">Day 3 / Laozi</x:t>
        </x:is>
      </x:c>
      <x:c r="P33" s="81" t="inlineStr">
        <x:is>
          <x:t xml:space="preserve">Distinguish / Reframe</x:t>
        </x:is>
      </x:c>
      <x:c r="Q33" s="81" t="str"/>
      <x:c r="R33" s="81" t="str"/>
      <x:c r="S33" s="81" t="inlineStr">
        <x:is>
          <x:t xml:space="preserve">Editorial lens</x:t>
        </x:is>
      </x:c>
      <x:c r="T33" s="81" t="inlineStr">
        <x:is>
          <x:t xml:space="preserve">Yes</x:t>
        </x:is>
      </x:c>
      <x:c r="U33" s="81" t="n">
        <x:v>3</x:v>
      </x:c>
      <x:c r="V33" s="81" t="inlineStr">
        <x:is>
          <x:t xml:space="preserve">Day 3 principle seed.</x:t>
        </x:is>
      </x:c>
    </x:row>
    <x:row r="34">
      <x:c r="A34" s="81" t="inlineStr">
        <x:is>
          <x:t xml:space="preserve">principle.laozi.day3.enoughness_not_accumulation</x:t>
        </x:is>
      </x:c>
      <x:c r="B34" s="81" t="inlineStr">
        <x:is>
          <x:t xml:space="preserve">Collected</x:t>
        </x:is>
      </x:c>
      <x:c r="C34" s="81" t="inlineStr">
        <x:is>
          <x:t xml:space="preserve">Tích lũy không phải thước đo duy nhất của đủ</x:t>
        </x:is>
      </x:c>
      <x:c r="D34" s="81" t="inlineStr">
        <x:is>
          <x:t xml:space="preserve">Philosophy / AI-age</x:t>
        </x:is>
      </x:c>
      <x:c r="E34" s="81" t="inlineStr">
        <x:is>
          <x:t xml:space="preserve">Bền vững có thể đến từ tiết chế, phân bổ lại, sử dụng có chọn lọc và quan hệ khác với cái mình đã có.</x:t>
        </x:is>
      </x:c>
      <x:c r="F34" s="81" t="inlineStr">
        <x:is>
          <x:t xml:space="preserve">道德經 / Tao Te Ching</x:t>
        </x:is>
      </x:c>
      <x:c r="G34" s="81" t="inlineStr">
        <x:is>
          <x:t xml:space="preserve">Laozi / 老子</x:t>
        </x:is>
      </x:c>
      <x:c r="H34" s="81" t="inlineStr">
        <x:is>
          <x:t xml:space="preserve">https://zh.wikisource.org/zh-hant/%E9%81%93%E5%BE%B7%E7%B6%93_(%E7%8E%8B%E5%BC%BC%E6%9C%AC)</x:t>
        </x:is>
      </x:c>
      <x:c r="I34" s="81" t="inlineStr">
        <x:is>
          <x:t xml:space="preserve">Primary text</x:t>
        </x:is>
      </x:c>
      <x:c r="J34" s="81" t="inlineStr">
        <x:is>
          <x:t xml:space="preserve">Ch.59, 77, 80, 81</x:t>
        </x:is>
      </x:c>
      <x:c r="K34" s="81" t="inlineStr">
        <x:is>
          <x:t xml:space="preserve">Editorial principle seed; review against scholarship before publication.</x:t>
        </x:is>
      </x:c>
      <x:c r="L34" s="81" t="inlineStr">
        <x:is>
          <x:t xml:space="preserve">A - Primary source</x:t>
        </x:is>
      </x:c>
      <x:c r="M34" s="81" t="inlineStr">
        <x:is>
          <x:t xml:space="preserve">Enoughness</x:t>
        </x:is>
      </x:c>
      <x:c r="N34" s="81" t="inlineStr">
        <x:is>
          <x:t xml:space="preserve">Selflo philosophy / research</x:t>
        </x:is>
      </x:c>
      <x:c r="O34" s="81" t="inlineStr">
        <x:is>
          <x:t xml:space="preserve">Day 3 / Laozi</x:t>
        </x:is>
      </x:c>
      <x:c r="P34" s="81" t="inlineStr">
        <x:is>
          <x:t xml:space="preserve">Distinguish / Reframe</x:t>
        </x:is>
      </x:c>
      <x:c r="Q34" s="81" t="str"/>
      <x:c r="R34" s="81" t="str"/>
      <x:c r="S34" s="81" t="inlineStr">
        <x:is>
          <x:t xml:space="preserve">Editorial lens</x:t>
        </x:is>
      </x:c>
      <x:c r="T34" s="81" t="inlineStr">
        <x:is>
          <x:t xml:space="preserve">Yes</x:t>
        </x:is>
      </x:c>
      <x:c r="U34" s="81" t="n">
        <x:v>3</x:v>
      </x:c>
      <x:c r="V34" s="81" t="inlineStr">
        <x:is>
          <x:t xml:space="preserve">Day 3 principle seed.</x:t>
        </x:is>
      </x:c>
    </x:row>
    <x:row r="35">
      <x:c r="A35" s="81" t="inlineStr">
        <x:is>
          <x:t xml:space="preserve">principle.laozi.day3.power_creates_space</x:t>
        </x:is>
      </x:c>
      <x:c r="B35" s="81" t="inlineStr">
        <x:is>
          <x:t xml:space="preserve">Collected</x:t>
        </x:is>
      </x:c>
      <x:c r="C35" s="81" t="inlineStr">
        <x:is>
          <x:t xml:space="preserve">Bên có nhiều quyền lực hơn có thể tạo thêm không gian cho bên kia</x:t>
        </x:is>
      </x:c>
      <x:c r="D35" s="81" t="inlineStr">
        <x:is>
          <x:t xml:space="preserve">Philosophy / AI-age</x:t>
        </x:is>
      </x:c>
      <x:c r="E35" s="81" t="inlineStr">
        <x:is>
          <x:t xml:space="preserve">Ảnh hưởng không nhất thiết là đứng trên; hạ xuống và giảm áp lực có thể giữ phẩm giá và agency cho người khác.</x:t>
        </x:is>
      </x:c>
      <x:c r="F35" s="81" t="inlineStr">
        <x:is>
          <x:t xml:space="preserve">道德經 / Tao Te Ching</x:t>
        </x:is>
      </x:c>
      <x:c r="G35" s="81" t="inlineStr">
        <x:is>
          <x:t xml:space="preserve">Laozi / 老子</x:t>
        </x:is>
      </x:c>
      <x:c r="H35" s="81" t="inlineStr">
        <x:is>
          <x:t xml:space="preserve">https://zh.wikisource.org/zh-hant/%E9%81%93%E5%BE%B7%E7%B6%93_(%E7%8E%8B%E5%BC%BC%E6%9C%AC)</x:t>
        </x:is>
      </x:c>
      <x:c r="I35" s="81" t="inlineStr">
        <x:is>
          <x:t xml:space="preserve">Primary text</x:t>
        </x:is>
      </x:c>
      <x:c r="J35" s="81" t="inlineStr">
        <x:is>
          <x:t xml:space="preserve">Ch.61, 66, 72</x:t>
        </x:is>
      </x:c>
      <x:c r="K35" s="81" t="inlineStr">
        <x:is>
          <x:t xml:space="preserve">Editorial principle seed; review against scholarship before publication.</x:t>
        </x:is>
      </x:c>
      <x:c r="L35" s="81" t="inlineStr">
        <x:is>
          <x:t xml:space="preserve">A - Primary source</x:t>
        </x:is>
      </x:c>
      <x:c r="M35" s="81" t="inlineStr">
        <x:is>
          <x:t xml:space="preserve">Power</x:t>
        </x:is>
      </x:c>
      <x:c r="N35" s="81" t="inlineStr">
        <x:is>
          <x:t xml:space="preserve">Selflo philosophy / research</x:t>
        </x:is>
      </x:c>
      <x:c r="O35" s="81" t="inlineStr">
        <x:is>
          <x:t xml:space="preserve">Day 3 / Laozi</x:t>
        </x:is>
      </x:c>
      <x:c r="P35" s="81" t="inlineStr">
        <x:is>
          <x:t xml:space="preserve">Distinguish / Reframe</x:t>
        </x:is>
      </x:c>
      <x:c r="Q35" s="81" t="str"/>
      <x:c r="R35" s="81" t="str"/>
      <x:c r="S35" s="81" t="inlineStr">
        <x:is>
          <x:t xml:space="preserve">Editorial lens</x:t>
        </x:is>
      </x:c>
      <x:c r="T35" s="81" t="inlineStr">
        <x:is>
          <x:t xml:space="preserve">Yes</x:t>
        </x:is>
      </x:c>
      <x:c r="U35" s="81" t="n">
        <x:v>3</x:v>
      </x:c>
      <x:c r="V35" s="81" t="inlineStr">
        <x:is>
          <x:t xml:space="preserve">Day 3 principle seed.</x:t>
        </x:is>
      </x:c>
    </x:row>
    <x:row r="36">
      <x:c r="A36" s="81" t="inlineStr">
        <x:is>
          <x:t xml:space="preserve">principle.laozi.day3.practice_not_information</x:t>
        </x:is>
      </x:c>
      <x:c r="B36" s="81" t="inlineStr">
        <x:is>
          <x:t xml:space="preserve">Collected</x:t>
        </x:is>
      </x:c>
      <x:c r="C36" s="81" t="inlineStr">
        <x:is>
          <x:t xml:space="preserve">Biết một nguyên lý khác với sống được nó</x:t>
        </x:is>
      </x:c>
      <x:c r="D36" s="81" t="inlineStr">
        <x:is>
          <x:t xml:space="preserve">Philosophy / AI-age</x:t>
        </x:is>
      </x:c>
      <x:c r="E36" s="81" t="inlineStr">
        <x:is>
          <x:t xml:space="preserve">Thông tin hoặc lời giải không tự chuyển thành khả năng sống, lựa chọn và phán đoán.</x:t>
        </x:is>
      </x:c>
      <x:c r="F36" s="81" t="inlineStr">
        <x:is>
          <x:t xml:space="preserve">道德經 / Tao Te Ching</x:t>
        </x:is>
      </x:c>
      <x:c r="G36" s="81" t="inlineStr">
        <x:is>
          <x:t xml:space="preserve">Laozi / 老子</x:t>
        </x:is>
      </x:c>
      <x:c r="H36" s="81" t="inlineStr">
        <x:is>
          <x:t xml:space="preserve">https://zh.wikisource.org/zh-hant/%E9%81%93%E5%BE%B7%E7%B6%93_(%E7%8E%8B%E5%BC%BC%E6%9C%AC)</x:t>
        </x:is>
      </x:c>
      <x:c r="I36" s="81" t="inlineStr">
        <x:is>
          <x:t xml:space="preserve">Primary text</x:t>
        </x:is>
      </x:c>
      <x:c r="J36" s="81" t="inlineStr">
        <x:is>
          <x:t xml:space="preserve">Ch.70, 78, 81</x:t>
        </x:is>
      </x:c>
      <x:c r="K36" s="81" t="inlineStr">
        <x:is>
          <x:t xml:space="preserve">Editorial principle seed; review against scholarship before publication.</x:t>
        </x:is>
      </x:c>
      <x:c r="L36" s="81" t="inlineStr">
        <x:is>
          <x:t xml:space="preserve">A - Primary source</x:t>
        </x:is>
      </x:c>
      <x:c r="M36" s="81" t="inlineStr">
        <x:is>
          <x:t xml:space="preserve">Learning</x:t>
        </x:is>
      </x:c>
      <x:c r="N36" s="81" t="inlineStr">
        <x:is>
          <x:t xml:space="preserve">Selflo philosophy / research</x:t>
        </x:is>
      </x:c>
      <x:c r="O36" s="81" t="inlineStr">
        <x:is>
          <x:t xml:space="preserve">Day 3 / Laozi</x:t>
        </x:is>
      </x:c>
      <x:c r="P36" s="81" t="inlineStr">
        <x:is>
          <x:t xml:space="preserve">Distinguish / Reframe</x:t>
        </x:is>
      </x:c>
      <x:c r="Q36" s="81" t="str"/>
      <x:c r="R36" s="81" t="str"/>
      <x:c r="S36" s="81" t="inlineStr">
        <x:is>
          <x:t xml:space="preserve">Editorial lens</x:t>
        </x:is>
      </x:c>
      <x:c r="T36" s="81" t="inlineStr">
        <x:is>
          <x:t xml:space="preserve">Yes</x:t>
        </x:is>
      </x:c>
      <x:c r="U36" s="81" t="n">
        <x:v>3</x:v>
      </x:c>
      <x:c r="V36" s="81" t="inlineStr">
        <x:is>
          <x:t xml:space="preserve">Day 3 principle seed.</x:t>
        </x:is>
      </x:c>
    </x:row>
    <x:row r="37">
      <x:c r="A37" s="81" t="inlineStr">
        <x:is>
          <x:t xml:space="preserve">principle.laozi.day3.fairness_as_rebalancing</x:t>
        </x:is>
      </x:c>
      <x:c r="B37" s="81" t="inlineStr">
        <x:is>
          <x:t xml:space="preserve">Collected</x:t>
        </x:is>
      </x:c>
      <x:c r="C37" s="81" t="inlineStr">
        <x:is>
          <x:t xml:space="preserve">Công bằng có thể là bù nơi thiếu chứ không chỉ chia đều</x:t>
        </x:is>
      </x:c>
      <x:c r="D37" s="81" t="inlineStr">
        <x:is>
          <x:t xml:space="preserve">Philosophy / AI-age</x:t>
        </x:is>
      </x:c>
      <x:c r="E37" s="81" t="inlineStr">
        <x:is>
          <x:t xml:space="preserve">Một hệ cân bằng chú ý cả phần dư và phần thiếu; đây là seed triết học, không phải công thức chính sách.</x:t>
        </x:is>
      </x:c>
      <x:c r="F37" s="81" t="inlineStr">
        <x:is>
          <x:t xml:space="preserve">道德經 / Tao Te Ching</x:t>
        </x:is>
      </x:c>
      <x:c r="G37" s="81" t="inlineStr">
        <x:is>
          <x:t xml:space="preserve">Laozi / 老子</x:t>
        </x:is>
      </x:c>
      <x:c r="H37" s="81" t="inlineStr">
        <x:is>
          <x:t xml:space="preserve">https://zh.wikisource.org/zh-hant/%E9%81%93%E5%BE%B7%E7%B6%93_(%E7%8E%8B%E5%BC%BC%E6%9C%AC)</x:t>
        </x:is>
      </x:c>
      <x:c r="I37" s="81" t="inlineStr">
        <x:is>
          <x:t xml:space="preserve">Primary text</x:t>
        </x:is>
      </x:c>
      <x:c r="J37" s="81" t="inlineStr">
        <x:is>
          <x:t xml:space="preserve">Ch.77</x:t>
        </x:is>
      </x:c>
      <x:c r="K37" s="81" t="inlineStr">
        <x:is>
          <x:t xml:space="preserve">Editorial principle seed; review against scholarship before publication.</x:t>
        </x:is>
      </x:c>
      <x:c r="L37" s="81" t="inlineStr">
        <x:is>
          <x:t xml:space="preserve">A - Primary source</x:t>
        </x:is>
      </x:c>
      <x:c r="M37" s="81" t="inlineStr">
        <x:is>
          <x:t xml:space="preserve">Fairness</x:t>
        </x:is>
      </x:c>
      <x:c r="N37" s="81" t="inlineStr">
        <x:is>
          <x:t xml:space="preserve">Selflo philosophy / research</x:t>
        </x:is>
      </x:c>
      <x:c r="O37" s="81" t="inlineStr">
        <x:is>
          <x:t xml:space="preserve">Day 3 / Laozi</x:t>
        </x:is>
      </x:c>
      <x:c r="P37" s="81" t="inlineStr">
        <x:is>
          <x:t xml:space="preserve">Distinguish / Reframe</x:t>
        </x:is>
      </x:c>
      <x:c r="Q37" s="81" t="str"/>
      <x:c r="R37" s="81" t="str"/>
      <x:c r="S37" s="81" t="inlineStr">
        <x:is>
          <x:t xml:space="preserve">Editorial lens</x:t>
        </x:is>
      </x:c>
      <x:c r="T37" s="81" t="inlineStr">
        <x:is>
          <x:t xml:space="preserve">Yes</x:t>
        </x:is>
      </x:c>
      <x:c r="U37" s="81" t="n">
        <x:v>3</x:v>
      </x:c>
      <x:c r="V37" s="81" t="inlineStr">
        <x:is>
          <x:t xml:space="preserve">Day 3 principle seed.</x:t>
        </x:is>
      </x:c>
    </x:row>
    <x:row r="38">
      <x:c r="A38" s="81" t="inlineStr">
        <x:is>
          <x:t xml:space="preserve">principle.zhuangzi.day4.context_changes_use</x:t>
        </x:is>
      </x:c>
      <x:c r="B38" s="81" t="inlineStr">
        <x:is>
          <x:t xml:space="preserve">Collected</x:t>
        </x:is>
      </x:c>
      <x:c r="C38" s="81" t="inlineStr">
        <x:is>
          <x:t xml:space="preserve">Cùng một khả năng có thể có giá trị khác trong bối cảnh khác</x:t>
        </x:is>
      </x:c>
      <x:c r="D38" s="81" t="inlineStr">
        <x:is>
          <x:t xml:space="preserve">Context</x:t>
        </x:is>
      </x:c>
      <x:c r="E38" s="81" t="inlineStr">
        <x:is>
          <x:t xml:space="preserve">Một năng lực không nên bị kết luận là vô dụng chỉ vì nó không vừa use case hiện tại.</x:t>
        </x:is>
      </x:c>
      <x:c r="F38" s="81" t="inlineStr">
        <x:is>
          <x:t xml:space="preserve">莊子 / Zhuangzi</x:t>
        </x:is>
      </x:c>
      <x:c r="G38" s="81" t="inlineStr">
        <x:is>
          <x:t xml:space="preserve">Zhuangzi / 莊子</x:t>
        </x:is>
      </x:c>
      <x:c r="H38" s="81" t="inlineStr">
        <x:is>
          <x:t xml:space="preserve">https://zh.wikisource.org/zh-hans/%E8%8E%8A%E5%AD%90</x:t>
        </x:is>
      </x:c>
      <x:c r="I38" s="81" t="inlineStr">
        <x:is>
          <x:t xml:space="preserve">Primary text</x:t>
        </x:is>
      </x:c>
      <x:c r="J38" s="81" t="inlineStr">
        <x:is>
          <x:t xml:space="preserve">Ch.1</x:t>
        </x:is>
      </x:c>
      <x:c r="K38" s="81" t="inlineStr">
        <x:is>
          <x:t xml:space="preserve">Editorial principle seed from Inner Chapters; preserve ambiguity and verify interpretation before publication.</x:t>
        </x:is>
      </x:c>
      <x:c r="L38" s="81" t="inlineStr">
        <x:is>
          <x:t xml:space="preserve">A - Primary source</x:t>
        </x:is>
      </x:c>
      <x:c r="M38" s="81" t="inlineStr">
        <x:is>
          <x:t xml:space="preserve">Context</x:t>
        </x:is>
      </x:c>
      <x:c r="N38" s="81" t="inlineStr">
        <x:is>
          <x:t xml:space="preserve">Selflo philosophy / AI-age</x:t>
        </x:is>
      </x:c>
      <x:c r="O38" s="81" t="inlineStr">
        <x:is>
          <x:t xml:space="preserve">Day 4 / Zhuangzi Inner Chapters</x:t>
        </x:is>
      </x:c>
      <x:c r="P38" s="81" t="inlineStr">
        <x:is>
          <x:t xml:space="preserve">Distinguish / Reframe</x:t>
        </x:is>
      </x:c>
      <x:c r="Q38" s="81" t="str"/>
      <x:c r="R38" s="81" t="str"/>
      <x:c r="S38" s="81" t="inlineStr">
        <x:is>
          <x:t xml:space="preserve">Editorial lens</x:t>
        </x:is>
      </x:c>
      <x:c r="T38" s="81" t="inlineStr">
        <x:is>
          <x:t xml:space="preserve">Yes</x:t>
        </x:is>
      </x:c>
      <x:c r="U38" s="81" t="n">
        <x:v>4</x:v>
      </x:c>
      <x:c r="V38" s="81" t="inlineStr">
        <x:is>
          <x:t xml:space="preserve">Day 4 principle seed.</x:t>
        </x:is>
      </x:c>
    </x:row>
    <x:row r="39">
      <x:c r="A39" s="81" t="inlineStr">
        <x:is>
          <x:t xml:space="preserve">principle.zhuangzi.day4.value_beyond_productivity</x:t>
        </x:is>
      </x:c>
      <x:c r="B39" s="81" t="inlineStr">
        <x:is>
          <x:t xml:space="preserve">Collected</x:t>
        </x:is>
      </x:c>
      <x:c r="C39" s="81" t="inlineStr">
        <x:is>
          <x:t xml:space="preserve">Giá trị không chỉ tồn tại dưới dạng năng suất</x:t>
        </x:is>
      </x:c>
      <x:c r="D39" s="81" t="inlineStr">
        <x:is>
          <x:t xml:space="preserve">Values</x:t>
        </x:is>
      </x:c>
      <x:c r="E39" s="81" t="inlineStr">
        <x:is>
          <x:t xml:space="preserve">Một thước đo hữu dụng có thể bỏ sót những giá trị khác như sống lâu, tự do, khoảng thở hoặc khả năng tồn tại.</x:t>
        </x:is>
      </x:c>
      <x:c r="F39" s="81" t="inlineStr">
        <x:is>
          <x:t xml:space="preserve">莊子 / Zhuangzi</x:t>
        </x:is>
      </x:c>
      <x:c r="G39" s="81" t="inlineStr">
        <x:is>
          <x:t xml:space="preserve">Zhuangzi / 莊子</x:t>
        </x:is>
      </x:c>
      <x:c r="H39" s="81" t="inlineStr">
        <x:is>
          <x:t xml:space="preserve">https://zh.wikisource.org/zh-hans/%E8%8E%8A%E5%AD%90</x:t>
        </x:is>
      </x:c>
      <x:c r="I39" s="81" t="inlineStr">
        <x:is>
          <x:t xml:space="preserve">Primary text</x:t>
        </x:is>
      </x:c>
      <x:c r="J39" s="81" t="inlineStr">
        <x:is>
          <x:t xml:space="preserve">Ch.1,4</x:t>
        </x:is>
      </x:c>
      <x:c r="K39" s="81" t="inlineStr">
        <x:is>
          <x:t xml:space="preserve">Editorial principle seed from Inner Chapters; preserve ambiguity and verify interpretation before publication.</x:t>
        </x:is>
      </x:c>
      <x:c r="L39" s="81" t="inlineStr">
        <x:is>
          <x:t xml:space="preserve">A - Primary source</x:t>
        </x:is>
      </x:c>
      <x:c r="M39" s="81" t="inlineStr">
        <x:is>
          <x:t xml:space="preserve">Values</x:t>
        </x:is>
      </x:c>
      <x:c r="N39" s="81" t="inlineStr">
        <x:is>
          <x:t xml:space="preserve">Selflo philosophy / AI-age</x:t>
        </x:is>
      </x:c>
      <x:c r="O39" s="81" t="inlineStr">
        <x:is>
          <x:t xml:space="preserve">Day 4 / Zhuangzi Inner Chapters</x:t>
        </x:is>
      </x:c>
      <x:c r="P39" s="81" t="inlineStr">
        <x:is>
          <x:t xml:space="preserve">Distinguish / Reframe</x:t>
        </x:is>
      </x:c>
      <x:c r="Q39" s="81" t="str"/>
      <x:c r="R39" s="81" t="str"/>
      <x:c r="S39" s="81" t="inlineStr">
        <x:is>
          <x:t xml:space="preserve">Editorial lens</x:t>
        </x:is>
      </x:c>
      <x:c r="T39" s="81" t="inlineStr">
        <x:is>
          <x:t xml:space="preserve">Yes</x:t>
        </x:is>
      </x:c>
      <x:c r="U39" s="81" t="n">
        <x:v>4</x:v>
      </x:c>
      <x:c r="V39" s="81" t="inlineStr">
        <x:is>
          <x:t xml:space="preserve">Day 4 principle seed.</x:t>
        </x:is>
      </x:c>
    </x:row>
    <x:row r="40">
      <x:c r="A40" s="81" t="inlineStr">
        <x:is>
          <x:t xml:space="preserve">principle.zhuangzi.day4.identity_not_fixed</x:t>
        </x:is>
      </x:c>
      <x:c r="B40" s="81" t="inlineStr">
        <x:is>
          <x:t xml:space="preserve">Collected</x:t>
        </x:is>
      </x:c>
      <x:c r="C40" s="81" t="inlineStr">
        <x:is>
          <x:t xml:space="preserve">Một nhãn hiện tại không chứa trọn bản sắc</x:t>
        </x:is>
      </x:c>
      <x:c r="D40" s="81" t="inlineStr">
        <x:is>
          <x:t xml:space="preserve">Identity</x:t>
        </x:is>
      </x:c>
      <x:c r="E40" s="81" t="inlineStr">
        <x:is>
          <x:t xml:space="preserve">Bản sắc và trải nghiệm có thể chuyển hóa; Selflo nên mở góc nhìn thay vì đóng người dùng vào một định nghĩa.</x:t>
        </x:is>
      </x:c>
      <x:c r="F40" s="81" t="inlineStr">
        <x:is>
          <x:t xml:space="preserve">莊子 / Zhuangzi</x:t>
        </x:is>
      </x:c>
      <x:c r="G40" s="81" t="inlineStr">
        <x:is>
          <x:t xml:space="preserve">Zhuangzi / 莊子</x:t>
        </x:is>
      </x:c>
      <x:c r="H40" s="81" t="inlineStr">
        <x:is>
          <x:t xml:space="preserve">https://zh.wikisource.org/zh-hans/%E8%8E%8A%E5%AD%90</x:t>
        </x:is>
      </x:c>
      <x:c r="I40" s="81" t="inlineStr">
        <x:is>
          <x:t xml:space="preserve">Primary text</x:t>
        </x:is>
      </x:c>
      <x:c r="J40" s="81" t="inlineStr">
        <x:is>
          <x:t xml:space="preserve">Ch.2</x:t>
        </x:is>
      </x:c>
      <x:c r="K40" s="81" t="inlineStr">
        <x:is>
          <x:t xml:space="preserve">Editorial principle seed from Inner Chapters; preserve ambiguity and verify interpretation before publication.</x:t>
        </x:is>
      </x:c>
      <x:c r="L40" s="81" t="inlineStr">
        <x:is>
          <x:t xml:space="preserve">A - Primary source</x:t>
        </x:is>
      </x:c>
      <x:c r="M40" s="81" t="inlineStr">
        <x:is>
          <x:t xml:space="preserve">Identity</x:t>
        </x:is>
      </x:c>
      <x:c r="N40" s="81" t="inlineStr">
        <x:is>
          <x:t xml:space="preserve">Selflo philosophy / AI-age</x:t>
        </x:is>
      </x:c>
      <x:c r="O40" s="81" t="inlineStr">
        <x:is>
          <x:t xml:space="preserve">Day 4 / Zhuangzi Inner Chapters</x:t>
        </x:is>
      </x:c>
      <x:c r="P40" s="81" t="inlineStr">
        <x:is>
          <x:t xml:space="preserve">Distinguish / Reframe</x:t>
        </x:is>
      </x:c>
      <x:c r="Q40" s="81" t="str"/>
      <x:c r="R40" s="81" t="str"/>
      <x:c r="S40" s="81" t="inlineStr">
        <x:is>
          <x:t xml:space="preserve">Editorial lens</x:t>
        </x:is>
      </x:c>
      <x:c r="T40" s="81" t="inlineStr">
        <x:is>
          <x:t xml:space="preserve">Yes</x:t>
        </x:is>
      </x:c>
      <x:c r="U40" s="81" t="n">
        <x:v>4</x:v>
      </x:c>
      <x:c r="V40" s="81" t="inlineStr">
        <x:is>
          <x:t xml:space="preserve">Day 4 principle seed.</x:t>
        </x:is>
      </x:c>
    </x:row>
    <x:row r="41">
      <x:c r="A41" s="81" t="inlineStr">
        <x:is>
          <x:t xml:space="preserve">principle.zhuangzi.day4.knowledge_has_horizon</x:t>
        </x:is>
      </x:c>
      <x:c r="B41" s="81" t="inlineStr">
        <x:is>
          <x:t xml:space="preserve">Collected</x:t>
        </x:is>
      </x:c>
      <x:c r="C41" s="81" t="inlineStr">
        <x:is>
          <x:t xml:space="preserve">Mọi góc nhìn đều có chân trời giới hạn</x:t>
        </x:is>
      </x:c>
      <x:c r="D41" s="81" t="inlineStr">
        <x:is>
          <x:t xml:space="preserve">Judgment</x:t>
        </x:is>
      </x:c>
      <x:c r="E41" s="81" t="inlineStr">
        <x:is>
          <x:t xml:space="preserve">Điều một người thấy phụ thuộc vị trí, quy mô và điều kiện; biết giới hạn là một phần của phán đoán.</x:t>
        </x:is>
      </x:c>
      <x:c r="F41" s="81" t="inlineStr">
        <x:is>
          <x:t xml:space="preserve">莊子 / Zhuangzi</x:t>
        </x:is>
      </x:c>
      <x:c r="G41" s="81" t="inlineStr">
        <x:is>
          <x:t xml:space="preserve">Zhuangzi / 莊子</x:t>
        </x:is>
      </x:c>
      <x:c r="H41" s="81" t="inlineStr">
        <x:is>
          <x:t xml:space="preserve">https://zh.wikisource.org/zh-hans/%E8%8E%8A%E5%AD%90</x:t>
        </x:is>
      </x:c>
      <x:c r="I41" s="81" t="inlineStr">
        <x:is>
          <x:t xml:space="preserve">Primary text</x:t>
        </x:is>
      </x:c>
      <x:c r="J41" s="81" t="inlineStr">
        <x:is>
          <x:t xml:space="preserve">Ch.1,2</x:t>
        </x:is>
      </x:c>
      <x:c r="K41" s="81" t="inlineStr">
        <x:is>
          <x:t xml:space="preserve">Editorial principle seed from Inner Chapters; preserve ambiguity and verify interpretation before publication.</x:t>
        </x:is>
      </x:c>
      <x:c r="L41" s="81" t="inlineStr">
        <x:is>
          <x:t xml:space="preserve">A - Primary source</x:t>
        </x:is>
      </x:c>
      <x:c r="M41" s="81" t="inlineStr">
        <x:is>
          <x:t xml:space="preserve">Judgment</x:t>
        </x:is>
      </x:c>
      <x:c r="N41" s="81" t="inlineStr">
        <x:is>
          <x:t xml:space="preserve">Selflo philosophy / AI-age</x:t>
        </x:is>
      </x:c>
      <x:c r="O41" s="81" t="inlineStr">
        <x:is>
          <x:t xml:space="preserve">Day 4 / Zhuangzi Inner Chapters</x:t>
        </x:is>
      </x:c>
      <x:c r="P41" s="81" t="inlineStr">
        <x:is>
          <x:t xml:space="preserve">Distinguish / Reframe</x:t>
        </x:is>
      </x:c>
      <x:c r="Q41" s="81" t="str"/>
      <x:c r="R41" s="81" t="str"/>
      <x:c r="S41" s="81" t="inlineStr">
        <x:is>
          <x:t xml:space="preserve">Editorial lens</x:t>
        </x:is>
      </x:c>
      <x:c r="T41" s="81" t="inlineStr">
        <x:is>
          <x:t xml:space="preserve">Yes</x:t>
        </x:is>
      </x:c>
      <x:c r="U41" s="81" t="n">
        <x:v>4</x:v>
      </x:c>
      <x:c r="V41" s="81" t="inlineStr">
        <x:is>
          <x:t xml:space="preserve">Day 4 principle seed.</x:t>
        </x:is>
      </x:c>
    </x:row>
    <x:row r="42">
      <x:c r="A42" s="81" t="inlineStr">
        <x:is>
          <x:t xml:space="preserve">principle.zhuangzi.day4.winning_not_truth</x:t>
        </x:is>
      </x:c>
      <x:c r="B42" s="81" t="inlineStr">
        <x:is>
          <x:t xml:space="preserve">Collected</x:t>
        </x:is>
      </x:c>
      <x:c r="C42" s="81" t="inlineStr">
        <x:is>
          <x:t xml:space="preserve">Thắng tranh luận không tự chứng minh chân lý</x:t>
        </x:is>
      </x:c>
      <x:c r="D42" s="81" t="inlineStr">
        <x:is>
          <x:t xml:space="preserve">Judgment</x:t>
        </x:is>
      </x:c>
      <x:c r="E42" s="81" t="inlineStr">
        <x:is>
          <x:t xml:space="preserve">Khả năng thuyết phục, tranh luận hoặc tạo câu trả lời không đồng nghĩa điều đó đúng.</x:t>
        </x:is>
      </x:c>
      <x:c r="F42" s="81" t="inlineStr">
        <x:is>
          <x:t xml:space="preserve">莊子 / Zhuangzi</x:t>
        </x:is>
      </x:c>
      <x:c r="G42" s="81" t="inlineStr">
        <x:is>
          <x:t xml:space="preserve">Zhuangzi / 莊子</x:t>
        </x:is>
      </x:c>
      <x:c r="H42" s="81" t="inlineStr">
        <x:is>
          <x:t xml:space="preserve">https://zh.wikisource.org/zh-hans/%E8%8E%8A%E5%AD%90</x:t>
        </x:is>
      </x:c>
      <x:c r="I42" s="81" t="inlineStr">
        <x:is>
          <x:t xml:space="preserve">Primary text</x:t>
        </x:is>
      </x:c>
      <x:c r="J42" s="81" t="inlineStr">
        <x:is>
          <x:t xml:space="preserve">Ch.2</x:t>
        </x:is>
      </x:c>
      <x:c r="K42" s="81" t="inlineStr">
        <x:is>
          <x:t xml:space="preserve">Editorial principle seed from Inner Chapters; preserve ambiguity and verify interpretation before publication.</x:t>
        </x:is>
      </x:c>
      <x:c r="L42" s="81" t="inlineStr">
        <x:is>
          <x:t xml:space="preserve">A - Primary source</x:t>
        </x:is>
      </x:c>
      <x:c r="M42" s="81" t="inlineStr">
        <x:is>
          <x:t xml:space="preserve">Judgment</x:t>
        </x:is>
      </x:c>
      <x:c r="N42" s="81" t="inlineStr">
        <x:is>
          <x:t xml:space="preserve">Selflo philosophy / AI-age</x:t>
        </x:is>
      </x:c>
      <x:c r="O42" s="81" t="inlineStr">
        <x:is>
          <x:t xml:space="preserve">Day 4 / Zhuangzi Inner Chapters</x:t>
        </x:is>
      </x:c>
      <x:c r="P42" s="81" t="inlineStr">
        <x:is>
          <x:t xml:space="preserve">Distinguish / Reframe</x:t>
        </x:is>
      </x:c>
      <x:c r="Q42" s="81" t="str"/>
      <x:c r="R42" s="81" t="str"/>
      <x:c r="S42" s="81" t="inlineStr">
        <x:is>
          <x:t xml:space="preserve">Editorial lens</x:t>
        </x:is>
      </x:c>
      <x:c r="T42" s="81" t="inlineStr">
        <x:is>
          <x:t xml:space="preserve">Yes</x:t>
        </x:is>
      </x:c>
      <x:c r="U42" s="81" t="n">
        <x:v>4</x:v>
      </x:c>
      <x:c r="V42" s="81" t="inlineStr">
        <x:is>
          <x:t xml:space="preserve">Day 4 principle seed.</x:t>
        </x:is>
      </x:c>
    </x:row>
    <x:row r="43">
      <x:c r="A43" s="81" t="inlineStr">
        <x:is>
          <x:t xml:space="preserve">principle.zhuangzi.day4.finite_attention</x:t>
        </x:is>
      </x:c>
      <x:c r="B43" s="81" t="inlineStr">
        <x:is>
          <x:t xml:space="preserve">Collected</x:t>
        </x:is>
      </x:c>
      <x:c r="C43" s="81" t="inlineStr">
        <x:is>
          <x:t xml:space="preserve">Đời hữu hạn trước biển thông tin vô hạn</x:t>
        </x:is>
      </x:c>
      <x:c r="D43" s="81" t="inlineStr">
        <x:is>
          <x:t xml:space="preserve">Attention</x:t>
        </x:is>
      </x:c>
      <x:c r="E43" s="81" t="inlineStr">
        <x:is>
          <x:t xml:space="preserve">Không thể và không cần tiêu thụ mọi kiến thức; lựa chọn điều đáng chú ý là năng lực quan trọng trong thời AI.</x:t>
        </x:is>
      </x:c>
      <x:c r="F43" s="81" t="inlineStr">
        <x:is>
          <x:t xml:space="preserve">莊子 / Zhuangzi</x:t>
        </x:is>
      </x:c>
      <x:c r="G43" s="81" t="inlineStr">
        <x:is>
          <x:t xml:space="preserve">Zhuangzi / 莊子</x:t>
        </x:is>
      </x:c>
      <x:c r="H43" s="81" t="inlineStr">
        <x:is>
          <x:t xml:space="preserve">https://zh.wikisource.org/zh-hans/%E8%8E%8A%E5%AD%90</x:t>
        </x:is>
      </x:c>
      <x:c r="I43" s="81" t="inlineStr">
        <x:is>
          <x:t xml:space="preserve">Primary text</x:t>
        </x:is>
      </x:c>
      <x:c r="J43" s="81" t="inlineStr">
        <x:is>
          <x:t xml:space="preserve">Ch.3</x:t>
        </x:is>
      </x:c>
      <x:c r="K43" s="81" t="inlineStr">
        <x:is>
          <x:t xml:space="preserve">Editorial principle seed from Inner Chapters; preserve ambiguity and verify interpretation before publication.</x:t>
        </x:is>
      </x:c>
      <x:c r="L43" s="81" t="inlineStr">
        <x:is>
          <x:t xml:space="preserve">A - Primary source</x:t>
        </x:is>
      </x:c>
      <x:c r="M43" s="81" t="inlineStr">
        <x:is>
          <x:t xml:space="preserve">Attention</x:t>
        </x:is>
      </x:c>
      <x:c r="N43" s="81" t="inlineStr">
        <x:is>
          <x:t xml:space="preserve">Selflo philosophy / AI-age</x:t>
        </x:is>
      </x:c>
      <x:c r="O43" s="81" t="inlineStr">
        <x:is>
          <x:t xml:space="preserve">Day 4 / Zhuangzi Inner Chapters</x:t>
        </x:is>
      </x:c>
      <x:c r="P43" s="81" t="inlineStr">
        <x:is>
          <x:t xml:space="preserve">Distinguish / Reframe</x:t>
        </x:is>
      </x:c>
      <x:c r="Q43" s="81" t="str"/>
      <x:c r="R43" s="81" t="str"/>
      <x:c r="S43" s="81" t="inlineStr">
        <x:is>
          <x:t xml:space="preserve">Editorial lens</x:t>
        </x:is>
      </x:c>
      <x:c r="T43" s="81" t="inlineStr">
        <x:is>
          <x:t xml:space="preserve">Yes</x:t>
        </x:is>
      </x:c>
      <x:c r="U43" s="81" t="n">
        <x:v>4</x:v>
      </x:c>
      <x:c r="V43" s="81" t="inlineStr">
        <x:is>
          <x:t xml:space="preserve">Day 4 principle seed.</x:t>
        </x:is>
      </x:c>
    </x:row>
    <x:row r="44">
      <x:c r="A44" s="81" t="inlineStr">
        <x:is>
          <x:t xml:space="preserve">principle.zhuangzi.day4.mastery_follows_structure</x:t>
        </x:is>
      </x:c>
      <x:c r="B44" s="81" t="inlineStr">
        <x:is>
          <x:t xml:space="preserve">Collected</x:t>
        </x:is>
      </x:c>
      <x:c r="C44" s="81" t="inlineStr">
        <x:is>
          <x:t xml:space="preserve">Thành thạo đi theo cấu trúc thay vì tăng lực</x:t>
        </x:is>
      </x:c>
      <x:c r="D44" s="81" t="inlineStr">
        <x:is>
          <x:t xml:space="preserve">Learning</x:t>
        </x:is>
      </x:c>
      <x:c r="E44" s="81" t="inlineStr">
        <x:is>
          <x:t xml:space="preserve">Kinh nghiệm sâu giúp nhìn ra cấu trúc, khoảng trống và nơi cần chậm lại; mastery không phải ép mạnh hơn.</x:t>
        </x:is>
      </x:c>
      <x:c r="F44" s="81" t="inlineStr">
        <x:is>
          <x:t xml:space="preserve">莊子 / Zhuangzi</x:t>
        </x:is>
      </x:c>
      <x:c r="G44" s="81" t="inlineStr">
        <x:is>
          <x:t xml:space="preserve">Zhuangzi / 莊子</x:t>
        </x:is>
      </x:c>
      <x:c r="H44" s="81" t="inlineStr">
        <x:is>
          <x:t xml:space="preserve">https://zh.wikisource.org/zh-hans/%E8%8E%8A%E5%AD%90</x:t>
        </x:is>
      </x:c>
      <x:c r="I44" s="81" t="inlineStr">
        <x:is>
          <x:t xml:space="preserve">Primary text</x:t>
        </x:is>
      </x:c>
      <x:c r="J44" s="81" t="inlineStr">
        <x:is>
          <x:t xml:space="preserve">Ch.3</x:t>
        </x:is>
      </x:c>
      <x:c r="K44" s="81" t="inlineStr">
        <x:is>
          <x:t xml:space="preserve">Editorial principle seed from Inner Chapters; preserve ambiguity and verify interpretation before publication.</x:t>
        </x:is>
      </x:c>
      <x:c r="L44" s="81" t="inlineStr">
        <x:is>
          <x:t xml:space="preserve">A - Primary source</x:t>
        </x:is>
      </x:c>
      <x:c r="M44" s="81" t="inlineStr">
        <x:is>
          <x:t xml:space="preserve">Learning</x:t>
        </x:is>
      </x:c>
      <x:c r="N44" s="81" t="inlineStr">
        <x:is>
          <x:t xml:space="preserve">Selflo philosophy / AI-age</x:t>
        </x:is>
      </x:c>
      <x:c r="O44" s="81" t="inlineStr">
        <x:is>
          <x:t xml:space="preserve">Day 4 / Zhuangzi Inner Chapters</x:t>
        </x:is>
      </x:c>
      <x:c r="P44" s="81" t="inlineStr">
        <x:is>
          <x:t xml:space="preserve">Distinguish / Reframe</x:t>
        </x:is>
      </x:c>
      <x:c r="Q44" s="81" t="str"/>
      <x:c r="R44" s="81" t="str"/>
      <x:c r="S44" s="81" t="inlineStr">
        <x:is>
          <x:t xml:space="preserve">Editorial lens</x:t>
        </x:is>
      </x:c>
      <x:c r="T44" s="81" t="inlineStr">
        <x:is>
          <x:t xml:space="preserve">Yes</x:t>
        </x:is>
      </x:c>
      <x:c r="U44" s="81" t="n">
        <x:v>4</x:v>
      </x:c>
      <x:c r="V44" s="81" t="inlineStr">
        <x:is>
          <x:t xml:space="preserve">Day 4 principle seed.</x:t>
        </x:is>
      </x:c>
    </x:row>
    <x:row r="45">
      <x:c r="A45" s="81" t="inlineStr">
        <x:is>
          <x:t xml:space="preserve">principle.zhuangzi.day4.space_before_answer</x:t>
        </x:is>
      </x:c>
      <x:c r="B45" s="81" t="inlineStr">
        <x:is>
          <x:t xml:space="preserve">Collected</x:t>
        </x:is>
      </x:c>
      <x:c r="C45" s="81" t="inlineStr">
        <x:is>
          <x:t xml:space="preserve">Khoảng trống có thể cần trước câu trả lời</x:t>
        </x:is>
      </x:c>
      <x:c r="D45" s="81" t="inlineStr">
        <x:is>
          <x:t xml:space="preserve">Attention</x:t>
        </x:is>
      </x:c>
      <x:c r="E45" s="81" t="inlineStr">
        <x:is>
          <x:t xml:space="preserve">Khi tâm trí đã đầy mô hình và kết luận, thêm thông tin có thể không giúp thấy rõ hơn; cần chừa chỗ để tiếp nhận.</x:t>
        </x:is>
      </x:c>
      <x:c r="F45" s="81" t="inlineStr">
        <x:is>
          <x:t xml:space="preserve">莊子 / Zhuangzi</x:t>
        </x:is>
      </x:c>
      <x:c r="G45" s="81" t="inlineStr">
        <x:is>
          <x:t xml:space="preserve">Zhuangzi / 莊子</x:t>
        </x:is>
      </x:c>
      <x:c r="H45" s="81" t="inlineStr">
        <x:is>
          <x:t xml:space="preserve">https://zh.wikisource.org/zh-hans/%E8%8E%8A%E5%AD%90</x:t>
        </x:is>
      </x:c>
      <x:c r="I45" s="81" t="inlineStr">
        <x:is>
          <x:t xml:space="preserve">Primary text</x:t>
        </x:is>
      </x:c>
      <x:c r="J45" s="81" t="inlineStr">
        <x:is>
          <x:t xml:space="preserve">Ch.4</x:t>
        </x:is>
      </x:c>
      <x:c r="K45" s="81" t="inlineStr">
        <x:is>
          <x:t xml:space="preserve">Editorial principle seed from Inner Chapters; preserve ambiguity and verify interpretation before publication.</x:t>
        </x:is>
      </x:c>
      <x:c r="L45" s="81" t="inlineStr">
        <x:is>
          <x:t xml:space="preserve">A - Primary source</x:t>
        </x:is>
      </x:c>
      <x:c r="M45" s="81" t="inlineStr">
        <x:is>
          <x:t xml:space="preserve">Attention</x:t>
        </x:is>
      </x:c>
      <x:c r="N45" s="81" t="inlineStr">
        <x:is>
          <x:t xml:space="preserve">Selflo philosophy / AI-age</x:t>
        </x:is>
      </x:c>
      <x:c r="O45" s="81" t="inlineStr">
        <x:is>
          <x:t xml:space="preserve">Day 4 / Zhuangzi Inner Chapters</x:t>
        </x:is>
      </x:c>
      <x:c r="P45" s="81" t="inlineStr">
        <x:is>
          <x:t xml:space="preserve">Distinguish / Reframe</x:t>
        </x:is>
      </x:c>
      <x:c r="Q45" s="81" t="str"/>
      <x:c r="R45" s="81" t="str"/>
      <x:c r="S45" s="81" t="inlineStr">
        <x:is>
          <x:t xml:space="preserve">Editorial lens</x:t>
        </x:is>
      </x:c>
      <x:c r="T45" s="81" t="inlineStr">
        <x:is>
          <x:t xml:space="preserve">Yes</x:t>
        </x:is>
      </x:c>
      <x:c r="U45" s="81" t="n">
        <x:v>4</x:v>
      </x:c>
      <x:c r="V45" s="81" t="inlineStr">
        <x:is>
          <x:t xml:space="preserve">Day 4 principle seed.</x:t>
        </x:is>
      </x:c>
    </x:row>
    <x:row r="46">
      <x:c r="A46" s="81" t="inlineStr">
        <x:is>
          <x:t xml:space="preserve">principle.zhuangzi.day4.person_not_deficit</x:t>
        </x:is>
      </x:c>
      <x:c r="B46" s="81" t="inlineStr">
        <x:is>
          <x:t xml:space="preserve">Collected</x:t>
        </x:is>
      </x:c>
      <x:c r="C46" s="81" t="inlineStr">
        <x:is>
          <x:t xml:space="preserve">Con người không thể bị thu gọn vào thiếu hụt nhìn thấy</x:t>
        </x:is>
      </x:c>
      <x:c r="D46" s="81" t="inlineStr">
        <x:is>
          <x:t xml:space="preserve">Dignity</x:t>
        </x:is>
      </x:c>
      <x:c r="E46" s="81" t="inlineStr">
        <x:is>
          <x:t xml:space="preserve">Hình thể, lỗi cũ, performance hay một nhãn không phải toàn bộ con người.</x:t>
        </x:is>
      </x:c>
      <x:c r="F46" s="81" t="inlineStr">
        <x:is>
          <x:t xml:space="preserve">莊子 / Zhuangzi</x:t>
        </x:is>
      </x:c>
      <x:c r="G46" s="81" t="inlineStr">
        <x:is>
          <x:t xml:space="preserve">Zhuangzi / 莊子</x:t>
        </x:is>
      </x:c>
      <x:c r="H46" s="81" t="inlineStr">
        <x:is>
          <x:t xml:space="preserve">https://zh.wikisource.org/zh-hans/%E8%8E%8A%E5%AD%90</x:t>
        </x:is>
      </x:c>
      <x:c r="I46" s="81" t="inlineStr">
        <x:is>
          <x:t xml:space="preserve">Primary text</x:t>
        </x:is>
      </x:c>
      <x:c r="J46" s="81" t="inlineStr">
        <x:is>
          <x:t xml:space="preserve">Ch.5</x:t>
        </x:is>
      </x:c>
      <x:c r="K46" s="81" t="inlineStr">
        <x:is>
          <x:t xml:space="preserve">Editorial principle seed from Inner Chapters; preserve ambiguity and verify interpretation before publication.</x:t>
        </x:is>
      </x:c>
      <x:c r="L46" s="81" t="inlineStr">
        <x:is>
          <x:t xml:space="preserve">A - Primary source</x:t>
        </x:is>
      </x:c>
      <x:c r="M46" s="81" t="inlineStr">
        <x:is>
          <x:t xml:space="preserve">Dignity</x:t>
        </x:is>
      </x:c>
      <x:c r="N46" s="81" t="inlineStr">
        <x:is>
          <x:t xml:space="preserve">Selflo philosophy / AI-age</x:t>
        </x:is>
      </x:c>
      <x:c r="O46" s="81" t="inlineStr">
        <x:is>
          <x:t xml:space="preserve">Day 4 / Zhuangzi Inner Chapters</x:t>
        </x:is>
      </x:c>
      <x:c r="P46" s="81" t="inlineStr">
        <x:is>
          <x:t xml:space="preserve">Distinguish / Reframe</x:t>
        </x:is>
      </x:c>
      <x:c r="Q46" s="81" t="str"/>
      <x:c r="R46" s="81" t="str"/>
      <x:c r="S46" s="81" t="inlineStr">
        <x:is>
          <x:t xml:space="preserve">Editorial lens</x:t>
        </x:is>
      </x:c>
      <x:c r="T46" s="81" t="inlineStr">
        <x:is>
          <x:t xml:space="preserve">Yes</x:t>
        </x:is>
      </x:c>
      <x:c r="U46" s="81" t="n">
        <x:v>4</x:v>
      </x:c>
      <x:c r="V46" s="81" t="inlineStr">
        <x:is>
          <x:t xml:space="preserve">Day 4 principle seed.</x:t>
        </x:is>
      </x:c>
    </x:row>
    <x:row r="47">
      <x:c r="A47" s="81" t="inlineStr">
        <x:is>
          <x:t xml:space="preserve">principle.zhuangzi.day4.environment_before_rescue</x:t>
        </x:is>
      </x:c>
      <x:c r="B47" s="81" t="inlineStr">
        <x:is>
          <x:t xml:space="preserve">Collected</x:t>
        </x:is>
      </x:c>
      <x:c r="C47" s="81" t="inlineStr">
        <x:is>
          <x:t xml:space="preserve">Đôi khi cần nhìn môi trường trước khi yêu cầu cá nhân cố thêm</x:t>
        </x:is>
      </x:c>
      <x:c r="D47" s="81" t="inlineStr">
        <x:is>
          <x:t xml:space="preserve">Context</x:t>
        </x:is>
      </x:c>
      <x:c r="E47" s="81" t="inlineStr">
        <x:is>
          <x:t xml:space="preserve">Hai con cá có thể cứu nhau trên cạn, nhưng vấn đề nền vẫn là chúng không ở trong nước.</x:t>
        </x:is>
      </x:c>
      <x:c r="F47" s="81" t="inlineStr">
        <x:is>
          <x:t xml:space="preserve">莊子 / Zhuangzi</x:t>
        </x:is>
      </x:c>
      <x:c r="G47" s="81" t="inlineStr">
        <x:is>
          <x:t xml:space="preserve">Zhuangzi / 莊子</x:t>
        </x:is>
      </x:c>
      <x:c r="H47" s="81" t="inlineStr">
        <x:is>
          <x:t xml:space="preserve">https://zh.wikisource.org/zh-hans/%E8%8E%8A%E5%AD%90</x:t>
        </x:is>
      </x:c>
      <x:c r="I47" s="81" t="inlineStr">
        <x:is>
          <x:t xml:space="preserve">Primary text</x:t>
        </x:is>
      </x:c>
      <x:c r="J47" s="81" t="inlineStr">
        <x:is>
          <x:t xml:space="preserve">Ch.6</x:t>
        </x:is>
      </x:c>
      <x:c r="K47" s="81" t="inlineStr">
        <x:is>
          <x:t xml:space="preserve">Editorial principle seed from Inner Chapters; preserve ambiguity and verify interpretation before publication.</x:t>
        </x:is>
      </x:c>
      <x:c r="L47" s="81" t="inlineStr">
        <x:is>
          <x:t xml:space="preserve">A - Primary source</x:t>
        </x:is>
      </x:c>
      <x:c r="M47" s="81" t="inlineStr">
        <x:is>
          <x:t xml:space="preserve">Context</x:t>
        </x:is>
      </x:c>
      <x:c r="N47" s="81" t="inlineStr">
        <x:is>
          <x:t xml:space="preserve">Selflo philosophy / AI-age</x:t>
        </x:is>
      </x:c>
      <x:c r="O47" s="81" t="inlineStr">
        <x:is>
          <x:t xml:space="preserve">Day 4 / Zhuangzi Inner Chapters</x:t>
        </x:is>
      </x:c>
      <x:c r="P47" s="81" t="inlineStr">
        <x:is>
          <x:t xml:space="preserve">Distinguish / Reframe</x:t>
        </x:is>
      </x:c>
      <x:c r="Q47" s="81" t="str"/>
      <x:c r="R47" s="81" t="str"/>
      <x:c r="S47" s="81" t="inlineStr">
        <x:is>
          <x:t xml:space="preserve">Editorial lens</x:t>
        </x:is>
      </x:c>
      <x:c r="T47" s="81" t="inlineStr">
        <x:is>
          <x:t xml:space="preserve">Yes</x:t>
        </x:is>
      </x:c>
      <x:c r="U47" s="81" t="n">
        <x:v>4</x:v>
      </x:c>
      <x:c r="V47" s="81" t="inlineStr">
        <x:is>
          <x:t xml:space="preserve">Day 4 principle seed.</x:t>
        </x:is>
      </x:c>
    </x:row>
    <x:row r="48">
      <x:c r="A48" s="81" t="inlineStr">
        <x:is>
          <x:t xml:space="preserve">principle.zhuangzi.day4.no_single_cause</x:t>
        </x:is>
      </x:c>
      <x:c r="B48" s="81" t="inlineStr">
        <x:is>
          <x:t xml:space="preserve">Collected</x:t>
        </x:is>
      </x:c>
      <x:c r="C48" s="81" t="inlineStr">
        <x:is>
          <x:t xml:space="preserve">Không phải mọi khó khăn đều có một nguyên nhân đơn nhất</x:t>
        </x:is>
      </x:c>
      <x:c r="D48" s="81" t="inlineStr">
        <x:is>
          <x:t xml:space="preserve">Uncertainty</x:t>
        </x:is>
      </x:c>
      <x:c r="E48" s="81" t="inlineStr">
        <x:is>
          <x:t xml:space="preserve">Giữ chỗ cho nhiều tầng nguyên nhân giúp tránh vội quy lỗi cho bản thân hoặc một người khác.</x:t>
        </x:is>
      </x:c>
      <x:c r="F48" s="81" t="inlineStr">
        <x:is>
          <x:t xml:space="preserve">莊子 / Zhuangzi</x:t>
        </x:is>
      </x:c>
      <x:c r="G48" s="81" t="inlineStr">
        <x:is>
          <x:t xml:space="preserve">Zhuangzi / 莊子</x:t>
        </x:is>
      </x:c>
      <x:c r="H48" s="81" t="inlineStr">
        <x:is>
          <x:t xml:space="preserve">https://zh.wikisource.org/zh-hans/%E8%8E%8A%E5%AD%90</x:t>
        </x:is>
      </x:c>
      <x:c r="I48" s="81" t="inlineStr">
        <x:is>
          <x:t xml:space="preserve">Primary text</x:t>
        </x:is>
      </x:c>
      <x:c r="J48" s="81" t="inlineStr">
        <x:is>
          <x:t xml:space="preserve">Ch.6</x:t>
        </x:is>
      </x:c>
      <x:c r="K48" s="81" t="inlineStr">
        <x:is>
          <x:t xml:space="preserve">Editorial principle seed from Inner Chapters; preserve ambiguity and verify interpretation before publication.</x:t>
        </x:is>
      </x:c>
      <x:c r="L48" s="81" t="inlineStr">
        <x:is>
          <x:t xml:space="preserve">A - Primary source</x:t>
        </x:is>
      </x:c>
      <x:c r="M48" s="81" t="inlineStr">
        <x:is>
          <x:t xml:space="preserve">Uncertainty</x:t>
        </x:is>
      </x:c>
      <x:c r="N48" s="81" t="inlineStr">
        <x:is>
          <x:t xml:space="preserve">Selflo philosophy / AI-age</x:t>
        </x:is>
      </x:c>
      <x:c r="O48" s="81" t="inlineStr">
        <x:is>
          <x:t xml:space="preserve">Day 4 / Zhuangzi Inner Chapters</x:t>
        </x:is>
      </x:c>
      <x:c r="P48" s="81" t="inlineStr">
        <x:is>
          <x:t xml:space="preserve">Distinguish / Reframe</x:t>
        </x:is>
      </x:c>
      <x:c r="Q48" s="81" t="str"/>
      <x:c r="R48" s="81" t="str"/>
      <x:c r="S48" s="81" t="inlineStr">
        <x:is>
          <x:t xml:space="preserve">Editorial lens</x:t>
        </x:is>
      </x:c>
      <x:c r="T48" s="81" t="inlineStr">
        <x:is>
          <x:t xml:space="preserve">Yes</x:t>
        </x:is>
      </x:c>
      <x:c r="U48" s="81" t="n">
        <x:v>4</x:v>
      </x:c>
      <x:c r="V48" s="81" t="inlineStr">
        <x:is>
          <x:t xml:space="preserve">Day 4 principle seed.</x:t>
        </x:is>
      </x:c>
    </x:row>
    <x:row r="49">
      <x:c r="A49" s="81" t="inlineStr">
        <x:is>
          <x:t xml:space="preserve">principle.zhuangzi.day4.model_not_person</x:t>
        </x:is>
      </x:c>
      <x:c r="B49" s="81" t="inlineStr">
        <x:is>
          <x:t xml:space="preserve">Collected</x:t>
        </x:is>
      </x:c>
      <x:c r="C49" s="81" t="inlineStr">
        <x:is>
          <x:t xml:space="preserve">Mô hình hoặc dự đoán không phải toàn bộ con người</x:t>
        </x:is>
      </x:c>
      <x:c r="D49" s="81" t="inlineStr">
        <x:is>
          <x:t xml:space="preserve">AI-age judgment</x:t>
        </x:is>
      </x:c>
      <x:c r="E49" s="81" t="inlineStr">
        <x:is>
          <x:t xml:space="preserve">Một phép đo có thể bắt được một trạng thái nhưng không vì thế mà chứa trọn một hệ sống đang thay đổi.</x:t>
        </x:is>
      </x:c>
      <x:c r="F49" s="81" t="inlineStr">
        <x:is>
          <x:t xml:space="preserve">莊子 / Zhuangzi</x:t>
        </x:is>
      </x:c>
      <x:c r="G49" s="81" t="inlineStr">
        <x:is>
          <x:t xml:space="preserve">Zhuangzi / 莊子</x:t>
        </x:is>
      </x:c>
      <x:c r="H49" s="81" t="inlineStr">
        <x:is>
          <x:t xml:space="preserve">https://zh.wikisource.org/zh-hans/%E8%8E%8A%E5%AD%90</x:t>
        </x:is>
      </x:c>
      <x:c r="I49" s="81" t="inlineStr">
        <x:is>
          <x:t xml:space="preserve">Primary text</x:t>
        </x:is>
      </x:c>
      <x:c r="J49" s="81" t="inlineStr">
        <x:is>
          <x:t xml:space="preserve">Ch.7</x:t>
        </x:is>
      </x:c>
      <x:c r="K49" s="81" t="inlineStr">
        <x:is>
          <x:t xml:space="preserve">Editorial principle seed from Inner Chapters; preserve ambiguity and verify interpretation before publication.</x:t>
        </x:is>
      </x:c>
      <x:c r="L49" s="81" t="inlineStr">
        <x:is>
          <x:t xml:space="preserve">A - Primary source</x:t>
        </x:is>
      </x:c>
      <x:c r="M49" s="81" t="inlineStr">
        <x:is>
          <x:t xml:space="preserve">AI-age judgment</x:t>
        </x:is>
      </x:c>
      <x:c r="N49" s="81" t="inlineStr">
        <x:is>
          <x:t xml:space="preserve">Selflo philosophy / AI-age</x:t>
        </x:is>
      </x:c>
      <x:c r="O49" s="81" t="inlineStr">
        <x:is>
          <x:t xml:space="preserve">Day 4 / Zhuangzi Inner Chapters</x:t>
        </x:is>
      </x:c>
      <x:c r="P49" s="81" t="inlineStr">
        <x:is>
          <x:t xml:space="preserve">Distinguish / Reframe</x:t>
        </x:is>
      </x:c>
      <x:c r="Q49" s="81" t="str"/>
      <x:c r="R49" s="81" t="str"/>
      <x:c r="S49" s="81" t="inlineStr">
        <x:is>
          <x:t xml:space="preserve">Editorial lens</x:t>
        </x:is>
      </x:c>
      <x:c r="T49" s="81" t="inlineStr">
        <x:is>
          <x:t xml:space="preserve">Yes</x:t>
        </x:is>
      </x:c>
      <x:c r="U49" s="81" t="n">
        <x:v>4</x:v>
      </x:c>
      <x:c r="V49" s="81" t="inlineStr">
        <x:is>
          <x:t xml:space="preserve">Day 4 principle seed.</x:t>
        </x:is>
      </x:c>
    </x:row>
    <x:row r="50">
      <x:c r="A50" s="81" t="inlineStr">
        <x:is>
          <x:t xml:space="preserve">principle.zhuangzi.day4.help_can_harm</x:t>
        </x:is>
      </x:c>
      <x:c r="B50" s="81" t="inlineStr">
        <x:is>
          <x:t xml:space="preserve">Collected</x:t>
        </x:is>
      </x:c>
      <x:c r="C50" s="81" t="inlineStr">
        <x:is>
          <x:t xml:space="preserve">Giúp theo chuẩn của mình có thể làm hại điều mình muốn giúp</x:t>
        </x:is>
      </x:c>
      <x:c r="D50" s="81" t="inlineStr">
        <x:is>
          <x:t xml:space="preserve">Agency</x:t>
        </x:is>
      </x:c>
      <x:c r="E50" s="81" t="inlineStr">
        <x:is>
          <x:t xml:space="preserve">Thiện ý không đủ; hỗ trợ cần tôn trọng cấu trúc, khác biệt và quyền chủ thể của người nhận.</x:t>
        </x:is>
      </x:c>
      <x:c r="F50" s="81" t="inlineStr">
        <x:is>
          <x:t xml:space="preserve">莊子 / Zhuangzi</x:t>
        </x:is>
      </x:c>
      <x:c r="G50" s="81" t="inlineStr">
        <x:is>
          <x:t xml:space="preserve">Zhuangzi / 莊子</x:t>
        </x:is>
      </x:c>
      <x:c r="H50" s="81" t="inlineStr">
        <x:is>
          <x:t xml:space="preserve">https://zh.wikisource.org/zh-hans/%E8%8E%8A%E5%AD%90</x:t>
        </x:is>
      </x:c>
      <x:c r="I50" s="81" t="inlineStr">
        <x:is>
          <x:t xml:space="preserve">Primary text</x:t>
        </x:is>
      </x:c>
      <x:c r="J50" s="81" t="inlineStr">
        <x:is>
          <x:t xml:space="preserve">Ch.7</x:t>
        </x:is>
      </x:c>
      <x:c r="K50" s="81" t="inlineStr">
        <x:is>
          <x:t xml:space="preserve">Editorial principle seed from Inner Chapters; preserve ambiguity and verify interpretation before publication.</x:t>
        </x:is>
      </x:c>
      <x:c r="L50" s="81" t="inlineStr">
        <x:is>
          <x:t xml:space="preserve">A - Primary source</x:t>
        </x:is>
      </x:c>
      <x:c r="M50" s="81" t="inlineStr">
        <x:is>
          <x:t xml:space="preserve">Agency</x:t>
        </x:is>
      </x:c>
      <x:c r="N50" s="81" t="inlineStr">
        <x:is>
          <x:t xml:space="preserve">Selflo philosophy / AI-age</x:t>
        </x:is>
      </x:c>
      <x:c r="O50" s="81" t="inlineStr">
        <x:is>
          <x:t xml:space="preserve">Day 4 / Zhuangzi Inner Chapters</x:t>
        </x:is>
      </x:c>
      <x:c r="P50" s="81" t="inlineStr">
        <x:is>
          <x:t xml:space="preserve">Distinguish / Reframe</x:t>
        </x:is>
      </x:c>
      <x:c r="Q50" s="81" t="str"/>
      <x:c r="R50" s="81" t="str"/>
      <x:c r="S50" s="81" t="inlineStr">
        <x:is>
          <x:t xml:space="preserve">Editorial lens</x:t>
        </x:is>
      </x:c>
      <x:c r="T50" s="81" t="inlineStr">
        <x:is>
          <x:t xml:space="preserve">Yes</x:t>
        </x:is>
      </x:c>
      <x:c r="U50" s="81" t="n">
        <x:v>4</x:v>
      </x:c>
      <x:c r="V50" s="81" t="inlineStr">
        <x:is>
          <x:t xml:space="preserve">Day 4 principle seed.</x:t>
        </x:is>
      </x:c>
    </x:row>
    <x:row r="51">
      <x:c r="A51" s="81" t="inlineStr">
        <x:is>
          <x:t xml:space="preserve">principle.zhuangzi.day4.stop_after_work</x:t>
        </x:is>
      </x:c>
      <x:c r="B51" s="81" t="inlineStr">
        <x:is>
          <x:t xml:space="preserve">Collected</x:t>
        </x:is>
      </x:c>
      <x:c r="C51" s="81" t="inlineStr">
        <x:is>
          <x:t xml:space="preserve">Hoàn tất cũng gồm biết cất công việc xuống</x:t>
        </x:is>
      </x:c>
      <x:c r="D51" s="81" t="inlineStr">
        <x:is>
          <x:t xml:space="preserve">Recovery</x:t>
        </x:is>
      </x:c>
      <x:c r="E51" s="81" t="inlineStr">
        <x:is>
          <x:t xml:space="preserve">Làm tốt không chỉ là hoàn thành tác vụ; còn có khả năng kết thúc, cất dao và trở về khỏi vai trò công việc.</x:t>
        </x:is>
      </x:c>
      <x:c r="F51" s="81" t="inlineStr">
        <x:is>
          <x:t xml:space="preserve">莊子 / Zhuangzi</x:t>
        </x:is>
      </x:c>
      <x:c r="G51" s="81" t="inlineStr">
        <x:is>
          <x:t xml:space="preserve">Zhuangzi / 莊子</x:t>
        </x:is>
      </x:c>
      <x:c r="H51" s="81" t="inlineStr">
        <x:is>
          <x:t xml:space="preserve">https://zh.wikisource.org/zh-hans/%E8%8E%8A%E5%AD%90</x:t>
        </x:is>
      </x:c>
      <x:c r="I51" s="81" t="inlineStr">
        <x:is>
          <x:t xml:space="preserve">Primary text</x:t>
        </x:is>
      </x:c>
      <x:c r="J51" s="81" t="inlineStr">
        <x:is>
          <x:t xml:space="preserve">Ch.3</x:t>
        </x:is>
      </x:c>
      <x:c r="K51" s="81" t="inlineStr">
        <x:is>
          <x:t xml:space="preserve">Editorial principle seed from Inner Chapters; preserve ambiguity and verify interpretation before publication.</x:t>
        </x:is>
      </x:c>
      <x:c r="L51" s="81" t="inlineStr">
        <x:is>
          <x:t xml:space="preserve">A - Primary source</x:t>
        </x:is>
      </x:c>
      <x:c r="M51" s="81" t="inlineStr">
        <x:is>
          <x:t xml:space="preserve">Recovery</x:t>
        </x:is>
      </x:c>
      <x:c r="N51" s="81" t="inlineStr">
        <x:is>
          <x:t xml:space="preserve">Selflo philosophy / AI-age</x:t>
        </x:is>
      </x:c>
      <x:c r="O51" s="81" t="inlineStr">
        <x:is>
          <x:t xml:space="preserve">Day 4 / Zhuangzi Inner Chapters</x:t>
        </x:is>
      </x:c>
      <x:c r="P51" s="81" t="inlineStr">
        <x:is>
          <x:t xml:space="preserve">Distinguish / Reframe</x:t>
        </x:is>
      </x:c>
      <x:c r="Q51" s="81" t="str"/>
      <x:c r="R51" s="81" t="str"/>
      <x:c r="S51" s="81" t="inlineStr">
        <x:is>
          <x:t xml:space="preserve">Editorial lens</x:t>
        </x:is>
      </x:c>
      <x:c r="T51" s="81" t="inlineStr">
        <x:is>
          <x:t xml:space="preserve">Yes</x:t>
        </x:is>
      </x:c>
      <x:c r="U51" s="81" t="n">
        <x:v>4</x:v>
      </x:c>
      <x:c r="V51" s="81" t="inlineStr">
        <x:is>
          <x:t xml:space="preserve">Day 4 principle seed.</x:t>
        </x:is>
      </x:c>
    </x:row>
    <x:row r="52">
      <x:c r="A52" s="81" t="inlineStr">
        <x:is>
          <x:t xml:space="preserve">principle.liezi.day5.limits_are_real</x:t>
        </x:is>
      </x:c>
      <x:c r="B52" s="81" t="inlineStr">
        <x:is>
          <x:t xml:space="preserve">Collected</x:t>
        </x:is>
      </x:c>
      <x:c r="C52" s="81" t="inlineStr">
        <x:is>
          <x:t xml:space="preserve">Không người hay công cụ nào có mọi năng lực</x:t>
        </x:is>
      </x:c>
      <x:c r="D52" s="81" t="inlineStr">
        <x:is>
          <x:t xml:space="preserve">Limits</x:t>
        </x:is>
      </x:c>
      <x:c r="E52" s="81" t="inlineStr">
        <x:is>
          <x:t xml:space="preserve">Một hệ lành mạnh phân vai theo điều phù hợp thay vì yêu cầu một chủ thể làm được mọi thứ.</x:t>
        </x:is>
      </x:c>
      <x:c r="F52" s="81" t="inlineStr">
        <x:is>
          <x:t xml:space="preserve">列子 / Liezi</x:t>
        </x:is>
      </x:c>
      <x:c r="G52" s="81" t="inlineStr">
        <x:is>
          <x:t xml:space="preserve">Liezi / 列子 (received text)</x:t>
        </x:is>
      </x:c>
      <x:c r="H52" s="81" t="inlineStr">
        <x:is>
          <x:t xml:space="preserve">https://ctext.org/wiki.pl?chapter=434786&amp;if=gb</x:t>
        </x:is>
      </x:c>
      <x:c r="I52" s="81" t="inlineStr">
        <x:is>
          <x:t xml:space="preserve">Primary text / digital corpus</x:t>
        </x:is>
      </x:c>
      <x:c r="J52" s="81" t="inlineStr">
        <x:is>
          <x:t xml:space="preserve">Ch.1</x:t>
        </x:is>
      </x:c>
      <x:c r="K52" s="81" t="inlineStr">
        <x:is>
          <x:t xml:space="preserve">Day 5 editorial principle seed; received-text authorship/date and interpretation require review.</x:t>
        </x:is>
      </x:c>
      <x:c r="L52" s="81" t="inlineStr">
        <x:is>
          <x:t xml:space="preserve">A - Primary source</x:t>
        </x:is>
      </x:c>
      <x:c r="M52" s="81" t="inlineStr">
        <x:is>
          <x:t xml:space="preserve">Limits</x:t>
        </x:is>
      </x:c>
      <x:c r="N52" s="81" t="inlineStr">
        <x:is>
          <x:t xml:space="preserve">Selflo philosophy / AI-age</x:t>
        </x:is>
      </x:c>
      <x:c r="O52" s="81" t="inlineStr">
        <x:is>
          <x:t xml:space="preserve">Day 5 / Liezi</x:t>
        </x:is>
      </x:c>
      <x:c r="P52" s="81" t="inlineStr">
        <x:is>
          <x:t xml:space="preserve">Distinguish / Reframe</x:t>
        </x:is>
      </x:c>
      <x:c r="Q52" s="81" t="str"/>
      <x:c r="R52" s="81" t="str"/>
      <x:c r="S52" s="81" t="inlineStr">
        <x:is>
          <x:t xml:space="preserve">Editorial lens</x:t>
        </x:is>
      </x:c>
      <x:c r="T52" s="81" t="inlineStr">
        <x:is>
          <x:t xml:space="preserve">Yes</x:t>
        </x:is>
      </x:c>
      <x:c r="U52" s="81" t="n">
        <x:v>5</x:v>
      </x:c>
      <x:c r="V52" s="81" t="inlineStr">
        <x:is>
          <x:t xml:space="preserve">Day 5 principle seed.</x:t>
        </x:is>
      </x:c>
    </x:row>
    <x:row r="53">
      <x:c r="A53" s="81" t="inlineStr">
        <x:is>
          <x:t xml:space="preserve">principle.liezi.day5.success_not_understanding</x:t>
        </x:is>
      </x:c>
      <x:c r="B53" s="81" t="inlineStr">
        <x:is>
          <x:t xml:space="preserve">Collected</x:t>
        </x:is>
      </x:c>
      <x:c r="C53" s="81" t="inlineStr">
        <x:is>
          <x:t xml:space="preserve">Kết quả đúng không tự chứng minh hiểu biết</x:t>
        </x:is>
      </x:c>
      <x:c r="D53" s="81" t="inlineStr">
        <x:is>
          <x:t xml:space="preserve">Judgment</x:t>
        </x:is>
      </x:c>
      <x:c r="E53" s="81" t="inlineStr">
        <x:is>
          <x:t xml:space="preserve">Một lần bắn trúng, một output đúng hay một dự đoán đúng vẫn cần hiểu nguyên nhân và điều kiện.</x:t>
        </x:is>
      </x:c>
      <x:c r="F53" s="81" t="inlineStr">
        <x:is>
          <x:t xml:space="preserve">列子 / Liezi</x:t>
        </x:is>
      </x:c>
      <x:c r="G53" s="81" t="inlineStr">
        <x:is>
          <x:t xml:space="preserve">Liezi / 列子 (received text)</x:t>
        </x:is>
      </x:c>
      <x:c r="H53" s="81" t="inlineStr">
        <x:is>
          <x:t xml:space="preserve">https://ctext.org/wiki.pl?chapter=434786&amp;if=gb</x:t>
        </x:is>
      </x:c>
      <x:c r="I53" s="81" t="inlineStr">
        <x:is>
          <x:t xml:space="preserve">Primary text / digital corpus</x:t>
        </x:is>
      </x:c>
      <x:c r="J53" s="81" t="inlineStr">
        <x:is>
          <x:t xml:space="preserve">Ch.2</x:t>
        </x:is>
      </x:c>
      <x:c r="K53" s="81" t="inlineStr">
        <x:is>
          <x:t xml:space="preserve">Day 5 editorial principle seed; received-text authorship/date and interpretation require review.</x:t>
        </x:is>
      </x:c>
      <x:c r="L53" s="81" t="inlineStr">
        <x:is>
          <x:t xml:space="preserve">A - Primary source</x:t>
        </x:is>
      </x:c>
      <x:c r="M53" s="81" t="inlineStr">
        <x:is>
          <x:t xml:space="preserve">Judgment</x:t>
        </x:is>
      </x:c>
      <x:c r="N53" s="81" t="inlineStr">
        <x:is>
          <x:t xml:space="preserve">Selflo philosophy / AI-age</x:t>
        </x:is>
      </x:c>
      <x:c r="O53" s="81" t="inlineStr">
        <x:is>
          <x:t xml:space="preserve">Day 5 / Liezi</x:t>
        </x:is>
      </x:c>
      <x:c r="P53" s="81" t="inlineStr">
        <x:is>
          <x:t xml:space="preserve">Distinguish / Reframe</x:t>
        </x:is>
      </x:c>
      <x:c r="Q53" s="81" t="str"/>
      <x:c r="R53" s="81" t="str"/>
      <x:c r="S53" s="81" t="inlineStr">
        <x:is>
          <x:t xml:space="preserve">Editorial lens</x:t>
        </x:is>
      </x:c>
      <x:c r="T53" s="81" t="inlineStr">
        <x:is>
          <x:t xml:space="preserve">Yes</x:t>
        </x:is>
      </x:c>
      <x:c r="U53" s="81" t="n">
        <x:v>5</x:v>
      </x:c>
      <x:c r="V53" s="81" t="inlineStr">
        <x:is>
          <x:t xml:space="preserve">Day 5 principle seed.</x:t>
        </x:is>
      </x:c>
    </x:row>
    <x:row r="54">
      <x:c r="A54" s="81" t="inlineStr">
        <x:is>
          <x:t xml:space="preserve">principle.liezi.day5.inner_and_context</x:t>
        </x:is>
      </x:c>
      <x:c r="B54" s="81" t="inlineStr">
        <x:is>
          <x:t xml:space="preserve">Collected</x:t>
        </x:is>
      </x:c>
      <x:c r="C54" s="81" t="inlineStr">
        <x:is>
          <x:t xml:space="preserve">Tự hiểu cần nhìn cả bên trong lẫn hoàn cảnh</x:t>
        </x:is>
      </x:c>
      <x:c r="D54" s="81" t="inlineStr">
        <x:is>
          <x:t xml:space="preserve">Self-understanding</x:t>
        </x:is>
      </x:c>
      <x:c r="E54" s="81" t="inlineStr">
        <x:is>
          <x:t xml:space="preserve">Không chỉ hỏi 'mình có gì sai'; cũng hỏi điều kiện nào đang tác động lên trải nghiệm.</x:t>
        </x:is>
      </x:c>
      <x:c r="F54" s="81" t="inlineStr">
        <x:is>
          <x:t xml:space="preserve">列子 / Liezi</x:t>
        </x:is>
      </x:c>
      <x:c r="G54" s="81" t="inlineStr">
        <x:is>
          <x:t xml:space="preserve">Liezi / 列子 (received text)</x:t>
        </x:is>
      </x:c>
      <x:c r="H54" s="81" t="inlineStr">
        <x:is>
          <x:t xml:space="preserve">https://ctext.org/wiki.pl?chapter=434786&amp;if=gb</x:t>
        </x:is>
      </x:c>
      <x:c r="I54" s="81" t="inlineStr">
        <x:is>
          <x:t xml:space="preserve">Primary text / digital corpus</x:t>
        </x:is>
      </x:c>
      <x:c r="J54" s="81" t="inlineStr">
        <x:is>
          <x:t xml:space="preserve">Ch.2</x:t>
        </x:is>
      </x:c>
      <x:c r="K54" s="81" t="inlineStr">
        <x:is>
          <x:t xml:space="preserve">Day 5 editorial principle seed; received-text authorship/date and interpretation require review.</x:t>
        </x:is>
      </x:c>
      <x:c r="L54" s="81" t="inlineStr">
        <x:is>
          <x:t xml:space="preserve">A - Primary source</x:t>
        </x:is>
      </x:c>
      <x:c r="M54" s="81" t="inlineStr">
        <x:is>
          <x:t xml:space="preserve">Self-understanding</x:t>
        </x:is>
      </x:c>
      <x:c r="N54" s="81" t="inlineStr">
        <x:is>
          <x:t xml:space="preserve">Selflo philosophy / AI-age</x:t>
        </x:is>
      </x:c>
      <x:c r="O54" s="81" t="inlineStr">
        <x:is>
          <x:t xml:space="preserve">Day 5 / Liezi</x:t>
        </x:is>
      </x:c>
      <x:c r="P54" s="81" t="inlineStr">
        <x:is>
          <x:t xml:space="preserve">Distinguish / Reframe</x:t>
        </x:is>
      </x:c>
      <x:c r="Q54" s="81" t="str"/>
      <x:c r="R54" s="81" t="str"/>
      <x:c r="S54" s="81" t="inlineStr">
        <x:is>
          <x:t xml:space="preserve">Editorial lens</x:t>
        </x:is>
      </x:c>
      <x:c r="T54" s="81" t="inlineStr">
        <x:is>
          <x:t xml:space="preserve">Yes</x:t>
        </x:is>
      </x:c>
      <x:c r="U54" s="81" t="n">
        <x:v>5</x:v>
      </x:c>
      <x:c r="V54" s="81" t="inlineStr">
        <x:is>
          <x:t xml:space="preserve">Day 5 principle seed.</x:t>
        </x:is>
      </x:c>
    </x:row>
    <x:row r="55">
      <x:c r="A55" s="81" t="inlineStr">
        <x:is>
          <x:t xml:space="preserve">principle.liezi.day5.no_universal_response</x:t>
        </x:is>
      </x:c>
      <x:c r="B55" s="81" t="inlineStr">
        <x:is>
          <x:t xml:space="preserve">Collected</x:t>
        </x:is>
      </x:c>
      <x:c r="C55" s="81" t="inlineStr">
        <x:is>
          <x:t xml:space="preserve">Không có một phản ứng đúng cho mọi bối cảnh</x:t>
        </x:is>
      </x:c>
      <x:c r="D55" s="81" t="inlineStr">
        <x:is>
          <x:t xml:space="preserve">Context</x:t>
        </x:is>
      </x:c>
      <x:c r="E55" s="81" t="inlineStr">
        <x:is>
          <x:t xml:space="preserve">Điều quan trọng là sự phù hợp với tình huống, không phải áp một template cố định.</x:t>
        </x:is>
      </x:c>
      <x:c r="F55" s="81" t="inlineStr">
        <x:is>
          <x:t xml:space="preserve">列子 / Liezi</x:t>
        </x:is>
      </x:c>
      <x:c r="G55" s="81" t="inlineStr">
        <x:is>
          <x:t xml:space="preserve">Liezi / 列子 (received text)</x:t>
        </x:is>
      </x:c>
      <x:c r="H55" s="81" t="inlineStr">
        <x:is>
          <x:t xml:space="preserve">https://ctext.org/wiki.pl?chapter=434786&amp;if=gb</x:t>
        </x:is>
      </x:c>
      <x:c r="I55" s="81" t="inlineStr">
        <x:is>
          <x:t xml:space="preserve">Primary text / digital corpus</x:t>
        </x:is>
      </x:c>
      <x:c r="J55" s="81" t="inlineStr">
        <x:is>
          <x:t xml:space="preserve">Ch.4</x:t>
        </x:is>
      </x:c>
      <x:c r="K55" s="81" t="inlineStr">
        <x:is>
          <x:t xml:space="preserve">Day 5 editorial principle seed; received-text authorship/date and interpretation require review.</x:t>
        </x:is>
      </x:c>
      <x:c r="L55" s="81" t="inlineStr">
        <x:is>
          <x:t xml:space="preserve">A - Primary source</x:t>
        </x:is>
      </x:c>
      <x:c r="M55" s="81" t="inlineStr">
        <x:is>
          <x:t xml:space="preserve">Context</x:t>
        </x:is>
      </x:c>
      <x:c r="N55" s="81" t="inlineStr">
        <x:is>
          <x:t xml:space="preserve">Selflo philosophy / AI-age</x:t>
        </x:is>
      </x:c>
      <x:c r="O55" s="81" t="inlineStr">
        <x:is>
          <x:t xml:space="preserve">Day 5 / Liezi</x:t>
        </x:is>
      </x:c>
      <x:c r="P55" s="81" t="inlineStr">
        <x:is>
          <x:t xml:space="preserve">Distinguish / Reframe</x:t>
        </x:is>
      </x:c>
      <x:c r="Q55" s="81" t="str"/>
      <x:c r="R55" s="81" t="str"/>
      <x:c r="S55" s="81" t="inlineStr">
        <x:is>
          <x:t xml:space="preserve">Editorial lens</x:t>
        </x:is>
      </x:c>
      <x:c r="T55" s="81" t="inlineStr">
        <x:is>
          <x:t xml:space="preserve">Yes</x:t>
        </x:is>
      </x:c>
      <x:c r="U55" s="81" t="n">
        <x:v>5</x:v>
      </x:c>
      <x:c r="V55" s="81" t="inlineStr">
        <x:is>
          <x:t xml:space="preserve">Day 5 principle seed.</x:t>
        </x:is>
      </x:c>
    </x:row>
    <x:row r="56">
      <x:c r="A56" s="81" t="inlineStr">
        <x:is>
          <x:t xml:space="preserve">principle.liezi.day5.authority_can_not_know</x:t>
        </x:is>
      </x:c>
      <x:c r="B56" s="81" t="inlineStr">
        <x:is>
          <x:t xml:space="preserve">Collected</x:t>
        </x:is>
      </x:c>
      <x:c r="C56" s="81" t="inlineStr">
        <x:is>
          <x:t xml:space="preserve">Uy tín không đồng nghĩa biết mọi câu trả lời</x:t>
        </x:is>
      </x:c>
      <x:c r="D56" s="81" t="inlineStr">
        <x:is>
          <x:t xml:space="preserve">Judgment</x:t>
        </x:is>
      </x:c>
      <x:c r="E56" s="81" t="inlineStr">
        <x:is>
          <x:t xml:space="preserve">Một người hoặc AI có thể rất giỏi nhưng vẫn có nơi cần nói 'không biết'.</x:t>
        </x:is>
      </x:c>
      <x:c r="F56" s="81" t="inlineStr">
        <x:is>
          <x:t xml:space="preserve">列子 / Liezi</x:t>
        </x:is>
      </x:c>
      <x:c r="G56" s="81" t="inlineStr">
        <x:is>
          <x:t xml:space="preserve">Liezi / 列子 (received text)</x:t>
        </x:is>
      </x:c>
      <x:c r="H56" s="81" t="inlineStr">
        <x:is>
          <x:t xml:space="preserve">https://ctext.org/wiki.pl?chapter=434786&amp;if=gb</x:t>
        </x:is>
      </x:c>
      <x:c r="I56" s="81" t="inlineStr">
        <x:is>
          <x:t xml:space="preserve">Primary text / digital corpus</x:t>
        </x:is>
      </x:c>
      <x:c r="J56" s="81" t="inlineStr">
        <x:is>
          <x:t xml:space="preserve">Ch.5</x:t>
        </x:is>
      </x:c>
      <x:c r="K56" s="81" t="inlineStr">
        <x:is>
          <x:t xml:space="preserve">Day 5 editorial principle seed; received-text authorship/date and interpretation require review.</x:t>
        </x:is>
      </x:c>
      <x:c r="L56" s="81" t="inlineStr">
        <x:is>
          <x:t xml:space="preserve">A - Primary source</x:t>
        </x:is>
      </x:c>
      <x:c r="M56" s="81" t="inlineStr">
        <x:is>
          <x:t xml:space="preserve">Judgment</x:t>
        </x:is>
      </x:c>
      <x:c r="N56" s="81" t="inlineStr">
        <x:is>
          <x:t xml:space="preserve">Selflo philosophy / AI-age</x:t>
        </x:is>
      </x:c>
      <x:c r="O56" s="81" t="inlineStr">
        <x:is>
          <x:t xml:space="preserve">Day 5 / Liezi</x:t>
        </x:is>
      </x:c>
      <x:c r="P56" s="81" t="inlineStr">
        <x:is>
          <x:t xml:space="preserve">Distinguish / Reframe</x:t>
        </x:is>
      </x:c>
      <x:c r="Q56" s="81" t="str"/>
      <x:c r="R56" s="81" t="str"/>
      <x:c r="S56" s="81" t="inlineStr">
        <x:is>
          <x:t xml:space="preserve">Editorial lens</x:t>
        </x:is>
      </x:c>
      <x:c r="T56" s="81" t="inlineStr">
        <x:is>
          <x:t xml:space="preserve">Yes</x:t>
        </x:is>
      </x:c>
      <x:c r="U56" s="81" t="n">
        <x:v>5</x:v>
      </x:c>
      <x:c r="V56" s="81" t="inlineStr">
        <x:is>
          <x:t xml:space="preserve">Day 5 principle seed.</x:t>
        </x:is>
      </x:c>
    </x:row>
    <x:row r="57">
      <x:c r="A57" s="81" t="inlineStr">
        <x:is>
          <x:t xml:space="preserve">principle.liezi.day5.long_horizon</x:t>
        </x:is>
      </x:c>
      <x:c r="B57" s="81" t="inlineStr">
        <x:is>
          <x:t xml:space="preserve">Collected</x:t>
        </x:is>
      </x:c>
      <x:c r="C57" s="81" t="inlineStr">
        <x:is>
          <x:t xml:space="preserve">Một việc có thể dài hơn một đời người</x:t>
        </x:is>
      </x:c>
      <x:c r="D57" s="81" t="inlineStr">
        <x:is>
          <x:t xml:space="preserve">Meaning</x:t>
        </x:is>
      </x:c>
      <x:c r="E57" s="81" t="inlineStr">
        <x:is>
          <x:t xml:space="preserve">Không phải mọi đóng góp có giá trị đều phải cho kết quả hoàn chỉnh trong thời gian của một cá nhân.</x:t>
        </x:is>
      </x:c>
      <x:c r="F57" s="81" t="inlineStr">
        <x:is>
          <x:t xml:space="preserve">列子 / Liezi</x:t>
        </x:is>
      </x:c>
      <x:c r="G57" s="81" t="inlineStr">
        <x:is>
          <x:t xml:space="preserve">Liezi / 列子 (received text)</x:t>
        </x:is>
      </x:c>
      <x:c r="H57" s="81" t="inlineStr">
        <x:is>
          <x:t xml:space="preserve">https://ctext.org/wiki.pl?chapter=434786&amp;if=gb</x:t>
        </x:is>
      </x:c>
      <x:c r="I57" s="81" t="inlineStr">
        <x:is>
          <x:t xml:space="preserve">Primary text / digital corpus</x:t>
        </x:is>
      </x:c>
      <x:c r="J57" s="81" t="inlineStr">
        <x:is>
          <x:t xml:space="preserve">Ch.5</x:t>
        </x:is>
      </x:c>
      <x:c r="K57" s="81" t="inlineStr">
        <x:is>
          <x:t xml:space="preserve">Day 5 editorial principle seed; received-text authorship/date and interpretation require review.</x:t>
        </x:is>
      </x:c>
      <x:c r="L57" s="81" t="inlineStr">
        <x:is>
          <x:t xml:space="preserve">A - Primary source</x:t>
        </x:is>
      </x:c>
      <x:c r="M57" s="81" t="inlineStr">
        <x:is>
          <x:t xml:space="preserve">Meaning</x:t>
        </x:is>
      </x:c>
      <x:c r="N57" s="81" t="inlineStr">
        <x:is>
          <x:t xml:space="preserve">Selflo philosophy / AI-age</x:t>
        </x:is>
      </x:c>
      <x:c r="O57" s="81" t="inlineStr">
        <x:is>
          <x:t xml:space="preserve">Day 5 / Liezi</x:t>
        </x:is>
      </x:c>
      <x:c r="P57" s="81" t="inlineStr">
        <x:is>
          <x:t xml:space="preserve">Distinguish / Reframe</x:t>
        </x:is>
      </x:c>
      <x:c r="Q57" s="81" t="str"/>
      <x:c r="R57" s="81" t="str"/>
      <x:c r="S57" s="81" t="inlineStr">
        <x:is>
          <x:t xml:space="preserve">Editorial lens</x:t>
        </x:is>
      </x:c>
      <x:c r="T57" s="81" t="inlineStr">
        <x:is>
          <x:t xml:space="preserve">Yes</x:t>
        </x:is>
      </x:c>
      <x:c r="U57" s="81" t="n">
        <x:v>5</x:v>
      </x:c>
      <x:c r="V57" s="81" t="inlineStr">
        <x:is>
          <x:t xml:space="preserve">Day 5 principle seed.</x:t>
        </x:is>
      </x:c>
    </x:row>
    <x:row r="58">
      <x:c r="A58" s="81" t="inlineStr">
        <x:is>
          <x:t xml:space="preserve">principle.liezi.day5.effort_not_only_variable</x:t>
        </x:is>
      </x:c>
      <x:c r="B58" s="81" t="inlineStr">
        <x:is>
          <x:t xml:space="preserve">Collected</x:t>
        </x:is>
      </x:c>
      <x:c r="C58" s="81" t="inlineStr">
        <x:is>
          <x:t xml:space="preserve">Nỗ lực không phải biến duy nhất tạo kết quả</x:t>
        </x:is>
      </x:c>
      <x:c r="D58" s="81" t="inlineStr">
        <x:is>
          <x:t xml:space="preserve">Context</x:t>
        </x:is>
      </x:c>
      <x:c r="E58" s="81" t="inlineStr">
        <x:is>
          <x:t xml:space="preserve">Kết quả còn chịu điều kiện, cấu trúc, thời điểm và những phần ngoài quyền kiểm soát; tránh quy toàn bộ lỗi cho cá nhân.</x:t>
        </x:is>
      </x:c>
      <x:c r="F58" s="81" t="inlineStr">
        <x:is>
          <x:t xml:space="preserve">列子 / Liezi</x:t>
        </x:is>
      </x:c>
      <x:c r="G58" s="81" t="inlineStr">
        <x:is>
          <x:t xml:space="preserve">Liezi / 列子 (received text)</x:t>
        </x:is>
      </x:c>
      <x:c r="H58" s="81" t="inlineStr">
        <x:is>
          <x:t xml:space="preserve">https://ctext.org/wiki.pl?chapter=434786&amp;if=gb</x:t>
        </x:is>
      </x:c>
      <x:c r="I58" s="81" t="inlineStr">
        <x:is>
          <x:t xml:space="preserve">Primary text / digital corpus</x:t>
        </x:is>
      </x:c>
      <x:c r="J58" s="81" t="inlineStr">
        <x:is>
          <x:t xml:space="preserve">Ch.6</x:t>
        </x:is>
      </x:c>
      <x:c r="K58" s="81" t="inlineStr">
        <x:is>
          <x:t xml:space="preserve">Day 5 editorial principle seed; received-text authorship/date and interpretation require review.</x:t>
        </x:is>
      </x:c>
      <x:c r="L58" s="81" t="inlineStr">
        <x:is>
          <x:t xml:space="preserve">A - Primary source</x:t>
        </x:is>
      </x:c>
      <x:c r="M58" s="81" t="inlineStr">
        <x:is>
          <x:t xml:space="preserve">Context</x:t>
        </x:is>
      </x:c>
      <x:c r="N58" s="81" t="inlineStr">
        <x:is>
          <x:t xml:space="preserve">Selflo philosophy / AI-age</x:t>
        </x:is>
      </x:c>
      <x:c r="O58" s="81" t="inlineStr">
        <x:is>
          <x:t xml:space="preserve">Day 5 / Liezi</x:t>
        </x:is>
      </x:c>
      <x:c r="P58" s="81" t="inlineStr">
        <x:is>
          <x:t xml:space="preserve">Distinguish / Reframe</x:t>
        </x:is>
      </x:c>
      <x:c r="Q58" s="81" t="str"/>
      <x:c r="R58" s="81" t="str"/>
      <x:c r="S58" s="81" t="inlineStr">
        <x:is>
          <x:t xml:space="preserve">Editorial lens</x:t>
        </x:is>
      </x:c>
      <x:c r="T58" s="81" t="inlineStr">
        <x:is>
          <x:t xml:space="preserve">Yes</x:t>
        </x:is>
      </x:c>
      <x:c r="U58" s="81" t="n">
        <x:v>5</x:v>
      </x:c>
      <x:c r="V58" s="81" t="inlineStr">
        <x:is>
          <x:t xml:space="preserve">Day 5 principle seed.</x:t>
        </x:is>
      </x:c>
    </x:row>
    <x:row r="59">
      <x:c r="A59" s="81" t="inlineStr">
        <x:is>
          <x:t xml:space="preserve">principle.liezi.day5.name_not_substance</x:t>
        </x:is>
      </x:c>
      <x:c r="B59" s="81" t="inlineStr">
        <x:is>
          <x:t xml:space="preserve">Collected</x:t>
        </x:is>
      </x:c>
      <x:c r="C59" s="81" t="inlineStr">
        <x:is>
          <x:t xml:space="preserve">Danh và thực có thể tách nhau</x:t>
        </x:is>
      </x:c>
      <x:c r="D59" s="81" t="inlineStr">
        <x:is>
          <x:t xml:space="preserve">Identity</x:t>
        </x:is>
      </x:c>
      <x:c r="E59" s="81" t="inlineStr">
        <x:is>
          <x:t xml:space="preserve">Nhãn, vị trí và danh tiếng không phải toàn bộ giá trị hay thực chất.</x:t>
        </x:is>
      </x:c>
      <x:c r="F59" s="81" t="inlineStr">
        <x:is>
          <x:t xml:space="preserve">列子 / Liezi</x:t>
        </x:is>
      </x:c>
      <x:c r="G59" s="81" t="inlineStr">
        <x:is>
          <x:t xml:space="preserve">Liezi / 列子 (received text)</x:t>
        </x:is>
      </x:c>
      <x:c r="H59" s="81" t="inlineStr">
        <x:is>
          <x:t xml:space="preserve">https://ctext.org/wiki.pl?chapter=434786&amp;if=gb</x:t>
        </x:is>
      </x:c>
      <x:c r="I59" s="81" t="inlineStr">
        <x:is>
          <x:t xml:space="preserve">Primary text / digital corpus</x:t>
        </x:is>
      </x:c>
      <x:c r="J59" s="81" t="inlineStr">
        <x:is>
          <x:t xml:space="preserve">Ch.7</x:t>
        </x:is>
      </x:c>
      <x:c r="K59" s="81" t="inlineStr">
        <x:is>
          <x:t xml:space="preserve">Day 5 editorial principle seed; received-text authorship/date and interpretation require review.</x:t>
        </x:is>
      </x:c>
      <x:c r="L59" s="81" t="inlineStr">
        <x:is>
          <x:t xml:space="preserve">A - Primary source</x:t>
        </x:is>
      </x:c>
      <x:c r="M59" s="81" t="inlineStr">
        <x:is>
          <x:t xml:space="preserve">Identity</x:t>
        </x:is>
      </x:c>
      <x:c r="N59" s="81" t="inlineStr">
        <x:is>
          <x:t xml:space="preserve">Selflo philosophy / AI-age</x:t>
        </x:is>
      </x:c>
      <x:c r="O59" s="81" t="inlineStr">
        <x:is>
          <x:t xml:space="preserve">Day 5 / Liezi</x:t>
        </x:is>
      </x:c>
      <x:c r="P59" s="81" t="inlineStr">
        <x:is>
          <x:t xml:space="preserve">Distinguish / Reframe</x:t>
        </x:is>
      </x:c>
      <x:c r="Q59" s="81" t="str"/>
      <x:c r="R59" s="81" t="str"/>
      <x:c r="S59" s="81" t="inlineStr">
        <x:is>
          <x:t xml:space="preserve">Editorial lens</x:t>
        </x:is>
      </x:c>
      <x:c r="T59" s="81" t="inlineStr">
        <x:is>
          <x:t xml:space="preserve">Yes</x:t>
        </x:is>
      </x:c>
      <x:c r="U59" s="81" t="n">
        <x:v>5</x:v>
      </x:c>
      <x:c r="V59" s="81" t="inlineStr">
        <x:is>
          <x:t xml:space="preserve">Day 5 principle seed.</x:t>
        </x:is>
      </x:c>
    </x:row>
    <x:row r="60">
      <x:c r="A60" s="81" t="inlineStr">
        <x:is>
          <x:t xml:space="preserve">principle.liezi.day5.goals_can_steal_rest</x:t>
        </x:is>
      </x:c>
      <x:c r="B60" s="81" t="inlineStr">
        <x:is>
          <x:t xml:space="preserve">Collected</x:t>
        </x:is>
      </x:c>
      <x:c r="C60" s="81" t="inlineStr">
        <x:is>
          <x:t xml:space="preserve">Thứ mình theo đuổi có thể lấy mất khả năng nghỉ</x:t>
        </x:is>
      </x:c>
      <x:c r="D60" s="81" t="inlineStr">
        <x:is>
          <x:t xml:space="preserve">Rest</x:t>
        </x:is>
      </x:c>
      <x:c r="E60" s="81" t="inlineStr">
        <x:is>
          <x:t xml:space="preserve">Tuổi thọ, danh, vị, của là ngôn ngữ cổ; nguyên lý rộng hơn là mục tiêu có thể chiếm toàn bộ khoảng nghỉ nếu trở thành tuyệt đối.</x:t>
        </x:is>
      </x:c>
      <x:c r="F60" s="81" t="inlineStr">
        <x:is>
          <x:t xml:space="preserve">列子 / Liezi</x:t>
        </x:is>
      </x:c>
      <x:c r="G60" s="81" t="inlineStr">
        <x:is>
          <x:t xml:space="preserve">Liezi / 列子 (received text)</x:t>
        </x:is>
      </x:c>
      <x:c r="H60" s="81" t="inlineStr">
        <x:is>
          <x:t xml:space="preserve">https://ctext.org/wiki.pl?chapter=434786&amp;if=gb</x:t>
        </x:is>
      </x:c>
      <x:c r="I60" s="81" t="inlineStr">
        <x:is>
          <x:t xml:space="preserve">Primary text / digital corpus</x:t>
        </x:is>
      </x:c>
      <x:c r="J60" s="81" t="inlineStr">
        <x:is>
          <x:t xml:space="preserve">Ch.7</x:t>
        </x:is>
      </x:c>
      <x:c r="K60" s="81" t="inlineStr">
        <x:is>
          <x:t xml:space="preserve">Day 5 editorial principle seed; received-text authorship/date and interpretation require review.</x:t>
        </x:is>
      </x:c>
      <x:c r="L60" s="81" t="inlineStr">
        <x:is>
          <x:t xml:space="preserve">A - Primary source</x:t>
        </x:is>
      </x:c>
      <x:c r="M60" s="81" t="inlineStr">
        <x:is>
          <x:t xml:space="preserve">Rest</x:t>
        </x:is>
      </x:c>
      <x:c r="N60" s="81" t="inlineStr">
        <x:is>
          <x:t xml:space="preserve">Selflo philosophy / AI-age</x:t>
        </x:is>
      </x:c>
      <x:c r="O60" s="81" t="inlineStr">
        <x:is>
          <x:t xml:space="preserve">Day 5 / Liezi</x:t>
        </x:is>
      </x:c>
      <x:c r="P60" s="81" t="inlineStr">
        <x:is>
          <x:t xml:space="preserve">Distinguish / Reframe</x:t>
        </x:is>
      </x:c>
      <x:c r="Q60" s="81" t="str"/>
      <x:c r="R60" s="81" t="str"/>
      <x:c r="S60" s="81" t="inlineStr">
        <x:is>
          <x:t xml:space="preserve">Editorial lens</x:t>
        </x:is>
      </x:c>
      <x:c r="T60" s="81" t="inlineStr">
        <x:is>
          <x:t xml:space="preserve">Yes</x:t>
        </x:is>
      </x:c>
      <x:c r="U60" s="81" t="n">
        <x:v>5</x:v>
      </x:c>
      <x:c r="V60" s="81" t="inlineStr">
        <x:is>
          <x:t xml:space="preserve">Day 5 principle seed.</x:t>
        </x:is>
      </x:c>
    </x:row>
    <x:row r="61">
      <x:c r="A61" s="81" t="inlineStr">
        <x:is>
          <x:t xml:space="preserve">principle.liezi.day5.symptom_not_source</x:t>
        </x:is>
      </x:c>
      <x:c r="B61" s="81" t="inlineStr">
        <x:is>
          <x:t xml:space="preserve">Collected</x:t>
        </x:is>
      </x:c>
      <x:c r="C61" s="81" t="inlineStr">
        <x:is>
          <x:t xml:space="preserve">Đừng chỉ sửa cái bóng khi nguồn nằm ở cái tạo bóng</x:t>
        </x:is>
      </x:c>
      <x:c r="D61" s="81" t="inlineStr">
        <x:is>
          <x:t xml:space="preserve">Systems</x:t>
        </x:is>
      </x:c>
      <x:c r="E61" s="81" t="inlineStr">
        <x:is>
          <x:t xml:space="preserve">Một triệu chứng có thể phản chiếu cấu trúc hoặc điều kiện phía sau; sửa bề mặt chưa chắc sửa nguồn.</x:t>
        </x:is>
      </x:c>
      <x:c r="F61" s="81" t="inlineStr">
        <x:is>
          <x:t xml:space="preserve">列子 / Liezi</x:t>
        </x:is>
      </x:c>
      <x:c r="G61" s="81" t="inlineStr">
        <x:is>
          <x:t xml:space="preserve">Liezi / 列子 (received text)</x:t>
        </x:is>
      </x:c>
      <x:c r="H61" s="81" t="inlineStr">
        <x:is>
          <x:t xml:space="preserve">https://ctext.org/wiki.pl?chapter=434786&amp;if=gb</x:t>
        </x:is>
      </x:c>
      <x:c r="I61" s="81" t="inlineStr">
        <x:is>
          <x:t xml:space="preserve">Primary text / digital corpus</x:t>
        </x:is>
      </x:c>
      <x:c r="J61" s="81" t="inlineStr">
        <x:is>
          <x:t xml:space="preserve">Ch.8</x:t>
        </x:is>
      </x:c>
      <x:c r="K61" s="81" t="inlineStr">
        <x:is>
          <x:t xml:space="preserve">Day 5 editorial principle seed; received-text authorship/date and interpretation require review.</x:t>
        </x:is>
      </x:c>
      <x:c r="L61" s="81" t="inlineStr">
        <x:is>
          <x:t xml:space="preserve">A - Primary source</x:t>
        </x:is>
      </x:c>
      <x:c r="M61" s="81" t="inlineStr">
        <x:is>
          <x:t xml:space="preserve">Systems</x:t>
        </x:is>
      </x:c>
      <x:c r="N61" s="81" t="inlineStr">
        <x:is>
          <x:t xml:space="preserve">Selflo philosophy / AI-age</x:t>
        </x:is>
      </x:c>
      <x:c r="O61" s="81" t="inlineStr">
        <x:is>
          <x:t xml:space="preserve">Day 5 / Liezi</x:t>
        </x:is>
      </x:c>
      <x:c r="P61" s="81" t="inlineStr">
        <x:is>
          <x:t xml:space="preserve">Distinguish / Reframe</x:t>
        </x:is>
      </x:c>
      <x:c r="Q61" s="81" t="str"/>
      <x:c r="R61" s="81" t="str"/>
      <x:c r="S61" s="81" t="inlineStr">
        <x:is>
          <x:t xml:space="preserve">Editorial lens</x:t>
        </x:is>
      </x:c>
      <x:c r="T61" s="81" t="inlineStr">
        <x:is>
          <x:t xml:space="preserve">Yes</x:t>
        </x:is>
      </x:c>
      <x:c r="U61" s="81" t="n">
        <x:v>5</x:v>
      </x:c>
      <x:c r="V61" s="81" t="inlineStr">
        <x:is>
          <x:t xml:space="preserve">Day 5 principle seed.</x:t>
        </x:is>
      </x:c>
    </x:row>
    <x:row r="62">
      <x:c r="A62" s="81" t="inlineStr">
        <x:is>
          <x:t xml:space="preserve">principle.liezi.day5.choice_abundance</x:t>
        </x:is>
      </x:c>
      <x:c r="B62" s="81" t="inlineStr">
        <x:is>
          <x:t xml:space="preserve">Collected</x:t>
        </x:is>
      </x:c>
      <x:c r="C62" s="81" t="inlineStr">
        <x:is>
          <x:t xml:space="preserve">Nhiều lựa chọn hơn có thể làm giảm sáng rõ</x:t>
        </x:is>
      </x:c>
      <x:c r="D62" s="81" t="inlineStr">
        <x:is>
          <x:t xml:space="preserve">Choice</x:t>
        </x:is>
      </x:c>
      <x:c r="E62" s="81" t="inlineStr">
        <x:is>
          <x:t xml:space="preserve">Khi đường rẽ tiếp tục sinh đường rẽ, thêm option/phương pháp có thể làm người dùng mất điều họ đang tìm.</x:t>
        </x:is>
      </x:c>
      <x:c r="F62" s="81" t="inlineStr">
        <x:is>
          <x:t xml:space="preserve">列子 / Liezi</x:t>
        </x:is>
      </x:c>
      <x:c r="G62" s="81" t="inlineStr">
        <x:is>
          <x:t xml:space="preserve">Liezi / 列子 (received text)</x:t>
        </x:is>
      </x:c>
      <x:c r="H62" s="81" t="inlineStr">
        <x:is>
          <x:t xml:space="preserve">https://ctext.org/wiki.pl?chapter=434786&amp;if=gb</x:t>
        </x:is>
      </x:c>
      <x:c r="I62" s="81" t="inlineStr">
        <x:is>
          <x:t xml:space="preserve">Primary text / digital corpus</x:t>
        </x:is>
      </x:c>
      <x:c r="J62" s="81" t="inlineStr">
        <x:is>
          <x:t xml:space="preserve">Ch.8</x:t>
        </x:is>
      </x:c>
      <x:c r="K62" s="81" t="inlineStr">
        <x:is>
          <x:t xml:space="preserve">Day 5 editorial principle seed; received-text authorship/date and interpretation require review.</x:t>
        </x:is>
      </x:c>
      <x:c r="L62" s="81" t="inlineStr">
        <x:is>
          <x:t xml:space="preserve">A - Primary source</x:t>
        </x:is>
      </x:c>
      <x:c r="M62" s="81" t="inlineStr">
        <x:is>
          <x:t xml:space="preserve">Choice</x:t>
        </x:is>
      </x:c>
      <x:c r="N62" s="81" t="inlineStr">
        <x:is>
          <x:t xml:space="preserve">Selflo philosophy / AI-age</x:t>
        </x:is>
      </x:c>
      <x:c r="O62" s="81" t="inlineStr">
        <x:is>
          <x:t xml:space="preserve">Day 5 / Liezi</x:t>
        </x:is>
      </x:c>
      <x:c r="P62" s="81" t="inlineStr">
        <x:is>
          <x:t xml:space="preserve">Distinguish / Reframe</x:t>
        </x:is>
      </x:c>
      <x:c r="Q62" s="81" t="str"/>
      <x:c r="R62" s="81" t="str"/>
      <x:c r="S62" s="81" t="inlineStr">
        <x:is>
          <x:t xml:space="preserve">Editorial lens</x:t>
        </x:is>
      </x:c>
      <x:c r="T62" s="81" t="inlineStr">
        <x:is>
          <x:t xml:space="preserve">Yes</x:t>
        </x:is>
      </x:c>
      <x:c r="U62" s="81" t="n">
        <x:v>5</x:v>
      </x:c>
      <x:c r="V62" s="81" t="inlineStr">
        <x:is>
          <x:t xml:space="preserve">Day 5 principle seed.</x:t>
        </x:is>
      </x:c>
    </x:row>
    <x:row r="63">
      <x:c r="A63" s="81" t="inlineStr">
        <x:is>
          <x:t xml:space="preserve">principle.liezi.day5.listening_is_skill</x:t>
        </x:is>
      </x:c>
      <x:c r="B63" s="81" t="inlineStr">
        <x:is>
          <x:t xml:space="preserve">Collected</x:t>
        </x:is>
      </x:c>
      <x:c r="C63" s="81" t="inlineStr">
        <x:is>
          <x:t xml:space="preserve">Được hiểu cần một kiểu lắng nghe riêng</x:t>
        </x:is>
      </x:c>
      <x:c r="D63" s="81" t="inlineStr">
        <x:is>
          <x:t xml:space="preserve">Listening</x:t>
        </x:is>
      </x:c>
      <x:c r="E63" s="81" t="inlineStr">
        <x:is>
          <x:t xml:space="preserve">Lắng nghe không chỉ thu chữ; nó cố nhận ra điều người kia đang thực sự biểu đạt mà không nói thay họ.</x:t>
        </x:is>
      </x:c>
      <x:c r="F63" s="81" t="inlineStr">
        <x:is>
          <x:t xml:space="preserve">列子 / Liezi</x:t>
        </x:is>
      </x:c>
      <x:c r="G63" s="81" t="inlineStr">
        <x:is>
          <x:t xml:space="preserve">Liezi / 列子 (received text)</x:t>
        </x:is>
      </x:c>
      <x:c r="H63" s="81" t="inlineStr">
        <x:is>
          <x:t xml:space="preserve">https://ctext.org/wiki.pl?chapter=434786&amp;if=gb</x:t>
        </x:is>
      </x:c>
      <x:c r="I63" s="81" t="inlineStr">
        <x:is>
          <x:t xml:space="preserve">Primary text / digital corpus</x:t>
        </x:is>
      </x:c>
      <x:c r="J63" s="81" t="inlineStr">
        <x:is>
          <x:t xml:space="preserve">Ch.5</x:t>
        </x:is>
      </x:c>
      <x:c r="K63" s="81" t="inlineStr">
        <x:is>
          <x:t xml:space="preserve">Day 5 editorial principle seed; received-text authorship/date and interpretation require review.</x:t>
        </x:is>
      </x:c>
      <x:c r="L63" s="81" t="inlineStr">
        <x:is>
          <x:t xml:space="preserve">A - Primary source</x:t>
        </x:is>
      </x:c>
      <x:c r="M63" s="81" t="inlineStr">
        <x:is>
          <x:t xml:space="preserve">Listening</x:t>
        </x:is>
      </x:c>
      <x:c r="N63" s="81" t="inlineStr">
        <x:is>
          <x:t xml:space="preserve">Selflo philosophy / AI-age</x:t>
        </x:is>
      </x:c>
      <x:c r="O63" s="81" t="inlineStr">
        <x:is>
          <x:t xml:space="preserve">Day 5 / Liezi</x:t>
        </x:is>
      </x:c>
      <x:c r="P63" s="81" t="inlineStr">
        <x:is>
          <x:t xml:space="preserve">Distinguish / Reframe</x:t>
        </x:is>
      </x:c>
      <x:c r="Q63" s="81" t="str"/>
      <x:c r="R63" s="81" t="str"/>
      <x:c r="S63" s="81" t="inlineStr">
        <x:is>
          <x:t xml:space="preserve">Editorial lens</x:t>
        </x:is>
      </x:c>
      <x:c r="T63" s="81" t="inlineStr">
        <x:is>
          <x:t xml:space="preserve">Yes</x:t>
        </x:is>
      </x:c>
      <x:c r="U63" s="81" t="n">
        <x:v>5</x:v>
      </x:c>
      <x:c r="V63" s="81" t="inlineStr">
        <x:is>
          <x:t xml:space="preserve">Day 5 principle seed.</x:t>
        </x:is>
      </x:c>
    </x:row>
    <x:row r="64">
      <x:c r="A64" s="81" t="inlineStr">
        <x:is>
          <x:t xml:space="preserve">principle.huainanzi.day6.energy_is_finite</x:t>
        </x:is>
      </x:c>
      <x:c r="B64" s="81" t="inlineStr">
        <x:is>
          <x:t xml:space="preserve">Collected</x:t>
        </x:is>
      </x:c>
      <x:c r="C64" s="81" t="inlineStr">
        <x:is>
          <x:t xml:space="preserve">Năng lượng cần nhịp nghỉ</x:t>
        </x:is>
      </x:c>
      <x:c r="D64" s="81" t="inlineStr">
        <x:is>
          <x:t xml:space="preserve">Recovery</x:t>
        </x:is>
      </x:c>
      <x:c r="E64" s="81" t="inlineStr">
        <x:is>
          <x:t xml:space="preserve">Thân và tinh thần bị dùng liên tục có thể cạn; không biến cạn năng lượng thành lỗi ý chí.</x:t>
        </x:is>
      </x:c>
      <x:c r="F64" s="81" t="inlineStr">
        <x:is>
          <x:t xml:space="preserve">淮南子 / Huainanzi</x:t>
        </x:is>
      </x:c>
      <x:c r="G64" s="81" t="inlineStr">
        <x:is>
          <x:t xml:space="preserve">Huainanzi compilers / Liu An court</x:t>
        </x:is>
      </x:c>
      <x:c r="H64" s="81" t="inlineStr">
        <x:is>
          <x:t xml:space="preserve">https://ctext.org/huainanzi/ens</x:t>
        </x:is>
      </x:c>
      <x:c r="I64" s="81" t="inlineStr">
        <x:is>
          <x:t xml:space="preserve">Primary text / scholarly digital corpus</x:t>
        </x:is>
      </x:c>
      <x:c r="J64" s="81" t="inlineStr">
        <x:is>
          <x:t xml:space="preserve">Ch.7</x:t>
        </x:is>
      </x:c>
      <x:c r="K64" s="81" t="inlineStr">
        <x:is>
          <x:t xml:space="preserve">Day 6 principle seed; review historical context and interpretation before publication.</x:t>
        </x:is>
      </x:c>
      <x:c r="L64" s="81" t="inlineStr">
        <x:is>
          <x:t xml:space="preserve">A - Primary source</x:t>
        </x:is>
      </x:c>
      <x:c r="M64" s="81" t="inlineStr">
        <x:is>
          <x:t xml:space="preserve">Recovery</x:t>
        </x:is>
      </x:c>
      <x:c r="N64" s="81" t="inlineStr">
        <x:is>
          <x:t xml:space="preserve">Selflo philosophy / AI-age</x:t>
        </x:is>
      </x:c>
      <x:c r="O64" s="81" t="inlineStr">
        <x:is>
          <x:t xml:space="preserve">Day 6 / Huainanzi</x:t>
        </x:is>
      </x:c>
      <x:c r="P64" s="81" t="inlineStr">
        <x:is>
          <x:t xml:space="preserve">Distinguish / Reframe</x:t>
        </x:is>
      </x:c>
      <x:c r="Q64" s="81" t="str"/>
      <x:c r="R64" s="81" t="str"/>
      <x:c r="S64" s="81" t="inlineStr">
        <x:is>
          <x:t xml:space="preserve">Editorial lens</x:t>
        </x:is>
      </x:c>
      <x:c r="T64" s="81" t="inlineStr">
        <x:is>
          <x:t xml:space="preserve">Yes</x:t>
        </x:is>
      </x:c>
      <x:c r="U64" s="81" t="n">
        <x:v>6</x:v>
      </x:c>
      <x:c r="V64" s="81" t="inlineStr">
        <x:is>
          <x:t xml:space="preserve">Day 6 principle seed.</x:t>
        </x:is>
      </x:c>
    </x:row>
    <x:row r="65">
      <x:c r="A65" s="81" t="inlineStr">
        <x:is>
          <x:t xml:space="preserve">principle.huainanzi.day6.collective_intelligence</x:t>
        </x:is>
      </x:c>
      <x:c r="B65" s="81" t="inlineStr">
        <x:is>
          <x:t xml:space="preserve">Collected</x:t>
        </x:is>
      </x:c>
      <x:c r="C65" s="81" t="inlineStr">
        <x:is>
          <x:t xml:space="preserve">Không một cái đầu cần chứa toàn bộ trí tuệ</x:t>
        </x:is>
      </x:c>
      <x:c r="D65" s="81" t="inlineStr">
        <x:is>
          <x:t xml:space="preserve">Leadership</x:t>
        </x:is>
      </x:c>
      <x:c r="E65" s="81" t="inlineStr">
        <x:is>
          <x:t xml:space="preserve">Hệ tốt tận dụng nhiều góc nhìn thay vì yêu cầu một người biết hết.</x:t>
        </x:is>
      </x:c>
      <x:c r="F65" s="81" t="inlineStr">
        <x:is>
          <x:t xml:space="preserve">淮南子 / Huainanzi</x:t>
        </x:is>
      </x:c>
      <x:c r="G65" s="81" t="inlineStr">
        <x:is>
          <x:t xml:space="preserve">Huainanzi compilers / Liu An court</x:t>
        </x:is>
      </x:c>
      <x:c r="H65" s="81" t="inlineStr">
        <x:is>
          <x:t xml:space="preserve">https://ctext.org/huainanzi/ens</x:t>
        </x:is>
      </x:c>
      <x:c r="I65" s="81" t="inlineStr">
        <x:is>
          <x:t xml:space="preserve">Primary text / scholarly digital corpus</x:t>
        </x:is>
      </x:c>
      <x:c r="J65" s="81" t="inlineStr">
        <x:is>
          <x:t xml:space="preserve">Ch.9</x:t>
        </x:is>
      </x:c>
      <x:c r="K65" s="81" t="inlineStr">
        <x:is>
          <x:t xml:space="preserve">Day 6 principle seed; review historical context and interpretation before publication.</x:t>
        </x:is>
      </x:c>
      <x:c r="L65" s="81" t="inlineStr">
        <x:is>
          <x:t xml:space="preserve">A - Primary source</x:t>
        </x:is>
      </x:c>
      <x:c r="M65" s="81" t="inlineStr">
        <x:is>
          <x:t xml:space="preserve">Leadership</x:t>
        </x:is>
      </x:c>
      <x:c r="N65" s="81" t="inlineStr">
        <x:is>
          <x:t xml:space="preserve">Selflo philosophy / AI-age</x:t>
        </x:is>
      </x:c>
      <x:c r="O65" s="81" t="inlineStr">
        <x:is>
          <x:t xml:space="preserve">Day 6 / Huainanzi</x:t>
        </x:is>
      </x:c>
      <x:c r="P65" s="81" t="inlineStr">
        <x:is>
          <x:t xml:space="preserve">Distinguish / Reframe</x:t>
        </x:is>
      </x:c>
      <x:c r="Q65" s="81" t="str"/>
      <x:c r="R65" s="81" t="str"/>
      <x:c r="S65" s="81" t="inlineStr">
        <x:is>
          <x:t xml:space="preserve">Editorial lens</x:t>
        </x:is>
      </x:c>
      <x:c r="T65" s="81" t="inlineStr">
        <x:is>
          <x:t xml:space="preserve">Yes</x:t>
        </x:is>
      </x:c>
      <x:c r="U65" s="81" t="n">
        <x:v>6</x:v>
      </x:c>
      <x:c r="V65" s="81" t="inlineStr">
        <x:is>
          <x:t xml:space="preserve">Day 6 principle seed.</x:t>
        </x:is>
      </x:c>
    </x:row>
    <x:row r="66">
      <x:c r="A66" s="81" t="inlineStr">
        <x:is>
          <x:t xml:space="preserve">principle.huainanzi.day6.principle_over_template</x:t>
        </x:is>
      </x:c>
      <x:c r="B66" s="81" t="inlineStr">
        <x:is>
          <x:t xml:space="preserve">Collected</x:t>
        </x:is>
      </x:c>
      <x:c r="C66" s="81" t="inlineStr">
        <x:is>
          <x:t xml:space="preserve">Hiểu nguyên lý trước khi giữ công thức</x:t>
        </x:is>
      </x:c>
      <x:c r="D66" s="81" t="inlineStr">
        <x:is>
          <x:t xml:space="preserve">Adaptation</x:t>
        </x:is>
      </x:c>
      <x:c r="E66" s="81" t="inlineStr">
        <x:is>
          <x:t xml:space="preserve">Công thức phù hợp một thời có thể lệch khi bối cảnh đổi; giữ nguyên lý và cập nhật cách làm.</x:t>
        </x:is>
      </x:c>
      <x:c r="F66" s="81" t="inlineStr">
        <x:is>
          <x:t xml:space="preserve">淮南子 / Huainanzi</x:t>
        </x:is>
      </x:c>
      <x:c r="G66" s="81" t="inlineStr">
        <x:is>
          <x:t xml:space="preserve">Huainanzi compilers / Liu An court</x:t>
        </x:is>
      </x:c>
      <x:c r="H66" s="81" t="inlineStr">
        <x:is>
          <x:t xml:space="preserve">https://ctext.org/huainanzi/ens</x:t>
        </x:is>
      </x:c>
      <x:c r="I66" s="81" t="inlineStr">
        <x:is>
          <x:t xml:space="preserve">Primary text / scholarly digital corpus</x:t>
        </x:is>
      </x:c>
      <x:c r="J66" s="81" t="inlineStr">
        <x:is>
          <x:t xml:space="preserve">Ch.13</x:t>
        </x:is>
      </x:c>
      <x:c r="K66" s="81" t="inlineStr">
        <x:is>
          <x:t xml:space="preserve">Day 6 principle seed; review historical context and interpretation before publication.</x:t>
        </x:is>
      </x:c>
      <x:c r="L66" s="81" t="inlineStr">
        <x:is>
          <x:t xml:space="preserve">A - Primary source</x:t>
        </x:is>
      </x:c>
      <x:c r="M66" s="81" t="inlineStr">
        <x:is>
          <x:t xml:space="preserve">Adaptation</x:t>
        </x:is>
      </x:c>
      <x:c r="N66" s="81" t="inlineStr">
        <x:is>
          <x:t xml:space="preserve">Selflo philosophy / AI-age</x:t>
        </x:is>
      </x:c>
      <x:c r="O66" s="81" t="inlineStr">
        <x:is>
          <x:t xml:space="preserve">Day 6 / Huainanzi</x:t>
        </x:is>
      </x:c>
      <x:c r="P66" s="81" t="inlineStr">
        <x:is>
          <x:t xml:space="preserve">Distinguish / Reframe</x:t>
        </x:is>
      </x:c>
      <x:c r="Q66" s="81" t="str"/>
      <x:c r="R66" s="81" t="str"/>
      <x:c r="S66" s="81" t="inlineStr">
        <x:is>
          <x:t xml:space="preserve">Editorial lens</x:t>
        </x:is>
      </x:c>
      <x:c r="T66" s="81" t="inlineStr">
        <x:is>
          <x:t xml:space="preserve">Yes</x:t>
        </x:is>
      </x:c>
      <x:c r="U66" s="81" t="n">
        <x:v>6</x:v>
      </x:c>
      <x:c r="V66" s="81" t="inlineStr">
        <x:is>
          <x:t xml:space="preserve">Day 6 principle seed.</x:t>
        </x:is>
      </x:c>
    </x:row>
    <x:row r="67">
      <x:c r="A67" s="81" t="inlineStr">
        <x:is>
          <x:t xml:space="preserve">principle.huainanzi.day6.tradeoffs_are_real</x:t>
        </x:is>
      </x:c>
      <x:c r="B67" s="81" t="inlineStr">
        <x:is>
          <x:t xml:space="preserve">Collected</x:t>
        </x:is>
      </x:c>
      <x:c r="C67" s="81" t="inlineStr">
        <x:is>
          <x:t xml:space="preserve">Tối ưu một mặt có thể làm yếu mặt khác</x:t>
        </x:is>
      </x:c>
      <x:c r="D67" s="81" t="inlineStr">
        <x:is>
          <x:t xml:space="preserve">Tradeoffs</x:t>
        </x:is>
      </x:c>
      <x:c r="E67" s="81" t="inlineStr">
        <x:is>
          <x:t xml:space="preserve">Không phải mọi mục tiêu đều tối đa đồng thời; nhìn trade-off giúp tránh self-blame vì không đạt mọi thứ.</x:t>
        </x:is>
      </x:c>
      <x:c r="F67" s="81" t="inlineStr">
        <x:is>
          <x:t xml:space="preserve">淮南子 / Huainanzi</x:t>
        </x:is>
      </x:c>
      <x:c r="G67" s="81" t="inlineStr">
        <x:is>
          <x:t xml:space="preserve">Huainanzi compilers / Liu An court</x:t>
        </x:is>
      </x:c>
      <x:c r="H67" s="81" t="inlineStr">
        <x:is>
          <x:t xml:space="preserve">https://ctext.org/huainanzi/ens</x:t>
        </x:is>
      </x:c>
      <x:c r="I67" s="81" t="inlineStr">
        <x:is>
          <x:t xml:space="preserve">Primary text / scholarly digital corpus</x:t>
        </x:is>
      </x:c>
      <x:c r="J67" s="81" t="inlineStr">
        <x:is>
          <x:t xml:space="preserve">Ch.14</x:t>
        </x:is>
      </x:c>
      <x:c r="K67" s="81" t="inlineStr">
        <x:is>
          <x:t xml:space="preserve">Day 6 principle seed; review historical context and interpretation before publication.</x:t>
        </x:is>
      </x:c>
      <x:c r="L67" s="81" t="inlineStr">
        <x:is>
          <x:t xml:space="preserve">A - Primary source</x:t>
        </x:is>
      </x:c>
      <x:c r="M67" s="81" t="inlineStr">
        <x:is>
          <x:t xml:space="preserve">Tradeoffs</x:t>
        </x:is>
      </x:c>
      <x:c r="N67" s="81" t="inlineStr">
        <x:is>
          <x:t xml:space="preserve">Selflo philosophy / AI-age</x:t>
        </x:is>
      </x:c>
      <x:c r="O67" s="81" t="inlineStr">
        <x:is>
          <x:t xml:space="preserve">Day 6 / Huainanzi</x:t>
        </x:is>
      </x:c>
      <x:c r="P67" s="81" t="inlineStr">
        <x:is>
          <x:t xml:space="preserve">Distinguish / Reframe</x:t>
        </x:is>
      </x:c>
      <x:c r="Q67" s="81" t="str"/>
      <x:c r="R67" s="81" t="str"/>
      <x:c r="S67" s="81" t="inlineStr">
        <x:is>
          <x:t xml:space="preserve">Editorial lens</x:t>
        </x:is>
      </x:c>
      <x:c r="T67" s="81" t="inlineStr">
        <x:is>
          <x:t xml:space="preserve">Yes</x:t>
        </x:is>
      </x:c>
      <x:c r="U67" s="81" t="n">
        <x:v>6</x:v>
      </x:c>
      <x:c r="V67" s="81" t="inlineStr">
        <x:is>
          <x:t xml:space="preserve">Day 6 principle seed.</x:t>
        </x:is>
      </x:c>
    </x:row>
    <x:row r="68">
      <x:c r="A68" s="81" t="inlineStr">
        <x:is>
          <x:t xml:space="preserve">principle.huainanzi.day6.small_signals</x:t>
        </x:is>
      </x:c>
      <x:c r="B68" s="81" t="inlineStr">
        <x:is>
          <x:t xml:space="preserve">Collected</x:t>
        </x:is>
      </x:c>
      <x:c r="C68" s="81" t="inlineStr">
        <x:is>
          <x:t xml:space="preserve">Việc lớn thường có dấu nhỏ trước đó</x:t>
        </x:is>
      </x:c>
      <x:c r="D68" s="81" t="inlineStr">
        <x:is>
          <x:t xml:space="preserve">Early signals</x:t>
        </x:is>
      </x:c>
      <x:c r="E68" s="81" t="inlineStr">
        <x:is>
          <x:t xml:space="preserve">Chú ý khe nứt, tải nền và tích lũy nhỏ trước khi chúng thành khủng hoảng.</x:t>
        </x:is>
      </x:c>
      <x:c r="F68" s="81" t="inlineStr">
        <x:is>
          <x:t xml:space="preserve">淮南子 / Huainanzi</x:t>
        </x:is>
      </x:c>
      <x:c r="G68" s="81" t="inlineStr">
        <x:is>
          <x:t xml:space="preserve">Huainanzi compilers / Liu An court</x:t>
        </x:is>
      </x:c>
      <x:c r="H68" s="81" t="inlineStr">
        <x:is>
          <x:t xml:space="preserve">https://ctext.org/huainanzi/ens</x:t>
        </x:is>
      </x:c>
      <x:c r="I68" s="81" t="inlineStr">
        <x:is>
          <x:t xml:space="preserve">Primary text / scholarly digital corpus</x:t>
        </x:is>
      </x:c>
      <x:c r="J68" s="81" t="inlineStr">
        <x:is>
          <x:t xml:space="preserve">Ch.16,18</x:t>
        </x:is>
      </x:c>
      <x:c r="K68" s="81" t="inlineStr">
        <x:is>
          <x:t xml:space="preserve">Day 6 principle seed; review historical context and interpretation before publication.</x:t>
        </x:is>
      </x:c>
      <x:c r="L68" s="81" t="inlineStr">
        <x:is>
          <x:t xml:space="preserve">A - Primary source</x:t>
        </x:is>
      </x:c>
      <x:c r="M68" s="81" t="inlineStr">
        <x:is>
          <x:t xml:space="preserve">Early signals</x:t>
        </x:is>
      </x:c>
      <x:c r="N68" s="81" t="inlineStr">
        <x:is>
          <x:t xml:space="preserve">Selflo philosophy / AI-age</x:t>
        </x:is>
      </x:c>
      <x:c r="O68" s="81" t="inlineStr">
        <x:is>
          <x:t xml:space="preserve">Day 6 / Huainanzi</x:t>
        </x:is>
      </x:c>
      <x:c r="P68" s="81" t="inlineStr">
        <x:is>
          <x:t xml:space="preserve">Distinguish / Reframe</x:t>
        </x:is>
      </x:c>
      <x:c r="Q68" s="81" t="str"/>
      <x:c r="R68" s="81" t="str"/>
      <x:c r="S68" s="81" t="inlineStr">
        <x:is>
          <x:t xml:space="preserve">Editorial lens</x:t>
        </x:is>
      </x:c>
      <x:c r="T68" s="81" t="inlineStr">
        <x:is>
          <x:t xml:space="preserve">Yes</x:t>
        </x:is>
      </x:c>
      <x:c r="U68" s="81" t="n">
        <x:v>6</x:v>
      </x:c>
      <x:c r="V68" s="81" t="inlineStr">
        <x:is>
          <x:t xml:space="preserve">Day 6 principle seed.</x:t>
        </x:is>
      </x:c>
    </x:row>
    <x:row r="69">
      <x:c r="A69" s="81" t="inlineStr">
        <x:is>
          <x:t xml:space="preserve">principle.huainanzi.day6.context_shapes_value</x:t>
        </x:is>
      </x:c>
      <x:c r="B69" s="81" t="inlineStr">
        <x:is>
          <x:t xml:space="preserve">Collected</x:t>
        </x:is>
      </x:c>
      <x:c r="C69" s="81" t="inlineStr">
        <x:is>
          <x:t xml:space="preserve">Giá trị thay theo bối cảnh sử dụng</x:t>
        </x:is>
      </x:c>
      <x:c r="D69" s="81" t="inlineStr">
        <x:is>
          <x:t xml:space="preserve">Context</x:t>
        </x:is>
      </x:c>
      <x:c r="E69" s="81" t="inlineStr">
        <x:is>
          <x:t xml:space="preserve">Thứ một người bỏ có thể là thứ người khác cần; phương pháp và công cụ không có giá trị tuyệt đối ngoài bối cảnh.</x:t>
        </x:is>
      </x:c>
      <x:c r="F69" s="81" t="inlineStr">
        <x:is>
          <x:t xml:space="preserve">淮南子 / Huainanzi</x:t>
        </x:is>
      </x:c>
      <x:c r="G69" s="81" t="inlineStr">
        <x:is>
          <x:t xml:space="preserve">Huainanzi compilers / Liu An court</x:t>
        </x:is>
      </x:c>
      <x:c r="H69" s="81" t="inlineStr">
        <x:is>
          <x:t xml:space="preserve">https://ctext.org/huainanzi/ens</x:t>
        </x:is>
      </x:c>
      <x:c r="I69" s="81" t="inlineStr">
        <x:is>
          <x:t xml:space="preserve">Primary text / scholarly digital corpus</x:t>
        </x:is>
      </x:c>
      <x:c r="J69" s="81" t="inlineStr">
        <x:is>
          <x:t xml:space="preserve">Ch.17</x:t>
        </x:is>
      </x:c>
      <x:c r="K69" s="81" t="inlineStr">
        <x:is>
          <x:t xml:space="preserve">Day 6 principle seed; review historical context and interpretation before publication.</x:t>
        </x:is>
      </x:c>
      <x:c r="L69" s="81" t="inlineStr">
        <x:is>
          <x:t xml:space="preserve">A - Primary source</x:t>
        </x:is>
      </x:c>
      <x:c r="M69" s="81" t="inlineStr">
        <x:is>
          <x:t xml:space="preserve">Context</x:t>
        </x:is>
      </x:c>
      <x:c r="N69" s="81" t="inlineStr">
        <x:is>
          <x:t xml:space="preserve">Selflo philosophy / AI-age</x:t>
        </x:is>
      </x:c>
      <x:c r="O69" s="81" t="inlineStr">
        <x:is>
          <x:t xml:space="preserve">Day 6 / Huainanzi</x:t>
        </x:is>
      </x:c>
      <x:c r="P69" s="81" t="inlineStr">
        <x:is>
          <x:t xml:space="preserve">Distinguish / Reframe</x:t>
        </x:is>
      </x:c>
      <x:c r="Q69" s="81" t="str"/>
      <x:c r="R69" s="81" t="str"/>
      <x:c r="S69" s="81" t="inlineStr">
        <x:is>
          <x:t xml:space="preserve">Editorial lens</x:t>
        </x:is>
      </x:c>
      <x:c r="T69" s="81" t="inlineStr">
        <x:is>
          <x:t xml:space="preserve">Yes</x:t>
        </x:is>
      </x:c>
      <x:c r="U69" s="81" t="n">
        <x:v>6</x:v>
      </x:c>
      <x:c r="V69" s="81" t="inlineStr">
        <x:is>
          <x:t xml:space="preserve">Day 6 principle seed.</x:t>
        </x:is>
      </x:c>
    </x:row>
    <x:row r="70">
      <x:c r="A70" s="81" t="inlineStr">
        <x:is>
          <x:t xml:space="preserve">principle.huainanzi.day6.more_inputs_not_more_clarity</x:t>
        </x:is>
      </x:c>
      <x:c r="B70" s="81" t="inlineStr">
        <x:is>
          <x:t xml:space="preserve">Collected</x:t>
        </x:is>
      </x:c>
      <x:c r="C70" s="81" t="inlineStr">
        <x:is>
          <x:t xml:space="preserve">Nhiều nguồn hơn không mặc định sáng rõ hơn</x:t>
        </x:is>
      </x:c>
      <x:c r="D70" s="81" t="inlineStr">
        <x:is>
          <x:t xml:space="preserve">Attention</x:t>
        </x:is>
      </x:c>
      <x:c r="E70" s="81" t="inlineStr">
        <x:is>
          <x:t xml:space="preserve">Nhiều cửa, nhiều sao, nhiều câu trả lời có thể vẫn kém một nguồn đủ rõ và phù hợp.</x:t>
        </x:is>
      </x:c>
      <x:c r="F70" s="81" t="inlineStr">
        <x:is>
          <x:t xml:space="preserve">淮南子 / Huainanzi</x:t>
        </x:is>
      </x:c>
      <x:c r="G70" s="81" t="inlineStr">
        <x:is>
          <x:t xml:space="preserve">Huainanzi compilers / Liu An court</x:t>
        </x:is>
      </x:c>
      <x:c r="H70" s="81" t="inlineStr">
        <x:is>
          <x:t xml:space="preserve">https://ctext.org/huainanzi/ens</x:t>
        </x:is>
      </x:c>
      <x:c r="I70" s="81" t="inlineStr">
        <x:is>
          <x:t xml:space="preserve">Primary text / scholarly digital corpus</x:t>
        </x:is>
      </x:c>
      <x:c r="J70" s="81" t="inlineStr">
        <x:is>
          <x:t xml:space="preserve">Ch.17</x:t>
        </x:is>
      </x:c>
      <x:c r="K70" s="81" t="inlineStr">
        <x:is>
          <x:t xml:space="preserve">Day 6 principle seed; review historical context and interpretation before publication.</x:t>
        </x:is>
      </x:c>
      <x:c r="L70" s="81" t="inlineStr">
        <x:is>
          <x:t xml:space="preserve">A - Primary source</x:t>
        </x:is>
      </x:c>
      <x:c r="M70" s="81" t="inlineStr">
        <x:is>
          <x:t xml:space="preserve">Attention</x:t>
        </x:is>
      </x:c>
      <x:c r="N70" s="81" t="inlineStr">
        <x:is>
          <x:t xml:space="preserve">Selflo philosophy / AI-age</x:t>
        </x:is>
      </x:c>
      <x:c r="O70" s="81" t="inlineStr">
        <x:is>
          <x:t xml:space="preserve">Day 6 / Huainanzi</x:t>
        </x:is>
      </x:c>
      <x:c r="P70" s="81" t="inlineStr">
        <x:is>
          <x:t xml:space="preserve">Distinguish / Reframe</x:t>
        </x:is>
      </x:c>
      <x:c r="Q70" s="81" t="str"/>
      <x:c r="R70" s="81" t="str"/>
      <x:c r="S70" s="81" t="inlineStr">
        <x:is>
          <x:t xml:space="preserve">Editorial lens</x:t>
        </x:is>
      </x:c>
      <x:c r="T70" s="81" t="inlineStr">
        <x:is>
          <x:t xml:space="preserve">Yes</x:t>
        </x:is>
      </x:c>
      <x:c r="U70" s="81" t="n">
        <x:v>6</x:v>
      </x:c>
      <x:c r="V70" s="81" t="inlineStr">
        <x:is>
          <x:t xml:space="preserve">Day 6 principle seed.</x:t>
        </x:is>
      </x:c>
    </x:row>
    <x:row r="71">
      <x:c r="A71" s="81" t="inlineStr">
        <x:is>
          <x:t xml:space="preserve">principle.huainanzi.day6.outcome_not_final_meaning</x:t>
        </x:is>
      </x:c>
      <x:c r="B71" s="81" t="inlineStr">
        <x:is>
          <x:t xml:space="preserve">Collected</x:t>
        </x:is>
      </x:c>
      <x:c r="C71" s="81" t="inlineStr">
        <x:is>
          <x:t xml:space="preserve">Đừng đóng nghĩa quá sớm cho một biến cố</x:t>
        </x:is>
      </x:c>
      <x:c r="D71" s="81" t="inlineStr">
        <x:is>
          <x:t xml:space="preserve">Uncertainty</x:t>
        </x:is>
      </x:c>
      <x:c r="E71" s="81" t="inlineStr">
        <x:is>
          <x:t xml:space="preserve">Tốt/xấu hiện tại có thể đổi chiều khi điều kiện tiếp tục biến đổi.</x:t>
        </x:is>
      </x:c>
      <x:c r="F71" s="81" t="inlineStr">
        <x:is>
          <x:t xml:space="preserve">淮南子 / Huainanzi</x:t>
        </x:is>
      </x:c>
      <x:c r="G71" s="81" t="inlineStr">
        <x:is>
          <x:t xml:space="preserve">Huainanzi compilers / Liu An court</x:t>
        </x:is>
      </x:c>
      <x:c r="H71" s="81" t="inlineStr">
        <x:is>
          <x:t xml:space="preserve">https://ctext.org/huainanzi/ens</x:t>
        </x:is>
      </x:c>
      <x:c r="I71" s="81" t="inlineStr">
        <x:is>
          <x:t xml:space="preserve">Primary text / scholarly digital corpus</x:t>
        </x:is>
      </x:c>
      <x:c r="J71" s="81" t="inlineStr">
        <x:is>
          <x:t xml:space="preserve">Ch.18</x:t>
        </x:is>
      </x:c>
      <x:c r="K71" s="81" t="inlineStr">
        <x:is>
          <x:t xml:space="preserve">Day 6 principle seed; review historical context and interpretation before publication.</x:t>
        </x:is>
      </x:c>
      <x:c r="L71" s="81" t="inlineStr">
        <x:is>
          <x:t xml:space="preserve">A - Primary source</x:t>
        </x:is>
      </x:c>
      <x:c r="M71" s="81" t="inlineStr">
        <x:is>
          <x:t xml:space="preserve">Uncertainty</x:t>
        </x:is>
      </x:c>
      <x:c r="N71" s="81" t="inlineStr">
        <x:is>
          <x:t xml:space="preserve">Selflo philosophy / AI-age</x:t>
        </x:is>
      </x:c>
      <x:c r="O71" s="81" t="inlineStr">
        <x:is>
          <x:t xml:space="preserve">Day 6 / Huainanzi</x:t>
        </x:is>
      </x:c>
      <x:c r="P71" s="81" t="inlineStr">
        <x:is>
          <x:t xml:space="preserve">Distinguish / Reframe</x:t>
        </x:is>
      </x:c>
      <x:c r="Q71" s="81" t="str"/>
      <x:c r="R71" s="81" t="str"/>
      <x:c r="S71" s="81" t="inlineStr">
        <x:is>
          <x:t xml:space="preserve">Editorial lens</x:t>
        </x:is>
      </x:c>
      <x:c r="T71" s="81" t="inlineStr">
        <x:is>
          <x:t xml:space="preserve">Yes</x:t>
        </x:is>
      </x:c>
      <x:c r="U71" s="81" t="n">
        <x:v>6</x:v>
      </x:c>
      <x:c r="V71" s="81" t="inlineStr">
        <x:is>
          <x:t xml:space="preserve">Day 6 principle seed.</x:t>
        </x:is>
      </x:c>
    </x:row>
    <x:row r="72">
      <x:c r="A72" s="81" t="inlineStr">
        <x:is>
          <x:t xml:space="preserve">principle.huainanzi.day6.foundation_before_load</x:t>
        </x:is>
      </x:c>
      <x:c r="B72" s="81" t="inlineStr">
        <x:is>
          <x:t xml:space="preserve">Collected</x:t>
        </x:is>
      </x:c>
      <x:c r="C72" s="81" t="inlineStr">
        <x:is>
          <x:t xml:space="preserve">Nền chưa sẵn sàng không nên gánh tải như nền đã ổn</x:t>
        </x:is>
      </x:c>
      <x:c r="D72" s="81" t="inlineStr">
        <x:is>
          <x:t xml:space="preserve">Capacity</x:t>
        </x:is>
      </x:c>
      <x:c r="E72" s="81" t="inlineStr">
        <x:is>
          <x:t xml:space="preserve">Delivery nhìn hoàn thành không đồng nghĩa hệ đủ sức chịu tải; capacity là điều kiện, không phải phẩm chất đạo đức.</x:t>
        </x:is>
      </x:c>
      <x:c r="F72" s="81" t="inlineStr">
        <x:is>
          <x:t xml:space="preserve">淮南子 / Huainanzi</x:t>
        </x:is>
      </x:c>
      <x:c r="G72" s="81" t="inlineStr">
        <x:is>
          <x:t xml:space="preserve">Huainanzi compilers / Liu An court</x:t>
        </x:is>
      </x:c>
      <x:c r="H72" s="81" t="inlineStr">
        <x:is>
          <x:t xml:space="preserve">https://ctext.org/huainanzi/ens</x:t>
        </x:is>
      </x:c>
      <x:c r="I72" s="81" t="inlineStr">
        <x:is>
          <x:t xml:space="preserve">Primary text / scholarly digital corpus</x:t>
        </x:is>
      </x:c>
      <x:c r="J72" s="81" t="inlineStr">
        <x:is>
          <x:t xml:space="preserve">Ch.18</x:t>
        </x:is>
      </x:c>
      <x:c r="K72" s="81" t="inlineStr">
        <x:is>
          <x:t xml:space="preserve">Day 6 principle seed; review historical context and interpretation before publication.</x:t>
        </x:is>
      </x:c>
      <x:c r="L72" s="81" t="inlineStr">
        <x:is>
          <x:t xml:space="preserve">A - Primary source</x:t>
        </x:is>
      </x:c>
      <x:c r="M72" s="81" t="inlineStr">
        <x:is>
          <x:t xml:space="preserve">Capacity</x:t>
        </x:is>
      </x:c>
      <x:c r="N72" s="81" t="inlineStr">
        <x:is>
          <x:t xml:space="preserve">Selflo philosophy / AI-age</x:t>
        </x:is>
      </x:c>
      <x:c r="O72" s="81" t="inlineStr">
        <x:is>
          <x:t xml:space="preserve">Day 6 / Huainanzi</x:t>
        </x:is>
      </x:c>
      <x:c r="P72" s="81" t="inlineStr">
        <x:is>
          <x:t xml:space="preserve">Distinguish / Reframe</x:t>
        </x:is>
      </x:c>
      <x:c r="Q72" s="81" t="str"/>
      <x:c r="R72" s="81" t="str"/>
      <x:c r="S72" s="81" t="inlineStr">
        <x:is>
          <x:t xml:space="preserve">Editorial lens</x:t>
        </x:is>
      </x:c>
      <x:c r="T72" s="81" t="inlineStr">
        <x:is>
          <x:t xml:space="preserve">Yes</x:t>
        </x:is>
      </x:c>
      <x:c r="U72" s="81" t="n">
        <x:v>6</x:v>
      </x:c>
      <x:c r="V72" s="81" t="inlineStr">
        <x:is>
          <x:t xml:space="preserve">Day 6 principle seed.</x:t>
        </x:is>
      </x:c>
    </x:row>
    <x:row r="73">
      <x:c r="A73" s="81" t="inlineStr">
        <x:is>
          <x:t xml:space="preserve">principle.huainanzi.day6.prevent_before_rescue</x:t>
        </x:is>
      </x:c>
      <x:c r="B73" s="81" t="inlineStr">
        <x:is>
          <x:t xml:space="preserve">Collected</x:t>
        </x:is>
      </x:c>
      <x:c r="C73" s="81" t="inlineStr">
        <x:is>
          <x:t xml:space="preserve">Thiết kế để vấn đề ít sinh ra trước khi tối ưu chữa cháy</x:t>
        </x:is>
      </x:c>
      <x:c r="D73" s="81" t="inlineStr">
        <x:is>
          <x:t xml:space="preserve">Systems</x:t>
        </x:is>
      </x:c>
      <x:c r="E73" s="81" t="inlineStr">
        <x:is>
          <x:t xml:space="preserve">Prevention và điều kiện nền thường bền hơn phản ứng mạnh sau khủng hoảng.</x:t>
        </x:is>
      </x:c>
      <x:c r="F73" s="81" t="inlineStr">
        <x:is>
          <x:t xml:space="preserve">淮南子 / Huainanzi</x:t>
        </x:is>
      </x:c>
      <x:c r="G73" s="81" t="inlineStr">
        <x:is>
          <x:t xml:space="preserve">Huainanzi compilers / Liu An court</x:t>
        </x:is>
      </x:c>
      <x:c r="H73" s="81" t="inlineStr">
        <x:is>
          <x:t xml:space="preserve">https://ctext.org/huainanzi/ens</x:t>
        </x:is>
      </x:c>
      <x:c r="I73" s="81" t="inlineStr">
        <x:is>
          <x:t xml:space="preserve">Primary text / scholarly digital corpus</x:t>
        </x:is>
      </x:c>
      <x:c r="J73" s="81" t="inlineStr">
        <x:is>
          <x:t xml:space="preserve">Ch.18</x:t>
        </x:is>
      </x:c>
      <x:c r="K73" s="81" t="inlineStr">
        <x:is>
          <x:t xml:space="preserve">Day 6 principle seed; review historical context and interpretation before publication.</x:t>
        </x:is>
      </x:c>
      <x:c r="L73" s="81" t="inlineStr">
        <x:is>
          <x:t xml:space="preserve">A - Primary source</x:t>
        </x:is>
      </x:c>
      <x:c r="M73" s="81" t="inlineStr">
        <x:is>
          <x:t xml:space="preserve">Systems</x:t>
        </x:is>
      </x:c>
      <x:c r="N73" s="81" t="inlineStr">
        <x:is>
          <x:t xml:space="preserve">Selflo philosophy / AI-age</x:t>
        </x:is>
      </x:c>
      <x:c r="O73" s="81" t="inlineStr">
        <x:is>
          <x:t xml:space="preserve">Day 6 / Huainanzi</x:t>
        </x:is>
      </x:c>
      <x:c r="P73" s="81" t="inlineStr">
        <x:is>
          <x:t xml:space="preserve">Distinguish / Reframe</x:t>
        </x:is>
      </x:c>
      <x:c r="Q73" s="81" t="str"/>
      <x:c r="R73" s="81" t="str"/>
      <x:c r="S73" s="81" t="inlineStr">
        <x:is>
          <x:t xml:space="preserve">Editorial lens</x:t>
        </x:is>
      </x:c>
      <x:c r="T73" s="81" t="inlineStr">
        <x:is>
          <x:t xml:space="preserve">Yes</x:t>
        </x:is>
      </x:c>
      <x:c r="U73" s="81" t="n">
        <x:v>6</x:v>
      </x:c>
      <x:c r="V73" s="81" t="inlineStr">
        <x:is>
          <x:t xml:space="preserve">Day 6 principle seed.</x:t>
        </x:is>
      </x:c>
    </x:row>
    <x:row r="74">
      <x:c r="A74" s="81" t="inlineStr">
        <x:is>
          <x:t xml:space="preserve">principle.epictetus.day7.control_is_a_distinction</x:t>
        </x:is>
      </x:c>
      <x:c r="B74" s="81" t="inlineStr">
        <x:is>
          <x:t xml:space="preserve">Collected</x:t>
        </x:is>
      </x:c>
      <x:c r="C74" s="81" t="inlineStr">
        <x:is>
          <x:t xml:space="preserve">Phân biệt điều thuộc phần mình và điều không hoàn toàn thuộc phần mình</x:t>
        </x:is>
      </x:c>
      <x:c r="D74" s="81" t="inlineStr">
        <x:is>
          <x:t xml:space="preserve">Control</x:t>
        </x:is>
      </x:c>
      <x:c r="E74" s="81" t="inlineStr">
        <x:is>
          <x:t xml:space="preserve">Agency không phải kiểm soát mọi thứ; nó bắt đầu bằng phân biệt nơi mình có thể tác động và nơi cần chừa chỗ cho thực tại.</x:t>
        </x:is>
      </x:c>
      <x:c r="F74" s="81" t="inlineStr">
        <x:is>
          <x:t xml:space="preserve">Enchiridion / Discourses</x:t>
        </x:is>
      </x:c>
      <x:c r="G74" s="81" t="inlineStr">
        <x:is>
          <x:t xml:space="preserve">Epictetus; reported/compiled by Arrian</x:t>
        </x:is>
      </x:c>
      <x:c r="H74" s="81" t="inlineStr">
        <x:is>
          <x:t xml:space="preserve">https://www.perseus.tufts.edu/hopper/text?doc=Perseus:text:1999.01.0235:text=enc</x:t>
        </x:is>
      </x:c>
      <x:c r="I74" s="81" t="inlineStr">
        <x:is>
          <x:t xml:space="preserve">Primary Greek edition / institutional corpus</x:t>
        </x:is>
      </x:c>
      <x:c r="J74" s="81" t="inlineStr">
        <x:is>
          <x:t xml:space="preserve">Ench.1</x:t>
        </x:is>
      </x:c>
      <x:c r="K74" s="81" t="inlineStr">
        <x:is>
          <x:t xml:space="preserve">Day 7 editorial principle seed; modern Selflo interpretation must not overstate Stoic control or minimize external harm.</x:t>
        </x:is>
      </x:c>
      <x:c r="L74" s="81" t="inlineStr">
        <x:is>
          <x:t xml:space="preserve">A - Primary source</x:t>
        </x:is>
      </x:c>
      <x:c r="M74" s="81" t="inlineStr">
        <x:is>
          <x:t xml:space="preserve">Control</x:t>
        </x:is>
      </x:c>
      <x:c r="N74" s="81" t="inlineStr">
        <x:is>
          <x:t xml:space="preserve">Selflo philosophy / AI-age</x:t>
        </x:is>
      </x:c>
      <x:c r="O74" s="81" t="inlineStr">
        <x:is>
          <x:t xml:space="preserve">Day 7 / Epictetus</x:t>
        </x:is>
      </x:c>
      <x:c r="P74" s="81" t="inlineStr">
        <x:is>
          <x:t xml:space="preserve">Distinguish / Reframe</x:t>
        </x:is>
      </x:c>
      <x:c r="Q74" s="81" t="str"/>
      <x:c r="R74" s="81" t="str"/>
      <x:c r="S74" s="81" t="inlineStr">
        <x:is>
          <x:t xml:space="preserve">Editorial lens</x:t>
        </x:is>
      </x:c>
      <x:c r="T74" s="81" t="inlineStr">
        <x:is>
          <x:t xml:space="preserve">Yes</x:t>
        </x:is>
      </x:c>
      <x:c r="U74" s="81" t="n">
        <x:v>7</x:v>
      </x:c>
      <x:c r="V74" s="81" t="inlineStr">
        <x:is>
          <x:t xml:space="preserve">Day 7 principle seed.</x:t>
        </x:is>
      </x:c>
    </x:row>
    <x:row r="75">
      <x:c r="A75" s="81" t="inlineStr">
        <x:is>
          <x:t xml:space="preserve">principle.epictetus.day7.event_not_interpretation</x:t>
        </x:is>
      </x:c>
      <x:c r="B75" s="81" t="inlineStr">
        <x:is>
          <x:t xml:space="preserve">Collected</x:t>
        </x:is>
      </x:c>
      <x:c r="C75" s="81" t="inlineStr">
        <x:is>
          <x:t xml:space="preserve">Sự kiện và diễn giải về sự kiện không phải một</x:t>
        </x:is>
      </x:c>
      <x:c r="D75" s="81" t="inlineStr">
        <x:is>
          <x:t xml:space="preserve">Judgment</x:t>
        </x:is>
      </x:c>
      <x:c r="E75" s="81" t="inlineStr">
        <x:is>
          <x:t xml:space="preserve">Một trải nghiệm có phần sự kiện, phần ý nghĩa và phần phản ứng; tách chúng giúp nhìn rõ hơn mà không phủ nhận hoàn cảnh.</x:t>
        </x:is>
      </x:c>
      <x:c r="F75" s="81" t="inlineStr">
        <x:is>
          <x:t xml:space="preserve">Enchiridion / Discourses</x:t>
        </x:is>
      </x:c>
      <x:c r="G75" s="81" t="inlineStr">
        <x:is>
          <x:t xml:space="preserve">Epictetus; reported/compiled by Arrian</x:t>
        </x:is>
      </x:c>
      <x:c r="H75" s="81" t="inlineStr">
        <x:is>
          <x:t xml:space="preserve">https://www.perseus.tufts.edu/hopper/text?doc=Perseus:text:1999.01.0235:text=enc</x:t>
        </x:is>
      </x:c>
      <x:c r="I75" s="81" t="inlineStr">
        <x:is>
          <x:t xml:space="preserve">Primary Greek edition / institutional corpus</x:t>
        </x:is>
      </x:c>
      <x:c r="J75" s="81" t="inlineStr">
        <x:is>
          <x:t xml:space="preserve">Ench.5</x:t>
        </x:is>
      </x:c>
      <x:c r="K75" s="81" t="inlineStr">
        <x:is>
          <x:t xml:space="preserve">Day 7 editorial principle seed; modern Selflo interpretation must not overstate Stoic control or minimize external harm.</x:t>
        </x:is>
      </x:c>
      <x:c r="L75" s="81" t="inlineStr">
        <x:is>
          <x:t xml:space="preserve">A - Primary source</x:t>
        </x:is>
      </x:c>
      <x:c r="M75" s="81" t="inlineStr">
        <x:is>
          <x:t xml:space="preserve">Judgment</x:t>
        </x:is>
      </x:c>
      <x:c r="N75" s="81" t="inlineStr">
        <x:is>
          <x:t xml:space="preserve">Selflo philosophy / AI-age</x:t>
        </x:is>
      </x:c>
      <x:c r="O75" s="81" t="inlineStr">
        <x:is>
          <x:t xml:space="preserve">Day 7 / Epictetus</x:t>
        </x:is>
      </x:c>
      <x:c r="P75" s="81" t="inlineStr">
        <x:is>
          <x:t xml:space="preserve">Distinguish / Reframe</x:t>
        </x:is>
      </x:c>
      <x:c r="Q75" s="81" t="str"/>
      <x:c r="R75" s="81" t="str"/>
      <x:c r="S75" s="81" t="inlineStr">
        <x:is>
          <x:t xml:space="preserve">Editorial lens</x:t>
        </x:is>
      </x:c>
      <x:c r="T75" s="81" t="inlineStr">
        <x:is>
          <x:t xml:space="preserve">Yes</x:t>
        </x:is>
      </x:c>
      <x:c r="U75" s="81" t="n">
        <x:v>7</x:v>
      </x:c>
      <x:c r="V75" s="81" t="inlineStr">
        <x:is>
          <x:t xml:space="preserve">Day 7 principle seed.</x:t>
        </x:is>
      </x:c>
    </x:row>
    <x:row r="76">
      <x:c r="A76" s="81" t="inlineStr">
        <x:is>
          <x:t xml:space="preserve">principle.epictetus.day7.no_total_blame</x:t>
        </x:is>
      </x:c>
      <x:c r="B76" s="81" t="inlineStr">
        <x:is>
          <x:t xml:space="preserve">Collected</x:t>
        </x:is>
      </x:c>
      <x:c r="C76" s="81" t="inlineStr">
        <x:is>
          <x:t xml:space="preserve">Không cần chuyển từ đổ lỗi người khác sang đổ hết lỗi cho mình</x:t>
        </x:is>
      </x:c>
      <x:c r="D76" s="81" t="inlineStr">
        <x:is>
          <x:t xml:space="preserve">Self-compassion</x:t>
        </x:is>
      </x:c>
      <x:c r="E76" s="81" t="inlineStr">
        <x:is>
          <x:t xml:space="preserve">Trưởng thành không phải tìm đúng người để đổ lỗi; có thể nhìn trách nhiệm, điều kiện và phán đoán mà không biến toàn bộ thành lỗi cá nhân.</x:t>
        </x:is>
      </x:c>
      <x:c r="F76" s="81" t="inlineStr">
        <x:is>
          <x:t xml:space="preserve">Enchiridion / Discourses</x:t>
        </x:is>
      </x:c>
      <x:c r="G76" s="81" t="inlineStr">
        <x:is>
          <x:t xml:space="preserve">Epictetus; reported/compiled by Arrian</x:t>
        </x:is>
      </x:c>
      <x:c r="H76" s="81" t="inlineStr">
        <x:is>
          <x:t xml:space="preserve">https://www.perseus.tufts.edu/hopper/text?doc=Perseus:text:1999.01.0235:text=enc</x:t>
        </x:is>
      </x:c>
      <x:c r="I76" s="81" t="inlineStr">
        <x:is>
          <x:t xml:space="preserve">Primary Greek edition / institutional corpus</x:t>
        </x:is>
      </x:c>
      <x:c r="J76" s="81" t="inlineStr">
        <x:is>
          <x:t xml:space="preserve">Ench.5</x:t>
        </x:is>
      </x:c>
      <x:c r="K76" s="81" t="inlineStr">
        <x:is>
          <x:t xml:space="preserve">Day 7 editorial principle seed; modern Selflo interpretation must not overstate Stoic control or minimize external harm.</x:t>
        </x:is>
      </x:c>
      <x:c r="L76" s="81" t="inlineStr">
        <x:is>
          <x:t xml:space="preserve">A - Primary source</x:t>
        </x:is>
      </x:c>
      <x:c r="M76" s="81" t="inlineStr">
        <x:is>
          <x:t xml:space="preserve">Self-compassion</x:t>
        </x:is>
      </x:c>
      <x:c r="N76" s="81" t="inlineStr">
        <x:is>
          <x:t xml:space="preserve">Selflo philosophy / AI-age</x:t>
        </x:is>
      </x:c>
      <x:c r="O76" s="81" t="inlineStr">
        <x:is>
          <x:t xml:space="preserve">Day 7 / Epictetus</x:t>
        </x:is>
      </x:c>
      <x:c r="P76" s="81" t="inlineStr">
        <x:is>
          <x:t xml:space="preserve">Distinguish / Reframe</x:t>
        </x:is>
      </x:c>
      <x:c r="Q76" s="81" t="str"/>
      <x:c r="R76" s="81" t="str"/>
      <x:c r="S76" s="81" t="inlineStr">
        <x:is>
          <x:t xml:space="preserve">Editorial lens</x:t>
        </x:is>
      </x:c>
      <x:c r="T76" s="81" t="inlineStr">
        <x:is>
          <x:t xml:space="preserve">Yes</x:t>
        </x:is>
      </x:c>
      <x:c r="U76" s="81" t="n">
        <x:v>7</x:v>
      </x:c>
      <x:c r="V76" s="81" t="inlineStr">
        <x:is>
          <x:t xml:space="preserve">Day 7 principle seed.</x:t>
        </x:is>
      </x:c>
    </x:row>
    <x:row r="77">
      <x:c r="A77" s="81" t="inlineStr">
        <x:is>
          <x:t xml:space="preserve">principle.epictetus.day7.prepare_for_reality</x:t>
        </x:is>
      </x:c>
      <x:c r="B77" s="81" t="inlineStr">
        <x:is>
          <x:t xml:space="preserve">Collected</x:t>
        </x:is>
      </x:c>
      <x:c r="C77" s="81" t="inlineStr">
        <x:is>
          <x:t xml:space="preserve">Chuẩn bị cho thực tế khác chuẩn không phải bi quan</x:t>
        </x:is>
      </x:c>
      <x:c r="D77" s="81" t="inlineStr">
        <x:is>
          <x:t xml:space="preserve">Preparation</x:t>
        </x:is>
      </x:c>
      <x:c r="E77" s="81" t="inlineStr">
        <x:is>
          <x:t xml:space="preserve">Nhìn trước ma sát bình thường giúp mục tiêu không phụ thuộc vào việc mọi thứ diễn ra hoàn hảo.</x:t>
        </x:is>
      </x:c>
      <x:c r="F77" s="81" t="inlineStr">
        <x:is>
          <x:t xml:space="preserve">Enchiridion / Discourses</x:t>
        </x:is>
      </x:c>
      <x:c r="G77" s="81" t="inlineStr">
        <x:is>
          <x:t xml:space="preserve">Epictetus; reported/compiled by Arrian</x:t>
        </x:is>
      </x:c>
      <x:c r="H77" s="81" t="inlineStr">
        <x:is>
          <x:t xml:space="preserve">https://www.perseus.tufts.edu/hopper/text?doc=Perseus:text:1999.01.0235:text=enc</x:t>
        </x:is>
      </x:c>
      <x:c r="I77" s="81" t="inlineStr">
        <x:is>
          <x:t xml:space="preserve">Primary Greek edition / institutional corpus</x:t>
        </x:is>
      </x:c>
      <x:c r="J77" s="81" t="inlineStr">
        <x:is>
          <x:t xml:space="preserve">Ench.4</x:t>
        </x:is>
      </x:c>
      <x:c r="K77" s="81" t="inlineStr">
        <x:is>
          <x:t xml:space="preserve">Day 7 editorial principle seed; modern Selflo interpretation must not overstate Stoic control or minimize external harm.</x:t>
        </x:is>
      </x:c>
      <x:c r="L77" s="81" t="inlineStr">
        <x:is>
          <x:t xml:space="preserve">A - Primary source</x:t>
        </x:is>
      </x:c>
      <x:c r="M77" s="81" t="inlineStr">
        <x:is>
          <x:t xml:space="preserve">Preparation</x:t>
        </x:is>
      </x:c>
      <x:c r="N77" s="81" t="inlineStr">
        <x:is>
          <x:t xml:space="preserve">Selflo philosophy / AI-age</x:t>
        </x:is>
      </x:c>
      <x:c r="O77" s="81" t="inlineStr">
        <x:is>
          <x:t xml:space="preserve">Day 7 / Epictetus</x:t>
        </x:is>
      </x:c>
      <x:c r="P77" s="81" t="inlineStr">
        <x:is>
          <x:t xml:space="preserve">Distinguish / Reframe</x:t>
        </x:is>
      </x:c>
      <x:c r="Q77" s="81" t="str"/>
      <x:c r="R77" s="81" t="str"/>
      <x:c r="S77" s="81" t="inlineStr">
        <x:is>
          <x:t xml:space="preserve">Editorial lens</x:t>
        </x:is>
      </x:c>
      <x:c r="T77" s="81" t="inlineStr">
        <x:is>
          <x:t xml:space="preserve">Yes</x:t>
        </x:is>
      </x:c>
      <x:c r="U77" s="81" t="n">
        <x:v>7</x:v>
      </x:c>
      <x:c r="V77" s="81" t="inlineStr">
        <x:is>
          <x:t xml:space="preserve">Day 7 principle seed.</x:t>
        </x:is>
      </x:c>
    </x:row>
    <x:row r="78">
      <x:c r="A78" s="81" t="inlineStr">
        <x:is>
          <x:t xml:space="preserve">principle.epictetus.day7.choice_has_price</x:t>
        </x:is>
      </x:c>
      <x:c r="B78" s="81" t="inlineStr">
        <x:is>
          <x:t xml:space="preserve">Collected</x:t>
        </x:is>
      </x:c>
      <x:c r="C78" s="81" t="inlineStr">
        <x:is>
          <x:t xml:space="preserve">Mỗi lựa chọn có cái giá của nó</x:t>
        </x:is>
      </x:c>
      <x:c r="D78" s="81" t="inlineStr">
        <x:is>
          <x:t xml:space="preserve">Choice</x:t>
        </x:is>
      </x:c>
      <x:c r="E78" s="81" t="inlineStr">
        <x:is>
          <x:t xml:space="preserve">Trước khi muốn kết quả, nhìn cả yêu cầu, trade-off và phần mình sẵn sàng trả; sau đó trả lựa chọn lại cho user.</x:t>
        </x:is>
      </x:c>
      <x:c r="F78" s="81" t="inlineStr">
        <x:is>
          <x:t xml:space="preserve">Enchiridion / Discourses</x:t>
        </x:is>
      </x:c>
      <x:c r="G78" s="81" t="inlineStr">
        <x:is>
          <x:t xml:space="preserve">Epictetus; reported/compiled by Arrian</x:t>
        </x:is>
      </x:c>
      <x:c r="H78" s="81" t="inlineStr">
        <x:is>
          <x:t xml:space="preserve">https://www.perseus.tufts.edu/hopper/text?doc=Perseus:text:1999.01.0235:text=enc</x:t>
        </x:is>
      </x:c>
      <x:c r="I78" s="81" t="inlineStr">
        <x:is>
          <x:t xml:space="preserve">Primary Greek edition / institutional corpus</x:t>
        </x:is>
      </x:c>
      <x:c r="J78" s="81" t="inlineStr">
        <x:is>
          <x:t xml:space="preserve">Ench.25,29</x:t>
        </x:is>
      </x:c>
      <x:c r="K78" s="81" t="inlineStr">
        <x:is>
          <x:t xml:space="preserve">Day 7 editorial principle seed; modern Selflo interpretation must not overstate Stoic control or minimize external harm.</x:t>
        </x:is>
      </x:c>
      <x:c r="L78" s="81" t="inlineStr">
        <x:is>
          <x:t xml:space="preserve">A - Primary source</x:t>
        </x:is>
      </x:c>
      <x:c r="M78" s="81" t="inlineStr">
        <x:is>
          <x:t xml:space="preserve">Choice</x:t>
        </x:is>
      </x:c>
      <x:c r="N78" s="81" t="inlineStr">
        <x:is>
          <x:t xml:space="preserve">Selflo philosophy / AI-age</x:t>
        </x:is>
      </x:c>
      <x:c r="O78" s="81" t="inlineStr">
        <x:is>
          <x:t xml:space="preserve">Day 7 / Epictetus</x:t>
        </x:is>
      </x:c>
      <x:c r="P78" s="81" t="inlineStr">
        <x:is>
          <x:t xml:space="preserve">Distinguish / Reframe</x:t>
        </x:is>
      </x:c>
      <x:c r="Q78" s="81" t="str"/>
      <x:c r="R78" s="81" t="str"/>
      <x:c r="S78" s="81" t="inlineStr">
        <x:is>
          <x:t xml:space="preserve">Editorial lens</x:t>
        </x:is>
      </x:c>
      <x:c r="T78" s="81" t="inlineStr">
        <x:is>
          <x:t xml:space="preserve">Yes</x:t>
        </x:is>
      </x:c>
      <x:c r="U78" s="81" t="n">
        <x:v>7</x:v>
      </x:c>
      <x:c r="V78" s="81" t="inlineStr">
        <x:is>
          <x:t xml:space="preserve">Day 7 principle seed.</x:t>
        </x:is>
      </x:c>
    </x:row>
    <x:row r="79">
      <x:c r="A79" s="81" t="inlineStr">
        <x:is>
          <x:t xml:space="preserve">principle.epictetus.day7.capacity_before_role</x:t>
        </x:is>
      </x:c>
      <x:c r="B79" s="81" t="inlineStr">
        <x:is>
          <x:t xml:space="preserve">Collected</x:t>
        </x:is>
      </x:c>
      <x:c r="C79" s="81" t="inlineStr">
        <x:is>
          <x:t xml:space="preserve">Vai trò nên được nhìn cùng capacity hiện tại</x:t>
        </x:is>
      </x:c>
      <x:c r="D79" s="81" t="inlineStr">
        <x:is>
          <x:t xml:space="preserve">Capacity</x:t>
        </x:is>
      </x:c>
      <x:c r="E79" s="81" t="inlineStr">
        <x:is>
          <x:t xml:space="preserve">Nhận quá nhiều hoặc nhận vai vượt sức có thể làm hỏng cả việc mới lẫn phần mình vốn làm được.</x:t>
        </x:is>
      </x:c>
      <x:c r="F79" s="81" t="inlineStr">
        <x:is>
          <x:t xml:space="preserve">Enchiridion / Discourses</x:t>
        </x:is>
      </x:c>
      <x:c r="G79" s="81" t="inlineStr">
        <x:is>
          <x:t xml:space="preserve">Epictetus; reported/compiled by Arrian</x:t>
        </x:is>
      </x:c>
      <x:c r="H79" s="81" t="inlineStr">
        <x:is>
          <x:t xml:space="preserve">https://www.perseus.tufts.edu/hopper/text?doc=Perseus:text:1999.01.0235:text=enc</x:t>
        </x:is>
      </x:c>
      <x:c r="I79" s="81" t="inlineStr">
        <x:is>
          <x:t xml:space="preserve">Primary Greek edition / institutional corpus</x:t>
        </x:is>
      </x:c>
      <x:c r="J79" s="81" t="inlineStr">
        <x:is>
          <x:t xml:space="preserve">Ench.37</x:t>
        </x:is>
      </x:c>
      <x:c r="K79" s="81" t="inlineStr">
        <x:is>
          <x:t xml:space="preserve">Day 7 editorial principle seed; modern Selflo interpretation must not overstate Stoic control or minimize external harm.</x:t>
        </x:is>
      </x:c>
      <x:c r="L79" s="81" t="inlineStr">
        <x:is>
          <x:t xml:space="preserve">A - Primary source</x:t>
        </x:is>
      </x:c>
      <x:c r="M79" s="81" t="inlineStr">
        <x:is>
          <x:t xml:space="preserve">Capacity</x:t>
        </x:is>
      </x:c>
      <x:c r="N79" s="81" t="inlineStr">
        <x:is>
          <x:t xml:space="preserve">Selflo philosophy / AI-age</x:t>
        </x:is>
      </x:c>
      <x:c r="O79" s="81" t="inlineStr">
        <x:is>
          <x:t xml:space="preserve">Day 7 / Epictetus</x:t>
        </x:is>
      </x:c>
      <x:c r="P79" s="81" t="inlineStr">
        <x:is>
          <x:t xml:space="preserve">Distinguish / Reframe</x:t>
        </x:is>
      </x:c>
      <x:c r="Q79" s="81" t="str"/>
      <x:c r="R79" s="81" t="str"/>
      <x:c r="S79" s="81" t="inlineStr">
        <x:is>
          <x:t xml:space="preserve">Editorial lens</x:t>
        </x:is>
      </x:c>
      <x:c r="T79" s="81" t="inlineStr">
        <x:is>
          <x:t xml:space="preserve">Yes</x:t>
        </x:is>
      </x:c>
      <x:c r="U79" s="81" t="n">
        <x:v>7</x:v>
      </x:c>
      <x:c r="V79" s="81" t="inlineStr">
        <x:is>
          <x:t xml:space="preserve">Day 7 principle seed.</x:t>
        </x:is>
      </x:c>
    </x:row>
    <x:row r="80">
      <x:c r="A80" s="81" t="inlineStr">
        <x:is>
          <x:t xml:space="preserve">principle.epictetus.day7.pause_before_impulse</x:t>
        </x:is>
      </x:c>
      <x:c r="B80" s="81" t="inlineStr">
        <x:is>
          <x:t xml:space="preserve">Collected</x:t>
        </x:is>
      </x:c>
      <x:c r="C80" s="81" t="inlineStr">
        <x:is>
          <x:t xml:space="preserve">Giữa kích thích và lựa chọn có thể tạo một khoảng</x:t>
        </x:is>
      </x:c>
      <x:c r="D80" s="81" t="inlineStr">
        <x:is>
          <x:t xml:space="preserve">Attention</x:t>
        </x:is>
      </x:c>
      <x:c r="E80" s="81" t="inlineStr">
        <x:is>
          <x:t xml:space="preserve">Không cần tin hay làm theo mọi ấn tượng ngay khi nó xuất hiện; một khoảng dừng giữ agency.</x:t>
        </x:is>
      </x:c>
      <x:c r="F80" s="81" t="inlineStr">
        <x:is>
          <x:t xml:space="preserve">Enchiridion / Discourses</x:t>
        </x:is>
      </x:c>
      <x:c r="G80" s="81" t="inlineStr">
        <x:is>
          <x:t xml:space="preserve">Epictetus; reported/compiled by Arrian</x:t>
        </x:is>
      </x:c>
      <x:c r="H80" s="81" t="inlineStr">
        <x:is>
          <x:t xml:space="preserve">https://www.perseus.tufts.edu/hopper/text?doc=Perseus:text:1999.01.0235:text=enc</x:t>
        </x:is>
      </x:c>
      <x:c r="I80" s="81" t="inlineStr">
        <x:is>
          <x:t xml:space="preserve">Primary Greek edition / institutional corpus</x:t>
        </x:is>
      </x:c>
      <x:c r="J80" s="81" t="inlineStr">
        <x:is>
          <x:t xml:space="preserve">Ench.34; Discourses</x:t>
        </x:is>
      </x:c>
      <x:c r="K80" s="81" t="inlineStr">
        <x:is>
          <x:t xml:space="preserve">Day 7 editorial principle seed; modern Selflo interpretation must not overstate Stoic control or minimize external harm.</x:t>
        </x:is>
      </x:c>
      <x:c r="L80" s="81" t="inlineStr">
        <x:is>
          <x:t xml:space="preserve">A - Primary source</x:t>
        </x:is>
      </x:c>
      <x:c r="M80" s="81" t="inlineStr">
        <x:is>
          <x:t xml:space="preserve">Attention</x:t>
        </x:is>
      </x:c>
      <x:c r="N80" s="81" t="inlineStr">
        <x:is>
          <x:t xml:space="preserve">Selflo philosophy / AI-age</x:t>
        </x:is>
      </x:c>
      <x:c r="O80" s="81" t="inlineStr">
        <x:is>
          <x:t xml:space="preserve">Day 7 / Epictetus</x:t>
        </x:is>
      </x:c>
      <x:c r="P80" s="81" t="inlineStr">
        <x:is>
          <x:t xml:space="preserve">Distinguish / Reframe</x:t>
        </x:is>
      </x:c>
      <x:c r="Q80" s="81" t="str"/>
      <x:c r="R80" s="81" t="str"/>
      <x:c r="S80" s="81" t="inlineStr">
        <x:is>
          <x:t xml:space="preserve">Editorial lens</x:t>
        </x:is>
      </x:c>
      <x:c r="T80" s="81" t="inlineStr">
        <x:is>
          <x:t xml:space="preserve">Yes</x:t>
        </x:is>
      </x:c>
      <x:c r="U80" s="81" t="n">
        <x:v>7</x:v>
      </x:c>
      <x:c r="V80" s="81" t="inlineStr">
        <x:is>
          <x:t xml:space="preserve">Day 7 principle seed.</x:t>
        </x:is>
      </x:c>
    </x:row>
    <x:row r="81">
      <x:c r="A81" s="81" t="inlineStr">
        <x:is>
          <x:t xml:space="preserve">principle.epictetus.day7.empathy_without_ownership</x:t>
        </x:is>
      </x:c>
      <x:c r="B81" s="81" t="inlineStr">
        <x:is>
          <x:t xml:space="preserve">Collected</x:t>
        </x:is>
      </x:c>
      <x:c r="C81" s="81" t="inlineStr">
        <x:is>
          <x:t xml:space="preserve">Cảm thông không cần chiếm trải nghiệm của người khác</x:t>
        </x:is>
      </x:c>
      <x:c r="D81" s="81" t="inlineStr">
        <x:is>
          <x:t xml:space="preserve">Compassion</x:t>
        </x:is>
      </x:c>
      <x:c r="E81" s="81" t="inlineStr">
        <x:is>
          <x:t xml:space="preserve">Có thể ở cạnh nỗi đau của người khác mà không nói thay họ, giải thích thay họ hoặc biến cảm xúc của họ thành của mình.</x:t>
        </x:is>
      </x:c>
      <x:c r="F81" s="81" t="inlineStr">
        <x:is>
          <x:t xml:space="preserve">Enchiridion / Discourses</x:t>
        </x:is>
      </x:c>
      <x:c r="G81" s="81" t="inlineStr">
        <x:is>
          <x:t xml:space="preserve">Epictetus; reported/compiled by Arrian</x:t>
        </x:is>
      </x:c>
      <x:c r="H81" s="81" t="inlineStr">
        <x:is>
          <x:t xml:space="preserve">https://www.perseus.tufts.edu/hopper/text?doc=Perseus:text:1999.01.0235:text=enc</x:t>
        </x:is>
      </x:c>
      <x:c r="I81" s="81" t="inlineStr">
        <x:is>
          <x:t xml:space="preserve">Primary Greek edition / institutional corpus</x:t>
        </x:is>
      </x:c>
      <x:c r="J81" s="81" t="inlineStr">
        <x:is>
          <x:t xml:space="preserve">Ench.16</x:t>
        </x:is>
      </x:c>
      <x:c r="K81" s="81" t="inlineStr">
        <x:is>
          <x:t xml:space="preserve">Day 7 editorial principle seed; modern Selflo interpretation must not overstate Stoic control or minimize external harm.</x:t>
        </x:is>
      </x:c>
      <x:c r="L81" s="81" t="inlineStr">
        <x:is>
          <x:t xml:space="preserve">A - Primary source</x:t>
        </x:is>
      </x:c>
      <x:c r="M81" s="81" t="inlineStr">
        <x:is>
          <x:t xml:space="preserve">Compassion</x:t>
        </x:is>
      </x:c>
      <x:c r="N81" s="81" t="inlineStr">
        <x:is>
          <x:t xml:space="preserve">Selflo philosophy / AI-age</x:t>
        </x:is>
      </x:c>
      <x:c r="O81" s="81" t="inlineStr">
        <x:is>
          <x:t xml:space="preserve">Day 7 / Epictetus</x:t>
        </x:is>
      </x:c>
      <x:c r="P81" s="81" t="inlineStr">
        <x:is>
          <x:t xml:space="preserve">Distinguish / Reframe</x:t>
        </x:is>
      </x:c>
      <x:c r="Q81" s="81" t="str"/>
      <x:c r="R81" s="81" t="str"/>
      <x:c r="S81" s="81" t="inlineStr">
        <x:is>
          <x:t xml:space="preserve">Editorial lens</x:t>
        </x:is>
      </x:c>
      <x:c r="T81" s="81" t="inlineStr">
        <x:is>
          <x:t xml:space="preserve">Yes</x:t>
        </x:is>
      </x:c>
      <x:c r="U81" s="81" t="n">
        <x:v>7</x:v>
      </x:c>
      <x:c r="V81" s="81" t="inlineStr">
        <x:is>
          <x:t xml:space="preserve">Day 7 principle seed.</x:t>
        </x:is>
      </x:c>
    </x:row>
    <x:row r="82">
      <x:c r="A82" s="81" t="inlineStr">
        <x:is>
          <x:t xml:space="preserve">principle.epictetus.day7.reason_needs_self_audit</x:t>
        </x:is>
      </x:c>
      <x:c r="B82" s="81" t="inlineStr">
        <x:is>
          <x:t xml:space="preserve">Collected</x:t>
        </x:is>
      </x:c>
      <x:c r="C82" s="81" t="inlineStr">
        <x:is>
          <x:t xml:space="preserve">Năng lực phán đoán cần kiểm tra chính nó</x:t>
        </x:is>
      </x:c>
      <x:c r="D82" s="81" t="inlineStr">
        <x:is>
          <x:t xml:space="preserve">AI-age judgment</x:t>
        </x:is>
      </x:c>
      <x:c r="E82" s="81" t="inlineStr">
        <x:is>
          <x:t xml:space="preserve">Có khả năng suy luận hoặc tạo câu trả lời chưa đủ; cần meta-cognition để xem giả định, tiêu chí và lỗi của chính quá trình suy luận.</x:t>
        </x:is>
      </x:c>
      <x:c r="F82" s="81" t="inlineStr">
        <x:is>
          <x:t xml:space="preserve">Enchiridion / Discourses</x:t>
        </x:is>
      </x:c>
      <x:c r="G82" s="81" t="inlineStr">
        <x:is>
          <x:t xml:space="preserve">Epictetus; reported/compiled by Arrian</x:t>
        </x:is>
      </x:c>
      <x:c r="H82" s="81" t="inlineStr">
        <x:is>
          <x:t xml:space="preserve">https://atlas.perseus.tufts.edu/library/urn:cts:greekLit:tlg0557.tlg001/</x:t>
        </x:is>
      </x:c>
      <x:c r="I82" s="81" t="inlineStr">
        <x:is>
          <x:t xml:space="preserve">Primary Greek edition / institutional corpus</x:t>
        </x:is>
      </x:c>
      <x:c r="J82" s="81" t="inlineStr">
        <x:is>
          <x:t xml:space="preserve">Disc.1.1,1.20</x:t>
        </x:is>
      </x:c>
      <x:c r="K82" s="81" t="inlineStr">
        <x:is>
          <x:t xml:space="preserve">Day 7 editorial principle seed; modern Selflo interpretation must not overstate Stoic control or minimize external harm.</x:t>
        </x:is>
      </x:c>
      <x:c r="L82" s="81" t="inlineStr">
        <x:is>
          <x:t xml:space="preserve">A - Primary source</x:t>
        </x:is>
      </x:c>
      <x:c r="M82" s="81" t="inlineStr">
        <x:is>
          <x:t xml:space="preserve">AI-age judgment</x:t>
        </x:is>
      </x:c>
      <x:c r="N82" s="81" t="inlineStr">
        <x:is>
          <x:t xml:space="preserve">Selflo philosophy / AI-age</x:t>
        </x:is>
      </x:c>
      <x:c r="O82" s="81" t="inlineStr">
        <x:is>
          <x:t xml:space="preserve">Day 7 / Epictetus</x:t>
        </x:is>
      </x:c>
      <x:c r="P82" s="81" t="inlineStr">
        <x:is>
          <x:t xml:space="preserve">Distinguish / Reframe</x:t>
        </x:is>
      </x:c>
      <x:c r="Q82" s="81" t="str"/>
      <x:c r="R82" s="81" t="str"/>
      <x:c r="S82" s="81" t="inlineStr">
        <x:is>
          <x:t xml:space="preserve">Editorial lens</x:t>
        </x:is>
      </x:c>
      <x:c r="T82" s="81" t="inlineStr">
        <x:is>
          <x:t xml:space="preserve">Yes</x:t>
        </x:is>
      </x:c>
      <x:c r="U82" s="81" t="n">
        <x:v>7</x:v>
      </x:c>
      <x:c r="V82" s="81" t="inlineStr">
        <x:is>
          <x:t xml:space="preserve">Day 7 principle seed.</x:t>
        </x:is>
      </x:c>
    </x:row>
    <x:row r="83">
      <x:c r="A83" s="81" t="inlineStr">
        <x:is>
          <x:t xml:space="preserve">principle.epictetus.day7.progress_not_appearance</x:t>
        </x:is>
      </x:c>
      <x:c r="B83" s="81" t="inlineStr">
        <x:is>
          <x:t xml:space="preserve">Collected</x:t>
        </x:is>
      </x:c>
      <x:c r="C83" s="81" t="inlineStr">
        <x:is>
          <x:t xml:space="preserve">Tiến bộ khác với trông có vẻ hiểu biết</x:t>
        </x:is>
      </x:c>
      <x:c r="D83" s="81" t="inlineStr">
        <x:is>
          <x:t xml:space="preserve">Learning</x:t>
        </x:is>
      </x:c>
      <x:c r="E83" s="81" t="inlineStr">
        <x:is>
          <x:t xml:space="preserve">Nhu cầu được nhìn như người đã biết có thể cản việc thật sự học.</x:t>
        </x:is>
      </x:c>
      <x:c r="F83" s="81" t="inlineStr">
        <x:is>
          <x:t xml:space="preserve">Enchiridion / Discourses</x:t>
        </x:is>
      </x:c>
      <x:c r="G83" s="81" t="inlineStr">
        <x:is>
          <x:t xml:space="preserve">Epictetus; reported/compiled by Arrian</x:t>
        </x:is>
      </x:c>
      <x:c r="H83" s="81" t="inlineStr">
        <x:is>
          <x:t xml:space="preserve">https://www.perseus.tufts.edu/hopper/text?doc=Perseus:text:1999.01.0235:text=enc</x:t>
        </x:is>
      </x:c>
      <x:c r="I83" s="81" t="inlineStr">
        <x:is>
          <x:t xml:space="preserve">Primary Greek edition / institutional corpus</x:t>
        </x:is>
      </x:c>
      <x:c r="J83" s="81" t="inlineStr">
        <x:is>
          <x:t xml:space="preserve">Ench.13</x:t>
        </x:is>
      </x:c>
      <x:c r="K83" s="81" t="inlineStr">
        <x:is>
          <x:t xml:space="preserve">Day 7 editorial principle seed; modern Selflo interpretation must not overstate Stoic control or minimize external harm.</x:t>
        </x:is>
      </x:c>
      <x:c r="L83" s="81" t="inlineStr">
        <x:is>
          <x:t xml:space="preserve">A - Primary source</x:t>
        </x:is>
      </x:c>
      <x:c r="M83" s="81" t="inlineStr">
        <x:is>
          <x:t xml:space="preserve">Learning</x:t>
        </x:is>
      </x:c>
      <x:c r="N83" s="81" t="inlineStr">
        <x:is>
          <x:t xml:space="preserve">Selflo philosophy / AI-age</x:t>
        </x:is>
      </x:c>
      <x:c r="O83" s="81" t="inlineStr">
        <x:is>
          <x:t xml:space="preserve">Day 7 / Epictetus</x:t>
        </x:is>
      </x:c>
      <x:c r="P83" s="81" t="inlineStr">
        <x:is>
          <x:t xml:space="preserve">Distinguish / Reframe</x:t>
        </x:is>
      </x:c>
      <x:c r="Q83" s="81" t="str"/>
      <x:c r="R83" s="81" t="str"/>
      <x:c r="S83" s="81" t="inlineStr">
        <x:is>
          <x:t xml:space="preserve">Editorial lens</x:t>
        </x:is>
      </x:c>
      <x:c r="T83" s="81" t="inlineStr">
        <x:is>
          <x:t xml:space="preserve">Yes</x:t>
        </x:is>
      </x:c>
      <x:c r="U83" s="81" t="n">
        <x:v>7</x:v>
      </x:c>
      <x:c r="V83" s="81" t="inlineStr">
        <x:is>
          <x:t xml:space="preserve">Day 7 principle seed.</x:t>
        </x:is>
      </x:c>
    </x:row>
    <x:row r="84">
      <x:c r="A84" s="81" t="inlineStr">
        <x:is>
          <x:t xml:space="preserve">principle.epictetus.day7.external_outcome_not_whole_worth</x:t>
        </x:is>
      </x:c>
      <x:c r="B84" s="81" t="inlineStr">
        <x:is>
          <x:t xml:space="preserve">Collected</x:t>
        </x:is>
      </x:c>
      <x:c r="C84" s="81" t="inlineStr">
        <x:is>
          <x:t xml:space="preserve">Kết quả bên ngoài không chứa trọn giá trị của người</x:t>
        </x:is>
      </x:c>
      <x:c r="D84" s="81" t="inlineStr">
        <x:is>
          <x:t xml:space="preserve">Self-worth</x:t>
        </x:is>
      </x:c>
      <x:c r="E84" s="81" t="inlineStr">
        <x:is>
          <x:t xml:space="preserve">Danh tiếng, chức vị và kết quả chịu nhiều biến ngoài quyền cá nhân; không dùng chúng làm thước đo duy nhất của con người.</x:t>
        </x:is>
      </x:c>
      <x:c r="F84" s="81" t="inlineStr">
        <x:is>
          <x:t xml:space="preserve">Enchiridion / Discourses</x:t>
        </x:is>
      </x:c>
      <x:c r="G84" s="81" t="inlineStr">
        <x:is>
          <x:t xml:space="preserve">Epictetus; reported/compiled by Arrian</x:t>
        </x:is>
      </x:c>
      <x:c r="H84" s="81" t="inlineStr">
        <x:is>
          <x:t xml:space="preserve">https://www.perseus.tufts.edu/hopper/text?doc=Perseus:text:1999.01.0235:text=enc</x:t>
        </x:is>
      </x:c>
      <x:c r="I84" s="81" t="inlineStr">
        <x:is>
          <x:t xml:space="preserve">Primary Greek edition / institutional corpus</x:t>
        </x:is>
      </x:c>
      <x:c r="J84" s="81" t="inlineStr">
        <x:is>
          <x:t xml:space="preserve">Ench.1,6,24</x:t>
        </x:is>
      </x:c>
      <x:c r="K84" s="81" t="inlineStr">
        <x:is>
          <x:t xml:space="preserve">Day 7 editorial principle seed; modern Selflo interpretation must not overstate Stoic control or minimize external harm.</x:t>
        </x:is>
      </x:c>
      <x:c r="L84" s="81" t="inlineStr">
        <x:is>
          <x:t xml:space="preserve">A - Primary source</x:t>
        </x:is>
      </x:c>
      <x:c r="M84" s="81" t="inlineStr">
        <x:is>
          <x:t xml:space="preserve">Self-worth</x:t>
        </x:is>
      </x:c>
      <x:c r="N84" s="81" t="inlineStr">
        <x:is>
          <x:t xml:space="preserve">Selflo philosophy / AI-age</x:t>
        </x:is>
      </x:c>
      <x:c r="O84" s="81" t="inlineStr">
        <x:is>
          <x:t xml:space="preserve">Day 7 / Epictetus</x:t>
        </x:is>
      </x:c>
      <x:c r="P84" s="81" t="inlineStr">
        <x:is>
          <x:t xml:space="preserve">Distinguish / Reframe</x:t>
        </x:is>
      </x:c>
      <x:c r="Q84" s="81" t="str"/>
      <x:c r="R84" s="81" t="str"/>
      <x:c r="S84" s="81" t="inlineStr">
        <x:is>
          <x:t xml:space="preserve">Editorial lens</x:t>
        </x:is>
      </x:c>
      <x:c r="T84" s="81" t="inlineStr">
        <x:is>
          <x:t xml:space="preserve">Yes</x:t>
        </x:is>
      </x:c>
      <x:c r="U84" s="81" t="n">
        <x:v>7</x:v>
      </x:c>
      <x:c r="V84" s="81" t="inlineStr">
        <x:is>
          <x:t xml:space="preserve">Day 7 principle seed.</x:t>
        </x:is>
      </x:c>
    </x:row>
    <x:row r="85">
      <x:c r="A85" s="81" t="inlineStr">
        <x:is>
          <x:t xml:space="preserve">principle.epictetus.day7.reframe_not_deny</x:t>
        </x:is>
      </x:c>
      <x:c r="B85" s="81" t="inlineStr">
        <x:is>
          <x:t xml:space="preserve">Collected</x:t>
        </x:is>
      </x:c>
      <x:c r="C85" s="81" t="inlineStr">
        <x:is>
          <x:t xml:space="preserve">Đổi tay cầm không có nghĩa phủ nhận sự việc</x:t>
        </x:is>
      </x:c>
      <x:c r="D85" s="81" t="inlineStr">
        <x:is>
          <x:t xml:space="preserve">Reframing</x:t>
        </x:is>
      </x:c>
      <x:c r="E85" s="81" t="inlineStr">
        <x:is>
          <x:t xml:space="preserve">Reframe tốt mở thêm cách tiếp cận nhưng vẫn giữ nguyên dữ kiện, hậu quả và quyền lựa chọn của người đọc.</x:t>
        </x:is>
      </x:c>
      <x:c r="F85" s="81" t="inlineStr">
        <x:is>
          <x:t xml:space="preserve">Enchiridion / Discourses</x:t>
        </x:is>
      </x:c>
      <x:c r="G85" s="81" t="inlineStr">
        <x:is>
          <x:t xml:space="preserve">Epictetus; reported/compiled by Arrian</x:t>
        </x:is>
      </x:c>
      <x:c r="H85" s="81" t="inlineStr">
        <x:is>
          <x:t xml:space="preserve">https://www.perseus.tufts.edu/hopper/text?doc=Perseus:text:1999.01.0235:text=enc</x:t>
        </x:is>
      </x:c>
      <x:c r="I85" s="81" t="inlineStr">
        <x:is>
          <x:t xml:space="preserve">Primary Greek edition / institutional corpus</x:t>
        </x:is>
      </x:c>
      <x:c r="J85" s="81" t="inlineStr">
        <x:is>
          <x:t xml:space="preserve">Ench.43</x:t>
        </x:is>
      </x:c>
      <x:c r="K85" s="81" t="inlineStr">
        <x:is>
          <x:t xml:space="preserve">Day 7 editorial principle seed; modern Selflo interpretation must not overstate Stoic control or minimize external harm.</x:t>
        </x:is>
      </x:c>
      <x:c r="L85" s="81" t="inlineStr">
        <x:is>
          <x:t xml:space="preserve">A - Primary source</x:t>
        </x:is>
      </x:c>
      <x:c r="M85" s="81" t="inlineStr">
        <x:is>
          <x:t xml:space="preserve">Reframing</x:t>
        </x:is>
      </x:c>
      <x:c r="N85" s="81" t="inlineStr">
        <x:is>
          <x:t xml:space="preserve">Selflo philosophy / AI-age</x:t>
        </x:is>
      </x:c>
      <x:c r="O85" s="81" t="inlineStr">
        <x:is>
          <x:t xml:space="preserve">Day 7 / Epictetus</x:t>
        </x:is>
      </x:c>
      <x:c r="P85" s="81" t="inlineStr">
        <x:is>
          <x:t xml:space="preserve">Distinguish / Reframe</x:t>
        </x:is>
      </x:c>
      <x:c r="Q85" s="81" t="str"/>
      <x:c r="R85" s="81" t="str"/>
      <x:c r="S85" s="81" t="inlineStr">
        <x:is>
          <x:t xml:space="preserve">Editorial lens</x:t>
        </x:is>
      </x:c>
      <x:c r="T85" s="81" t="inlineStr">
        <x:is>
          <x:t xml:space="preserve">Yes</x:t>
        </x:is>
      </x:c>
      <x:c r="U85" s="81" t="n">
        <x:v>7</x:v>
      </x:c>
      <x:c r="V85" s="81" t="inlineStr">
        <x:is>
          <x:t xml:space="preserve">Day 7 principle seed.</x:t>
        </x:is>
      </x:c>
    </x:row>
    <x:row r="86">
      <x:c r="A86" s="81" t="inlineStr">
        <x:is>
          <x:t xml:space="preserve">principle.marcus.day8.prepare_without_prejudging</x:t>
        </x:is>
      </x:c>
      <x:c r="B86" s="81" t="inlineStr">
        <x:is>
          <x:t xml:space="preserve">Collected</x:t>
        </x:is>
      </x:c>
      <x:c r="C86" s="81" t="inlineStr">
        <x:is>
          <x:t xml:space="preserve">Chuẩn bị cho ma sát không đồng nghĩa phán xét trước con người</x:t>
        </x:is>
      </x:c>
      <x:c r="D86" s="81" t="inlineStr">
        <x:is>
          <x:t xml:space="preserve">Relationships</x:t>
        </x:is>
      </x:c>
      <x:c r="E86" s="81" t="inlineStr">
        <x:is>
          <x:t xml:space="preserve">Có thể dự kiến một ngày có người khó hợp tác mà vẫn để họ có cơ hội xuất hiện khác với dự đoán.</x:t>
        </x:is>
      </x:c>
      <x:c r="F86" s="81" t="inlineStr">
        <x:is>
          <x:t xml:space="preserve">Meditations / Τὰ εἰς ἑαυτόν</x:t>
        </x:is>
      </x:c>
      <x:c r="G86" s="81" t="inlineStr">
        <x:is>
          <x:t xml:space="preserve">Marcus Aurelius</x:t>
        </x:is>
      </x:c>
      <x:c r="H86" s="81" t="inlineStr">
        <x:is>
          <x:t xml:space="preserve">https://www.perseus.tufts.edu/hopper/text?doc=Perseus:text:2008.01.0641</x:t>
        </x:is>
      </x:c>
      <x:c r="I86" s="81" t="inlineStr">
        <x:is>
          <x:t xml:space="preserve">Primary Greek edition / institutional corpus</x:t>
        </x:is>
      </x:c>
      <x:c r="J86" s="81" t="inlineStr">
        <x:is>
          <x:t xml:space="preserve">2.1</x:t>
        </x:is>
      </x:c>
      <x:c r="K86" s="81" t="inlineStr">
        <x:is>
          <x:t xml:space="preserve">Day 8 Selflo editorial principle seed derived from Marcus' self-address; preserve context and avoid converting Stoicism into blame/suppression.</x:t>
        </x:is>
      </x:c>
      <x:c r="L86" s="81" t="inlineStr">
        <x:is>
          <x:t xml:space="preserve">A - Primary source</x:t>
        </x:is>
      </x:c>
      <x:c r="M86" s="81" t="inlineStr">
        <x:is>
          <x:t xml:space="preserve">Relationships</x:t>
        </x:is>
      </x:c>
      <x:c r="N86" s="81" t="inlineStr">
        <x:is>
          <x:t xml:space="preserve">Selflo philosophy / AI-age</x:t>
        </x:is>
      </x:c>
      <x:c r="O86" s="81" t="inlineStr">
        <x:is>
          <x:t xml:space="preserve">Day 8 / Marcus Aurelius</x:t>
        </x:is>
      </x:c>
      <x:c r="P86" s="81" t="inlineStr">
        <x:is>
          <x:t xml:space="preserve">Distinguish / Reframe</x:t>
        </x:is>
      </x:c>
      <x:c r="Q86" s="81" t="str"/>
      <x:c r="R86" s="81" t="str"/>
      <x:c r="S86" s="81" t="inlineStr">
        <x:is>
          <x:t xml:space="preserve">Editorial lens</x:t>
        </x:is>
      </x:c>
      <x:c r="T86" s="81" t="inlineStr">
        <x:is>
          <x:t xml:space="preserve">Yes</x:t>
        </x:is>
      </x:c>
      <x:c r="U86" s="81" t="n">
        <x:v>8</x:v>
      </x:c>
      <x:c r="V86" s="81" t="inlineStr">
        <x:is>
          <x:t xml:space="preserve">Day 8 principle seed.</x:t>
        </x:is>
      </x:c>
    </x:row>
    <x:row r="87">
      <x:c r="A87" s="81" t="inlineStr">
        <x:is>
          <x:t xml:space="preserve">principle.marcus.day8.present_is_working_unit</x:t>
        </x:is>
      </x:c>
      <x:c r="B87" s="81" t="inlineStr">
        <x:is>
          <x:t xml:space="preserve">Collected</x:t>
        </x:is>
      </x:c>
      <x:c r="C87" s="81" t="inlineStr">
        <x:is>
          <x:t xml:space="preserve">Hiện tại là đơn vị làm việc nhỏ nhất của đời sống</x:t>
        </x:is>
      </x:c>
      <x:c r="D87" s="81" t="inlineStr">
        <x:is>
          <x:t xml:space="preserve">Time</x:t>
        </x:is>
      </x:c>
      <x:c r="E87" s="81" t="inlineStr">
        <x:is>
          <x:t xml:space="preserve">Quá khứ cung cấp dữ liệu, tương lai cung cấp hướng; hành động chỉ xảy ra ở phần hiện tại.</x:t>
        </x:is>
      </x:c>
      <x:c r="F87" s="81" t="inlineStr">
        <x:is>
          <x:t xml:space="preserve">Meditations / Τὰ εἰς ἑαυτόν</x:t>
        </x:is>
      </x:c>
      <x:c r="G87" s="81" t="inlineStr">
        <x:is>
          <x:t xml:space="preserve">Marcus Aurelius</x:t>
        </x:is>
      </x:c>
      <x:c r="H87" s="81" t="inlineStr">
        <x:is>
          <x:t xml:space="preserve">https://www.perseus.tufts.edu/hopper/text?doc=Perseus:text:2008.01.0641</x:t>
        </x:is>
      </x:c>
      <x:c r="I87" s="81" t="inlineStr">
        <x:is>
          <x:t xml:space="preserve">Primary Greek edition / institutional corpus</x:t>
        </x:is>
      </x:c>
      <x:c r="J87" s="81" t="inlineStr">
        <x:is>
          <x:t xml:space="preserve">2,3,12</x:t>
        </x:is>
      </x:c>
      <x:c r="K87" s="81" t="inlineStr">
        <x:is>
          <x:t xml:space="preserve">Day 8 Selflo editorial principle seed derived from Marcus' self-address; preserve context and avoid converting Stoicism into blame/suppression.</x:t>
        </x:is>
      </x:c>
      <x:c r="L87" s="81" t="inlineStr">
        <x:is>
          <x:t xml:space="preserve">A - Primary source</x:t>
        </x:is>
      </x:c>
      <x:c r="M87" s="81" t="inlineStr">
        <x:is>
          <x:t xml:space="preserve">Time</x:t>
        </x:is>
      </x:c>
      <x:c r="N87" s="81" t="inlineStr">
        <x:is>
          <x:t xml:space="preserve">Selflo philosophy / AI-age</x:t>
        </x:is>
      </x:c>
      <x:c r="O87" s="81" t="inlineStr">
        <x:is>
          <x:t xml:space="preserve">Day 8 / Marcus Aurelius</x:t>
        </x:is>
      </x:c>
      <x:c r="P87" s="81" t="inlineStr">
        <x:is>
          <x:t xml:space="preserve">Distinguish / Reframe</x:t>
        </x:is>
      </x:c>
      <x:c r="Q87" s="81" t="str"/>
      <x:c r="R87" s="81" t="str"/>
      <x:c r="S87" s="81" t="inlineStr">
        <x:is>
          <x:t xml:space="preserve">Editorial lens</x:t>
        </x:is>
      </x:c>
      <x:c r="T87" s="81" t="inlineStr">
        <x:is>
          <x:t xml:space="preserve">Yes</x:t>
        </x:is>
      </x:c>
      <x:c r="U87" s="81" t="n">
        <x:v>8</x:v>
      </x:c>
      <x:c r="V87" s="81" t="inlineStr">
        <x:is>
          <x:t xml:space="preserve">Day 8 principle seed.</x:t>
        </x:is>
      </x:c>
    </x:row>
    <x:row r="88">
      <x:c r="A88" s="81" t="inlineStr">
        <x:is>
          <x:t xml:space="preserve">principle.marcus.day8.inner_space_not_escape</x:t>
        </x:is>
      </x:c>
      <x:c r="B88" s="81" t="inlineStr">
        <x:is>
          <x:t xml:space="preserve">Collected</x:t>
        </x:is>
      </x:c>
      <x:c r="C88" s="81" t="inlineStr">
        <x:is>
          <x:t xml:space="preserve">Khoảng lùi bên trong không thay thế việc thay đổi hoàn cảnh cần thay đổi</x:t>
        </x:is>
      </x:c>
      <x:c r="D88" s="81" t="inlineStr">
        <x:is>
          <x:t xml:space="preserve">Recovery</x:t>
        </x:is>
      </x:c>
      <x:c r="E88" s="81" t="inlineStr">
        <x:is>
          <x:t xml:space="preserve">Selflo có thể tạo một khoảng dừng nội tại nhưng không dùng nó để yêu cầu user chịu đựng môi trường gây hại.</x:t>
        </x:is>
      </x:c>
      <x:c r="F88" s="81" t="inlineStr">
        <x:is>
          <x:t xml:space="preserve">Meditations / Τὰ εἰς ἑαυτόν</x:t>
        </x:is>
      </x:c>
      <x:c r="G88" s="81" t="inlineStr">
        <x:is>
          <x:t xml:space="preserve">Marcus Aurelius</x:t>
        </x:is>
      </x:c>
      <x:c r="H88" s="81" t="inlineStr">
        <x:is>
          <x:t xml:space="preserve">https://www.perseus.tufts.edu/hopper/text?doc=Perseus:text:2008.01.0641</x:t>
        </x:is>
      </x:c>
      <x:c r="I88" s="81" t="inlineStr">
        <x:is>
          <x:t xml:space="preserve">Primary Greek edition / institutional corpus</x:t>
        </x:is>
      </x:c>
      <x:c r="J88" s="81" t="inlineStr">
        <x:is>
          <x:t xml:space="preserve">4.3</x:t>
        </x:is>
      </x:c>
      <x:c r="K88" s="81" t="inlineStr">
        <x:is>
          <x:t xml:space="preserve">Day 8 Selflo editorial principle seed derived from Marcus' self-address; preserve context and avoid converting Stoicism into blame/suppression.</x:t>
        </x:is>
      </x:c>
      <x:c r="L88" s="81" t="inlineStr">
        <x:is>
          <x:t xml:space="preserve">A - Primary source</x:t>
        </x:is>
      </x:c>
      <x:c r="M88" s="81" t="inlineStr">
        <x:is>
          <x:t xml:space="preserve">Recovery</x:t>
        </x:is>
      </x:c>
      <x:c r="N88" s="81" t="inlineStr">
        <x:is>
          <x:t xml:space="preserve">Selflo philosophy / AI-age</x:t>
        </x:is>
      </x:c>
      <x:c r="O88" s="81" t="inlineStr">
        <x:is>
          <x:t xml:space="preserve">Day 8 / Marcus Aurelius</x:t>
        </x:is>
      </x:c>
      <x:c r="P88" s="81" t="inlineStr">
        <x:is>
          <x:t xml:space="preserve">Distinguish / Reframe</x:t>
        </x:is>
      </x:c>
      <x:c r="Q88" s="81" t="str"/>
      <x:c r="R88" s="81" t="str"/>
      <x:c r="S88" s="81" t="inlineStr">
        <x:is>
          <x:t xml:space="preserve">Editorial lens</x:t>
        </x:is>
      </x:c>
      <x:c r="T88" s="81" t="inlineStr">
        <x:is>
          <x:t xml:space="preserve">Yes</x:t>
        </x:is>
      </x:c>
      <x:c r="U88" s="81" t="n">
        <x:v>8</x:v>
      </x:c>
      <x:c r="V88" s="81" t="inlineStr">
        <x:is>
          <x:t xml:space="preserve">Day 8 principle seed.</x:t>
        </x:is>
      </x:c>
    </x:row>
    <x:row r="89">
      <x:c r="A89" s="81" t="inlineStr">
        <x:is>
          <x:t xml:space="preserve">principle.marcus.day8.event_and_judgment_layers</x:t>
        </x:is>
      </x:c>
      <x:c r="B89" s="81" t="inlineStr">
        <x:is>
          <x:t xml:space="preserve">Collected</x:t>
        </x:is>
      </x:c>
      <x:c r="C89" s="81" t="inlineStr">
        <x:is>
          <x:t xml:space="preserve">Sự việc và phán đoán về sự việc là hai lớp có thể quan sát riêng</x:t>
        </x:is>
      </x:c>
      <x:c r="D89" s="81" t="inlineStr">
        <x:is>
          <x:t xml:space="preserve">Judgment</x:t>
        </x:is>
      </x:c>
      <x:c r="E89" s="81" t="inlineStr">
        <x:is>
          <x:t xml:space="preserve">Tách lớp không phủ nhận sự kiện; nó chỉ giúp thấy phần nào là dữ kiện và phần nào là diễn giải đang tiếp tục hoạt động.</x:t>
        </x:is>
      </x:c>
      <x:c r="F89" s="81" t="inlineStr">
        <x:is>
          <x:t xml:space="preserve">Meditations / Τὰ εἰς ἑαυτόν</x:t>
        </x:is>
      </x:c>
      <x:c r="G89" s="81" t="inlineStr">
        <x:is>
          <x:t xml:space="preserve">Marcus Aurelius</x:t>
        </x:is>
      </x:c>
      <x:c r="H89" s="81" t="inlineStr">
        <x:is>
          <x:t xml:space="preserve">https://www.perseus.tufts.edu/hopper/text?doc=Perseus:text:2008.01.0641</x:t>
        </x:is>
      </x:c>
      <x:c r="I89" s="81" t="inlineStr">
        <x:is>
          <x:t xml:space="preserve">Primary Greek edition / institutional corpus</x:t>
        </x:is>
      </x:c>
      <x:c r="J89" s="81" t="inlineStr">
        <x:is>
          <x:t xml:space="preserve">4.7,8.47</x:t>
        </x:is>
      </x:c>
      <x:c r="K89" s="81" t="inlineStr">
        <x:is>
          <x:t xml:space="preserve">Day 8 Selflo editorial principle seed derived from Marcus' self-address; preserve context and avoid converting Stoicism into blame/suppression.</x:t>
        </x:is>
      </x:c>
      <x:c r="L89" s="81" t="inlineStr">
        <x:is>
          <x:t xml:space="preserve">A - Primary source</x:t>
        </x:is>
      </x:c>
      <x:c r="M89" s="81" t="inlineStr">
        <x:is>
          <x:t xml:space="preserve">Judgment</x:t>
        </x:is>
      </x:c>
      <x:c r="N89" s="81" t="inlineStr">
        <x:is>
          <x:t xml:space="preserve">Selflo philosophy / AI-age</x:t>
        </x:is>
      </x:c>
      <x:c r="O89" s="81" t="inlineStr">
        <x:is>
          <x:t xml:space="preserve">Day 8 / Marcus Aurelius</x:t>
        </x:is>
      </x:c>
      <x:c r="P89" s="81" t="inlineStr">
        <x:is>
          <x:t xml:space="preserve">Distinguish / Reframe</x:t>
        </x:is>
      </x:c>
      <x:c r="Q89" s="81" t="str"/>
      <x:c r="R89" s="81" t="str"/>
      <x:c r="S89" s="81" t="inlineStr">
        <x:is>
          <x:t xml:space="preserve">Editorial lens</x:t>
        </x:is>
      </x:c>
      <x:c r="T89" s="81" t="inlineStr">
        <x:is>
          <x:t xml:space="preserve">Yes</x:t>
        </x:is>
      </x:c>
      <x:c r="U89" s="81" t="n">
        <x:v>8</x:v>
      </x:c>
      <x:c r="V89" s="81" t="inlineStr">
        <x:is>
          <x:t xml:space="preserve">Day 8 principle seed.</x:t>
        </x:is>
      </x:c>
    </x:row>
    <x:row r="90">
      <x:c r="A90" s="81" t="inlineStr">
        <x:is>
          <x:t xml:space="preserve">principle.marcus.day8.obstacle_not_identity</x:t>
        </x:is>
      </x:c>
      <x:c r="B90" s="81" t="inlineStr">
        <x:is>
          <x:t xml:space="preserve">Collected</x:t>
        </x:is>
      </x:c>
      <x:c r="C90" s="81" t="inlineStr">
        <x:is>
          <x:t xml:space="preserve">Trở ngại không phải bản sắc hay phẩm chất của người gặp nó</x:t>
        </x:is>
      </x:c>
      <x:c r="D90" s="81" t="inlineStr">
        <x:is>
          <x:t xml:space="preserve">Self-worth</x:t>
        </x:is>
      </x:c>
      <x:c r="E90" s="81" t="inlineStr">
        <x:is>
          <x:t xml:space="preserve">Một việc khó, chậm hoặc thất bại không tự chứng minh người đó kém.</x:t>
        </x:is>
      </x:c>
      <x:c r="F90" s="81" t="inlineStr">
        <x:is>
          <x:t xml:space="preserve">Meditations / Τὰ εἰς ἑαυτόν</x:t>
        </x:is>
      </x:c>
      <x:c r="G90" s="81" t="inlineStr">
        <x:is>
          <x:t xml:space="preserve">Marcus Aurelius</x:t>
        </x:is>
      </x:c>
      <x:c r="H90" s="81" t="inlineStr">
        <x:is>
          <x:t xml:space="preserve">https://www.perseus.tufts.edu/hopper/text?doc=Perseus:text:2008.01.0641</x:t>
        </x:is>
      </x:c>
      <x:c r="I90" s="81" t="inlineStr">
        <x:is>
          <x:t xml:space="preserve">Primary Greek edition / institutional corpus</x:t>
        </x:is>
      </x:c>
      <x:c r="J90" s="81" t="inlineStr">
        <x:is>
          <x:t xml:space="preserve">5.20</x:t>
        </x:is>
      </x:c>
      <x:c r="K90" s="81" t="inlineStr">
        <x:is>
          <x:t xml:space="preserve">Day 8 Selflo editorial principle seed derived from Marcus' self-address; preserve context and avoid converting Stoicism into blame/suppression.</x:t>
        </x:is>
      </x:c>
      <x:c r="L90" s="81" t="inlineStr">
        <x:is>
          <x:t xml:space="preserve">A - Primary source</x:t>
        </x:is>
      </x:c>
      <x:c r="M90" s="81" t="inlineStr">
        <x:is>
          <x:t xml:space="preserve">Self-worth</x:t>
        </x:is>
      </x:c>
      <x:c r="N90" s="81" t="inlineStr">
        <x:is>
          <x:t xml:space="preserve">Selflo philosophy / AI-age</x:t>
        </x:is>
      </x:c>
      <x:c r="O90" s="81" t="inlineStr">
        <x:is>
          <x:t xml:space="preserve">Day 8 / Marcus Aurelius</x:t>
        </x:is>
      </x:c>
      <x:c r="P90" s="81" t="inlineStr">
        <x:is>
          <x:t xml:space="preserve">Distinguish / Reframe</x:t>
        </x:is>
      </x:c>
      <x:c r="Q90" s="81" t="str"/>
      <x:c r="R90" s="81" t="str"/>
      <x:c r="S90" s="81" t="inlineStr">
        <x:is>
          <x:t xml:space="preserve">Editorial lens</x:t>
        </x:is>
      </x:c>
      <x:c r="T90" s="81" t="inlineStr">
        <x:is>
          <x:t xml:space="preserve">Yes</x:t>
        </x:is>
      </x:c>
      <x:c r="U90" s="81" t="n">
        <x:v>8</x:v>
      </x:c>
      <x:c r="V90" s="81" t="inlineStr">
        <x:is>
          <x:t xml:space="preserve">Day 8 principle seed.</x:t>
        </x:is>
      </x:c>
    </x:row>
    <x:row r="91">
      <x:c r="A91" s="81" t="inlineStr">
        <x:is>
          <x:t xml:space="preserve">principle.marcus.day8.return_is_part_of_practice</x:t>
        </x:is>
      </x:c>
      <x:c r="B91" s="81" t="inlineStr">
        <x:is>
          <x:t xml:space="preserve">Collected</x:t>
        </x:is>
      </x:c>
      <x:c r="C91" s="81" t="inlineStr">
        <x:is>
          <x:t xml:space="preserve">Bị lệch rồi quay lại cũng là một phần của thực hành</x:t>
        </x:is>
      </x:c>
      <x:c r="D91" s="81" t="inlineStr">
        <x:is>
          <x:t xml:space="preserve">Recovery</x:t>
        </x:is>
      </x:c>
      <x:c r="E91" s="81" t="inlineStr">
        <x:is>
          <x:t xml:space="preserve">Không cần duy trì trạng thái hoàn hảo; khả năng nhận ra và quay lại có thể quan trọng hơn không bao giờ lệch.</x:t>
        </x:is>
      </x:c>
      <x:c r="F91" s="81" t="inlineStr">
        <x:is>
          <x:t xml:space="preserve">Meditations / Τὰ εἰς ἑαυτόν</x:t>
        </x:is>
      </x:c>
      <x:c r="G91" s="81" t="inlineStr">
        <x:is>
          <x:t xml:space="preserve">Marcus Aurelius</x:t>
        </x:is>
      </x:c>
      <x:c r="H91" s="81" t="inlineStr">
        <x:is>
          <x:t xml:space="preserve">https://www.perseus.tufts.edu/hopper/text?doc=Perseus:text:2008.01.0641</x:t>
        </x:is>
      </x:c>
      <x:c r="I91" s="81" t="inlineStr">
        <x:is>
          <x:t xml:space="preserve">Primary Greek edition / institutional corpus</x:t>
        </x:is>
      </x:c>
      <x:c r="J91" s="81" t="inlineStr">
        <x:is>
          <x:t xml:space="preserve">5.9,6.11</x:t>
        </x:is>
      </x:c>
      <x:c r="K91" s="81" t="inlineStr">
        <x:is>
          <x:t xml:space="preserve">Day 8 Selflo editorial principle seed derived from Marcus' self-address; preserve context and avoid converting Stoicism into blame/suppression.</x:t>
        </x:is>
      </x:c>
      <x:c r="L91" s="81" t="inlineStr">
        <x:is>
          <x:t xml:space="preserve">A - Primary source</x:t>
        </x:is>
      </x:c>
      <x:c r="M91" s="81" t="inlineStr">
        <x:is>
          <x:t xml:space="preserve">Recovery</x:t>
        </x:is>
      </x:c>
      <x:c r="N91" s="81" t="inlineStr">
        <x:is>
          <x:t xml:space="preserve">Selflo philosophy / AI-age</x:t>
        </x:is>
      </x:c>
      <x:c r="O91" s="81" t="inlineStr">
        <x:is>
          <x:t xml:space="preserve">Day 8 / Marcus Aurelius</x:t>
        </x:is>
      </x:c>
      <x:c r="P91" s="81" t="inlineStr">
        <x:is>
          <x:t xml:space="preserve">Distinguish / Reframe</x:t>
        </x:is>
      </x:c>
      <x:c r="Q91" s="81" t="str"/>
      <x:c r="R91" s="81" t="str"/>
      <x:c r="S91" s="81" t="inlineStr">
        <x:is>
          <x:t xml:space="preserve">Editorial lens</x:t>
        </x:is>
      </x:c>
      <x:c r="T91" s="81" t="inlineStr">
        <x:is>
          <x:t xml:space="preserve">Yes</x:t>
        </x:is>
      </x:c>
      <x:c r="U91" s="81" t="n">
        <x:v>8</x:v>
      </x:c>
      <x:c r="V91" s="81" t="inlineStr">
        <x:is>
          <x:t xml:space="preserve">Day 8 principle seed.</x:t>
        </x:is>
      </x:c>
    </x:row>
    <x:row r="92">
      <x:c r="A92" s="81" t="inlineStr">
        <x:is>
          <x:t xml:space="preserve">principle.marcus.day8.update_when_corrected</x:t>
        </x:is>
      </x:c>
      <x:c r="B92" s="81" t="inlineStr">
        <x:is>
          <x:t xml:space="preserve">Collected</x:t>
        </x:is>
      </x:c>
      <x:c r="C92" s="81" t="inlineStr">
        <x:is>
          <x:t xml:space="preserve">Sửa quan điểm khi có bằng chứng tốt hơn là năng lực, không phải thất bại</x:t>
        </x:is>
      </x:c>
      <x:c r="D92" s="81" t="inlineStr">
        <x:is>
          <x:t xml:space="preserve">Learning</x:t>
        </x:is>
      </x:c>
      <x:c r="E92" s="81" t="inlineStr">
        <x:is>
          <x:t xml:space="preserve">Một hệ suy nghĩ tốt phải cho phép cập nhật khi người khác chỉ ra điều đúng hơn.</x:t>
        </x:is>
      </x:c>
      <x:c r="F92" s="81" t="inlineStr">
        <x:is>
          <x:t xml:space="preserve">Meditations / Τὰ εἰς ἑαυτόν</x:t>
        </x:is>
      </x:c>
      <x:c r="G92" s="81" t="inlineStr">
        <x:is>
          <x:t xml:space="preserve">Marcus Aurelius</x:t>
        </x:is>
      </x:c>
      <x:c r="H92" s="81" t="inlineStr">
        <x:is>
          <x:t xml:space="preserve">https://www.perseus.tufts.edu/hopper/text?doc=Perseus:text:2008.01.0641</x:t>
        </x:is>
      </x:c>
      <x:c r="I92" s="81" t="inlineStr">
        <x:is>
          <x:t xml:space="preserve">Primary Greek edition / institutional corpus</x:t>
        </x:is>
      </x:c>
      <x:c r="J92" s="81" t="inlineStr">
        <x:is>
          <x:t xml:space="preserve">6.21</x:t>
        </x:is>
      </x:c>
      <x:c r="K92" s="81" t="inlineStr">
        <x:is>
          <x:t xml:space="preserve">Day 8 Selflo editorial principle seed derived from Marcus' self-address; preserve context and avoid converting Stoicism into blame/suppression.</x:t>
        </x:is>
      </x:c>
      <x:c r="L92" s="81" t="inlineStr">
        <x:is>
          <x:t xml:space="preserve">A - Primary source</x:t>
        </x:is>
      </x:c>
      <x:c r="M92" s="81" t="inlineStr">
        <x:is>
          <x:t xml:space="preserve">Learning</x:t>
        </x:is>
      </x:c>
      <x:c r="N92" s="81" t="inlineStr">
        <x:is>
          <x:t xml:space="preserve">Selflo philosophy / AI-age</x:t>
        </x:is>
      </x:c>
      <x:c r="O92" s="81" t="inlineStr">
        <x:is>
          <x:t xml:space="preserve">Day 8 / Marcus Aurelius</x:t>
        </x:is>
      </x:c>
      <x:c r="P92" s="81" t="inlineStr">
        <x:is>
          <x:t xml:space="preserve">Distinguish / Reframe</x:t>
        </x:is>
      </x:c>
      <x:c r="Q92" s="81" t="str"/>
      <x:c r="R92" s="81" t="str"/>
      <x:c r="S92" s="81" t="inlineStr">
        <x:is>
          <x:t xml:space="preserve">Editorial lens</x:t>
        </x:is>
      </x:c>
      <x:c r="T92" s="81" t="inlineStr">
        <x:is>
          <x:t xml:space="preserve">Yes</x:t>
        </x:is>
      </x:c>
      <x:c r="U92" s="81" t="n">
        <x:v>8</x:v>
      </x:c>
      <x:c r="V92" s="81" t="inlineStr">
        <x:is>
          <x:t xml:space="preserve">Day 8 principle seed.</x:t>
        </x:is>
      </x:c>
    </x:row>
    <x:row r="93">
      <x:c r="A93" s="81" t="inlineStr">
        <x:is>
          <x:t xml:space="preserve">principle.marcus.day8.dont_live_in_others_minds</x:t>
        </x:is>
      </x:c>
      <x:c r="B93" s="81" t="inlineStr">
        <x:is>
          <x:t xml:space="preserve">Collected</x:t>
        </x:is>
      </x:c>
      <x:c r="C93" s="81" t="inlineStr">
        <x:is>
          <x:t xml:space="preserve">Không cần sống phần lớn đời mình trong giả định về đầu người khác</x:t>
        </x:is>
      </x:c>
      <x:c r="D93" s="81" t="inlineStr">
        <x:is>
          <x:t xml:space="preserve">Attention</x:t>
        </x:is>
      </x:c>
      <x:c r="E93" s="81" t="inlineStr">
        <x:is>
          <x:t xml:space="preserve">Theo dõi người khác nghĩ gì có thể tiêu hết attention mà không tăng agency.</x:t>
        </x:is>
      </x:c>
      <x:c r="F93" s="81" t="inlineStr">
        <x:is>
          <x:t xml:space="preserve">Meditations / Τὰ εἰς ἑαυτόν</x:t>
        </x:is>
      </x:c>
      <x:c r="G93" s="81" t="inlineStr">
        <x:is>
          <x:t xml:space="preserve">Marcus Aurelius</x:t>
        </x:is>
      </x:c>
      <x:c r="H93" s="81" t="inlineStr">
        <x:is>
          <x:t xml:space="preserve">https://www.perseus.tufts.edu/hopper/text?doc=Perseus:text:2008.01.0641</x:t>
        </x:is>
      </x:c>
      <x:c r="I93" s="81" t="inlineStr">
        <x:is>
          <x:t xml:space="preserve">Primary Greek edition / institutional corpus</x:t>
        </x:is>
      </x:c>
      <x:c r="J93" s="81" t="inlineStr">
        <x:is>
          <x:t xml:space="preserve">3.4</x:t>
        </x:is>
      </x:c>
      <x:c r="K93" s="81" t="inlineStr">
        <x:is>
          <x:t xml:space="preserve">Day 8 Selflo editorial principle seed derived from Marcus' self-address; preserve context and avoid converting Stoicism into blame/suppression.</x:t>
        </x:is>
      </x:c>
      <x:c r="L93" s="81" t="inlineStr">
        <x:is>
          <x:t xml:space="preserve">A - Primary source</x:t>
        </x:is>
      </x:c>
      <x:c r="M93" s="81" t="inlineStr">
        <x:is>
          <x:t xml:space="preserve">Attention</x:t>
        </x:is>
      </x:c>
      <x:c r="N93" s="81" t="inlineStr">
        <x:is>
          <x:t xml:space="preserve">Selflo philosophy / AI-age</x:t>
        </x:is>
      </x:c>
      <x:c r="O93" s="81" t="inlineStr">
        <x:is>
          <x:t xml:space="preserve">Day 8 / Marcus Aurelius</x:t>
        </x:is>
      </x:c>
      <x:c r="P93" s="81" t="inlineStr">
        <x:is>
          <x:t xml:space="preserve">Distinguish / Reframe</x:t>
        </x:is>
      </x:c>
      <x:c r="Q93" s="81" t="str"/>
      <x:c r="R93" s="81" t="str"/>
      <x:c r="S93" s="81" t="inlineStr">
        <x:is>
          <x:t xml:space="preserve">Editorial lens</x:t>
        </x:is>
      </x:c>
      <x:c r="T93" s="81" t="inlineStr">
        <x:is>
          <x:t xml:space="preserve">Yes</x:t>
        </x:is>
      </x:c>
      <x:c r="U93" s="81" t="n">
        <x:v>8</x:v>
      </x:c>
      <x:c r="V93" s="81" t="inlineStr">
        <x:is>
          <x:t xml:space="preserve">Day 8 principle seed.</x:t>
        </x:is>
      </x:c>
    </x:row>
    <x:row r="94">
      <x:c r="A94" s="81" t="inlineStr">
        <x:is>
          <x:t xml:space="preserve">principle.marcus.day8.metacognition</x:t>
        </x:is>
      </x:c>
      <x:c r="B94" s="81" t="inlineStr">
        <x:is>
          <x:t xml:space="preserve">Collected</x:t>
        </x:is>
      </x:c>
      <x:c r="C94" s="81" t="inlineStr">
        <x:is>
          <x:t xml:space="preserve">Tâm trí có thể quay lại quan sát chính hoạt động của nó</x:t>
        </x:is>
      </x:c>
      <x:c r="D94" s="81" t="inlineStr">
        <x:is>
          <x:t xml:space="preserve">AI-age judgment</x:t>
        </x:is>
      </x:c>
      <x:c r="E94" s="81" t="inlineStr">
        <x:is>
          <x:t xml:space="preserve">Selflo không chỉ cung cấp answer; nó có thể giúp user thấy mình đang chú ý, diễn giải và lựa chọn như thế nào.</x:t>
        </x:is>
      </x:c>
      <x:c r="F94" s="81" t="inlineStr">
        <x:is>
          <x:t xml:space="preserve">Meditations / Τὰ εἰς ἑαυτόν</x:t>
        </x:is>
      </x:c>
      <x:c r="G94" s="81" t="inlineStr">
        <x:is>
          <x:t xml:space="preserve">Marcus Aurelius</x:t>
        </x:is>
      </x:c>
      <x:c r="H94" s="81" t="inlineStr">
        <x:is>
          <x:t xml:space="preserve">https://www.perseus.tufts.edu/hopper/text?doc=Perseus:text:2008.01.0641</x:t>
        </x:is>
      </x:c>
      <x:c r="I94" s="81" t="inlineStr">
        <x:is>
          <x:t xml:space="preserve">Primary Greek edition / institutional corpus</x:t>
        </x:is>
      </x:c>
      <x:c r="J94" s="81" t="inlineStr">
        <x:is>
          <x:t xml:space="preserve">11.1</x:t>
        </x:is>
      </x:c>
      <x:c r="K94" s="81" t="inlineStr">
        <x:is>
          <x:t xml:space="preserve">Day 8 Selflo editorial principle seed derived from Marcus' self-address; preserve context and avoid converting Stoicism into blame/suppression.</x:t>
        </x:is>
      </x:c>
      <x:c r="L94" s="81" t="inlineStr">
        <x:is>
          <x:t xml:space="preserve">A - Primary source</x:t>
        </x:is>
      </x:c>
      <x:c r="M94" s="81" t="inlineStr">
        <x:is>
          <x:t xml:space="preserve">AI-age judgment</x:t>
        </x:is>
      </x:c>
      <x:c r="N94" s="81" t="inlineStr">
        <x:is>
          <x:t xml:space="preserve">Selflo philosophy / AI-age</x:t>
        </x:is>
      </x:c>
      <x:c r="O94" s="81" t="inlineStr">
        <x:is>
          <x:t xml:space="preserve">Day 8 / Marcus Aurelius</x:t>
        </x:is>
      </x:c>
      <x:c r="P94" s="81" t="inlineStr">
        <x:is>
          <x:t xml:space="preserve">Distinguish / Reframe</x:t>
        </x:is>
      </x:c>
      <x:c r="Q94" s="81" t="str"/>
      <x:c r="R94" s="81" t="str"/>
      <x:c r="S94" s="81" t="inlineStr">
        <x:is>
          <x:t xml:space="preserve">Editorial lens</x:t>
        </x:is>
      </x:c>
      <x:c r="T94" s="81" t="inlineStr">
        <x:is>
          <x:t xml:space="preserve">Yes</x:t>
        </x:is>
      </x:c>
      <x:c r="U94" s="81" t="n">
        <x:v>8</x:v>
      </x:c>
      <x:c r="V94" s="81" t="inlineStr">
        <x:is>
          <x:t xml:space="preserve">Day 8 principle seed.</x:t>
        </x:is>
      </x:c>
    </x:row>
    <x:row r="95">
      <x:c r="A95" s="81" t="inlineStr">
        <x:is>
          <x:t xml:space="preserve">principle.marcus.day8.social_but_not_self_erasing</x:t>
        </x:is>
      </x:c>
      <x:c r="B95" s="81" t="inlineStr">
        <x:is>
          <x:t xml:space="preserve">Collected</x:t>
        </x:is>
      </x:c>
      <x:c r="C95" s="81" t="inlineStr">
        <x:is>
          <x:t xml:space="preserve">Con người có tính xã hội nhưng không vì vậy phải xóa ranh giới cá nhân</x:t>
        </x:is>
      </x:c>
      <x:c r="D95" s="81" t="inlineStr">
        <x:is>
          <x:t xml:space="preserve">Belonging</x:t>
        </x:is>
      </x:c>
      <x:c r="E95" s="81" t="inlineStr">
        <x:is>
          <x:t xml:space="preserve">Hợp tác và kết nối là giá trị; chúng không yêu cầu đồng ý, chịu đựng hoặc hòa tan mình vào người khác.</x:t>
        </x:is>
      </x:c>
      <x:c r="F95" s="81" t="inlineStr">
        <x:is>
          <x:t xml:space="preserve">Meditations / Τὰ εἰς ἑαυτόν</x:t>
        </x:is>
      </x:c>
      <x:c r="G95" s="81" t="inlineStr">
        <x:is>
          <x:t xml:space="preserve">Marcus Aurelius</x:t>
        </x:is>
      </x:c>
      <x:c r="H95" s="81" t="inlineStr">
        <x:is>
          <x:t xml:space="preserve">https://www.perseus.tufts.edu/hopper/text?doc=Perseus:text:2008.01.0641</x:t>
        </x:is>
      </x:c>
      <x:c r="I95" s="81" t="inlineStr">
        <x:is>
          <x:t xml:space="preserve">Primary Greek edition / institutional corpus</x:t>
        </x:is>
      </x:c>
      <x:c r="J95" s="81" t="inlineStr">
        <x:is>
          <x:t xml:space="preserve">2.1,11.8</x:t>
        </x:is>
      </x:c>
      <x:c r="K95" s="81" t="inlineStr">
        <x:is>
          <x:t xml:space="preserve">Day 8 Selflo editorial principle seed derived from Marcus' self-address; preserve context and avoid converting Stoicism into blame/suppression.</x:t>
        </x:is>
      </x:c>
      <x:c r="L95" s="81" t="inlineStr">
        <x:is>
          <x:t xml:space="preserve">A - Primary source</x:t>
        </x:is>
      </x:c>
      <x:c r="M95" s="81" t="inlineStr">
        <x:is>
          <x:t xml:space="preserve">Belonging</x:t>
        </x:is>
      </x:c>
      <x:c r="N95" s="81" t="inlineStr">
        <x:is>
          <x:t xml:space="preserve">Selflo philosophy / AI-age</x:t>
        </x:is>
      </x:c>
      <x:c r="O95" s="81" t="inlineStr">
        <x:is>
          <x:t xml:space="preserve">Day 8 / Marcus Aurelius</x:t>
        </x:is>
      </x:c>
      <x:c r="P95" s="81" t="inlineStr">
        <x:is>
          <x:t xml:space="preserve">Distinguish / Reframe</x:t>
        </x:is>
      </x:c>
      <x:c r="Q95" s="81" t="str"/>
      <x:c r="R95" s="81" t="str"/>
      <x:c r="S95" s="81" t="inlineStr">
        <x:is>
          <x:t xml:space="preserve">Editorial lens</x:t>
        </x:is>
      </x:c>
      <x:c r="T95" s="81" t="inlineStr">
        <x:is>
          <x:t xml:space="preserve">Yes</x:t>
        </x:is>
      </x:c>
      <x:c r="U95" s="81" t="n">
        <x:v>8</x:v>
      </x:c>
      <x:c r="V95" s="81" t="inlineStr">
        <x:is>
          <x:t xml:space="preserve">Day 8 principle seed.</x:t>
        </x:is>
      </x:c>
    </x:row>
    <x:row r="96">
      <x:c r="A96" s="81" t="inlineStr">
        <x:is>
          <x:t xml:space="preserve">principle.marcus.day8.see_bare_fact_first</x:t>
        </x:is>
      </x:c>
      <x:c r="B96" s="81" t="inlineStr">
        <x:is>
          <x:t xml:space="preserve">Collected</x:t>
        </x:is>
      </x:c>
      <x:c r="C96" s="81" t="inlineStr">
        <x:is>
          <x:t xml:space="preserve">Thử nhìn dữ kiện trước khi thêm nhãn và câu chuyện</x:t>
        </x:is>
      </x:c>
      <x:c r="D96" s="81" t="inlineStr">
        <x:is>
          <x:t xml:space="preserve">Judgment</x:t>
        </x:is>
      </x:c>
      <x:c r="E96" s="81" t="inlineStr">
        <x:is>
          <x:t xml:space="preserve">Một bước suy ngẫm hữu ích là hỏi: điều gì thực sự xảy ra, và điều gì mình đang thêm vào?</x:t>
        </x:is>
      </x:c>
      <x:c r="F96" s="81" t="inlineStr">
        <x:is>
          <x:t xml:space="preserve">Meditations / Τὰ εἰς ἑαυτόν</x:t>
        </x:is>
      </x:c>
      <x:c r="G96" s="81" t="inlineStr">
        <x:is>
          <x:t xml:space="preserve">Marcus Aurelius</x:t>
        </x:is>
      </x:c>
      <x:c r="H96" s="81" t="inlineStr">
        <x:is>
          <x:t xml:space="preserve">https://www.perseus.tufts.edu/hopper/text?doc=Perseus:text:2008.01.0641</x:t>
        </x:is>
      </x:c>
      <x:c r="I96" s="81" t="inlineStr">
        <x:is>
          <x:t xml:space="preserve">Primary Greek edition / institutional corpus</x:t>
        </x:is>
      </x:c>
      <x:c r="J96" s="81" t="inlineStr">
        <x:is>
          <x:t xml:space="preserve">12.8</x:t>
        </x:is>
      </x:c>
      <x:c r="K96" s="81" t="inlineStr">
        <x:is>
          <x:t xml:space="preserve">Day 8 Selflo editorial principle seed derived from Marcus' self-address; preserve context and avoid converting Stoicism into blame/suppression.</x:t>
        </x:is>
      </x:c>
      <x:c r="L96" s="81" t="inlineStr">
        <x:is>
          <x:t xml:space="preserve">A - Primary source</x:t>
        </x:is>
      </x:c>
      <x:c r="M96" s="81" t="inlineStr">
        <x:is>
          <x:t xml:space="preserve">Judgment</x:t>
        </x:is>
      </x:c>
      <x:c r="N96" s="81" t="inlineStr">
        <x:is>
          <x:t xml:space="preserve">Selflo philosophy / AI-age</x:t>
        </x:is>
      </x:c>
      <x:c r="O96" s="81" t="inlineStr">
        <x:is>
          <x:t xml:space="preserve">Day 8 / Marcus Aurelius</x:t>
        </x:is>
      </x:c>
      <x:c r="P96" s="81" t="inlineStr">
        <x:is>
          <x:t xml:space="preserve">Distinguish / Reframe</x:t>
        </x:is>
      </x:c>
      <x:c r="Q96" s="81" t="str"/>
      <x:c r="R96" s="81" t="str"/>
      <x:c r="S96" s="81" t="inlineStr">
        <x:is>
          <x:t xml:space="preserve">Editorial lens</x:t>
        </x:is>
      </x:c>
      <x:c r="T96" s="81" t="inlineStr">
        <x:is>
          <x:t xml:space="preserve">Yes</x:t>
        </x:is>
      </x:c>
      <x:c r="U96" s="81" t="n">
        <x:v>8</x:v>
      </x:c>
      <x:c r="V96" s="81" t="inlineStr">
        <x:is>
          <x:t xml:space="preserve">Day 8 principle seed.</x:t>
        </x:is>
      </x:c>
    </x:row>
    <x:row r="97">
      <x:c r="A97" s="81" t="inlineStr">
        <x:is>
          <x:t xml:space="preserve">principle.marcus.day8.finite_time_clarifies</x:t>
        </x:is>
      </x:c>
      <x:c r="B97" s="81" t="inlineStr">
        <x:is>
          <x:t xml:space="preserve">Collected</x:t>
        </x:is>
      </x:c>
      <x:c r="C97" s="81" t="inlineStr">
        <x:is>
          <x:t xml:space="preserve">Tính hữu hạn có thể làm rõ điều đáng dành attention</x:t>
        </x:is>
      </x:c>
      <x:c r="D97" s="81" t="inlineStr">
        <x:is>
          <x:t xml:space="preserve">Values</x:t>
        </x:is>
      </x:c>
      <x:c r="E97" s="81" t="inlineStr">
        <x:is>
          <x:t xml:space="preserve">Không dùng mortality để gây áp lực; dùng nó như một lens nhẹ để xem điều nào thực sự đáng giữ.</x:t>
        </x:is>
      </x:c>
      <x:c r="F97" s="81" t="inlineStr">
        <x:is>
          <x:t xml:space="preserve">Meditations / Τὰ εἰς ἑαυτόν</x:t>
        </x:is>
      </x:c>
      <x:c r="G97" s="81" t="inlineStr">
        <x:is>
          <x:t xml:space="preserve">Marcus Aurelius</x:t>
        </x:is>
      </x:c>
      <x:c r="H97" s="81" t="inlineStr">
        <x:is>
          <x:t xml:space="preserve">https://www.perseus.tufts.edu/hopper/text?doc=Perseus:text:2008.01.0641</x:t>
        </x:is>
      </x:c>
      <x:c r="I97" s="81" t="inlineStr">
        <x:is>
          <x:t xml:space="preserve">Primary Greek edition / institutional corpus</x:t>
        </x:is>
      </x:c>
      <x:c r="J97" s="81" t="inlineStr">
        <x:is>
          <x:t xml:space="preserve">4.17</x:t>
        </x:is>
      </x:c>
      <x:c r="K97" s="81" t="inlineStr">
        <x:is>
          <x:t xml:space="preserve">Day 8 Selflo editorial principle seed derived from Marcus' self-address; preserve context and avoid converting Stoicism into blame/suppression.</x:t>
        </x:is>
      </x:c>
      <x:c r="L97" s="81" t="inlineStr">
        <x:is>
          <x:t xml:space="preserve">A - Primary source</x:t>
        </x:is>
      </x:c>
      <x:c r="M97" s="81" t="inlineStr">
        <x:is>
          <x:t xml:space="preserve">Values</x:t>
        </x:is>
      </x:c>
      <x:c r="N97" s="81" t="inlineStr">
        <x:is>
          <x:t xml:space="preserve">Selflo philosophy / AI-age</x:t>
        </x:is>
      </x:c>
      <x:c r="O97" s="81" t="inlineStr">
        <x:is>
          <x:t xml:space="preserve">Day 8 / Marcus Aurelius</x:t>
        </x:is>
      </x:c>
      <x:c r="P97" s="81" t="inlineStr">
        <x:is>
          <x:t xml:space="preserve">Distinguish / Reframe</x:t>
        </x:is>
      </x:c>
      <x:c r="Q97" s="81" t="str"/>
      <x:c r="R97" s="81" t="str"/>
      <x:c r="S97" s="81" t="inlineStr">
        <x:is>
          <x:t xml:space="preserve">Editorial lens</x:t>
        </x:is>
      </x:c>
      <x:c r="T97" s="81" t="inlineStr">
        <x:is>
          <x:t xml:space="preserve">Yes</x:t>
        </x:is>
      </x:c>
      <x:c r="U97" s="81" t="n">
        <x:v>8</x:v>
      </x:c>
      <x:c r="V97" s="81" t="inlineStr">
        <x:is>
          <x:t xml:space="preserve">Day 8 principle seed.</x:t>
        </x:is>
      </x:c>
    </x:row>
    <x:row r="98">
      <x:c r="A98" s="81" t="inlineStr">
        <x:is>
          <x:t xml:space="preserve">principle.laozi.day2.progress_can_look_backward</x:t>
        </x:is>
      </x:c>
      <x:c r="B98" s="81" t="n"/>
      <x:c r="C98" s="81" t="n"/>
      <x:c r="D98" s="81" t="n"/>
      <x:c r="E98" s="81" t="n"/>
      <x:c r="F98" s="81" t="n"/>
      <x:c r="G98" s="81" t="n"/>
      <x:c r="H98" s="81" t="inlineStr">
        <x:is>
          <x:t xml:space="preserve">https://zh.wikisource.org/zh-hant/%E9%81%93%E5%BE%B7%E7%B6%93_%28%E7%8E%8B%E5%BC%BC%E6%9C%AC%29</x:t>
        </x:is>
      </x:c>
      <x:c r="I98" s="81" t="n"/>
      <x:c r="J98" s="81" t="n"/>
      <x:c r="K98" s="81" t="n"/>
      <x:c r="L98" s="81" t="n"/>
      <x:c r="M98" s="81" t="n"/>
      <x:c r="N98" s="81" t="n"/>
      <x:c r="O98" s="81" t="n"/>
      <x:c r="P98" s="81" t="n"/>
      <x:c r="Q98" s="81" t="n"/>
      <x:c r="R98" s="81" t="n"/>
      <x:c r="S98" s="81" t="n"/>
      <x:c r="T98" s="81" t="n"/>
      <x:c r="U98" s="81" t="n"/>
      <x:c r="V98" s="81" t="n"/>
    </x:row>
    <x:row r="99">
      <x:c r="A99" s="81" t="inlineStr">
        <x:is>
          <x:t xml:space="preserve">principle.laozi.day2.soft_strength</x:t>
        </x:is>
      </x:c>
      <x:c r="B99" s="81" t="n"/>
      <x:c r="C99" s="81" t="n"/>
      <x:c r="D99" s="81" t="n"/>
      <x:c r="E99" s="81" t="n"/>
      <x:c r="F99" s="81" t="n"/>
      <x:c r="G99" s="81" t="n"/>
      <x:c r="H99" s="81" t="inlineStr">
        <x:is>
          <x:t xml:space="preserve">https://zh.wikisource.org/zh-hant/%E9%81%93%E5%BE%B7%E7%B6%93_%28%E7%8E%8B%E5%BC%BC%E6%9C%AC%29</x:t>
        </x:is>
      </x:c>
      <x:c r="I99" s="81" t="n"/>
      <x:c r="J99" s="81" t="n"/>
      <x:c r="K99" s="81" t="n"/>
      <x:c r="L99" s="81" t="n"/>
      <x:c r="M99" s="81" t="n"/>
      <x:c r="N99" s="81" t="n"/>
      <x:c r="O99" s="81" t="n"/>
      <x:c r="P99" s="81" t="n"/>
      <x:c r="Q99" s="81" t="n"/>
      <x:c r="R99" s="81" t="n"/>
      <x:c r="S99" s="81" t="n"/>
      <x:c r="T99" s="81" t="n"/>
      <x:c r="U99" s="81" t="n"/>
      <x:c r="V99" s="81" t="n"/>
    </x:row>
    <x:row r="100">
      <x:c r="A100" s="81" t="inlineStr">
        <x:is>
          <x:t xml:space="preserve">principle.laozi.day2.self_knowledge</x:t>
        </x:is>
      </x:c>
      <x:c r="B100" s="81" t="n"/>
      <x:c r="C100" s="81" t="n"/>
      <x:c r="D100" s="81" t="n"/>
      <x:c r="E100" s="81" t="n"/>
      <x:c r="F100" s="81" t="n"/>
      <x:c r="G100" s="81" t="n"/>
      <x:c r="H100" s="81" t="inlineStr">
        <x:is>
          <x:t xml:space="preserve">https://zh.wikisource.org/zh-hant/%E9%81%93%E5%BE%B7%E7%B6%93_%28%E7%8E%8B%E5%BC%BC%E6%9C%AC%29</x:t>
        </x:is>
      </x:c>
      <x:c r="I100" s="81" t="n"/>
      <x:c r="J100" s="81" t="n"/>
      <x:c r="K100" s="81" t="n"/>
      <x:c r="L100" s="81" t="n"/>
      <x:c r="M100" s="81" t="n"/>
      <x:c r="N100" s="81" t="n"/>
      <x:c r="O100" s="81" t="n"/>
      <x:c r="P100" s="81" t="n"/>
      <x:c r="Q100" s="81" t="n"/>
      <x:c r="R100" s="81" t="n"/>
      <x:c r="S100" s="81" t="n"/>
      <x:c r="T100" s="81" t="n"/>
      <x:c r="U100" s="81" t="n"/>
      <x:c r="V100" s="81" t="n"/>
    </x:row>
    <x:row r="101">
      <x:c r="A101" s="81" t="inlineStr">
        <x:is>
          <x:t xml:space="preserve">principle.laozi.day2.enough_and_stop</x:t>
        </x:is>
      </x:c>
      <x:c r="B101" s="81" t="n"/>
      <x:c r="C101" s="81" t="n"/>
      <x:c r="D101" s="81" t="n"/>
      <x:c r="E101" s="81" t="n"/>
      <x:c r="F101" s="81" t="n"/>
      <x:c r="G101" s="81" t="n"/>
      <x:c r="H101" s="81" t="inlineStr">
        <x:is>
          <x:t xml:space="preserve">https://zh.wikisource.org/zh-hant/%E9%81%93%E5%BE%B7%E7%B6%93_%28%E7%8E%8B%E5%BC%BC%E6%9C%AC%29</x:t>
        </x:is>
      </x:c>
      <x:c r="I101" s="81" t="n"/>
      <x:c r="J101" s="81" t="n"/>
      <x:c r="K101" s="81" t="n"/>
      <x:c r="L101" s="81" t="n"/>
      <x:c r="M101" s="81" t="n"/>
      <x:c r="N101" s="81" t="n"/>
      <x:c r="O101" s="81" t="n"/>
      <x:c r="P101" s="81" t="n"/>
      <x:c r="Q101" s="81" t="n"/>
      <x:c r="R101" s="81" t="n"/>
      <x:c r="S101" s="81" t="n"/>
      <x:c r="T101" s="81" t="n"/>
      <x:c r="U101" s="81" t="n"/>
      <x:c r="V101" s="81" t="n"/>
    </x:row>
    <x:row r="102">
      <x:c r="A102" s="81" t="inlineStr">
        <x:is>
          <x:t xml:space="preserve">principle.laozi.day2.context_over_force</x:t>
        </x:is>
      </x:c>
      <x:c r="B102" s="81" t="n"/>
      <x:c r="C102" s="81" t="n"/>
      <x:c r="D102" s="81" t="n"/>
      <x:c r="E102" s="81" t="n"/>
      <x:c r="F102" s="81" t="n"/>
      <x:c r="G102" s="81" t="n"/>
      <x:c r="H102" s="81" t="inlineStr">
        <x:is>
          <x:t xml:space="preserve">https://zh.wikisource.org/zh-hant/%E9%81%93%E5%BE%B7%E7%B6%93_%28%E7%8E%8B%E5%BC%BC%E6%9C%AC%29</x:t>
        </x:is>
      </x:c>
      <x:c r="I102" s="81" t="n"/>
      <x:c r="J102" s="81" t="n"/>
      <x:c r="K102" s="81" t="n"/>
      <x:c r="L102" s="81" t="n"/>
      <x:c r="M102" s="81" t="n"/>
      <x:c r="N102" s="81" t="n"/>
      <x:c r="O102" s="81" t="n"/>
      <x:c r="P102" s="81" t="n"/>
      <x:c r="Q102" s="81" t="n"/>
      <x:c r="R102" s="81" t="n"/>
      <x:c r="S102" s="81" t="n"/>
      <x:c r="T102" s="81" t="n"/>
      <x:c r="U102" s="81" t="n"/>
      <x:c r="V102" s="81" t="n"/>
    </x:row>
    <x:row r="103">
      <x:c r="A103" s="81" t="inlineStr">
        <x:is>
          <x:t xml:space="preserve">principle.laozi.day2.value_not_attention</x:t>
        </x:is>
      </x:c>
      <x:c r="B103" s="81" t="n"/>
      <x:c r="C103" s="81" t="n"/>
      <x:c r="D103" s="81" t="n"/>
      <x:c r="E103" s="81" t="n"/>
      <x:c r="F103" s="81" t="n"/>
      <x:c r="G103" s="81" t="n"/>
      <x:c r="H103" s="81" t="inlineStr">
        <x:is>
          <x:t xml:space="preserve">https://zh.wikisource.org/zh-hant/%E9%81%93%E5%BE%B7%E7%B6%93_%28%E7%8E%8B%E5%BC%BC%E6%9C%AC%29</x:t>
        </x:is>
      </x:c>
      <x:c r="I103" s="81" t="n"/>
      <x:c r="J103" s="81" t="n"/>
      <x:c r="K103" s="81" t="n"/>
      <x:c r="L103" s="81" t="n"/>
      <x:c r="M103" s="81" t="n"/>
      <x:c r="N103" s="81" t="n"/>
      <x:c r="O103" s="81" t="n"/>
      <x:c r="P103" s="81" t="n"/>
      <x:c r="Q103" s="81" t="n"/>
      <x:c r="R103" s="81" t="n"/>
      <x:c r="S103" s="81" t="n"/>
      <x:c r="T103" s="81" t="n"/>
      <x:c r="U103" s="81" t="n"/>
      <x:c r="V103" s="81" t="n"/>
    </x:row>
    <x:row r="104">
      <x:c r="A104" s="81" t="inlineStr">
        <x:is>
          <x:t xml:space="preserve">principle.laozi.day2.whole_not_parts</x:t>
        </x:is>
      </x:c>
      <x:c r="B104" s="81" t="n"/>
      <x:c r="C104" s="81" t="n"/>
      <x:c r="D104" s="81" t="n"/>
      <x:c r="E104" s="81" t="n"/>
      <x:c r="F104" s="81" t="n"/>
      <x:c r="G104" s="81" t="n"/>
      <x:c r="H104" s="81" t="inlineStr">
        <x:is>
          <x:t xml:space="preserve">https://zh.wikisource.org/zh-hant/%E9%81%93%E5%BE%B7%E7%B6%93_%28%E7%8E%8B%E5%BC%BC%E6%9C%AC%29</x:t>
        </x:is>
      </x:c>
      <x:c r="I104" s="81" t="n"/>
      <x:c r="J104" s="81" t="n"/>
      <x:c r="K104" s="81" t="n"/>
      <x:c r="L104" s="81" t="n"/>
      <x:c r="M104" s="81" t="n"/>
      <x:c r="N104" s="81" t="n"/>
      <x:c r="O104" s="81" t="n"/>
      <x:c r="P104" s="81" t="n"/>
      <x:c r="Q104" s="81" t="n"/>
      <x:c r="R104" s="81" t="n"/>
      <x:c r="S104" s="81" t="n"/>
      <x:c r="T104" s="81" t="n"/>
      <x:c r="U104" s="81" t="n"/>
      <x:c r="V104" s="81" t="n"/>
    </x:row>
    <x:row r="105">
      <x:c r="A105" s="81" t="inlineStr">
        <x:is>
          <x:t xml:space="preserve">principle.laozi.day2.addition_and_subtraction</x:t>
        </x:is>
      </x:c>
      <x:c r="B105" s="81" t="n"/>
      <x:c r="C105" s="81" t="n"/>
      <x:c r="D105" s="81" t="n"/>
      <x:c r="E105" s="81" t="n"/>
      <x:c r="F105" s="81" t="n"/>
      <x:c r="G105" s="81" t="n"/>
      <x:c r="H105" s="81" t="inlineStr">
        <x:is>
          <x:t xml:space="preserve">https://zh.wikisource.org/zh-hant/%E9%81%93%E5%BE%B7%E7%B6%93_%28%E7%8E%8B%E5%BC%BC%E6%9C%AC%29</x:t>
        </x:is>
      </x:c>
      <x:c r="I105" s="81" t="n"/>
      <x:c r="J105" s="81" t="n"/>
      <x:c r="K105" s="81" t="n"/>
      <x:c r="L105" s="81" t="n"/>
      <x:c r="M105" s="81" t="n"/>
      <x:c r="N105" s="81" t="n"/>
      <x:c r="O105" s="81" t="n"/>
      <x:c r="P105" s="81" t="n"/>
      <x:c r="Q105" s="81" t="n"/>
      <x:c r="R105" s="81" t="n"/>
      <x:c r="S105" s="81" t="n"/>
      <x:c r="T105" s="81" t="n"/>
      <x:c r="U105" s="81" t="n"/>
      <x:c r="V105" s="81" t="n"/>
    </x:row>
    <x:row r="106">
      <x:c r="A106" s="81" t="inlineStr">
        <x:is>
          <x:t xml:space="preserve">principle.laozi.day2.nonfixed_response</x:t>
        </x:is>
      </x:c>
      <x:c r="B106" s="81" t="n"/>
      <x:c r="C106" s="81" t="n"/>
      <x:c r="D106" s="81" t="n"/>
      <x:c r="E106" s="81" t="n"/>
      <x:c r="F106" s="81" t="n"/>
      <x:c r="G106" s="81" t="n"/>
      <x:c r="H106" s="81" t="inlineStr">
        <x:is>
          <x:t xml:space="preserve">https://zh.wikisource.org/zh-hant/%E9%81%93%E5%BE%B7%E7%B6%93_%28%E7%8E%8B%E5%BC%BC%E6%9C%AC%29</x:t>
        </x:is>
      </x:c>
      <x:c r="I106" s="81" t="n"/>
      <x:c r="J106" s="81" t="n"/>
      <x:c r="K106" s="81" t="n"/>
      <x:c r="L106" s="81" t="n"/>
      <x:c r="M106" s="81" t="n"/>
      <x:c r="N106" s="81" t="n"/>
      <x:c r="O106" s="81" t="n"/>
      <x:c r="P106" s="81" t="n"/>
      <x:c r="Q106" s="81" t="n"/>
      <x:c r="R106" s="81" t="n"/>
      <x:c r="S106" s="81" t="n"/>
      <x:c r="T106" s="81" t="n"/>
      <x:c r="U106" s="81" t="n"/>
      <x:c r="V106" s="81" t="n"/>
    </x:row>
    <x:row r="107">
      <x:c r="A107" s="81" t="inlineStr">
        <x:is>
          <x:t xml:space="preserve">principle.laozi.day2.return_agency</x:t>
        </x:is>
      </x:c>
      <x:c r="B107" s="81" t="n"/>
      <x:c r="C107" s="81" t="n"/>
      <x:c r="D107" s="81" t="n"/>
      <x:c r="E107" s="81" t="n"/>
      <x:c r="F107" s="81" t="n"/>
      <x:c r="G107" s="81" t="n"/>
      <x:c r="H107" s="81" t="inlineStr">
        <x:is>
          <x:t xml:space="preserve">https://zh.wikisource.org/zh-hant/%E9%81%93%E5%BE%B7%E7%B6%93_%28%E7%8E%8B%E5%BC%BC%E6%9C%AC%29</x:t>
        </x:is>
      </x:c>
      <x:c r="I107" s="81" t="n"/>
      <x:c r="J107" s="81" t="n"/>
      <x:c r="K107" s="81" t="n"/>
      <x:c r="L107" s="81" t="n"/>
      <x:c r="M107" s="81" t="n"/>
      <x:c r="N107" s="81" t="n"/>
      <x:c r="O107" s="81" t="n"/>
      <x:c r="P107" s="81" t="n"/>
      <x:c r="Q107" s="81" t="n"/>
      <x:c r="R107" s="81" t="n"/>
      <x:c r="S107" s="81" t="n"/>
      <x:c r="T107" s="81" t="n"/>
      <x:c r="U107" s="81" t="n"/>
      <x:c r="V107" s="81" t="n"/>
    </x:row>
    <x:row r="108">
      <x:c r="A108" s="81" t="inlineStr">
        <x:is>
          <x:t xml:space="preserve">principle.laozi.day2.form_not_substance</x:t>
        </x:is>
      </x:c>
      <x:c r="B108" s="81" t="n"/>
      <x:c r="C108" s="81" t="n"/>
      <x:c r="D108" s="81" t="n"/>
      <x:c r="E108" s="81" t="n"/>
      <x:c r="F108" s="81" t="n"/>
      <x:c r="G108" s="81" t="n"/>
      <x:c r="H108" s="81" t="inlineStr">
        <x:is>
          <x:t xml:space="preserve">https://zh.wikisource.org/zh-hant/%E9%81%93%E5%BE%B7%E7%B6%93_%28%E7%8E%8B%E5%BC%BC%E6%9C%AC%29</x:t>
        </x:is>
      </x:c>
      <x:c r="I108" s="81" t="n"/>
      <x:c r="J108" s="81" t="n"/>
      <x:c r="K108" s="81" t="n"/>
      <x:c r="L108" s="81" t="n"/>
      <x:c r="M108" s="81" t="n"/>
      <x:c r="N108" s="81" t="n"/>
      <x:c r="O108" s="81" t="n"/>
      <x:c r="P108" s="81" t="n"/>
      <x:c r="Q108" s="81" t="n"/>
      <x:c r="R108" s="81" t="n"/>
      <x:c r="S108" s="81" t="n"/>
      <x:c r="T108" s="81" t="n"/>
      <x:c r="U108" s="81" t="n"/>
      <x:c r="V108" s="81" t="n"/>
    </x:row>
    <x:row r="109">
      <x:c r="A109" s="81" t="inlineStr">
        <x:is>
          <x:t xml:space="preserve">principle.laozi.day2.human_judgment_limits</x:t>
        </x:is>
      </x:c>
      <x:c r="B109" s="81" t="n"/>
      <x:c r="C109" s="81" t="n"/>
      <x:c r="D109" s="81" t="n"/>
      <x:c r="E109" s="81" t="n"/>
      <x:c r="F109" s="81" t="n"/>
      <x:c r="G109" s="81" t="n"/>
      <x:c r="H109" s="81" t="inlineStr">
        <x:is>
          <x:t xml:space="preserve">https://zh.wikisource.org/zh-hant/%E9%81%93%E5%BE%B7%E7%B6%93_%28%E7%8E%8B%E5%BC%BC%E6%9C%AC%29</x:t>
        </x:is>
      </x:c>
      <x:c r="I109" s="81" t="n"/>
      <x:c r="J109" s="81" t="n"/>
      <x:c r="K109" s="81" t="n"/>
      <x:c r="L109" s="81" t="n"/>
      <x:c r="M109" s="81" t="n"/>
      <x:c r="N109" s="81" t="n"/>
      <x:c r="O109" s="81" t="n"/>
      <x:c r="P109" s="81" t="n"/>
      <x:c r="Q109" s="81" t="n"/>
      <x:c r="R109" s="81" t="n"/>
      <x:c r="S109" s="81" t="n"/>
      <x:c r="T109" s="81" t="n"/>
      <x:c r="U109" s="81" t="n"/>
      <x:c r="V109" s="81" t="n"/>
    </x:row>
    <x:row r="110">
      <x:c r="A110" t="inlineStr">
        <x:is>
          <x:t xml:space="preserve">principle.seneca.day9.reclaim_attention</x:t>
        </x:is>
      </x:c>
      <x:c r="B110" t="inlineStr">
        <x:is>
          <x:t xml:space="preserve">Collected</x:t>
        </x:is>
      </x:c>
      <x:c r="C110" t="inlineStr">
        <x:is>
          <x:t xml:space="preserve">Giành lại attention là một cách giành lại đời sống</x:t>
        </x:is>
      </x:c>
      <x:c r="D110" t="inlineStr">
        <x:is>
          <x:t xml:space="preserve">Time / Attention</x:t>
        </x:is>
      </x:c>
      <x:c r="H110" t="inlineStr">
        <x:is>
          <x:t xml:space="preserve">https://la.wikisource.org/wiki/Epistulae_morales_ad_Lucilium</x:t>
        </x:is>
      </x:c>
      <x:c r="V110" t="inlineStr">
        <x:is>
          <x:t xml:space="preserve">Day 9 principle seed; editorial derivation, not a verbatim Seneca quote.</x:t>
        </x:is>
      </x:c>
    </x:row>
    <x:row r="111">
      <x:c r="A111" t="inlineStr">
        <x:is>
          <x:t xml:space="preserve">principle.seneca.day9.busyness_not_meaning</x:t>
        </x:is>
      </x:c>
      <x:c r="B111" t="inlineStr">
        <x:is>
          <x:t xml:space="preserve">Collected</x:t>
        </x:is>
      </x:c>
      <x:c r="C111" t="inlineStr">
        <x:is>
          <x:t xml:space="preserve">Bận rộn không tự chứng minh điều đang làm có ý nghĩa</x:t>
        </x:is>
      </x:c>
      <x:c r="D111" t="inlineStr">
        <x:is>
          <x:t xml:space="preserve">Work / Values</x:t>
        </x:is>
      </x:c>
      <x:c r="H111" t="inlineStr">
        <x:is>
          <x:t xml:space="preserve">https://la.wikisource.org/wiki/Epistulae_morales_ad_Lucilium</x:t>
        </x:is>
      </x:c>
      <x:c r="V111" t="inlineStr">
        <x:is>
          <x:t xml:space="preserve">Day 9 principle seed; editorial derivation, not a verbatim Seneca quote.</x:t>
        </x:is>
      </x:c>
    </x:row>
    <x:row r="112">
      <x:c r="A112" t="inlineStr">
        <x:is>
          <x:t xml:space="preserve">principle.seneca.day9.change_place_not_enough</x:t>
        </x:is>
      </x:c>
      <x:c r="B112" t="inlineStr">
        <x:is>
          <x:t xml:space="preserve">Collected</x:t>
        </x:is>
      </x:c>
      <x:c r="C112" t="inlineStr">
        <x:is>
          <x:t xml:space="preserve">Đổi hoàn cảnh và đổi cách mình mang hoàn cảnh là hai việc khác nhau</x:t>
        </x:is>
      </x:c>
      <x:c r="D112" t="inlineStr">
        <x:is>
          <x:t xml:space="preserve">Self-understanding</x:t>
        </x:is>
      </x:c>
      <x:c r="H112" t="inlineStr">
        <x:is>
          <x:t xml:space="preserve">https://la.wikisource.org/wiki/Epistulae_morales_ad_Lucilium</x:t>
        </x:is>
      </x:c>
      <x:c r="V112" t="inlineStr">
        <x:is>
          <x:t xml:space="preserve">Day 9 principle seed; editorial derivation, not a verbatim Seneca quote.</x:t>
        </x:is>
      </x:c>
    </x:row>
    <x:row r="113">
      <x:c r="A113" t="inlineStr">
        <x:is>
          <x:t xml:space="preserve">principle.seneca.day9.aftereffect_is_not_failure</x:t>
        </x:is>
      </x:c>
      <x:c r="B113" t="inlineStr">
        <x:is>
          <x:t xml:space="preserve">Collected</x:t>
        </x:is>
      </x:c>
      <x:c r="C113" t="inlineStr">
        <x:is>
          <x:t xml:space="preserve">Dấu vết còn lại sau biến cố không chứng minh hồi phục thất bại</x:t>
        </x:is>
      </x:c>
      <x:c r="D113" t="inlineStr">
        <x:is>
          <x:t xml:space="preserve">Recovery</x:t>
        </x:is>
      </x:c>
      <x:c r="H113" t="inlineStr">
        <x:is>
          <x:t xml:space="preserve">https://la.wikisource.org/wiki/Epistulae_morales_ad_Lucilium</x:t>
        </x:is>
      </x:c>
      <x:c r="V113" t="inlineStr">
        <x:is>
          <x:t xml:space="preserve">Day 9 principle seed; editorial derivation, not a verbatim Seneca quote.</x:t>
        </x:is>
      </x:c>
    </x:row>
    <x:row r="114">
      <x:c r="A114" t="inlineStr">
        <x:is>
          <x:t xml:space="preserve">principle.seneca.day9.external_silence_inner_noise</x:t>
        </x:is>
      </x:c>
      <x:c r="B114" t="inlineStr">
        <x:is>
          <x:t xml:space="preserve">Collected</x:t>
        </x:is>
      </x:c>
      <x:c r="C114" t="inlineStr">
        <x:is>
          <x:t xml:space="preserve">Im lặng bên ngoài và yên bên trong là hai lớp khác nhau</x:t>
        </x:is>
      </x:c>
      <x:c r="D114" t="inlineStr">
        <x:is>
          <x:t xml:space="preserve">Recovery / Attention</x:t>
        </x:is>
      </x:c>
      <x:c r="H114" t="inlineStr">
        <x:is>
          <x:t xml:space="preserve">https://la.wikisource.org/wiki/Epistulae_morales_ad_Lucilium</x:t>
        </x:is>
      </x:c>
      <x:c r="V114" t="inlineStr">
        <x:is>
          <x:t xml:space="preserve">Day 9 principle seed; editorial derivation, not a verbatim Seneca quote.</x:t>
        </x:is>
      </x:c>
    </x:row>
    <x:row r="115">
      <x:c r="A115" t="inlineStr">
        <x:is>
          <x:t xml:space="preserve">principle.seneca.day9.crowd_is_not_judgment</x:t>
        </x:is>
      </x:c>
      <x:c r="B115" t="inlineStr">
        <x:is>
          <x:t xml:space="preserve">Collected</x:t>
        </x:is>
      </x:c>
      <x:c r="C115" t="inlineStr">
        <x:is>
          <x:t xml:space="preserve">Số đông không thay thế phán đoán</x:t>
        </x:is>
      </x:c>
      <x:c r="D115" t="inlineStr">
        <x:is>
          <x:t xml:space="preserve">AI-age judgment</x:t>
        </x:is>
      </x:c>
      <x:c r="H115" t="inlineStr">
        <x:is>
          <x:t xml:space="preserve">https://la.wikisource.org/wiki/Epistulae_morales_ad_Lucilium</x:t>
        </x:is>
      </x:c>
      <x:c r="V115" t="inlineStr">
        <x:is>
          <x:t xml:space="preserve">Day 9 principle seed; editorial derivation, not a verbatim Seneca quote.</x:t>
        </x:is>
      </x:c>
    </x:row>
    <x:row r="116">
      <x:c r="A116" t="inlineStr">
        <x:is>
          <x:t xml:space="preserve">principle.seneca.day9.learning_for_life</x:t>
        </x:is>
      </x:c>
      <x:c r="B116" t="inlineStr">
        <x:is>
          <x:t xml:space="preserve">Collected</x:t>
        </x:is>
      </x:c>
      <x:c r="C116" t="inlineStr">
        <x:is>
          <x:t xml:space="preserve">Kiến thức có giá trị khi quay lại được đời sống</x:t>
        </x:is>
      </x:c>
      <x:c r="D116" t="inlineStr">
        <x:is>
          <x:t xml:space="preserve">Learning / AI age</x:t>
        </x:is>
      </x:c>
      <x:c r="H116" t="inlineStr">
        <x:is>
          <x:t xml:space="preserve">https://la.wikisource.org/wiki/Epistulae_morales_ad_Lucilium</x:t>
        </x:is>
      </x:c>
      <x:c r="V116" t="inlineStr">
        <x:is>
          <x:t xml:space="preserve">Day 9 principle seed; editorial derivation, not a verbatim Seneca quote.</x:t>
        </x:is>
      </x:c>
    </x:row>
    <x:row r="117">
      <x:c r="A117" t="inlineStr">
        <x:is>
          <x:t xml:space="preserve">principle.seneca.day9.enough_reduces_dependency</x:t>
        </x:is>
      </x:c>
      <x:c r="B117" t="inlineStr">
        <x:is>
          <x:t xml:space="preserve">Collected</x:t>
        </x:is>
      </x:c>
      <x:c r="C117" t="inlineStr">
        <x:is>
          <x:t xml:space="preserve">Biết thế nào là đủ có thể giảm phần đời bị ham muốn điều khiển</x:t>
        </x:is>
      </x:c>
      <x:c r="D117" t="inlineStr">
        <x:is>
          <x:t xml:space="preserve">Enoughness</x:t>
        </x:is>
      </x:c>
      <x:c r="H117" t="inlineStr">
        <x:is>
          <x:t xml:space="preserve">https://la.wikisource.org/wiki/Epistulae_morales_ad_Lucilium</x:t>
        </x:is>
      </x:c>
      <x:c r="V117" t="inlineStr">
        <x:is>
          <x:t xml:space="preserve">Day 9 principle seed; editorial derivation, not a verbatim Seneca quote.</x:t>
        </x:is>
      </x:c>
    </x:row>
    <x:row r="118">
      <x:c r="A118" t="inlineStr">
        <x:is>
          <x:t xml:space="preserve">principle.seneca.day9.pause_before_anger</x:t>
        </x:is>
      </x:c>
      <x:c r="B118" t="inlineStr">
        <x:is>
          <x:t xml:space="preserve">Collected</x:t>
        </x:is>
      </x:c>
      <x:c r="C118" t="inlineStr">
        <x:is>
          <x:t xml:space="preserve">Giữa ấn tượng bị tổn hại và hành động có thể có một khoảng dừng</x:t>
        </x:is>
      </x:c>
      <x:c r="D118" t="inlineStr">
        <x:is>
          <x:t xml:space="preserve">Anger / Agency</x:t>
        </x:is>
      </x:c>
      <x:c r="H118" t="inlineStr">
        <x:is>
          <x:t xml:space="preserve">https://la.wikisource.org/wiki/Epistulae_morales_ad_Lucilium</x:t>
        </x:is>
      </x:c>
      <x:c r="V118" t="inlineStr">
        <x:is>
          <x:t xml:space="preserve">Day 9 principle seed; editorial derivation, not a verbatim Seneca quote.</x:t>
        </x:is>
      </x:c>
    </x:row>
    <x:row r="119">
      <x:c r="A119" t="inlineStr">
        <x:is>
          <x:t xml:space="preserve">principle.seneca.day9.capacity_changes_response</x:t>
        </x:is>
      </x:c>
      <x:c r="B119" t="inlineStr">
        <x:is>
          <x:t xml:space="preserve">Collected</x:t>
        </x:is>
      </x:c>
      <x:c r="C119" t="inlineStr">
        <x:is>
          <x:t xml:space="preserve">Cùng một vấn đề có thể cần cách đáp khác khi capacity khác</x:t>
        </x:is>
      </x:c>
      <x:c r="D119" t="inlineStr">
        <x:is>
          <x:t xml:space="preserve">Capacity</x:t>
        </x:is>
      </x:c>
      <x:c r="H119" t="inlineStr">
        <x:is>
          <x:t xml:space="preserve">https://la.wikisource.org/wiki/Epistulae_morales_ad_Lucilium</x:t>
        </x:is>
      </x:c>
      <x:c r="V119" t="inlineStr">
        <x:is>
          <x:t xml:space="preserve">Day 9 principle seed; editorial derivation, not a verbatim Seneca quote.</x:t>
        </x:is>
      </x:c>
    </x:row>
    <x:row r="120">
      <x:c r="A120" t="inlineStr">
        <x:is>
          <x:t xml:space="preserve">principle.seneca.day9.human_before_role</x:t>
        </x:is>
      </x:c>
      <x:c r="B120" t="inlineStr">
        <x:is>
          <x:t xml:space="preserve">Collected</x:t>
        </x:is>
      </x:c>
      <x:c r="C120" t="inlineStr">
        <x:is>
          <x:t xml:space="preserve">Vai trò xã hội không bao trùm phẩm giá con người</x:t>
        </x:is>
      </x:c>
      <x:c r="D120" t="inlineStr">
        <x:is>
          <x:t xml:space="preserve">Human dignity</x:t>
        </x:is>
      </x:c>
      <x:c r="H120" t="inlineStr">
        <x:is>
          <x:t xml:space="preserve">https://la.wikisource.org/wiki/Epistulae_morales_ad_Lucilium</x:t>
        </x:is>
      </x:c>
      <x:c r="V120" t="inlineStr">
        <x:is>
          <x:t xml:space="preserve">Day 9 principle seed; editorial derivation, not a verbatim Seneca quote.</x:t>
        </x:is>
      </x:c>
    </x:row>
    <x:row r="121">
      <x:c r="A121" t="inlineStr">
        <x:is>
          <x:t xml:space="preserve">principle.seneca.day9.finite_time_clarifies</x:t>
        </x:is>
      </x:c>
      <x:c r="B121" t="inlineStr">
        <x:is>
          <x:t xml:space="preserve">Collected</x:t>
        </x:is>
      </x:c>
      <x:c r="C121" t="inlineStr">
        <x:is>
          <x:t xml:space="preserve">Tính hữu hạn có thể làm rõ điều đáng dành đời sống</x:t>
        </x:is>
      </x:c>
      <x:c r="D121" t="inlineStr">
        <x:is>
          <x:t xml:space="preserve">Time / Values</x:t>
        </x:is>
      </x:c>
      <x:c r="H121" t="inlineStr">
        <x:is>
          <x:t xml:space="preserve">https://la.wikisource.org/wiki/Epistulae_morales_ad_Lucilium</x:t>
        </x:is>
      </x:c>
      <x:c r="V121" t="inlineStr">
        <x:is>
          <x:t xml:space="preserve">Day 9 principle seed; editorial derivation, not a verbatim Seneca quote.</x:t>
        </x:is>
      </x:c>
    </x:row>
    <x:row r="122">
      <x:c r="A122" t="inlineStr">
        <x:is>
          <x:t xml:space="preserve">principle.musonius.day10.few_clear_reasons</x:t>
        </x:is>
      </x:c>
      <x:c r="B122" t="inlineStr">
        <x:is>
          <x:t xml:space="preserve">Collected</x:t>
        </x:is>
      </x:c>
      <x:c r="C122" t="inlineStr">
        <x:is>
          <x:t xml:space="preserve">Ít lý lẽ rõ có thể tốt hơn nhiều lý lẽ gây nhiễu</x:t>
        </x:is>
      </x:c>
      <x:c r="D122" t="inlineStr">
        <x:is>
          <x:t xml:space="preserve">Learning / AI age</x:t>
        </x:is>
      </x:c>
      <x:c r="H122" t="inlineStr">
        <x:is>
          <x:t xml:space="preserve">https://iep.utm.edu/musonius/</x:t>
        </x:is>
      </x:c>
      <x:c r="V122" t="inlineStr">
        <x:is>
          <x:t xml:space="preserve">Editorial principle seed, not a verbatim Musonius quote.</x:t>
        </x:is>
      </x:c>
    </x:row>
    <x:row r="123">
      <x:c r="A123" t="inlineStr">
        <x:is>
          <x:t xml:space="preserve">principle.musonius.day10.practice_closes_knowing_gap</x:t>
        </x:is>
      </x:c>
      <x:c r="B123" t="inlineStr">
        <x:is>
          <x:t xml:space="preserve">Collected</x:t>
        </x:is>
      </x:c>
      <x:c r="C123" t="inlineStr">
        <x:is>
          <x:t xml:space="preserve">Khoảng cách giữa biết và sống được cần thực hành</x:t>
        </x:is>
      </x:c>
      <x:c r="D123" t="inlineStr">
        <x:is>
          <x:t xml:space="preserve">Learning</x:t>
        </x:is>
      </x:c>
      <x:c r="H123" t="inlineStr">
        <x:is>
          <x:t xml:space="preserve">https://iep.utm.edu/musonius/</x:t>
        </x:is>
      </x:c>
      <x:c r="V123" t="inlineStr">
        <x:is>
          <x:t xml:space="preserve">Editorial principle seed, not a verbatim Musonius quote.</x:t>
        </x:is>
      </x:c>
    </x:row>
    <x:row r="124">
      <x:c r="A124" t="inlineStr">
        <x:is>
          <x:t xml:space="preserve">principle.musonius.day10.capacity_not_moral_failure</x:t>
        </x:is>
      </x:c>
      <x:c r="B124" t="inlineStr">
        <x:is>
          <x:t xml:space="preserve">Collected</x:t>
        </x:is>
      </x:c>
      <x:c r="C124" t="inlineStr">
        <x:is>
          <x:t xml:space="preserve">Giới hạn capacity không phải lỗi đạo đức</x:t>
        </x:is>
      </x:c>
      <x:c r="D124" t="inlineStr">
        <x:is>
          <x:t xml:space="preserve">Capacity</x:t>
        </x:is>
      </x:c>
      <x:c r="H124" t="inlineStr">
        <x:is>
          <x:t xml:space="preserve">https://iep.utm.edu/musonius/</x:t>
        </x:is>
      </x:c>
      <x:c r="V124" t="inlineStr">
        <x:is>
          <x:t xml:space="preserve">Editorial principle seed, not a verbatim Musonius quote.</x:t>
        </x:is>
      </x:c>
    </x:row>
    <x:row r="125">
      <x:c r="A125" t="inlineStr">
        <x:is>
          <x:t xml:space="preserve">principle.musonius.day10.hard_not_same_as_bad</x:t>
        </x:is>
      </x:c>
      <x:c r="B125" t="inlineStr">
        <x:is>
          <x:t xml:space="preserve">Collected</x:t>
        </x:is>
      </x:c>
      <x:c r="C125" t="inlineStr">
        <x:is>
          <x:t xml:space="preserve">Khó không đồng nghĩa xấu</x:t>
        </x:is>
      </x:c>
      <x:c r="D125" t="inlineStr">
        <x:is>
          <x:t xml:space="preserve">Adversity</x:t>
        </x:is>
      </x:c>
      <x:c r="H125" t="inlineStr">
        <x:is>
          <x:t xml:space="preserve">https://iep.utm.edu/musonius/</x:t>
        </x:is>
      </x:c>
      <x:c r="V125" t="inlineStr">
        <x:is>
          <x:t xml:space="preserve">Editorial principle seed, not a verbatim Musonius quote.</x:t>
        </x:is>
      </x:c>
    </x:row>
    <x:row r="126">
      <x:c r="A126" t="inlineStr">
        <x:is>
          <x:t xml:space="preserve">principle.musonius.day10.power_requires_more_judgment</x:t>
        </x:is>
      </x:c>
      <x:c r="B126" t="inlineStr">
        <x:is>
          <x:t xml:space="preserve">Collected</x:t>
        </x:is>
      </x:c>
      <x:c r="C126" t="inlineStr">
        <x:is>
          <x:t xml:space="preserve">Quyền lực càng lớn càng cần phán đoán và trách nhiệm</x:t>
        </x:is>
      </x:c>
      <x:c r="D126" t="inlineStr">
        <x:is>
          <x:t xml:space="preserve">Power</x:t>
        </x:is>
      </x:c>
      <x:c r="H126" t="inlineStr">
        <x:is>
          <x:t xml:space="preserve">https://iep.utm.edu/musonius/</x:t>
        </x:is>
      </x:c>
      <x:c r="V126" t="inlineStr">
        <x:is>
          <x:t xml:space="preserve">Editorial principle seed, not a verbatim Musonius quote.</x:t>
        </x:is>
      </x:c>
    </x:row>
    <x:row r="127">
      <x:c r="A127" t="inlineStr">
        <x:is>
          <x:t xml:space="preserve">principle.musonius.day10.role_does_not_exhaust_person</x:t>
        </x:is>
      </x:c>
      <x:c r="B127" t="inlineStr">
        <x:is>
          <x:t xml:space="preserve">Collected</x:t>
        </x:is>
      </x:c>
      <x:c r="C127" t="inlineStr">
        <x:is>
          <x:t xml:space="preserve">Vai trò không chứa hết con người</x:t>
        </x:is>
      </x:c>
      <x:c r="D127" t="inlineStr">
        <x:is>
          <x:t xml:space="preserve">Human dignity</x:t>
        </x:is>
      </x:c>
      <x:c r="H127" t="inlineStr">
        <x:is>
          <x:t xml:space="preserve">https://iep.utm.edu/musonius/</x:t>
        </x:is>
      </x:c>
      <x:c r="V127" t="inlineStr">
        <x:is>
          <x:t xml:space="preserve">Editorial principle seed, not a verbatim Musonius quote.</x:t>
        </x:is>
      </x:c>
    </x:row>
    <x:row r="128">
      <x:c r="A128" t="inlineStr">
        <x:is>
          <x:t xml:space="preserve">principle.musonius.day10.respect_not_blind_obedience</x:t>
        </x:is>
      </x:c>
      <x:c r="B128" t="inlineStr">
        <x:is>
          <x:t xml:space="preserve">Collected</x:t>
        </x:is>
      </x:c>
      <x:c r="C128" t="inlineStr">
        <x:is>
          <x:t xml:space="preserve">Tôn trọng không đồng nghĩa vâng lời vô điều kiện</x:t>
        </x:is>
      </x:c>
      <x:c r="D128" t="inlineStr">
        <x:is>
          <x:t xml:space="preserve">Boundaries</x:t>
        </x:is>
      </x:c>
      <x:c r="H128" t="inlineStr">
        <x:is>
          <x:t xml:space="preserve">https://iep.utm.edu/musonius/</x:t>
        </x:is>
      </x:c>
      <x:c r="V128" t="inlineStr">
        <x:is>
          <x:t xml:space="preserve">Editorial principle seed, not a verbatim Musonius quote.</x:t>
        </x:is>
      </x:c>
    </x:row>
    <x:row r="129">
      <x:c r="A129" t="inlineStr">
        <x:is>
          <x:t xml:space="preserve">principle.musonius.day10.work_as_life_design</x:t>
        </x:is>
      </x:c>
      <x:c r="B129" t="inlineStr">
        <x:is>
          <x:t xml:space="preserve">Collected</x:t>
        </x:is>
      </x:c>
      <x:c r="C129" t="inlineStr">
        <x:is>
          <x:t xml:space="preserve">Chọn công việc cũng là chọn một cấu trúc đời sống</x:t>
        </x:is>
      </x:c>
      <x:c r="D129" t="inlineStr">
        <x:is>
          <x:t xml:space="preserve">Work / Choice</x:t>
        </x:is>
      </x:c>
      <x:c r="H129" t="inlineStr">
        <x:is>
          <x:t xml:space="preserve">https://iep.utm.edu/musonius/</x:t>
        </x:is>
      </x:c>
      <x:c r="V129" t="inlineStr">
        <x:is>
          <x:t xml:space="preserve">Editorial principle seed, not a verbatim Musonius quote.</x:t>
        </x:is>
      </x:c>
    </x:row>
    <x:row r="130">
      <x:c r="A130" t="inlineStr">
        <x:is>
          <x:t xml:space="preserve">principle.musonius.day10.enough_before_more</x:t>
        </x:is>
      </x:c>
      <x:c r="B130" t="inlineStr">
        <x:is>
          <x:t xml:space="preserve">Collected</x:t>
        </x:is>
      </x:c>
      <x:c r="C130" t="inlineStr">
        <x:is>
          <x:t xml:space="preserve">Phân biệt nhu cầu đủ với ham muốn thêm</x:t>
        </x:is>
      </x:c>
      <x:c r="D130" t="inlineStr">
        <x:is>
          <x:t xml:space="preserve">Enoughness</x:t>
        </x:is>
      </x:c>
      <x:c r="H130" t="inlineStr">
        <x:is>
          <x:t xml:space="preserve">https://iep.utm.edu/musonius/</x:t>
        </x:is>
      </x:c>
      <x:c r="V130" t="inlineStr">
        <x:is>
          <x:t xml:space="preserve">Editorial principle seed, not a verbatim Musonius quote.</x:t>
        </x:is>
      </x:c>
    </x:row>
    <x:row r="131">
      <x:c r="A131" t="inlineStr">
        <x:is>
          <x:t xml:space="preserve">principle.musonius.day10.philosophy_not_performance</x:t>
        </x:is>
      </x:c>
      <x:c r="B131" t="inlineStr">
        <x:is>
          <x:t xml:space="preserve">Collected</x:t>
        </x:is>
      </x:c>
      <x:c r="C131" t="inlineStr">
        <x:is>
          <x:t xml:space="preserve">Triết lý không phải màn trình diễn hiểu biết</x:t>
        </x:is>
      </x:c>
      <x:c r="D131" t="inlineStr">
        <x:is>
          <x:t xml:space="preserve">AI-age / Values</x:t>
        </x:is>
      </x:c>
      <x:c r="H131" t="inlineStr">
        <x:is>
          <x:t xml:space="preserve">https://iep.utm.edu/musonius/</x:t>
        </x:is>
      </x:c>
      <x:c r="V131" t="inlineStr">
        <x:is>
          <x:t xml:space="preserve">Editorial principle seed, not a verbatim Musonius quote.</x:t>
        </x:is>
      </x:c>
    </x:row>
    <x:row r="132">
      <x:c r="A132" t="inlineStr">
        <x:is>
          <x:t xml:space="preserve">principle.musonius.day10.equal_capacity_for_growth</x:t>
        </x:is>
      </x:c>
      <x:c r="B132" t="inlineStr">
        <x:is>
          <x:t xml:space="preserve">Collected</x:t>
        </x:is>
      </x:c>
      <x:c r="C132" t="inlineStr">
        <x:is>
          <x:t xml:space="preserve">Khả năng phát triển không nên bị mặc định khóa bởi vai trò xã hội</x:t>
        </x:is>
      </x:c>
      <x:c r="D132" t="inlineStr">
        <x:is>
          <x:t xml:space="preserve">Equality</x:t>
        </x:is>
      </x:c>
      <x:c r="H132" t="inlineStr">
        <x:is>
          <x:t xml:space="preserve">https://iep.utm.edu/musonius/</x:t>
        </x:is>
      </x:c>
      <x:c r="V132" t="inlineStr">
        <x:is>
          <x:t xml:space="preserve">Editorial principle seed, not a verbatim Musonius quote.</x:t>
        </x:is>
      </x:c>
    </x:row>
    <x:row r="133">
      <x:c r="A133" t="inlineStr">
        <x:is>
          <x:t xml:space="preserve">principle.musonius.day10.endurance_needs_purpose</x:t>
        </x:is>
      </x:c>
      <x:c r="B133" t="inlineStr">
        <x:is>
          <x:t xml:space="preserve">Collected</x:t>
        </x:is>
      </x:c>
      <x:c r="C133" t="inlineStr">
        <x:is>
          <x:t xml:space="preserve">Sức bền cần được đặt cạnh mục đích</x:t>
        </x:is>
      </x:c>
      <x:c r="D133" t="inlineStr">
        <x:is>
          <x:t xml:space="preserve">Adversity / Agency</x:t>
        </x:is>
      </x:c>
      <x:c r="H133" t="inlineStr">
        <x:is>
          <x:t xml:space="preserve">https://iep.utm.edu/musonius/</x:t>
        </x:is>
      </x:c>
      <x:c r="V133" t="inlineStr">
        <x:is>
          <x:t xml:space="preserve">Editorial principle seed, not a verbatim Musonius quote.</x:t>
        </x:is>
      </x:c>
    </x:row>
    <x:row r="134">
      <x:c r="A134" t="inlineStr">
        <x:is>
          <x:t xml:space="preserve">principle.dhammapada.day11.mind_and_event_are_layers</x:t>
        </x:is>
      </x:c>
      <x:c r="B134" t="inlineStr">
        <x:is>
          <x:t xml:space="preserve">Collected</x:t>
        </x:is>
      </x:c>
      <x:c r="C134" t="inlineStr">
        <x:is>
          <x:t xml:space="preserve">Sự kiện và cách tâm trí tiếp tục mang sự kiện là hai lớp khác nhau</x:t>
        </x:is>
      </x:c>
      <x:c r="D134" t="inlineStr">
        <x:is>
          <x:t xml:space="preserve">Mind / Self-understanding</x:t>
        </x:is>
      </x:c>
      <x:c r="H134" t="inlineStr">
        <x:is>
          <x:t xml:space="preserve">https://ancient-buddhist-texts.net/Texts-and-Translations/Dhammapada/</x:t>
        </x:is>
      </x:c>
      <x:c r="V134" t="inlineStr">
        <x:is>
          <x:t xml:space="preserve">Editorial principle seed, NOT a verbatim Buddhist quote.</x:t>
        </x:is>
      </x:c>
    </x:row>
    <x:row r="135">
      <x:c r="A135" t="inlineStr">
        <x:is>
          <x:t xml:space="preserve">principle.dhammapada.day11.nonhatred_breaks_loop</x:t>
        </x:is>
      </x:c>
      <x:c r="B135" t="inlineStr">
        <x:is>
          <x:t xml:space="preserve">Collected</x:t>
        </x:is>
      </x:c>
      <x:c r="C135" t="inlineStr">
        <x:is>
          <x:t xml:space="preserve">Không lặp lại cùng một năng lượng có thể làm vòng xung đột đổi hướng</x:t>
        </x:is>
      </x:c>
      <x:c r="D135" t="inlineStr">
        <x:is>
          <x:t xml:space="preserve">Relationships</x:t>
        </x:is>
      </x:c>
      <x:c r="H135" t="inlineStr">
        <x:is>
          <x:t xml:space="preserve">https://ancient-buddhist-texts.net/Texts-and-Translations/Dhammapada/</x:t>
        </x:is>
      </x:c>
      <x:c r="V135" t="inlineStr">
        <x:is>
          <x:t xml:space="preserve">Editorial principle seed, NOT a verbatim Buddhist quote.</x:t>
        </x:is>
      </x:c>
    </x:row>
    <x:row r="136">
      <x:c r="A136" t="inlineStr">
        <x:is>
          <x:t xml:space="preserve">principle.dhammapada.day11.essential_over_noise</x:t>
        </x:is>
      </x:c>
      <x:c r="B136" t="inlineStr">
        <x:is>
          <x:t xml:space="preserve">Collected</x:t>
        </x:is>
      </x:c>
      <x:c r="C136" t="inlineStr">
        <x:is>
          <x:t xml:space="preserve">Nhận ra điều cốt yếu quan trọng hơn tích lũy thêm điều không cốt yếu</x:t>
        </x:is>
      </x:c>
      <x:c r="D136" t="inlineStr">
        <x:is>
          <x:t xml:space="preserve">Values / AI age</x:t>
        </x:is>
      </x:c>
      <x:c r="H136" t="inlineStr">
        <x:is>
          <x:t xml:space="preserve">https://ancient-buddhist-texts.net/Texts-and-Translations/Dhammapada/</x:t>
        </x:is>
      </x:c>
      <x:c r="V136" t="inlineStr">
        <x:is>
          <x:t xml:space="preserve">Editorial principle seed, NOT a verbatim Buddhist quote.</x:t>
        </x:is>
      </x:c>
    </x:row>
    <x:row r="137">
      <x:c r="A137" t="inlineStr">
        <x:is>
          <x:t xml:space="preserve">principle.dhammapada.day11.exposure_not_understanding</x:t>
        </x:is>
      </x:c>
      <x:c r="B137" t="inlineStr">
        <x:is>
          <x:t xml:space="preserve">Collected</x:t>
        </x:is>
      </x:c>
      <x:c r="C137" t="inlineStr">
        <x:is>
          <x:t xml:space="preserve">Tiếp xúc với tri thức không đồng nghĩa đã hiểu</x:t>
        </x:is>
      </x:c>
      <x:c r="D137" t="inlineStr">
        <x:is>
          <x:t xml:space="preserve">Learning / AI age</x:t>
        </x:is>
      </x:c>
      <x:c r="H137" t="inlineStr">
        <x:is>
          <x:t xml:space="preserve">https://ancient-buddhist-texts.net/Texts-and-Translations/Dhammapada/</x:t>
        </x:is>
      </x:c>
      <x:c r="V137" t="inlineStr">
        <x:is>
          <x:t xml:space="preserve">Editorial principle seed, NOT a verbatim Buddhist quote.</x:t>
        </x:is>
      </x:c>
    </x:row>
    <x:row r="138">
      <x:c r="A138" t="inlineStr">
        <x:is>
          <x:t xml:space="preserve">principle.dhammapada.day11.words_need_life</x:t>
        </x:is>
      </x:c>
      <x:c r="B138" t="inlineStr">
        <x:is>
          <x:t xml:space="preserve">Collected</x:t>
        </x:is>
      </x:c>
      <x:c r="C138" t="inlineStr">
        <x:is>
          <x:t xml:space="preserve">Lời hay chỉ có ý nghĩa khi có đường quay lại đời sống</x:t>
        </x:is>
      </x:c>
      <x:c r="D138" t="inlineStr">
        <x:is>
          <x:t xml:space="preserve">Learning</x:t>
        </x:is>
      </x:c>
      <x:c r="H138" t="inlineStr">
        <x:is>
          <x:t xml:space="preserve">https://ancient-buddhist-texts.net/Texts-and-Translations/Dhammapada/</x:t>
        </x:is>
      </x:c>
      <x:c r="V138" t="inlineStr">
        <x:is>
          <x:t xml:space="preserve">Editorial principle seed, NOT a verbatim Buddhist quote.</x:t>
        </x:is>
      </x:c>
    </x:row>
    <x:row r="139">
      <x:c r="A139" t="inlineStr">
        <x:is>
          <x:t xml:space="preserve">principle.dhammapada.day11.small_accumulation</x:t>
        </x:is>
      </x:c>
      <x:c r="B139" t="inlineStr">
        <x:is>
          <x:t xml:space="preserve">Collected</x:t>
        </x:is>
      </x:c>
      <x:c r="C139" t="inlineStr">
        <x:is>
          <x:t xml:space="preserve">Những điều nhỏ có thể tạo thành một hướng qua sự tích lũy</x:t>
        </x:is>
      </x:c>
      <x:c r="D139" t="inlineStr">
        <x:is>
          <x:t xml:space="preserve">Habits</x:t>
        </x:is>
      </x:c>
      <x:c r="H139" t="inlineStr">
        <x:is>
          <x:t xml:space="preserve">https://ancient-buddhist-texts.net/Texts-and-Translations/Dhammapada/</x:t>
        </x:is>
      </x:c>
      <x:c r="V139" t="inlineStr">
        <x:is>
          <x:t xml:space="preserve">Editorial principle seed, NOT a verbatim Buddhist quote.</x:t>
        </x:is>
      </x:c>
    </x:row>
    <x:row r="140">
      <x:c r="A140" t="inlineStr">
        <x:is>
          <x:t xml:space="preserve">principle.dhammapada.day11.shared_vulnerability</x:t>
        </x:is>
      </x:c>
      <x:c r="B140" t="inlineStr">
        <x:is>
          <x:t xml:space="preserve">Collected</x:t>
        </x:is>
      </x:c>
      <x:c r="C140" t="inlineStr">
        <x:is>
          <x:t xml:space="preserve">Nhận ra tính dễ tổn thương chung có thể mở lòng trắc ẩn</x:t>
        </x:is>
      </x:c>
      <x:c r="D140" t="inlineStr">
        <x:is>
          <x:t xml:space="preserve">Compassion</x:t>
        </x:is>
      </x:c>
      <x:c r="H140" t="inlineStr">
        <x:is>
          <x:t xml:space="preserve">https://ancient-buddhist-texts.net/Texts-and-Translations/Dhammapada/</x:t>
        </x:is>
      </x:c>
      <x:c r="V140" t="inlineStr">
        <x:is>
          <x:t xml:space="preserve">Editorial principle seed, NOT a verbatim Buddhist quote.</x:t>
        </x:is>
      </x:c>
    </x:row>
    <x:row r="141">
      <x:c r="A141" t="inlineStr">
        <x:is>
          <x:t xml:space="preserve">principle.dhammapada.day11.self_as_agent_not_blame</x:t>
        </x:is>
      </x:c>
      <x:c r="B141" t="inlineStr">
        <x:is>
          <x:t xml:space="preserve">Collected</x:t>
        </x:is>
      </x:c>
      <x:c r="C141" t="inlineStr">
        <x:is>
          <x:t xml:space="preserve">Quyền chủ động không cần biến thành tự trách</x:t>
        </x:is>
      </x:c>
      <x:c r="D141" t="inlineStr">
        <x:is>
          <x:t xml:space="preserve">Agency</x:t>
        </x:is>
      </x:c>
      <x:c r="H141" t="inlineStr">
        <x:is>
          <x:t xml:space="preserve">https://ancient-buddhist-texts.net/Texts-and-Translations/Dhammapada/</x:t>
        </x:is>
      </x:c>
      <x:c r="V141" t="inlineStr">
        <x:is>
          <x:t xml:space="preserve">Editorial principle seed, NOT a verbatim Buddhist quote.</x:t>
        </x:is>
      </x:c>
    </x:row>
    <x:row r="142">
      <x:c r="A142" t="inlineStr">
        <x:is>
          <x:t xml:space="preserve">principle.dhammapada.day11.impermanence_not_minimization</x:t>
        </x:is>
      </x:c>
      <x:c r="B142" t="inlineStr">
        <x:is>
          <x:t xml:space="preserve">Collected</x:t>
        </x:is>
      </x:c>
      <x:c r="C142" t="inlineStr">
        <x:is>
          <x:t xml:space="preserve">Thay đổi không có nghĩa nỗi đau hiện tại là nhỏ</x:t>
        </x:is>
      </x:c>
      <x:c r="D142" t="inlineStr">
        <x:is>
          <x:t xml:space="preserve">Impermanence</x:t>
        </x:is>
      </x:c>
      <x:c r="H142" t="inlineStr">
        <x:is>
          <x:t xml:space="preserve">https://ancient-buddhist-texts.net/Texts-and-Translations/Dhammapada/</x:t>
        </x:is>
      </x:c>
      <x:c r="V142" t="inlineStr">
        <x:is>
          <x:t xml:space="preserve">Editorial principle seed, NOT a verbatim Buddhist quote.</x:t>
        </x:is>
      </x:c>
    </x:row>
    <x:row r="143">
      <x:c r="A143" t="inlineStr">
        <x:is>
          <x:t xml:space="preserve">principle.dhammapada.day11.good_company_or_space</x:t>
        </x:is>
      </x:c>
      <x:c r="B143" t="inlineStr">
        <x:is>
          <x:t xml:space="preserve">Collected</x:t>
        </x:is>
      </x:c>
      <x:c r="C143" t="inlineStr">
        <x:is>
          <x:t xml:space="preserve">Đồng hành tốt và khoảng một mình đều có giá trị tùy hoàn cảnh</x:t>
        </x:is>
      </x:c>
      <x:c r="D143" t="inlineStr">
        <x:is>
          <x:t xml:space="preserve">Relationships / Choice</x:t>
        </x:is>
      </x:c>
      <x:c r="H143" t="inlineStr">
        <x:is>
          <x:t xml:space="preserve">https://ancient-buddhist-texts.net/Texts-and-Translations/Dhammapada/</x:t>
        </x:is>
      </x:c>
      <x:c r="V143" t="inlineStr">
        <x:is>
          <x:t xml:space="preserve">Editorial principle seed, NOT a verbatim Buddhist quote.</x:t>
        </x:is>
      </x:c>
    </x:row>
    <x:row r="144">
      <x:c r="A144" t="inlineStr">
        <x:is>
          <x:t xml:space="preserve">principle.dhammapada.day11.attention_is_life</x:t>
        </x:is>
      </x:c>
      <x:c r="B144" t="inlineStr">
        <x:is>
          <x:t xml:space="preserve">Collected</x:t>
        </x:is>
      </x:c>
      <x:c r="C144" t="inlineStr">
        <x:is>
          <x:t xml:space="preserve">Attention là một phần của đời sống chứ không chỉ là công cụ năng suất</x:t>
        </x:is>
      </x:c>
      <x:c r="D144" t="inlineStr">
        <x:is>
          <x:t xml:space="preserve">Attention / AI age</x:t>
        </x:is>
      </x:c>
      <x:c r="H144" t="inlineStr">
        <x:is>
          <x:t xml:space="preserve">https://ancient-buddhist-texts.net/Texts-and-Translations/Dhammapada/</x:t>
        </x:is>
      </x:c>
      <x:c r="V144" t="inlineStr">
        <x:is>
          <x:t xml:space="preserve">Editorial principle seed, NOT a verbatim Buddhist quote.</x:t>
        </x:is>
      </x:c>
    </x:row>
    <x:row r="145">
      <x:c r="A145" t="inlineStr">
        <x:is>
          <x:t xml:space="preserve">principle.dhammapada.day11.one_meaningful_line</x:t>
        </x:is>
      </x:c>
      <x:c r="B145" t="inlineStr">
        <x:is>
          <x:t xml:space="preserve">Collected</x:t>
        </x:is>
      </x:c>
      <x:c r="C145" t="inlineStr">
        <x:is>
          <x:t xml:space="preserve">Một câu vừa đủ có thể hữu ích hơn nghìn câu trả lời</x:t>
        </x:is>
      </x:c>
      <x:c r="D145" t="inlineStr">
        <x:is>
          <x:t xml:space="preserve">Selflo / AI age</x:t>
        </x:is>
      </x:c>
      <x:c r="H145" t="inlineStr">
        <x:is>
          <x:t xml:space="preserve">https://ancient-buddhist-texts.net/Texts-and-Translations/Dhammapada/</x:t>
        </x:is>
      </x:c>
      <x:c r="V145" t="inlineStr">
        <x:is>
          <x:t xml:space="preserve">Editorial principle seed, NOT a verbatim Buddhist quote.</x:t>
        </x:is>
      </x:c>
    </x:row>
    <x:row r="146">
      <x:c r="A146" t="inlineStr">
        <x:is>
          <x:t xml:space="preserve">principle.mn.day12.observe_before_identify</x:t>
        </x:is>
      </x:c>
      <x:c r="B146" t="inlineStr">
        <x:is>
          <x:t xml:space="preserve">Collected</x:t>
        </x:is>
      </x:c>
      <x:c r="C146" t="inlineStr">
        <x:is>
          <x:t xml:space="preserve">Quan sát trải nghiệm trước khi đồng nhất nó với bản thân</x:t>
        </x:is>
      </x:c>
      <x:c r="D146" t="inlineStr">
        <x:is>
          <x:t xml:space="preserve">Attention / Self-understanding</x:t>
        </x:is>
      </x:c>
      <x:c r="H146" t="inlineStr">
        <x:is>
          <x:t xml:space="preserve">https://suttacentral.net/mn</x:t>
        </x:is>
      </x:c>
      <x:c r="V146" t="inlineStr">
        <x:is>
          <x:t xml:space="preserve">Principle seed only; not a direct canonical quote.</x:t>
        </x:is>
      </x:c>
    </x:row>
    <x:row r="147">
      <x:c r="A147" t="inlineStr">
        <x:is>
          <x:t xml:space="preserve">principle.mn.day12.thoughts_have_directions</x:t>
        </x:is>
      </x:c>
      <x:c r="B147" t="inlineStr">
        <x:is>
          <x:t xml:space="preserve">Collected</x:t>
        </x:is>
      </x:c>
      <x:c r="C147" t="inlineStr">
        <x:is>
          <x:t xml:space="preserve">Ý nghĩ có thể được nhìn qua hướng chúng dẫn tới</x:t>
        </x:is>
      </x:c>
      <x:c r="D147" t="inlineStr">
        <x:is>
          <x:t xml:space="preserve">Judgment</x:t>
        </x:is>
      </x:c>
      <x:c r="H147" t="inlineStr">
        <x:is>
          <x:t xml:space="preserve">https://suttacentral.net/mn</x:t>
        </x:is>
      </x:c>
      <x:c r="V147" t="inlineStr">
        <x:is>
          <x:t xml:space="preserve">Principle seed only; not a direct canonical quote.</x:t>
        </x:is>
      </x:c>
    </x:row>
    <x:row r="148">
      <x:c r="A148" t="inlineStr">
        <x:is>
          <x:t xml:space="preserve">principle.mn.day12.flexible_mental_tools</x:t>
        </x:is>
      </x:c>
      <x:c r="B148" t="inlineStr">
        <x:is>
          <x:t xml:space="preserve">Collected</x:t>
        </x:is>
      </x:c>
      <x:c r="C148" t="inlineStr">
        <x:is>
          <x:t xml:space="preserve">Không phải mọi trạng thái tâm trí cần cùng một công cụ</x:t>
        </x:is>
      </x:c>
      <x:c r="D148" t="inlineStr">
        <x:is>
          <x:t xml:space="preserve">Psychological flexibility</x:t>
        </x:is>
      </x:c>
      <x:c r="H148" t="inlineStr">
        <x:is>
          <x:t xml:space="preserve">https://suttacentral.net/mn</x:t>
        </x:is>
      </x:c>
      <x:c r="V148" t="inlineStr">
        <x:is>
          <x:t xml:space="preserve">Principle seed only; not a direct canonical quote.</x:t>
        </x:is>
      </x:c>
    </x:row>
    <x:row r="149">
      <x:c r="A149" t="inlineStr">
        <x:is>
          <x:t xml:space="preserve">principle.mn.day12.response_is_another_layer</x:t>
        </x:is>
      </x:c>
      <x:c r="B149" t="inlineStr">
        <x:is>
          <x:t xml:space="preserve">Collected</x:t>
        </x:is>
      </x:c>
      <x:c r="C149" t="inlineStr">
        <x:is>
          <x:t xml:space="preserve">Điều xảy đến và phản ứng mình nuôi là hai lớp</x:t>
        </x:is>
      </x:c>
      <x:c r="D149" t="inlineStr">
        <x:is>
          <x:t xml:space="preserve">Agency / Anger</x:t>
        </x:is>
      </x:c>
      <x:c r="H149" t="inlineStr">
        <x:is>
          <x:t xml:space="preserve">https://suttacentral.net/mn</x:t>
        </x:is>
      </x:c>
      <x:c r="V149" t="inlineStr">
        <x:is>
          <x:t xml:space="preserve">Principle seed only; not a direct canonical quote.</x:t>
        </x:is>
      </x:c>
    </x:row>
    <x:row r="150">
      <x:c r="A150" t="inlineStr">
        <x:is>
          <x:t xml:space="preserve">principle.mn.day12.correct_information_can_be_misused</x:t>
        </x:is>
      </x:c>
      <x:c r="B150" t="inlineStr">
        <x:is>
          <x:t xml:space="preserve">Collected</x:t>
        </x:is>
      </x:c>
      <x:c r="C150" t="inlineStr">
        <x:is>
          <x:t xml:space="preserve">Thông tin đúng vẫn có thể bị nắm sai cách</x:t>
        </x:is>
      </x:c>
      <x:c r="D150" t="inlineStr">
        <x:is>
          <x:t xml:space="preserve">Learning / AI age</x:t>
        </x:is>
      </x:c>
      <x:c r="H150" t="inlineStr">
        <x:is>
          <x:t xml:space="preserve">https://suttacentral.net/mn</x:t>
        </x:is>
      </x:c>
      <x:c r="V150" t="inlineStr">
        <x:is>
          <x:t xml:space="preserve">Principle seed only; not a direct canonical quote.</x:t>
        </x:is>
      </x:c>
    </x:row>
    <x:row r="151">
      <x:c r="A151" t="inlineStr">
        <x:is>
          <x:t xml:space="preserve">principle.mn.day12.tools_are_for_crossing</x:t>
        </x:is>
      </x:c>
      <x:c r="B151" t="inlineStr">
        <x:is>
          <x:t xml:space="preserve">Collected</x:t>
        </x:is>
      </x:c>
      <x:c r="C151" t="inlineStr">
        <x:is>
          <x:t xml:space="preserve">Công cụ phục vụ một đoạn đường, không cần trở thành bản sắc</x:t>
        </x:is>
      </x:c>
      <x:c r="D151" t="inlineStr">
        <x:is>
          <x:t xml:space="preserve">Change / Learning</x:t>
        </x:is>
      </x:c>
      <x:c r="H151" t="inlineStr">
        <x:is>
          <x:t xml:space="preserve">https://suttacentral.net/mn</x:t>
        </x:is>
      </x:c>
      <x:c r="V151" t="inlineStr">
        <x:is>
          <x:t xml:space="preserve">Principle seed only; not a direct canonical quote.</x:t>
        </x:is>
      </x:c>
    </x:row>
    <x:row r="152">
      <x:c r="A152" t="inlineStr">
        <x:is>
          <x:t xml:space="preserve">principle.mn.day12.evidence_before_certainty</x:t>
        </x:is>
      </x:c>
      <x:c r="B152" t="inlineStr">
        <x:is>
          <x:t xml:space="preserve">Collected</x:t>
        </x:is>
      </x:c>
      <x:c r="C152" t="inlineStr">
        <x:is>
          <x:t xml:space="preserve">Dấu hiệu ban đầu không nên bị nâng thành kết luận cuối</x:t>
        </x:is>
      </x:c>
      <x:c r="D152" t="inlineStr">
        <x:is>
          <x:t xml:space="preserve">Verification / AI age</x:t>
        </x:is>
      </x:c>
      <x:c r="H152" t="inlineStr">
        <x:is>
          <x:t xml:space="preserve">https://suttacentral.net/mn</x:t>
        </x:is>
      </x:c>
      <x:c r="V152" t="inlineStr">
        <x:is>
          <x:t xml:space="preserve">Principle seed only; not a direct canonical quote.</x:t>
        </x:is>
      </x:c>
    </x:row>
    <x:row r="153">
      <x:c r="A153" t="inlineStr">
        <x:is>
          <x:t xml:space="preserve">principle.mn.day12.truth_benefit_timing</x:t>
        </x:is>
      </x:c>
      <x:c r="B153" t="inlineStr">
        <x:is>
          <x:t xml:space="preserve">Collected</x:t>
        </x:is>
      </x:c>
      <x:c r="C153" t="inlineStr">
        <x:is>
          <x:t xml:space="preserve">Đúng, có ích và đúng lúc là ba chiều khác nhau</x:t>
        </x:is>
      </x:c>
      <x:c r="D153" t="inlineStr">
        <x:is>
          <x:t xml:space="preserve">Communication</x:t>
        </x:is>
      </x:c>
      <x:c r="H153" t="inlineStr">
        <x:is>
          <x:t xml:space="preserve">https://suttacentral.net/mn</x:t>
        </x:is>
      </x:c>
      <x:c r="V153" t="inlineStr">
        <x:is>
          <x:t xml:space="preserve">Principle seed only; not a direct canonical quote.</x:t>
        </x:is>
      </x:c>
    </x:row>
    <x:row r="154">
      <x:c r="A154" t="inlineStr">
        <x:is>
          <x:t xml:space="preserve">principle.mn.day12.reflect_without_identity_collapse</x:t>
        </x:is>
      </x:c>
      <x:c r="B154" t="inlineStr">
        <x:is>
          <x:t xml:space="preserve">Collected</x:t>
        </x:is>
      </x:c>
      <x:c r="C154" t="inlineStr">
        <x:is>
          <x:t xml:space="preserve">Nhìn lại sai lầm không cần biến sai lầm thành bản sắc</x:t>
        </x:is>
      </x:c>
      <x:c r="D154" t="inlineStr">
        <x:is>
          <x:t xml:space="preserve">Self-compassion / Responsibility</x:t>
        </x:is>
      </x:c>
      <x:c r="H154" t="inlineStr">
        <x:is>
          <x:t xml:space="preserve">https://suttacentral.net/mn</x:t>
        </x:is>
      </x:c>
      <x:c r="V154" t="inlineStr">
        <x:is>
          <x:t xml:space="preserve">Principle seed only; not a direct canonical quote.</x:t>
        </x:is>
      </x:c>
    </x:row>
    <x:row r="155">
      <x:c r="A155" t="inlineStr">
        <x:is>
          <x:t xml:space="preserve">principle.mn.day12.capacity_to_hold</x:t>
        </x:is>
      </x:c>
      <x:c r="B155" t="inlineStr">
        <x:is>
          <x:t xml:space="preserve">Collected</x:t>
        </x:is>
      </x:c>
      <x:c r="C155" t="inlineStr">
        <x:is>
          <x:t xml:space="preserve">Có thể mở rộng khả năng chứa trải nghiệm thay vì ép trải nghiệm biến mất ngay</x:t>
        </x:is>
      </x:c>
      <x:c r="D155" t="inlineStr">
        <x:is>
          <x:t xml:space="preserve">Recovery / Emotion</x:t>
        </x:is>
      </x:c>
      <x:c r="H155" t="inlineStr">
        <x:is>
          <x:t xml:space="preserve">https://suttacentral.net/mn</x:t>
        </x:is>
      </x:c>
      <x:c r="V155" t="inlineStr">
        <x:is>
          <x:t xml:space="preserve">Principle seed only; not a direct canonical quote.</x:t>
        </x:is>
      </x:c>
    </x:row>
    <x:row r="156">
      <x:c r="A156" t="inlineStr">
        <x:is>
          <x:t xml:space="preserve">principle.mn.day12.direct_experience_before_story</x:t>
        </x:is>
      </x:c>
      <x:c r="B156" t="inlineStr">
        <x:is>
          <x:t xml:space="preserve">Collected</x:t>
        </x:is>
      </x:c>
      <x:c r="C156" t="inlineStr">
        <x:is>
          <x:t xml:space="preserve">Trở lại dữ liệu trực tiếp trước khi thêm diễn giải</x:t>
        </x:is>
      </x:c>
      <x:c r="D156" t="inlineStr">
        <x:is>
          <x:t xml:space="preserve">Attention / Presence</x:t>
        </x:is>
      </x:c>
      <x:c r="H156" t="inlineStr">
        <x:is>
          <x:t xml:space="preserve">https://suttacentral.net/mn</x:t>
        </x:is>
      </x:c>
      <x:c r="V156" t="inlineStr">
        <x:is>
          <x:t xml:space="preserve">Principle seed only; not a direct canonical quote.</x:t>
        </x:is>
      </x:c>
    </x:row>
    <x:row r="157">
      <x:c r="A157" t="inlineStr">
        <x:is>
          <x:t xml:space="preserve">principle.mn.day12.present_not_futureless</x:t>
        </x:is>
      </x:c>
      <x:c r="B157" t="inlineStr">
        <x:is>
          <x:t xml:space="preserve">Collected</x:t>
        </x:is>
      </x:c>
      <x:c r="C157" t="inlineStr">
        <x:is>
          <x:t xml:space="preserve">Ở với hiện tại không đồng nghĩa phủ nhận quá khứ hay không chuẩn bị tương lai</x:t>
        </x:is>
      </x:c>
      <x:c r="D157" t="inlineStr">
        <x:is>
          <x:t xml:space="preserve">Time / Presence</x:t>
        </x:is>
      </x:c>
      <x:c r="H157" t="inlineStr">
        <x:is>
          <x:t xml:space="preserve">https://suttacentral.net/mn</x:t>
        </x:is>
      </x:c>
      <x:c r="V157" t="inlineStr">
        <x:is>
          <x:t xml:space="preserve">Principle seed only; not a direct canonical quote.</x:t>
        </x:is>
      </x:c>
    </x:row>
    <x:row r="158">
      <x:c r="A158" t="inlineStr">
        <x:is>
          <x:t xml:space="preserve">principle.mn.day12.expectation_can_hide_reality</x:t>
        </x:is>
      </x:c>
      <x:c r="B158" t="inlineStr">
        <x:is>
          <x:t xml:space="preserve">Collected</x:t>
        </x:is>
      </x:c>
      <x:c r="C158" t="inlineStr">
        <x:is>
          <x:t xml:space="preserve">Kỳ vọng về hình dạng của câu trả lời có thể làm mình bỏ qua điều đang có mặt</x:t>
        </x:is>
      </x:c>
      <x:c r="D158" t="inlineStr">
        <x:is>
          <x:t xml:space="preserve">Judgment / Self-understanding</x:t>
        </x:is>
      </x:c>
      <x:c r="H158" t="inlineStr">
        <x:is>
          <x:t xml:space="preserve">https://suttacentral.net/mn</x:t>
        </x:is>
      </x:c>
      <x:c r="V158" t="inlineStr">
        <x:is>
          <x:t xml:space="preserve">Principle seed only; not a direct canonical quote.</x:t>
        </x:is>
      </x:c>
    </x:row>
    <x:row r="159">
      <x:c r="A159" t="inlineStr">
        <x:is>
          <x:t xml:space="preserve">principle.day13.second_arrow</x:t>
        </x:is>
      </x:c>
      <x:c r="B159" t="inlineStr">
        <x:is>
          <x:t xml:space="preserve">Collected</x:t>
        </x:is>
      </x:c>
      <x:c r="C159" t="inlineStr">
        <x:is>
          <x:t xml:space="preserve">Đau ban đầu và điều tâm trí thêm vào là hai lớp</x:t>
        </x:is>
      </x:c>
      <x:c r="D159" t="inlineStr">
        <x:is>
          <x:t xml:space="preserve">Pain / Self-understanding</x:t>
        </x:is>
      </x:c>
      <x:c r="E159" t="inlineStr">
        <x:is>
          <x:t xml:space="preserve"/>
        </x:is>
      </x:c>
      <x:c r="F159" t="inlineStr">
        <x:is>
          <x:t xml:space="preserve"/>
        </x:is>
      </x:c>
      <x:c r="G159" t="inlineStr">
        <x:is>
          <x:t xml:space="preserve"/>
        </x:is>
      </x:c>
      <x:c r="H159" t="inlineStr">
        <x:is>
          <x:t xml:space="preserve">https://suttacentral.net</x:t>
        </x:is>
      </x:c>
      <x:c r="I159" t="inlineStr">
        <x:is>
          <x:t xml:space="preserve"/>
        </x:is>
      </x:c>
      <x:c r="J159" t="inlineStr">
        <x:is>
          <x:t xml:space="preserve"/>
        </x:is>
      </x:c>
      <x:c r="K159" t="inlineStr">
        <x:is>
          <x:t xml:space="preserve"/>
        </x:is>
      </x:c>
      <x:c r="L159" t="inlineStr">
        <x:is>
          <x:t xml:space="preserve"/>
        </x:is>
      </x:c>
      <x:c r="M159" t="inlineStr">
        <x:is>
          <x:t xml:space="preserve"/>
        </x:is>
      </x:c>
      <x:c r="N159" t="inlineStr">
        <x:is>
          <x:t xml:space="preserve"/>
        </x:is>
      </x:c>
      <x:c r="O159" t="inlineStr">
        <x:is>
          <x:t xml:space="preserve"/>
        </x:is>
      </x:c>
      <x:c r="P159" t="inlineStr">
        <x:is>
          <x:t xml:space="preserve"/>
        </x:is>
      </x:c>
      <x:c r="Q159" t="inlineStr">
        <x:is>
          <x:t xml:space="preserve"/>
        </x:is>
      </x:c>
      <x:c r="R159" t="inlineStr">
        <x:is>
          <x:t xml:space="preserve"/>
        </x:is>
      </x:c>
      <x:c r="S159" t="inlineStr">
        <x:is>
          <x:t xml:space="preserve"/>
        </x:is>
      </x:c>
      <x:c r="T159" t="inlineStr">
        <x:is>
          <x:t xml:space="preserve"/>
        </x:is>
      </x:c>
      <x:c r="U159" t="inlineStr">
        <x:is>
          <x:t xml:space="preserve"/>
        </x:is>
      </x:c>
      <x:c r="V159" t="inlineStr">
        <x:is>
          <x:t xml:space="preserve">Editorial principle seed; NOT a canonical quote.</x:t>
        </x:is>
      </x:c>
    </x:row>
    <x:row r="160">
      <x:c r="A160" t="inlineStr">
        <x:is>
          <x:t xml:space="preserve">principle.day13.conditions_before_character</x:t>
        </x:is>
      </x:c>
      <x:c r="B160" t="inlineStr">
        <x:is>
          <x:t xml:space="preserve">Collected</x:t>
        </x:is>
      </x:c>
      <x:c r="C160" t="inlineStr">
        <x:is>
          <x:t xml:space="preserve">Nhìn điều kiện trước khi kết luận về phẩm chất con người</x:t>
        </x:is>
      </x:c>
      <x:c r="D160" t="inlineStr">
        <x:is>
          <x:t xml:space="preserve">Capacity / Conditions</x:t>
        </x:is>
      </x:c>
      <x:c r="E160" t="inlineStr">
        <x:is>
          <x:t xml:space="preserve"/>
        </x:is>
      </x:c>
      <x:c r="F160" t="inlineStr">
        <x:is>
          <x:t xml:space="preserve"/>
        </x:is>
      </x:c>
      <x:c r="G160" t="inlineStr">
        <x:is>
          <x:t xml:space="preserve"/>
        </x:is>
      </x:c>
      <x:c r="H160" t="inlineStr">
        <x:is>
          <x:t xml:space="preserve">https://suttacentral.net</x:t>
        </x:is>
      </x:c>
      <x:c r="I160" t="inlineStr">
        <x:is>
          <x:t xml:space="preserve"/>
        </x:is>
      </x:c>
      <x:c r="J160" t="inlineStr">
        <x:is>
          <x:t xml:space="preserve"/>
        </x:is>
      </x:c>
      <x:c r="K160" t="inlineStr">
        <x:is>
          <x:t xml:space="preserve"/>
        </x:is>
      </x:c>
      <x:c r="L160" t="inlineStr">
        <x:is>
          <x:t xml:space="preserve"/>
        </x:is>
      </x:c>
      <x:c r="M160" t="inlineStr">
        <x:is>
          <x:t xml:space="preserve"/>
        </x:is>
      </x:c>
      <x:c r="N160" t="inlineStr">
        <x:is>
          <x:t xml:space="preserve"/>
        </x:is>
      </x:c>
      <x:c r="O160" t="inlineStr">
        <x:is>
          <x:t xml:space="preserve"/>
        </x:is>
      </x:c>
      <x:c r="P160" t="inlineStr">
        <x:is>
          <x:t xml:space="preserve"/>
        </x:is>
      </x:c>
      <x:c r="Q160" t="inlineStr">
        <x:is>
          <x:t xml:space="preserve"/>
        </x:is>
      </x:c>
      <x:c r="R160" t="inlineStr">
        <x:is>
          <x:t xml:space="preserve"/>
        </x:is>
      </x:c>
      <x:c r="S160" t="inlineStr">
        <x:is>
          <x:t xml:space="preserve"/>
        </x:is>
      </x:c>
      <x:c r="T160" t="inlineStr">
        <x:is>
          <x:t xml:space="preserve"/>
        </x:is>
      </x:c>
      <x:c r="U160" t="inlineStr">
        <x:is>
          <x:t xml:space="preserve"/>
        </x:is>
      </x:c>
      <x:c r="V160" t="inlineStr">
        <x:is>
          <x:t xml:space="preserve">Editorial principle seed; NOT a canonical quote.</x:t>
        </x:is>
      </x:c>
    </x:row>
    <x:row r="161">
      <x:c r="A161" t="inlineStr">
        <x:is>
          <x:t xml:space="preserve">principle.day13.experience_is_composed</x:t>
        </x:is>
      </x:c>
      <x:c r="B161" t="inlineStr">
        <x:is>
          <x:t xml:space="preserve">Collected</x:t>
        </x:is>
      </x:c>
      <x:c r="C161" t="inlineStr">
        <x:is>
          <x:t xml:space="preserve">Một trải nghiệm có thể là kết quả của nhiều điều kiện chứ không phải một vật cố định</x:t>
        </x:is>
      </x:c>
      <x:c r="D161" t="inlineStr">
        <x:is>
          <x:t xml:space="preserve">Perception / Systems</x:t>
        </x:is>
      </x:c>
      <x:c r="E161" t="inlineStr">
        <x:is>
          <x:t xml:space="preserve"/>
        </x:is>
      </x:c>
      <x:c r="F161" t="inlineStr">
        <x:is>
          <x:t xml:space="preserve"/>
        </x:is>
      </x:c>
      <x:c r="G161" t="inlineStr">
        <x:is>
          <x:t xml:space="preserve"/>
        </x:is>
      </x:c>
      <x:c r="H161" t="inlineStr">
        <x:is>
          <x:t xml:space="preserve">https://suttacentral.net</x:t>
        </x:is>
      </x:c>
      <x:c r="I161" t="inlineStr">
        <x:is>
          <x:t xml:space="preserve"/>
        </x:is>
      </x:c>
      <x:c r="J161" t="inlineStr">
        <x:is>
          <x:t xml:space="preserve"/>
        </x:is>
      </x:c>
      <x:c r="K161" t="inlineStr">
        <x:is>
          <x:t xml:space="preserve"/>
        </x:is>
      </x:c>
      <x:c r="L161" t="inlineStr">
        <x:is>
          <x:t xml:space="preserve"/>
        </x:is>
      </x:c>
      <x:c r="M161" t="inlineStr">
        <x:is>
          <x:t xml:space="preserve"/>
        </x:is>
      </x:c>
      <x:c r="N161" t="inlineStr">
        <x:is>
          <x:t xml:space="preserve"/>
        </x:is>
      </x:c>
      <x:c r="O161" t="inlineStr">
        <x:is>
          <x:t xml:space="preserve"/>
        </x:is>
      </x:c>
      <x:c r="P161" t="inlineStr">
        <x:is>
          <x:t xml:space="preserve"/>
        </x:is>
      </x:c>
      <x:c r="Q161" t="inlineStr">
        <x:is>
          <x:t xml:space="preserve"/>
        </x:is>
      </x:c>
      <x:c r="R161" t="inlineStr">
        <x:is>
          <x:t xml:space="preserve"/>
        </x:is>
      </x:c>
      <x:c r="S161" t="inlineStr">
        <x:is>
          <x:t xml:space="preserve"/>
        </x:is>
      </x:c>
      <x:c r="T161" t="inlineStr">
        <x:is>
          <x:t xml:space="preserve"/>
        </x:is>
      </x:c>
      <x:c r="U161" t="inlineStr">
        <x:is>
          <x:t xml:space="preserve"/>
        </x:is>
      </x:c>
      <x:c r="V161" t="inlineStr">
        <x:is>
          <x:t xml:space="preserve">Editorial principle seed; NOT a canonical quote.</x:t>
        </x:is>
      </x:c>
    </x:row>
    <x:row r="162">
      <x:c r="A162" t="inlineStr">
        <x:is>
          <x:t xml:space="preserve">principle.day13.doubt_can_be_healthy</x:t>
        </x:is>
      </x:c>
      <x:c r="B162" t="inlineStr">
        <x:is>
          <x:t xml:space="preserve">Collected</x:t>
        </x:is>
      </x:c>
      <x:c r="C162" t="inlineStr">
        <x:is>
          <x:t xml:space="preserve">Hoài nghi có thể là phản ứng lành mạnh trước các authority mâu thuẫn</x:t>
        </x:is>
      </x:c>
      <x:c r="D162" t="inlineStr">
        <x:is>
          <x:t xml:space="preserve">Judgment / AI age</x:t>
        </x:is>
      </x:c>
      <x:c r="E162" t="inlineStr">
        <x:is>
          <x:t xml:space="preserve"/>
        </x:is>
      </x:c>
      <x:c r="F162" t="inlineStr">
        <x:is>
          <x:t xml:space="preserve"/>
        </x:is>
      </x:c>
      <x:c r="G162" t="inlineStr">
        <x:is>
          <x:t xml:space="preserve"/>
        </x:is>
      </x:c>
      <x:c r="H162" t="inlineStr">
        <x:is>
          <x:t xml:space="preserve">https://suttacentral.net</x:t>
        </x:is>
      </x:c>
      <x:c r="I162" t="inlineStr">
        <x:is>
          <x:t xml:space="preserve"/>
        </x:is>
      </x:c>
      <x:c r="J162" t="inlineStr">
        <x:is>
          <x:t xml:space="preserve"/>
        </x:is>
      </x:c>
      <x:c r="K162" t="inlineStr">
        <x:is>
          <x:t xml:space="preserve"/>
        </x:is>
      </x:c>
      <x:c r="L162" t="inlineStr">
        <x:is>
          <x:t xml:space="preserve"/>
        </x:is>
      </x:c>
      <x:c r="M162" t="inlineStr">
        <x:is>
          <x:t xml:space="preserve"/>
        </x:is>
      </x:c>
      <x:c r="N162" t="inlineStr">
        <x:is>
          <x:t xml:space="preserve"/>
        </x:is>
      </x:c>
      <x:c r="O162" t="inlineStr">
        <x:is>
          <x:t xml:space="preserve"/>
        </x:is>
      </x:c>
      <x:c r="P162" t="inlineStr">
        <x:is>
          <x:t xml:space="preserve"/>
        </x:is>
      </x:c>
      <x:c r="Q162" t="inlineStr">
        <x:is>
          <x:t xml:space="preserve"/>
        </x:is>
      </x:c>
      <x:c r="R162" t="inlineStr">
        <x:is>
          <x:t xml:space="preserve"/>
        </x:is>
      </x:c>
      <x:c r="S162" t="inlineStr">
        <x:is>
          <x:t xml:space="preserve"/>
        </x:is>
      </x:c>
      <x:c r="T162" t="inlineStr">
        <x:is>
          <x:t xml:space="preserve"/>
        </x:is>
      </x:c>
      <x:c r="U162" t="inlineStr">
        <x:is>
          <x:t xml:space="preserve"/>
        </x:is>
      </x:c>
      <x:c r="V162" t="inlineStr">
        <x:is>
          <x:t xml:space="preserve">Editorial principle seed; NOT a canonical quote.</x:t>
        </x:is>
      </x:c>
    </x:row>
    <x:row r="163">
      <x:c r="A163" t="inlineStr">
        <x:is>
          <x:t xml:space="preserve">principle.day13.authority_is_not_judgment</x:t>
        </x:is>
      </x:c>
      <x:c r="B163" t="inlineStr">
        <x:is>
          <x:t xml:space="preserve">Collected</x:t>
        </x:is>
      </x:c>
      <x:c r="C163" t="inlineStr">
        <x:is>
          <x:t xml:space="preserve">Authority không thay thế phán đoán</x:t>
        </x:is>
      </x:c>
      <x:c r="D163" t="inlineStr">
        <x:is>
          <x:t xml:space="preserve">AI age / Judgment</x:t>
        </x:is>
      </x:c>
      <x:c r="E163" t="inlineStr">
        <x:is>
          <x:t xml:space="preserve"/>
        </x:is>
      </x:c>
      <x:c r="F163" t="inlineStr">
        <x:is>
          <x:t xml:space="preserve"/>
        </x:is>
      </x:c>
      <x:c r="G163" t="inlineStr">
        <x:is>
          <x:t xml:space="preserve"/>
        </x:is>
      </x:c>
      <x:c r="H163" t="inlineStr">
        <x:is>
          <x:t xml:space="preserve">https://suttacentral.net</x:t>
        </x:is>
      </x:c>
      <x:c r="I163" t="inlineStr">
        <x:is>
          <x:t xml:space="preserve"/>
        </x:is>
      </x:c>
      <x:c r="J163" t="inlineStr">
        <x:is>
          <x:t xml:space="preserve"/>
        </x:is>
      </x:c>
      <x:c r="K163" t="inlineStr">
        <x:is>
          <x:t xml:space="preserve"/>
        </x:is>
      </x:c>
      <x:c r="L163" t="inlineStr">
        <x:is>
          <x:t xml:space="preserve"/>
        </x:is>
      </x:c>
      <x:c r="M163" t="inlineStr">
        <x:is>
          <x:t xml:space="preserve"/>
        </x:is>
      </x:c>
      <x:c r="N163" t="inlineStr">
        <x:is>
          <x:t xml:space="preserve"/>
        </x:is>
      </x:c>
      <x:c r="O163" t="inlineStr">
        <x:is>
          <x:t xml:space="preserve"/>
        </x:is>
      </x:c>
      <x:c r="P163" t="inlineStr">
        <x:is>
          <x:t xml:space="preserve"/>
        </x:is>
      </x:c>
      <x:c r="Q163" t="inlineStr">
        <x:is>
          <x:t xml:space="preserve"/>
        </x:is>
      </x:c>
      <x:c r="R163" t="inlineStr">
        <x:is>
          <x:t xml:space="preserve"/>
        </x:is>
      </x:c>
      <x:c r="S163" t="inlineStr">
        <x:is>
          <x:t xml:space="preserve"/>
        </x:is>
      </x:c>
      <x:c r="T163" t="inlineStr">
        <x:is>
          <x:t xml:space="preserve"/>
        </x:is>
      </x:c>
      <x:c r="U163" t="inlineStr">
        <x:is>
          <x:t xml:space="preserve"/>
        </x:is>
      </x:c>
      <x:c r="V163" t="inlineStr">
        <x:is>
          <x:t xml:space="preserve">Editorial principle seed; NOT a canonical quote.</x:t>
        </x:is>
      </x:c>
    </x:row>
    <x:row r="164">
      <x:c r="A164" t="inlineStr">
        <x:is>
          <x:t xml:space="preserve">principle.day13.more_information_not_more_wisdom</x:t>
        </x:is>
      </x:c>
      <x:c r="B164" t="inlineStr">
        <x:is>
          <x:t xml:space="preserve">Collected</x:t>
        </x:is>
      </x:c>
      <x:c r="C164" t="inlineStr">
        <x:is>
          <x:t xml:space="preserve">Nhiều thông tin hơn không tự tạo nhiều khôn ngoan hơn</x:t>
        </x:is>
      </x:c>
      <x:c r="D164" t="inlineStr">
        <x:is>
          <x:t xml:space="preserve">Learning / AI age</x:t>
        </x:is>
      </x:c>
      <x:c r="E164" t="inlineStr">
        <x:is>
          <x:t xml:space="preserve"/>
        </x:is>
      </x:c>
      <x:c r="F164" t="inlineStr">
        <x:is>
          <x:t xml:space="preserve"/>
        </x:is>
      </x:c>
      <x:c r="G164" t="inlineStr">
        <x:is>
          <x:t xml:space="preserve"/>
        </x:is>
      </x:c>
      <x:c r="H164" t="inlineStr">
        <x:is>
          <x:t xml:space="preserve">https://suttacentral.net</x:t>
        </x:is>
      </x:c>
      <x:c r="I164" t="inlineStr">
        <x:is>
          <x:t xml:space="preserve"/>
        </x:is>
      </x:c>
      <x:c r="J164" t="inlineStr">
        <x:is>
          <x:t xml:space="preserve"/>
        </x:is>
      </x:c>
      <x:c r="K164" t="inlineStr">
        <x:is>
          <x:t xml:space="preserve"/>
        </x:is>
      </x:c>
      <x:c r="L164" t="inlineStr">
        <x:is>
          <x:t xml:space="preserve"/>
        </x:is>
      </x:c>
      <x:c r="M164" t="inlineStr">
        <x:is>
          <x:t xml:space="preserve"/>
        </x:is>
      </x:c>
      <x:c r="N164" t="inlineStr">
        <x:is>
          <x:t xml:space="preserve"/>
        </x:is>
      </x:c>
      <x:c r="O164" t="inlineStr">
        <x:is>
          <x:t xml:space="preserve"/>
        </x:is>
      </x:c>
      <x:c r="P164" t="inlineStr">
        <x:is>
          <x:t xml:space="preserve"/>
        </x:is>
      </x:c>
      <x:c r="Q164" t="inlineStr">
        <x:is>
          <x:t xml:space="preserve"/>
        </x:is>
      </x:c>
      <x:c r="R164" t="inlineStr">
        <x:is>
          <x:t xml:space="preserve"/>
        </x:is>
      </x:c>
      <x:c r="S164" t="inlineStr">
        <x:is>
          <x:t xml:space="preserve"/>
        </x:is>
      </x:c>
      <x:c r="T164" t="inlineStr">
        <x:is>
          <x:t xml:space="preserve"/>
        </x:is>
      </x:c>
      <x:c r="U164" t="inlineStr">
        <x:is>
          <x:t xml:space="preserve"/>
        </x:is>
      </x:c>
      <x:c r="V164" t="inlineStr">
        <x:is>
          <x:t xml:space="preserve">Editorial principle seed; NOT a canonical quote.</x:t>
        </x:is>
      </x:c>
    </x:row>
    <x:row r="165">
      <x:c r="A165" t="inlineStr">
        <x:is>
          <x:t xml:space="preserve">principle.day13.feelings_change_without_being_fake</x:t>
        </x:is>
      </x:c>
      <x:c r="B165" t="inlineStr">
        <x:is>
          <x:t xml:space="preserve">Collected</x:t>
        </x:is>
      </x:c>
      <x:c r="C165" t="inlineStr">
        <x:is>
          <x:t xml:space="preserve">Một cảm giác thay đổi không có nghĩa nó chưa từng thật</x:t>
        </x:is>
      </x:c>
      <x:c r="D165" t="inlineStr">
        <x:is>
          <x:t xml:space="preserve">Emotion / Impermanence</x:t>
        </x:is>
      </x:c>
      <x:c r="E165" t="inlineStr">
        <x:is>
          <x:t xml:space="preserve"/>
        </x:is>
      </x:c>
      <x:c r="F165" t="inlineStr">
        <x:is>
          <x:t xml:space="preserve"/>
        </x:is>
      </x:c>
      <x:c r="G165" t="inlineStr">
        <x:is>
          <x:t xml:space="preserve"/>
        </x:is>
      </x:c>
      <x:c r="H165" t="inlineStr">
        <x:is>
          <x:t xml:space="preserve">https://suttacentral.net</x:t>
        </x:is>
      </x:c>
      <x:c r="I165" t="inlineStr">
        <x:is>
          <x:t xml:space="preserve"/>
        </x:is>
      </x:c>
      <x:c r="J165" t="inlineStr">
        <x:is>
          <x:t xml:space="preserve"/>
        </x:is>
      </x:c>
      <x:c r="K165" t="inlineStr">
        <x:is>
          <x:t xml:space="preserve"/>
        </x:is>
      </x:c>
      <x:c r="L165" t="inlineStr">
        <x:is>
          <x:t xml:space="preserve"/>
        </x:is>
      </x:c>
      <x:c r="M165" t="inlineStr">
        <x:is>
          <x:t xml:space="preserve"/>
        </x:is>
      </x:c>
      <x:c r="N165" t="inlineStr">
        <x:is>
          <x:t xml:space="preserve"/>
        </x:is>
      </x:c>
      <x:c r="O165" t="inlineStr">
        <x:is>
          <x:t xml:space="preserve"/>
        </x:is>
      </x:c>
      <x:c r="P165" t="inlineStr">
        <x:is>
          <x:t xml:space="preserve"/>
        </x:is>
      </x:c>
      <x:c r="Q165" t="inlineStr">
        <x:is>
          <x:t xml:space="preserve"/>
        </x:is>
      </x:c>
      <x:c r="R165" t="inlineStr">
        <x:is>
          <x:t xml:space="preserve"/>
        </x:is>
      </x:c>
      <x:c r="S165" t="inlineStr">
        <x:is>
          <x:t xml:space="preserve"/>
        </x:is>
      </x:c>
      <x:c r="T165" t="inlineStr">
        <x:is>
          <x:t xml:space="preserve"/>
        </x:is>
      </x:c>
      <x:c r="U165" t="inlineStr">
        <x:is>
          <x:t xml:space="preserve"/>
        </x:is>
      </x:c>
      <x:c r="V165" t="inlineStr">
        <x:is>
          <x:t xml:space="preserve">Editorial principle seed; NOT a canonical quote.</x:t>
        </x:is>
      </x:c>
    </x:row>
    <x:row r="166">
      <x:c r="A166" t="inlineStr">
        <x:is>
          <x:t xml:space="preserve">principle.day13.perception_needs_humility</x:t>
        </x:is>
      </x:c>
      <x:c r="B166" t="inlineStr">
        <x:is>
          <x:t xml:space="preserve">Collected</x:t>
        </x:is>
      </x:c>
      <x:c r="C166" t="inlineStr">
        <x:is>
          <x:t xml:space="preserve">Điều mình thấy chịu ảnh hưởng bởi điều kiện nhìn</x:t>
        </x:is>
      </x:c>
      <x:c r="D166" t="inlineStr">
        <x:is>
          <x:t xml:space="preserve">Perception / Judgment</x:t>
        </x:is>
      </x:c>
      <x:c r="E166" t="inlineStr">
        <x:is>
          <x:t xml:space="preserve"/>
        </x:is>
      </x:c>
      <x:c r="F166" t="inlineStr">
        <x:is>
          <x:t xml:space="preserve"/>
        </x:is>
      </x:c>
      <x:c r="G166" t="inlineStr">
        <x:is>
          <x:t xml:space="preserve"/>
        </x:is>
      </x:c>
      <x:c r="H166" t="inlineStr">
        <x:is>
          <x:t xml:space="preserve">https://suttacentral.net</x:t>
        </x:is>
      </x:c>
      <x:c r="I166" t="inlineStr">
        <x:is>
          <x:t xml:space="preserve"/>
        </x:is>
      </x:c>
      <x:c r="J166" t="inlineStr">
        <x:is>
          <x:t xml:space="preserve"/>
        </x:is>
      </x:c>
      <x:c r="K166" t="inlineStr">
        <x:is>
          <x:t xml:space="preserve"/>
        </x:is>
      </x:c>
      <x:c r="L166" t="inlineStr">
        <x:is>
          <x:t xml:space="preserve"/>
        </x:is>
      </x:c>
      <x:c r="M166" t="inlineStr">
        <x:is>
          <x:t xml:space="preserve"/>
        </x:is>
      </x:c>
      <x:c r="N166" t="inlineStr">
        <x:is>
          <x:t xml:space="preserve"/>
        </x:is>
      </x:c>
      <x:c r="O166" t="inlineStr">
        <x:is>
          <x:t xml:space="preserve"/>
        </x:is>
      </x:c>
      <x:c r="P166" t="inlineStr">
        <x:is>
          <x:t xml:space="preserve"/>
        </x:is>
      </x:c>
      <x:c r="Q166" t="inlineStr">
        <x:is>
          <x:t xml:space="preserve"/>
        </x:is>
      </x:c>
      <x:c r="R166" t="inlineStr">
        <x:is>
          <x:t xml:space="preserve"/>
        </x:is>
      </x:c>
      <x:c r="S166" t="inlineStr">
        <x:is>
          <x:t xml:space="preserve"/>
        </x:is>
      </x:c>
      <x:c r="T166" t="inlineStr">
        <x:is>
          <x:t xml:space="preserve"/>
        </x:is>
      </x:c>
      <x:c r="U166" t="inlineStr">
        <x:is>
          <x:t xml:space="preserve"/>
        </x:is>
      </x:c>
      <x:c r="V166" t="inlineStr">
        <x:is>
          <x:t xml:space="preserve">Editorial principle seed; NOT a canonical quote.</x:t>
        </x:is>
      </x:c>
    </x:row>
    <x:row r="167">
      <x:c r="A167" t="inlineStr">
        <x:is>
          <x:t xml:space="preserve">principle.day13.context_changes_capacity</x:t>
        </x:is>
      </x:c>
      <x:c r="B167" t="inlineStr">
        <x:is>
          <x:t xml:space="preserve">Collected</x:t>
        </x:is>
      </x:c>
      <x:c r="C167" t="inlineStr">
        <x:is>
          <x:t xml:space="preserve">Capacity là quan hệ giữa người và context, không chỉ một thuộc tính cố định</x:t>
        </x:is>
      </x:c>
      <x:c r="D167" t="inlineStr">
        <x:is>
          <x:t xml:space="preserve">Capacity / Self-compassion</x:t>
        </x:is>
      </x:c>
      <x:c r="E167" t="inlineStr">
        <x:is>
          <x:t xml:space="preserve"/>
        </x:is>
      </x:c>
      <x:c r="F167" t="inlineStr">
        <x:is>
          <x:t xml:space="preserve"/>
        </x:is>
      </x:c>
      <x:c r="G167" t="inlineStr">
        <x:is>
          <x:t xml:space="preserve"/>
        </x:is>
      </x:c>
      <x:c r="H167" t="inlineStr">
        <x:is>
          <x:t xml:space="preserve">https://suttacentral.net</x:t>
        </x:is>
      </x:c>
      <x:c r="I167" t="inlineStr">
        <x:is>
          <x:t xml:space="preserve"/>
        </x:is>
      </x:c>
      <x:c r="J167" t="inlineStr">
        <x:is>
          <x:t xml:space="preserve"/>
        </x:is>
      </x:c>
      <x:c r="K167" t="inlineStr">
        <x:is>
          <x:t xml:space="preserve"/>
        </x:is>
      </x:c>
      <x:c r="L167" t="inlineStr">
        <x:is>
          <x:t xml:space="preserve"/>
        </x:is>
      </x:c>
      <x:c r="M167" t="inlineStr">
        <x:is>
          <x:t xml:space="preserve"/>
        </x:is>
      </x:c>
      <x:c r="N167" t="inlineStr">
        <x:is>
          <x:t xml:space="preserve"/>
        </x:is>
      </x:c>
      <x:c r="O167" t="inlineStr">
        <x:is>
          <x:t xml:space="preserve"/>
        </x:is>
      </x:c>
      <x:c r="P167" t="inlineStr">
        <x:is>
          <x:t xml:space="preserve"/>
        </x:is>
      </x:c>
      <x:c r="Q167" t="inlineStr">
        <x:is>
          <x:t xml:space="preserve"/>
        </x:is>
      </x:c>
      <x:c r="R167" t="inlineStr">
        <x:is>
          <x:t xml:space="preserve"/>
        </x:is>
      </x:c>
      <x:c r="S167" t="inlineStr">
        <x:is>
          <x:t xml:space="preserve"/>
        </x:is>
      </x:c>
      <x:c r="T167" t="inlineStr">
        <x:is>
          <x:t xml:space="preserve"/>
        </x:is>
      </x:c>
      <x:c r="U167" t="inlineStr">
        <x:is>
          <x:t xml:space="preserve"/>
        </x:is>
      </x:c>
      <x:c r="V167" t="inlineStr">
        <x:is>
          <x:t xml:space="preserve">Editorial principle seed; NOT a canonical quote.</x:t>
        </x:is>
      </x:c>
    </x:row>
    <x:row r="168">
      <x:c r="A168" t="inlineStr">
        <x:is>
          <x:t xml:space="preserve">principle.day13.external_conditions_are_not_identity</x:t>
        </x:is>
      </x:c>
      <x:c r="B168" t="inlineStr">
        <x:is>
          <x:t xml:space="preserve">Collected</x:t>
        </x:is>
      </x:c>
      <x:c r="C168" t="inlineStr">
        <x:is>
          <x:t xml:space="preserve">Được/mất, khen/chê, dễ chịu/đau không phải toàn bộ giá trị con người</x:t>
        </x:is>
      </x:c>
      <x:c r="D168" t="inlineStr">
        <x:is>
          <x:t xml:space="preserve">Self-worth / Change</x:t>
        </x:is>
      </x:c>
      <x:c r="E168" t="inlineStr">
        <x:is>
          <x:t xml:space="preserve"/>
        </x:is>
      </x:c>
      <x:c r="F168" t="inlineStr">
        <x:is>
          <x:t xml:space="preserve"/>
        </x:is>
      </x:c>
      <x:c r="G168" t="inlineStr">
        <x:is>
          <x:t xml:space="preserve"/>
        </x:is>
      </x:c>
      <x:c r="H168" t="inlineStr">
        <x:is>
          <x:t xml:space="preserve">https://suttacentral.net</x:t>
        </x:is>
      </x:c>
      <x:c r="I168" t="inlineStr">
        <x:is>
          <x:t xml:space="preserve"/>
        </x:is>
      </x:c>
      <x:c r="J168" t="inlineStr">
        <x:is>
          <x:t xml:space="preserve"/>
        </x:is>
      </x:c>
      <x:c r="K168" t="inlineStr">
        <x:is>
          <x:t xml:space="preserve"/>
        </x:is>
      </x:c>
      <x:c r="L168" t="inlineStr">
        <x:is>
          <x:t xml:space="preserve"/>
        </x:is>
      </x:c>
      <x:c r="M168" t="inlineStr">
        <x:is>
          <x:t xml:space="preserve"/>
        </x:is>
      </x:c>
      <x:c r="N168" t="inlineStr">
        <x:is>
          <x:t xml:space="preserve"/>
        </x:is>
      </x:c>
      <x:c r="O168" t="inlineStr">
        <x:is>
          <x:t xml:space="preserve"/>
        </x:is>
      </x:c>
      <x:c r="P168" t="inlineStr">
        <x:is>
          <x:t xml:space="preserve"/>
        </x:is>
      </x:c>
      <x:c r="Q168" t="inlineStr">
        <x:is>
          <x:t xml:space="preserve"/>
        </x:is>
      </x:c>
      <x:c r="R168" t="inlineStr">
        <x:is>
          <x:t xml:space="preserve"/>
        </x:is>
      </x:c>
      <x:c r="S168" t="inlineStr">
        <x:is>
          <x:t xml:space="preserve"/>
        </x:is>
      </x:c>
      <x:c r="T168" t="inlineStr">
        <x:is>
          <x:t xml:space="preserve"/>
        </x:is>
      </x:c>
      <x:c r="U168" t="inlineStr">
        <x:is>
          <x:t xml:space="preserve"/>
        </x:is>
      </x:c>
      <x:c r="V168" t="inlineStr">
        <x:is>
          <x:t xml:space="preserve">Editorial principle seed; NOT a canonical quote.</x:t>
        </x:is>
      </x:c>
    </x:row>
    <x:row r="169">
      <x:c r="A169" t="inlineStr">
        <x:is>
          <x:t xml:space="preserve">principle.day13.intention_is_a_layer</x:t>
        </x:is>
      </x:c>
      <x:c r="B169" t="inlineStr">
        <x:is>
          <x:t xml:space="preserve">Collected</x:t>
        </x:is>
      </x:c>
      <x:c r="C169" t="inlineStr">
        <x:is>
          <x:t xml:space="preserve">Hành động và ý định là hai lớp cần cùng được nhìn</x:t>
        </x:is>
      </x:c>
      <x:c r="D169" t="inlineStr">
        <x:is>
          <x:t xml:space="preserve">Self-understanding / Responsibility</x:t>
        </x:is>
      </x:c>
      <x:c r="E169" t="inlineStr">
        <x:is>
          <x:t xml:space="preserve"/>
        </x:is>
      </x:c>
      <x:c r="F169" t="inlineStr">
        <x:is>
          <x:t xml:space="preserve"/>
        </x:is>
      </x:c>
      <x:c r="G169" t="inlineStr">
        <x:is>
          <x:t xml:space="preserve"/>
        </x:is>
      </x:c>
      <x:c r="H169" t="inlineStr">
        <x:is>
          <x:t xml:space="preserve">https://suttacentral.net</x:t>
        </x:is>
      </x:c>
      <x:c r="I169" t="inlineStr">
        <x:is>
          <x:t xml:space="preserve"/>
        </x:is>
      </x:c>
      <x:c r="J169" t="inlineStr">
        <x:is>
          <x:t xml:space="preserve"/>
        </x:is>
      </x:c>
      <x:c r="K169" t="inlineStr">
        <x:is>
          <x:t xml:space="preserve"/>
        </x:is>
      </x:c>
      <x:c r="L169" t="inlineStr">
        <x:is>
          <x:t xml:space="preserve"/>
        </x:is>
      </x:c>
      <x:c r="M169" t="inlineStr">
        <x:is>
          <x:t xml:space="preserve"/>
        </x:is>
      </x:c>
      <x:c r="N169" t="inlineStr">
        <x:is>
          <x:t xml:space="preserve"/>
        </x:is>
      </x:c>
      <x:c r="O169" t="inlineStr">
        <x:is>
          <x:t xml:space="preserve"/>
        </x:is>
      </x:c>
      <x:c r="P169" t="inlineStr">
        <x:is>
          <x:t xml:space="preserve"/>
        </x:is>
      </x:c>
      <x:c r="Q169" t="inlineStr">
        <x:is>
          <x:t xml:space="preserve"/>
        </x:is>
      </x:c>
      <x:c r="R169" t="inlineStr">
        <x:is>
          <x:t xml:space="preserve"/>
        </x:is>
      </x:c>
      <x:c r="S169" t="inlineStr">
        <x:is>
          <x:t xml:space="preserve"/>
        </x:is>
      </x:c>
      <x:c r="T169" t="inlineStr">
        <x:is>
          <x:t xml:space="preserve"/>
        </x:is>
      </x:c>
      <x:c r="U169" t="inlineStr">
        <x:is>
          <x:t xml:space="preserve"/>
        </x:is>
      </x:c>
      <x:c r="V169" t="inlineStr">
        <x:is>
          <x:t xml:space="preserve">Editorial principle seed; NOT a canonical quote.</x:t>
        </x:is>
      </x:c>
    </x:row>
    <x:row r="170">
      <x:c r="A170" t="inlineStr">
        <x:is>
          <x:t xml:space="preserve">principle.day13.finite_time_clarifies_not_pressures</x:t>
        </x:is>
      </x:c>
      <x:c r="B170" t="inlineStr">
        <x:is>
          <x:t xml:space="preserve">Collected</x:t>
        </x:is>
      </x:c>
      <x:c r="C170" t="inlineStr">
        <x:is>
          <x:t xml:space="preserve">Nhớ tính hữu hạn nên làm rõ giá trị, không biến đời thành cuộc đua tối ưu</x:t>
        </x:is>
      </x:c>
      <x:c r="D170" t="inlineStr">
        <x:is>
          <x:t xml:space="preserve">Time / Values</x:t>
        </x:is>
      </x:c>
      <x:c r="E170" t="inlineStr">
        <x:is>
          <x:t xml:space="preserve"/>
        </x:is>
      </x:c>
      <x:c r="F170" t="inlineStr">
        <x:is>
          <x:t xml:space="preserve"/>
        </x:is>
      </x:c>
      <x:c r="G170" t="inlineStr">
        <x:is>
          <x:t xml:space="preserve"/>
        </x:is>
      </x:c>
      <x:c r="H170" t="inlineStr">
        <x:is>
          <x:t xml:space="preserve">https://suttacentral.net</x:t>
        </x:is>
      </x:c>
      <x:c r="I170" t="inlineStr">
        <x:is>
          <x:t xml:space="preserve"/>
        </x:is>
      </x:c>
      <x:c r="J170" t="inlineStr">
        <x:is>
          <x:t xml:space="preserve"/>
        </x:is>
      </x:c>
      <x:c r="K170" t="inlineStr">
        <x:is>
          <x:t xml:space="preserve"/>
        </x:is>
      </x:c>
      <x:c r="L170" t="inlineStr">
        <x:is>
          <x:t xml:space="preserve"/>
        </x:is>
      </x:c>
      <x:c r="M170" t="inlineStr">
        <x:is>
          <x:t xml:space="preserve"/>
        </x:is>
      </x:c>
      <x:c r="N170" t="inlineStr">
        <x:is>
          <x:t xml:space="preserve"/>
        </x:is>
      </x:c>
      <x:c r="O170" t="inlineStr">
        <x:is>
          <x:t xml:space="preserve"/>
        </x:is>
      </x:c>
      <x:c r="P170" t="inlineStr">
        <x:is>
          <x:t xml:space="preserve"/>
        </x:is>
      </x:c>
      <x:c r="Q170" t="inlineStr">
        <x:is>
          <x:t xml:space="preserve"/>
        </x:is>
      </x:c>
      <x:c r="R170" t="inlineStr">
        <x:is>
          <x:t xml:space="preserve"/>
        </x:is>
      </x:c>
      <x:c r="S170" t="inlineStr">
        <x:is>
          <x:t xml:space="preserve"/>
        </x:is>
      </x:c>
      <x:c r="T170" t="inlineStr">
        <x:is>
          <x:t xml:space="preserve"/>
        </x:is>
      </x:c>
      <x:c r="U170" t="inlineStr">
        <x:is>
          <x:t xml:space="preserve"/>
        </x:is>
      </x:c>
      <x:c r="V170" t="inlineStr">
        <x:is>
          <x:t xml:space="preserve">Editorial principle seed; NOT a canonical quote.</x:t>
        </x:is>
      </x:c>
    </x:row>
    <x:row r="171">
      <x:c r="A171" t="inlineStr">
        <x:is>
          <x:t xml:space="preserve">principle.day13.multiple_lenses_not_one_answer</x:t>
        </x:is>
      </x:c>
      <x:c r="B171" t="inlineStr">
        <x:is>
          <x:t xml:space="preserve">Collected</x:t>
        </x:is>
      </x:c>
      <x:c r="C171" t="inlineStr">
        <x:is>
          <x:t xml:space="preserve">Một trải nghiệm có thể cần nhiều lens khác nhau</x:t>
        </x:is>
      </x:c>
      <x:c r="D171" t="inlineStr">
        <x:is>
          <x:t xml:space="preserve">Selflo / AI age</x:t>
        </x:is>
      </x:c>
      <x:c r="E171" t="inlineStr">
        <x:is>
          <x:t xml:space="preserve"/>
        </x:is>
      </x:c>
      <x:c r="F171" t="inlineStr">
        <x:is>
          <x:t xml:space="preserve"/>
        </x:is>
      </x:c>
      <x:c r="G171" t="inlineStr">
        <x:is>
          <x:t xml:space="preserve"/>
        </x:is>
      </x:c>
      <x:c r="H171" t="inlineStr">
        <x:is>
          <x:t xml:space="preserve">https://suttacentral.net</x:t>
        </x:is>
      </x:c>
      <x:c r="I171" t="inlineStr">
        <x:is>
          <x:t xml:space="preserve"/>
        </x:is>
      </x:c>
      <x:c r="J171" t="inlineStr">
        <x:is>
          <x:t xml:space="preserve"/>
        </x:is>
      </x:c>
      <x:c r="K171" t="inlineStr">
        <x:is>
          <x:t xml:space="preserve"/>
        </x:is>
      </x:c>
      <x:c r="L171" t="inlineStr">
        <x:is>
          <x:t xml:space="preserve"/>
        </x:is>
      </x:c>
      <x:c r="M171" t="inlineStr">
        <x:is>
          <x:t xml:space="preserve"/>
        </x:is>
      </x:c>
      <x:c r="N171" t="inlineStr">
        <x:is>
          <x:t xml:space="preserve"/>
        </x:is>
      </x:c>
      <x:c r="O171" t="inlineStr">
        <x:is>
          <x:t xml:space="preserve"/>
        </x:is>
      </x:c>
      <x:c r="P171" t="inlineStr">
        <x:is>
          <x:t xml:space="preserve"/>
        </x:is>
      </x:c>
      <x:c r="Q171" t="inlineStr">
        <x:is>
          <x:t xml:space="preserve"/>
        </x:is>
      </x:c>
      <x:c r="R171" t="inlineStr">
        <x:is>
          <x:t xml:space="preserve"/>
        </x:is>
      </x:c>
      <x:c r="S171" t="inlineStr">
        <x:is>
          <x:t xml:space="preserve"/>
        </x:is>
      </x:c>
      <x:c r="T171" t="inlineStr">
        <x:is>
          <x:t xml:space="preserve"/>
        </x:is>
      </x:c>
      <x:c r="U171" t="inlineStr">
        <x:is>
          <x:t xml:space="preserve"/>
        </x:is>
      </x:c>
      <x:c r="V171" t="inlineStr">
        <x:is>
          <x:t xml:space="preserve">Editorial principle seed; NOT a canonical quote.</x:t>
        </x:is>
      </x:c>
    </x:row>
    <x:row r="172">
      <x:c r="A172" t="str">
        <x:v>principle.day14.questions_need_priority</x:v>
      </x:c>
      <x:c r="B172" t="str">
        <x:v>Collected</x:v>
      </x:c>
      <x:c r="C172" t="str">
        <x:v>Không phải mọi câu hỏi đều có cùng mức ưu tiên</x:v>
      </x:c>
      <x:c r="D172" t="str">
        <x:v>Judgment / AI age</x:v>
      </x:c>
      <x:c r="E172" t="str">
        <x:v>Khả năng đặt thêm câu hỏi không đồng nghĩa câu hỏi đó cần được trả lời trước điều đang cấp thiết.</x:v>
      </x:c>
      <x:c r="F172" t="str">
        <x:v>Selected early Buddhist canonical parables</x:v>
      </x:c>
      <x:c r="G172" t="str">
        <x:v>Early Buddhist Pāḷi tradition / Selflo editorial derivation</x:v>
      </x:c>
      <x:c r="H172" t="str">
        <x:v>https://accesstoinsight.org/index-similes</x:v>
      </x:c>
      <x:c r="I172" t="str">
        <x:v>Primary-source-derived editorial principle</x:v>
      </x:c>
      <x:c r="J172" t="str">
        <x:v>Derived from named canonical similes collected in Day 14.</x:v>
      </x:c>
      <x:c r="K172" t="str">
        <x:v>Selflo principle wording is editorial; it must not be presented as a canonical quotation.</x:v>
      </x:c>
      <x:c r="L172" t="str">
        <x:v>A/B - source-derived editorial principle</x:v>
      </x:c>
      <x:c r="M172" t="str">
        <x:v>Human judgment / agency</x:v>
      </x:c>
      <x:c r="N172" t="str">
        <x:v>Judgment / AI age</x:v>
      </x:c>
      <x:c r="O172" t="str">
        <x:v>Day 14 / Early Buddhist parables</x:v>
      </x:c>
      <x:c r="P172" t="str">
        <x:v>High</x:v>
      </x:c>
      <x:c r="Q172" t="str"/>
      <x:c r="R172" t="str"/>
      <x:c r="S172" t="str">
        <x:v>Quote/story curation and future Selflo-original seed</x:v>
      </x:c>
      <x:c r="T172" t="str">
        <x:v>Yes</x:v>
      </x:c>
      <x:c r="U172" t="n">
        <x:v>14</x:v>
      </x:c>
      <x:c r="V172" t="str">
        <x:v>Principle seed, not verbatim Buddhist doctrine.</x:v>
      </x:c>
    </x:row>
    <x:row r="173">
      <x:c r="A173" t="str">
        <x:v>principle.day14.partial_view_not_whole</x:v>
      </x:c>
      <x:c r="B173" t="str">
        <x:v>Collected</x:v>
      </x:c>
      <x:c r="C173" t="str">
        <x:v>Một phần đúng vẫn có thể sai khi bị xem là toàn bộ</x:v>
      </x:c>
      <x:c r="D173" t="str">
        <x:v>Perspective / Judgment</x:v>
      </x:c>
      <x:c r="E173" t="str">
        <x:v>Blind-men-and-elephant parable supports epistemic humility without implying every view is equally accurate.</x:v>
      </x:c>
      <x:c r="F173" t="str">
        <x:v>Selected early Buddhist canonical parables</x:v>
      </x:c>
      <x:c r="G173" t="str">
        <x:v>Early Buddhist Pāḷi tradition / Selflo editorial derivation</x:v>
      </x:c>
      <x:c r="H173" t="str">
        <x:v>https://accesstoinsight.org/index-similes</x:v>
      </x:c>
      <x:c r="I173" t="str">
        <x:v>Primary-source-derived editorial principle</x:v>
      </x:c>
      <x:c r="J173" t="str">
        <x:v>Derived from named canonical similes collected in Day 14.</x:v>
      </x:c>
      <x:c r="K173" t="str">
        <x:v>Selflo principle wording is editorial; it must not be presented as a canonical quotation.</x:v>
      </x:c>
      <x:c r="L173" t="str">
        <x:v>A/B - source-derived editorial principle</x:v>
      </x:c>
      <x:c r="M173" t="str">
        <x:v>Human judgment / agency</x:v>
      </x:c>
      <x:c r="N173" t="str">
        <x:v>Perspective / Judgment</x:v>
      </x:c>
      <x:c r="O173" t="str">
        <x:v>Day 14 / Early Buddhist parables</x:v>
      </x:c>
      <x:c r="P173" t="str">
        <x:v>High</x:v>
      </x:c>
      <x:c r="Q173" t="str"/>
      <x:c r="R173" t="str"/>
      <x:c r="S173" t="str">
        <x:v>Quote/story curation and future Selflo-original seed</x:v>
      </x:c>
      <x:c r="T173" t="str">
        <x:v>Yes</x:v>
      </x:c>
      <x:c r="U173" t="n">
        <x:v>14</x:v>
      </x:c>
      <x:c r="V173" t="str">
        <x:v>Principle seed, not verbatim Buddhist doctrine.</x:v>
      </x:c>
    </x:row>
    <x:row r="174">
      <x:c r="A174" t="str">
        <x:v>principle.day14.selfcare_mutualcare</x:v>
      </x:c>
      <x:c r="B174" t="str">
        <x:v>Collected</x:v>
      </x:c>
      <x:c r="C174" t="str">
        <x:v>Chăm mình và chăm người khác có thể nâng đỡ nhau</x:v>
      </x:c>
      <x:c r="D174" t="str">
        <x:v>Relationships / Boundaries</x:v>
      </x:c>
      <x:c r="E174" t="str">
        <x:v>Self-care không nhất thiết đối lập với care for others; neglecting one's balance can also affect others.</x:v>
      </x:c>
      <x:c r="F174" t="str">
        <x:v>Selected early Buddhist canonical parables</x:v>
      </x:c>
      <x:c r="G174" t="str">
        <x:v>Early Buddhist Pāḷi tradition / Selflo editorial derivation</x:v>
      </x:c>
      <x:c r="H174" t="str">
        <x:v>https://accesstoinsight.org/index-similes</x:v>
      </x:c>
      <x:c r="I174" t="str">
        <x:v>Primary-source-derived editorial principle</x:v>
      </x:c>
      <x:c r="J174" t="str">
        <x:v>Derived from named canonical similes collected in Day 14.</x:v>
      </x:c>
      <x:c r="K174" t="str">
        <x:v>Selflo principle wording is editorial; it must not be presented as a canonical quotation.</x:v>
      </x:c>
      <x:c r="L174" t="str">
        <x:v>A/B - source-derived editorial principle</x:v>
      </x:c>
      <x:c r="M174" t="str">
        <x:v>Human judgment / agency</x:v>
      </x:c>
      <x:c r="N174" t="str">
        <x:v>Relationships / Boundaries</x:v>
      </x:c>
      <x:c r="O174" t="str">
        <x:v>Day 14 / Early Buddhist parables</x:v>
      </x:c>
      <x:c r="P174" t="str">
        <x:v>High</x:v>
      </x:c>
      <x:c r="Q174" t="str"/>
      <x:c r="R174" t="str"/>
      <x:c r="S174" t="str">
        <x:v>Quote/story curation and future Selflo-original seed</x:v>
      </x:c>
      <x:c r="T174" t="str">
        <x:v>Yes</x:v>
      </x:c>
      <x:c r="U174" t="n">
        <x:v>14</x:v>
      </x:c>
      <x:c r="V174" t="str">
        <x:v>Principle seed, not verbatim Buddhist doctrine.</x:v>
      </x:c>
    </x:row>
    <x:row r="175">
      <x:c r="A175" t="str">
        <x:v>principle.day14.capacity_is_relational</x:v>
      </x:c>
      <x:c r="B175" t="str">
        <x:v>Collected</x:v>
      </x:c>
      <x:c r="C175" t="str">
        <x:v>Gánh nặng phụ thuộc cả vật đang mang và capacity/context của người mang</x:v>
      </x:c>
      <x:c r="D175" t="str">
        <x:v>Capacity / Self-compassion</x:v>
      </x:c>
      <x:c r="E175" t="str">
        <x:v>The same-looking demand may be trivial for one context and overwhelming in another; this does not erase agency.</x:v>
      </x:c>
      <x:c r="F175" t="str">
        <x:v>Selected early Buddhist canonical parables</x:v>
      </x:c>
      <x:c r="G175" t="str">
        <x:v>Early Buddhist Pāḷi tradition / Selflo editorial derivation</x:v>
      </x:c>
      <x:c r="H175" t="str">
        <x:v>https://accesstoinsight.org/index-similes</x:v>
      </x:c>
      <x:c r="I175" t="str">
        <x:v>Primary-source-derived editorial principle</x:v>
      </x:c>
      <x:c r="J175" t="str">
        <x:v>Derived from named canonical similes collected in Day 14.</x:v>
      </x:c>
      <x:c r="K175" t="str">
        <x:v>Selflo principle wording is editorial; it must not be presented as a canonical quotation.</x:v>
      </x:c>
      <x:c r="L175" t="str">
        <x:v>A/B - source-derived editorial principle</x:v>
      </x:c>
      <x:c r="M175" t="str">
        <x:v>Human judgment / agency</x:v>
      </x:c>
      <x:c r="N175" t="str">
        <x:v>Capacity / Self-compassion</x:v>
      </x:c>
      <x:c r="O175" t="str">
        <x:v>Day 14 / Early Buddhist parables</x:v>
      </x:c>
      <x:c r="P175" t="str">
        <x:v>High</x:v>
      </x:c>
      <x:c r="Q175" t="str"/>
      <x:c r="R175" t="str"/>
      <x:c r="S175" t="str">
        <x:v>Quote/story curation and future Selflo-original seed</x:v>
      </x:c>
      <x:c r="T175" t="str">
        <x:v>Yes</x:v>
      </x:c>
      <x:c r="U175" t="n">
        <x:v>14</x:v>
      </x:c>
      <x:c r="V175" t="str">
        <x:v>Principle seed, not verbatim Buddhist doctrine.</x:v>
      </x:c>
    </x:row>
    <x:row r="176">
      <x:c r="A176" t="str">
        <x:v>principle.day14.recovery_outlasts_event</x:v>
      </x:c>
      <x:c r="B176" t="str">
        <x:v>Collected</x:v>
      </x:c>
      <x:c r="C176" t="str">
        <x:v>Sự kiện kết thúc trước khi quá trình hồi phục kết thúc</x:v>
      </x:c>
      <x:c r="D176" t="str">
        <x:v>Recovery</x:v>
      </x:c>
      <x:c r="E176" t="str">
        <x:v>Removal of the main cause and completion of healing are distinct stages.</x:v>
      </x:c>
      <x:c r="F176" t="str">
        <x:v>Selected early Buddhist canonical parables</x:v>
      </x:c>
      <x:c r="G176" t="str">
        <x:v>Early Buddhist Pāḷi tradition / Selflo editorial derivation</x:v>
      </x:c>
      <x:c r="H176" t="str">
        <x:v>https://accesstoinsight.org/index-similes</x:v>
      </x:c>
      <x:c r="I176" t="str">
        <x:v>Primary-source-derived editorial principle</x:v>
      </x:c>
      <x:c r="J176" t="str">
        <x:v>Derived from named canonical similes collected in Day 14.</x:v>
      </x:c>
      <x:c r="K176" t="str">
        <x:v>Selflo principle wording is editorial; it must not be presented as a canonical quotation.</x:v>
      </x:c>
      <x:c r="L176" t="str">
        <x:v>A/B - source-derived editorial principle</x:v>
      </x:c>
      <x:c r="M176" t="str">
        <x:v>Human judgment / agency</x:v>
      </x:c>
      <x:c r="N176" t="str">
        <x:v>Recovery</x:v>
      </x:c>
      <x:c r="O176" t="str">
        <x:v>Day 14 / Early Buddhist parables</x:v>
      </x:c>
      <x:c r="P176" t="str">
        <x:v>High</x:v>
      </x:c>
      <x:c r="Q176" t="str"/>
      <x:c r="R176" t="str"/>
      <x:c r="S176" t="str">
        <x:v>Quote/story curation and future Selflo-original seed</x:v>
      </x:c>
      <x:c r="T176" t="str">
        <x:v>Yes</x:v>
      </x:c>
      <x:c r="U176" t="n">
        <x:v>14</x:v>
      </x:c>
      <x:c r="V176" t="str">
        <x:v>Principle seed, not verbatim Buddhist doctrine.</x:v>
      </x:c>
    </x:row>
    <x:row r="177">
      <x:c r="A177" t="str">
        <x:v>principle.day14.conditions_hold_patterns</x:v>
      </x:c>
      <x:c r="B177" t="str">
        <x:v>Collected</x:v>
      </x:c>
      <x:c r="C177" t="str">
        <x:v>Một pattern có thể được giữ bởi nhiều điều kiện cùng lúc</x:v>
      </x:c>
      <x:c r="D177" t="str">
        <x:v>Systems / Self-understanding</x:v>
      </x:c>
      <x:c r="E177" t="str">
        <x:v>Reed and other conditionality similes encourage looking beyond a single-cause or character explanation.</x:v>
      </x:c>
      <x:c r="F177" t="str">
        <x:v>Selected early Buddhist canonical parables</x:v>
      </x:c>
      <x:c r="G177" t="str">
        <x:v>Early Buddhist Pāḷi tradition / Selflo editorial derivation</x:v>
      </x:c>
      <x:c r="H177" t="str">
        <x:v>https://accesstoinsight.org/index-similes</x:v>
      </x:c>
      <x:c r="I177" t="str">
        <x:v>Primary-source-derived editorial principle</x:v>
      </x:c>
      <x:c r="J177" t="str">
        <x:v>Derived from named canonical similes collected in Day 14.</x:v>
      </x:c>
      <x:c r="K177" t="str">
        <x:v>Selflo principle wording is editorial; it must not be presented as a canonical quotation.</x:v>
      </x:c>
      <x:c r="L177" t="str">
        <x:v>A/B - source-derived editorial principle</x:v>
      </x:c>
      <x:c r="M177" t="str">
        <x:v>Human judgment / agency</x:v>
      </x:c>
      <x:c r="N177" t="str">
        <x:v>Systems / Self-understanding</x:v>
      </x:c>
      <x:c r="O177" t="str">
        <x:v>Day 14 / Early Buddhist parables</x:v>
      </x:c>
      <x:c r="P177" t="str">
        <x:v>High</x:v>
      </x:c>
      <x:c r="Q177" t="str"/>
      <x:c r="R177" t="str"/>
      <x:c r="S177" t="str">
        <x:v>Quote/story curation and future Selflo-original seed</x:v>
      </x:c>
      <x:c r="T177" t="str">
        <x:v>Yes</x:v>
      </x:c>
      <x:c r="U177" t="n">
        <x:v>14</x:v>
      </x:c>
      <x:c r="V177" t="str">
        <x:v>Principle seed, not verbatim Buddhist doctrine.</x:v>
      </x:c>
    </x:row>
    <x:row r="178">
      <x:c r="A178" t="str">
        <x:v>principle.day14.finite_time_clarifies</x:v>
      </x:c>
      <x:c r="B178" t="str">
        <x:v>Collected</x:v>
      </x:c>
      <x:c r="C178" t="str">
        <x:v>Giới hạn hữu hạn có thể làm rõ điều đáng dành đời sống cho</x:v>
      </x:c>
      <x:c r="D178" t="str">
        <x:v>Mortality / Values</x:v>
      </x:c>
      <x:c r="E178" t="str">
        <x:v>Mortality reflection should clarify values, not pressure users into productivity or urgency.</x:v>
      </x:c>
      <x:c r="F178" t="str">
        <x:v>Selected early Buddhist canonical parables</x:v>
      </x:c>
      <x:c r="G178" t="str">
        <x:v>Early Buddhist Pāḷi tradition / Selflo editorial derivation</x:v>
      </x:c>
      <x:c r="H178" t="str">
        <x:v>https://accesstoinsight.org/index-similes</x:v>
      </x:c>
      <x:c r="I178" t="str">
        <x:v>Primary-source-derived editorial principle</x:v>
      </x:c>
      <x:c r="J178" t="str">
        <x:v>Derived from named canonical similes collected in Day 14.</x:v>
      </x:c>
      <x:c r="K178" t="str">
        <x:v>Selflo principle wording is editorial; it must not be presented as a canonical quotation.</x:v>
      </x:c>
      <x:c r="L178" t="str">
        <x:v>A/B - source-derived editorial principle</x:v>
      </x:c>
      <x:c r="M178" t="str">
        <x:v>Human judgment / agency</x:v>
      </x:c>
      <x:c r="N178" t="str">
        <x:v>Mortality / Values</x:v>
      </x:c>
      <x:c r="O178" t="str">
        <x:v>Day 14 / Early Buddhist parables</x:v>
      </x:c>
      <x:c r="P178" t="str">
        <x:v>High</x:v>
      </x:c>
      <x:c r="Q178" t="str"/>
      <x:c r="R178" t="str"/>
      <x:c r="S178" t="str">
        <x:v>Quote/story curation and future Selflo-original seed</x:v>
      </x:c>
      <x:c r="T178" t="str">
        <x:v>Yes</x:v>
      </x:c>
      <x:c r="U178" t="n">
        <x:v>14</x:v>
      </x:c>
      <x:c r="V178" t="str">
        <x:v>Principle seed, not verbatim Buddhist doctrine.</x:v>
      </x:c>
    </x:row>
    <x:row r="179">
      <x:c r="A179" t="str">
        <x:v>principle.day14.signal_can_be_replaced_gradually</x:v>
      </x:c>
      <x:c r="B179" t="str">
        <x:v>Collected</x:v>
      </x:c>
      <x:c r="C179" t="str">
        <x:v>Cốt lõi có thể bị thay thế dần mà tên gọi vẫn còn nguyên</x:v>
      </x:c>
      <x:c r="D179" t="str">
        <x:v>Learning / AI age</x:v>
      </x:c>
      <x:c r="E179" t="str">
        <x:v>The drum-peg simile is useful for content provenance and AI-era information drift.</x:v>
      </x:c>
      <x:c r="F179" t="str">
        <x:v>Selected early Buddhist canonical parables</x:v>
      </x:c>
      <x:c r="G179" t="str">
        <x:v>Early Buddhist Pāḷi tradition / Selflo editorial derivation</x:v>
      </x:c>
      <x:c r="H179" t="str">
        <x:v>https://accesstoinsight.org/index-similes</x:v>
      </x:c>
      <x:c r="I179" t="str">
        <x:v>Primary-source-derived editorial principle</x:v>
      </x:c>
      <x:c r="J179" t="str">
        <x:v>Derived from named canonical similes collected in Day 14.</x:v>
      </x:c>
      <x:c r="K179" t="str">
        <x:v>Selflo principle wording is editorial; it must not be presented as a canonical quotation.</x:v>
      </x:c>
      <x:c r="L179" t="str">
        <x:v>A/B - source-derived editorial principle</x:v>
      </x:c>
      <x:c r="M179" t="str">
        <x:v>Human judgment / agency</x:v>
      </x:c>
      <x:c r="N179" t="str">
        <x:v>Learning / AI age</x:v>
      </x:c>
      <x:c r="O179" t="str">
        <x:v>Day 14 / Early Buddhist parables</x:v>
      </x:c>
      <x:c r="P179" t="str">
        <x:v>High</x:v>
      </x:c>
      <x:c r="Q179" t="str"/>
      <x:c r="R179" t="str"/>
      <x:c r="S179" t="str">
        <x:v>Quote/story curation and future Selflo-original seed</x:v>
      </x:c>
      <x:c r="T179" t="str">
        <x:v>Yes</x:v>
      </x:c>
      <x:c r="U179" t="n">
        <x:v>14</x:v>
      </x:c>
      <x:c r="V179" t="str">
        <x:v>Principle seed, not verbatim Buddhist doctrine.</x:v>
      </x:c>
    </x:row>
    <x:row r="180">
      <x:c r="A180" t="str">
        <x:v>principle.day14.guidance_requires_grounding</x:v>
      </x:c>
      <x:c r="B180" t="str">
        <x:v>Collected</x:v>
      </x:c>
      <x:c r="C180" t="str">
        <x:v>Muốn hướng dẫn người khác cần có một mức đứng vững và hiểu biết thực chất</x:v>
      </x:c>
      <x:c r="D180" t="str">
        <x:v>Learning / Responsibility</x:v>
      </x:c>
      <x:c r="E180" t="str">
        <x:v>Good intention alone does not guarantee reliable guidance; especially relevant to AI and advice systems.</x:v>
      </x:c>
      <x:c r="F180" t="str">
        <x:v>Selected early Buddhist canonical parables</x:v>
      </x:c>
      <x:c r="G180" t="str">
        <x:v>Early Buddhist Pāḷi tradition / Selflo editorial derivation</x:v>
      </x:c>
      <x:c r="H180" t="str">
        <x:v>https://accesstoinsight.org/index-similes</x:v>
      </x:c>
      <x:c r="I180" t="str">
        <x:v>Primary-source-derived editorial principle</x:v>
      </x:c>
      <x:c r="J180" t="str">
        <x:v>Derived from named canonical similes collected in Day 14.</x:v>
      </x:c>
      <x:c r="K180" t="str">
        <x:v>Selflo principle wording is editorial; it must not be presented as a canonical quotation.</x:v>
      </x:c>
      <x:c r="L180" t="str">
        <x:v>A/B - source-derived editorial principle</x:v>
      </x:c>
      <x:c r="M180" t="str">
        <x:v>Human judgment / agency</x:v>
      </x:c>
      <x:c r="N180" t="str">
        <x:v>Learning / Responsibility</x:v>
      </x:c>
      <x:c r="O180" t="str">
        <x:v>Day 14 / Early Buddhist parables</x:v>
      </x:c>
      <x:c r="P180" t="str">
        <x:v>High</x:v>
      </x:c>
      <x:c r="Q180" t="str"/>
      <x:c r="R180" t="str"/>
      <x:c r="S180" t="str">
        <x:v>Quote/story curation and future Selflo-original seed</x:v>
      </x:c>
      <x:c r="T180" t="str">
        <x:v>Yes</x:v>
      </x:c>
      <x:c r="U180" t="n">
        <x:v>14</x:v>
      </x:c>
      <x:c r="V180" t="str">
        <x:v>Principle seed, not verbatim Buddhist doctrine.</x:v>
      </x:c>
    </x:row>
    <x:row r="181">
      <x:c r="A181" t="str">
        <x:v>principle.day14.attraction_not_same_as_value</x:v>
      </x:c>
      <x:c r="B181" t="str">
        <x:v>Collected</x:v>
      </x:c>
      <x:c r="C181" t="str">
        <x:v>Sức hút của một thứ không tự chứng minh giá trị của nó</x:v>
      </x:c>
      <x:c r="D181" t="str">
        <x:v>Attention / Desire</x:v>
      </x:c>
      <x:c r="E181" t="str">
        <x:v>Salience, novelty, virality, and immediate reward can pull attention without answering whether something matters.</x:v>
      </x:c>
      <x:c r="F181" t="str">
        <x:v>Selected early Buddhist canonical parables</x:v>
      </x:c>
      <x:c r="G181" t="str">
        <x:v>Early Buddhist Pāḷi tradition / Selflo editorial derivation</x:v>
      </x:c>
      <x:c r="H181" t="str">
        <x:v>https://accesstoinsight.org/index-similes</x:v>
      </x:c>
      <x:c r="I181" t="str">
        <x:v>Primary-source-derived editorial principle</x:v>
      </x:c>
      <x:c r="J181" t="str">
        <x:v>Derived from named canonical similes collected in Day 14.</x:v>
      </x:c>
      <x:c r="K181" t="str">
        <x:v>Selflo principle wording is editorial; it must not be presented as a canonical quotation.</x:v>
      </x:c>
      <x:c r="L181" t="str">
        <x:v>A/B - source-derived editorial principle</x:v>
      </x:c>
      <x:c r="M181" t="str">
        <x:v>Human judgment / agency</x:v>
      </x:c>
      <x:c r="N181" t="str">
        <x:v>Attention / Desire</x:v>
      </x:c>
      <x:c r="O181" t="str">
        <x:v>Day 14 / Early Buddhist parables</x:v>
      </x:c>
      <x:c r="P181" t="str">
        <x:v>High</x:v>
      </x:c>
      <x:c r="Q181" t="str"/>
      <x:c r="R181" t="str"/>
      <x:c r="S181" t="str">
        <x:v>Quote/story curation and future Selflo-original seed</x:v>
      </x:c>
      <x:c r="T181" t="str">
        <x:v>Yes</x:v>
      </x:c>
      <x:c r="U181" t="n">
        <x:v>14</x:v>
      </x:c>
      <x:c r="V181" t="str">
        <x:v>Principle seed, not verbatim Buddhist doctrine.</x:v>
      </x:c>
    </x:row>
  </x:sheetData>
  <x:dataValidations count="6">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I2:I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L2:L300">
      <x:formula1>"A - Primary source,B - Authoritative secondary,C - Plausible / needs primary,D - Disputed / internet-only,N/A - Selflo Original"</x:formula1>
    </x:dataValidation>
    <x:dataValidation type="list" allowBlank="0" showDropDown="0" showInputMessage="0" showErrorMessage="0" sqref="O2:O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T2:T300">
      <x:formula1>"Research only,Editorial lens,Story seed,Quote seed,Product philosophy"</x:formula1>
    </x:dataValidation>
    <x:dataValidation type="list" allowBlank="0" showDropDown="0" showInputMessage="0" showErrorMessage="0" sqref="U2:U300">
      <x:formula1>"Yes,No,Needs review"</x:formula1>
    </x:dataValidation>
  </x:dataValidations>
  <x:pageMargins left="0.7" right="0.7" top="0.75" bottom="0.75" header="0.3" footer="0.3"/>
  <x:tableParts count="1">
    <x:tablePart xmlns:r="http://schemas.openxmlformats.org/officeDocument/2006/relationships" r:id="R5abdf4d57aa84cbd"/>
  </x:tableParts>
</x:worksheet>
</file>

<file path=xl/worksheets/sheet7.xml><?xml version="1.0" encoding="utf-8"?>
<x:worksheet xmlns:x="http://schemas.openxmlformats.org/spreadsheetml/2006/main">
  <x:sheetFormatPr baseColWidth="8" defaultRowHeight="15"/>
  <x:cols>
    <x:col min="1" max="1" width="24" style="72" customWidth="1"/>
    <x:col min="2" max="2" width="24" style="72" customWidth="1"/>
    <x:col min="3" max="3" width="24" style="72" customWidth="1"/>
    <x:col min="4" max="4" width="38" style="72" customWidth="1"/>
    <x:col min="5" max="5" width="24" style="72" customWidth="1"/>
    <x:col min="6" max="6" width="24" style="72" customWidth="1"/>
    <x:col min="7" max="7" width="24" style="72" customWidth="1"/>
    <x:col min="8" max="8" width="48" style="72" customWidth="1"/>
    <x:col min="9" max="9" width="48" style="72" customWidth="1"/>
    <x:col min="10" max="10" width="24" style="72" customWidth="1"/>
    <x:col min="11" max="11" width="24" style="72" customWidth="1"/>
    <x:col min="12" max="12" width="42" style="72" customWidth="1"/>
    <x:col min="13" max="13" width="24" style="72" customWidth="1"/>
    <x:col min="14" max="14" width="24" style="72" customWidth="1"/>
    <x:col min="15" max="15" width="24" style="72" customWidth="1"/>
    <x:col min="16" max="16" width="24" style="72" customWidth="1"/>
    <x:col min="17" max="17" width="24" style="72" customWidth="1"/>
  </x:cols>
  <x:sheetData>
    <x:row r="1">
      <x:c r="A1" s="77" t="inlineStr">
        <x:is>
          <x:t xml:space="preserve">Source ID</x:t>
        </x:is>
      </x:c>
      <x:c r="B1" s="77" t="inlineStr">
        <x:is>
          <x:t xml:space="preserve">Author / Tradition</x:t>
        </x:is>
      </x:c>
      <x:c r="C1" s="77" t="inlineStr">
        <x:is>
          <x:t xml:space="preserve">Culture / Region</x:t>
        </x:is>
      </x:c>
      <x:c r="D1" s="77" t="inlineStr">
        <x:is>
          <x:t xml:space="preserve">Source Title</x:t>
        </x:is>
      </x:c>
      <x:c r="E1" s="77" t="inlineStr">
        <x:is>
          <x:t xml:space="preserve">Source Type</x:t>
        </x:is>
      </x:c>
      <x:c r="F1" s="77" t="inlineStr">
        <x:is>
          <x:t xml:space="preserve">Original Language</x:t>
        </x:is>
      </x:c>
      <x:c r="G1" s="77" t="inlineStr">
        <x:is>
          <x:t xml:space="preserve">Approx. Date / Era</x:t>
        </x:is>
      </x:c>
      <x:c r="H1" s="77" t="inlineStr">
        <x:is>
          <x:t xml:space="preserve">Primary URL</x:t>
        </x:is>
      </x:c>
      <x:c r="I1" s="77" t="inlineStr">
        <x:is>
          <x:t xml:space="preserve">Secondary Verification URL</x:t>
        </x:is>
      </x:c>
      <x:c r="J1" s="77" t="inlineStr">
        <x:is>
          <x:t xml:space="preserve">Reliability Tier</x:t>
        </x:is>
      </x:c>
      <x:c r="K1" s="77" t="inlineStr">
        <x:is>
          <x:t xml:space="preserve">Public Domain?</x:t>
        </x:is>
      </x:c>
      <x:c r="L1" s="77" t="inlineStr">
        <x:is>
          <x:t xml:space="preserve">Rights Notes</x:t>
        </x:is>
      </x:c>
      <x:c r="M1" s="77" t="inlineStr">
        <x:is>
          <x:t xml:space="preserve">Used for Quote IDs</x:t>
        </x:is>
      </x:c>
      <x:c r="N1" s="77" t="inlineStr">
        <x:is>
          <x:t xml:space="preserve">Used for Story IDs</x:t>
        </x:is>
      </x:c>
      <x:c r="O1" s="77" t="inlineStr">
        <x:is>
          <x:t xml:space="preserve">Used for Principle IDs</x:t>
        </x:is>
      </x:c>
      <x:c r="P1" s="77" t="inlineStr">
        <x:is>
          <x:t xml:space="preserve">First Collected Day</x:t>
        </x:is>
      </x:c>
      <x:c r="Q1" s="77" t="inlineStr">
        <x:is>
          <x:t xml:space="preserve">Verification Notes</x:t>
        </x:is>
      </x:c>
    </x:row>
    <x:row r="2">
      <x:c r="A2" s="81" t="inlineStr">
        <x:is>
          <x:t xml:space="preserve">SRC-LAOZI-WB</x:t>
        </x:is>
      </x:c>
      <x:c r="B2" s="81" t="inlineStr">
        <x:is>
          <x:t xml:space="preserve">Laozi / 王弼 recension</x:t>
        </x:is>
      </x:c>
      <x:c r="C2" s="81" t="inlineStr">
        <x:is>
          <x:t xml:space="preserve">China</x:t>
        </x:is>
      </x:c>
      <x:c r="D2" s="81" t="inlineStr">
        <x:is>
          <x:t xml:space="preserve">道德經 (王弼本)</x:t>
        </x:is>
      </x:c>
      <x:c r="E2" s="81" t="inlineStr">
        <x:is>
          <x:t xml:space="preserve">Primary text</x:t>
        </x:is>
      </x:c>
      <x:c r="F2" s="81" t="inlineStr">
        <x:is>
          <x:t xml:space="preserve">Classical Chinese</x:t>
        </x:is>
      </x:c>
      <x:c r="G2" s="81" t="inlineStr">
        <x:is>
          <x:t xml:space="preserve">Ancient text; Wang Bi commentary 3rd c. CE</x:t>
        </x:is>
      </x:c>
      <x:c r="H2" s="81" t="inlineStr">
        <x:is>
          <x:t xml:space="preserve">https://zh.wikisource.org/zh-hans/%E9%81%93%E5%BE%B7%E7%B6%93_(%E7%8E%8B%E5%BC%BC%E6%9C%AC)</x:t>
        </x:is>
      </x:c>
      <x:c r="I2" s="81" t="inlineStr">
        <x:is>
          <x:t xml:space="preserve">https://ctext.org/dao-de-jing/zh</x:t>
        </x:is>
      </x:c>
      <x:c r="J2" s="81" t="inlineStr">
        <x:is>
          <x:t xml:space="preserve">Tier 1 - Primary/Institutional</x:t>
        </x:is>
      </x:c>
      <x:c r="K2" s="81" t="inlineStr">
        <x:is>
          <x:t xml:space="preserve">Yes</x:t>
        </x:is>
      </x:c>
      <x:c r="L2" s="81" t="inlineStr">
        <x:is>
          <x:t xml:space="preserve">Ancient source text; verify edition choice for scholarly publication.</x:t>
        </x:is>
      </x:c>
      <x:c r="M2" s="81" t="inlineStr">
        <x:is>
          <x:t xml:space="preserve">Day 1 Laozi ch.1–20</x:t>
        </x:is>
      </x:c>
      <x:c r="N2" s="81" t="str"/>
      <x:c r="O2" s="81" t="inlineStr">
        <x:is>
          <x:t xml:space="preserve">principle.laozi.*</x:t>
        </x:is>
      </x:c>
      <x:c r="P2" s="81" t="n">
        <x:v>1</x:v>
      </x:c>
      <x:c r="Q2" s="81" t="inlineStr">
        <x:is>
          <x:t xml:space="preserve">Primary Chinese text used for exact original wording.</x:t>
        </x:is>
      </x:c>
    </x:row>
    <x:row r="3">
      <x:c r="A3" s="81" t="inlineStr">
        <x:is>
          <x:t xml:space="preserve">SRC-CTEXT-LAOZI</x:t>
        </x:is>
      </x:c>
      <x:c r="B3" s="81" t="inlineStr">
        <x:is>
          <x:t xml:space="preserve">Laozi / Chinese Text Project</x:t>
        </x:is>
      </x:c>
      <x:c r="C3" s="81" t="inlineStr">
        <x:is>
          <x:t xml:space="preserve">China</x:t>
        </x:is>
      </x:c>
      <x:c r="D3" s="81" t="inlineStr">
        <x:is>
          <x:t xml:space="preserve">Dao De Jing</x:t>
        </x:is>
      </x:c>
      <x:c r="E3" s="81" t="inlineStr">
        <x:is>
          <x:t xml:space="preserve">Institutional source</x:t>
        </x:is>
      </x:c>
      <x:c r="F3" s="81" t="inlineStr">
        <x:is>
          <x:t xml:space="preserve">Classical Chinese / English</x:t>
        </x:is>
      </x:c>
      <x:c r="G3" s="81" t="inlineStr">
        <x:is>
          <x:t xml:space="preserve">Digital scholarly corpus</x:t>
        </x:is>
      </x:c>
      <x:c r="H3" s="81" t="inlineStr">
        <x:is>
          <x:t xml:space="preserve">https://ctext.org/dao-de-jing/zh</x:t>
        </x:is>
      </x:c>
      <x:c r="I3" s="81" t="inlineStr">
        <x:is>
          <x:t xml:space="preserve">https://zh.wikisource.org/zh-hans/%E9%81%93%E5%BE%B7%E7%B6%93_(%E7%8E%8B%E5%BC%BC%E6%9C%AC)</x:t>
        </x:is>
      </x:c>
      <x:c r="J3" s="81" t="inlineStr">
        <x:is>
          <x:t xml:space="preserve">Tier 1 - Primary/Institutional</x:t>
        </x:is>
      </x:c>
      <x:c r="K3" s="81" t="inlineStr">
        <x:is>
          <x:t xml:space="preserve">Yes</x:t>
        </x:is>
      </x:c>
      <x:c r="L3" s="81" t="inlineStr">
        <x:is>
          <x:t xml:space="preserve">Cross-check source.</x:t>
        </x:is>
      </x:c>
      <x:c r="M3" s="81" t="inlineStr">
        <x:is>
          <x:t xml:space="preserve">Day 1 cross-check</x:t>
        </x:is>
      </x:c>
      <x:c r="N3" s="81" t="str"/>
      <x:c r="O3" s="81" t="inlineStr">
        <x:is>
          <x:t xml:space="preserve">principle.laozi.*</x:t>
        </x:is>
      </x:c>
      <x:c r="P3" s="81" t="n">
        <x:v>1</x:v>
      </x:c>
      <x:c r="Q3" s="81" t="inlineStr">
        <x:is>
          <x:t xml:space="preserve">Chinese text + Legge translation cross-check.</x:t>
        </x:is>
      </x:c>
    </x:row>
    <x:row r="4">
      <x:c r="A4" s="81" t="inlineStr">
        <x:is>
          <x:t xml:space="preserve">SRC-LEGGE-1891</x:t>
        </x:is>
      </x:c>
      <x:c r="B4" s="81" t="inlineStr">
        <x:is>
          <x:t xml:space="preserve">Laozi; trans. James Legge</x:t>
        </x:is>
      </x:c>
      <x:c r="C4" s="81" t="inlineStr">
        <x:is>
          <x:t xml:space="preserve">UK / China</x:t>
        </x:is>
      </x:c>
      <x:c r="D4" s="81" t="inlineStr">
        <x:is>
          <x:t xml:space="preserve">The Tao Teh King, or the Tao and its Characteristics</x:t>
        </x:is>
      </x:c>
      <x:c r="E4" s="81" t="inlineStr">
        <x:is>
          <x:t xml:space="preserve">Book</x:t>
        </x:is>
      </x:c>
      <x:c r="F4" s="81" t="inlineStr">
        <x:is>
          <x:t xml:space="preserve">English</x:t>
        </x:is>
      </x:c>
      <x:c r="G4" s="81" t="inlineStr">
        <x:is>
          <x:t xml:space="preserve">1891</x:t>
        </x:is>
      </x:c>
      <x:c r="H4" s="81" t="inlineStr">
        <x:is>
          <x:t xml:space="preserve">https://www.gutenberg.org/ebooks/216</x:t>
        </x:is>
      </x:c>
      <x:c r="I4" s="81" t="inlineStr">
        <x:is>
          <x:t xml:space="preserve">https://ctext.org/dao-de-jing/zh</x:t>
        </x:is>
      </x:c>
      <x:c r="J4" s="81" t="inlineStr">
        <x:is>
          <x:t xml:space="preserve">Tier 2 - Scholarly/Authoritative</x:t>
        </x:is>
      </x:c>
      <x:c r="K4" s="81" t="inlineStr">
        <x:is>
          <x:t xml:space="preserve">Yes</x:t>
        </x:is>
      </x:c>
      <x:c r="L4" s="81" t="inlineStr">
        <x:is>
          <x:t xml:space="preserve">Project Gutenberg marks this edition public domain in the USA.</x:t>
        </x:is>
      </x:c>
      <x:c r="M4" s="81" t="inlineStr">
        <x:is>
          <x:t xml:space="preserve">Translation comparison</x:t>
        </x:is>
      </x:c>
      <x:c r="N4" s="81" t="str"/>
      <x:c r="O4" s="81" t="inlineStr">
        <x:is>
          <x:t xml:space="preserve">principle.laozi.*</x:t>
        </x:is>
      </x:c>
      <x:c r="P4" s="81" t="n">
        <x:v>1</x:v>
      </x:c>
      <x:c r="Q4" s="81" t="inlineStr">
        <x:is>
          <x:t xml:space="preserve">Public-domain English comparison; not used as Vietnamese text.</x:t>
        </x:is>
      </x:c>
    </x:row>
    <x:row r="5">
      <x:c r="A5" s="81" t="inlineStr">
        <x:is>
          <x:t xml:space="preserve">SRC-ZHUANGZI-WS</x:t>
        </x:is>
      </x:c>
      <x:c r="B5" s="81" t="inlineStr">
        <x:is>
          <x:t xml:space="preserve">Zhuangzi / 莊子</x:t>
        </x:is>
      </x:c>
      <x:c r="C5" s="81" t="inlineStr">
        <x:is>
          <x:t xml:space="preserve">China</x:t>
        </x:is>
      </x:c>
      <x:c r="D5" s="81" t="inlineStr">
        <x:is>
          <x:t xml:space="preserve">莊子 / Zhuangzi — Inner Chapters 1–7</x:t>
        </x:is>
      </x:c>
      <x:c r="E5" s="81" t="inlineStr">
        <x:is>
          <x:t xml:space="preserve">Primary text</x:t>
        </x:is>
      </x:c>
      <x:c r="F5" s="81" t="inlineStr">
        <x:is>
          <x:t xml:space="preserve">Classical Chinese</x:t>
        </x:is>
      </x:c>
      <x:c r="G5" s="81" t="inlineStr">
        <x:is>
          <x:t xml:space="preserve">Warring States / received text tradition</x:t>
        </x:is>
      </x:c>
      <x:c r="H5" s="81" t="inlineStr">
        <x:is>
          <x:t xml:space="preserve">https://zh.wikisource.org/zh-hans/%E8%8E%8A%E5%AD%90</x:t>
        </x:is>
      </x:c>
      <x:c r="I5" s="81" t="inlineStr">
        <x:is>
          <x:t xml:space="preserve">https://ctext.org/zhuangzi/ens</x:t>
        </x:is>
      </x:c>
      <x:c r="J5" s="81" t="inlineStr">
        <x:is>
          <x:t xml:space="preserve">Tier 1 - Primary/Institutional</x:t>
        </x:is>
      </x:c>
      <x:c r="K5" s="81" t="inlineStr">
        <x:is>
          <x:t xml:space="preserve">Yes</x:t>
        </x:is>
      </x:c>
      <x:c r="L5" s="81" t="inlineStr">
        <x:is>
          <x:t xml:space="preserve">Wikisource marks the ancient work public domain; site text has CC BY-SA terms. Use ancient source text/own working translation; verify edition choice for publication.</x:t>
        </x:is>
      </x:c>
      <x:c r="M5" s="81" t="inlineStr">
        <x:is>
          <x:t xml:space="preserve">Day 4 Zhuangzi ch.1–7</x:t>
        </x:is>
      </x:c>
      <x:c r="N5" s="81" t="inlineStr">
        <x:is>
          <x:t xml:space="preserve">Day 4 Zhuangzi stories</x:t>
        </x:is>
      </x:c>
      <x:c r="O5" s="81" t="inlineStr">
        <x:is>
          <x:t xml:space="preserve">principle.zhuangzi.day4.*</x:t>
        </x:is>
      </x:c>
      <x:c r="P5" s="81" t="n">
        <x:v>4</x:v>
      </x:c>
      <x:c r="Q5" s="81" t="inlineStr">
        <x:is>
          <x:t xml:space="preserve">Primary Chinese text used for short original passages and story locations.</x:t>
        </x:is>
      </x:c>
    </x:row>
    <x:row r="6">
      <x:c r="A6" s="81" t="inlineStr">
        <x:is>
          <x:t xml:space="preserve">SRC-CTEXT-ZHUANGZI</x:t>
        </x:is>
      </x:c>
      <x:c r="B6" s="81" t="inlineStr">
        <x:is>
          <x:t xml:space="preserve">Zhuangzi / Chinese Text Project</x:t>
        </x:is>
      </x:c>
      <x:c r="C6" s="81" t="inlineStr">
        <x:is>
          <x:t xml:space="preserve">China</x:t>
        </x:is>
      </x:c>
      <x:c r="D6" s="81" t="inlineStr">
        <x:is>
          <x:t xml:space="preserve">Zhuangzi editions / 莊子集釋</x:t>
        </x:is>
      </x:c>
      <x:c r="E6" s="81" t="inlineStr">
        <x:is>
          <x:t xml:space="preserve">Scholarly digital corpus</x:t>
        </x:is>
      </x:c>
      <x:c r="F6" s="81" t="inlineStr">
        <x:is>
          <x:t xml:space="preserve">Classical Chinese / English</x:t>
        </x:is>
      </x:c>
      <x:c r="G6" s="81" t="inlineStr">
        <x:is>
          <x:t xml:space="preserve">Digital scholarly corpus</x:t>
        </x:is>
      </x:c>
      <x:c r="H6" s="81" t="inlineStr">
        <x:is>
          <x:t xml:space="preserve">https://ctext.org/zhuangzi/ens</x:t>
        </x:is>
      </x:c>
      <x:c r="I6" s="81" t="inlineStr">
        <x:is>
          <x:t xml:space="preserve">https://zh.wikisource.org/zh-hans/%E8%8E%8A%E5%AD%90</x:t>
        </x:is>
      </x:c>
      <x:c r="J6" s="81" t="inlineStr">
        <x:is>
          <x:t xml:space="preserve">Tier 1 - Primary/Institutional</x:t>
        </x:is>
      </x:c>
      <x:c r="K6" s="81" t="inlineStr">
        <x:is>
          <x:t xml:space="preserve">Yes / source-dependent</x:t>
        </x:is>
      </x:c>
      <x:c r="L6" s="81" t="inlineStr">
        <x:is>
          <x:t xml:space="preserve">Used as edition/chapter cross-check; do not copy modern copyrighted translations.</x:t>
        </x:is>
      </x:c>
      <x:c r="M6" s="81" t="inlineStr">
        <x:is>
          <x:t xml:space="preserve">Day 4 cross-check</x:t>
        </x:is>
      </x:c>
      <x:c r="N6" s="81" t="inlineStr">
        <x:is>
          <x:t xml:space="preserve">Day 4 cross-check</x:t>
        </x:is>
      </x:c>
      <x:c r="O6" s="81" t="inlineStr">
        <x:is>
          <x:t xml:space="preserve">principle.zhuangzi.day4.*</x:t>
        </x:is>
      </x:c>
      <x:c r="P6" s="81" t="n">
        <x:v>4</x:v>
      </x:c>
      <x:c r="Q6" s="81" t="inlineStr">
        <x:is>
          <x:t xml:space="preserve">CText confirms Inner Chapters 1–7 and provides multiple historical editions/commentaries.</x:t>
        </x:is>
      </x:c>
    </x:row>
    <x:row r="7">
      <x:c r="A7" s="81" t="inlineStr">
        <x:is>
          <x:t xml:space="preserve">SRC-LIEZI-CTEXT</x:t>
        </x:is>
      </x:c>
      <x:c r="B7" s="81" t="inlineStr">
        <x:is>
          <x:t xml:space="preserve">Liezi / 列子</x:t>
        </x:is>
      </x:c>
      <x:c r="C7" s="81" t="inlineStr">
        <x:is>
          <x:t xml:space="preserve">China</x:t>
        </x:is>
      </x:c>
      <x:c r="D7" s="81" t="inlineStr">
        <x:is>
          <x:t xml:space="preserve">列子 — received eight-chapter text</x:t>
        </x:is>
      </x:c>
      <x:c r="E7" s="81" t="inlineStr">
        <x:is>
          <x:t xml:space="preserve">Primary digital corpus</x:t>
        </x:is>
      </x:c>
      <x:c r="F7" s="81" t="inlineStr">
        <x:is>
          <x:t xml:space="preserve">Classical Chinese</x:t>
        </x:is>
      </x:c>
      <x:c r="G7" s="81" t="inlineStr">
        <x:is>
          <x:t xml:space="preserve">Received text; traditional attribution to Lie Yukou; textual history debated</x:t>
        </x:is>
      </x:c>
      <x:c r="H7" s="81" t="inlineStr">
        <x:is>
          <x:t xml:space="preserve">https://ctext.org/wiki.pl?chapter=434786&amp;if=gb</x:t>
        </x:is>
      </x:c>
      <x:c r="I7" s="81" t="inlineStr">
        <x:is>
          <x:t xml:space="preserve">https://ctext.org/liezi/shuo-fu/zh</x:t>
        </x:is>
      </x:c>
      <x:c r="J7" s="81" t="inlineStr">
        <x:is>
          <x:t xml:space="preserve">Tier 1 - Primary/Scholarly corpus</x:t>
        </x:is>
      </x:c>
      <x:c r="K7" s="81" t="inlineStr">
        <x:is>
          <x:t xml:space="preserve">Yes / edition-dependent</x:t>
        </x:is>
      </x:c>
      <x:c r="L7" s="81" t="inlineStr">
        <x:is>
          <x:t xml:space="preserve">Ancient text public domain; CText hosts multiple editions. Do not copy modern translations/commentaries.</x:t>
        </x:is>
      </x:c>
      <x:c r="M7" s="81" t="inlineStr">
        <x:is>
          <x:t xml:space="preserve">Day 5 Liezi quotes</x:t>
        </x:is>
      </x:c>
      <x:c r="N7" s="81" t="inlineStr">
        <x:is>
          <x:t xml:space="preserve">Day 5 Liezi stories</x:t>
        </x:is>
      </x:c>
      <x:c r="O7" s="81" t="inlineStr">
        <x:is>
          <x:t xml:space="preserve">principle.liezi.day5.*</x:t>
        </x:is>
      </x:c>
      <x:c r="P7" s="81" t="n">
        <x:v>5</x:v>
      </x:c>
      <x:c r="Q7" s="81" t="inlineStr">
        <x:is>
          <x:t xml:space="preserve">Primary collection/cross-check source; eight chapters: 天瑞, 黃帝, 周穆王, 仲尼, 湯問, 力命, 楊朱, 說符.</x:t>
        </x:is>
      </x:c>
    </x:row>
    <x:row r="8">
      <x:c r="A8" s="81" t="inlineStr">
        <x:is>
          <x:t xml:space="preserve">SRC-LIEZI-RECEIVED</x:t>
        </x:is>
      </x:c>
      <x:c r="B8" s="81" t="inlineStr">
        <x:is>
          <x:t xml:space="preserve">Liezi textual tradition</x:t>
        </x:is>
      </x:c>
      <x:c r="C8" s="81" t="inlineStr">
        <x:is>
          <x:t xml:space="preserve">China</x:t>
        </x:is>
      </x:c>
      <x:c r="D8" s="81" t="inlineStr">
        <x:is>
          <x:t xml:space="preserve">列子 / 沖虛至德真經 editions</x:t>
        </x:is>
      </x:c>
      <x:c r="E8" s="81" t="inlineStr">
        <x:is>
          <x:t xml:space="preserve">Primary tradition / provenance note</x:t>
        </x:is>
      </x:c>
      <x:c r="F8" s="81" t="inlineStr">
        <x:is>
          <x:t xml:space="preserve">Classical Chinese</x:t>
        </x:is>
      </x:c>
      <x:c r="G8" s="81" t="inlineStr">
        <x:is>
          <x:t xml:space="preserve">Ancient/medieval received tradition</x:t>
        </x:is>
      </x:c>
      <x:c r="H8" s="81" t="inlineStr">
        <x:is>
          <x:t xml:space="preserve">https://ctext.org/wiki.pl?chapter=720983&amp;if=gb</x:t>
        </x:is>
      </x:c>
      <x:c r="I8" s="81" t="inlineStr">
        <x:is>
          <x:t xml:space="preserve">https://ctext.org/wiki.pl?if=en&amp;res=14619</x:t>
        </x:is>
      </x:c>
      <x:c r="J8" s="81" t="inlineStr">
        <x:is>
          <x:t xml:space="preserve">Tier 1/2 - edition cross-check</x:t>
        </x:is>
      </x:c>
      <x:c r="K8" s="81" t="inlineStr">
        <x:is>
          <x:t xml:space="preserve">Yes / source-dependent</x:t>
        </x:is>
      </x:c>
      <x:c r="L8" s="81" t="inlineStr">
        <x:is>
          <x:t xml:space="preserve">Use original ancient wording + Selflo working translation; provenance/authorship should not be overstated.</x:t>
        </x:is>
      </x:c>
      <x:c r="M8" s="81" t="inlineStr">
        <x:is>
          <x:t xml:space="preserve">Day 5 provenance</x:t>
        </x:is>
      </x:c>
      <x:c r="N8" s="81" t="inlineStr">
        <x:is>
          <x:t xml:space="preserve">Day 5 provenance</x:t>
        </x:is>
      </x:c>
      <x:c r="O8" s="81" t="inlineStr">
        <x:is>
          <x:t xml:space="preserve">principle.liezi.day5.*</x:t>
        </x:is>
      </x:c>
      <x:c r="P8" s="81" t="n">
        <x:v>5</x:v>
      </x:c>
      <x:c r="Q8" s="81" t="inlineStr">
        <x:is>
          <x:t xml:space="preserve">Registry note to prevent treating traditional attribution as certain modern authorship.</x:t>
        </x:is>
      </x:c>
    </x:row>
    <x:row r="9">
      <x:c r="A9" s="81" t="inlineStr">
        <x:is>
          <x:t xml:space="preserve">SRC-HUAINANZI-CTEXT</x:t>
        </x:is>
      </x:c>
      <x:c r="B9" s="81" t="inlineStr">
        <x:is>
          <x:t xml:space="preserve">Huainanzi / 淮南子</x:t>
        </x:is>
      </x:c>
      <x:c r="C9" s="81" t="inlineStr">
        <x:is>
          <x:t xml:space="preserve">China</x:t>
        </x:is>
      </x:c>
      <x:c r="D9" s="81" t="inlineStr">
        <x:is>
          <x:t xml:space="preserve">淮南子 — 21 chapters</x:t>
        </x:is>
      </x:c>
      <x:c r="E9" s="81" t="inlineStr">
        <x:is>
          <x:t xml:space="preserve">Primary scholarly digital corpus</x:t>
        </x:is>
      </x:c>
      <x:c r="F9" s="81" t="inlineStr">
        <x:is>
          <x:t xml:space="preserve">Classical Chinese</x:t>
        </x:is>
      </x:c>
      <x:c r="G9" s="81" t="inlineStr">
        <x:is>
          <x:t xml:space="preserve">Western Han compilation associated with Liu An's court</x:t>
        </x:is>
      </x:c>
      <x:c r="H9" s="81" t="inlineStr">
        <x:is>
          <x:t xml:space="preserve">https://ctext.org/huainanzi/ens</x:t>
        </x:is>
      </x:c>
      <x:c r="I9" s="81" t="inlineStr">
        <x:is>
          <x:t xml:space="preserve">https://ctext.org/huainanzi/zhs</x:t>
        </x:is>
      </x:c>
      <x:c r="J9" s="81" t="inlineStr">
        <x:is>
          <x:t xml:space="preserve">Tier 1 - Primary/Scholarly corpus</x:t>
        </x:is>
      </x:c>
      <x:c r="K9" s="81" t="inlineStr">
        <x:is>
          <x:t xml:space="preserve">Yes / edition-dependent</x:t>
        </x:is>
      </x:c>
      <x:c r="L9" s="81" t="inlineStr">
        <x:is>
          <x:t xml:space="preserve">CText identifies its digital base text and scanned edition. Ancient text public domain; do not copy modern translations.</x:t>
        </x:is>
      </x:c>
      <x:c r="M9" s="81" t="inlineStr">
        <x:is>
          <x:t xml:space="preserve">Day 6 quotes</x:t>
        </x:is>
      </x:c>
      <x:c r="N9" s="81" t="inlineStr">
        <x:is>
          <x:t xml:space="preserve">Day 6 stories</x:t>
        </x:is>
      </x:c>
      <x:c r="O9" s="81" t="inlineStr">
        <x:is>
          <x:t xml:space="preserve">principle.huainanzi.day6.*</x:t>
        </x:is>
      </x:c>
      <x:c r="P9" s="81" t="n">
        <x:v>6</x:v>
      </x:c>
      <x:c r="Q9" s="81" t="inlineStr">
        <x:is>
          <x:t xml:space="preserve">Primary source registry for Day 6; corpus has 21 chapters.</x:t>
        </x:is>
      </x:c>
    </x:row>
    <x:row r="10">
      <x:c r="A10" s="81" t="inlineStr">
        <x:is>
          <x:t xml:space="preserve">SRC-HUAINANZI-RENXIAN</x:t>
        </x:is>
      </x:c>
      <x:c r="B10" s="81" t="inlineStr">
        <x:is>
          <x:t xml:space="preserve">Huainanzi — 人閒訓</x:t>
        </x:is>
      </x:c>
      <x:c r="C10" s="81" t="inlineStr">
        <x:is>
          <x:t xml:space="preserve">China</x:t>
        </x:is>
      </x:c>
      <x:c r="D10" s="81" t="inlineStr">
        <x:is>
          <x:t xml:space="preserve">Human Conduct and Instruction / 人閒訓</x:t>
        </x:is>
      </x:c>
      <x:c r="E10" s="81" t="inlineStr">
        <x:is>
          <x:t xml:space="preserve">Primary text</x:t>
        </x:is>
      </x:c>
      <x:c r="F10" s="81" t="inlineStr">
        <x:is>
          <x:t xml:space="preserve">Classical Chinese</x:t>
        </x:is>
      </x:c>
      <x:c r="G10" s="81" t="inlineStr">
        <x:is>
          <x:t xml:space="preserve">Western Han received text</x:t>
        </x:is>
      </x:c>
      <x:c r="H10" s="81" t="inlineStr">
        <x:is>
          <x:t xml:space="preserve">https://ctext.org/huainanzi/ren-xian-xun</x:t>
        </x:is>
      </x:c>
      <x:c r="I10" s="81" t="inlineStr">
        <x:is>
          <x:t xml:space="preserve">https://ctext.org/huainanzi/ens</x:t>
        </x:is>
      </x:c>
      <x:c r="J10" s="81" t="inlineStr">
        <x:is>
          <x:t xml:space="preserve">Tier 1 - Primary source</x:t>
        </x:is>
      </x:c>
      <x:c r="K10" s="81" t="inlineStr">
        <x:is>
          <x:t xml:space="preserve">Yes / edition-dependent</x:t>
        </x:is>
      </x:c>
      <x:c r="L10" s="81" t="inlineStr">
        <x:is>
          <x:t xml:space="preserve">Primary anchor for 塞翁失馬 and several prevention/uncertainty passages.</x:t>
        </x:is>
      </x:c>
      <x:c r="M10" s="81" t="inlineStr">
        <x:is>
          <x:t xml:space="preserve">Day 6 uncertainty</x:t>
        </x:is>
      </x:c>
      <x:c r="N10" s="81" t="inlineStr">
        <x:is>
          <x:t xml:space="preserve">Sai Weng / green-wood house / prevention</x:t>
        </x:is>
      </x:c>
      <x:c r="O10" s="81" t="inlineStr">
        <x:is>
          <x:t xml:space="preserve">principle.huainanzi.day6.outcome_not_final_meaning</x:t>
        </x:is>
      </x:c>
      <x:c r="P10" s="81" t="n">
        <x:v>6</x:v>
      </x:c>
      <x:c r="Q10" s="81" t="inlineStr">
        <x:is>
          <x:t xml:space="preserve">Critical source for existing Selflo Sai Weng story provenance.</x:t>
        </x:is>
      </x:c>
    </x:row>
    <x:row r="11">
      <x:c r="A11" s="81" t="inlineStr">
        <x:is>
          <x:t xml:space="preserve">SRC-EPICTETUS-PERSEUS-ENC</x:t>
        </x:is>
      </x:c>
      <x:c r="B11" s="81" t="inlineStr">
        <x:is>
          <x:t xml:space="preserve">Epictetus / Arrian tradition</x:t>
        </x:is>
      </x:c>
      <x:c r="C11" s="81" t="inlineStr">
        <x:is>
          <x:t xml:space="preserve">Greco-Roman</x:t>
        </x:is>
      </x:c>
      <x:c r="D11" s="81" t="inlineStr">
        <x:is>
          <x:t xml:space="preserve">Enchiridion / Handbook</x:t>
        </x:is>
      </x:c>
      <x:c r="E11" s="81" t="inlineStr">
        <x:is>
          <x:t xml:space="preserve">Primary Greek edition / institutional corpus</x:t>
        </x:is>
      </x:c>
      <x:c r="F11" s="81" t="inlineStr">
        <x:is>
          <x:t xml:space="preserve">Ancient Greek</x:t>
        </x:is>
      </x:c>
      <x:c r="G11" s="81" t="inlineStr">
        <x:is>
          <x:t xml:space="preserve">Schenkl Greek edition 1916; Handbook tradition from Arrian's Epictetus material</x:t>
        </x:is>
      </x:c>
      <x:c r="H11" s="81" t="inlineStr">
        <x:is>
          <x:t xml:space="preserve">https://www.perseus.tufts.edu/hopper/text?doc=Perseus:text:1999.01.0235:text=enc</x:t>
        </x:is>
      </x:c>
      <x:c r="I11" s="81" t="inlineStr">
        <x:is>
          <x:t xml:space="preserve">https://catalog.perseus.tufts.edu/catalog/urn:cts:greekLit:tlg0557.tlg002</x:t>
        </x:is>
      </x:c>
      <x:c r="J11" s="81" t="inlineStr">
        <x:is>
          <x:t xml:space="preserve">Tier 1 - Primary/Institutional</x:t>
        </x:is>
      </x:c>
      <x:c r="K11" s="81" t="inlineStr">
        <x:is>
          <x:t xml:space="preserve">Yes / reuse terms apply</x:t>
        </x:is>
      </x:c>
      <x:c r="L11" s="81" t="inlineStr">
        <x:is>
          <x:t xml:space="preserve">Ancient work public domain; Perseus electronic text is CC BY-SA. Use source anchors + fresh Selflo translation/adaptation.</x:t>
        </x:is>
      </x:c>
      <x:c r="M11" s="81" t="inlineStr">
        <x:is>
          <x:t xml:space="preserve">Day 7 Enchiridion</x:t>
        </x:is>
      </x:c>
      <x:c r="N11" s="81" t="inlineStr">
        <x:is>
          <x:t xml:space="preserve">Day 7 teaching examples</x:t>
        </x:is>
      </x:c>
      <x:c r="O11" s="81" t="inlineStr">
        <x:is>
          <x:t xml:space="preserve">principle.epictetus.day7.*</x:t>
        </x:is>
      </x:c>
      <x:c r="P11" s="81" t="n">
        <x:v>7</x:v>
      </x:c>
      <x:c r="Q11" s="81" t="inlineStr">
        <x:is>
          <x:t xml:space="preserve">All 53 Handbook chapters screened first-pass; materialized only Selflo-relevant passages.</x:t>
        </x:is>
      </x:c>
    </x:row>
    <x:row r="12">
      <x:c r="A12" s="81" t="inlineStr">
        <x:is>
          <x:t xml:space="preserve">SRC-EPICTETUS-PERSEUS-DISC</x:t>
        </x:is>
      </x:c>
      <x:c r="B12" s="81" t="inlineStr">
        <x:is>
          <x:t xml:space="preserve">Epictetus / Arrian</x:t>
        </x:is>
      </x:c>
      <x:c r="C12" s="81" t="inlineStr">
        <x:is>
          <x:t xml:space="preserve">Greco-Roman</x:t>
        </x:is>
      </x:c>
      <x:c r="D12" s="81" t="inlineStr">
        <x:is>
          <x:t xml:space="preserve">Discourses — four surviving books</x:t>
        </x:is>
      </x:c>
      <x:c r="E12" s="81" t="inlineStr">
        <x:is>
          <x:t xml:space="preserve">Primary Greek edition / institutional corpus</x:t>
        </x:is>
      </x:c>
      <x:c r="F12" s="81" t="inlineStr">
        <x:is>
          <x:t xml:space="preserve">Ancient Greek</x:t>
        </x:is>
      </x:c>
      <x:c r="G12" s="81" t="inlineStr">
        <x:is>
          <x:t xml:space="preserve">Arrian's notes of Epictetus; Schenkl Greek edition 1916</x:t>
        </x:is>
      </x:c>
      <x:c r="H12" s="81" t="inlineStr">
        <x:is>
          <x:t xml:space="preserve">https://atlas.perseus.tufts.edu/library/urn:cts:greekLit:tlg0557.tlg001/</x:t>
        </x:is>
      </x:c>
      <x:c r="I12" s="81" t="inlineStr">
        <x:is>
          <x:t xml:space="preserve">https://catalog.perseus.tufts.edu/catalog/urn:cts:greekLit:tlg0557.tlg001</x:t>
        </x:is>
      </x:c>
      <x:c r="J12" s="81" t="inlineStr">
        <x:is>
          <x:t xml:space="preserve">Tier 1 - Primary/Institutional</x:t>
        </x:is>
      </x:c>
      <x:c r="K12" s="81" t="inlineStr">
        <x:is>
          <x:t xml:space="preserve">Yes / reuse terms apply</x:t>
        </x:is>
      </x:c>
      <x:c r="L12" s="81" t="inlineStr">
        <x:is>
          <x:t xml:space="preserve">Ancient work public domain; Perseus/Scaife digital text has reuse terms. Do not copy modern copyrighted translations.</x:t>
        </x:is>
      </x:c>
      <x:c r="M12" s="81" t="inlineStr">
        <x:is>
          <x:t xml:space="preserve">Day 7 Discourses</x:t>
        </x:is>
      </x:c>
      <x:c r="N12" s="81" t="inlineStr">
        <x:is>
          <x:t xml:space="preserve">Day 7 anecdotes</x:t>
        </x:is>
      </x:c>
      <x:c r="O12" s="81" t="inlineStr">
        <x:is>
          <x:t xml:space="preserve">principle.epictetus.day7.*</x:t>
        </x:is>
      </x:c>
      <x:c r="P12" s="81" t="n">
        <x:v>7</x:v>
      </x:c>
      <x:c r="Q12" s="81" t="inlineStr">
        <x:is>
          <x:t xml:space="preserve">All four surviving books screened at plan-unit level; this is not exhaustive extraction of every paragraph.</x:t>
        </x:is>
      </x:c>
    </x:row>
    <x:row r="13">
      <x:c r="A13" s="81" t="inlineStr">
        <x:is>
          <x:t xml:space="preserve">SRC-MARCUS-PERSEUS-GRC</x:t>
        </x:is>
      </x:c>
      <x:c r="B13" s="81" t="inlineStr">
        <x:is>
          <x:t xml:space="preserve">Marcus Aurelius</x:t>
        </x:is>
      </x:c>
      <x:c r="C13" s="81" t="inlineStr">
        <x:is>
          <x:t xml:space="preserve">Roman Empire / Greek-language Stoic</x:t>
        </x:is>
      </x:c>
      <x:c r="D13" s="81" t="inlineStr">
        <x:is>
          <x:t xml:space="preserve">M. Antonius Imperator Ad Se Ipsum / Meditations, Books 1–12</x:t>
        </x:is>
      </x:c>
      <x:c r="E13" s="81" t="inlineStr">
        <x:is>
          <x:t xml:space="preserve">Primary Greek edition / institutional corpus</x:t>
        </x:is>
      </x:c>
      <x:c r="F13" s="81" t="inlineStr">
        <x:is>
          <x:t xml:space="preserve">Ancient Greek</x:t>
        </x:is>
      </x:c>
      <x:c r="G13" s="81" t="inlineStr">
        <x:is>
          <x:t xml:space="preserve">Jan Hendrik Leopold edition, Leipzig 1908</x:t>
        </x:is>
      </x:c>
      <x:c r="H13" s="81" t="inlineStr">
        <x:is>
          <x:t xml:space="preserve">https://www.perseus.tufts.edu/hopper/text?doc=Perseus:text:2008.01.0641</x:t>
        </x:is>
      </x:c>
      <x:c r="I13" s="81" t="inlineStr">
        <x:is>
          <x:t xml:space="preserve">https://catalog.perseus.tufts.edu/catalog/urn:cts:greekLit:tlg0562.tlg001</x:t>
        </x:is>
      </x:c>
      <x:c r="J13" s="81" t="inlineStr">
        <x:is>
          <x:t xml:space="preserve">Tier 1 - Primary/Institutional</x:t>
        </x:is>
      </x:c>
      <x:c r="K13" s="81" t="inlineStr">
        <x:is>
          <x:t xml:space="preserve">Yes / CC BY-SA digital text</x:t>
        </x:is>
      </x:c>
      <x:c r="L13" s="81" t="inlineStr">
        <x:is>
          <x:t xml:space="preserve">Ancient work is public domain; Perseus Greek electronic text states CC BY-SA 3.0 US. Use source anchors and fresh Selflo translation/adaptation.</x:t>
        </x:is>
      </x:c>
      <x:c r="M13" s="81" t="inlineStr">
        <x:is>
          <x:t xml:space="preserve">Day 8 Meditations quotes</x:t>
        </x:is>
      </x:c>
      <x:c r="N13" s="81" t="inlineStr">
        <x:is>
          <x:t xml:space="preserve">Day 8 meditative scenes</x:t>
        </x:is>
      </x:c>
      <x:c r="O13" s="81" t="inlineStr">
        <x:is>
          <x:t xml:space="preserve">principle.marcus.day8.*</x:t>
        </x:is>
      </x:c>
      <x:c r="P13" s="81" t="n">
        <x:v>8</x:v>
      </x:c>
      <x:c r="Q13" s="81" t="inlineStr">
        <x:is>
          <x:t xml:space="preserve">Perseus catalog records the work as 12 books and provides Ancient Greek editions including Leopold 1908.</x:t>
        </x:is>
      </x:c>
    </x:row>
    <x:row r="14">
      <x:c r="A14" s="81" t="inlineStr">
        <x:is>
          <x:t xml:space="preserve">SRC-MARCUS-WIKISOURCE-GRC</x:t>
        </x:is>
      </x:c>
      <x:c r="B14" s="81" t="inlineStr">
        <x:is>
          <x:t xml:space="preserve">Marcus Aurelius</x:t>
        </x:is>
      </x:c>
      <x:c r="C14" s="81" t="inlineStr">
        <x:is>
          <x:t xml:space="preserve">Roman Empire / Greek-language Stoic</x:t>
        </x:is>
      </x:c>
      <x:c r="D14" s="81" t="inlineStr">
        <x:is>
          <x:t xml:space="preserve">Τὰ εἰς ἑαυτόν, Books 1–12</x:t>
        </x:is>
      </x:c>
      <x:c r="E14" s="81" t="inlineStr">
        <x:is>
          <x:t xml:space="preserve">Primary-text cross-check</x:t>
        </x:is>
      </x:c>
      <x:c r="F14" s="81" t="inlineStr">
        <x:is>
          <x:t xml:space="preserve">Ancient Greek</x:t>
        </x:is>
      </x:c>
      <x:c r="G14" s="81" t="inlineStr">
        <x:is>
          <x:t xml:space="preserve">Greek Wikisource transcription; page identifies Farquharson 1944 as source</x:t>
        </x:is>
      </x:c>
      <x:c r="H14" s="81" t="inlineStr">
        <x:is>
          <x:t xml:space="preserve">https://el.wikisource.org/wiki/Τα_εις_εαυτόν</x:t>
        </x:is>
      </x:c>
      <x:c r="I14" s="81" t="inlineStr">
        <x:is>
          <x:t xml:space="preserve">https://el.wikisource.org/wiki/Τα_εις_εαυτόν/12</x:t>
        </x:is>
      </x:c>
      <x:c r="J14" s="81" t="inlineStr">
        <x:is>
          <x:t xml:space="preserve">Tier 1/2 - primary-text cross-check</x:t>
        </x:is>
      </x:c>
      <x:c r="K14" s="81" t="inlineStr">
        <x:is>
          <x:t xml:space="preserve">Source-dependent</x:t>
        </x:is>
      </x:c>
      <x:c r="L14" s="81" t="inlineStr">
        <x:is>
          <x:t xml:space="preserve">Used as a cross-check for book structure and Greek wording. Release should cite a stable edition and use Selflo's own translation.</x:t>
        </x:is>
      </x:c>
      <x:c r="M14" s="81" t="inlineStr">
        <x:is>
          <x:t xml:space="preserve">Day 8 cross-check</x:t>
        </x:is>
      </x:c>
      <x:c r="N14" s="81" t="inlineStr">
        <x:is>
          <x:t xml:space="preserve">Day 8 cross-check</x:t>
        </x:is>
      </x:c>
      <x:c r="O14" s="81" t="inlineStr">
        <x:is>
          <x:t xml:space="preserve">principle.marcus.day8.*</x:t>
        </x:is>
      </x:c>
      <x:c r="P14" s="81" t="n">
        <x:v>8</x:v>
      </x:c>
      <x:c r="Q14" s="81" t="inlineStr">
        <x:is>
          <x:t xml:space="preserve">All 12 books listed; do not copy modern translated prose.</x:t>
        </x:is>
      </x:c>
    </x:row>
    <x:row r="15">
      <x:c r="A15" t="inlineStr">
        <x:is>
          <x:t xml:space="preserve">SRC-SENECA-PERSEUS-EPISTULAE</x:t>
        </x:is>
      </x:c>
      <x:c r="B15" t="inlineStr">
        <x:is>
          <x:t xml:space="preserve">Seneca, Lucius Annaeus</x:t>
        </x:is>
      </x:c>
      <x:c r="C15" t="inlineStr">
        <x:is>
          <x:t xml:space="preserve">Rome / Latin Stoic</x:t>
        </x:is>
      </x:c>
      <x:c r="D15" t="inlineStr">
        <x:is>
          <x:t xml:space="preserve">Epistulae Morales ad Lucilium</x:t>
        </x:is>
      </x:c>
      <x:c r="E15" t="inlineStr">
        <x:is>
          <x:t xml:space="preserve">Primary Latin edition / institutional catalog</x:t>
        </x:is>
      </x:c>
      <x:c r="F15" t="inlineStr">
        <x:is>
          <x:t xml:space="preserve">Latin</x:t>
        </x:is>
      </x:c>
      <x:c r="G15" t="inlineStr">
        <x:is>
          <x:t xml:space="preserve">Gummere ed. 1917–1925</x:t>
        </x:is>
      </x:c>
      <x:c r="H15" t="inlineStr">
        <x:is>
          <x:t xml:space="preserve">https://atlas.perseus.tufts.edu/library/urn:cts:latinLit:phi1017.phi015/</x:t>
        </x:is>
      </x:c>
      <x:c r="I15" t="inlineStr">
        <x:is>
          <x:t xml:space="preserve">https://catalog.perseus.tufts.edu/catalog/urn:cts:latinLit:phi1017.phi015</x:t>
        </x:is>
      </x:c>
      <x:c r="J15" t="inlineStr">
        <x:is>
          <x:t xml:space="preserve">Tier 1 - Primary/Institutional</x:t>
        </x:is>
      </x:c>
      <x:c r="K15" t="inlineStr">
        <x:is>
          <x:t xml:space="preserve">Ancient work public domain</x:t>
        </x:is>
      </x:c>
      <x:c r="L15" t="inlineStr">
        <x:is>
          <x:t xml:space="preserve">Use Latin anchors + fresh Selflo VI translation; passage-level recheck before Release</x:t>
        </x:is>
      </x:c>
      <x:c r="M15" t="inlineStr">
        <x:is>
          <x:t xml:space="preserve">Day 9 quotes</x:t>
        </x:is>
      </x:c>
      <x:c r="N15" t="inlineStr">
        <x:is>
          <x:t xml:space="preserve">Day 9 letter scenes</x:t>
        </x:is>
      </x:c>
      <x:c r="O15" t="inlineStr">
        <x:is>
          <x:t xml:space="preserve">principle.seneca.day9.*</x:t>
        </x:is>
      </x:c>
      <x:c r="P15" t="n">
        <x:v>9</x:v>
      </x:c>
      <x:c r="Q15" t="inlineStr">
        <x:is>
          <x:t xml:space="preserve">Perseus confirms work, author, Latin editions and 1917–1925 Gummere volumes.</x:t>
        </x:is>
      </x:c>
    </x:row>
    <x:row r="16">
      <x:c r="A16" t="inlineStr">
        <x:is>
          <x:t xml:space="preserve">SRC-SENECA-WIKISOURCE-LAT</x:t>
        </x:is>
      </x:c>
      <x:c r="B16" t="inlineStr">
        <x:is>
          <x:t xml:space="preserve">Seneca, Lucius Annaeus</x:t>
        </x:is>
      </x:c>
      <x:c r="C16" t="inlineStr">
        <x:is>
          <x:t xml:space="preserve">Rome / Latin Stoic</x:t>
        </x:is>
      </x:c>
      <x:c r="D16" t="inlineStr">
        <x:is>
          <x:t xml:space="preserve">Epistulae Morales + Moral Essays</x:t>
        </x:is>
      </x:c>
      <x:c r="E16" t="inlineStr">
        <x:is>
          <x:t xml:space="preserve">Primary-text transcription / cross-check</x:t>
        </x:is>
      </x:c>
      <x:c r="F16" t="inlineStr">
        <x:is>
          <x:t xml:space="preserve">Latin</x:t>
        </x:is>
      </x:c>
      <x:c r="G16" t="inlineStr">
        <x:is>
          <x:t xml:space="preserve">Latin Wikisource corpus</x:t>
        </x:is>
      </x:c>
      <x:c r="H16" t="inlineStr">
        <x:is>
          <x:t xml:space="preserve">https://la.wikisource.org/wiki/Epistulae_morales_ad_Lucilium</x:t>
        </x:is>
      </x:c>
      <x:c r="J16" t="inlineStr">
        <x:is>
          <x:t xml:space="preserve">Tier 1/2 - primary-text cross-check</x:t>
        </x:is>
      </x:c>
      <x:c r="K16" t="inlineStr">
        <x:is>
          <x:t xml:space="preserve">CC BY-SA transcription / ancient text PD</x:t>
        </x:is>
      </x:c>
      <x:c r="L16" t="inlineStr">
        <x:is>
          <x:t xml:space="preserve">Used for Latin wording and navigable letter/essay structure; fresh VI translation only</x:t>
        </x:is>
      </x:c>
      <x:c r="M16" t="inlineStr">
        <x:is>
          <x:t xml:space="preserve">Day 9 quotes</x:t>
        </x:is>
      </x:c>
      <x:c r="N16" t="inlineStr">
        <x:is>
          <x:t xml:space="preserve">Day 9 scenes</x:t>
        </x:is>
      </x:c>
      <x:c r="O16" t="inlineStr">
        <x:is>
          <x:t xml:space="preserve">principle.seneca.day9.*</x:t>
        </x:is>
      </x:c>
      <x:c r="P16" t="n">
        <x:v>9</x:v>
      </x:c>
      <x:c r="Q16" t="inlineStr">
        <x:is>
          <x:t xml:space="preserve">Includes Letters index and essays De Brevitate Vitae, De Tranquillitate Animi, De Otio, De Ira, De Providentia.</x:t>
        </x:is>
      </x:c>
    </x:row>
    <x:row r="17">
      <x:c r="A17" t="inlineStr">
        <x:is>
          <x:t xml:space="preserve">SRC-MUSONIUS-HENSE-1905</x:t>
        </x:is>
      </x:c>
      <x:c r="B17" t="inlineStr">
        <x:is>
          <x:t xml:space="preserve">Musonius Rufus</x:t>
        </x:is>
      </x:c>
      <x:c r="C17" t="inlineStr">
        <x:is>
          <x:t xml:space="preserve">Roman Stoic / Greek-language</x:t>
        </x:is>
      </x:c>
      <x:c r="D17" t="inlineStr">
        <x:is>
          <x:t xml:space="preserve">C. Musonii Rufi Reliquiae</x:t>
        </x:is>
      </x:c>
      <x:c r="E17" t="inlineStr">
        <x:is>
          <x:t xml:space="preserve">Standard public-domain Greek edition</x:t>
        </x:is>
      </x:c>
      <x:c r="F17" t="inlineStr">
        <x:is>
          <x:t xml:space="preserve">Ancient Greek</x:t>
        </x:is>
      </x:c>
      <x:c r="G17" t="inlineStr">
        <x:is>
          <x:t xml:space="preserve">Otto Hense, Teubner 1905</x:t>
        </x:is>
      </x:c>
      <x:c r="H17" t="inlineStr">
        <x:is>
          <x:t xml:space="preserve">https://archive.org/details/cmusoniirufirel00muso</x:t>
        </x:is>
      </x:c>
      <x:c r="J17" t="inlineStr">
        <x:is>
          <x:t xml:space="preserve">Tier 1 - standard ancient-text edition</x:t>
        </x:is>
      </x:c>
      <x:c r="K17" t="inlineStr">
        <x:is>
          <x:t xml:space="preserve">Public domain edition</x:t>
        </x:is>
      </x:c>
      <x:c r="L17" t="inlineStr">
        <x:is>
          <x:t xml:space="preserve">Preferred future passage-level Greek verification source</x:t>
        </x:is>
      </x:c>
      <x:c r="M17" t="inlineStr">
        <x:is>
          <x:t xml:space="preserve">Day 10</x:t>
        </x:is>
      </x:c>
      <x:c r="N17" t="inlineStr">
        <x:is>
          <x:t xml:space="preserve">Day 10</x:t>
        </x:is>
      </x:c>
      <x:c r="O17" t="inlineStr">
        <x:is>
          <x:t xml:space="preserve">principle.musonius.day10.*</x:t>
        </x:is>
      </x:c>
      <x:c r="P17" t="n">
        <x:v>10</x:v>
      </x:c>
      <x:c r="Q17" t="inlineStr">
        <x:is>
          <x:t xml:space="preserve">Standard Greek edition identified by SBL/IEP; exact Greek not fabricated in this pass.</x:t>
        </x:is>
      </x:c>
    </x:row>
    <x:row r="18">
      <x:c r="A18" t="inlineStr">
        <x:is>
          <x:t xml:space="preserve">SRC-MUSONIUS-IEP</x:t>
        </x:is>
      </x:c>
      <x:c r="B18" t="inlineStr">
        <x:is>
          <x:t xml:space="preserve">William O. Stephens / IEP</x:t>
        </x:is>
      </x:c>
      <x:c r="C18" t="inlineStr">
        <x:is>
          <x:t xml:space="preserve">Academic philosophy reference</x:t>
        </x:is>
      </x:c>
      <x:c r="D18" t="inlineStr">
        <x:is>
          <x:t xml:space="preserve">Musonius Rufus</x:t>
        </x:is>
      </x:c>
      <x:c r="E18" t="inlineStr">
        <x:is>
          <x:t xml:space="preserve">Scholarly secondary reference</x:t>
        </x:is>
      </x:c>
      <x:c r="F18" t="inlineStr">
        <x:is>
          <x:t xml:space="preserve">English</x:t>
        </x:is>
      </x:c>
      <x:c r="G18" t="inlineStr">
        <x:is>
          <x:t xml:space="preserve">Internet Encyclopedia of Philosophy</x:t>
        </x:is>
      </x:c>
      <x:c r="H18" t="inlineStr">
        <x:is>
          <x:t xml:space="preserve">https://iep.utm.edu/musonius/</x:t>
        </x:is>
      </x:c>
      <x:c r="J18" t="inlineStr">
        <x:is>
          <x:t xml:space="preserve">Tier 2 - scholarly reference</x:t>
        </x:is>
      </x:c>
      <x:c r="K18" t="inlineStr">
        <x:is>
          <x:t xml:space="preserve">Web reference</x:t>
        </x:is>
      </x:c>
      <x:c r="L18" t="inlineStr">
        <x:is>
          <x:t xml:space="preserve">Used to verify survival history, 21 discourses, 32 apophthegms, themes and testimonia; not used as verbatim ancient quote source.</x:t>
        </x:is>
      </x:c>
      <x:c r="M18" t="inlineStr">
        <x:is>
          <x:t xml:space="preserve">Day 10</x:t>
        </x:is>
      </x:c>
      <x:c r="O18" t="inlineStr">
        <x:is>
          <x:t xml:space="preserve">principle.musonius.day10.*</x:t>
        </x:is>
      </x:c>
      <x:c r="P18" t="n">
        <x:v>10</x:v>
      </x:c>
      <x:c r="Q18" t="inlineStr">
        <x:is>
          <x:t xml:space="preserve">Authored by William O. Stephens; provides bibliography to Hense and Lutz.</x:t>
        </x:is>
      </x:c>
    </x:row>
    <x:row r="19">
      <x:c r="A19" t="inlineStr">
        <x:is>
          <x:t xml:space="preserve">SRC-MUSONIUS-SBL</x:t>
        </x:is>
      </x:c>
      <x:c r="B19" t="inlineStr">
        <x:is>
          <x:t xml:space="preserve">SBL Handbook of Style</x:t>
        </x:is>
      </x:c>
      <x:c r="C19" t="inlineStr">
        <x:is>
          <x:t xml:space="preserve">Academic citation reference</x:t>
        </x:is>
      </x:c>
      <x:c r="D19" t="inlineStr">
        <x:is>
          <x:t xml:space="preserve">Musonius Rufus citation guidance</x:t>
        </x:is>
      </x:c>
      <x:c r="E19" t="inlineStr">
        <x:is>
          <x:t xml:space="preserve">Scholarly bibliographic reference</x:t>
        </x:is>
      </x:c>
      <x:c r="F19" t="inlineStr">
        <x:is>
          <x:t xml:space="preserve">English</x:t>
        </x:is>
      </x:c>
      <x:c r="G19" t="inlineStr">
        <x:is>
          <x:t xml:space="preserve">SBL Press</x:t>
        </x:is>
      </x:c>
      <x:c r="H19" t="inlineStr">
        <x:is>
          <x:t xml:space="preserve">https://sblhs2.com/2017/05/11/musonius-rufus/</x:t>
        </x:is>
      </x:c>
      <x:c r="J19" t="inlineStr">
        <x:is>
          <x:t xml:space="preserve">Tier 2 - scholarly reference</x:t>
        </x:is>
      </x:c>
      <x:c r="K19" t="inlineStr">
        <x:is>
          <x:t xml:space="preserve">Web reference</x:t>
        </x:is>
      </x:c>
      <x:c r="L19" t="inlineStr">
        <x:is>
          <x:t xml:space="preserve">Confirms citation conventions and standard Hense 1905 / Lutz 1947 editions.</x:t>
        </x:is>
      </x:c>
      <x:c r="M19" t="inlineStr">
        <x:is>
          <x:t xml:space="preserve">Day 10</x:t>
        </x:is>
      </x:c>
      <x:c r="P19" t="n">
        <x:v>10</x:v>
      </x:c>
      <x:c r="Q19" t="inlineStr">
        <x:is>
          <x:t xml:space="preserve">Useful for provenance/citation discipline.</x:t>
        </x:is>
      </x:c>
    </x:row>
    <x:row r="20">
      <x:c r="A20" t="inlineStr">
        <x:is>
          <x:t xml:space="preserve">SRC-DHAMMAPADA-ABT-PALI</x:t>
        </x:is>
      </x:c>
      <x:c r="B20" t="inlineStr">
        <x:is>
          <x:t xml:space="preserve">Ānandajoti Bhikkhu / Ancient Buddhist Texts</x:t>
        </x:is>
      </x:c>
      <x:c r="C20" t="inlineStr">
        <x:is>
          <x:t xml:space="preserve">Pāḷi Buddhist</x:t>
        </x:is>
      </x:c>
      <x:c r="D20" t="inlineStr">
        <x:is>
          <x:t xml:space="preserve">Dhammapada (KN 2)</x:t>
        </x:is>
      </x:c>
      <x:c r="E20" t="inlineStr">
        <x:is>
          <x:t xml:space="preserve">Pāḷi primary text + scholarly translation</x:t>
        </x:is>
      </x:c>
      <x:c r="F20" t="inlineStr">
        <x:is>
          <x:t xml:space="preserve">Pāḷi</x:t>
        </x:is>
      </x:c>
      <x:c r="G20" t="inlineStr">
        <x:is>
          <x:t xml:space="preserve">2nd ed., 2017</x:t>
        </x:is>
      </x:c>
      <x:c r="H20" t="inlineStr">
        <x:is>
          <x:t xml:space="preserve">https://ancient-buddhist-texts.net/Texts-and-Translations/Dhammapada/</x:t>
        </x:is>
      </x:c>
      <x:c r="J20" t="inlineStr">
        <x:is>
          <x:t xml:space="preserve">Tier 1 - primary text edition</x:t>
        </x:is>
      </x:c>
      <x:c r="K20" t="inlineStr">
        <x:is>
          <x:t xml:space="preserve">Ancient text PD; site translation separately authored</x:t>
        </x:is>
      </x:c>
      <x:c r="L20" t="inlineStr">
        <x:is>
          <x:t xml:space="preserve">Used for exact Pāḷi verse anchors; Vietnamese translated fresh by Selflo</x:t>
        </x:is>
      </x:c>
      <x:c r="M20" t="inlineStr">
        <x:is>
          <x:t xml:space="preserve">Day 11 quotes</x:t>
        </x:is>
      </x:c>
      <x:c r="O20" t="inlineStr">
        <x:is>
          <x:t xml:space="preserve">principle.dhammapada.day11.*</x:t>
        </x:is>
      </x:c>
      <x:c r="P20" t="n">
        <x:v>11</x:v>
      </x:c>
      <x:c r="Q20" t="inlineStr">
        <x:is>
          <x:t xml:space="preserve">423 verses in 26 chapters; full chapter map screened.</x:t>
        </x:is>
      </x:c>
    </x:row>
    <x:row r="21">
      <x:c r="A21" t="inlineStr">
        <x:is>
          <x:t xml:space="preserve">SRC-DHAMMAPADA-COMM-ABT</x:t>
        </x:is>
      </x:c>
      <x:c r="B21" t="inlineStr">
        <x:is>
          <x:t xml:space="preserve">E.W. Burlingame / Ānandajoti Bhikkhu</x:t>
        </x:is>
      </x:c>
      <x:c r="C21" t="inlineStr">
        <x:is>
          <x:t xml:space="preserve">Pāḷi Buddhist commentary</x:t>
        </x:is>
      </x:c>
      <x:c r="D21" t="inlineStr">
        <x:is>
          <x:t xml:space="preserve">Dhammapada Aṭṭhakathā / Dhamma Verses Commentary</x:t>
        </x:is>
      </x:c>
      <x:c r="E21" t="inlineStr">
        <x:is>
          <x:t xml:space="preserve">Commentarial story collection</x:t>
        </x:is>
      </x:c>
      <x:c r="F21" t="inlineStr">
        <x:is>
          <x:t xml:space="preserve">Pāḷi / English</x:t>
        </x:is>
      </x:c>
      <x:c r="G21" t="inlineStr">
        <x:is>
          <x:t xml:space="preserve">Burlingame 1921; revised 2024</x:t>
        </x:is>
      </x:c>
      <x:c r="H21" t="inlineStr">
        <x:is>
          <x:t xml:space="preserve">https://ancient-buddhist-texts.net/English-Texts/Dhamma-Verses-Comm/index.htm</x:t>
        </x:is>
      </x:c>
      <x:c r="J21" t="inlineStr">
        <x:is>
          <x:t xml:space="preserve">Tier 1/2 - classical commentary + public-domain base translation</x:t>
        </x:is>
      </x:c>
      <x:c r="K21" t="inlineStr">
        <x:is>
          <x:t xml:space="preserve">Burlingame 1921 PD; revised material has separate authorship</x:t>
        </x:is>
      </x:c>
      <x:c r="L21" t="inlineStr">
        <x:is>
          <x:t xml:space="preserve">Stories are explicitly labeled commentary, not canonical Dhammapada verse text</x:t>
        </x:is>
      </x:c>
      <x:c r="N21" t="inlineStr">
        <x:is>
          <x:t xml:space="preserve">Day 11 stories</x:t>
        </x:is>
      </x:c>
      <x:c r="P21" t="n">
        <x:v>11</x:v>
      </x:c>
      <x:c r="Q21" t="inlineStr">
        <x:is>
          <x:t xml:space="preserve">Commentary finalized in medieval period; some stories parallel Vinaya, Nikāyas, Udāna, Jātaka, Therīgāthā traditions.</x:t>
        </x:is>
      </x:c>
    </x:row>
    <x:row r="22">
      <x:c r="A22" t="inlineStr">
        <x:is>
          <x:t xml:space="preserve">SRC-MN-SUTTACENTRAL-PALI</x:t>
        </x:is>
      </x:c>
      <x:c r="B22" t="inlineStr">
        <x:is>
          <x:t xml:space="preserve">Early Buddhist Pāḷi tradition</x:t>
        </x:is>
      </x:c>
      <x:c r="C22" t="inlineStr">
        <x:is>
          <x:t xml:space="preserve">India / Pāḷi</x:t>
        </x:is>
      </x:c>
      <x:c r="D22" t="inlineStr">
        <x:is>
          <x:t xml:space="preserve">Majjhima Nikāya</x:t>
        </x:is>
      </x:c>
      <x:c r="E22" t="inlineStr">
        <x:is>
          <x:t xml:space="preserve">Primary canonical text / digital edition</x:t>
        </x:is>
      </x:c>
      <x:c r="F22" t="inlineStr">
        <x:is>
          <x:t xml:space="preserve">Pāḷi</x:t>
        </x:is>
      </x:c>
      <x:c r="G22" t="inlineStr">
        <x:is>
          <x:t xml:space="preserve">Mahāsaṅgīti / SuttaCentral editions</x:t>
        </x:is>
      </x:c>
      <x:c r="H22" t="inlineStr">
        <x:is>
          <x:t xml:space="preserve">https://suttacentral.net/mn</x:t>
        </x:is>
      </x:c>
      <x:c r="J22" t="inlineStr">
        <x:is>
          <x:t xml:space="preserve">Tier 1 - Primary</x:t>
        </x:is>
      </x:c>
      <x:c r="K22" t="inlineStr">
        <x:is>
          <x:t xml:space="preserve">Ancient text public domain; platform/translation rights separate</x:t>
        </x:is>
      </x:c>
      <x:c r="L22" t="inlineStr">
        <x:is>
          <x:t xml:space="preserve">Primary anchor for Day 12 exact Pāḷi and sutta locations</x:t>
        </x:is>
      </x:c>
      <x:c r="M22" t="inlineStr">
        <x:is>
          <x:t xml:space="preserve">Day 12 quotes</x:t>
        </x:is>
      </x:c>
      <x:c r="N22" t="inlineStr">
        <x:is>
          <x:t xml:space="preserve">Day 12 stories</x:t>
        </x:is>
      </x:c>
      <x:c r="O22" t="inlineStr">
        <x:is>
          <x:t xml:space="preserve">principle.mn.day12.*</x:t>
        </x:is>
      </x:c>
      <x:c r="P22" t="n">
        <x:v>12</x:v>
      </x:c>
      <x:c r="Q22" t="inlineStr">
        <x:is>
          <x:t xml:space="preserve">Selected suttas per 90-Day Plan; primary Pāḷi prioritized.</x:t>
        </x:is>
      </x:c>
    </x:row>
    <x:row r="23">
      <x:c r="A23" t="inlineStr">
        <x:is>
          <x:t xml:space="preserve">SRC-MN-SUTTACENTRAL-VI</x:t>
        </x:is>
      </x:c>
      <x:c r="B23" t="inlineStr">
        <x:is>
          <x:t xml:space="preserve">Thích Minh Châu</x:t>
        </x:is>
      </x:c>
      <x:c r="C23" t="inlineStr">
        <x:is>
          <x:t xml:space="preserve">Vietnam / Buddhist scholarship</x:t>
        </x:is>
      </x:c>
      <x:c r="D23" t="inlineStr">
        <x:is>
          <x:t xml:space="preserve">Trung Bộ Kinh</x:t>
        </x:is>
      </x:c>
      <x:c r="E23" t="inlineStr">
        <x:is>
          <x:t xml:space="preserve">Published Vietnamese translation / cross-check</x:t>
        </x:is>
      </x:c>
      <x:c r="F23" t="inlineStr">
        <x:is>
          <x:t xml:space="preserve">Vietnamese</x:t>
        </x:is>
      </x:c>
      <x:c r="G23" t="inlineStr">
        <x:is>
          <x:t xml:space="preserve">Vietnamese translation 1976–77; later reprints</x:t>
        </x:is>
      </x:c>
      <x:c r="H23" t="inlineStr">
        <x:is>
          <x:t xml:space="preserve">https://suttacentral.net/mn/vi/minh_chau</x:t>
        </x:is>
      </x:c>
      <x:c r="J23" t="inlineStr">
        <x:is>
          <x:t xml:space="preserve">Tier 2 - authoritative translation</x:t>
        </x:is>
      </x:c>
      <x:c r="K23" t="inlineStr">
        <x:is>
          <x:t xml:space="preserve">Translation rights separate</x:t>
        </x:is>
      </x:c>
      <x:c r="L23" t="inlineStr">
        <x:is>
          <x:t xml:space="preserve">Used only for semantic cross-check; Selflo Vietnamese wording is freshly written, not copied</x:t>
        </x:is>
      </x:c>
      <x:c r="M23" t="inlineStr">
        <x:is>
          <x:t xml:space="preserve">Day 12 semantic check</x:t>
        </x:is>
      </x:c>
      <x:c r="N23" t="inlineStr">
        <x:is>
          <x:t xml:space="preserve">Day 12 story check</x:t>
        </x:is>
      </x:c>
      <x:c r="P23" t="n">
        <x:v>12</x:v>
      </x:c>
      <x:c r="Q23" t="inlineStr">
        <x:is>
          <x:t xml:space="preserve">SuttaCentral notes translation/publication history on individual sutta pages.</x:t>
        </x:is>
      </x:c>
    </x:row>
    <x:row r="24">
      <x:c r="A24" t="inlineStr">
        <x:is>
          <x:t xml:space="preserve">SRC-SN-SUTTACENTRAL</x:t>
        </x:is>
      </x:c>
      <x:c r="B24" t="inlineStr">
        <x:is>
          <x:t xml:space="preserve">Early Buddhist Pāḷi tradition</x:t>
        </x:is>
      </x:c>
      <x:c r="C24" t="inlineStr">
        <x:is>
          <x:t xml:space="preserve">India / Pāḷi</x:t>
        </x:is>
      </x:c>
      <x:c r="D24" t="inlineStr">
        <x:is>
          <x:t xml:space="preserve">Saṁyutta Nikāya</x:t>
        </x:is>
      </x:c>
      <x:c r="E24" t="inlineStr">
        <x:is>
          <x:t xml:space="preserve">Primary canonical corpus</x:t>
        </x:is>
      </x:c>
      <x:c r="F24" t="inlineStr">
        <x:is>
          <x:t xml:space="preserve">Pāḷi</x:t>
        </x:is>
      </x:c>
      <x:c r="G24" t="inlineStr">
        <x:is>
          <x:t xml:space="preserve">SuttaCentral editions</x:t>
        </x:is>
      </x:c>
      <x:c r="H24" t="inlineStr">
        <x:is>
          <x:t xml:space="preserve">https://suttacentral.net/sn</x:t>
        </x:is>
      </x:c>
      <x:c r="I24" t="inlineStr">
        <x:is>
          <x:t xml:space="preserve"/>
        </x:is>
      </x:c>
      <x:c r="J24" t="inlineStr">
        <x:is>
          <x:t xml:space="preserve">Tier 1 - Primary</x:t>
        </x:is>
      </x:c>
      <x:c r="K24" t="inlineStr">
        <x:is>
          <x:t xml:space="preserve">Ancient text PD; modern translations separate</x:t>
        </x:is>
      </x:c>
      <x:c r="L24" t="inlineStr">
        <x:is>
          <x:t xml:space="preserve">Day 13 primary anchors; fresh VI paraphrases</x:t>
        </x:is>
      </x:c>
      <x:c r="M24" t="inlineStr">
        <x:is>
          <x:t xml:space="preserve">Day 13 quotes</x:t>
        </x:is>
      </x:c>
      <x:c r="N24" t="inlineStr">
        <x:is>
          <x:t xml:space="preserve">Day 13 stories</x:t>
        </x:is>
      </x:c>
      <x:c r="O24" t="inlineStr">
        <x:is>
          <x:t xml:space="preserve">principle.day13.*</x:t>
        </x:is>
      </x:c>
      <x:c r="P24" t="n">
        <x:v>13</x:v>
      </x:c>
      <x:c r="Q24" t="inlineStr">
        <x:is>
          <x:t xml:space="preserve">Selected connected discourses on aggregates, senses, feeling, mindfulness, truths.</x:t>
        </x:is>
      </x:c>
    </x:row>
    <x:row r="25">
      <x:c r="A25" t="inlineStr">
        <x:is>
          <x:t xml:space="preserve">SRC-AN-SUTTACENTRAL</x:t>
        </x:is>
      </x:c>
      <x:c r="B25" t="inlineStr">
        <x:is>
          <x:t xml:space="preserve">Early Buddhist Pāḷi tradition</x:t>
        </x:is>
      </x:c>
      <x:c r="C25" t="inlineStr">
        <x:is>
          <x:t xml:space="preserve">India / Pāḷi</x:t>
        </x:is>
      </x:c>
      <x:c r="D25" t="inlineStr">
        <x:is>
          <x:t xml:space="preserve">Aṅguttara Nikāya</x:t>
        </x:is>
      </x:c>
      <x:c r="E25" t="inlineStr">
        <x:is>
          <x:t xml:space="preserve">Primary canonical corpus</x:t>
        </x:is>
      </x:c>
      <x:c r="F25" t="inlineStr">
        <x:is>
          <x:t xml:space="preserve">Pāḷi</x:t>
        </x:is>
      </x:c>
      <x:c r="G25" t="inlineStr">
        <x:is>
          <x:t xml:space="preserve">SuttaCentral editions</x:t>
        </x:is>
      </x:c>
      <x:c r="H25" t="inlineStr">
        <x:is>
          <x:t xml:space="preserve">https://suttacentral.net/an</x:t>
        </x:is>
      </x:c>
      <x:c r="I25" t="inlineStr">
        <x:is>
          <x:t xml:space="preserve"/>
        </x:is>
      </x:c>
      <x:c r="J25" t="inlineStr">
        <x:is>
          <x:t xml:space="preserve">Tier 1 - Primary</x:t>
        </x:is>
      </x:c>
      <x:c r="K25" t="inlineStr">
        <x:is>
          <x:t xml:space="preserve">Ancient text PD; modern translations separate</x:t>
        </x:is>
      </x:c>
      <x:c r="L25" t="inlineStr">
        <x:is>
          <x:t xml:space="preserve">Day 13 primary anchors; fresh VI paraphrases</x:t>
        </x:is>
      </x:c>
      <x:c r="M25" t="inlineStr">
        <x:is>
          <x:t xml:space="preserve">Day 13 quotes</x:t>
        </x:is>
      </x:c>
      <x:c r="N25" t="inlineStr">
        <x:is>
          <x:t xml:space="preserve">Day 13 stories</x:t>
        </x:is>
      </x:c>
      <x:c r="O25" t="inlineStr">
        <x:is>
          <x:t xml:space="preserve">principle.day13.*</x:t>
        </x:is>
      </x:c>
      <x:c r="P25" t="n">
        <x:v>13</x:v>
      </x:c>
      <x:c r="Q25" t="inlineStr">
        <x:is>
          <x:t xml:space="preserve">Selected numbered discourses incl. AN 3.65, 5.57, 6.63, 7.74, 8.6, 10.60.</x:t>
        </x:is>
      </x:c>
    </x:row>
    <x:row r="26">
      <x:c r="A26" t="str">
        <x:v>SRC-D14-ATI-SIMILES</x:v>
      </x:c>
      <x:c r="B26" t="str">
        <x:v>Early Buddhist Pāḷi canon / Access to Insight</x:v>
      </x:c>
      <x:c r="C26" t="str">
        <x:v>India / Pāḷi</x:v>
      </x:c>
      <x:c r="D26" t="str">
        <x:v>Index of Similes</x:v>
      </x:c>
      <x:c r="E26" t="str">
        <x:v>Research index to canonical suttas</x:v>
      </x:c>
      <x:c r="F26" t="str">
        <x:v>English index</x:v>
      </x:c>
      <x:c r="G26" t="str">
        <x:v>Digital index</x:v>
      </x:c>
      <x:c r="H26" t="str">
        <x:v>https://accesstoinsight.org/index-similes</x:v>
      </x:c>
      <x:c r="I26" t="str"/>
      <x:c r="J26" t="str">
        <x:v>Tier 2 - reputable research index</x:v>
      </x:c>
      <x:c r="K26" t="str">
        <x:v>N/A</x:v>
      </x:c>
      <x:c r="L26" t="str">
        <x:v>Used to discover canonical references; individual sutta pages are the source anchors.</x:v>
      </x:c>
      <x:c r="M26" t="str">
        <x:v>Day 14 discovery</x:v>
      </x:c>
      <x:c r="N26" t="str">
        <x:v>Day 14 discovery</x:v>
      </x:c>
      <x:c r="O26" t="str">
        <x:v>principle.day14.*</x:v>
      </x:c>
      <x:c r="P26" t="n">
        <x:v>14</x:v>
      </x:c>
      <x:c r="Q26" t="str">
        <x:v>Index explicitly maps imagery to sutta references; not itself the ancient primary text.</x:v>
      </x:c>
    </x:row>
    <x:row r="27">
      <x:c r="A27" t="str">
        <x:v>SRC-D14-ATI-CANON</x:v>
      </x:c>
      <x:c r="B27" t="str">
        <x:v>Early Buddhist Pāḷi canon / Access to Insight</x:v>
      </x:c>
      <x:c r="C27" t="str">
        <x:v>India / Pāḷi</x:v>
      </x:c>
      <x:c r="D27" t="str">
        <x:v>Canonical sutta translations used as provenance anchors</x:v>
      </x:c>
      <x:c r="E27" t="str">
        <x:v>Canonical texts in modern translation</x:v>
      </x:c>
      <x:c r="F27" t="str">
        <x:v>Pāḷi / English</x:v>
      </x:c>
      <x:c r="G27" t="str">
        <x:v>Ancient canon / modern translations</x:v>
      </x:c>
      <x:c r="H27" t="str">
        <x:v>https://accesstoinsight.org/tipitaka/</x:v>
      </x:c>
      <x:c r="I27" t="str"/>
      <x:c r="J27" t="str">
        <x:v>Tier 1/2 - canonical source access</x:v>
      </x:c>
      <x:c r="K27" t="str">
        <x:v>Ancient text yes; translations separately copyrighted</x:v>
      </x:c>
      <x:c r="L27" t="str">
        <x:v>Do not copy modern translations; use source location + fresh Selflo wording.</x:v>
      </x:c>
      <x:c r="M27" t="str">
        <x:v>research.buddhist.day14.*</x:v>
      </x:c>
      <x:c r="N27" t="str">
        <x:v>story.buddhist.day14.*</x:v>
      </x:c>
      <x:c r="O27" t="str">
        <x:v>principle.day14.*</x:v>
      </x:c>
      <x:c r="P27" t="n">
        <x:v>14</x:v>
      </x:c>
      <x:c r="Q27" t="str">
        <x:v>Individual sutta URLs stored row-by-row.</x:v>
      </x:c>
    </x:row>
    <x:row r="28">
      <x:c r="A28" t="str">
        <x:v>SRC-D14-ABT-PARABLES</x:v>
      </x:c>
      <x:c r="B28" t="str">
        <x:v>E.W. Burlingame / Ancient Buddhist Texts</x:v>
      </x:c>
      <x:c r="C28" t="str">
        <x:v>India / Pāḷi tradition</x:v>
      </x:c>
      <x:c r="D28" t="str">
        <x:v>Buddhist Parables</x:v>
      </x:c>
      <x:c r="E28" t="str">
        <x:v>Historical scholarly collection of &gt;200 illustrative stories</x:v>
      </x:c>
      <x:c r="F28" t="str">
        <x:v>Pāḷi sources / English</x:v>
      </x:c>
      <x:c r="G28" t="str">
        <x:v>1918 collection; digital edition</x:v>
      </x:c>
      <x:c r="H28" t="str">
        <x:v>https://ancient-buddhist-texts.net/English-Texts/Buddhist-Parables/</x:v>
      </x:c>
      <x:c r="I28" t="str"/>
      <x:c r="J28" t="str">
        <x:v>Tier 2 - scholarly historical collection</x:v>
      </x:c>
      <x:c r="K28" t="str">
        <x:v>Base historical text likely PD; digital editorial material separate</x:v>
      </x:c>
      <x:c r="L28" t="str">
        <x:v>Useful for expanding later; provenance varies (Jātaka, Vinaya, commentary), so each story must retain its source layer.</x:v>
      </x:c>
      <x:c r="M28" t="str">
        <x:v>Research only</x:v>
      </x:c>
      <x:c r="N28" t="str">
        <x:v>Research only</x:v>
      </x:c>
      <x:c r="O28" t="str"/>
      <x:c r="P28" t="n">
        <x:v>14</x:v>
      </x:c>
      <x:c r="Q28" t="str">
        <x:v>Preface explicitly distinguishes Jātaka, Vinaya and other source layers; not used to flatten them into one canonical tier.</x:v>
      </x:c>
    </x:row>
  </x:sheetData>
  <x:dataValidations count="3">
    <x:dataValidation type="list" allowBlank="0" showDropDown="0" showInputMessage="0" showErrorMessage="0" sqref="E2:E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J2:J300">
      <x:formula1>"Tier 1 - Primary/Institutional,Tier 2 - Scholarly/Authoritative,Tier 3 - Reputable secondary,Tier 4 - Discovery only"</x:formula1>
    </x:dataValidation>
    <x:dataValidation type="list" allowBlank="0" showDropDown="0" showInputMessage="0" showErrorMessage="0" sqref="K2:K300">
      <x:formula1>"Yes,No,Unknown / verify"</x:formula1>
    </x:dataValidation>
  </x:dataValidations>
  <x:pageMargins left="0.7" right="0.7" top="0.75" bottom="0.75" header="0.3" footer="0.3"/>
  <x:tableParts count="1">
    <x:tablePart xmlns:r="http://schemas.openxmlformats.org/officeDocument/2006/relationships" r:id="R17b13218663045e0"/>
  </x:tableParts>
</x:worksheet>
</file>

<file path=xl/worksheets/sheet8.xml><?xml version="1.0" encoding="utf-8"?>
<x:worksheet xmlns:x="http://schemas.openxmlformats.org/spreadsheetml/2006/main">
  <x:sheetFormatPr baseColWidth="8" defaultRowHeight="15"/>
  <x:cols>
    <x:col min="1" max="1" width="38" style="72" customWidth="1"/>
    <x:col min="2" max="2" width="12" style="72" customWidth="1"/>
    <x:col min="3" max="3" width="13" style="72" customWidth="1"/>
    <x:col min="4" max="4" width="12" style="72" customWidth="1"/>
    <x:col min="5" max="5" width="14" style="72" customWidth="1"/>
    <x:col min="6" max="6" width="18" style="72" customWidth="1"/>
    <x:col min="7" max="7" width="15" style="72" customWidth="1"/>
    <x:col min="8" max="8" width="15" style="72" customWidth="1"/>
    <x:col min="9" max="9" width="10" style="72" customWidth="1"/>
    <x:col min="10" max="10" width="12" style="72" customWidth="1"/>
    <x:col min="11" max="11" width="12" style="72" customWidth="1"/>
    <x:col min="12" max="12" width="45" style="72" customWidth="1"/>
  </x:cols>
  <x:sheetData>
    <x:row r="1">
      <x:c r="A1" s="17" t="inlineStr">
        <x:is>
          <x:t xml:space="preserve">SELFLO COVERAGE MAP — Research Pool</x:t>
        </x:is>
      </x:c>
      <x:c r="B1" s="1" t="n"/>
      <x:c r="C1" s="1" t="n"/>
      <x:c r="D1" s="1" t="n"/>
      <x:c r="E1" s="1" t="n"/>
      <x:c r="F1" s="1" t="n"/>
      <x:c r="G1" s="1" t="n"/>
      <x:c r="H1" s="1" t="n"/>
      <x:c r="I1" s="1" t="n"/>
      <x:c r="J1" s="1" t="n"/>
      <x:c r="K1" s="1" t="n"/>
      <x:c r="L1" s="1" t="n"/>
    </x:row>
    <x:row r="3">
      <x:c r="A3" s="77" t="inlineStr">
        <x:is>
          <x:t xml:space="preserve">Cluster</x:t>
        </x:is>
      </x:c>
      <x:c r="B3" s="77" t="inlineStr">
        <x:is>
          <x:t xml:space="preserve">Target Pool</x:t>
        </x:is>
      </x:c>
      <x:c r="C3" s="77" t="inlineStr">
        <x:is>
          <x:t xml:space="preserve">Quote Count</x:t>
        </x:is>
      </x:c>
      <x:c r="D3" s="77" t="inlineStr">
        <x:is>
          <x:t xml:space="preserve">Story Count</x:t>
        </x:is>
      </x:c>
      <x:c r="E3" s="77" t="inlineStr">
        <x:is>
          <x:t xml:space="preserve">Principle Count</x:t>
        </x:is>
      </x:c>
      <x:c r="F3" s="77" t="inlineStr">
        <x:is>
          <x:t xml:space="preserve">Verified A/B Quotes</x:t>
        </x:is>
      </x:c>
      <x:c r="G3" s="77" t="inlineStr">
        <x:is>
          <x:t xml:space="preserve">High Selflo Fit</x:t>
        </x:is>
      </x:c>
      <x:c r="H3" s="77" t="inlineStr">
        <x:is>
          <x:t xml:space="preserve">Released Quotes</x:t>
        </x:is>
      </x:c>
      <x:c r="I3" s="77" t="inlineStr">
        <x:is>
          <x:t xml:space="preserve">Gap</x:t>
        </x:is>
      </x:c>
      <x:c r="J3" s="77" t="inlineStr">
        <x:is>
          <x:t xml:space="preserve">Coverage %</x:t>
        </x:is>
      </x:c>
      <x:c r="K3" s="77" t="inlineStr">
        <x:is>
          <x:t xml:space="preserve">Priority</x:t>
        </x:is>
      </x:c>
      <x:c r="L3" s="77" t="inlineStr">
        <x:is>
          <x:t xml:space="preserve">Notes</x:t>
        </x:is>
      </x:c>
    </x:row>
    <x:row r="4">
      <x:c r="A4" t="inlineStr">
        <x:is>
          <x:t xml:space="preserve">Exhaustion / Recovery / Work carryover</x:t>
        </x:is>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82" t="n">
        <x:f>MIN(C4/B4,1)</x:f>
        <x:v>0</x:v>
      </x:c>
      <x:c r="K4" t="str">
        <x:f>IF(J4&lt;0.5,"High",IF(J4&lt;0.9,"Medium","Filled"))</x:f>
        <x:v>High</x:v>
      </x:c>
    </x:row>
    <x:row r="5">
      <x:c r="A5" t="inlineStr">
        <x:is>
          <x:t xml:space="preserve">Self-compassion / Self-blame</x:t>
        </x:is>
      </x:c>
      <x:c r="B5" t="n">
        <x:v>50</x:v>
      </x:c>
      <x:c r="C5" t="n">
        <x:f>COUNTIF('Quote Library'!$C$2:$C$500,A5)+COUNTIF('Quote Library'!$D$2:$D$500,A5)</x:f>
        <x:v>0</x:v>
      </x:c>
      <x:c r="D5" t="n">
        <x:f>COUNTIF('Story Library'!$G$2:$G$300,A5)+COUNTIF('Story Library'!$H$2:$H$300,A5)</x:f>
        <x:v>0</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82" t="n">
        <x:f>MIN(C5/B5,1)</x:f>
        <x:v>0</x:v>
      </x:c>
      <x:c r="K5" t="str">
        <x:f>IF(J5&lt;0.5,"High",IF(J5&lt;0.9,"Medium","Filled"))</x:f>
        <x:v>High</x:v>
      </x:c>
    </x:row>
    <x:row r="6">
      <x:c r="A6" t="inlineStr">
        <x:is>
          <x:t xml:space="preserve">Uncertainty / Choice / Agency</x:t>
        </x:is>
      </x:c>
      <x:c r="B6" t="n">
        <x:v>50</x:v>
      </x:c>
      <x:c r="C6" t="n">
        <x:f>COUNTIF('Quote Library'!$C$2:$C$500,A6)+COUNTIF('Quote Library'!$D$2:$D$500,A6)</x:f>
        <x:v>0</x:v>
      </x:c>
      <x:c r="D6" t="n">
        <x:f>COUNTIF('Story Library'!$G$2:$G$300,A6)+COUNTIF('Story Library'!$H$2:$H$300,A6)</x:f>
        <x:v>0</x:v>
      </x:c>
      <x:c r="E6" t="n">
        <x:f>COUNTIF('Principle Library'!$O$2:$O$300,A6)</x:f>
        <x:v>1</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82" t="n">
        <x:f>MIN(C6/B6,1)</x:f>
        <x:v>0</x:v>
      </x:c>
      <x:c r="K6" t="str">
        <x:f>IF(J6&lt;0.5,"High",IF(J6&lt;0.9,"Medium","Filled"))</x:f>
        <x:v>High</x:v>
      </x:c>
    </x:row>
    <x:row r="7">
      <x:c r="A7" t="inlineStr">
        <x:is>
          <x:t xml:space="preserve">Comparison / External standards / Values</x:t>
        </x:is>
      </x:c>
      <x:c r="B7" t="n">
        <x:v>50</x:v>
      </x:c>
      <x:c r="C7" t="n">
        <x:f>COUNTIF('Quote Library'!$C$2:$C$500,A7)+COUNTIF('Quote Library'!$D$2:$D$500,A7)</x:f>
        <x:v>0</x:v>
      </x:c>
      <x:c r="D7" t="n">
        <x:f>COUNTIF('Story Library'!$G$2:$G$300,A7)+COUNTIF('Story Library'!$H$2:$H$300,A7)</x:f>
        <x:v>0</x:v>
      </x:c>
      <x:c r="E7" t="n">
        <x:f>COUNTIF('Principle Library'!$O$2:$O$300,A7)</x:f>
        <x:v>1</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82" t="n">
        <x:f>MIN(C7/B7,1)</x:f>
        <x:v>0</x:v>
      </x:c>
      <x:c r="K7" t="str">
        <x:f>IF(J7&lt;0.5,"High",IF(J7&lt;0.9,"Medium","Filled"))</x:f>
        <x:v>High</x:v>
      </x:c>
    </x:row>
    <x:row r="8">
      <x:c r="A8" t="inlineStr">
        <x:is>
          <x:t xml:space="preserve">Attention / Noise / Deep focus</x:t>
        </x:is>
      </x:c>
      <x:c r="B8" t="n">
        <x:v>50</x:v>
      </x:c>
      <x:c r="C8" t="n">
        <x:f>COUNTIF('Quote Library'!$C$2:$C$500,A8)+COUNTIF('Quote Library'!$D$2:$D$500,A8)</x:f>
        <x:v>0</x:v>
      </x:c>
      <x:c r="D8" t="n">
        <x:f>COUNTIF('Story Library'!$G$2:$G$300,A8)+COUNTIF('Story Library'!$H$2:$H$300,A8)</x:f>
        <x:v>0</x:v>
      </x:c>
      <x:c r="E8" t="n">
        <x:f>COUNTIF('Principle Library'!$O$2:$O$300,A8)</x:f>
        <x:v>2</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82" t="n">
        <x:f>MIN(C8/B8,1)</x:f>
        <x:v>0</x:v>
      </x:c>
      <x:c r="K8" t="str">
        <x:f>IF(J8&lt;0.5,"High",IF(J8&lt;0.9,"Medium","Filled"))</x:f>
        <x:v>High</x:v>
      </x:c>
    </x:row>
    <x:row r="9">
      <x:c r="A9" t="inlineStr">
        <x:is>
          <x:t xml:space="preserve">Learning / Failure / Quiet growth</x:t>
        </x:is>
      </x:c>
      <x:c r="B9" t="n">
        <x:v>50</x:v>
      </x:c>
      <x:c r="C9" t="n">
        <x:f>COUNTIF('Quote Library'!$C$2:$C$500,A9)+COUNTIF('Quote Library'!$D$2:$D$500,A9)</x:f>
        <x:v>0</x:v>
      </x:c>
      <x:c r="D9" t="n">
        <x:f>COUNTIF('Story Library'!$G$2:$G$300,A9)+COUNTIF('Story Library'!$H$2:$H$300,A9)</x:f>
        <x:v>0</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82" t="n">
        <x:f>MIN(C9/B9,1)</x:f>
        <x:v>0</x:v>
      </x:c>
      <x:c r="K9" t="str">
        <x:f>IF(J9&lt;0.5,"High",IF(J9&lt;0.9,"Medium","Filled"))</x:f>
        <x:v>High</x:v>
      </x:c>
    </x:row>
    <x:row r="10">
      <x:c r="A10" t="inlineStr">
        <x:is>
          <x:t xml:space="preserve">Change / Impermanence / Recovery</x:t>
        </x:is>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82" t="n">
        <x:f>MIN(C10/B10,1)</x:f>
        <x:v>0</x:v>
      </x:c>
      <x:c r="K10" t="str">
        <x:f>IF(J10&lt;0.5,"High",IF(J10&lt;0.9,"Medium","Filled"))</x:f>
        <x:v>High</x:v>
      </x:c>
    </x:row>
    <x:row r="11">
      <x:c r="A11" t="inlineStr">
        <x:is>
          <x:t xml:space="preserve">Mixed emotions / Emotional memory</x:t>
        </x:is>
      </x:c>
      <x:c r="B11" t="n">
        <x:v>50</x:v>
      </x:c>
      <x:c r="C11" t="n">
        <x:f>COUNTIF('Quote Library'!$C$2:$C$500,A11)+COUNTIF('Quote Library'!$D$2:$D$500,A11)</x:f>
        <x:v>0</x:v>
      </x:c>
      <x:c r="D11" t="n">
        <x:f>COUNTIF('Story Library'!$G$2:$G$300,A11)+COUNTIF('Story Library'!$H$2:$H$300,A11)</x:f>
        <x:v>0</x:v>
      </x:c>
      <x:c r="E11" t="n">
        <x:f>COUNTIF('Principle Library'!$O$2:$O$300,A11)</x:f>
        <x:v>1</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82" t="n">
        <x:f>MIN(C11/B11,1)</x:f>
        <x:v>0</x:v>
      </x:c>
      <x:c r="K11" t="str">
        <x:f>IF(J11&lt;0.5,"High",IF(J11&lt;0.9,"Medium","Filled"))</x:f>
        <x:v>High</x:v>
      </x:c>
    </x:row>
    <x:row r="12">
      <x:c r="A12" t="inlineStr">
        <x:is>
          <x:t xml:space="preserve">Meaning / Identity / Work</x:t>
        </x:is>
      </x:c>
      <x:c r="B12" t="n">
        <x:v>50</x:v>
      </x:c>
      <x:c r="C12" t="n">
        <x:f>COUNTIF('Quote Library'!$C$2:$C$500,A12)+COUNTIF('Quote Library'!$D$2:$D$500,A12)</x:f>
        <x:v>0</x:v>
      </x:c>
      <x:c r="D12" t="n">
        <x:f>COUNTIF('Story Library'!$G$2:$G$300,A12)+COUNTIF('Story Library'!$H$2:$H$300,A12)</x:f>
        <x:v>0</x:v>
      </x:c>
      <x:c r="E12" t="n">
        <x:f>COUNTIF('Principle Library'!$O$2:$O$300,A12)</x:f>
        <x:v>1</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82" t="n">
        <x:f>MIN(C12/B12,1)</x:f>
        <x:v>0</x:v>
      </x:c>
      <x:c r="K12" t="str">
        <x:f>IF(J12&lt;0.5,"High",IF(J12&lt;0.9,"Medium","Filled"))</x:f>
        <x:v>High</x:v>
      </x:c>
    </x:row>
    <x:row r="13">
      <x:c r="A13" t="inlineStr">
        <x:is>
          <x:t xml:space="preserve">AI-age Human Judgment</x:t>
        </x:is>
      </x:c>
      <x:c r="B13" t="n">
        <x:v>50</x:v>
      </x:c>
      <x:c r="C13" t="n">
        <x:f>COUNTIF('Quote Library'!$C$2:$C$500,A13)+COUNTIF('Quote Library'!$D$2:$D$500,A13)</x:f>
        <x:v>0</x:v>
      </x:c>
      <x:c r="D13" t="n">
        <x:f>COUNTIF('Story Library'!$G$2:$G$300,A13)+COUNTIF('Story Library'!$H$2:$H$300,A13)</x:f>
        <x:v>0</x:v>
      </x:c>
      <x:c r="E13" t="n">
        <x:f>COUNTIF('Principle Library'!$O$2:$O$300,A13)</x:f>
        <x:v>3</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82" t="n">
        <x:f>MIN(C13/B13,1)</x:f>
        <x:v>0</x:v>
      </x:c>
      <x:c r="K13" t="str">
        <x:f>IF(J13&lt;0.5,"High",IF(J13&lt;0.9,"Medium","Filled"))</x:f>
        <x:v>High</x:v>
      </x:c>
    </x:row>
    <x:row r="14">
      <x:c r="A14" t="inlineStr">
        <x:is>
          <x:t xml:space="preserve">Relationships / Boundaries / Connection</x:t>
        </x:is>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82" t="n">
        <x:f>MIN(C14/B14,1)</x:f>
        <x:v>0</x:v>
      </x:c>
      <x:c r="K14" t="str">
        <x:f>IF(J14&lt;0.5,"High",IF(J14&lt;0.9,"Medium","Filled"))</x:f>
        <x:v>High</x:v>
      </x:c>
    </x:row>
    <x:row r="15">
      <x:c r="A15" t="inlineStr">
        <x:is>
          <x:t xml:space="preserve">Rest / Limits / Wellbeing</x:t>
        </x:is>
      </x:c>
      <x:c r="B15" t="n">
        <x:v>50</x:v>
      </x:c>
      <x:c r="C15" t="n">
        <x:f>COUNTIF('Quote Library'!$C$2:$C$500,A15)+COUNTIF('Quote Library'!$D$2:$D$500,A15)</x:f>
        <x:v>0</x:v>
      </x:c>
      <x:c r="D15" t="n">
        <x:f>COUNTIF('Story Library'!$G$2:$G$300,A15)+COUNTIF('Story Library'!$H$2:$H$300,A15)</x:f>
        <x:v>0</x:v>
      </x:c>
      <x:c r="E15" t="n">
        <x:f>COUNTIF('Principle Library'!$O$2:$O$300,A15)</x:f>
        <x:v>1</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82" t="n">
        <x:f>MIN(C15/B15,1)</x:f>
        <x:v>0</x:v>
      </x:c>
      <x:c r="K15" t="str">
        <x:f>IF(J15&lt;0.5,"High",IF(J15&lt;0.9,"Medium","Filled"))</x:f>
        <x:v>High</x:v>
      </x:c>
    </x:row>
  </x:sheetData>
  <x:mergeCells>
    <x:mergeCell ref="A1:L1"/>
  </x:mergeCells>
  <x:conditionalFormatting sqref="J4:J15">
    <x:cfRule type="dataBar" priority="1">
      <x:dataBar>
        <x:cfvo type="min"/>
        <x:cfvo type="max"/>
        <x:color rgb="FFA02B93"/>
      </x:dataBar>
    </x:cfRule>
  </x:conditionalFormatting>
  <x:pageMargins left="0.7" right="0.7" top="0.75" bottom="0.75" header="0.3" footer="0.3"/>
</x:worksheet>
</file>

<file path=xl/worksheets/sheet9.xml><?xml version="1.0" encoding="utf-8"?>
<x:worksheet xmlns:x="http://schemas.openxmlformats.org/spreadsheetml/2006/main">
  <x:sheetFormatPr baseColWidth="8" defaultRowHeight="15"/>
  <x:cols>
    <x:col min="1" max="1" width="40" style="72" customWidth="1"/>
    <x:col min="2" max="2" width="18" style="72" customWidth="1"/>
    <x:col min="3" max="3" width="18" style="72" customWidth="1"/>
    <x:col min="4" max="4" width="18" style="72" customWidth="1"/>
  </x:cols>
  <x:sheetData>
    <x:row r="1">
      <x:c r="A1" s="17" t="inlineStr">
        <x:is>
          <x:t xml:space="preserve">SELFLO WISDOM LIBRARY — DASHBOARD</x:t>
        </x:is>
      </x:c>
      <x:c r="B1" s="1" t="n"/>
      <x:c r="C1" s="1" t="n"/>
      <x:c r="D1" s="1" t="n"/>
      <x:c r="E1" s="1" t="n"/>
      <x:c r="F1" s="1" t="n"/>
      <x:c r="G1" s="1" t="n"/>
      <x:c r="H1" s="1" t="n"/>
    </x:row>
    <x:row r="3">
      <x:c r="A3" s="77" t="inlineStr">
        <x:is>
          <x:t xml:space="preserve">Metric</x:t>
        </x:is>
      </x:c>
      <x:c r="B3" s="77" t="inlineStr">
        <x:is>
          <x:t xml:space="preserve">Value</x:t>
        </x:is>
      </x:c>
    </x:row>
    <x:row r="4">
      <x:c r="A4" t="inlineStr">
        <x:is>
          <x:t xml:space="preserve">Quotes collected</x:t>
        </x:is>
      </x:c>
      <x:c r="B4" t="n">
        <x:f>COUNTIF('Quote Library'!$B$2:$B$500,"&lt;&gt;")</x:f>
        <x:v>0</x:v>
      </x:c>
    </x:row>
    <x:row r="5">
      <x:c r="A5" t="inlineStr">
        <x:is>
          <x:t xml:space="preserve">Quotes verified A/B</x:t>
        </x:is>
      </x:c>
      <x:c r="B5" t="n">
        <x:f>COUNTIF('Quote Library'!$R$2:$R$500,"A - Primary source")+COUNTIF('Quote Library'!$R$2:$R$500,"B - Authoritative secondary")</x:f>
        <x:v>0</x:v>
      </x:c>
    </x:row>
    <x:row r="6">
      <x:c r="A6" t="inlineStr">
        <x:is>
          <x:t xml:space="preserve">Quotes high Selflo fit</x:t>
        </x:is>
      </x:c>
      <x:c r="B6" t="n">
        <x:f>COUNTIF('Quote Library'!$V$2:$V$500,"High")</x:f>
        <x:v>0</x:v>
      </x:c>
    </x:row>
    <x:row r="7">
      <x:c r="A7" t="inlineStr">
        <x:is>
          <x:t xml:space="preserve">Released quotes</x:t>
        </x:is>
      </x:c>
      <x:c r="B7" t="n">
        <x:f>COUNTIF('Quote Library'!$AD$2:$AD$500,"Released")</x:f>
        <x:v>0</x:v>
      </x:c>
    </x:row>
    <x:row r="8">
      <x:c r="A8" t="inlineStr">
        <x:is>
          <x:t xml:space="preserve">Stories collected</x:t>
        </x:is>
      </x:c>
      <x:c r="B8" t="n">
        <x:f>COUNTIF('Story Library'!$B$2:$B$300,"&lt;&gt;")</x:f>
        <x:v>76</x:v>
      </x:c>
    </x:row>
    <x:row r="9">
      <x:c r="A9" t="inlineStr">
        <x:is>
          <x:t xml:space="preserve">Stories gate passed</x:t>
        </x:is>
      </x:c>
      <x:c r="B9" t="n">
        <x:f>COUNTIF('Story Library'!$AA$2:$AA$300,"Passed")</x:f>
        <x:v>0</x:v>
      </x:c>
    </x:row>
    <x:row r="10">
      <x:c r="A10" t="inlineStr">
        <x:is>
          <x:t xml:space="preserve">Principles collected</x:t>
        </x:is>
      </x:c>
      <x:c r="B10" t="n">
        <x:f>COUNTIF('Principle Library'!$B$2:$B$300,"&lt;&gt;")</x:f>
        <x:v>168</x:v>
      </x:c>
    </x:row>
    <x:row r="11">
      <x:c r="A11" t="inlineStr">
        <x:is>
          <x:t xml:space="preserve">Sources registered</x:t>
        </x:is>
      </x:c>
      <x:c r="B11" t="n">
        <x:f>COUNTIF('Source Registry'!$A$2:$A$300,"&lt;&gt;")</x:f>
        <x:v>27</x:v>
      </x:c>
    </x:row>
    <x:row r="12">
      <x:c r="A12" t="inlineStr">
        <x:is>
          <x:t xml:space="preserve">90-day tasks done</x:t>
        </x:is>
      </x:c>
      <x:c r="B12" t="n">
        <x:f>COUNTIF('90-Day Plan'!$L$2:$L$91,"Done")</x:f>
        <x:v>14</x:v>
      </x:c>
    </x:row>
    <x:row r="13">
      <x:c r="A13" t="inlineStr">
        <x:is>
          <x:t xml:space="preserve">90-day progress</x:t>
        </x:is>
      </x:c>
      <x:c r="B13" s="82" t="n">
        <x:f>COUNTIF('90-Day Plan'!$L$2:$L$91,"Done")/90</x:f>
        <x:v>0.15555555555555556</x:v>
      </x:c>
    </x:row>
    <x:row r="16">
      <x:c r="A16" s="88" t="inlineStr">
        <x:is>
          <x:t xml:space="preserve">Cluster</x:t>
        </x:is>
      </x:c>
      <x:c r="B16" s="88" t="inlineStr">
        <x:is>
          <x:t xml:space="preserve">Quote Count</x:t>
        </x:is>
      </x:c>
      <x:c r="C16" s="88" t="inlineStr">
        <x:is>
          <x:t xml:space="preserve">Target</x:t>
        </x:is>
      </x:c>
      <x:c r="D16" s="88" t="inlineStr">
        <x:is>
          <x:t xml:space="preserve">Coverage %</x:t>
        </x:is>
      </x:c>
    </x:row>
    <x:row r="17">
      <x:c r="A17" t="inlineStr">
        <x:is>
          <x:t xml:space="preserve">Exhaustion / Recovery / Work carryover</x:t>
        </x:is>
      </x:c>
      <x:c r="B17" t="n">
        <x:f>'Coverage Map'!C4</x:f>
        <x:v>0</x:v>
      </x:c>
      <x:c r="C17" t="n">
        <x:f>'Coverage Map'!B4</x:f>
        <x:v>50</x:v>
      </x:c>
      <x:c r="D17" s="82" t="n">
        <x:f>'Coverage Map'!J4</x:f>
        <x:v>0</x:v>
      </x:c>
    </x:row>
    <x:row r="18">
      <x:c r="A18" t="inlineStr">
        <x:is>
          <x:t xml:space="preserve">Self-compassion / Self-blame</x:t>
        </x:is>
      </x:c>
      <x:c r="B18" t="n">
        <x:f>'Coverage Map'!C5</x:f>
        <x:v>0</x:v>
      </x:c>
      <x:c r="C18" t="n">
        <x:f>'Coverage Map'!B5</x:f>
        <x:v>50</x:v>
      </x:c>
      <x:c r="D18" s="82" t="n">
        <x:f>'Coverage Map'!J5</x:f>
        <x:v>0</x:v>
      </x:c>
    </x:row>
    <x:row r="19">
      <x:c r="A19" t="inlineStr">
        <x:is>
          <x:t xml:space="preserve">Uncertainty / Choice / Agency</x:t>
        </x:is>
      </x:c>
      <x:c r="B19" t="n">
        <x:f>'Coverage Map'!C6</x:f>
        <x:v>0</x:v>
      </x:c>
      <x:c r="C19" t="n">
        <x:f>'Coverage Map'!B6</x:f>
        <x:v>50</x:v>
      </x:c>
      <x:c r="D19" s="82" t="n">
        <x:f>'Coverage Map'!J6</x:f>
        <x:v>0</x:v>
      </x:c>
    </x:row>
    <x:row r="20">
      <x:c r="A20" t="inlineStr">
        <x:is>
          <x:t xml:space="preserve">Comparison / External standards / Values</x:t>
        </x:is>
      </x:c>
      <x:c r="B20" t="n">
        <x:f>'Coverage Map'!C7</x:f>
        <x:v>0</x:v>
      </x:c>
      <x:c r="C20" t="n">
        <x:f>'Coverage Map'!B7</x:f>
        <x:v>50</x:v>
      </x:c>
      <x:c r="D20" s="82" t="n">
        <x:f>'Coverage Map'!J7</x:f>
        <x:v>0</x:v>
      </x:c>
    </x:row>
    <x:row r="21">
      <x:c r="A21" t="inlineStr">
        <x:is>
          <x:t xml:space="preserve">Attention / Noise / Deep focus</x:t>
        </x:is>
      </x:c>
      <x:c r="B21" t="n">
        <x:f>'Coverage Map'!C8</x:f>
        <x:v>0</x:v>
      </x:c>
      <x:c r="C21" t="n">
        <x:f>'Coverage Map'!B8</x:f>
        <x:v>50</x:v>
      </x:c>
      <x:c r="D21" s="82" t="n">
        <x:f>'Coverage Map'!J8</x:f>
        <x:v>0</x:v>
      </x:c>
    </x:row>
    <x:row r="22">
      <x:c r="A22" t="inlineStr">
        <x:is>
          <x:t xml:space="preserve">Learning / Failure / Quiet growth</x:t>
        </x:is>
      </x:c>
      <x:c r="B22" t="n">
        <x:f>'Coverage Map'!C9</x:f>
        <x:v>0</x:v>
      </x:c>
      <x:c r="C22" t="n">
        <x:f>'Coverage Map'!B9</x:f>
        <x:v>50</x:v>
      </x:c>
      <x:c r="D22" s="82" t="n">
        <x:f>'Coverage Map'!J9</x:f>
        <x:v>0</x:v>
      </x:c>
    </x:row>
    <x:row r="23">
      <x:c r="A23" t="inlineStr">
        <x:is>
          <x:t xml:space="preserve">Change / Impermanence / Recovery</x:t>
        </x:is>
      </x:c>
      <x:c r="B23" t="n">
        <x:f>'Coverage Map'!C10</x:f>
        <x:v>0</x:v>
      </x:c>
      <x:c r="C23" t="n">
        <x:f>'Coverage Map'!B10</x:f>
        <x:v>50</x:v>
      </x:c>
      <x:c r="D23" s="82" t="n">
        <x:f>'Coverage Map'!J10</x:f>
        <x:v>0</x:v>
      </x:c>
    </x:row>
    <x:row r="24">
      <x:c r="A24" t="inlineStr">
        <x:is>
          <x:t xml:space="preserve">Mixed emotions / Emotional memory</x:t>
        </x:is>
      </x:c>
      <x:c r="B24" t="n">
        <x:f>'Coverage Map'!C11</x:f>
        <x:v>0</x:v>
      </x:c>
      <x:c r="C24" t="n">
        <x:f>'Coverage Map'!B11</x:f>
        <x:v>50</x:v>
      </x:c>
      <x:c r="D24" s="82" t="n">
        <x:f>'Coverage Map'!J11</x:f>
        <x:v>0</x:v>
      </x:c>
    </x:row>
    <x:row r="25">
      <x:c r="A25" t="inlineStr">
        <x:is>
          <x:t xml:space="preserve">Meaning / Identity / Work</x:t>
        </x:is>
      </x:c>
      <x:c r="B25" t="n">
        <x:f>'Coverage Map'!C12</x:f>
        <x:v>0</x:v>
      </x:c>
      <x:c r="C25" t="n">
        <x:f>'Coverage Map'!B12</x:f>
        <x:v>50</x:v>
      </x:c>
      <x:c r="D25" s="82" t="n">
        <x:f>'Coverage Map'!J12</x:f>
        <x:v>0</x:v>
      </x:c>
    </x:row>
    <x:row r="26">
      <x:c r="A26" t="inlineStr">
        <x:is>
          <x:t xml:space="preserve">AI-age Human Judgment</x:t>
        </x:is>
      </x:c>
      <x:c r="B26" t="n">
        <x:f>'Coverage Map'!C13</x:f>
        <x:v>0</x:v>
      </x:c>
      <x:c r="C26" t="n">
        <x:f>'Coverage Map'!B13</x:f>
        <x:v>50</x:v>
      </x:c>
      <x:c r="D26" s="82" t="n">
        <x:f>'Coverage Map'!J13</x:f>
        <x:v>0</x:v>
      </x:c>
    </x:row>
    <x:row r="27">
      <x:c r="A27" t="inlineStr">
        <x:is>
          <x:t xml:space="preserve">Relationships / Boundaries / Connection</x:t>
        </x:is>
      </x:c>
      <x:c r="B27" t="n">
        <x:f>'Coverage Map'!C14</x:f>
        <x:v>0</x:v>
      </x:c>
      <x:c r="C27" t="n">
        <x:f>'Coverage Map'!B14</x:f>
        <x:v>50</x:v>
      </x:c>
      <x:c r="D27" s="82" t="n">
        <x:f>'Coverage Map'!J14</x:f>
        <x:v>0</x:v>
      </x:c>
    </x:row>
    <x:row r="28">
      <x:c r="A28" t="inlineStr">
        <x:is>
          <x:t xml:space="preserve">Rest / Limits / Wellbeing</x:t>
        </x:is>
      </x:c>
      <x:c r="B28" t="n">
        <x:f>'Coverage Map'!C15</x:f>
        <x:v>0</x:v>
      </x:c>
      <x:c r="C28" t="n">
        <x:f>'Coverage Map'!B15</x:f>
        <x:v>50</x:v>
      </x:c>
      <x:c r="D28" s="82" t="n">
        <x:f>'Coverage Map'!J15</x:f>
        <x:v>0</x:v>
      </x:c>
    </x:row>
  </x:sheetData>
  <x:mergeCells>
    <x:mergeCell ref="A1:H1"/>
  </x:mergeCells>
  <x:conditionalFormatting sqref="D17:D28">
    <x:cfRule type="dataBar" priority="1">
      <x:dataBar>
        <x:cfvo type="min"/>
        <x:cfvo type="max"/>
        <x:color rgb="FFA02B93"/>
      </x:dataBar>
    </x:cfRule>
  </x:conditionalFormatting>
  <x:pageMargins left="0.7" right="0.7" top="0.75" bottom="0.75" header="0.3" footer="0.3"/>
  <x:drawing xmlns:r="http://schemas.openxmlformats.org/officeDocument/2006/relationships" r:id="Rc65fb4f25a1d4ecf"/>
</x:worksheet>
</file>

<file path=xl/worksheets/sheet10.xml><?xml version="1.0" encoding="utf-8"?>
<x:worksheet xmlns:x="http://schemas.openxmlformats.org/spreadsheetml/2006/main">
  <x:sheetFormatPr baseColWidth="8" defaultRowHeight="15"/>
  <x:cols>
    <x:col min="1" max="1" width="9" style="72" customWidth="1"/>
    <x:col min="2" max="2" width="58" style="72" customWidth="1"/>
    <x:col min="3" max="3" width="48" style="72" customWidth="1"/>
    <x:col min="4" max="4" width="48" style="72" customWidth="1"/>
    <x:col min="5" max="5" width="42" style="72" customWidth="1"/>
    <x:col min="6" max="6" width="28" style="72" customWidth="1"/>
  </x:cols>
  <x:sheetData>
    <x:row r="1">
      <x:c r="A1" s="35" t="inlineStr">
        <x:is>
          <x:t xml:space="preserve">AI COLLECTION GUIDE — dùng workbook này để giao việc từng ngày</x:t>
        </x:is>
      </x:c>
      <x:c r="B1" s="1" t="n"/>
      <x:c r="C1" s="1" t="n"/>
      <x:c r="D1" s="1" t="n"/>
      <x:c r="E1" s="1" t="n"/>
      <x:c r="F1" s="1" t="n"/>
    </x:row>
    <x:row r="3">
      <x:c r="A3" s="77" t="inlineStr">
        <x:is>
          <x:t xml:space="preserve">Step</x:t>
        </x:is>
      </x:c>
      <x:c r="B3" s="77" t="inlineStr">
        <x:is>
          <x:t xml:space="preserve">Instruction</x:t>
        </x:is>
      </x:c>
      <x:c r="C3" s="77" t="inlineStr">
        <x:is>
          <x:t xml:space="preserve">Required Output</x:t>
        </x:is>
      </x:c>
      <x:c r="D3" s="77" t="inlineStr">
        <x:is>
          <x:t xml:space="preserve">Do Not</x:t>
        </x:is>
      </x:c>
      <x:c r="E3" s="77" t="inlineStr">
        <x:is>
          <x:t xml:space="preserve">Quality Gate</x:t>
        </x:is>
      </x:c>
      <x:c r="F3" s="77" t="inlineStr">
        <x:is>
          <x:t xml:space="preserve">Where to Save</x:t>
        </x:is>
      </x:c>
    </x:row>
    <x:row r="4">
      <x:c r="A4" t="inlineStr">
        <x:is>
          <x:t xml:space="preserve">1</x:t>
        </x:is>
      </x:c>
      <x:c r="B4" t="inlineStr">
        <x:is>
          <x:t xml:space="preserve">Chọn Day trong 90-Day Plan. Dùng đúng Collection Focus, Sources/Traditions và What to Collect của ngày đó.</x:t>
        </x:is>
      </x:c>
      <x:c r="C4" t="inlineStr">
        <x:is>
          <x:t xml:space="preserve">Danh sách candidate + source evidence.</x:t>
        </x:is>
      </x:c>
      <x:c r="D4" t="inlineStr">
        <x:is>
          <x:t xml:space="preserve">Không tự đổi sang chủ đề khác chỉ vì dễ tìm.</x:t>
        </x:is>
      </x:c>
      <x:c r="E4" t="inlineStr">
        <x:is>
          <x:t xml:space="preserve">Ưu tiên primary/authoritative sources.</x:t>
        </x:is>
      </x:c>
      <x:c r="F4" t="inlineStr">
        <x:is>
          <x:t xml:space="preserve">90-Day Plan</x:t>
        </x:is>
      </x:c>
    </x:row>
    <x:row r="5">
      <x:c r="A5" t="inlineStr">
        <x:is>
          <x:t xml:space="preserve">2</x:t>
        </x:is>
      </x:c>
      <x:c r="B5" t="inlineStr">
        <x:is>
          <x:t xml:space="preserve">Thu quote/passages rộng; chưa lọc quá sớm theo Selflo fit.</x:t>
        </x:is>
      </x:c>
      <x:c r="C5" t="inlineStr">
        <x:is>
          <x:t xml:space="preserve">Original text, working VI, author/tradition, work/chapter, URL, quote type.</x:t>
        </x:is>
      </x:c>
      <x:c r="D5" t="inlineStr">
        <x:is>
          <x:t xml:space="preserve">Không dùng quote aggregator làm nguồn cuối nếu có thể truy primary.</x:t>
        </x:is>
      </x:c>
      <x:c r="E5" t="inlineStr">
        <x:is>
          <x:t xml:space="preserve">Wording và attribution phải traceable.</x:t>
        </x:is>
      </x:c>
      <x:c r="F5" t="inlineStr">
        <x:is>
          <x:t xml:space="preserve">Quote Library</x:t>
        </x:is>
      </x:c>
    </x:row>
    <x:row r="6">
      <x:c r="A6" t="inlineStr">
        <x:is>
          <x:t xml:space="preserve">3</x:t>
        </x:is>
      </x:c>
      <x:c r="B6" t="inlineStr">
        <x:is>
          <x:t xml:space="preserve">Với proverb/folk wisdom, xác định culture/region/collection càng cụ thể càng tốt.</x:t>
        </x:is>
      </x:c>
      <x:c r="C6" t="inlineStr">
        <x:is>
          <x:t xml:space="preserve">Variant, tradition, source collection, URL.</x:t>
        </x:is>
      </x:c>
      <x:c r="D6" t="inlineStr">
        <x:is>
          <x:t xml:space="preserve">Không ghi generic 'African proverb' nếu không xác định được.</x:t>
        </x:is>
      </x:c>
      <x:c r="E6" t="inlineStr">
        <x:is>
          <x:t xml:space="preserve">Nếu provenance yếu → Verification C/D.</x:t>
        </x:is>
      </x:c>
      <x:c r="F6" t="inlineStr">
        <x:is>
          <x:t xml:space="preserve">Quote Library + Source Registry</x:t>
        </x:is>
      </x:c>
    </x:row>
    <x:row r="7">
      <x:c r="A7" t="inlineStr">
        <x:is>
          <x:t xml:space="preserve">4</x:t>
        </x:is>
      </x:c>
      <x:c r="B7" t="inlineStr">
        <x:is>
          <x:t xml:space="preserve">Thu story/parables/cases chỉ khi có provenance.</x:t>
        </x:is>
      </x:c>
      <x:c r="C7" t="inlineStr">
        <x:is>
          <x:t xml:space="preserve">Title, summary, source work/location, URL, story type, context.</x:t>
        </x:is>
      </x:c>
      <x:c r="D7" t="inlineStr">
        <x:is>
          <x:t xml:space="preserve">Không tự bịa hoặc ghép nhiều chuyện thành một chuyện thật.</x:t>
        </x:is>
      </x:c>
      <x:c r="E7" t="inlineStr">
        <x:is>
          <x:t xml:space="preserve">Story không nguồn → không nhập như verified story.</x:t>
        </x:is>
      </x:c>
      <x:c r="F7" t="inlineStr">
        <x:is>
          <x:t xml:space="preserve">Story Library</x:t>
        </x:is>
      </x:c>
    </x:row>
    <x:row r="8">
      <x:c r="A8" t="inlineStr">
        <x:is>
          <x:t xml:space="preserve">5</x:t>
        </x:is>
      </x:c>
      <x:c r="B8" t="inlineStr">
        <x:is>
          <x:t xml:space="preserve">Với psychology/research, lưu finding chứ không biến finding thành quote của researcher.</x:t>
        </x:is>
      </x:c>
      <x:c r="C8" t="inlineStr">
        <x:is>
          <x:t xml:space="preserve">Finding, source paper, limitation, principle seed.</x:t>
        </x:is>
      </x:c>
      <x:c r="D8" t="inlineStr">
        <x:is>
          <x:t xml:space="preserve">Không tạo fake quote từ abstract/conclusion.</x:t>
        </x:is>
      </x:c>
      <x:c r="E8" t="inlineStr">
        <x:is>
          <x:t xml:space="preserve">Phải có limitation/counterpoint nếu source hỗ trợ.</x:t>
        </x:is>
      </x:c>
      <x:c r="F8" t="inlineStr">
        <x:is>
          <x:t xml:space="preserve">Principle Library</x:t>
        </x:is>
      </x:c>
    </x:row>
    <x:row r="9">
      <x:c r="A9" t="inlineStr">
        <x:is>
          <x:t xml:space="preserve">6</x:t>
        </x:is>
      </x:c>
      <x:c r="B9" t="inlineStr">
        <x:is>
          <x:t xml:space="preserve">Nếu external sources không phủ một human experience, có thể tạo Selflo Original seed.</x:t>
        </x:is>
      </x:c>
      <x:c r="C9" t="inlineStr">
        <x:is>
          <x:t xml:space="preserve">Label Selflo Original - AI-assisted draft + research basis.</x:t>
        </x:is>
      </x:c>
      <x:c r="D9" t="inlineStr">
        <x:is>
          <x:t xml:space="preserve">Không gán cho tác giả khác; không paraphrase tác phẩm copyrighted để né quyền.</x:t>
        </x:is>
      </x:c>
      <x:c r="E9" t="inlineStr">
        <x:is>
          <x:t xml:space="preserve">Chỉ là seed, chưa Release.</x:t>
        </x:is>
      </x:c>
      <x:c r="F9" t="inlineStr">
        <x:is>
          <x:t xml:space="preserve">Quote Library</x:t>
        </x:is>
      </x:c>
    </x:row>
    <x:row r="10">
      <x:c r="A10" t="inlineStr">
        <x:is>
          <x:t xml:space="preserve">7</x:t>
        </x:is>
      </x:c>
      <x:c r="B10" t="inlineStr">
        <x:is>
          <x:t xml:space="preserve">Đăng ký source/tác giả/tradition mới.</x:t>
        </x:is>
      </x:c>
      <x:c r="C10" t="inlineStr">
        <x:is>
          <x:t xml:space="preserve">Source ID, title, author, language, URL, reliability tier, rights notes.</x:t>
        </x:is>
      </x:c>
      <x:c r="D10" t="inlineStr">
        <x:is>
          <x:t xml:space="preserve">Không tạo URL hoặc bibliographic detail không kiểm chứng.</x:t>
        </x:is>
      </x:c>
      <x:c r="E10" t="inlineStr">
        <x:is>
          <x:t xml:space="preserve">Tier 1/2 ưu tiên.</x:t>
        </x:is>
      </x:c>
      <x:c r="F10" t="inlineStr">
        <x:is>
          <x:t xml:space="preserve">Source Registry</x:t>
        </x:is>
      </x:c>
    </x:row>
    <x:row r="11">
      <x:c r="A11" t="inlineStr">
        <x:is>
          <x:t xml:space="preserve">8</x:t>
        </x:is>
      </x:c>
      <x:c r="B11" t="inlineStr">
        <x:is>
          <x:t xml:space="preserve">Cập nhật Actual + Status sau khi nhập library.</x:t>
        </x:is>
      </x:c>
      <x:c r="C11" t="inlineStr">
        <x:is>
          <x:t xml:space="preserve">Quote/Story/Principle Actual, notes, status Done/In progress.</x:t>
        </x:is>
      </x:c>
      <x:c r="D11" t="inlineStr">
        <x:is>
          <x:t xml:space="preserve">Không đánh Done nếu dữ liệu chưa được nhập.</x:t>
        </x:is>
      </x:c>
      <x:c r="E11" t="inlineStr">
        <x:is>
          <x:t xml:space="preserve">Actual phải khớp số item thực nhập.</x:t>
        </x:is>
      </x:c>
      <x:c r="F11" t="inlineStr">
        <x:is>
          <x:t xml:space="preserve">90-Day Plan</x:t>
        </x:is>
      </x:c>
    </x:row>
    <x:row r="14">
      <x:c r="A14" s="41" t="inlineStr">
        <x:is>
          <x:t xml:space="preserve">Prompt mẫu giao cho AI</x:t>
        </x:is>
      </x:c>
      <x:c r="B14" s="1" t="n"/>
      <x:c r="C14" s="1" t="n"/>
      <x:c r="D14" s="1" t="n"/>
      <x:c r="E14" s="1" t="n"/>
      <x:c r="F14" s="1" t="n"/>
    </x:row>
    <x:row r="15" s="72" customFormat="1" ht="30" customHeight="1">
      <x:c r="A15" s="19" t="inlineStr">
        <x:is>
          <x:t xml:space="preserve">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t>
        </x:is>
      </x:c>
      <x:c r="B15" s="1" t="n"/>
      <x:c r="C15" s="1" t="n"/>
      <x:c r="D15" s="1" t="n"/>
      <x:c r="E15" s="1" t="n"/>
      <x:c r="F15" s="1" t="n"/>
    </x:row>
    <x:row r="16" s="72" customFormat="1" ht="30" customHeight="1">
      <x:c r="A16" s="1" t="n"/>
      <x:c r="F16" s="1" t="n"/>
    </x:row>
    <x:row r="17" s="72" customFormat="1" ht="30" customHeight="1">
      <x:c r="A17" s="1" t="n"/>
      <x:c r="F17" s="1" t="n"/>
    </x:row>
    <x:row r="18" s="72" customFormat="1" ht="30" customHeight="1">
      <x:c r="A18" s="1" t="n"/>
      <x:c r="F18" s="1" t="n"/>
    </x:row>
    <x:row r="19" s="72" customFormat="1" ht="30" customHeight="1">
      <x:c r="A19" s="1" t="n"/>
      <x:c r="F19" s="1" t="n"/>
    </x:row>
    <x:row r="20" s="72" customFormat="1" ht="30" customHeight="1">
      <x:c r="A20" s="1" t="n"/>
      <x:c r="F20" s="1" t="n"/>
    </x:row>
    <x:row r="21" s="72" customFormat="1" ht="30" customHeight="1">
      <x:c r="A21" s="1" t="n"/>
      <x:c r="B21" s="1" t="n"/>
      <x:c r="C21" s="1" t="n"/>
      <x:c r="D21" s="1" t="n"/>
      <x:c r="E21" s="1" t="n"/>
      <x:c r="F21" s="1" t="n"/>
    </x:row>
    <x:row r="23">
      <x:c r="A23" s="68" t="inlineStr">
        <x:is>
          <x:t xml:space="preserve">QUY TẮC HOÀN THÀNH MỖI DAY</x:t>
        </x:is>
      </x:c>
      <x:c r="B23" s="1" t="n"/>
      <x:c r="C23" s="1" t="n"/>
      <x:c r="D23" s="1" t="n"/>
      <x:c r="E23" s="1" t="n"/>
      <x:c r="F23" s="1" t="n"/>
    </x:row>
    <x:row r="24">
      <x:c r="A24" s="19" t="inlineStr">
        <x:is>
          <x:t xml:space="preserve">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t>
        </x:is>
      </x:c>
      <x:c r="B24" s="1" t="n"/>
      <x:c r="C24" s="1" t="n"/>
      <x:c r="D24" s="1" t="n"/>
      <x:c r="E24" s="1" t="n"/>
      <x:c r="F24" s="1" t="n"/>
    </x:row>
    <x:row r="25">
      <x:c r="A25" s="1" t="n"/>
      <x:c r="F25" s="1" t="n"/>
    </x:row>
    <x:row r="26">
      <x:c r="A26" s="1" t="n"/>
      <x:c r="F26" s="1" t="n"/>
    </x:row>
    <x:row r="27">
      <x:c r="A27" s="1" t="n"/>
      <x:c r="B27" s="1" t="n"/>
      <x:c r="C27" s="1" t="n"/>
      <x:c r="D27" s="1" t="n"/>
      <x:c r="E27" s="1" t="n"/>
      <x:c r="F27" s="1" t="n"/>
    </x:row>
  </x:sheetData>
  <x:mergeCells>
    <x:mergeCell ref="A24:F27"/>
    <x:mergeCell ref="A14:F14"/>
    <x:mergeCell ref="A1:F1"/>
    <x:mergeCell ref="A23:F23"/>
    <x:mergeCell ref="A15:F21"/>
  </x:mergeCells>
  <x:pageMargins left="0.7" right="0.7" top="0.75" bottom="0.75" header="0.3" footer="0.3"/>
</x:worksheet>
</file>

<file path=xl/worksheets/sheet11.xml><?xml version="1.0" encoding="utf-8"?>
<x:worksheet xmlns:x="http://schemas.openxmlformats.org/spreadsheetml/2006/main">
  <x:sheetFormatPr baseColWidth="8" defaultRowHeight="15"/>
  <x:cols>
    <x:col min="1" max="1" width="14" style="72" customWidth="1"/>
    <x:col min="2" max="2" width="8" style="72" customWidth="1"/>
    <x:col min="3" max="3" width="25" style="72" customWidth="1"/>
    <x:col min="4" max="4" width="30" style="72" customWidth="1"/>
    <x:col min="5" max="5" width="14" style="72" customWidth="1"/>
    <x:col min="6" max="6" width="14" style="72" customWidth="1"/>
    <x:col min="7" max="7" width="16" style="72" customWidth="1"/>
    <x:col min="8" max="8" width="14" style="72" customWidth="1"/>
    <x:col min="9" max="9" width="16" style="72" customWidth="1"/>
    <x:col min="10" max="10" width="18" style="72" customWidth="1"/>
    <x:col min="11" max="11" width="50" style="72" customWidth="1"/>
    <x:col min="12" max="12" width="45" style="72" customWidth="1"/>
    <x:col min="13" max="13" width="45" style="72" customWidth="1"/>
  </x:cols>
  <x:sheetData>
    <x:row r="1">
      <x:c r="A1" s="77" t="inlineStr">
        <x:is>
          <x:t xml:space="preserve">Date</x:t>
        </x:is>
      </x:c>
      <x:c r="B1" s="77" t="inlineStr">
        <x:is>
          <x:t xml:space="preserve">Day</x:t>
        </x:is>
      </x:c>
      <x:c r="C1" s="77" t="inlineStr">
        <x:is>
          <x:t xml:space="preserve">Phase</x:t>
        </x:is>
      </x:c>
      <x:c r="D1" s="77" t="inlineStr">
        <x:is>
          <x:t xml:space="preserve">Focus</x:t>
        </x:is>
      </x:c>
      <x:c r="E1" s="77" t="inlineStr">
        <x:is>
          <x:t xml:space="preserve">Quotes Added</x:t>
        </x:is>
      </x:c>
      <x:c r="F1" s="77" t="inlineStr">
        <x:is>
          <x:t xml:space="preserve">Stories Added</x:t>
        </x:is>
      </x:c>
      <x:c r="G1" s="77" t="inlineStr">
        <x:is>
          <x:t xml:space="preserve">Principles Added</x:t>
        </x:is>
      </x:c>
      <x:c r="H1" s="77" t="inlineStr">
        <x:is>
          <x:t xml:space="preserve">Sources Added</x:t>
        </x:is>
      </x:c>
      <x:c r="I1" s="77" t="inlineStr">
        <x:is>
          <x:t xml:space="preserve">Verification A/B</x:t>
        </x:is>
      </x:c>
      <x:c r="J1" s="77" t="inlineStr">
        <x:is>
          <x:t xml:space="preserve">Rejected / Disputed</x:t>
        </x:is>
      </x:c>
      <x:c r="K1" s="77" t="inlineStr">
        <x:is>
          <x:t xml:space="preserve">Key Discoveries</x:t>
        </x:is>
      </x:c>
      <x:c r="L1" s="77" t="inlineStr">
        <x:is>
          <x:t xml:space="preserve">Coverage Gaps Found</x:t>
        </x:is>
      </x:c>
      <x:c r="M1" s="77" t="inlineStr">
        <x:is>
          <x:t xml:space="preserve">Next Action</x:t>
        </x:is>
      </x:c>
    </x:row>
    <x:row r="2">
      <x:c r="A2" s="81" t="n"/>
      <x:c r="B2" s="81" t="n"/>
      <x:c r="C2" s="81" t="n"/>
      <x:c r="D2" s="81" t="n"/>
      <x:c r="E2" s="81" t="n"/>
      <x:c r="F2" s="81" t="n"/>
      <x:c r="G2" s="81" t="n"/>
      <x:c r="H2" s="81" t="n"/>
      <x:c r="I2" s="81" t="n"/>
      <x:c r="J2" s="81" t="n"/>
      <x:c r="K2" s="81" t="n"/>
      <x:c r="L2" s="81" t="n"/>
      <x:c r="M2" s="81" t="n"/>
    </x:row>
    <x:row r="3">
      <x:c r="A3" s="81" t="n"/>
      <x:c r="B3" s="81" t="n"/>
      <x:c r="C3" s="81" t="n"/>
      <x:c r="D3" s="81" t="n"/>
      <x:c r="E3" s="81" t="n"/>
      <x:c r="F3" s="81" t="n"/>
      <x:c r="G3" s="81" t="n"/>
      <x:c r="H3" s="81" t="n"/>
      <x:c r="I3" s="81" t="n"/>
      <x:c r="J3" s="81" t="n"/>
      <x:c r="K3" s="81" t="n"/>
      <x:c r="L3" s="81" t="n"/>
      <x:c r="M3" s="81" t="n"/>
    </x:row>
    <x:row r="4">
      <x:c r="A4" s="81" t="n"/>
      <x:c r="B4" s="81" t="n"/>
      <x:c r="C4" s="81" t="n"/>
      <x:c r="D4" s="81" t="n"/>
      <x:c r="E4" s="81" t="n"/>
      <x:c r="F4" s="81" t="n"/>
      <x:c r="G4" s="81" t="n"/>
      <x:c r="H4" s="81" t="n"/>
      <x:c r="I4" s="81" t="n"/>
      <x:c r="J4" s="81" t="n"/>
      <x:c r="K4" s="81" t="n"/>
      <x:c r="L4" s="81" t="n"/>
      <x:c r="M4" s="81" t="n"/>
    </x:row>
    <x:row r="5">
      <x:c r="A5" s="81" t="n"/>
      <x:c r="B5" s="81" t="n"/>
      <x:c r="C5" s="81" t="n"/>
      <x:c r="D5" s="81" t="n"/>
      <x:c r="E5" s="81" t="n"/>
      <x:c r="F5" s="81" t="n"/>
      <x:c r="G5" s="81" t="n"/>
      <x:c r="H5" s="81" t="n"/>
      <x:c r="I5" s="81" t="n"/>
      <x:c r="J5" s="81" t="n"/>
      <x:c r="K5" s="81" t="n"/>
      <x:c r="L5" s="81" t="n"/>
      <x:c r="M5" s="81" t="n"/>
    </x:row>
    <x:row r="6">
      <x:c r="A6" s="81" t="n"/>
      <x:c r="B6" s="81" t="n"/>
      <x:c r="C6" s="81" t="n"/>
      <x:c r="D6" s="81" t="n"/>
      <x:c r="E6" s="81" t="n"/>
      <x:c r="F6" s="81" t="n"/>
      <x:c r="G6" s="81" t="n"/>
      <x:c r="H6" s="81" t="n"/>
      <x:c r="I6" s="81" t="n"/>
      <x:c r="J6" s="81" t="n"/>
      <x:c r="K6" s="81" t="n"/>
      <x:c r="L6" s="81" t="n"/>
      <x:c r="M6" s="81" t="n"/>
    </x:row>
    <x:row r="7">
      <x:c r="A7" s="81" t="n"/>
      <x:c r="B7" s="81" t="n"/>
      <x:c r="C7" s="81" t="n"/>
      <x:c r="D7" s="81" t="n"/>
      <x:c r="E7" s="81" t="n"/>
      <x:c r="F7" s="81" t="n"/>
      <x:c r="G7" s="81" t="n"/>
      <x:c r="H7" s="81" t="n"/>
      <x:c r="I7" s="81" t="n"/>
      <x:c r="J7" s="81" t="n"/>
      <x:c r="K7" s="81" t="n"/>
      <x:c r="L7" s="81" t="n"/>
      <x:c r="M7" s="81" t="n"/>
    </x:row>
    <x:row r="8">
      <x:c r="A8" s="81" t="n"/>
      <x:c r="B8" s="81" t="n"/>
      <x:c r="C8" s="81" t="n"/>
      <x:c r="D8" s="81" t="n"/>
      <x:c r="E8" s="81" t="n"/>
      <x:c r="F8" s="81" t="n"/>
      <x:c r="G8" s="81" t="n"/>
      <x:c r="H8" s="81" t="n"/>
      <x:c r="I8" s="81" t="n"/>
      <x:c r="J8" s="81" t="n"/>
      <x:c r="K8" s="81" t="n"/>
      <x:c r="L8" s="81" t="n"/>
      <x:c r="M8" s="81" t="n"/>
    </x:row>
    <x:row r="9">
      <x:c r="A9" s="81" t="n"/>
      <x:c r="B9" s="81" t="n"/>
      <x:c r="C9" s="81" t="n"/>
      <x:c r="D9" s="81" t="n"/>
      <x:c r="E9" s="81" t="n"/>
      <x:c r="F9" s="81" t="n"/>
      <x:c r="G9" s="81" t="n"/>
      <x:c r="H9" s="81" t="n"/>
      <x:c r="I9" s="81" t="n"/>
      <x:c r="J9" s="81" t="n"/>
      <x:c r="K9" s="81" t="n"/>
      <x:c r="L9" s="81" t="n"/>
      <x:c r="M9" s="81" t="n"/>
    </x:row>
    <x:row r="10">
      <x:c r="A10" s="81" t="n"/>
      <x:c r="B10" s="81" t="n"/>
      <x:c r="C10" s="81" t="n"/>
      <x:c r="D10" s="81" t="n"/>
      <x:c r="E10" s="81" t="n"/>
      <x:c r="F10" s="81" t="n"/>
      <x:c r="G10" s="81" t="n"/>
      <x:c r="H10" s="81" t="n"/>
      <x:c r="I10" s="81" t="n"/>
      <x:c r="J10" s="81" t="n"/>
      <x:c r="K10" s="81" t="n"/>
      <x:c r="L10" s="81" t="n"/>
      <x:c r="M10" s="81" t="n"/>
    </x:row>
    <x:row r="11">
      <x:c r="A11" s="81" t="n"/>
      <x:c r="B11" s="81" t="n"/>
      <x:c r="C11" s="81" t="n"/>
      <x:c r="D11" s="81" t="n"/>
      <x:c r="E11" s="81" t="n"/>
      <x:c r="F11" s="81" t="n"/>
      <x:c r="G11" s="81" t="n"/>
      <x:c r="H11" s="81" t="n"/>
      <x:c r="I11" s="81" t="n"/>
      <x:c r="J11" s="81" t="n"/>
      <x:c r="K11" s="81" t="n"/>
      <x:c r="L11" s="81" t="n"/>
      <x:c r="M11" s="81" t="n"/>
    </x:row>
    <x:row r="12">
      <x:c r="A12" s="81" t="n"/>
      <x:c r="B12" s="81" t="n"/>
      <x:c r="C12" s="81" t="n"/>
      <x:c r="D12" s="81" t="n"/>
      <x:c r="E12" s="81" t="n"/>
      <x:c r="F12" s="81" t="n"/>
      <x:c r="G12" s="81" t="n"/>
      <x:c r="H12" s="81" t="n"/>
      <x:c r="I12" s="81" t="n"/>
      <x:c r="J12" s="81" t="n"/>
      <x:c r="K12" s="81" t="n"/>
      <x:c r="L12" s="81" t="n"/>
      <x:c r="M12" s="81" t="n"/>
    </x:row>
    <x:row r="13">
      <x:c r="A13" s="81" t="n"/>
      <x:c r="B13" s="81" t="n"/>
      <x:c r="C13" s="81" t="n"/>
      <x:c r="D13" s="81" t="n"/>
      <x:c r="E13" s="81" t="n"/>
      <x:c r="F13" s="81" t="n"/>
      <x:c r="G13" s="81" t="n"/>
      <x:c r="H13" s="81" t="n"/>
      <x:c r="I13" s="81" t="n"/>
      <x:c r="J13" s="81" t="n"/>
      <x:c r="K13" s="81" t="n"/>
      <x:c r="L13" s="81" t="n"/>
      <x:c r="M13" s="81" t="n"/>
    </x:row>
    <x:row r="14">
      <x:c r="A14" s="81" t="n"/>
      <x:c r="B14" s="81" t="n"/>
      <x:c r="C14" s="81" t="n"/>
      <x:c r="D14" s="81" t="n"/>
      <x:c r="E14" s="81" t="n"/>
      <x:c r="F14" s="81" t="n"/>
      <x:c r="G14" s="81" t="n"/>
      <x:c r="H14" s="81" t="n"/>
      <x:c r="I14" s="81" t="n"/>
      <x:c r="J14" s="81" t="n"/>
      <x:c r="K14" s="81" t="n"/>
      <x:c r="L14" s="81" t="n"/>
      <x:c r="M14" s="81" t="n"/>
    </x:row>
    <x:row r="15">
      <x:c r="A15" s="81" t="n"/>
      <x:c r="B15" s="81" t="n"/>
      <x:c r="C15" s="81" t="n"/>
      <x:c r="D15" s="81" t="n"/>
      <x:c r="E15" s="81" t="n"/>
      <x:c r="F15" s="81" t="n"/>
      <x:c r="G15" s="81" t="n"/>
      <x:c r="H15" s="81" t="n"/>
      <x:c r="I15" s="81" t="n"/>
      <x:c r="J15" s="81" t="n"/>
      <x:c r="K15" s="81" t="n"/>
      <x:c r="L15" s="81" t="n"/>
      <x:c r="M15" s="81" t="n"/>
    </x:row>
    <x:row r="16">
      <x:c r="A16" s="81" t="n"/>
      <x:c r="B16" s="81" t="n"/>
      <x:c r="C16" s="81" t="n"/>
      <x:c r="D16" s="81" t="n"/>
      <x:c r="E16" s="81" t="n"/>
      <x:c r="F16" s="81" t="n"/>
      <x:c r="G16" s="81" t="n"/>
      <x:c r="H16" s="81" t="n"/>
      <x:c r="I16" s="81" t="n"/>
      <x:c r="J16" s="81" t="n"/>
      <x:c r="K16" s="81" t="n"/>
      <x:c r="L16" s="81" t="n"/>
      <x:c r="M16" s="81" t="n"/>
    </x:row>
    <x:row r="17">
      <x:c r="A17" s="81" t="n"/>
      <x:c r="B17" s="81" t="n"/>
      <x:c r="C17" s="81" t="n"/>
      <x:c r="D17" s="81" t="n"/>
      <x:c r="E17" s="81" t="n"/>
      <x:c r="F17" s="81" t="n"/>
      <x:c r="G17" s="81" t="n"/>
      <x:c r="H17" s="81" t="n"/>
      <x:c r="I17" s="81" t="n"/>
      <x:c r="J17" s="81" t="n"/>
      <x:c r="K17" s="81" t="n"/>
      <x:c r="L17" s="81" t="n"/>
      <x:c r="M17" s="81" t="n"/>
    </x:row>
    <x:row r="18">
      <x:c r="A18" s="81" t="n"/>
      <x:c r="B18" s="81" t="n"/>
      <x:c r="C18" s="81" t="n"/>
      <x:c r="D18" s="81" t="n"/>
      <x:c r="E18" s="81" t="n"/>
      <x:c r="F18" s="81" t="n"/>
      <x:c r="G18" s="81" t="n"/>
      <x:c r="H18" s="81" t="n"/>
      <x:c r="I18" s="81" t="n"/>
      <x:c r="J18" s="81" t="n"/>
      <x:c r="K18" s="81" t="n"/>
      <x:c r="L18" s="81" t="n"/>
      <x:c r="M18" s="81" t="n"/>
    </x:row>
    <x:row r="19">
      <x:c r="A19" s="81" t="n"/>
      <x:c r="B19" s="81" t="n"/>
      <x:c r="C19" s="81" t="n"/>
      <x:c r="D19" s="81" t="n"/>
      <x:c r="E19" s="81" t="n"/>
      <x:c r="F19" s="81" t="n"/>
      <x:c r="G19" s="81" t="n"/>
      <x:c r="H19" s="81" t="n"/>
      <x:c r="I19" s="81" t="n"/>
      <x:c r="J19" s="81" t="n"/>
      <x:c r="K19" s="81" t="n"/>
      <x:c r="L19" s="81" t="n"/>
      <x:c r="M19" s="81" t="n"/>
    </x:row>
    <x:row r="20">
      <x:c r="A20" s="81" t="n"/>
      <x:c r="B20" s="81" t="n"/>
      <x:c r="C20" s="81" t="n"/>
      <x:c r="D20" s="81" t="n"/>
      <x:c r="E20" s="81" t="n"/>
      <x:c r="F20" s="81" t="n"/>
      <x:c r="G20" s="81" t="n"/>
      <x:c r="H20" s="81" t="n"/>
      <x:c r="I20" s="81" t="n"/>
      <x:c r="J20" s="81" t="n"/>
      <x:c r="K20" s="81" t="n"/>
      <x:c r="L20" s="81" t="n"/>
      <x:c r="M20" s="81" t="n"/>
    </x:row>
    <x:row r="21">
      <x:c r="A21" s="81" t="n"/>
      <x:c r="B21" s="81" t="n"/>
      <x:c r="C21" s="81" t="n"/>
      <x:c r="D21" s="81" t="n"/>
      <x:c r="E21" s="81" t="n"/>
      <x:c r="F21" s="81" t="n"/>
      <x:c r="G21" s="81" t="n"/>
      <x:c r="H21" s="81" t="n"/>
      <x:c r="I21" s="81" t="n"/>
      <x:c r="J21" s="81" t="n"/>
      <x:c r="K21" s="81" t="n"/>
      <x:c r="L21" s="81" t="n"/>
      <x:c r="M21" s="81" t="n"/>
    </x:row>
    <x:row r="22">
      <x:c r="A22" s="81" t="n"/>
      <x:c r="B22" s="81" t="n"/>
      <x:c r="C22" s="81" t="n"/>
      <x:c r="D22" s="81" t="n"/>
      <x:c r="E22" s="81" t="n"/>
      <x:c r="F22" s="81" t="n"/>
      <x:c r="G22" s="81" t="n"/>
      <x:c r="H22" s="81" t="n"/>
      <x:c r="I22" s="81" t="n"/>
      <x:c r="J22" s="81" t="n"/>
      <x:c r="K22" s="81" t="n"/>
      <x:c r="L22" s="81" t="n"/>
      <x:c r="M22" s="81" t="n"/>
    </x:row>
    <x:row r="23">
      <x:c r="A23" s="81" t="n"/>
      <x:c r="B23" s="81" t="n"/>
      <x:c r="C23" s="81" t="n"/>
      <x:c r="D23" s="81" t="n"/>
      <x:c r="E23" s="81" t="n"/>
      <x:c r="F23" s="81" t="n"/>
      <x:c r="G23" s="81" t="n"/>
      <x:c r="H23" s="81" t="n"/>
      <x:c r="I23" s="81" t="n"/>
      <x:c r="J23" s="81" t="n"/>
      <x:c r="K23" s="81" t="n"/>
      <x:c r="L23" s="81" t="n"/>
      <x:c r="M23" s="81" t="n"/>
    </x:row>
    <x:row r="24">
      <x:c r="A24" s="81" t="n"/>
      <x:c r="B24" s="81" t="n"/>
      <x:c r="C24" s="81" t="n"/>
      <x:c r="D24" s="81" t="n"/>
      <x:c r="E24" s="81" t="n"/>
      <x:c r="F24" s="81" t="n"/>
      <x:c r="G24" s="81" t="n"/>
      <x:c r="H24" s="81" t="n"/>
      <x:c r="I24" s="81" t="n"/>
      <x:c r="J24" s="81" t="n"/>
      <x:c r="K24" s="81" t="n"/>
      <x:c r="L24" s="81" t="n"/>
      <x:c r="M24" s="81" t="n"/>
    </x:row>
    <x:row r="25">
      <x:c r="A25" s="81" t="n"/>
      <x:c r="B25" s="81" t="n"/>
      <x:c r="C25" s="81" t="n"/>
      <x:c r="D25" s="81" t="n"/>
      <x:c r="E25" s="81" t="n"/>
      <x:c r="F25" s="81" t="n"/>
      <x:c r="G25" s="81" t="n"/>
      <x:c r="H25" s="81" t="n"/>
      <x:c r="I25" s="81" t="n"/>
      <x:c r="J25" s="81" t="n"/>
      <x:c r="K25" s="81" t="n"/>
      <x:c r="L25" s="81" t="n"/>
      <x:c r="M25" s="81" t="n"/>
    </x:row>
    <x:row r="26">
      <x:c r="A26" s="81" t="n"/>
      <x:c r="B26" s="81" t="n"/>
      <x:c r="C26" s="81" t="n"/>
      <x:c r="D26" s="81" t="n"/>
      <x:c r="E26" s="81" t="n"/>
      <x:c r="F26" s="81" t="n"/>
      <x:c r="G26" s="81" t="n"/>
      <x:c r="H26" s="81" t="n"/>
      <x:c r="I26" s="81" t="n"/>
      <x:c r="J26" s="81" t="n"/>
      <x:c r="K26" s="81" t="n"/>
      <x:c r="L26" s="81" t="n"/>
      <x:c r="M26" s="81" t="n"/>
    </x:row>
    <x:row r="27">
      <x:c r="A27" s="81" t="n"/>
      <x:c r="B27" s="81" t="n"/>
      <x:c r="C27" s="81" t="n"/>
      <x:c r="D27" s="81" t="n"/>
      <x:c r="E27" s="81" t="n"/>
      <x:c r="F27" s="81" t="n"/>
      <x:c r="G27" s="81" t="n"/>
      <x:c r="H27" s="81" t="n"/>
      <x:c r="I27" s="81" t="n"/>
      <x:c r="J27" s="81" t="n"/>
      <x:c r="K27" s="81" t="n"/>
      <x:c r="L27" s="81" t="n"/>
      <x:c r="M27" s="81" t="n"/>
    </x:row>
    <x:row r="28">
      <x:c r="A28" s="81" t="n"/>
      <x:c r="B28" s="81" t="n"/>
      <x:c r="C28" s="81" t="n"/>
      <x:c r="D28" s="81" t="n"/>
      <x:c r="E28" s="81" t="n"/>
      <x:c r="F28" s="81" t="n"/>
      <x:c r="G28" s="81" t="n"/>
      <x:c r="H28" s="81" t="n"/>
      <x:c r="I28" s="81" t="n"/>
      <x:c r="J28" s="81" t="n"/>
      <x:c r="K28" s="81" t="n"/>
      <x:c r="L28" s="81" t="n"/>
      <x:c r="M28" s="81" t="n"/>
    </x:row>
    <x:row r="29">
      <x:c r="A29" s="81" t="n"/>
      <x:c r="B29" s="81" t="n"/>
      <x:c r="C29" s="81" t="n"/>
      <x:c r="D29" s="81" t="n"/>
      <x:c r="E29" s="81" t="n"/>
      <x:c r="F29" s="81" t="n"/>
      <x:c r="G29" s="81" t="n"/>
      <x:c r="H29" s="81" t="n"/>
      <x:c r="I29" s="81" t="n"/>
      <x:c r="J29" s="81" t="n"/>
      <x:c r="K29" s="81" t="n"/>
      <x:c r="L29" s="81" t="n"/>
      <x:c r="M29" s="81" t="n"/>
    </x:row>
    <x:row r="30">
      <x:c r="A30" s="81" t="n"/>
      <x:c r="B30" s="81" t="n"/>
      <x:c r="C30" s="81" t="n"/>
      <x:c r="D30" s="81" t="n"/>
      <x:c r="E30" s="81" t="n"/>
      <x:c r="F30" s="81" t="n"/>
      <x:c r="G30" s="81" t="n"/>
      <x:c r="H30" s="81" t="n"/>
      <x:c r="I30" s="81" t="n"/>
      <x:c r="J30" s="81" t="n"/>
      <x:c r="K30" s="81" t="n"/>
      <x:c r="L30" s="81" t="n"/>
      <x:c r="M30" s="81" t="n"/>
    </x:row>
    <x:row r="31">
      <x:c r="A31" s="81" t="n"/>
      <x:c r="B31" s="81" t="n"/>
      <x:c r="C31" s="81" t="n"/>
      <x:c r="D31" s="81" t="n"/>
      <x:c r="E31" s="81" t="n"/>
      <x:c r="F31" s="81" t="n"/>
      <x:c r="G31" s="81" t="n"/>
      <x:c r="H31" s="81" t="n"/>
      <x:c r="I31" s="81" t="n"/>
      <x:c r="J31" s="81" t="n"/>
      <x:c r="K31" s="81" t="n"/>
      <x:c r="L31" s="81" t="n"/>
      <x:c r="M31" s="81" t="n"/>
    </x:row>
    <x:row r="32">
      <x:c r="A32" s="81" t="n"/>
      <x:c r="B32" s="81" t="n"/>
      <x:c r="C32" s="81" t="n"/>
      <x:c r="D32" s="81" t="n"/>
      <x:c r="E32" s="81" t="n"/>
      <x:c r="F32" s="81" t="n"/>
      <x:c r="G32" s="81" t="n"/>
      <x:c r="H32" s="81" t="n"/>
      <x:c r="I32" s="81" t="n"/>
      <x:c r="J32" s="81" t="n"/>
      <x:c r="K32" s="81" t="n"/>
      <x:c r="L32" s="81" t="n"/>
      <x:c r="M32" s="81" t="n"/>
    </x:row>
    <x:row r="33">
      <x:c r="A33" s="81" t="n"/>
      <x:c r="B33" s="81" t="n"/>
      <x:c r="C33" s="81" t="n"/>
      <x:c r="D33" s="81" t="n"/>
      <x:c r="E33" s="81" t="n"/>
      <x:c r="F33" s="81" t="n"/>
      <x:c r="G33" s="81" t="n"/>
      <x:c r="H33" s="81" t="n"/>
      <x:c r="I33" s="81" t="n"/>
      <x:c r="J33" s="81" t="n"/>
      <x:c r="K33" s="81" t="n"/>
      <x:c r="L33" s="81" t="n"/>
      <x:c r="M33" s="81" t="n"/>
    </x:row>
    <x:row r="34">
      <x:c r="A34" s="81" t="n"/>
      <x:c r="B34" s="81" t="n"/>
      <x:c r="C34" s="81" t="n"/>
      <x:c r="D34" s="81" t="n"/>
      <x:c r="E34" s="81" t="n"/>
      <x:c r="F34" s="81" t="n"/>
      <x:c r="G34" s="81" t="n"/>
      <x:c r="H34" s="81" t="n"/>
      <x:c r="I34" s="81" t="n"/>
      <x:c r="J34" s="81" t="n"/>
      <x:c r="K34" s="81" t="n"/>
      <x:c r="L34" s="81" t="n"/>
      <x:c r="M34" s="81" t="n"/>
    </x:row>
    <x:row r="35">
      <x:c r="A35" s="81" t="n"/>
      <x:c r="B35" s="81" t="n"/>
      <x:c r="C35" s="81" t="n"/>
      <x:c r="D35" s="81" t="n"/>
      <x:c r="E35" s="81" t="n"/>
      <x:c r="F35" s="81" t="n"/>
      <x:c r="G35" s="81" t="n"/>
      <x:c r="H35" s="81" t="n"/>
      <x:c r="I35" s="81" t="n"/>
      <x:c r="J35" s="81" t="n"/>
      <x:c r="K35" s="81" t="n"/>
      <x:c r="L35" s="81" t="n"/>
      <x:c r="M35" s="81" t="n"/>
    </x:row>
    <x:row r="36">
      <x:c r="A36" s="81" t="n"/>
      <x:c r="B36" s="81" t="n"/>
      <x:c r="C36" s="81" t="n"/>
      <x:c r="D36" s="81" t="n"/>
      <x:c r="E36" s="81" t="n"/>
      <x:c r="F36" s="81" t="n"/>
      <x:c r="G36" s="81" t="n"/>
      <x:c r="H36" s="81" t="n"/>
      <x:c r="I36" s="81" t="n"/>
      <x:c r="J36" s="81" t="n"/>
      <x:c r="K36" s="81" t="n"/>
      <x:c r="L36" s="81" t="n"/>
      <x:c r="M36" s="81" t="n"/>
    </x:row>
    <x:row r="37">
      <x:c r="A37" s="81" t="n"/>
      <x:c r="B37" s="81" t="n"/>
      <x:c r="C37" s="81" t="n"/>
      <x:c r="D37" s="81" t="n"/>
      <x:c r="E37" s="81" t="n"/>
      <x:c r="F37" s="81" t="n"/>
      <x:c r="G37" s="81" t="n"/>
      <x:c r="H37" s="81" t="n"/>
      <x:c r="I37" s="81" t="n"/>
      <x:c r="J37" s="81" t="n"/>
      <x:c r="K37" s="81" t="n"/>
      <x:c r="L37" s="81" t="n"/>
      <x:c r="M37" s="81" t="n"/>
    </x:row>
    <x:row r="38">
      <x:c r="A38" s="81" t="n"/>
      <x:c r="B38" s="81" t="n"/>
      <x:c r="C38" s="81" t="n"/>
      <x:c r="D38" s="81" t="n"/>
      <x:c r="E38" s="81" t="n"/>
      <x:c r="F38" s="81" t="n"/>
      <x:c r="G38" s="81" t="n"/>
      <x:c r="H38" s="81" t="n"/>
      <x:c r="I38" s="81" t="n"/>
      <x:c r="J38" s="81" t="n"/>
      <x:c r="K38" s="81" t="n"/>
      <x:c r="L38" s="81" t="n"/>
      <x:c r="M38" s="81" t="n"/>
    </x:row>
    <x:row r="39">
      <x:c r="A39" s="81" t="n"/>
      <x:c r="B39" s="81" t="n"/>
      <x:c r="C39" s="81" t="n"/>
      <x:c r="D39" s="81" t="n"/>
      <x:c r="E39" s="81" t="n"/>
      <x:c r="F39" s="81" t="n"/>
      <x:c r="G39" s="81" t="n"/>
      <x:c r="H39" s="81" t="n"/>
      <x:c r="I39" s="81" t="n"/>
      <x:c r="J39" s="81" t="n"/>
      <x:c r="K39" s="81" t="n"/>
      <x:c r="L39" s="81" t="n"/>
      <x:c r="M39" s="81" t="n"/>
    </x:row>
    <x:row r="40">
      <x:c r="A40" s="81" t="n"/>
      <x:c r="B40" s="81" t="n"/>
      <x:c r="C40" s="81" t="n"/>
      <x:c r="D40" s="81" t="n"/>
      <x:c r="E40" s="81" t="n"/>
      <x:c r="F40" s="81" t="n"/>
      <x:c r="G40" s="81" t="n"/>
      <x:c r="H40" s="81" t="n"/>
      <x:c r="I40" s="81" t="n"/>
      <x:c r="J40" s="81" t="n"/>
      <x:c r="K40" s="81" t="n"/>
      <x:c r="L40" s="81" t="n"/>
      <x:c r="M40" s="81" t="n"/>
    </x:row>
    <x:row r="41">
      <x:c r="A41" s="81" t="n"/>
      <x:c r="B41" s="81" t="n"/>
      <x:c r="C41" s="81" t="n"/>
      <x:c r="D41" s="81" t="n"/>
      <x:c r="E41" s="81" t="n"/>
      <x:c r="F41" s="81" t="n"/>
      <x:c r="G41" s="81" t="n"/>
      <x:c r="H41" s="81" t="n"/>
      <x:c r="I41" s="81" t="n"/>
      <x:c r="J41" s="81" t="n"/>
      <x:c r="K41" s="81" t="n"/>
      <x:c r="L41" s="81" t="n"/>
      <x:c r="M41" s="81" t="n"/>
    </x:row>
    <x:row r="42">
      <x:c r="A42" s="81" t="n"/>
      <x:c r="B42" s="81" t="n"/>
      <x:c r="C42" s="81" t="n"/>
      <x:c r="D42" s="81" t="n"/>
      <x:c r="E42" s="81" t="n"/>
      <x:c r="F42" s="81" t="n"/>
      <x:c r="G42" s="81" t="n"/>
      <x:c r="H42" s="81" t="n"/>
      <x:c r="I42" s="81" t="n"/>
      <x:c r="J42" s="81" t="n"/>
      <x:c r="K42" s="81" t="n"/>
      <x:c r="L42" s="81" t="n"/>
      <x:c r="M42" s="81" t="n"/>
    </x:row>
    <x:row r="43">
      <x:c r="A43" s="81" t="n"/>
      <x:c r="B43" s="81" t="n"/>
      <x:c r="C43" s="81" t="n"/>
      <x:c r="D43" s="81" t="n"/>
      <x:c r="E43" s="81" t="n"/>
      <x:c r="F43" s="81" t="n"/>
      <x:c r="G43" s="81" t="n"/>
      <x:c r="H43" s="81" t="n"/>
      <x:c r="I43" s="81" t="n"/>
      <x:c r="J43" s="81" t="n"/>
      <x:c r="K43" s="81" t="n"/>
      <x:c r="L43" s="81" t="n"/>
      <x:c r="M43" s="81" t="n"/>
    </x:row>
    <x:row r="44">
      <x:c r="A44" s="81" t="n"/>
      <x:c r="B44" s="81" t="n"/>
      <x:c r="C44" s="81" t="n"/>
      <x:c r="D44" s="81" t="n"/>
      <x:c r="E44" s="81" t="n"/>
      <x:c r="F44" s="81" t="n"/>
      <x:c r="G44" s="81" t="n"/>
      <x:c r="H44" s="81" t="n"/>
      <x:c r="I44" s="81" t="n"/>
      <x:c r="J44" s="81" t="n"/>
      <x:c r="K44" s="81" t="n"/>
      <x:c r="L44" s="81" t="n"/>
      <x:c r="M44" s="81" t="n"/>
    </x:row>
    <x:row r="45">
      <x:c r="A45" s="81" t="n"/>
      <x:c r="B45" s="81" t="n"/>
      <x:c r="C45" s="81" t="n"/>
      <x:c r="D45" s="81" t="n"/>
      <x:c r="E45" s="81" t="n"/>
      <x:c r="F45" s="81" t="n"/>
      <x:c r="G45" s="81" t="n"/>
      <x:c r="H45" s="81" t="n"/>
      <x:c r="I45" s="81" t="n"/>
      <x:c r="J45" s="81" t="n"/>
      <x:c r="K45" s="81" t="n"/>
      <x:c r="L45" s="81" t="n"/>
      <x:c r="M45" s="81" t="n"/>
    </x:row>
    <x:row r="46">
      <x:c r="A46" s="81" t="n"/>
      <x:c r="B46" s="81" t="n"/>
      <x:c r="C46" s="81" t="n"/>
      <x:c r="D46" s="81" t="n"/>
      <x:c r="E46" s="81" t="n"/>
      <x:c r="F46" s="81" t="n"/>
      <x:c r="G46" s="81" t="n"/>
      <x:c r="H46" s="81" t="n"/>
      <x:c r="I46" s="81" t="n"/>
      <x:c r="J46" s="81" t="n"/>
      <x:c r="K46" s="81" t="n"/>
      <x:c r="L46" s="81" t="n"/>
      <x:c r="M46" s="81" t="n"/>
    </x:row>
    <x:row r="47">
      <x:c r="A47" s="81" t="n"/>
      <x:c r="B47" s="81" t="n"/>
      <x:c r="C47" s="81" t="n"/>
      <x:c r="D47" s="81" t="n"/>
      <x:c r="E47" s="81" t="n"/>
      <x:c r="F47" s="81" t="n"/>
      <x:c r="G47" s="81" t="n"/>
      <x:c r="H47" s="81" t="n"/>
      <x:c r="I47" s="81" t="n"/>
      <x:c r="J47" s="81" t="n"/>
      <x:c r="K47" s="81" t="n"/>
      <x:c r="L47" s="81" t="n"/>
      <x:c r="M47" s="81" t="n"/>
    </x:row>
    <x:row r="48">
      <x:c r="A48" s="81" t="n"/>
      <x:c r="B48" s="81" t="n"/>
      <x:c r="C48" s="81" t="n"/>
      <x:c r="D48" s="81" t="n"/>
      <x:c r="E48" s="81" t="n"/>
      <x:c r="F48" s="81" t="n"/>
      <x:c r="G48" s="81" t="n"/>
      <x:c r="H48" s="81" t="n"/>
      <x:c r="I48" s="81" t="n"/>
      <x:c r="J48" s="81" t="n"/>
      <x:c r="K48" s="81" t="n"/>
      <x:c r="L48" s="81" t="n"/>
      <x:c r="M48" s="81" t="n"/>
    </x:row>
    <x:row r="49">
      <x:c r="A49" s="81" t="n"/>
      <x:c r="B49" s="81" t="n"/>
      <x:c r="C49" s="81" t="n"/>
      <x:c r="D49" s="81" t="n"/>
      <x:c r="E49" s="81" t="n"/>
      <x:c r="F49" s="81" t="n"/>
      <x:c r="G49" s="81" t="n"/>
      <x:c r="H49" s="81" t="n"/>
      <x:c r="I49" s="81" t="n"/>
      <x:c r="J49" s="81" t="n"/>
      <x:c r="K49" s="81" t="n"/>
      <x:c r="L49" s="81" t="n"/>
      <x:c r="M49" s="81" t="n"/>
    </x:row>
    <x:row r="50">
      <x:c r="A50" s="81" t="n"/>
      <x:c r="B50" s="81" t="n"/>
      <x:c r="C50" s="81" t="n"/>
      <x:c r="D50" s="81" t="n"/>
      <x:c r="E50" s="81" t="n"/>
      <x:c r="F50" s="81" t="n"/>
      <x:c r="G50" s="81" t="n"/>
      <x:c r="H50" s="81" t="n"/>
      <x:c r="I50" s="81" t="n"/>
      <x:c r="J50" s="81" t="n"/>
      <x:c r="K50" s="81" t="n"/>
      <x:c r="L50" s="81" t="n"/>
      <x:c r="M50" s="81" t="n"/>
    </x:row>
    <x:row r="51">
      <x:c r="A51" s="81" t="n"/>
      <x:c r="B51" s="81" t="n"/>
      <x:c r="C51" s="81" t="n"/>
      <x:c r="D51" s="81" t="n"/>
      <x:c r="E51" s="81" t="n"/>
      <x:c r="F51" s="81" t="n"/>
      <x:c r="G51" s="81" t="n"/>
      <x:c r="H51" s="81" t="n"/>
      <x:c r="I51" s="81" t="n"/>
      <x:c r="J51" s="81" t="n"/>
      <x:c r="K51" s="81" t="n"/>
      <x:c r="L51" s="81" t="n"/>
      <x:c r="M51" s="81" t="n"/>
    </x:row>
    <x:row r="52">
      <x:c r="A52" s="81" t="n"/>
      <x:c r="B52" s="81" t="n"/>
      <x:c r="C52" s="81" t="n"/>
      <x:c r="D52" s="81" t="n"/>
      <x:c r="E52" s="81" t="n"/>
      <x:c r="F52" s="81" t="n"/>
      <x:c r="G52" s="81" t="n"/>
      <x:c r="H52" s="81" t="n"/>
      <x:c r="I52" s="81" t="n"/>
      <x:c r="J52" s="81" t="n"/>
      <x:c r="K52" s="81" t="n"/>
      <x:c r="L52" s="81" t="n"/>
      <x:c r="M52" s="81" t="n"/>
    </x:row>
    <x:row r="53">
      <x:c r="A53" s="81" t="n"/>
      <x:c r="B53" s="81" t="n"/>
      <x:c r="C53" s="81" t="n"/>
      <x:c r="D53" s="81" t="n"/>
      <x:c r="E53" s="81" t="n"/>
      <x:c r="F53" s="81" t="n"/>
      <x:c r="G53" s="81" t="n"/>
      <x:c r="H53" s="81" t="n"/>
      <x:c r="I53" s="81" t="n"/>
      <x:c r="J53" s="81" t="n"/>
      <x:c r="K53" s="81" t="n"/>
      <x:c r="L53" s="81" t="n"/>
      <x:c r="M53" s="81" t="n"/>
    </x:row>
    <x:row r="54">
      <x:c r="A54" s="81" t="n"/>
      <x:c r="B54" s="81" t="n"/>
      <x:c r="C54" s="81" t="n"/>
      <x:c r="D54" s="81" t="n"/>
      <x:c r="E54" s="81" t="n"/>
      <x:c r="F54" s="81" t="n"/>
      <x:c r="G54" s="81" t="n"/>
      <x:c r="H54" s="81" t="n"/>
      <x:c r="I54" s="81" t="n"/>
      <x:c r="J54" s="81" t="n"/>
      <x:c r="K54" s="81" t="n"/>
      <x:c r="L54" s="81" t="n"/>
      <x:c r="M54" s="81" t="n"/>
    </x:row>
    <x:row r="55">
      <x:c r="A55" s="81" t="n"/>
      <x:c r="B55" s="81" t="n"/>
      <x:c r="C55" s="81" t="n"/>
      <x:c r="D55" s="81" t="n"/>
      <x:c r="E55" s="81" t="n"/>
      <x:c r="F55" s="81" t="n"/>
      <x:c r="G55" s="81" t="n"/>
      <x:c r="H55" s="81" t="n"/>
      <x:c r="I55" s="81" t="n"/>
      <x:c r="J55" s="81" t="n"/>
      <x:c r="K55" s="81" t="n"/>
      <x:c r="L55" s="81" t="n"/>
      <x:c r="M55" s="81" t="n"/>
    </x:row>
    <x:row r="56">
      <x:c r="A56" s="81" t="n"/>
      <x:c r="B56" s="81" t="n"/>
      <x:c r="C56" s="81" t="n"/>
      <x:c r="D56" s="81" t="n"/>
      <x:c r="E56" s="81" t="n"/>
      <x:c r="F56" s="81" t="n"/>
      <x:c r="G56" s="81" t="n"/>
      <x:c r="H56" s="81" t="n"/>
      <x:c r="I56" s="81" t="n"/>
      <x:c r="J56" s="81" t="n"/>
      <x:c r="K56" s="81" t="n"/>
      <x:c r="L56" s="81" t="n"/>
      <x:c r="M56" s="81" t="n"/>
    </x:row>
    <x:row r="57">
      <x:c r="A57" s="81" t="n"/>
      <x:c r="B57" s="81" t="n"/>
      <x:c r="C57" s="81" t="n"/>
      <x:c r="D57" s="81" t="n"/>
      <x:c r="E57" s="81" t="n"/>
      <x:c r="F57" s="81" t="n"/>
      <x:c r="G57" s="81" t="n"/>
      <x:c r="H57" s="81" t="n"/>
      <x:c r="I57" s="81" t="n"/>
      <x:c r="J57" s="81" t="n"/>
      <x:c r="K57" s="81" t="n"/>
      <x:c r="L57" s="81" t="n"/>
      <x:c r="M57" s="81" t="n"/>
    </x:row>
    <x:row r="58">
      <x:c r="A58" s="81" t="n"/>
      <x:c r="B58" s="81" t="n"/>
      <x:c r="C58" s="81" t="n"/>
      <x:c r="D58" s="81" t="n"/>
      <x:c r="E58" s="81" t="n"/>
      <x:c r="F58" s="81" t="n"/>
      <x:c r="G58" s="81" t="n"/>
      <x:c r="H58" s="81" t="n"/>
      <x:c r="I58" s="81" t="n"/>
      <x:c r="J58" s="81" t="n"/>
      <x:c r="K58" s="81" t="n"/>
      <x:c r="L58" s="81" t="n"/>
      <x:c r="M58" s="81" t="n"/>
    </x:row>
    <x:row r="59">
      <x:c r="A59" s="81" t="n"/>
      <x:c r="B59" s="81" t="n"/>
      <x:c r="C59" s="81" t="n"/>
      <x:c r="D59" s="81" t="n"/>
      <x:c r="E59" s="81" t="n"/>
      <x:c r="F59" s="81" t="n"/>
      <x:c r="G59" s="81" t="n"/>
      <x:c r="H59" s="81" t="n"/>
      <x:c r="I59" s="81" t="n"/>
      <x:c r="J59" s="81" t="n"/>
      <x:c r="K59" s="81" t="n"/>
      <x:c r="L59" s="81" t="n"/>
      <x:c r="M59" s="81" t="n"/>
    </x:row>
    <x:row r="60">
      <x:c r="A60" s="81" t="n"/>
      <x:c r="B60" s="81" t="n"/>
      <x:c r="C60" s="81" t="n"/>
      <x:c r="D60" s="81" t="n"/>
      <x:c r="E60" s="81" t="n"/>
      <x:c r="F60" s="81" t="n"/>
      <x:c r="G60" s="81" t="n"/>
      <x:c r="H60" s="81" t="n"/>
      <x:c r="I60" s="81" t="n"/>
      <x:c r="J60" s="81" t="n"/>
      <x:c r="K60" s="81" t="n"/>
      <x:c r="L60" s="81" t="n"/>
      <x:c r="M60" s="81" t="n"/>
    </x:row>
    <x:row r="61">
      <x:c r="A61" s="81" t="n"/>
      <x:c r="B61" s="81" t="n"/>
      <x:c r="C61" s="81" t="n"/>
      <x:c r="D61" s="81" t="n"/>
      <x:c r="E61" s="81" t="n"/>
      <x:c r="F61" s="81" t="n"/>
      <x:c r="G61" s="81" t="n"/>
      <x:c r="H61" s="81" t="n"/>
      <x:c r="I61" s="81" t="n"/>
      <x:c r="J61" s="81" t="n"/>
      <x:c r="K61" s="81" t="n"/>
      <x:c r="L61" s="81" t="n"/>
      <x:c r="M61" s="81" t="n"/>
    </x:row>
    <x:row r="62">
      <x:c r="A62" s="81" t="n"/>
      <x:c r="B62" s="81" t="n"/>
      <x:c r="C62" s="81" t="n"/>
      <x:c r="D62" s="81" t="n"/>
      <x:c r="E62" s="81" t="n"/>
      <x:c r="F62" s="81" t="n"/>
      <x:c r="G62" s="81" t="n"/>
      <x:c r="H62" s="81" t="n"/>
      <x:c r="I62" s="81" t="n"/>
      <x:c r="J62" s="81" t="n"/>
      <x:c r="K62" s="81" t="n"/>
      <x:c r="L62" s="81" t="n"/>
      <x:c r="M62" s="81" t="n"/>
    </x:row>
    <x:row r="63">
      <x:c r="A63" s="81" t="n"/>
      <x:c r="B63" s="81" t="n"/>
      <x:c r="C63" s="81" t="n"/>
      <x:c r="D63" s="81" t="n"/>
      <x:c r="E63" s="81" t="n"/>
      <x:c r="F63" s="81" t="n"/>
      <x:c r="G63" s="81" t="n"/>
      <x:c r="H63" s="81" t="n"/>
      <x:c r="I63" s="81" t="n"/>
      <x:c r="J63" s="81" t="n"/>
      <x:c r="K63" s="81" t="n"/>
      <x:c r="L63" s="81" t="n"/>
      <x:c r="M63" s="81" t="n"/>
    </x:row>
    <x:row r="64">
      <x:c r="A64" s="81" t="n"/>
      <x:c r="B64" s="81" t="n"/>
      <x:c r="C64" s="81" t="n"/>
      <x:c r="D64" s="81" t="n"/>
      <x:c r="E64" s="81" t="n"/>
      <x:c r="F64" s="81" t="n"/>
      <x:c r="G64" s="81" t="n"/>
      <x:c r="H64" s="81" t="n"/>
      <x:c r="I64" s="81" t="n"/>
      <x:c r="J64" s="81" t="n"/>
      <x:c r="K64" s="81" t="n"/>
      <x:c r="L64" s="81" t="n"/>
      <x:c r="M64" s="81" t="n"/>
    </x:row>
    <x:row r="65">
      <x:c r="A65" s="81" t="n"/>
      <x:c r="B65" s="81" t="n"/>
      <x:c r="C65" s="81" t="n"/>
      <x:c r="D65" s="81" t="n"/>
      <x:c r="E65" s="81" t="n"/>
      <x:c r="F65" s="81" t="n"/>
      <x:c r="G65" s="81" t="n"/>
      <x:c r="H65" s="81" t="n"/>
      <x:c r="I65" s="81" t="n"/>
      <x:c r="J65" s="81" t="n"/>
      <x:c r="K65" s="81" t="n"/>
      <x:c r="L65" s="81" t="n"/>
      <x:c r="M65" s="81" t="n"/>
    </x:row>
    <x:row r="66">
      <x:c r="A66" s="81" t="n"/>
      <x:c r="B66" s="81" t="n"/>
      <x:c r="C66" s="81" t="n"/>
      <x:c r="D66" s="81" t="n"/>
      <x:c r="E66" s="81" t="n"/>
      <x:c r="F66" s="81" t="n"/>
      <x:c r="G66" s="81" t="n"/>
      <x:c r="H66" s="81" t="n"/>
      <x:c r="I66" s="81" t="n"/>
      <x:c r="J66" s="81" t="n"/>
      <x:c r="K66" s="81" t="n"/>
      <x:c r="L66" s="81" t="n"/>
      <x:c r="M66" s="81" t="n"/>
    </x:row>
    <x:row r="67">
      <x:c r="A67" s="81" t="n"/>
      <x:c r="B67" s="81" t="n"/>
      <x:c r="C67" s="81" t="n"/>
      <x:c r="D67" s="81" t="n"/>
      <x:c r="E67" s="81" t="n"/>
      <x:c r="F67" s="81" t="n"/>
      <x:c r="G67" s="81" t="n"/>
      <x:c r="H67" s="81" t="n"/>
      <x:c r="I67" s="81" t="n"/>
      <x:c r="J67" s="81" t="n"/>
      <x:c r="K67" s="81" t="n"/>
      <x:c r="L67" s="81" t="n"/>
      <x:c r="M67" s="81" t="n"/>
    </x:row>
    <x:row r="68">
      <x:c r="A68" s="81" t="n"/>
      <x:c r="B68" s="81" t="n"/>
      <x:c r="C68" s="81" t="n"/>
      <x:c r="D68" s="81" t="n"/>
      <x:c r="E68" s="81" t="n"/>
      <x:c r="F68" s="81" t="n"/>
      <x:c r="G68" s="81" t="n"/>
      <x:c r="H68" s="81" t="n"/>
      <x:c r="I68" s="81" t="n"/>
      <x:c r="J68" s="81" t="n"/>
      <x:c r="K68" s="81" t="n"/>
      <x:c r="L68" s="81" t="n"/>
      <x:c r="M68" s="81" t="n"/>
    </x:row>
    <x:row r="69">
      <x:c r="A69" s="81" t="n"/>
      <x:c r="B69" s="81" t="n"/>
      <x:c r="C69" s="81" t="n"/>
      <x:c r="D69" s="81" t="n"/>
      <x:c r="E69" s="81" t="n"/>
      <x:c r="F69" s="81" t="n"/>
      <x:c r="G69" s="81" t="n"/>
      <x:c r="H69" s="81" t="n"/>
      <x:c r="I69" s="81" t="n"/>
      <x:c r="J69" s="81" t="n"/>
      <x:c r="K69" s="81" t="n"/>
      <x:c r="L69" s="81" t="n"/>
      <x:c r="M69" s="81" t="n"/>
    </x:row>
    <x:row r="70">
      <x:c r="A70" s="81" t="n"/>
      <x:c r="B70" s="81" t="n"/>
      <x:c r="C70" s="81" t="n"/>
      <x:c r="D70" s="81" t="n"/>
      <x:c r="E70" s="81" t="n"/>
      <x:c r="F70" s="81" t="n"/>
      <x:c r="G70" s="81" t="n"/>
      <x:c r="H70" s="81" t="n"/>
      <x:c r="I70" s="81" t="n"/>
      <x:c r="J70" s="81" t="n"/>
      <x:c r="K70" s="81" t="n"/>
      <x:c r="L70" s="81" t="n"/>
      <x:c r="M70" s="81" t="n"/>
    </x:row>
    <x:row r="71">
      <x:c r="A71" s="81" t="n"/>
      <x:c r="B71" s="81" t="n"/>
      <x:c r="C71" s="81" t="n"/>
      <x:c r="D71" s="81" t="n"/>
      <x:c r="E71" s="81" t="n"/>
      <x:c r="F71" s="81" t="n"/>
      <x:c r="G71" s="81" t="n"/>
      <x:c r="H71" s="81" t="n"/>
      <x:c r="I71" s="81" t="n"/>
      <x:c r="J71" s="81" t="n"/>
      <x:c r="K71" s="81" t="n"/>
      <x:c r="L71" s="81" t="n"/>
      <x:c r="M71" s="81" t="n"/>
    </x:row>
    <x:row r="72">
      <x:c r="A72" s="81" t="n"/>
      <x:c r="B72" s="81" t="n"/>
      <x:c r="C72" s="81" t="n"/>
      <x:c r="D72" s="81" t="n"/>
      <x:c r="E72" s="81" t="n"/>
      <x:c r="F72" s="81" t="n"/>
      <x:c r="G72" s="81" t="n"/>
      <x:c r="H72" s="81" t="n"/>
      <x:c r="I72" s="81" t="n"/>
      <x:c r="J72" s="81" t="n"/>
      <x:c r="K72" s="81" t="n"/>
      <x:c r="L72" s="81" t="n"/>
      <x:c r="M72" s="81" t="n"/>
    </x:row>
    <x:row r="73">
      <x:c r="A73" s="81" t="n"/>
      <x:c r="B73" s="81" t="n"/>
      <x:c r="C73" s="81" t="n"/>
      <x:c r="D73" s="81" t="n"/>
      <x:c r="E73" s="81" t="n"/>
      <x:c r="F73" s="81" t="n"/>
      <x:c r="G73" s="81" t="n"/>
      <x:c r="H73" s="81" t="n"/>
      <x:c r="I73" s="81" t="n"/>
      <x:c r="J73" s="81" t="n"/>
      <x:c r="K73" s="81" t="n"/>
      <x:c r="L73" s="81" t="n"/>
      <x:c r="M73" s="81" t="n"/>
    </x:row>
    <x:row r="74">
      <x:c r="A74" s="81" t="n"/>
      <x:c r="B74" s="81" t="n"/>
      <x:c r="C74" s="81" t="n"/>
      <x:c r="D74" s="81" t="n"/>
      <x:c r="E74" s="81" t="n"/>
      <x:c r="F74" s="81" t="n"/>
      <x:c r="G74" s="81" t="n"/>
      <x:c r="H74" s="81" t="n"/>
      <x:c r="I74" s="81" t="n"/>
      <x:c r="J74" s="81" t="n"/>
      <x:c r="K74" s="81" t="n"/>
      <x:c r="L74" s="81" t="n"/>
      <x:c r="M74" s="81" t="n"/>
    </x:row>
    <x:row r="75">
      <x:c r="A75" s="81" t="n"/>
      <x:c r="B75" s="81" t="n"/>
      <x:c r="C75" s="81" t="n"/>
      <x:c r="D75" s="81" t="n"/>
      <x:c r="E75" s="81" t="n"/>
      <x:c r="F75" s="81" t="n"/>
      <x:c r="G75" s="81" t="n"/>
      <x:c r="H75" s="81" t="n"/>
      <x:c r="I75" s="81" t="n"/>
      <x:c r="J75" s="81" t="n"/>
      <x:c r="K75" s="81" t="n"/>
      <x:c r="L75" s="81" t="n"/>
      <x:c r="M75" s="81" t="n"/>
    </x:row>
    <x:row r="76">
      <x:c r="A76" s="81" t="n"/>
      <x:c r="B76" s="81" t="n"/>
      <x:c r="C76" s="81" t="n"/>
      <x:c r="D76" s="81" t="n"/>
      <x:c r="E76" s="81" t="n"/>
      <x:c r="F76" s="81" t="n"/>
      <x:c r="G76" s="81" t="n"/>
      <x:c r="H76" s="81" t="n"/>
      <x:c r="I76" s="81" t="n"/>
      <x:c r="J76" s="81" t="n"/>
      <x:c r="K76" s="81" t="n"/>
      <x:c r="L76" s="81" t="n"/>
      <x:c r="M76" s="81" t="n"/>
    </x:row>
    <x:row r="77">
      <x:c r="A77" s="81" t="n"/>
      <x:c r="B77" s="81" t="n"/>
      <x:c r="C77" s="81" t="n"/>
      <x:c r="D77" s="81" t="n"/>
      <x:c r="E77" s="81" t="n"/>
      <x:c r="F77" s="81" t="n"/>
      <x:c r="G77" s="81" t="n"/>
      <x:c r="H77" s="81" t="n"/>
      <x:c r="I77" s="81" t="n"/>
      <x:c r="J77" s="81" t="n"/>
      <x:c r="K77" s="81" t="n"/>
      <x:c r="L77" s="81" t="n"/>
      <x:c r="M77" s="81" t="n"/>
    </x:row>
    <x:row r="78">
      <x:c r="A78" s="81" t="n"/>
      <x:c r="B78" s="81" t="n"/>
      <x:c r="C78" s="81" t="n"/>
      <x:c r="D78" s="81" t="n"/>
      <x:c r="E78" s="81" t="n"/>
      <x:c r="F78" s="81" t="n"/>
      <x:c r="G78" s="81" t="n"/>
      <x:c r="H78" s="81" t="n"/>
      <x:c r="I78" s="81" t="n"/>
      <x:c r="J78" s="81" t="n"/>
      <x:c r="K78" s="81" t="n"/>
      <x:c r="L78" s="81" t="n"/>
      <x:c r="M78" s="81" t="n"/>
    </x:row>
    <x:row r="79">
      <x:c r="A79" s="81" t="n"/>
      <x:c r="B79" s="81" t="n"/>
      <x:c r="C79" s="81" t="n"/>
      <x:c r="D79" s="81" t="n"/>
      <x:c r="E79" s="81" t="n"/>
      <x:c r="F79" s="81" t="n"/>
      <x:c r="G79" s="81" t="n"/>
      <x:c r="H79" s="81" t="n"/>
      <x:c r="I79" s="81" t="n"/>
      <x:c r="J79" s="81" t="n"/>
      <x:c r="K79" s="81" t="n"/>
      <x:c r="L79" s="81" t="n"/>
      <x:c r="M79" s="81" t="n"/>
    </x:row>
    <x:row r="80">
      <x:c r="A80" s="81" t="n"/>
      <x:c r="B80" s="81" t="n"/>
      <x:c r="C80" s="81" t="n"/>
      <x:c r="D80" s="81" t="n"/>
      <x:c r="E80" s="81" t="n"/>
      <x:c r="F80" s="81" t="n"/>
      <x:c r="G80" s="81" t="n"/>
      <x:c r="H80" s="81" t="n"/>
      <x:c r="I80" s="81" t="n"/>
      <x:c r="J80" s="81" t="n"/>
      <x:c r="K80" s="81" t="n"/>
      <x:c r="L80" s="81" t="n"/>
      <x:c r="M80" s="81" t="n"/>
    </x:row>
    <x:row r="81">
      <x:c r="A81" s="81" t="n"/>
      <x:c r="B81" s="81" t="n"/>
      <x:c r="C81" s="81" t="n"/>
      <x:c r="D81" s="81" t="n"/>
      <x:c r="E81" s="81" t="n"/>
      <x:c r="F81" s="81" t="n"/>
      <x:c r="G81" s="81" t="n"/>
      <x:c r="H81" s="81" t="n"/>
      <x:c r="I81" s="81" t="n"/>
      <x:c r="J81" s="81" t="n"/>
      <x:c r="K81" s="81" t="n"/>
      <x:c r="L81" s="81" t="n"/>
      <x:c r="M81" s="81" t="n"/>
    </x:row>
    <x:row r="82">
      <x:c r="A82" s="81" t="n"/>
      <x:c r="B82" s="81" t="n"/>
      <x:c r="C82" s="81" t="n"/>
      <x:c r="D82" s="81" t="n"/>
      <x:c r="E82" s="81" t="n"/>
      <x:c r="F82" s="81" t="n"/>
      <x:c r="G82" s="81" t="n"/>
      <x:c r="H82" s="81" t="n"/>
      <x:c r="I82" s="81" t="n"/>
      <x:c r="J82" s="81" t="n"/>
      <x:c r="K82" s="81" t="n"/>
      <x:c r="L82" s="81" t="n"/>
      <x:c r="M82" s="81" t="n"/>
    </x:row>
    <x:row r="83">
      <x:c r="A83" s="81" t="n"/>
      <x:c r="B83" s="81" t="n"/>
      <x:c r="C83" s="81" t="n"/>
      <x:c r="D83" s="81" t="n"/>
      <x:c r="E83" s="81" t="n"/>
      <x:c r="F83" s="81" t="n"/>
      <x:c r="G83" s="81" t="n"/>
      <x:c r="H83" s="81" t="n"/>
      <x:c r="I83" s="81" t="n"/>
      <x:c r="J83" s="81" t="n"/>
      <x:c r="K83" s="81" t="n"/>
      <x:c r="L83" s="81" t="n"/>
      <x:c r="M83" s="81" t="n"/>
    </x:row>
    <x:row r="84">
      <x:c r="A84" s="81" t="n"/>
      <x:c r="B84" s="81" t="n"/>
      <x:c r="C84" s="81" t="n"/>
      <x:c r="D84" s="81" t="n"/>
      <x:c r="E84" s="81" t="n"/>
      <x:c r="F84" s="81" t="n"/>
      <x:c r="G84" s="81" t="n"/>
      <x:c r="H84" s="81" t="n"/>
      <x:c r="I84" s="81" t="n"/>
      <x:c r="J84" s="81" t="n"/>
      <x:c r="K84" s="81" t="n"/>
      <x:c r="L84" s="81" t="n"/>
      <x:c r="M84" s="81" t="n"/>
    </x:row>
    <x:row r="85">
      <x:c r="A85" s="81" t="n"/>
      <x:c r="B85" s="81" t="n"/>
      <x:c r="C85" s="81" t="n"/>
      <x:c r="D85" s="81" t="n"/>
      <x:c r="E85" s="81" t="n"/>
      <x:c r="F85" s="81" t="n"/>
      <x:c r="G85" s="81" t="n"/>
      <x:c r="H85" s="81" t="n"/>
      <x:c r="I85" s="81" t="n"/>
      <x:c r="J85" s="81" t="n"/>
      <x:c r="K85" s="81" t="n"/>
      <x:c r="L85" s="81" t="n"/>
      <x:c r="M85" s="81" t="n"/>
    </x:row>
    <x:row r="86">
      <x:c r="A86" s="81" t="n"/>
      <x:c r="B86" s="81" t="n"/>
      <x:c r="C86" s="81" t="n"/>
      <x:c r="D86" s="81" t="n"/>
      <x:c r="E86" s="81" t="n"/>
      <x:c r="F86" s="81" t="n"/>
      <x:c r="G86" s="81" t="n"/>
      <x:c r="H86" s="81" t="n"/>
      <x:c r="I86" s="81" t="n"/>
      <x:c r="J86" s="81" t="n"/>
      <x:c r="K86" s="81" t="n"/>
      <x:c r="L86" s="81" t="n"/>
      <x:c r="M86" s="81" t="n"/>
    </x:row>
    <x:row r="87">
      <x:c r="A87" s="81" t="n"/>
      <x:c r="B87" s="81" t="n"/>
      <x:c r="C87" s="81" t="n"/>
      <x:c r="D87" s="81" t="n"/>
      <x:c r="E87" s="81" t="n"/>
      <x:c r="F87" s="81" t="n"/>
      <x:c r="G87" s="81" t="n"/>
      <x:c r="H87" s="81" t="n"/>
      <x:c r="I87" s="81" t="n"/>
      <x:c r="J87" s="81" t="n"/>
      <x:c r="K87" s="81" t="n"/>
      <x:c r="L87" s="81" t="n"/>
      <x:c r="M87" s="81" t="n"/>
    </x:row>
    <x:row r="88">
      <x:c r="A88" s="81" t="n"/>
      <x:c r="B88" s="81" t="n"/>
      <x:c r="C88" s="81" t="n"/>
      <x:c r="D88" s="81" t="n"/>
      <x:c r="E88" s="81" t="n"/>
      <x:c r="F88" s="81" t="n"/>
      <x:c r="G88" s="81" t="n"/>
      <x:c r="H88" s="81" t="n"/>
      <x:c r="I88" s="81" t="n"/>
      <x:c r="J88" s="81" t="n"/>
      <x:c r="K88" s="81" t="n"/>
      <x:c r="L88" s="81" t="n"/>
      <x:c r="M88" s="81" t="n"/>
    </x:row>
    <x:row r="89">
      <x:c r="A89" s="81" t="n"/>
      <x:c r="B89" s="81" t="n"/>
      <x:c r="C89" s="81" t="n"/>
      <x:c r="D89" s="81" t="n"/>
      <x:c r="E89" s="81" t="n"/>
      <x:c r="F89" s="81" t="n"/>
      <x:c r="G89" s="81" t="n"/>
      <x:c r="H89" s="81" t="n"/>
      <x:c r="I89" s="81" t="n"/>
      <x:c r="J89" s="81" t="n"/>
      <x:c r="K89" s="81" t="n"/>
      <x:c r="L89" s="81" t="n"/>
      <x:c r="M89" s="81" t="n"/>
    </x:row>
    <x:row r="90">
      <x:c r="A90" s="81" t="n"/>
      <x:c r="B90" s="81" t="n"/>
      <x:c r="C90" s="81" t="n"/>
      <x:c r="D90" s="81" t="n"/>
      <x:c r="E90" s="81" t="n"/>
      <x:c r="F90" s="81" t="n"/>
      <x:c r="G90" s="81" t="n"/>
      <x:c r="H90" s="81" t="n"/>
      <x:c r="I90" s="81" t="n"/>
      <x:c r="J90" s="81" t="n"/>
      <x:c r="K90" s="81" t="n"/>
      <x:c r="L90" s="81" t="n"/>
      <x:c r="M90" s="81" t="n"/>
    </x:row>
    <x:row r="91">
      <x:c r="A91" s="81" t="n"/>
      <x:c r="B91" s="81" t="n"/>
      <x:c r="C91" s="81" t="n"/>
      <x:c r="D91" s="81" t="n"/>
      <x:c r="E91" s="81" t="n"/>
      <x:c r="F91" s="81" t="n"/>
      <x:c r="G91" s="81" t="n"/>
      <x:c r="H91" s="81" t="n"/>
      <x:c r="I91" s="81" t="n"/>
      <x:c r="J91" s="81" t="n"/>
      <x:c r="K91" s="81" t="n"/>
      <x:c r="L91" s="81" t="n"/>
      <x:c r="M91" s="81" t="n"/>
    </x:row>
    <x:row r="92">
      <x:c r="A92" s="81" t="n"/>
      <x:c r="B92" s="81" t="n"/>
      <x:c r="C92" s="81" t="n"/>
      <x:c r="D92" s="81" t="n"/>
      <x:c r="E92" s="81" t="n"/>
      <x:c r="F92" s="81" t="n"/>
      <x:c r="G92" s="81" t="n"/>
      <x:c r="H92" s="81" t="n"/>
      <x:c r="I92" s="81" t="n"/>
      <x:c r="J92" s="81" t="n"/>
      <x:c r="K92" s="81" t="n"/>
      <x:c r="L92" s="81" t="n"/>
      <x:c r="M92" s="81" t="n"/>
    </x:row>
    <x:row r="93">
      <x:c r="A93" s="81" t="n"/>
      <x:c r="B93" s="81" t="n"/>
      <x:c r="C93" s="81" t="n"/>
      <x:c r="D93" s="81" t="n"/>
      <x:c r="E93" s="81" t="n"/>
      <x:c r="F93" s="81" t="n"/>
      <x:c r="G93" s="81" t="n"/>
      <x:c r="H93" s="81" t="n"/>
      <x:c r="I93" s="81" t="n"/>
      <x:c r="J93" s="81" t="n"/>
      <x:c r="K93" s="81" t="n"/>
      <x:c r="L93" s="81" t="n"/>
      <x:c r="M93" s="81" t="n"/>
    </x:row>
    <x:row r="94">
      <x:c r="A94" s="81" t="n"/>
      <x:c r="B94" s="81" t="n"/>
      <x:c r="C94" s="81" t="n"/>
      <x:c r="D94" s="81" t="n"/>
      <x:c r="E94" s="81" t="n"/>
      <x:c r="F94" s="81" t="n"/>
      <x:c r="G94" s="81" t="n"/>
      <x:c r="H94" s="81" t="n"/>
      <x:c r="I94" s="81" t="n"/>
      <x:c r="J94" s="81" t="n"/>
      <x:c r="K94" s="81" t="n"/>
      <x:c r="L94" s="81" t="n"/>
      <x:c r="M94" s="81" t="n"/>
    </x:row>
    <x:row r="95">
      <x:c r="A95" s="81" t="n"/>
      <x:c r="B95" s="81" t="n"/>
      <x:c r="C95" s="81" t="n"/>
      <x:c r="D95" s="81" t="n"/>
      <x:c r="E95" s="81" t="n"/>
      <x:c r="F95" s="81" t="n"/>
      <x:c r="G95" s="81" t="n"/>
      <x:c r="H95" s="81" t="n"/>
      <x:c r="I95" s="81" t="n"/>
      <x:c r="J95" s="81" t="n"/>
      <x:c r="K95" s="81" t="n"/>
      <x:c r="L95" s="81" t="n"/>
      <x:c r="M95" s="81" t="n"/>
    </x:row>
    <x:row r="96">
      <x:c r="A96" s="81" t="n"/>
      <x:c r="B96" s="81" t="n"/>
      <x:c r="C96" s="81" t="n"/>
      <x:c r="D96" s="81" t="n"/>
      <x:c r="E96" s="81" t="n"/>
      <x:c r="F96" s="81" t="n"/>
      <x:c r="G96" s="81" t="n"/>
      <x:c r="H96" s="81" t="n"/>
      <x:c r="I96" s="81" t="n"/>
      <x:c r="J96" s="81" t="n"/>
      <x:c r="K96" s="81" t="n"/>
      <x:c r="L96" s="81" t="n"/>
      <x:c r="M96" s="81" t="n"/>
    </x:row>
    <x:row r="97">
      <x:c r="A97" s="81" t="n"/>
      <x:c r="B97" s="81" t="n"/>
      <x:c r="C97" s="81" t="n"/>
      <x:c r="D97" s="81" t="n"/>
      <x:c r="E97" s="81" t="n"/>
      <x:c r="F97" s="81" t="n"/>
      <x:c r="G97" s="81" t="n"/>
      <x:c r="H97" s="81" t="n"/>
      <x:c r="I97" s="81" t="n"/>
      <x:c r="J97" s="81" t="n"/>
      <x:c r="K97" s="81" t="n"/>
      <x:c r="L97" s="81" t="n"/>
      <x:c r="M97" s="81" t="n"/>
    </x:row>
    <x:row r="98">
      <x:c r="A98" s="81" t="n"/>
      <x:c r="B98" s="81" t="n"/>
      <x:c r="C98" s="81" t="n"/>
      <x:c r="D98" s="81" t="n"/>
      <x:c r="E98" s="81" t="n"/>
      <x:c r="F98" s="81" t="n"/>
      <x:c r="G98" s="81" t="n"/>
      <x:c r="H98" s="81" t="n"/>
      <x:c r="I98" s="81" t="n"/>
      <x:c r="J98" s="81" t="n"/>
      <x:c r="K98" s="81" t="n"/>
      <x:c r="L98" s="81" t="n"/>
      <x:c r="M98" s="81" t="n"/>
    </x:row>
    <x:row r="99">
      <x:c r="A99" s="81" t="n"/>
      <x:c r="B99" s="81" t="n"/>
      <x:c r="C99" s="81" t="n"/>
      <x:c r="D99" s="81" t="n"/>
      <x:c r="E99" s="81" t="n"/>
      <x:c r="F99" s="81" t="n"/>
      <x:c r="G99" s="81" t="n"/>
      <x:c r="H99" s="81" t="n"/>
      <x:c r="I99" s="81" t="n"/>
      <x:c r="J99" s="81" t="n"/>
      <x:c r="K99" s="81" t="n"/>
      <x:c r="L99" s="81" t="n"/>
      <x:c r="M99" s="81" t="n"/>
    </x:row>
    <x:row r="100">
      <x:c r="A100" s="81" t="n"/>
      <x:c r="B100" s="81" t="n"/>
      <x:c r="C100" s="81" t="n"/>
      <x:c r="D100" s="81" t="n"/>
      <x:c r="E100" s="81" t="n"/>
      <x:c r="F100" s="81" t="n"/>
      <x:c r="G100" s="81" t="n"/>
      <x:c r="H100" s="81" t="n"/>
      <x:c r="I100" s="81" t="n"/>
      <x:c r="J100" s="81" t="n"/>
      <x:c r="K100" s="81" t="n"/>
      <x:c r="L100" s="81" t="n"/>
      <x:c r="M100" s="81" t="n"/>
    </x:row>
    <x:row r="101">
      <x:c r="A101" s="81" t="n"/>
      <x:c r="B101" s="81" t="n"/>
      <x:c r="C101" s="81" t="n"/>
      <x:c r="D101" s="81" t="n"/>
      <x:c r="E101" s="81" t="n"/>
      <x:c r="F101" s="81" t="n"/>
      <x:c r="G101" s="81" t="n"/>
      <x:c r="H101" s="81" t="n"/>
      <x:c r="I101" s="81" t="n"/>
      <x:c r="J101" s="81" t="n"/>
      <x:c r="K101" s="81" t="n"/>
      <x:c r="L101" s="81" t="n"/>
      <x:c r="M101" s="81" t="n"/>
    </x:row>
  </x:sheetData>
  <x:pageMargins left="0.7" right="0.7" top="0.75" bottom="0.75" header="0.3" footer="0.3"/>
  <x:tableParts count="1">
    <x:tablePart xmlns:r="http://schemas.openxmlformats.org/officeDocument/2006/relationships" r:id="Rb155b83ed2f846f1"/>
  </x:tableParts>
</x:worksheet>
</file>

<file path=xl/worksheets/sheet12.xml><?xml version="1.0" encoding="utf-8"?>
<x:worksheet xmlns:x="http://schemas.openxmlformats.org/spreadsheetml/2006/main">
  <x:sheetFormatPr baseColWidth="8" defaultRowHeight="15"/>
  <x:cols>
    <x:col min="1" max="1" width="14" style="72" customWidth="1"/>
    <x:col min="2" max="2" width="38" style="72" customWidth="1"/>
    <x:col min="3" max="3" width="42" style="72" customWidth="1"/>
    <x:col min="4" max="4" width="48" style="72" customWidth="1"/>
    <x:col min="5" max="5" width="30" style="72" customWidth="1"/>
    <x:col min="6" max="6" width="12" style="72" customWidth="1"/>
    <x:col min="7" max="7" width="12" style="72" customWidth="1"/>
    <x:col min="8" max="8" width="12" style="72" customWidth="1"/>
    <x:col min="9" max="9" width="14" style="72" customWidth="1"/>
    <x:col min="10" max="10" width="16" style="72" customWidth="1"/>
    <x:col min="11" max="11" width="42" style="72" customWidth="1"/>
  </x:cols>
  <x:sheetData>
    <x:row r="1">
      <x:c r="A1" s="77" t="inlineStr">
        <x:is>
          <x:t xml:space="preserve">Experience ID</x:t>
        </x:is>
      </x:c>
      <x:c r="B1" s="77" t="inlineStr">
        <x:is>
          <x:t xml:space="preserve">Cluster</x:t>
        </x:is>
      </x:c>
      <x:c r="C1" s="77" t="inlineStr">
        <x:is>
          <x:t xml:space="preserve">Human Experience / Tension</x:t>
        </x:is>
      </x:c>
      <x:c r="D1" s="77" t="inlineStr">
        <x:is>
          <x:t xml:space="preserve">User-like Example</x:t>
        </x:is>
      </x:c>
      <x:c r="E1" s="77" t="inlineStr">
        <x:is>
          <x:t xml:space="preserve">Needed Editorial Job</x:t>
        </x:is>
      </x:c>
      <x:c r="F1" s="77" t="inlineStr">
        <x:is>
          <x:t xml:space="preserve">Quote Target</x:t>
        </x:is>
      </x:c>
      <x:c r="G1" s="77" t="inlineStr">
        <x:is>
          <x:t xml:space="preserve">Quote Actual</x:t>
        </x:is>
      </x:c>
      <x:c r="H1" s="77" t="inlineStr">
        <x:is>
          <x:t xml:space="preserve">Story Actual</x:t>
        </x:is>
      </x:c>
      <x:c r="I1" s="77" t="inlineStr">
        <x:is>
          <x:t xml:space="preserve">Principle Actual</x:t>
        </x:is>
      </x:c>
      <x:c r="J1" s="77" t="inlineStr">
        <x:is>
          <x:t xml:space="preserve">Coverage Status</x:t>
        </x:is>
      </x:c>
      <x:c r="K1" s="77" t="inlineStr">
        <x:is>
          <x:t xml:space="preserve">Notes</x:t>
        </x:is>
      </x:c>
    </x:row>
    <x:row r="2">
      <x:c r="A2" s="81" t="inlineStr">
        <x:is>
          <x:t xml:space="preserve">EXP-001</x:t>
        </x:is>
      </x:c>
      <x:c r="B2" s="81" t="inlineStr">
        <x:is>
          <x:t xml:space="preserve">Exhaustion / Recovery / Work carryover</x:t>
        </x:is>
      </x:c>
      <x:c r="C2" s="81" t="inlineStr">
        <x:is>
          <x:t xml:space="preserve">Nhiều việc nhỏ làm cạn năng lượng</x:t>
        </x:is>
      </x:c>
      <x:c r="D2" s="81" t="inlineStr">
        <x:is>
          <x:t xml:space="preserve">Không có việc nào quá lớn, sao mình vẫn mệt?</x:t>
        </x:is>
      </x:c>
      <x:c r="E2" s="81" t="inlineStr">
        <x:is>
          <x:t xml:space="preserve">Name / Permit</x:t>
        </x:is>
      </x:c>
      <x:c r="F2" s="81" t="n">
        <x:v>8</x:v>
      </x:c>
      <x:c r="G2" s="81" t="n">
        <x:f>COUNTIF('Quote Library'!$E$2:$E$500,C2)</x:f>
        <x:v>0</x:v>
      </x:c>
      <x:c r="H2" s="81" t="n">
        <x:f>COUNTIF('Story Library'!$I$2:$I$300,C2)</x:f>
        <x:v>0</x:v>
      </x:c>
      <x:c r="I2" s="81" t="n">
        <x:f>COUNTIF('Principle Library'!$N$2:$N$300,C2)</x:f>
        <x:v>0</x:v>
      </x:c>
      <x:c r="J2" s="81" t="str">
        <x:f>IF(G2=0,"Gap",IF(G2&lt;F2,"Building","Covered"))</x:f>
        <x:v>Gap</x:v>
      </x:c>
      <x:c r="K2" s="81" t="str"/>
    </x:row>
    <x:row r="3">
      <x:c r="A3" s="81" t="inlineStr">
        <x:is>
          <x:t xml:space="preserve">EXP-002</x:t>
        </x:is>
      </x:c>
      <x:c r="B3" s="81" t="inlineStr">
        <x:is>
          <x:t xml:space="preserve">Exhaustion / Recovery / Work carryover</x:t>
        </x:is>
      </x:c>
      <x:c r="C3" s="81" t="inlineStr">
        <x:is>
          <x:t xml:space="preserve">Công việc còn ở lại sau giờ làm</x:t>
        </x:is>
      </x:c>
      <x:c r="D3" s="81" t="inlineStr">
        <x:is>
          <x:t xml:space="preserve">Mình về nhà rồi nhưng đầu vẫn ở công ty.</x:t>
        </x:is>
      </x:c>
      <x:c r="E3" s="81" t="inlineStr">
        <x:is>
          <x:t xml:space="preserve">Recognize / Name</x:t>
        </x:is>
      </x:c>
      <x:c r="F3" s="81" t="n">
        <x:v>8</x:v>
      </x:c>
      <x:c r="G3" s="81" t="n">
        <x:f>COUNTIF('Quote Library'!$E$2:$E$500,C3)</x:f>
        <x:v>0</x:v>
      </x:c>
      <x:c r="H3" s="81" t="n">
        <x:f>COUNTIF('Story Library'!$I$2:$I$300,C3)</x:f>
        <x:v>0</x:v>
      </x:c>
      <x:c r="I3" s="81" t="n">
        <x:f>COUNTIF('Principle Library'!$N$2:$N$300,C3)</x:f>
        <x:v>0</x:v>
      </x:c>
      <x:c r="J3" s="81" t="str">
        <x:f>IF(G3=0,"Gap",IF(G3&lt;F3,"Building","Covered"))</x:f>
        <x:v>Gap</x:v>
      </x:c>
      <x:c r="K3" s="81" t="str"/>
    </x:row>
    <x:row r="4">
      <x:c r="A4" s="81" t="inlineStr">
        <x:is>
          <x:t xml:space="preserve">EXP-003</x:t>
        </x:is>
      </x:c>
      <x:c r="B4" s="81" t="inlineStr">
        <x:is>
          <x:t xml:space="preserve">Exhaustion / Recovery / Work carryover</x:t>
        </x:is>
      </x:c>
      <x:c r="C4" s="81" t="inlineStr">
        <x:is>
          <x:t xml:space="preserve">Sự kiện đã qua nhưng hồi phục chưa xong</x:t>
        </x:is>
      </x:c>
      <x:c r="D4" s="81" t="inlineStr">
        <x:is>
          <x:t xml:space="preserve">Chuyện qua rồi, sao mình vẫn chưa ổn?</x:t>
        </x:is>
      </x:c>
      <x:c r="E4" s="81" t="inlineStr">
        <x:is>
          <x:t xml:space="preserve">Recognize / Permit / Distinguish</x:t>
        </x:is>
      </x:c>
      <x:c r="F4" s="81" t="n">
        <x:v>8</x:v>
      </x:c>
      <x:c r="G4" s="81" t="n">
        <x:f>COUNTIF('Quote Library'!$E$2:$E$500,C4)</x:f>
        <x:v>0</x:v>
      </x:c>
      <x:c r="H4" s="81" t="n">
        <x:f>COUNTIF('Story Library'!$I$2:$I$300,C4)</x:f>
        <x:v>0</x:v>
      </x:c>
      <x:c r="I4" s="81" t="n">
        <x:f>COUNTIF('Principle Library'!$N$2:$N$300,C4)</x:f>
        <x:v>0</x:v>
      </x:c>
      <x:c r="J4" s="81" t="str">
        <x:f>IF(G4=0,"Gap",IF(G4&lt;F4,"Building","Covered"))</x:f>
        <x:v>Gap</x:v>
      </x:c>
      <x:c r="K4" s="81" t="str"/>
    </x:row>
    <x:row r="5">
      <x:c r="A5" s="81" t="inlineStr">
        <x:is>
          <x:t xml:space="preserve">EXP-004</x:t>
        </x:is>
      </x:c>
      <x:c r="B5" s="81" t="inlineStr">
        <x:is>
          <x:t xml:space="preserve">Self-compassion / Self-blame</x:t>
        </x:is>
      </x:c>
      <x:c r="C5" s="81" t="inlineStr">
        <x:is>
          <x:t xml:space="preserve">Đã gây hậu quả và đang tự trách</x:t>
        </x:is>
      </x:c>
      <x:c r="D5" s="81" t="inlineStr">
        <x:is>
          <x:t xml:space="preserve">Mình làm sai nên rất khó chịu với chính mình.</x:t>
        </x:is>
      </x:c>
      <x:c r="E5" s="81" t="inlineStr">
        <x:is>
          <x:t xml:space="preserve">Distinguish / Permit</x:t>
        </x:is>
      </x:c>
      <x:c r="F5" s="81" t="n">
        <x:v>8</x:v>
      </x:c>
      <x:c r="G5" s="81" t="n">
        <x:f>COUNTIF('Quote Library'!$E$2:$E$500,C5)</x:f>
        <x:v>0</x:v>
      </x:c>
      <x:c r="H5" s="81" t="n">
        <x:f>COUNTIF('Story Library'!$I$2:$I$300,C5)</x:f>
        <x:v>0</x:v>
      </x:c>
      <x:c r="I5" s="81" t="n">
        <x:f>COUNTIF('Principle Library'!$N$2:$N$300,C5)</x:f>
        <x:v>0</x:v>
      </x:c>
      <x:c r="J5" s="81" t="str">
        <x:f>IF(G5=0,"Gap",IF(G5&lt;F5,"Building","Covered"))</x:f>
        <x:v>Gap</x:v>
      </x:c>
      <x:c r="K5" s="81" t="str"/>
    </x:row>
    <x:row r="6">
      <x:c r="A6" s="81" t="inlineStr">
        <x:is>
          <x:t xml:space="preserve">EXP-005</x:t>
        </x:is>
      </x:c>
      <x:c r="B6" s="81" t="inlineStr">
        <x:is>
          <x:t xml:space="preserve">Self-compassion / Self-blame</x:t>
        </x:is>
      </x:c>
      <x:c r="C6" s="81" t="inlineStr">
        <x:is>
          <x:t xml:space="preserve">Đang học nhưng thấy mình kém</x:t>
        </x:is>
      </x:c>
      <x:c r="D6" s="81" t="inlineStr">
        <x:is>
          <x:t xml:space="preserve">Mình còn vụng; có phải mình không đủ tốt?</x:t>
        </x:is>
      </x:c>
      <x:c r="E6" s="81" t="inlineStr">
        <x:is>
          <x:t xml:space="preserve">Reframe / Permit</x:t>
        </x:is>
      </x:c>
      <x:c r="F6" s="81" t="n">
        <x:v>8</x:v>
      </x:c>
      <x:c r="G6" s="81" t="n">
        <x:f>COUNTIF('Quote Library'!$E$2:$E$500,C6)</x:f>
        <x:v>0</x:v>
      </x:c>
      <x:c r="H6" s="81" t="n">
        <x:f>COUNTIF('Story Library'!$I$2:$I$300,C6)</x:f>
        <x:v>0</x:v>
      </x:c>
      <x:c r="I6" s="81" t="n">
        <x:f>COUNTIF('Principle Library'!$N$2:$N$300,C6)</x:f>
        <x:v>0</x:v>
      </x:c>
      <x:c r="J6" s="81" t="str">
        <x:f>IF(G6=0,"Gap",IF(G6&lt;F6,"Building","Covered"))</x:f>
        <x:v>Gap</x:v>
      </x:c>
      <x:c r="K6" s="81" t="str"/>
    </x:row>
    <x:row r="7">
      <x:c r="A7" s="81" t="inlineStr">
        <x:is>
          <x:t xml:space="preserve">EXP-006</x:t>
        </x:is>
      </x:c>
      <x:c r="B7" s="81" t="inlineStr">
        <x:is>
          <x:t xml:space="preserve">Uncertainty / Choice / Agency</x:t>
        </x:is>
      </x:c>
      <x:c r="C7" s="81" t="inlineStr">
        <x:is>
          <x:t xml:space="preserve">Chưa biết và chưa cần quyết định ngay</x:t>
        </x:is>
      </x:c>
      <x:c r="D7" s="81" t="inlineStr">
        <x:is>
          <x:t xml:space="preserve">Mình vẫn chưa biết mình muốn gì.</x:t>
        </x:is>
      </x:c>
      <x:c r="E7" s="81" t="inlineStr">
        <x:is>
          <x:t xml:space="preserve">Permit / Return agency</x:t>
        </x:is>
      </x:c>
      <x:c r="F7" s="81" t="n">
        <x:v>8</x:v>
      </x:c>
      <x:c r="G7" s="81" t="n">
        <x:f>COUNTIF('Quote Library'!$E$2:$E$500,C7)</x:f>
        <x:v>0</x:v>
      </x:c>
      <x:c r="H7" s="81" t="n">
        <x:f>COUNTIF('Story Library'!$I$2:$I$300,C7)</x:f>
        <x:v>0</x:v>
      </x:c>
      <x:c r="I7" s="81" t="n">
        <x:f>COUNTIF('Principle Library'!$N$2:$N$300,C7)</x:f>
        <x:v>0</x:v>
      </x:c>
      <x:c r="J7" s="81" t="str">
        <x:f>IF(G7=0,"Gap",IF(G7&lt;F7,"Building","Covered"))</x:f>
        <x:v>Gap</x:v>
      </x:c>
      <x:c r="K7" s="81" t="str"/>
    </x:row>
    <x:row r="8">
      <x:c r="A8" s="81" t="inlineStr">
        <x:is>
          <x:t xml:space="preserve">EXP-007</x:t>
        </x:is>
      </x:c>
      <x:c r="B8" s="81" t="inlineStr">
        <x:is>
          <x:t xml:space="preserve">Uncertainty / Choice / Agency</x:t>
        </x:is>
      </x:c>
      <x:c r="C8" s="81" t="inlineStr">
        <x:is>
          <x:t xml:space="preserve">Quá nhiều câu trả lời</x:t>
        </x:is>
      </x:c>
      <x:c r="D8" s="81" t="inlineStr">
        <x:is>
          <x:t xml:space="preserve">Càng hỏi thêm mình càng khó chọn.</x:t>
        </x:is>
      </x:c>
      <x:c r="E8" s="81" t="inlineStr">
        <x:is>
          <x:t xml:space="preserve">Distinguish / Return agency</x:t>
        </x:is>
      </x:c>
      <x:c r="F8" s="81" t="n">
        <x:v>8</x:v>
      </x:c>
      <x:c r="G8" s="81" t="n">
        <x:f>COUNTIF('Quote Library'!$E$2:$E$500,C8)</x:f>
        <x:v>0</x:v>
      </x:c>
      <x:c r="H8" s="81" t="n">
        <x:f>COUNTIF('Story Library'!$I$2:$I$300,C8)</x:f>
        <x:v>0</x:v>
      </x:c>
      <x:c r="I8" s="81" t="n">
        <x:f>COUNTIF('Principle Library'!$N$2:$N$300,C8)</x:f>
        <x:v>0</x:v>
      </x:c>
      <x:c r="J8" s="81" t="str">
        <x:f>IF(G8=0,"Gap",IF(G8&lt;F8,"Building","Covered"))</x:f>
        <x:v>Gap</x:v>
      </x:c>
      <x:c r="K8" s="81" t="str"/>
    </x:row>
    <x:row r="9">
      <x:c r="A9" s="81" t="inlineStr">
        <x:is>
          <x:t xml:space="preserve">EXP-008</x:t>
        </x:is>
      </x:c>
      <x:c r="B9" s="81" t="inlineStr">
        <x:is>
          <x:t xml:space="preserve">Uncertainty / Choice / Agency</x:t>
        </x:is>
      </x:c>
      <x:c r="C9" s="81" t="inlineStr">
        <x:is>
          <x:t xml:space="preserve">Hai lựa chọn đều có điều đáng giữ</x:t>
        </x:is>
      </x:c>
      <x:c r="D9" s="81" t="inlineStr">
        <x:is>
          <x:t xml:space="preserve">Ở lại có cái mất; đi cũng có cái mất.</x:t>
        </x:is>
      </x:c>
      <x:c r="E9" s="81" t="inlineStr">
        <x:is>
          <x:t xml:space="preserve">Recognize / Permit</x:t>
        </x:is>
      </x:c>
      <x:c r="F9" s="81" t="n">
        <x:v>8</x:v>
      </x:c>
      <x:c r="G9" s="81" t="n">
        <x:f>COUNTIF('Quote Library'!$E$2:$E$500,C9)</x:f>
        <x:v>0</x:v>
      </x:c>
      <x:c r="H9" s="81" t="n">
        <x:f>COUNTIF('Story Library'!$I$2:$I$300,C9)</x:f>
        <x:v>0</x:v>
      </x:c>
      <x:c r="I9" s="81" t="n">
        <x:f>COUNTIF('Principle Library'!$N$2:$N$300,C9)</x:f>
        <x:v>0</x:v>
      </x:c>
      <x:c r="J9" s="81" t="str">
        <x:f>IF(G9=0,"Gap",IF(G9&lt;F9,"Building","Covered"))</x:f>
        <x:v>Gap</x:v>
      </x:c>
      <x:c r="K9" s="81" t="str"/>
    </x:row>
    <x:row r="10">
      <x:c r="A10" s="81" t="inlineStr">
        <x:is>
          <x:t xml:space="preserve">EXP-009</x:t>
        </x:is>
      </x:c>
      <x:c r="B10" s="81" t="inlineStr">
        <x:is>
          <x:t xml:space="preserve">Comparison / External standards / Values</x:t>
        </x:is>
      </x:c>
      <x:c r="C10" s="81" t="inlineStr">
        <x:is>
          <x:t xml:space="preserve">Thành công của người khác làm mình thấy nhỏ đi</x:t>
        </x:is>
      </x:c>
      <x:c r="D10" s="81" t="inlineStr">
        <x:is>
          <x:t xml:space="preserve">Người khác tiến lên còn mình đứng yên.</x:t>
        </x:is>
      </x:c>
      <x:c r="E10" s="81" t="inlineStr">
        <x:is>
          <x:t xml:space="preserve">Reframe</x:t>
        </x:is>
      </x:c>
      <x:c r="F10" s="81" t="n">
        <x:v>8</x:v>
      </x:c>
      <x:c r="G10" s="81" t="n">
        <x:f>COUNTIF('Quote Library'!$E$2:$E$500,C10)</x:f>
        <x:v>0</x:v>
      </x:c>
      <x:c r="H10" s="81" t="n">
        <x:f>COUNTIF('Story Library'!$I$2:$I$300,C10)</x:f>
        <x:v>0</x:v>
      </x:c>
      <x:c r="I10" s="81" t="n">
        <x:f>COUNTIF('Principle Library'!$N$2:$N$300,C10)</x:f>
        <x:v>0</x:v>
      </x:c>
      <x:c r="J10" s="81" t="str">
        <x:f>IF(G10=0,"Gap",IF(G10&lt;F10,"Building","Covered"))</x:f>
        <x:v>Gap</x:v>
      </x:c>
      <x:c r="K10" s="81" t="str"/>
    </x:row>
    <x:row r="11">
      <x:c r="A11" s="81" t="inlineStr">
        <x:is>
          <x:t xml:space="preserve">EXP-010</x:t>
        </x:is>
      </x:c>
      <x:c r="B11" s="81" t="inlineStr">
        <x:is>
          <x:t xml:space="preserve">Comparison / External standards / Values</x:t>
        </x:is>
      </x:c>
      <x:c r="C11" s="81" t="inlineStr">
        <x:is>
          <x:t xml:space="preserve">Sống bằng thước đo bên ngoài</x:t>
        </x:is>
      </x:c>
      <x:c r="D11" s="81" t="inlineStr">
        <x:is>
          <x:t xml:space="preserve">Mình đang dùng tiêu chuẩn của ai để đánh giá đời mình?</x:t>
        </x:is>
      </x:c>
      <x:c r="E11" s="81" t="inlineStr">
        <x:is>
          <x:t xml:space="preserve">Distinguish / Return agency</x:t>
        </x:is>
      </x:c>
      <x:c r="F11" s="81" t="n">
        <x:v>8</x:v>
      </x:c>
      <x:c r="G11" s="81" t="n">
        <x:f>COUNTIF('Quote Library'!$E$2:$E$500,C11)</x:f>
        <x:v>0</x:v>
      </x:c>
      <x:c r="H11" s="81" t="n">
        <x:f>COUNTIF('Story Library'!$I$2:$I$300,C11)</x:f>
        <x:v>0</x:v>
      </x:c>
      <x:c r="I11" s="81" t="n">
        <x:f>COUNTIF('Principle Library'!$N$2:$N$300,C11)</x:f>
        <x:v>0</x:v>
      </x:c>
      <x:c r="J11" s="81" t="str">
        <x:f>IF(G11=0,"Gap",IF(G11&lt;F11,"Building","Covered"))</x:f>
        <x:v>Gap</x:v>
      </x:c>
      <x:c r="K11" s="81" t="str"/>
    </x:row>
    <x:row r="12">
      <x:c r="A12" s="81" t="inlineStr">
        <x:is>
          <x:t xml:space="preserve">EXP-011</x:t>
        </x:is>
      </x:c>
      <x:c r="B12" s="81" t="inlineStr">
        <x:is>
          <x:t xml:space="preserve">Attention / Noise / Deep focus</x:t>
        </x:is>
      </x:c>
      <x:c r="C12" s="81" t="inlineStr">
        <x:is>
          <x:t xml:space="preserve">Tiếp nhận nhiều nhưng không nghe được mình</x:t>
        </x:is>
      </x:c>
      <x:c r="D12" s="81" t="inlineStr">
        <x:is>
          <x:t xml:space="preserve">Cả ngày có quá nhiều tiếng nói.</x:t>
        </x:is>
      </x:c>
      <x:c r="E12" s="81" t="inlineStr">
        <x:is>
          <x:t xml:space="preserve">Recognize / Distinguish</x:t>
        </x:is>
      </x:c>
      <x:c r="F12" s="81" t="n">
        <x:v>8</x:v>
      </x:c>
      <x:c r="G12" s="81" t="n">
        <x:f>COUNTIF('Quote Library'!$E$2:$E$500,C12)</x:f>
        <x:v>0</x:v>
      </x:c>
      <x:c r="H12" s="81" t="n">
        <x:f>COUNTIF('Story Library'!$I$2:$I$300,C12)</x:f>
        <x:v>0</x:v>
      </x:c>
      <x:c r="I12" s="81" t="n">
        <x:f>COUNTIF('Principle Library'!$N$2:$N$300,C12)</x:f>
        <x:v>0</x:v>
      </x:c>
      <x:c r="J12" s="81" t="str">
        <x:f>IF(G12=0,"Gap",IF(G12&lt;F12,"Building","Covered"))</x:f>
        <x:v>Gap</x:v>
      </x:c>
      <x:c r="K12" s="81" t="str"/>
    </x:row>
    <x:row r="13">
      <x:c r="A13" s="81" t="inlineStr">
        <x:is>
          <x:t xml:space="preserve">EXP-012</x:t>
        </x:is>
      </x:c>
      <x:c r="B13" s="81" t="inlineStr">
        <x:is>
          <x:t xml:space="preserve">Learning / Failure / Quiet growth</x:t>
        </x:is>
      </x:c>
      <x:c r="C13" s="81" t="inlineStr">
        <x:is>
          <x:t xml:space="preserve">Tiến bộ âm thầm</x:t>
        </x:is>
      </x:c>
      <x:c r="D13" s="81" t="inlineStr">
        <x:is>
          <x:t xml:space="preserve">Mình không thấy mình tiến bộ gì.</x:t>
        </x:is>
      </x:c>
      <x:c r="E13" s="81" t="inlineStr">
        <x:is>
          <x:t xml:space="preserve">Recognize / Reframe</x:t>
        </x:is>
      </x:c>
      <x:c r="F13" s="81" t="n">
        <x:v>8</x:v>
      </x:c>
      <x:c r="G13" s="81" t="n">
        <x:f>COUNTIF('Quote Library'!$E$2:$E$500,C13)</x:f>
        <x:v>0</x:v>
      </x:c>
      <x:c r="H13" s="81" t="n">
        <x:f>COUNTIF('Story Library'!$I$2:$I$300,C13)</x:f>
        <x:v>0</x:v>
      </x:c>
      <x:c r="I13" s="81" t="n">
        <x:f>COUNTIF('Principle Library'!$N$2:$N$300,C13)</x:f>
        <x:v>0</x:v>
      </x:c>
      <x:c r="J13" s="81" t="str">
        <x:f>IF(G13=0,"Gap",IF(G13&lt;F13,"Building","Covered"))</x:f>
        <x:v>Gap</x:v>
      </x:c>
      <x:c r="K13" s="81" t="str"/>
    </x:row>
    <x:row r="14">
      <x:c r="A14" s="81" t="inlineStr">
        <x:is>
          <x:t xml:space="preserve">EXP-013</x:t>
        </x:is>
      </x:c>
      <x:c r="B14" s="81" t="inlineStr">
        <x:is>
          <x:t xml:space="preserve">Mixed emotions / Emotional memory</x:t>
        </x:is>
      </x:c>
      <x:c r="C14" s="81" t="inlineStr">
        <x:is>
          <x:t xml:space="preserve">Hai cảm xúc trái chiều cùng tồn tại</x:t>
        </x:is>
      </x:c>
      <x:c r="D14" s="81" t="inlineStr">
        <x:is>
          <x:t xml:space="preserve">Mình vừa nhẹ nhõm vừa buồn.</x:t>
        </x:is>
      </x:c>
      <x:c r="E14" s="81" t="inlineStr">
        <x:is>
          <x:t xml:space="preserve">Permit / Distinguish</x:t>
        </x:is>
      </x:c>
      <x:c r="F14" s="81" t="n">
        <x:v>8</x:v>
      </x:c>
      <x:c r="G14" s="81" t="n">
        <x:f>COUNTIF('Quote Library'!$E$2:$E$500,C14)</x:f>
        <x:v>0</x:v>
      </x:c>
      <x:c r="H14" s="81" t="n">
        <x:f>COUNTIF('Story Library'!$I$2:$I$300,C14)</x:f>
        <x:v>0</x:v>
      </x:c>
      <x:c r="I14" s="81" t="n">
        <x:f>COUNTIF('Principle Library'!$N$2:$N$300,C14)</x:f>
        <x:v>0</x:v>
      </x:c>
      <x:c r="J14" s="81" t="str">
        <x:f>IF(G14=0,"Gap",IF(G14&lt;F14,"Building","Covered"))</x:f>
        <x:v>Gap</x:v>
      </x:c>
      <x:c r="K14" s="81" t="str"/>
    </x:row>
    <x:row r="15">
      <x:c r="A15" s="81" t="inlineStr">
        <x:is>
          <x:t xml:space="preserve">EXP-014</x:t>
        </x:is>
      </x:c>
      <x:c r="B15" s="81" t="inlineStr">
        <x:is>
          <x:t xml:space="preserve">Mixed emotions / Emotional memory</x:t>
        </x:is>
      </x:c>
      <x:c r="C15" s="81" t="inlineStr">
        <x:is>
          <x:t xml:space="preserve">Trải nghiệm cũ đi vào phản ứng mới</x:t>
        </x:is>
      </x:c>
      <x:c r="D15" s="81" t="inlineStr">
        <x:is>
          <x:t xml:space="preserve">Sao chuyện nhỏ này lại làm mình phản ứng mạnh vậy?</x:t>
        </x:is>
      </x:c>
      <x:c r="E15" s="81" t="inlineStr">
        <x:is>
          <x:t xml:space="preserve">Recognize / Name</x:t>
        </x:is>
      </x:c>
      <x:c r="F15" s="81" t="n">
        <x:v>8</x:v>
      </x:c>
      <x:c r="G15" s="81" t="n">
        <x:f>COUNTIF('Quote Library'!$E$2:$E$500,C15)</x:f>
        <x:v>0</x:v>
      </x:c>
      <x:c r="H15" s="81" t="n">
        <x:f>COUNTIF('Story Library'!$I$2:$I$300,C15)</x:f>
        <x:v>0</x:v>
      </x:c>
      <x:c r="I15" s="81" t="n">
        <x:f>COUNTIF('Principle Library'!$N$2:$N$300,C15)</x:f>
        <x:v>0</x:v>
      </x:c>
      <x:c r="J15" s="81" t="str">
        <x:f>IF(G15=0,"Gap",IF(G15&lt;F15,"Building","Covered"))</x:f>
        <x:v>Gap</x:v>
      </x:c>
      <x:c r="K15" s="81" t="str"/>
    </x:row>
    <x:row r="16">
      <x:c r="A16" s="81" t="inlineStr">
        <x:is>
          <x:t xml:space="preserve">EXP-015</x:t>
        </x:is>
      </x:c>
      <x:c r="B16" s="81" t="inlineStr">
        <x:is>
          <x:t xml:space="preserve">Meaning / Identity / Work</x:t>
        </x:is>
      </x:c>
      <x:c r="C16" s="81" t="inlineStr">
        <x:is>
          <x:t xml:space="preserve">Bản sắc khi công việc thay đổi</x:t>
        </x:is>
      </x:c>
      <x:c r="D16" s="81" t="inlineStr">
        <x:is>
          <x:t xml:space="preserve">Nếu công việc này không còn, mình còn là ai?</x:t>
        </x:is>
      </x:c>
      <x:c r="E16" s="81" t="inlineStr">
        <x:is>
          <x:t xml:space="preserve">Recognize / Return agency</x:t>
        </x:is>
      </x:c>
      <x:c r="F16" s="81" t="n">
        <x:v>8</x:v>
      </x:c>
      <x:c r="G16" s="81" t="n">
        <x:f>COUNTIF('Quote Library'!$E$2:$E$500,C16)</x:f>
        <x:v>0</x:v>
      </x:c>
      <x:c r="H16" s="81" t="n">
        <x:f>COUNTIF('Story Library'!$I$2:$I$300,C16)</x:f>
        <x:v>0</x:v>
      </x:c>
      <x:c r="I16" s="81" t="n">
        <x:f>COUNTIF('Principle Library'!$N$2:$N$300,C16)</x:f>
        <x:v>0</x:v>
      </x:c>
      <x:c r="J16" s="81" t="str">
        <x:f>IF(G16=0,"Gap",IF(G16&lt;F16,"Building","Covered"))</x:f>
        <x:v>Gap</x:v>
      </x:c>
      <x:c r="K16" s="81" t="str"/>
    </x:row>
    <x:row r="17">
      <x:c r="A17" s="81" t="inlineStr">
        <x:is>
          <x:t xml:space="preserve">EXP-016</x:t>
        </x:is>
      </x:c>
      <x:c r="B17" s="81" t="inlineStr">
        <x:is>
          <x:t xml:space="preserve">AI-age Human Judgment</x:t>
        </x:is>
      </x:c>
      <x:c r="C17" s="81" t="inlineStr">
        <x:is>
          <x:t xml:space="preserve">Nhiều output nhưng judgment vẫn là của mình</x:t>
        </x:is>
      </x:c>
      <x:c r="D17" s="81" t="inlineStr">
        <x:is>
          <x:t xml:space="preserve">Có rất nhiều câu trả lời, nhưng câu nào thật sự là của mình?</x:t>
        </x:is>
      </x:c>
      <x:c r="E17" s="81" t="inlineStr">
        <x:is>
          <x:t xml:space="preserve">Distinguish / Return agency</x:t>
        </x:is>
      </x:c>
      <x:c r="F17" s="81" t="n">
        <x:v>8</x:v>
      </x:c>
      <x:c r="G17" s="81" t="n">
        <x:f>COUNTIF('Quote Library'!$E$2:$E$500,C17)</x:f>
        <x:v>0</x:v>
      </x:c>
      <x:c r="H17" s="81" t="n">
        <x:f>COUNTIF('Story Library'!$I$2:$I$300,C17)</x:f>
        <x:v>0</x:v>
      </x:c>
      <x:c r="I17" s="81" t="n">
        <x:f>COUNTIF('Principle Library'!$N$2:$N$300,C17)</x:f>
        <x:v>0</x:v>
      </x:c>
      <x:c r="J17" s="81" t="str">
        <x:f>IF(G17=0,"Gap",IF(G17&lt;F17,"Building","Covered"))</x:f>
        <x:v>Gap</x:v>
      </x:c>
      <x:c r="K17" s="81" t="str"/>
    </x:row>
    <x:row r="18">
      <x:c r="A18" s="81" t="n"/>
      <x:c r="B18" s="81" t="n"/>
      <x:c r="C18" s="81" t="n"/>
      <x:c r="D18" s="81" t="n"/>
      <x:c r="E18" s="81" t="n"/>
      <x:c r="F18" s="81" t="n"/>
      <x:c r="G18" s="81" t="n"/>
      <x:c r="H18" s="81" t="n"/>
      <x:c r="I18" s="81" t="n"/>
      <x:c r="J18" s="81" t="n"/>
      <x:c r="K18" s="81" t="n"/>
    </x:row>
    <x:row r="19">
      <x:c r="A19" s="81" t="n"/>
      <x:c r="B19" s="81" t="n"/>
      <x:c r="C19" s="81" t="n"/>
      <x:c r="D19" s="81" t="n"/>
      <x:c r="E19" s="81" t="n"/>
      <x:c r="F19" s="81" t="n"/>
      <x:c r="G19" s="81" t="n"/>
      <x:c r="H19" s="81" t="n"/>
      <x:c r="I19" s="81" t="n"/>
      <x:c r="J19" s="81" t="n"/>
      <x:c r="K19" s="81" t="n"/>
    </x:row>
    <x:row r="20">
      <x:c r="A20" s="81" t="n"/>
      <x:c r="B20" s="81" t="n"/>
      <x:c r="C20" s="81" t="n"/>
      <x:c r="D20" s="81" t="n"/>
      <x:c r="E20" s="81" t="n"/>
      <x:c r="F20" s="81" t="n"/>
      <x:c r="G20" s="81" t="n"/>
      <x:c r="H20" s="81" t="n"/>
      <x:c r="I20" s="81" t="n"/>
      <x:c r="J20" s="81" t="n"/>
      <x:c r="K20" s="81" t="n"/>
    </x:row>
    <x:row r="21">
      <x:c r="A21" s="81" t="n"/>
      <x:c r="B21" s="81" t="n"/>
      <x:c r="C21" s="81" t="n"/>
      <x:c r="D21" s="81" t="n"/>
      <x:c r="E21" s="81" t="n"/>
      <x:c r="F21" s="81" t="n"/>
      <x:c r="G21" s="81" t="n"/>
      <x:c r="H21" s="81" t="n"/>
      <x:c r="I21" s="81" t="n"/>
      <x:c r="J21" s="81" t="n"/>
      <x:c r="K21" s="81" t="n"/>
    </x:row>
    <x:row r="22">
      <x:c r="A22" s="81" t="n"/>
      <x:c r="B22" s="81" t="n"/>
      <x:c r="C22" s="81" t="n"/>
      <x:c r="D22" s="81" t="n"/>
      <x:c r="E22" s="81" t="n"/>
      <x:c r="F22" s="81" t="n"/>
      <x:c r="G22" s="81" t="n"/>
      <x:c r="H22" s="81" t="n"/>
      <x:c r="I22" s="81" t="n"/>
      <x:c r="J22" s="81" t="n"/>
      <x:c r="K22" s="81" t="n"/>
    </x:row>
    <x:row r="23">
      <x:c r="A23" s="81" t="n"/>
      <x:c r="B23" s="81" t="n"/>
      <x:c r="C23" s="81" t="n"/>
      <x:c r="D23" s="81" t="n"/>
      <x:c r="E23" s="81" t="n"/>
      <x:c r="F23" s="81" t="n"/>
      <x:c r="G23" s="81" t="n"/>
      <x:c r="H23" s="81" t="n"/>
      <x:c r="I23" s="81" t="n"/>
      <x:c r="J23" s="81" t="n"/>
      <x:c r="K23" s="81" t="n"/>
    </x:row>
    <x:row r="24">
      <x:c r="A24" s="81" t="n"/>
      <x:c r="B24" s="81" t="n"/>
      <x:c r="C24" s="81" t="n"/>
      <x:c r="D24" s="81" t="n"/>
      <x:c r="E24" s="81" t="n"/>
      <x:c r="F24" s="81" t="n"/>
      <x:c r="G24" s="81" t="n"/>
      <x:c r="H24" s="81" t="n"/>
      <x:c r="I24" s="81" t="n"/>
      <x:c r="J24" s="81" t="n"/>
      <x:c r="K24" s="81" t="n"/>
    </x:row>
    <x:row r="25">
      <x:c r="A25" s="81" t="n"/>
      <x:c r="B25" s="81" t="n"/>
      <x:c r="C25" s="81" t="n"/>
      <x:c r="D25" s="81" t="n"/>
      <x:c r="E25" s="81" t="n"/>
      <x:c r="F25" s="81" t="n"/>
      <x:c r="G25" s="81" t="n"/>
      <x:c r="H25" s="81" t="n"/>
      <x:c r="I25" s="81" t="n"/>
      <x:c r="J25" s="81" t="n"/>
      <x:c r="K25" s="81" t="n"/>
    </x:row>
    <x:row r="26">
      <x:c r="A26" s="81" t="n"/>
      <x:c r="B26" s="81" t="n"/>
      <x:c r="C26" s="81" t="n"/>
      <x:c r="D26" s="81" t="n"/>
      <x:c r="E26" s="81" t="n"/>
      <x:c r="F26" s="81" t="n"/>
      <x:c r="G26" s="81" t="n"/>
      <x:c r="H26" s="81" t="n"/>
      <x:c r="I26" s="81" t="n"/>
      <x:c r="J26" s="81" t="n"/>
      <x:c r="K26" s="81" t="n"/>
    </x:row>
    <x:row r="27">
      <x:c r="A27" s="81" t="n"/>
      <x:c r="B27" s="81" t="n"/>
      <x:c r="C27" s="81" t="n"/>
      <x:c r="D27" s="81" t="n"/>
      <x:c r="E27" s="81" t="n"/>
      <x:c r="F27" s="81" t="n"/>
      <x:c r="G27" s="81" t="n"/>
      <x:c r="H27" s="81" t="n"/>
      <x:c r="I27" s="81" t="n"/>
      <x:c r="J27" s="81" t="n"/>
      <x:c r="K27" s="81" t="n"/>
    </x:row>
    <x:row r="28">
      <x:c r="A28" s="81" t="n"/>
      <x:c r="B28" s="81" t="n"/>
      <x:c r="C28" s="81" t="n"/>
      <x:c r="D28" s="81" t="n"/>
      <x:c r="E28" s="81" t="n"/>
      <x:c r="F28" s="81" t="n"/>
      <x:c r="G28" s="81" t="n"/>
      <x:c r="H28" s="81" t="n"/>
      <x:c r="I28" s="81" t="n"/>
      <x:c r="J28" s="81" t="n"/>
      <x:c r="K28" s="81" t="n"/>
    </x:row>
    <x:row r="29">
      <x:c r="A29" s="81" t="n"/>
      <x:c r="B29" s="81" t="n"/>
      <x:c r="C29" s="81" t="n"/>
      <x:c r="D29" s="81" t="n"/>
      <x:c r="E29" s="81" t="n"/>
      <x:c r="F29" s="81" t="n"/>
      <x:c r="G29" s="81" t="n"/>
      <x:c r="H29" s="81" t="n"/>
      <x:c r="I29" s="81" t="n"/>
      <x:c r="J29" s="81" t="n"/>
      <x:c r="K29" s="81" t="n"/>
    </x:row>
    <x:row r="30">
      <x:c r="A30" s="81" t="n"/>
      <x:c r="B30" s="81" t="n"/>
      <x:c r="C30" s="81" t="n"/>
      <x:c r="D30" s="81" t="n"/>
      <x:c r="E30" s="81" t="n"/>
      <x:c r="F30" s="81" t="n"/>
      <x:c r="G30" s="81" t="n"/>
      <x:c r="H30" s="81" t="n"/>
      <x:c r="I30" s="81" t="n"/>
      <x:c r="J30" s="81" t="n"/>
      <x:c r="K30" s="81" t="n"/>
    </x:row>
    <x:row r="31">
      <x:c r="A31" s="81" t="n"/>
      <x:c r="B31" s="81" t="n"/>
      <x:c r="C31" s="81" t="n"/>
      <x:c r="D31" s="81" t="n"/>
      <x:c r="E31" s="81" t="n"/>
      <x:c r="F31" s="81" t="n"/>
      <x:c r="G31" s="81" t="n"/>
      <x:c r="H31" s="81" t="n"/>
      <x:c r="I31" s="81" t="n"/>
      <x:c r="J31" s="81" t="n"/>
      <x:c r="K31" s="81" t="n"/>
    </x:row>
    <x:row r="32">
      <x:c r="A32" s="81" t="n"/>
      <x:c r="B32" s="81" t="n"/>
      <x:c r="C32" s="81" t="n"/>
      <x:c r="D32" s="81" t="n"/>
      <x:c r="E32" s="81" t="n"/>
      <x:c r="F32" s="81" t="n"/>
      <x:c r="G32" s="81" t="n"/>
      <x:c r="H32" s="81" t="n"/>
      <x:c r="I32" s="81" t="n"/>
      <x:c r="J32" s="81" t="n"/>
      <x:c r="K32" s="81" t="n"/>
    </x:row>
    <x:row r="33">
      <x:c r="A33" s="81" t="n"/>
      <x:c r="B33" s="81" t="n"/>
      <x:c r="C33" s="81" t="n"/>
      <x:c r="D33" s="81" t="n"/>
      <x:c r="E33" s="81" t="n"/>
      <x:c r="F33" s="81" t="n"/>
      <x:c r="G33" s="81" t="n"/>
      <x:c r="H33" s="81" t="n"/>
      <x:c r="I33" s="81" t="n"/>
      <x:c r="J33" s="81" t="n"/>
      <x:c r="K33" s="81" t="n"/>
    </x:row>
    <x:row r="34">
      <x:c r="A34" s="81" t="n"/>
      <x:c r="B34" s="81" t="n"/>
      <x:c r="C34" s="81" t="n"/>
      <x:c r="D34" s="81" t="n"/>
      <x:c r="E34" s="81" t="n"/>
      <x:c r="F34" s="81" t="n"/>
      <x:c r="G34" s="81" t="n"/>
      <x:c r="H34" s="81" t="n"/>
      <x:c r="I34" s="81" t="n"/>
      <x:c r="J34" s="81" t="n"/>
      <x:c r="K34" s="81" t="n"/>
    </x:row>
    <x:row r="35">
      <x:c r="A35" s="81" t="n"/>
      <x:c r="B35" s="81" t="n"/>
      <x:c r="C35" s="81" t="n"/>
      <x:c r="D35" s="81" t="n"/>
      <x:c r="E35" s="81" t="n"/>
      <x:c r="F35" s="81" t="n"/>
      <x:c r="G35" s="81" t="n"/>
      <x:c r="H35" s="81" t="n"/>
      <x:c r="I35" s="81" t="n"/>
      <x:c r="J35" s="81" t="n"/>
      <x:c r="K35" s="81" t="n"/>
    </x:row>
    <x:row r="36">
      <x:c r="A36" s="81" t="n"/>
      <x:c r="B36" s="81" t="n"/>
      <x:c r="C36" s="81" t="n"/>
      <x:c r="D36" s="81" t="n"/>
      <x:c r="E36" s="81" t="n"/>
      <x:c r="F36" s="81" t="n"/>
      <x:c r="G36" s="81" t="n"/>
      <x:c r="H36" s="81" t="n"/>
      <x:c r="I36" s="81" t="n"/>
      <x:c r="J36" s="81" t="n"/>
      <x:c r="K36" s="81" t="n"/>
    </x:row>
    <x:row r="37">
      <x:c r="A37" s="81" t="n"/>
      <x:c r="B37" s="81" t="n"/>
      <x:c r="C37" s="81" t="n"/>
      <x:c r="D37" s="81" t="n"/>
      <x:c r="E37" s="81" t="n"/>
      <x:c r="F37" s="81" t="n"/>
      <x:c r="G37" s="81" t="n"/>
      <x:c r="H37" s="81" t="n"/>
      <x:c r="I37" s="81" t="n"/>
      <x:c r="J37" s="81" t="n"/>
      <x:c r="K37" s="81" t="n"/>
    </x:row>
    <x:row r="38">
      <x:c r="A38" s="81" t="n"/>
      <x:c r="B38" s="81" t="n"/>
      <x:c r="C38" s="81" t="n"/>
      <x:c r="D38" s="81" t="n"/>
      <x:c r="E38" s="81" t="n"/>
      <x:c r="F38" s="81" t="n"/>
      <x:c r="G38" s="81" t="n"/>
      <x:c r="H38" s="81" t="n"/>
      <x:c r="I38" s="81" t="n"/>
      <x:c r="J38" s="81" t="n"/>
      <x:c r="K38" s="81" t="n"/>
    </x:row>
    <x:row r="39">
      <x:c r="A39" s="81" t="n"/>
      <x:c r="B39" s="81" t="n"/>
      <x:c r="C39" s="81" t="n"/>
      <x:c r="D39" s="81" t="n"/>
      <x:c r="E39" s="81" t="n"/>
      <x:c r="F39" s="81" t="n"/>
      <x:c r="G39" s="81" t="n"/>
      <x:c r="H39" s="81" t="n"/>
      <x:c r="I39" s="81" t="n"/>
      <x:c r="J39" s="81" t="n"/>
      <x:c r="K39" s="81" t="n"/>
    </x:row>
    <x:row r="40">
      <x:c r="A40" s="81" t="n"/>
      <x:c r="B40" s="81" t="n"/>
      <x:c r="C40" s="81" t="n"/>
      <x:c r="D40" s="81" t="n"/>
      <x:c r="E40" s="81" t="n"/>
      <x:c r="F40" s="81" t="n"/>
      <x:c r="G40" s="81" t="n"/>
      <x:c r="H40" s="81" t="n"/>
      <x:c r="I40" s="81" t="n"/>
      <x:c r="J40" s="81" t="n"/>
      <x:c r="K40" s="81" t="n"/>
    </x:row>
    <x:row r="41">
      <x:c r="A41" s="81" t="n"/>
      <x:c r="B41" s="81" t="n"/>
      <x:c r="C41" s="81" t="n"/>
      <x:c r="D41" s="81" t="n"/>
      <x:c r="E41" s="81" t="n"/>
      <x:c r="F41" s="81" t="n"/>
      <x:c r="G41" s="81" t="n"/>
      <x:c r="H41" s="81" t="n"/>
      <x:c r="I41" s="81" t="n"/>
      <x:c r="J41" s="81" t="n"/>
      <x:c r="K41" s="81" t="n"/>
    </x:row>
    <x:row r="42">
      <x:c r="A42" s="81" t="n"/>
      <x:c r="B42" s="81" t="n"/>
      <x:c r="C42" s="81" t="n"/>
      <x:c r="D42" s="81" t="n"/>
      <x:c r="E42" s="81" t="n"/>
      <x:c r="F42" s="81" t="n"/>
      <x:c r="G42" s="81" t="n"/>
      <x:c r="H42" s="81" t="n"/>
      <x:c r="I42" s="81" t="n"/>
      <x:c r="J42" s="81" t="n"/>
      <x:c r="K42" s="81" t="n"/>
    </x:row>
    <x:row r="43">
      <x:c r="A43" s="81" t="n"/>
      <x:c r="B43" s="81" t="n"/>
      <x:c r="C43" s="81" t="n"/>
      <x:c r="D43" s="81" t="n"/>
      <x:c r="E43" s="81" t="n"/>
      <x:c r="F43" s="81" t="n"/>
      <x:c r="G43" s="81" t="n"/>
      <x:c r="H43" s="81" t="n"/>
      <x:c r="I43" s="81" t="n"/>
      <x:c r="J43" s="81" t="n"/>
      <x:c r="K43" s="81" t="n"/>
    </x:row>
    <x:row r="44">
      <x:c r="A44" s="81" t="n"/>
      <x:c r="B44" s="81" t="n"/>
      <x:c r="C44" s="81" t="n"/>
      <x:c r="D44" s="81" t="n"/>
      <x:c r="E44" s="81" t="n"/>
      <x:c r="F44" s="81" t="n"/>
      <x:c r="G44" s="81" t="n"/>
      <x:c r="H44" s="81" t="n"/>
      <x:c r="I44" s="81" t="n"/>
      <x:c r="J44" s="81" t="n"/>
      <x:c r="K44" s="81" t="n"/>
    </x:row>
    <x:row r="45">
      <x:c r="A45" s="81" t="n"/>
      <x:c r="B45" s="81" t="n"/>
      <x:c r="C45" s="81" t="n"/>
      <x:c r="D45" s="81" t="n"/>
      <x:c r="E45" s="81" t="n"/>
      <x:c r="F45" s="81" t="n"/>
      <x:c r="G45" s="81" t="n"/>
      <x:c r="H45" s="81" t="n"/>
      <x:c r="I45" s="81" t="n"/>
      <x:c r="J45" s="81" t="n"/>
      <x:c r="K45" s="81" t="n"/>
    </x:row>
    <x:row r="46">
      <x:c r="A46" s="81" t="n"/>
      <x:c r="B46" s="81" t="n"/>
      <x:c r="C46" s="81" t="n"/>
      <x:c r="D46" s="81" t="n"/>
      <x:c r="E46" s="81" t="n"/>
      <x:c r="F46" s="81" t="n"/>
      <x:c r="G46" s="81" t="n"/>
      <x:c r="H46" s="81" t="n"/>
      <x:c r="I46" s="81" t="n"/>
      <x:c r="J46" s="81" t="n"/>
      <x:c r="K46" s="81" t="n"/>
    </x:row>
    <x:row r="47">
      <x:c r="A47" s="81" t="n"/>
      <x:c r="B47" s="81" t="n"/>
      <x:c r="C47" s="81" t="n"/>
      <x:c r="D47" s="81" t="n"/>
      <x:c r="E47" s="81" t="n"/>
      <x:c r="F47" s="81" t="n"/>
      <x:c r="G47" s="81" t="n"/>
      <x:c r="H47" s="81" t="n"/>
      <x:c r="I47" s="81" t="n"/>
      <x:c r="J47" s="81" t="n"/>
      <x:c r="K47" s="81" t="n"/>
    </x:row>
    <x:row r="48">
      <x:c r="A48" s="81" t="n"/>
      <x:c r="B48" s="81" t="n"/>
      <x:c r="C48" s="81" t="n"/>
      <x:c r="D48" s="81" t="n"/>
      <x:c r="E48" s="81" t="n"/>
      <x:c r="F48" s="81" t="n"/>
      <x:c r="G48" s="81" t="n"/>
      <x:c r="H48" s="81" t="n"/>
      <x:c r="I48" s="81" t="n"/>
      <x:c r="J48" s="81" t="n"/>
      <x:c r="K48" s="81" t="n"/>
    </x:row>
    <x:row r="49">
      <x:c r="A49" s="81" t="n"/>
      <x:c r="B49" s="81" t="n"/>
      <x:c r="C49" s="81" t="n"/>
      <x:c r="D49" s="81" t="n"/>
      <x:c r="E49" s="81" t="n"/>
      <x:c r="F49" s="81" t="n"/>
      <x:c r="G49" s="81" t="n"/>
      <x:c r="H49" s="81" t="n"/>
      <x:c r="I49" s="81" t="n"/>
      <x:c r="J49" s="81" t="n"/>
      <x:c r="K49" s="81" t="n"/>
    </x:row>
    <x:row r="50">
      <x:c r="A50" s="81" t="n"/>
      <x:c r="B50" s="81" t="n"/>
      <x:c r="C50" s="81" t="n"/>
      <x:c r="D50" s="81" t="n"/>
      <x:c r="E50" s="81" t="n"/>
      <x:c r="F50" s="81" t="n"/>
      <x:c r="G50" s="81" t="n"/>
      <x:c r="H50" s="81" t="n"/>
      <x:c r="I50" s="81" t="n"/>
      <x:c r="J50" s="81" t="n"/>
      <x:c r="K50" s="81" t="n"/>
    </x:row>
    <x:row r="51">
      <x:c r="A51" s="81" t="n"/>
      <x:c r="B51" s="81" t="n"/>
      <x:c r="C51" s="81" t="n"/>
      <x:c r="D51" s="81" t="n"/>
      <x:c r="E51" s="81" t="n"/>
      <x:c r="F51" s="81" t="n"/>
      <x:c r="G51" s="81" t="n"/>
      <x:c r="H51" s="81" t="n"/>
      <x:c r="I51" s="81" t="n"/>
      <x:c r="J51" s="81" t="n"/>
      <x:c r="K51" s="81" t="n"/>
    </x:row>
    <x:row r="52">
      <x:c r="A52" s="81" t="n"/>
      <x:c r="B52" s="81" t="n"/>
      <x:c r="C52" s="81" t="n"/>
      <x:c r="D52" s="81" t="n"/>
      <x:c r="E52" s="81" t="n"/>
      <x:c r="F52" s="81" t="n"/>
      <x:c r="G52" s="81" t="n"/>
      <x:c r="H52" s="81" t="n"/>
      <x:c r="I52" s="81" t="n"/>
      <x:c r="J52" s="81" t="n"/>
      <x:c r="K52" s="81" t="n"/>
    </x:row>
    <x:row r="53">
      <x:c r="A53" s="81" t="n"/>
      <x:c r="B53" s="81" t="n"/>
      <x:c r="C53" s="81" t="n"/>
      <x:c r="D53" s="81" t="n"/>
      <x:c r="E53" s="81" t="n"/>
      <x:c r="F53" s="81" t="n"/>
      <x:c r="G53" s="81" t="n"/>
      <x:c r="H53" s="81" t="n"/>
      <x:c r="I53" s="81" t="n"/>
      <x:c r="J53" s="81" t="n"/>
      <x:c r="K53" s="81" t="n"/>
    </x:row>
    <x:row r="54">
      <x:c r="A54" s="81" t="n"/>
      <x:c r="B54" s="81" t="n"/>
      <x:c r="C54" s="81" t="n"/>
      <x:c r="D54" s="81" t="n"/>
      <x:c r="E54" s="81" t="n"/>
      <x:c r="F54" s="81" t="n"/>
      <x:c r="G54" s="81" t="n"/>
      <x:c r="H54" s="81" t="n"/>
      <x:c r="I54" s="81" t="n"/>
      <x:c r="J54" s="81" t="n"/>
      <x:c r="K54" s="81" t="n"/>
    </x:row>
    <x:row r="55">
      <x:c r="A55" s="81" t="n"/>
      <x:c r="B55" s="81" t="n"/>
      <x:c r="C55" s="81" t="n"/>
      <x:c r="D55" s="81" t="n"/>
      <x:c r="E55" s="81" t="n"/>
      <x:c r="F55" s="81" t="n"/>
      <x:c r="G55" s="81" t="n"/>
      <x:c r="H55" s="81" t="n"/>
      <x:c r="I55" s="81" t="n"/>
      <x:c r="J55" s="81" t="n"/>
      <x:c r="K55" s="81" t="n"/>
    </x:row>
    <x:row r="56">
      <x:c r="A56" s="81" t="n"/>
      <x:c r="B56" s="81" t="n"/>
      <x:c r="C56" s="81" t="n"/>
      <x:c r="D56" s="81" t="n"/>
      <x:c r="E56" s="81" t="n"/>
      <x:c r="F56" s="81" t="n"/>
      <x:c r="G56" s="81" t="n"/>
      <x:c r="H56" s="81" t="n"/>
      <x:c r="I56" s="81" t="n"/>
      <x:c r="J56" s="81" t="n"/>
      <x:c r="K56" s="81" t="n"/>
    </x:row>
    <x:row r="57">
      <x:c r="A57" s="81" t="n"/>
      <x:c r="B57" s="81" t="n"/>
      <x:c r="C57" s="81" t="n"/>
      <x:c r="D57" s="81" t="n"/>
      <x:c r="E57" s="81" t="n"/>
      <x:c r="F57" s="81" t="n"/>
      <x:c r="G57" s="81" t="n"/>
      <x:c r="H57" s="81" t="n"/>
      <x:c r="I57" s="81" t="n"/>
      <x:c r="J57" s="81" t="n"/>
      <x:c r="K57" s="81" t="n"/>
    </x:row>
    <x:row r="58">
      <x:c r="A58" s="81" t="n"/>
      <x:c r="B58" s="81" t="n"/>
      <x:c r="C58" s="81" t="n"/>
      <x:c r="D58" s="81" t="n"/>
      <x:c r="E58" s="81" t="n"/>
      <x:c r="F58" s="81" t="n"/>
      <x:c r="G58" s="81" t="n"/>
      <x:c r="H58" s="81" t="n"/>
      <x:c r="I58" s="81" t="n"/>
      <x:c r="J58" s="81" t="n"/>
      <x:c r="K58" s="81" t="n"/>
    </x:row>
    <x:row r="59">
      <x:c r="A59" s="81" t="n"/>
      <x:c r="B59" s="81" t="n"/>
      <x:c r="C59" s="81" t="n"/>
      <x:c r="D59" s="81" t="n"/>
      <x:c r="E59" s="81" t="n"/>
      <x:c r="F59" s="81" t="n"/>
      <x:c r="G59" s="81" t="n"/>
      <x:c r="H59" s="81" t="n"/>
      <x:c r="I59" s="81" t="n"/>
      <x:c r="J59" s="81" t="n"/>
      <x:c r="K59" s="81" t="n"/>
    </x:row>
    <x:row r="60">
      <x:c r="A60" s="81" t="n"/>
      <x:c r="B60" s="81" t="n"/>
      <x:c r="C60" s="81" t="n"/>
      <x:c r="D60" s="81" t="n"/>
      <x:c r="E60" s="81" t="n"/>
      <x:c r="F60" s="81" t="n"/>
      <x:c r="G60" s="81" t="n"/>
      <x:c r="H60" s="81" t="n"/>
      <x:c r="I60" s="81" t="n"/>
      <x:c r="J60" s="81" t="n"/>
      <x:c r="K60" s="81" t="n"/>
    </x:row>
    <x:row r="61">
      <x:c r="A61" s="81" t="n"/>
      <x:c r="B61" s="81" t="n"/>
      <x:c r="C61" s="81" t="n"/>
      <x:c r="D61" s="81" t="n"/>
      <x:c r="E61" s="81" t="n"/>
      <x:c r="F61" s="81" t="n"/>
      <x:c r="G61" s="81" t="n"/>
      <x:c r="H61" s="81" t="n"/>
      <x:c r="I61" s="81" t="n"/>
      <x:c r="J61" s="81" t="n"/>
      <x:c r="K61" s="81" t="n"/>
    </x:row>
    <x:row r="62">
      <x:c r="A62" s="81" t="n"/>
      <x:c r="B62" s="81" t="n"/>
      <x:c r="C62" s="81" t="n"/>
      <x:c r="D62" s="81" t="n"/>
      <x:c r="E62" s="81" t="n"/>
      <x:c r="F62" s="81" t="n"/>
      <x:c r="G62" s="81" t="n"/>
      <x:c r="H62" s="81" t="n"/>
      <x:c r="I62" s="81" t="n"/>
      <x:c r="J62" s="81" t="n"/>
      <x:c r="K62" s="81" t="n"/>
    </x:row>
    <x:row r="63">
      <x:c r="A63" s="81" t="n"/>
      <x:c r="B63" s="81" t="n"/>
      <x:c r="C63" s="81" t="n"/>
      <x:c r="D63" s="81" t="n"/>
      <x:c r="E63" s="81" t="n"/>
      <x:c r="F63" s="81" t="n"/>
      <x:c r="G63" s="81" t="n"/>
      <x:c r="H63" s="81" t="n"/>
      <x:c r="I63" s="81" t="n"/>
      <x:c r="J63" s="81" t="n"/>
      <x:c r="K63" s="81" t="n"/>
    </x:row>
    <x:row r="64">
      <x:c r="A64" s="81" t="n"/>
      <x:c r="B64" s="81" t="n"/>
      <x:c r="C64" s="81" t="n"/>
      <x:c r="D64" s="81" t="n"/>
      <x:c r="E64" s="81" t="n"/>
      <x:c r="F64" s="81" t="n"/>
      <x:c r="G64" s="81" t="n"/>
      <x:c r="H64" s="81" t="n"/>
      <x:c r="I64" s="81" t="n"/>
      <x:c r="J64" s="81" t="n"/>
      <x:c r="K64" s="81" t="n"/>
    </x:row>
    <x:row r="65">
      <x:c r="A65" s="81" t="n"/>
      <x:c r="B65" s="81" t="n"/>
      <x:c r="C65" s="81" t="n"/>
      <x:c r="D65" s="81" t="n"/>
      <x:c r="E65" s="81" t="n"/>
      <x:c r="F65" s="81" t="n"/>
      <x:c r="G65" s="81" t="n"/>
      <x:c r="H65" s="81" t="n"/>
      <x:c r="I65" s="81" t="n"/>
      <x:c r="J65" s="81" t="n"/>
      <x:c r="K65" s="81" t="n"/>
    </x:row>
    <x:row r="66">
      <x:c r="A66" s="81" t="n"/>
      <x:c r="B66" s="81" t="n"/>
      <x:c r="C66" s="81" t="n"/>
      <x:c r="D66" s="81" t="n"/>
      <x:c r="E66" s="81" t="n"/>
      <x:c r="F66" s="81" t="n"/>
      <x:c r="G66" s="81" t="n"/>
      <x:c r="H66" s="81" t="n"/>
      <x:c r="I66" s="81" t="n"/>
      <x:c r="J66" s="81" t="n"/>
      <x:c r="K66" s="81" t="n"/>
    </x:row>
    <x:row r="67">
      <x:c r="A67" s="81" t="n"/>
      <x:c r="B67" s="81" t="n"/>
      <x:c r="C67" s="81" t="n"/>
      <x:c r="D67" s="81" t="n"/>
      <x:c r="E67" s="81" t="n"/>
      <x:c r="F67" s="81" t="n"/>
      <x:c r="G67" s="81" t="n"/>
      <x:c r="H67" s="81" t="n"/>
      <x:c r="I67" s="81" t="n"/>
      <x:c r="J67" s="81" t="n"/>
      <x:c r="K67" s="81" t="n"/>
    </x:row>
    <x:row r="68">
      <x:c r="A68" s="81" t="n"/>
      <x:c r="B68" s="81" t="n"/>
      <x:c r="C68" s="81" t="n"/>
      <x:c r="D68" s="81" t="n"/>
      <x:c r="E68" s="81" t="n"/>
      <x:c r="F68" s="81" t="n"/>
      <x:c r="G68" s="81" t="n"/>
      <x:c r="H68" s="81" t="n"/>
      <x:c r="I68" s="81" t="n"/>
      <x:c r="J68" s="81" t="n"/>
      <x:c r="K68" s="81" t="n"/>
    </x:row>
    <x:row r="69">
      <x:c r="A69" s="81" t="n"/>
      <x:c r="B69" s="81" t="n"/>
      <x:c r="C69" s="81" t="n"/>
      <x:c r="D69" s="81" t="n"/>
      <x:c r="E69" s="81" t="n"/>
      <x:c r="F69" s="81" t="n"/>
      <x:c r="G69" s="81" t="n"/>
      <x:c r="H69" s="81" t="n"/>
      <x:c r="I69" s="81" t="n"/>
      <x:c r="J69" s="81" t="n"/>
      <x:c r="K69" s="81" t="n"/>
    </x:row>
    <x:row r="70">
      <x:c r="A70" s="81" t="n"/>
      <x:c r="B70" s="81" t="n"/>
      <x:c r="C70" s="81" t="n"/>
      <x:c r="D70" s="81" t="n"/>
      <x:c r="E70" s="81" t="n"/>
      <x:c r="F70" s="81" t="n"/>
      <x:c r="G70" s="81" t="n"/>
      <x:c r="H70" s="81" t="n"/>
      <x:c r="I70" s="81" t="n"/>
      <x:c r="J70" s="81" t="n"/>
      <x:c r="K70" s="81" t="n"/>
    </x:row>
    <x:row r="71">
      <x:c r="A71" s="81" t="n"/>
      <x:c r="B71" s="81" t="n"/>
      <x:c r="C71" s="81" t="n"/>
      <x:c r="D71" s="81" t="n"/>
      <x:c r="E71" s="81" t="n"/>
      <x:c r="F71" s="81" t="n"/>
      <x:c r="G71" s="81" t="n"/>
      <x:c r="H71" s="81" t="n"/>
      <x:c r="I71" s="81" t="n"/>
      <x:c r="J71" s="81" t="n"/>
      <x:c r="K71" s="81" t="n"/>
    </x:row>
    <x:row r="72">
      <x:c r="A72" s="81" t="n"/>
      <x:c r="B72" s="81" t="n"/>
      <x:c r="C72" s="81" t="n"/>
      <x:c r="D72" s="81" t="n"/>
      <x:c r="E72" s="81" t="n"/>
      <x:c r="F72" s="81" t="n"/>
      <x:c r="G72" s="81" t="n"/>
      <x:c r="H72" s="81" t="n"/>
      <x:c r="I72" s="81" t="n"/>
      <x:c r="J72" s="81" t="n"/>
      <x:c r="K72" s="81" t="n"/>
    </x:row>
    <x:row r="73">
      <x:c r="A73" s="81" t="n"/>
      <x:c r="B73" s="81" t="n"/>
      <x:c r="C73" s="81" t="n"/>
      <x:c r="D73" s="81" t="n"/>
      <x:c r="E73" s="81" t="n"/>
      <x:c r="F73" s="81" t="n"/>
      <x:c r="G73" s="81" t="n"/>
      <x:c r="H73" s="81" t="n"/>
      <x:c r="I73" s="81" t="n"/>
      <x:c r="J73" s="81" t="n"/>
      <x:c r="K73" s="81" t="n"/>
    </x:row>
    <x:row r="74">
      <x:c r="A74" s="81" t="n"/>
      <x:c r="B74" s="81" t="n"/>
      <x:c r="C74" s="81" t="n"/>
      <x:c r="D74" s="81" t="n"/>
      <x:c r="E74" s="81" t="n"/>
      <x:c r="F74" s="81" t="n"/>
      <x:c r="G74" s="81" t="n"/>
      <x:c r="H74" s="81" t="n"/>
      <x:c r="I74" s="81" t="n"/>
      <x:c r="J74" s="81" t="n"/>
      <x:c r="K74" s="81" t="n"/>
    </x:row>
    <x:row r="75">
      <x:c r="A75" s="81" t="n"/>
      <x:c r="B75" s="81" t="n"/>
      <x:c r="C75" s="81" t="n"/>
      <x:c r="D75" s="81" t="n"/>
      <x:c r="E75" s="81" t="n"/>
      <x:c r="F75" s="81" t="n"/>
      <x:c r="G75" s="81" t="n"/>
      <x:c r="H75" s="81" t="n"/>
      <x:c r="I75" s="81" t="n"/>
      <x:c r="J75" s="81" t="n"/>
      <x:c r="K75" s="81" t="n"/>
    </x:row>
    <x:row r="76">
      <x:c r="A76" s="81" t="n"/>
      <x:c r="B76" s="81" t="n"/>
      <x:c r="C76" s="81" t="n"/>
      <x:c r="D76" s="81" t="n"/>
      <x:c r="E76" s="81" t="n"/>
      <x:c r="F76" s="81" t="n"/>
      <x:c r="G76" s="81" t="n"/>
      <x:c r="H76" s="81" t="n"/>
      <x:c r="I76" s="81" t="n"/>
      <x:c r="J76" s="81" t="n"/>
      <x:c r="K76" s="81" t="n"/>
    </x:row>
    <x:row r="77">
      <x:c r="A77" s="81" t="n"/>
      <x:c r="B77" s="81" t="n"/>
      <x:c r="C77" s="81" t="n"/>
      <x:c r="D77" s="81" t="n"/>
      <x:c r="E77" s="81" t="n"/>
      <x:c r="F77" s="81" t="n"/>
      <x:c r="G77" s="81" t="n"/>
      <x:c r="H77" s="81" t="n"/>
      <x:c r="I77" s="81" t="n"/>
      <x:c r="J77" s="81" t="n"/>
      <x:c r="K77" s="81" t="n"/>
    </x:row>
    <x:row r="78">
      <x:c r="A78" s="81" t="n"/>
      <x:c r="B78" s="81" t="n"/>
      <x:c r="C78" s="81" t="n"/>
      <x:c r="D78" s="81" t="n"/>
      <x:c r="E78" s="81" t="n"/>
      <x:c r="F78" s="81" t="n"/>
      <x:c r="G78" s="81" t="n"/>
      <x:c r="H78" s="81" t="n"/>
      <x:c r="I78" s="81" t="n"/>
      <x:c r="J78" s="81" t="n"/>
      <x:c r="K78" s="81" t="n"/>
    </x:row>
    <x:row r="79">
      <x:c r="A79" s="81" t="n"/>
      <x:c r="B79" s="81" t="n"/>
      <x:c r="C79" s="81" t="n"/>
      <x:c r="D79" s="81" t="n"/>
      <x:c r="E79" s="81" t="n"/>
      <x:c r="F79" s="81" t="n"/>
      <x:c r="G79" s="81" t="n"/>
      <x:c r="H79" s="81" t="n"/>
      <x:c r="I79" s="81" t="n"/>
      <x:c r="J79" s="81" t="n"/>
      <x:c r="K79" s="81" t="n"/>
    </x:row>
    <x:row r="80">
      <x:c r="A80" s="81" t="n"/>
      <x:c r="B80" s="81" t="n"/>
      <x:c r="C80" s="81" t="n"/>
      <x:c r="D80" s="81" t="n"/>
      <x:c r="E80" s="81" t="n"/>
      <x:c r="F80" s="81" t="n"/>
      <x:c r="G80" s="81" t="n"/>
      <x:c r="H80" s="81" t="n"/>
      <x:c r="I80" s="81" t="n"/>
      <x:c r="J80" s="81" t="n"/>
      <x:c r="K80" s="81" t="n"/>
    </x:row>
    <x:row r="81">
      <x:c r="A81" s="81" t="n"/>
      <x:c r="B81" s="81" t="n"/>
      <x:c r="C81" s="81" t="n"/>
      <x:c r="D81" s="81" t="n"/>
      <x:c r="E81" s="81" t="n"/>
      <x:c r="F81" s="81" t="n"/>
      <x:c r="G81" s="81" t="n"/>
      <x:c r="H81" s="81" t="n"/>
      <x:c r="I81" s="81" t="n"/>
      <x:c r="J81" s="81" t="n"/>
      <x:c r="K81" s="81" t="n"/>
    </x:row>
    <x:row r="82">
      <x:c r="A82" s="81" t="n"/>
      <x:c r="B82" s="81" t="n"/>
      <x:c r="C82" s="81" t="n"/>
      <x:c r="D82" s="81" t="n"/>
      <x:c r="E82" s="81" t="n"/>
      <x:c r="F82" s="81" t="n"/>
      <x:c r="G82" s="81" t="n"/>
      <x:c r="H82" s="81" t="n"/>
      <x:c r="I82" s="81" t="n"/>
      <x:c r="J82" s="81" t="n"/>
      <x:c r="K82" s="81" t="n"/>
    </x:row>
    <x:row r="83">
      <x:c r="A83" s="81" t="n"/>
      <x:c r="B83" s="81" t="n"/>
      <x:c r="C83" s="81" t="n"/>
      <x:c r="D83" s="81" t="n"/>
      <x:c r="E83" s="81" t="n"/>
      <x:c r="F83" s="81" t="n"/>
      <x:c r="G83" s="81" t="n"/>
      <x:c r="H83" s="81" t="n"/>
      <x:c r="I83" s="81" t="n"/>
      <x:c r="J83" s="81" t="n"/>
      <x:c r="K83" s="81" t="n"/>
    </x:row>
    <x:row r="84">
      <x:c r="A84" s="81" t="n"/>
      <x:c r="B84" s="81" t="n"/>
      <x:c r="C84" s="81" t="n"/>
      <x:c r="D84" s="81" t="n"/>
      <x:c r="E84" s="81" t="n"/>
      <x:c r="F84" s="81" t="n"/>
      <x:c r="G84" s="81" t="n"/>
      <x:c r="H84" s="81" t="n"/>
      <x:c r="I84" s="81" t="n"/>
      <x:c r="J84" s="81" t="n"/>
      <x:c r="K84" s="81" t="n"/>
    </x:row>
    <x:row r="85">
      <x:c r="A85" s="81" t="n"/>
      <x:c r="B85" s="81" t="n"/>
      <x:c r="C85" s="81" t="n"/>
      <x:c r="D85" s="81" t="n"/>
      <x:c r="E85" s="81" t="n"/>
      <x:c r="F85" s="81" t="n"/>
      <x:c r="G85" s="81" t="n"/>
      <x:c r="H85" s="81" t="n"/>
      <x:c r="I85" s="81" t="n"/>
      <x:c r="J85" s="81" t="n"/>
      <x:c r="K85" s="81" t="n"/>
    </x:row>
    <x:row r="86">
      <x:c r="A86" s="81" t="n"/>
      <x:c r="B86" s="81" t="n"/>
      <x:c r="C86" s="81" t="n"/>
      <x:c r="D86" s="81" t="n"/>
      <x:c r="E86" s="81" t="n"/>
      <x:c r="F86" s="81" t="n"/>
      <x:c r="G86" s="81" t="n"/>
      <x:c r="H86" s="81" t="n"/>
      <x:c r="I86" s="81" t="n"/>
      <x:c r="J86" s="81" t="n"/>
      <x:c r="K86" s="81" t="n"/>
    </x:row>
    <x:row r="87">
      <x:c r="A87" s="81" t="n"/>
      <x:c r="B87" s="81" t="n"/>
      <x:c r="C87" s="81" t="n"/>
      <x:c r="D87" s="81" t="n"/>
      <x:c r="E87" s="81" t="n"/>
      <x:c r="F87" s="81" t="n"/>
      <x:c r="G87" s="81" t="n"/>
      <x:c r="H87" s="81" t="n"/>
      <x:c r="I87" s="81" t="n"/>
      <x:c r="J87" s="81" t="n"/>
      <x:c r="K87" s="81" t="n"/>
    </x:row>
    <x:row r="88">
      <x:c r="A88" s="81" t="n"/>
      <x:c r="B88" s="81" t="n"/>
      <x:c r="C88" s="81" t="n"/>
      <x:c r="D88" s="81" t="n"/>
      <x:c r="E88" s="81" t="n"/>
      <x:c r="F88" s="81" t="n"/>
      <x:c r="G88" s="81" t="n"/>
      <x:c r="H88" s="81" t="n"/>
      <x:c r="I88" s="81" t="n"/>
      <x:c r="J88" s="81" t="n"/>
      <x:c r="K88" s="81" t="n"/>
    </x:row>
    <x:row r="89">
      <x:c r="A89" s="81" t="n"/>
      <x:c r="B89" s="81" t="n"/>
      <x:c r="C89" s="81" t="n"/>
      <x:c r="D89" s="81" t="n"/>
      <x:c r="E89" s="81" t="n"/>
      <x:c r="F89" s="81" t="n"/>
      <x:c r="G89" s="81" t="n"/>
      <x:c r="H89" s="81" t="n"/>
      <x:c r="I89" s="81" t="n"/>
      <x:c r="J89" s="81" t="n"/>
      <x:c r="K89" s="81" t="n"/>
    </x:row>
    <x:row r="90">
      <x:c r="A90" s="81" t="n"/>
      <x:c r="B90" s="81" t="n"/>
      <x:c r="C90" s="81" t="n"/>
      <x:c r="D90" s="81" t="n"/>
      <x:c r="E90" s="81" t="n"/>
      <x:c r="F90" s="81" t="n"/>
      <x:c r="G90" s="81" t="n"/>
      <x:c r="H90" s="81" t="n"/>
      <x:c r="I90" s="81" t="n"/>
      <x:c r="J90" s="81" t="n"/>
      <x:c r="K90" s="81" t="n"/>
    </x:row>
    <x:row r="91">
      <x:c r="A91" s="81" t="n"/>
      <x:c r="B91" s="81" t="n"/>
      <x:c r="C91" s="81" t="n"/>
      <x:c r="D91" s="81" t="n"/>
      <x:c r="E91" s="81" t="n"/>
      <x:c r="F91" s="81" t="n"/>
      <x:c r="G91" s="81" t="n"/>
      <x:c r="H91" s="81" t="n"/>
      <x:c r="I91" s="81" t="n"/>
      <x:c r="J91" s="81" t="n"/>
      <x:c r="K91" s="81" t="n"/>
    </x:row>
    <x:row r="92">
      <x:c r="A92" s="81" t="n"/>
      <x:c r="B92" s="81" t="n"/>
      <x:c r="C92" s="81" t="n"/>
      <x:c r="D92" s="81" t="n"/>
      <x:c r="E92" s="81" t="n"/>
      <x:c r="F92" s="81" t="n"/>
      <x:c r="G92" s="81" t="n"/>
      <x:c r="H92" s="81" t="n"/>
      <x:c r="I92" s="81" t="n"/>
      <x:c r="J92" s="81" t="n"/>
      <x:c r="K92" s="81" t="n"/>
    </x:row>
    <x:row r="93">
      <x:c r="A93" s="81" t="n"/>
      <x:c r="B93" s="81" t="n"/>
      <x:c r="C93" s="81" t="n"/>
      <x:c r="D93" s="81" t="n"/>
      <x:c r="E93" s="81" t="n"/>
      <x:c r="F93" s="81" t="n"/>
      <x:c r="G93" s="81" t="n"/>
      <x:c r="H93" s="81" t="n"/>
      <x:c r="I93" s="81" t="n"/>
      <x:c r="J93" s="81" t="n"/>
      <x:c r="K93" s="81" t="n"/>
    </x:row>
    <x:row r="94">
      <x:c r="A94" s="81" t="n"/>
      <x:c r="B94" s="81" t="n"/>
      <x:c r="C94" s="81" t="n"/>
      <x:c r="D94" s="81" t="n"/>
      <x:c r="E94" s="81" t="n"/>
      <x:c r="F94" s="81" t="n"/>
      <x:c r="G94" s="81" t="n"/>
      <x:c r="H94" s="81" t="n"/>
      <x:c r="I94" s="81" t="n"/>
      <x:c r="J94" s="81" t="n"/>
      <x:c r="K94" s="81" t="n"/>
    </x:row>
    <x:row r="95">
      <x:c r="A95" s="81" t="n"/>
      <x:c r="B95" s="81" t="n"/>
      <x:c r="C95" s="81" t="n"/>
      <x:c r="D95" s="81" t="n"/>
      <x:c r="E95" s="81" t="n"/>
      <x:c r="F95" s="81" t="n"/>
      <x:c r="G95" s="81" t="n"/>
      <x:c r="H95" s="81" t="n"/>
      <x:c r="I95" s="81" t="n"/>
      <x:c r="J95" s="81" t="n"/>
      <x:c r="K95" s="81" t="n"/>
    </x:row>
    <x:row r="96">
      <x:c r="A96" s="81" t="n"/>
      <x:c r="B96" s="81" t="n"/>
      <x:c r="C96" s="81" t="n"/>
      <x:c r="D96" s="81" t="n"/>
      <x:c r="E96" s="81" t="n"/>
      <x:c r="F96" s="81" t="n"/>
      <x:c r="G96" s="81" t="n"/>
      <x:c r="H96" s="81" t="n"/>
      <x:c r="I96" s="81" t="n"/>
      <x:c r="J96" s="81" t="n"/>
      <x:c r="K96" s="81" t="n"/>
    </x:row>
    <x:row r="97">
      <x:c r="A97" s="81" t="n"/>
      <x:c r="B97" s="81" t="n"/>
      <x:c r="C97" s="81" t="n"/>
      <x:c r="D97" s="81" t="n"/>
      <x:c r="E97" s="81" t="n"/>
      <x:c r="F97" s="81" t="n"/>
      <x:c r="G97" s="81" t="n"/>
      <x:c r="H97" s="81" t="n"/>
      <x:c r="I97" s="81" t="n"/>
      <x:c r="J97" s="81" t="n"/>
      <x:c r="K97" s="81" t="n"/>
    </x:row>
    <x:row r="98">
      <x:c r="A98" s="81" t="n"/>
      <x:c r="B98" s="81" t="n"/>
      <x:c r="C98" s="81" t="n"/>
      <x:c r="D98" s="81" t="n"/>
      <x:c r="E98" s="81" t="n"/>
      <x:c r="F98" s="81" t="n"/>
      <x:c r="G98" s="81" t="n"/>
      <x:c r="H98" s="81" t="n"/>
      <x:c r="I98" s="81" t="n"/>
      <x:c r="J98" s="81" t="n"/>
      <x:c r="K98" s="81" t="n"/>
    </x:row>
    <x:row r="99">
      <x:c r="A99" s="81" t="n"/>
      <x:c r="B99" s="81" t="n"/>
      <x:c r="C99" s="81" t="n"/>
      <x:c r="D99" s="81" t="n"/>
      <x:c r="E99" s="81" t="n"/>
      <x:c r="F99" s="81" t="n"/>
      <x:c r="G99" s="81" t="n"/>
      <x:c r="H99" s="81" t="n"/>
      <x:c r="I99" s="81" t="n"/>
      <x:c r="J99" s="81" t="n"/>
      <x:c r="K99" s="81" t="n"/>
    </x:row>
    <x:row r="100">
      <x:c r="A100" s="81" t="n"/>
      <x:c r="B100" s="81" t="n"/>
      <x:c r="C100" s="81" t="n"/>
      <x:c r="D100" s="81" t="n"/>
      <x:c r="E100" s="81" t="n"/>
      <x:c r="F100" s="81" t="n"/>
      <x:c r="G100" s="81" t="n"/>
      <x:c r="H100" s="81" t="n"/>
      <x:c r="I100" s="81" t="n"/>
      <x:c r="J100" s="81" t="n"/>
      <x:c r="K100" s="81" t="n"/>
    </x:row>
    <x:row r="101">
      <x:c r="A101" s="81" t="n"/>
      <x:c r="B101" s="81" t="n"/>
      <x:c r="C101" s="81" t="n"/>
      <x:c r="D101" s="81" t="n"/>
      <x:c r="E101" s="81" t="n"/>
      <x:c r="F101" s="81" t="n"/>
      <x:c r="G101" s="81" t="n"/>
      <x:c r="H101" s="81" t="n"/>
      <x:c r="I101" s="81" t="n"/>
      <x:c r="J101" s="81" t="n"/>
      <x:c r="K101" s="81" t="n"/>
    </x:row>
    <x:row r="102">
      <x:c r="A102" s="81" t="n"/>
      <x:c r="B102" s="81" t="n"/>
      <x:c r="C102" s="81" t="n"/>
      <x:c r="D102" s="81" t="n"/>
      <x:c r="E102" s="81" t="n"/>
      <x:c r="F102" s="81" t="n"/>
      <x:c r="G102" s="81" t="n"/>
      <x:c r="H102" s="81" t="n"/>
      <x:c r="I102" s="81" t="n"/>
      <x:c r="J102" s="81" t="n"/>
      <x:c r="K102" s="81" t="n"/>
    </x:row>
    <x:row r="103">
      <x:c r="A103" s="81" t="n"/>
      <x:c r="B103" s="81" t="n"/>
      <x:c r="C103" s="81" t="n"/>
      <x:c r="D103" s="81" t="n"/>
      <x:c r="E103" s="81" t="n"/>
      <x:c r="F103" s="81" t="n"/>
      <x:c r="G103" s="81" t="n"/>
      <x:c r="H103" s="81" t="n"/>
      <x:c r="I103" s="81" t="n"/>
      <x:c r="J103" s="81" t="n"/>
      <x:c r="K103" s="81" t="n"/>
    </x:row>
    <x:row r="104">
      <x:c r="A104" s="81" t="n"/>
      <x:c r="B104" s="81" t="n"/>
      <x:c r="C104" s="81" t="n"/>
      <x:c r="D104" s="81" t="n"/>
      <x:c r="E104" s="81" t="n"/>
      <x:c r="F104" s="81" t="n"/>
      <x:c r="G104" s="81" t="n"/>
      <x:c r="H104" s="81" t="n"/>
      <x:c r="I104" s="81" t="n"/>
      <x:c r="J104" s="81" t="n"/>
      <x:c r="K104" s="81" t="n"/>
    </x:row>
    <x:row r="105">
      <x:c r="A105" s="81" t="n"/>
      <x:c r="B105" s="81" t="n"/>
      <x:c r="C105" s="81" t="n"/>
      <x:c r="D105" s="81" t="n"/>
      <x:c r="E105" s="81" t="n"/>
      <x:c r="F105" s="81" t="n"/>
      <x:c r="G105" s="81" t="n"/>
      <x:c r="H105" s="81" t="n"/>
      <x:c r="I105" s="81" t="n"/>
      <x:c r="J105" s="81" t="n"/>
      <x:c r="K105" s="81" t="n"/>
    </x:row>
    <x:row r="106">
      <x:c r="A106" s="81" t="n"/>
      <x:c r="B106" s="81" t="n"/>
      <x:c r="C106" s="81" t="n"/>
      <x:c r="D106" s="81" t="n"/>
      <x:c r="E106" s="81" t="n"/>
      <x:c r="F106" s="81" t="n"/>
      <x:c r="G106" s="81" t="n"/>
      <x:c r="H106" s="81" t="n"/>
      <x:c r="I106" s="81" t="n"/>
      <x:c r="J106" s="81" t="n"/>
      <x:c r="K106" s="81" t="n"/>
    </x:row>
    <x:row r="107">
      <x:c r="A107" s="81" t="n"/>
      <x:c r="B107" s="81" t="n"/>
      <x:c r="C107" s="81" t="n"/>
      <x:c r="D107" s="81" t="n"/>
      <x:c r="E107" s="81" t="n"/>
      <x:c r="F107" s="81" t="n"/>
      <x:c r="G107" s="81" t="n"/>
      <x:c r="H107" s="81" t="n"/>
      <x:c r="I107" s="81" t="n"/>
      <x:c r="J107" s="81" t="n"/>
      <x:c r="K107" s="81" t="n"/>
    </x:row>
    <x:row r="108">
      <x:c r="A108" s="81" t="n"/>
      <x:c r="B108" s="81" t="n"/>
      <x:c r="C108" s="81" t="n"/>
      <x:c r="D108" s="81" t="n"/>
      <x:c r="E108" s="81" t="n"/>
      <x:c r="F108" s="81" t="n"/>
      <x:c r="G108" s="81" t="n"/>
      <x:c r="H108" s="81" t="n"/>
      <x:c r="I108" s="81" t="n"/>
      <x:c r="J108" s="81" t="n"/>
      <x:c r="K108" s="81" t="n"/>
    </x:row>
    <x:row r="109">
      <x:c r="A109" s="81" t="n"/>
      <x:c r="B109" s="81" t="n"/>
      <x:c r="C109" s="81" t="n"/>
      <x:c r="D109" s="81" t="n"/>
      <x:c r="E109" s="81" t="n"/>
      <x:c r="F109" s="81" t="n"/>
      <x:c r="G109" s="81" t="n"/>
      <x:c r="H109" s="81" t="n"/>
      <x:c r="I109" s="81" t="n"/>
      <x:c r="J109" s="81" t="n"/>
      <x:c r="K109" s="81" t="n"/>
    </x:row>
    <x:row r="110">
      <x:c r="A110" s="81" t="n"/>
      <x:c r="B110" s="81" t="n"/>
      <x:c r="C110" s="81" t="n"/>
      <x:c r="D110" s="81" t="n"/>
      <x:c r="E110" s="81" t="n"/>
      <x:c r="F110" s="81" t="n"/>
      <x:c r="G110" s="81" t="n"/>
      <x:c r="H110" s="81" t="n"/>
      <x:c r="I110" s="81" t="n"/>
      <x:c r="J110" s="81" t="n"/>
      <x:c r="K110" s="81" t="n"/>
    </x:row>
    <x:row r="111">
      <x:c r="A111" s="81" t="n"/>
      <x:c r="B111" s="81" t="n"/>
      <x:c r="C111" s="81" t="n"/>
      <x:c r="D111" s="81" t="n"/>
      <x:c r="E111" s="81" t="n"/>
      <x:c r="F111" s="81" t="n"/>
      <x:c r="G111" s="81" t="n"/>
      <x:c r="H111" s="81" t="n"/>
      <x:c r="I111" s="81" t="n"/>
      <x:c r="J111" s="81" t="n"/>
      <x:c r="K111" s="81" t="n"/>
    </x:row>
    <x:row r="112">
      <x:c r="A112" s="81" t="n"/>
      <x:c r="B112" s="81" t="n"/>
      <x:c r="C112" s="81" t="n"/>
      <x:c r="D112" s="81" t="n"/>
      <x:c r="E112" s="81" t="n"/>
      <x:c r="F112" s="81" t="n"/>
      <x:c r="G112" s="81" t="n"/>
      <x:c r="H112" s="81" t="n"/>
      <x:c r="I112" s="81" t="n"/>
      <x:c r="J112" s="81" t="n"/>
      <x:c r="K112" s="81" t="n"/>
    </x:row>
    <x:row r="113">
      <x:c r="A113" s="81" t="n"/>
      <x:c r="B113" s="81" t="n"/>
      <x:c r="C113" s="81" t="n"/>
      <x:c r="D113" s="81" t="n"/>
      <x:c r="E113" s="81" t="n"/>
      <x:c r="F113" s="81" t="n"/>
      <x:c r="G113" s="81" t="n"/>
      <x:c r="H113" s="81" t="n"/>
      <x:c r="I113" s="81" t="n"/>
      <x:c r="J113" s="81" t="n"/>
      <x:c r="K113" s="81" t="n"/>
    </x:row>
    <x:row r="114">
      <x:c r="A114" s="81" t="n"/>
      <x:c r="B114" s="81" t="n"/>
      <x:c r="C114" s="81" t="n"/>
      <x:c r="D114" s="81" t="n"/>
      <x:c r="E114" s="81" t="n"/>
      <x:c r="F114" s="81" t="n"/>
      <x:c r="G114" s="81" t="n"/>
      <x:c r="H114" s="81" t="n"/>
      <x:c r="I114" s="81" t="n"/>
      <x:c r="J114" s="81" t="n"/>
      <x:c r="K114" s="81" t="n"/>
    </x:row>
    <x:row r="115">
      <x:c r="A115" s="81" t="n"/>
      <x:c r="B115" s="81" t="n"/>
      <x:c r="C115" s="81" t="n"/>
      <x:c r="D115" s="81" t="n"/>
      <x:c r="E115" s="81" t="n"/>
      <x:c r="F115" s="81" t="n"/>
      <x:c r="G115" s="81" t="n"/>
      <x:c r="H115" s="81" t="n"/>
      <x:c r="I115" s="81" t="n"/>
      <x:c r="J115" s="81" t="n"/>
      <x:c r="K115" s="81" t="n"/>
    </x:row>
    <x:row r="116">
      <x:c r="A116" s="81" t="n"/>
      <x:c r="B116" s="81" t="n"/>
      <x:c r="C116" s="81" t="n"/>
      <x:c r="D116" s="81" t="n"/>
      <x:c r="E116" s="81" t="n"/>
      <x:c r="F116" s="81" t="n"/>
      <x:c r="G116" s="81" t="n"/>
      <x:c r="H116" s="81" t="n"/>
      <x:c r="I116" s="81" t="n"/>
      <x:c r="J116" s="81" t="n"/>
      <x:c r="K116" s="81" t="n"/>
    </x:row>
    <x:row r="117">
      <x:c r="A117" s="81" t="n"/>
      <x:c r="B117" s="81" t="n"/>
      <x:c r="C117" s="81" t="n"/>
      <x:c r="D117" s="81" t="n"/>
      <x:c r="E117" s="81" t="n"/>
      <x:c r="F117" s="81" t="n"/>
      <x:c r="G117" s="81" t="n"/>
      <x:c r="H117" s="81" t="n"/>
      <x:c r="I117" s="81" t="n"/>
      <x:c r="J117" s="81" t="n"/>
      <x:c r="K117" s="81" t="n"/>
    </x:row>
    <x:row r="118">
      <x:c r="A118" s="81" t="n"/>
      <x:c r="B118" s="81" t="n"/>
      <x:c r="C118" s="81" t="n"/>
      <x:c r="D118" s="81" t="n"/>
      <x:c r="E118" s="81" t="n"/>
      <x:c r="F118" s="81" t="n"/>
      <x:c r="G118" s="81" t="n"/>
      <x:c r="H118" s="81" t="n"/>
      <x:c r="I118" s="81" t="n"/>
      <x:c r="J118" s="81" t="n"/>
      <x:c r="K118" s="81" t="n"/>
    </x:row>
    <x:row r="119">
      <x:c r="A119" s="81" t="n"/>
      <x:c r="B119" s="81" t="n"/>
      <x:c r="C119" s="81" t="n"/>
      <x:c r="D119" s="81" t="n"/>
      <x:c r="E119" s="81" t="n"/>
      <x:c r="F119" s="81" t="n"/>
      <x:c r="G119" s="81" t="n"/>
      <x:c r="H119" s="81" t="n"/>
      <x:c r="I119" s="81" t="n"/>
      <x:c r="J119" s="81" t="n"/>
      <x:c r="K119" s="81" t="n"/>
    </x:row>
    <x:row r="120">
      <x:c r="A120" s="81" t="n"/>
      <x:c r="B120" s="81" t="n"/>
      <x:c r="C120" s="81" t="n"/>
      <x:c r="D120" s="81" t="n"/>
      <x:c r="E120" s="81" t="n"/>
      <x:c r="F120" s="81" t="n"/>
      <x:c r="G120" s="81" t="n"/>
      <x:c r="H120" s="81" t="n"/>
      <x:c r="I120" s="81" t="n"/>
      <x:c r="J120" s="81" t="n"/>
      <x:c r="K120" s="81" t="n"/>
    </x:row>
    <x:row r="121">
      <x:c r="A121" s="81" t="n"/>
      <x:c r="B121" s="81" t="n"/>
      <x:c r="C121" s="81" t="n"/>
      <x:c r="D121" s="81" t="n"/>
      <x:c r="E121" s="81" t="n"/>
      <x:c r="F121" s="81" t="n"/>
      <x:c r="G121" s="81" t="n"/>
      <x:c r="H121" s="81" t="n"/>
      <x:c r="I121" s="81" t="n"/>
      <x:c r="J121" s="81" t="n"/>
      <x:c r="K121" s="81" t="n"/>
    </x:row>
    <x:row r="122">
      <x:c r="A122" s="81" t="n"/>
      <x:c r="B122" s="81" t="n"/>
      <x:c r="C122" s="81" t="n"/>
      <x:c r="D122" s="81" t="n"/>
      <x:c r="E122" s="81" t="n"/>
      <x:c r="F122" s="81" t="n"/>
      <x:c r="G122" s="81" t="n"/>
      <x:c r="H122" s="81" t="n"/>
      <x:c r="I122" s="81" t="n"/>
      <x:c r="J122" s="81" t="n"/>
      <x:c r="K122" s="81" t="n"/>
    </x:row>
    <x:row r="123">
      <x:c r="A123" s="81" t="n"/>
      <x:c r="B123" s="81" t="n"/>
      <x:c r="C123" s="81" t="n"/>
      <x:c r="D123" s="81" t="n"/>
      <x:c r="E123" s="81" t="n"/>
      <x:c r="F123" s="81" t="n"/>
      <x:c r="G123" s="81" t="n"/>
      <x:c r="H123" s="81" t="n"/>
      <x:c r="I123" s="81" t="n"/>
      <x:c r="J123" s="81" t="n"/>
      <x:c r="K123" s="81" t="n"/>
    </x:row>
    <x:row r="124">
      <x:c r="A124" s="81" t="n"/>
      <x:c r="B124" s="81" t="n"/>
      <x:c r="C124" s="81" t="n"/>
      <x:c r="D124" s="81" t="n"/>
      <x:c r="E124" s="81" t="n"/>
      <x:c r="F124" s="81" t="n"/>
      <x:c r="G124" s="81" t="n"/>
      <x:c r="H124" s="81" t="n"/>
      <x:c r="I124" s="81" t="n"/>
      <x:c r="J124" s="81" t="n"/>
      <x:c r="K124" s="81" t="n"/>
    </x:row>
    <x:row r="125">
      <x:c r="A125" s="81" t="n"/>
      <x:c r="B125" s="81" t="n"/>
      <x:c r="C125" s="81" t="n"/>
      <x:c r="D125" s="81" t="n"/>
      <x:c r="E125" s="81" t="n"/>
      <x:c r="F125" s="81" t="n"/>
      <x:c r="G125" s="81" t="n"/>
      <x:c r="H125" s="81" t="n"/>
      <x:c r="I125" s="81" t="n"/>
      <x:c r="J125" s="81" t="n"/>
      <x:c r="K125" s="81" t="n"/>
    </x:row>
    <x:row r="126">
      <x:c r="A126" s="81" t="n"/>
      <x:c r="B126" s="81" t="n"/>
      <x:c r="C126" s="81" t="n"/>
      <x:c r="D126" s="81" t="n"/>
      <x:c r="E126" s="81" t="n"/>
      <x:c r="F126" s="81" t="n"/>
      <x:c r="G126" s="81" t="n"/>
      <x:c r="H126" s="81" t="n"/>
      <x:c r="I126" s="81" t="n"/>
      <x:c r="J126" s="81" t="n"/>
      <x:c r="K126" s="81" t="n"/>
    </x:row>
    <x:row r="127">
      <x:c r="A127" s="81" t="n"/>
      <x:c r="B127" s="81" t="n"/>
      <x:c r="C127" s="81" t="n"/>
      <x:c r="D127" s="81" t="n"/>
      <x:c r="E127" s="81" t="n"/>
      <x:c r="F127" s="81" t="n"/>
      <x:c r="G127" s="81" t="n"/>
      <x:c r="H127" s="81" t="n"/>
      <x:c r="I127" s="81" t="n"/>
      <x:c r="J127" s="81" t="n"/>
      <x:c r="K127" s="81" t="n"/>
    </x:row>
    <x:row r="128">
      <x:c r="A128" s="81" t="n"/>
      <x:c r="B128" s="81" t="n"/>
      <x:c r="C128" s="81" t="n"/>
      <x:c r="D128" s="81" t="n"/>
      <x:c r="E128" s="81" t="n"/>
      <x:c r="F128" s="81" t="n"/>
      <x:c r="G128" s="81" t="n"/>
      <x:c r="H128" s="81" t="n"/>
      <x:c r="I128" s="81" t="n"/>
      <x:c r="J128" s="81" t="n"/>
      <x:c r="K128" s="81" t="n"/>
    </x:row>
    <x:row r="129">
      <x:c r="A129" s="81" t="n"/>
      <x:c r="B129" s="81" t="n"/>
      <x:c r="C129" s="81" t="n"/>
      <x:c r="D129" s="81" t="n"/>
      <x:c r="E129" s="81" t="n"/>
      <x:c r="F129" s="81" t="n"/>
      <x:c r="G129" s="81" t="n"/>
      <x:c r="H129" s="81" t="n"/>
      <x:c r="I129" s="81" t="n"/>
      <x:c r="J129" s="81" t="n"/>
      <x:c r="K129" s="81" t="n"/>
    </x:row>
    <x:row r="130">
      <x:c r="A130" s="81" t="n"/>
      <x:c r="B130" s="81" t="n"/>
      <x:c r="C130" s="81" t="n"/>
      <x:c r="D130" s="81" t="n"/>
      <x:c r="E130" s="81" t="n"/>
      <x:c r="F130" s="81" t="n"/>
      <x:c r="G130" s="81" t="n"/>
      <x:c r="H130" s="81" t="n"/>
      <x:c r="I130" s="81" t="n"/>
      <x:c r="J130" s="81" t="n"/>
      <x:c r="K130" s="81" t="n"/>
    </x:row>
    <x:row r="131">
      <x:c r="A131" s="81" t="n"/>
      <x:c r="B131" s="81" t="n"/>
      <x:c r="C131" s="81" t="n"/>
      <x:c r="D131" s="81" t="n"/>
      <x:c r="E131" s="81" t="n"/>
      <x:c r="F131" s="81" t="n"/>
      <x:c r="G131" s="81" t="n"/>
      <x:c r="H131" s="81" t="n"/>
      <x:c r="I131" s="81" t="n"/>
      <x:c r="J131" s="81" t="n"/>
      <x:c r="K131" s="81" t="n"/>
    </x:row>
    <x:row r="132">
      <x:c r="A132" s="81" t="n"/>
      <x:c r="B132" s="81" t="n"/>
      <x:c r="C132" s="81" t="n"/>
      <x:c r="D132" s="81" t="n"/>
      <x:c r="E132" s="81" t="n"/>
      <x:c r="F132" s="81" t="n"/>
      <x:c r="G132" s="81" t="n"/>
      <x:c r="H132" s="81" t="n"/>
      <x:c r="I132" s="81" t="n"/>
      <x:c r="J132" s="81" t="n"/>
      <x:c r="K132" s="81" t="n"/>
    </x:row>
    <x:row r="133">
      <x:c r="A133" s="81" t="n"/>
      <x:c r="B133" s="81" t="n"/>
      <x:c r="C133" s="81" t="n"/>
      <x:c r="D133" s="81" t="n"/>
      <x:c r="E133" s="81" t="n"/>
      <x:c r="F133" s="81" t="n"/>
      <x:c r="G133" s="81" t="n"/>
      <x:c r="H133" s="81" t="n"/>
      <x:c r="I133" s="81" t="n"/>
      <x:c r="J133" s="81" t="n"/>
      <x:c r="K133" s="81" t="n"/>
    </x:row>
    <x:row r="134">
      <x:c r="A134" s="81" t="n"/>
      <x:c r="B134" s="81" t="n"/>
      <x:c r="C134" s="81" t="n"/>
      <x:c r="D134" s="81" t="n"/>
      <x:c r="E134" s="81" t="n"/>
      <x:c r="F134" s="81" t="n"/>
      <x:c r="G134" s="81" t="n"/>
      <x:c r="H134" s="81" t="n"/>
      <x:c r="I134" s="81" t="n"/>
      <x:c r="J134" s="81" t="n"/>
      <x:c r="K134" s="81" t="n"/>
    </x:row>
    <x:row r="135">
      <x:c r="A135" s="81" t="n"/>
      <x:c r="B135" s="81" t="n"/>
      <x:c r="C135" s="81" t="n"/>
      <x:c r="D135" s="81" t="n"/>
      <x:c r="E135" s="81" t="n"/>
      <x:c r="F135" s="81" t="n"/>
      <x:c r="G135" s="81" t="n"/>
      <x:c r="H135" s="81" t="n"/>
      <x:c r="I135" s="81" t="n"/>
      <x:c r="J135" s="81" t="n"/>
      <x:c r="K135" s="81" t="n"/>
    </x:row>
    <x:row r="136">
      <x:c r="A136" s="81" t="n"/>
      <x:c r="B136" s="81" t="n"/>
      <x:c r="C136" s="81" t="n"/>
      <x:c r="D136" s="81" t="n"/>
      <x:c r="E136" s="81" t="n"/>
      <x:c r="F136" s="81" t="n"/>
      <x:c r="G136" s="81" t="n"/>
      <x:c r="H136" s="81" t="n"/>
      <x:c r="I136" s="81" t="n"/>
      <x:c r="J136" s="81" t="n"/>
      <x:c r="K136" s="81" t="n"/>
    </x:row>
    <x:row r="137">
      <x:c r="A137" s="81" t="n"/>
      <x:c r="B137" s="81" t="n"/>
      <x:c r="C137" s="81" t="n"/>
      <x:c r="D137" s="81" t="n"/>
      <x:c r="E137" s="81" t="n"/>
      <x:c r="F137" s="81" t="n"/>
      <x:c r="G137" s="81" t="n"/>
      <x:c r="H137" s="81" t="n"/>
      <x:c r="I137" s="81" t="n"/>
      <x:c r="J137" s="81" t="n"/>
      <x:c r="K137" s="81" t="n"/>
    </x:row>
    <x:row r="138">
      <x:c r="A138" s="81" t="n"/>
      <x:c r="B138" s="81" t="n"/>
      <x:c r="C138" s="81" t="n"/>
      <x:c r="D138" s="81" t="n"/>
      <x:c r="E138" s="81" t="n"/>
      <x:c r="F138" s="81" t="n"/>
      <x:c r="G138" s="81" t="n"/>
      <x:c r="H138" s="81" t="n"/>
      <x:c r="I138" s="81" t="n"/>
      <x:c r="J138" s="81" t="n"/>
      <x:c r="K138" s="81" t="n"/>
    </x:row>
    <x:row r="139">
      <x:c r="A139" s="81" t="n"/>
      <x:c r="B139" s="81" t="n"/>
      <x:c r="C139" s="81" t="n"/>
      <x:c r="D139" s="81" t="n"/>
      <x:c r="E139" s="81" t="n"/>
      <x:c r="F139" s="81" t="n"/>
      <x:c r="G139" s="81" t="n"/>
      <x:c r="H139" s="81" t="n"/>
      <x:c r="I139" s="81" t="n"/>
      <x:c r="J139" s="81" t="n"/>
      <x:c r="K139" s="81" t="n"/>
    </x:row>
    <x:row r="140">
      <x:c r="A140" s="81" t="n"/>
      <x:c r="B140" s="81" t="n"/>
      <x:c r="C140" s="81" t="n"/>
      <x:c r="D140" s="81" t="n"/>
      <x:c r="E140" s="81" t="n"/>
      <x:c r="F140" s="81" t="n"/>
      <x:c r="G140" s="81" t="n"/>
      <x:c r="H140" s="81" t="n"/>
      <x:c r="I140" s="81" t="n"/>
      <x:c r="J140" s="81" t="n"/>
      <x:c r="K140" s="81" t="n"/>
    </x:row>
    <x:row r="141">
      <x:c r="A141" s="81" t="n"/>
      <x:c r="B141" s="81" t="n"/>
      <x:c r="C141" s="81" t="n"/>
      <x:c r="D141" s="81" t="n"/>
      <x:c r="E141" s="81" t="n"/>
      <x:c r="F141" s="81" t="n"/>
      <x:c r="G141" s="81" t="n"/>
      <x:c r="H141" s="81" t="n"/>
      <x:c r="I141" s="81" t="n"/>
      <x:c r="J141" s="81" t="n"/>
      <x:c r="K141" s="81" t="n"/>
    </x:row>
    <x:row r="142">
      <x:c r="A142" s="81" t="n"/>
      <x:c r="B142" s="81" t="n"/>
      <x:c r="C142" s="81" t="n"/>
      <x:c r="D142" s="81" t="n"/>
      <x:c r="E142" s="81" t="n"/>
      <x:c r="F142" s="81" t="n"/>
      <x:c r="G142" s="81" t="n"/>
      <x:c r="H142" s="81" t="n"/>
      <x:c r="I142" s="81" t="n"/>
      <x:c r="J142" s="81" t="n"/>
      <x:c r="K142" s="81" t="n"/>
    </x:row>
    <x:row r="143">
      <x:c r="A143" s="81" t="n"/>
      <x:c r="B143" s="81" t="n"/>
      <x:c r="C143" s="81" t="n"/>
      <x:c r="D143" s="81" t="n"/>
      <x:c r="E143" s="81" t="n"/>
      <x:c r="F143" s="81" t="n"/>
      <x:c r="G143" s="81" t="n"/>
      <x:c r="H143" s="81" t="n"/>
      <x:c r="I143" s="81" t="n"/>
      <x:c r="J143" s="81" t="n"/>
      <x:c r="K143" s="81" t="n"/>
    </x:row>
    <x:row r="144">
      <x:c r="A144" s="81" t="n"/>
      <x:c r="B144" s="81" t="n"/>
      <x:c r="C144" s="81" t="n"/>
      <x:c r="D144" s="81" t="n"/>
      <x:c r="E144" s="81" t="n"/>
      <x:c r="F144" s="81" t="n"/>
      <x:c r="G144" s="81" t="n"/>
      <x:c r="H144" s="81" t="n"/>
      <x:c r="I144" s="81" t="n"/>
      <x:c r="J144" s="81" t="n"/>
      <x:c r="K144" s="81" t="n"/>
    </x:row>
    <x:row r="145">
      <x:c r="A145" s="81" t="n"/>
      <x:c r="B145" s="81" t="n"/>
      <x:c r="C145" s="81" t="n"/>
      <x:c r="D145" s="81" t="n"/>
      <x:c r="E145" s="81" t="n"/>
      <x:c r="F145" s="81" t="n"/>
      <x:c r="G145" s="81" t="n"/>
      <x:c r="H145" s="81" t="n"/>
      <x:c r="I145" s="81" t="n"/>
      <x:c r="J145" s="81" t="n"/>
      <x:c r="K145" s="81" t="n"/>
    </x:row>
    <x:row r="146">
      <x:c r="A146" s="81" t="n"/>
      <x:c r="B146" s="81" t="n"/>
      <x:c r="C146" s="81" t="n"/>
      <x:c r="D146" s="81" t="n"/>
      <x:c r="E146" s="81" t="n"/>
      <x:c r="F146" s="81" t="n"/>
      <x:c r="G146" s="81" t="n"/>
      <x:c r="H146" s="81" t="n"/>
      <x:c r="I146" s="81" t="n"/>
      <x:c r="J146" s="81" t="n"/>
      <x:c r="K146" s="81" t="n"/>
    </x:row>
    <x:row r="147">
      <x:c r="A147" s="81" t="n"/>
      <x:c r="B147" s="81" t="n"/>
      <x:c r="C147" s="81" t="n"/>
      <x:c r="D147" s="81" t="n"/>
      <x:c r="E147" s="81" t="n"/>
      <x:c r="F147" s="81" t="n"/>
      <x:c r="G147" s="81" t="n"/>
      <x:c r="H147" s="81" t="n"/>
      <x:c r="I147" s="81" t="n"/>
      <x:c r="J147" s="81" t="n"/>
      <x:c r="K147" s="81" t="n"/>
    </x:row>
    <x:row r="148">
      <x:c r="A148" s="81" t="n"/>
      <x:c r="B148" s="81" t="n"/>
      <x:c r="C148" s="81" t="n"/>
      <x:c r="D148" s="81" t="n"/>
      <x:c r="E148" s="81" t="n"/>
      <x:c r="F148" s="81" t="n"/>
      <x:c r="G148" s="81" t="n"/>
      <x:c r="H148" s="81" t="n"/>
      <x:c r="I148" s="81" t="n"/>
      <x:c r="J148" s="81" t="n"/>
      <x:c r="K148" s="81" t="n"/>
    </x:row>
    <x:row r="149">
      <x:c r="A149" s="81" t="n"/>
      <x:c r="B149" s="81" t="n"/>
      <x:c r="C149" s="81" t="n"/>
      <x:c r="D149" s="81" t="n"/>
      <x:c r="E149" s="81" t="n"/>
      <x:c r="F149" s="81" t="n"/>
      <x:c r="G149" s="81" t="n"/>
      <x:c r="H149" s="81" t="n"/>
      <x:c r="I149" s="81" t="n"/>
      <x:c r="J149" s="81" t="n"/>
      <x:c r="K149" s="81" t="n"/>
    </x:row>
    <x:row r="150">
      <x:c r="A150" s="81" t="n"/>
      <x:c r="B150" s="81" t="n"/>
      <x:c r="C150" s="81" t="n"/>
      <x:c r="D150" s="81" t="n"/>
      <x:c r="E150" s="81" t="n"/>
      <x:c r="F150" s="81" t="n"/>
      <x:c r="G150" s="81" t="n"/>
      <x:c r="H150" s="81" t="n"/>
      <x:c r="I150" s="81" t="n"/>
      <x:c r="J150" s="81" t="n"/>
      <x:c r="K150" s="81" t="n"/>
    </x:row>
    <x:row r="151">
      <x:c r="A151" s="81" t="n"/>
      <x:c r="B151" s="81" t="n"/>
      <x:c r="C151" s="81" t="n"/>
      <x:c r="D151" s="81" t="n"/>
      <x:c r="E151" s="81" t="n"/>
      <x:c r="F151" s="81" t="n"/>
      <x:c r="G151" s="81" t="n"/>
      <x:c r="H151" s="81" t="n"/>
      <x:c r="I151" s="81" t="n"/>
      <x:c r="J151" s="81" t="n"/>
      <x:c r="K151" s="81" t="n"/>
    </x:row>
    <x:row r="152">
      <x:c r="A152" s="81" t="n"/>
      <x:c r="B152" s="81" t="n"/>
      <x:c r="C152" s="81" t="n"/>
      <x:c r="D152" s="81" t="n"/>
      <x:c r="E152" s="81" t="n"/>
      <x:c r="F152" s="81" t="n"/>
      <x:c r="G152" s="81" t="n"/>
      <x:c r="H152" s="81" t="n"/>
      <x:c r="I152" s="81" t="n"/>
      <x:c r="J152" s="81" t="n"/>
      <x:c r="K152" s="81" t="n"/>
    </x:row>
    <x:row r="153">
      <x:c r="A153" s="81" t="n"/>
      <x:c r="B153" s="81" t="n"/>
      <x:c r="C153" s="81" t="n"/>
      <x:c r="D153" s="81" t="n"/>
      <x:c r="E153" s="81" t="n"/>
      <x:c r="F153" s="81" t="n"/>
      <x:c r="G153" s="81" t="n"/>
      <x:c r="H153" s="81" t="n"/>
      <x:c r="I153" s="81" t="n"/>
      <x:c r="J153" s="81" t="n"/>
      <x:c r="K153" s="81" t="n"/>
    </x:row>
    <x:row r="154">
      <x:c r="A154" s="81" t="n"/>
      <x:c r="B154" s="81" t="n"/>
      <x:c r="C154" s="81" t="n"/>
      <x:c r="D154" s="81" t="n"/>
      <x:c r="E154" s="81" t="n"/>
      <x:c r="F154" s="81" t="n"/>
      <x:c r="G154" s="81" t="n"/>
      <x:c r="H154" s="81" t="n"/>
      <x:c r="I154" s="81" t="n"/>
      <x:c r="J154" s="81" t="n"/>
      <x:c r="K154" s="81" t="n"/>
    </x:row>
    <x:row r="155">
      <x:c r="A155" s="81" t="n"/>
      <x:c r="B155" s="81" t="n"/>
      <x:c r="C155" s="81" t="n"/>
      <x:c r="D155" s="81" t="n"/>
      <x:c r="E155" s="81" t="n"/>
      <x:c r="F155" s="81" t="n"/>
      <x:c r="G155" s="81" t="n"/>
      <x:c r="H155" s="81" t="n"/>
      <x:c r="I155" s="81" t="n"/>
      <x:c r="J155" s="81" t="n"/>
      <x:c r="K155" s="81" t="n"/>
    </x:row>
    <x:row r="156">
      <x:c r="A156" s="81" t="n"/>
      <x:c r="B156" s="81" t="n"/>
      <x:c r="C156" s="81" t="n"/>
      <x:c r="D156" s="81" t="n"/>
      <x:c r="E156" s="81" t="n"/>
      <x:c r="F156" s="81" t="n"/>
      <x:c r="G156" s="81" t="n"/>
      <x:c r="H156" s="81" t="n"/>
      <x:c r="I156" s="81" t="n"/>
      <x:c r="J156" s="81" t="n"/>
      <x:c r="K156" s="81" t="n"/>
    </x:row>
    <x:row r="157">
      <x:c r="A157" s="81" t="n"/>
      <x:c r="B157" s="81" t="n"/>
      <x:c r="C157" s="81" t="n"/>
      <x:c r="D157" s="81" t="n"/>
      <x:c r="E157" s="81" t="n"/>
      <x:c r="F157" s="81" t="n"/>
      <x:c r="G157" s="81" t="n"/>
      <x:c r="H157" s="81" t="n"/>
      <x:c r="I157" s="81" t="n"/>
      <x:c r="J157" s="81" t="n"/>
      <x:c r="K157" s="81" t="n"/>
    </x:row>
    <x:row r="158">
      <x:c r="A158" s="81" t="n"/>
      <x:c r="B158" s="81" t="n"/>
      <x:c r="C158" s="81" t="n"/>
      <x:c r="D158" s="81" t="n"/>
      <x:c r="E158" s="81" t="n"/>
      <x:c r="F158" s="81" t="n"/>
      <x:c r="G158" s="81" t="n"/>
      <x:c r="H158" s="81" t="n"/>
      <x:c r="I158" s="81" t="n"/>
      <x:c r="J158" s="81" t="n"/>
      <x:c r="K158" s="81" t="n"/>
    </x:row>
    <x:row r="159">
      <x:c r="A159" s="81" t="n"/>
      <x:c r="B159" s="81" t="n"/>
      <x:c r="C159" s="81" t="n"/>
      <x:c r="D159" s="81" t="n"/>
      <x:c r="E159" s="81" t="n"/>
      <x:c r="F159" s="81" t="n"/>
      <x:c r="G159" s="81" t="n"/>
      <x:c r="H159" s="81" t="n"/>
      <x:c r="I159" s="81" t="n"/>
      <x:c r="J159" s="81" t="n"/>
      <x:c r="K159" s="81" t="n"/>
    </x:row>
    <x:row r="160">
      <x:c r="A160" s="81" t="n"/>
      <x:c r="B160" s="81" t="n"/>
      <x:c r="C160" s="81" t="n"/>
      <x:c r="D160" s="81" t="n"/>
      <x:c r="E160" s="81" t="n"/>
      <x:c r="F160" s="81" t="n"/>
      <x:c r="G160" s="81" t="n"/>
      <x:c r="H160" s="81" t="n"/>
      <x:c r="I160" s="81" t="n"/>
      <x:c r="J160" s="81" t="n"/>
      <x:c r="K160" s="81" t="n"/>
    </x:row>
    <x:row r="161">
      <x:c r="A161" s="81" t="n"/>
      <x:c r="B161" s="81" t="n"/>
      <x:c r="C161" s="81" t="n"/>
      <x:c r="D161" s="81" t="n"/>
      <x:c r="E161" s="81" t="n"/>
      <x:c r="F161" s="81" t="n"/>
      <x:c r="G161" s="81" t="n"/>
      <x:c r="H161" s="81" t="n"/>
      <x:c r="I161" s="81" t="n"/>
      <x:c r="J161" s="81" t="n"/>
      <x:c r="K161" s="81" t="n"/>
    </x:row>
    <x:row r="162">
      <x:c r="A162" s="81" t="n"/>
      <x:c r="B162" s="81" t="n"/>
      <x:c r="C162" s="81" t="n"/>
      <x:c r="D162" s="81" t="n"/>
      <x:c r="E162" s="81" t="n"/>
      <x:c r="F162" s="81" t="n"/>
      <x:c r="G162" s="81" t="n"/>
      <x:c r="H162" s="81" t="n"/>
      <x:c r="I162" s="81" t="n"/>
      <x:c r="J162" s="81" t="n"/>
      <x:c r="K162" s="81" t="n"/>
    </x:row>
    <x:row r="163">
      <x:c r="A163" s="81" t="n"/>
      <x:c r="B163" s="81" t="n"/>
      <x:c r="C163" s="81" t="n"/>
      <x:c r="D163" s="81" t="n"/>
      <x:c r="E163" s="81" t="n"/>
      <x:c r="F163" s="81" t="n"/>
      <x:c r="G163" s="81" t="n"/>
      <x:c r="H163" s="81" t="n"/>
      <x:c r="I163" s="81" t="n"/>
      <x:c r="J163" s="81" t="n"/>
      <x:c r="K163" s="81" t="n"/>
    </x:row>
    <x:row r="164">
      <x:c r="A164" s="81" t="n"/>
      <x:c r="B164" s="81" t="n"/>
      <x:c r="C164" s="81" t="n"/>
      <x:c r="D164" s="81" t="n"/>
      <x:c r="E164" s="81" t="n"/>
      <x:c r="F164" s="81" t="n"/>
      <x:c r="G164" s="81" t="n"/>
      <x:c r="H164" s="81" t="n"/>
      <x:c r="I164" s="81" t="n"/>
      <x:c r="J164" s="81" t="n"/>
      <x:c r="K164" s="81" t="n"/>
    </x:row>
    <x:row r="165">
      <x:c r="A165" s="81" t="n"/>
      <x:c r="B165" s="81" t="n"/>
      <x:c r="C165" s="81" t="n"/>
      <x:c r="D165" s="81" t="n"/>
      <x:c r="E165" s="81" t="n"/>
      <x:c r="F165" s="81" t="n"/>
      <x:c r="G165" s="81" t="n"/>
      <x:c r="H165" s="81" t="n"/>
      <x:c r="I165" s="81" t="n"/>
      <x:c r="J165" s="81" t="n"/>
      <x:c r="K165" s="81" t="n"/>
    </x:row>
    <x:row r="166">
      <x:c r="A166" s="81" t="n"/>
      <x:c r="B166" s="81" t="n"/>
      <x:c r="C166" s="81" t="n"/>
      <x:c r="D166" s="81" t="n"/>
      <x:c r="E166" s="81" t="n"/>
      <x:c r="F166" s="81" t="n"/>
      <x:c r="G166" s="81" t="n"/>
      <x:c r="H166" s="81" t="n"/>
      <x:c r="I166" s="81" t="n"/>
      <x:c r="J166" s="81" t="n"/>
      <x:c r="K166" s="81" t="n"/>
    </x:row>
    <x:row r="167">
      <x:c r="A167" s="81" t="n"/>
      <x:c r="B167" s="81" t="n"/>
      <x:c r="C167" s="81" t="n"/>
      <x:c r="D167" s="81" t="n"/>
      <x:c r="E167" s="81" t="n"/>
      <x:c r="F167" s="81" t="n"/>
      <x:c r="G167" s="81" t="n"/>
      <x:c r="H167" s="81" t="n"/>
      <x:c r="I167" s="81" t="n"/>
      <x:c r="J167" s="81" t="n"/>
      <x:c r="K167" s="81" t="n"/>
    </x:row>
    <x:row r="168">
      <x:c r="A168" s="81" t="n"/>
      <x:c r="B168" s="81" t="n"/>
      <x:c r="C168" s="81" t="n"/>
      <x:c r="D168" s="81" t="n"/>
      <x:c r="E168" s="81" t="n"/>
      <x:c r="F168" s="81" t="n"/>
      <x:c r="G168" s="81" t="n"/>
      <x:c r="H168" s="81" t="n"/>
      <x:c r="I168" s="81" t="n"/>
      <x:c r="J168" s="81" t="n"/>
      <x:c r="K168" s="81" t="n"/>
    </x:row>
    <x:row r="169">
      <x:c r="A169" s="81" t="n"/>
      <x:c r="B169" s="81" t="n"/>
      <x:c r="C169" s="81" t="n"/>
      <x:c r="D169" s="81" t="n"/>
      <x:c r="E169" s="81" t="n"/>
      <x:c r="F169" s="81" t="n"/>
      <x:c r="G169" s="81" t="n"/>
      <x:c r="H169" s="81" t="n"/>
      <x:c r="I169" s="81" t="n"/>
      <x:c r="J169" s="81" t="n"/>
      <x:c r="K169" s="81" t="n"/>
    </x:row>
    <x:row r="170">
      <x:c r="A170" s="81" t="n"/>
      <x:c r="B170" s="81" t="n"/>
      <x:c r="C170" s="81" t="n"/>
      <x:c r="D170" s="81" t="n"/>
      <x:c r="E170" s="81" t="n"/>
      <x:c r="F170" s="81" t="n"/>
      <x:c r="G170" s="81" t="n"/>
      <x:c r="H170" s="81" t="n"/>
      <x:c r="I170" s="81" t="n"/>
      <x:c r="J170" s="81" t="n"/>
      <x:c r="K170" s="81" t="n"/>
    </x:row>
    <x:row r="171">
      <x:c r="A171" s="81" t="n"/>
      <x:c r="B171" s="81" t="n"/>
      <x:c r="C171" s="81" t="n"/>
      <x:c r="D171" s="81" t="n"/>
      <x:c r="E171" s="81" t="n"/>
      <x:c r="F171" s="81" t="n"/>
      <x:c r="G171" s="81" t="n"/>
      <x:c r="H171" s="81" t="n"/>
      <x:c r="I171" s="81" t="n"/>
      <x:c r="J171" s="81" t="n"/>
      <x:c r="K171" s="81" t="n"/>
    </x:row>
    <x:row r="172">
      <x:c r="A172" s="81" t="n"/>
      <x:c r="B172" s="81" t="n"/>
      <x:c r="C172" s="81" t="n"/>
      <x:c r="D172" s="81" t="n"/>
      <x:c r="E172" s="81" t="n"/>
      <x:c r="F172" s="81" t="n"/>
      <x:c r="G172" s="81" t="n"/>
      <x:c r="H172" s="81" t="n"/>
      <x:c r="I172" s="81" t="n"/>
      <x:c r="J172" s="81" t="n"/>
      <x:c r="K172" s="81" t="n"/>
    </x:row>
    <x:row r="173">
      <x:c r="A173" s="81" t="n"/>
      <x:c r="B173" s="81" t="n"/>
      <x:c r="C173" s="81" t="n"/>
      <x:c r="D173" s="81" t="n"/>
      <x:c r="E173" s="81" t="n"/>
      <x:c r="F173" s="81" t="n"/>
      <x:c r="G173" s="81" t="n"/>
      <x:c r="H173" s="81" t="n"/>
      <x:c r="I173" s="81" t="n"/>
      <x:c r="J173" s="81" t="n"/>
      <x:c r="K173" s="81" t="n"/>
    </x:row>
    <x:row r="174">
      <x:c r="A174" s="81" t="n"/>
      <x:c r="B174" s="81" t="n"/>
      <x:c r="C174" s="81" t="n"/>
      <x:c r="D174" s="81" t="n"/>
      <x:c r="E174" s="81" t="n"/>
      <x:c r="F174" s="81" t="n"/>
      <x:c r="G174" s="81" t="n"/>
      <x:c r="H174" s="81" t="n"/>
      <x:c r="I174" s="81" t="n"/>
      <x:c r="J174" s="81" t="n"/>
      <x:c r="K174" s="81" t="n"/>
    </x:row>
    <x:row r="175">
      <x:c r="A175" s="81" t="n"/>
      <x:c r="B175" s="81" t="n"/>
      <x:c r="C175" s="81" t="n"/>
      <x:c r="D175" s="81" t="n"/>
      <x:c r="E175" s="81" t="n"/>
      <x:c r="F175" s="81" t="n"/>
      <x:c r="G175" s="81" t="n"/>
      <x:c r="H175" s="81" t="n"/>
      <x:c r="I175" s="81" t="n"/>
      <x:c r="J175" s="81" t="n"/>
      <x:c r="K175" s="81" t="n"/>
    </x:row>
    <x:row r="176">
      <x:c r="A176" s="81" t="n"/>
      <x:c r="B176" s="81" t="n"/>
      <x:c r="C176" s="81" t="n"/>
      <x:c r="D176" s="81" t="n"/>
      <x:c r="E176" s="81" t="n"/>
      <x:c r="F176" s="81" t="n"/>
      <x:c r="G176" s="81" t="n"/>
      <x:c r="H176" s="81" t="n"/>
      <x:c r="I176" s="81" t="n"/>
      <x:c r="J176" s="81" t="n"/>
      <x:c r="K176" s="81" t="n"/>
    </x:row>
    <x:row r="177">
      <x:c r="A177" s="81" t="n"/>
      <x:c r="B177" s="81" t="n"/>
      <x:c r="C177" s="81" t="n"/>
      <x:c r="D177" s="81" t="n"/>
      <x:c r="E177" s="81" t="n"/>
      <x:c r="F177" s="81" t="n"/>
      <x:c r="G177" s="81" t="n"/>
      <x:c r="H177" s="81" t="n"/>
      <x:c r="I177" s="81" t="n"/>
      <x:c r="J177" s="81" t="n"/>
      <x:c r="K177" s="81" t="n"/>
    </x:row>
    <x:row r="178">
      <x:c r="A178" s="81" t="n"/>
      <x:c r="B178" s="81" t="n"/>
      <x:c r="C178" s="81" t="n"/>
      <x:c r="D178" s="81" t="n"/>
      <x:c r="E178" s="81" t="n"/>
      <x:c r="F178" s="81" t="n"/>
      <x:c r="G178" s="81" t="n"/>
      <x:c r="H178" s="81" t="n"/>
      <x:c r="I178" s="81" t="n"/>
      <x:c r="J178" s="81" t="n"/>
      <x:c r="K178" s="81" t="n"/>
    </x:row>
    <x:row r="179">
      <x:c r="A179" s="81" t="n"/>
      <x:c r="B179" s="81" t="n"/>
      <x:c r="C179" s="81" t="n"/>
      <x:c r="D179" s="81" t="n"/>
      <x:c r="E179" s="81" t="n"/>
      <x:c r="F179" s="81" t="n"/>
      <x:c r="G179" s="81" t="n"/>
      <x:c r="H179" s="81" t="n"/>
      <x:c r="I179" s="81" t="n"/>
      <x:c r="J179" s="81" t="n"/>
      <x:c r="K179" s="81" t="n"/>
    </x:row>
    <x:row r="180">
      <x:c r="A180" s="81" t="n"/>
      <x:c r="B180" s="81" t="n"/>
      <x:c r="C180" s="81" t="n"/>
      <x:c r="D180" s="81" t="n"/>
      <x:c r="E180" s="81" t="n"/>
      <x:c r="F180" s="81" t="n"/>
      <x:c r="G180" s="81" t="n"/>
      <x:c r="H180" s="81" t="n"/>
      <x:c r="I180" s="81" t="n"/>
      <x:c r="J180" s="81" t="n"/>
      <x:c r="K180" s="81" t="n"/>
    </x:row>
    <x:row r="181">
      <x:c r="A181" s="81" t="n"/>
      <x:c r="B181" s="81" t="n"/>
      <x:c r="C181" s="81" t="n"/>
      <x:c r="D181" s="81" t="n"/>
      <x:c r="E181" s="81" t="n"/>
      <x:c r="F181" s="81" t="n"/>
      <x:c r="G181" s="81" t="n"/>
      <x:c r="H181" s="81" t="n"/>
      <x:c r="I181" s="81" t="n"/>
      <x:c r="J181" s="81" t="n"/>
      <x:c r="K181" s="81" t="n"/>
    </x:row>
    <x:row r="182">
      <x:c r="A182" s="81" t="n"/>
      <x:c r="B182" s="81" t="n"/>
      <x:c r="C182" s="81" t="n"/>
      <x:c r="D182" s="81" t="n"/>
      <x:c r="E182" s="81" t="n"/>
      <x:c r="F182" s="81" t="n"/>
      <x:c r="G182" s="81" t="n"/>
      <x:c r="H182" s="81" t="n"/>
      <x:c r="I182" s="81" t="n"/>
      <x:c r="J182" s="81" t="n"/>
      <x:c r="K182" s="81" t="n"/>
    </x:row>
    <x:row r="183">
      <x:c r="A183" s="81" t="n"/>
      <x:c r="B183" s="81" t="n"/>
      <x:c r="C183" s="81" t="n"/>
      <x:c r="D183" s="81" t="n"/>
      <x:c r="E183" s="81" t="n"/>
      <x:c r="F183" s="81" t="n"/>
      <x:c r="G183" s="81" t="n"/>
      <x:c r="H183" s="81" t="n"/>
      <x:c r="I183" s="81" t="n"/>
      <x:c r="J183" s="81" t="n"/>
      <x:c r="K183" s="81" t="n"/>
    </x:row>
    <x:row r="184">
      <x:c r="A184" s="81" t="n"/>
      <x:c r="B184" s="81" t="n"/>
      <x:c r="C184" s="81" t="n"/>
      <x:c r="D184" s="81" t="n"/>
      <x:c r="E184" s="81" t="n"/>
      <x:c r="F184" s="81" t="n"/>
      <x:c r="G184" s="81" t="n"/>
      <x:c r="H184" s="81" t="n"/>
      <x:c r="I184" s="81" t="n"/>
      <x:c r="J184" s="81" t="n"/>
      <x:c r="K184" s="81" t="n"/>
    </x:row>
    <x:row r="185">
      <x:c r="A185" s="81" t="n"/>
      <x:c r="B185" s="81" t="n"/>
      <x:c r="C185" s="81" t="n"/>
      <x:c r="D185" s="81" t="n"/>
      <x:c r="E185" s="81" t="n"/>
      <x:c r="F185" s="81" t="n"/>
      <x:c r="G185" s="81" t="n"/>
      <x:c r="H185" s="81" t="n"/>
      <x:c r="I185" s="81" t="n"/>
      <x:c r="J185" s="81" t="n"/>
      <x:c r="K185" s="81" t="n"/>
    </x:row>
    <x:row r="186">
      <x:c r="A186" s="81" t="n"/>
      <x:c r="B186" s="81" t="n"/>
      <x:c r="C186" s="81" t="n"/>
      <x:c r="D186" s="81" t="n"/>
      <x:c r="E186" s="81" t="n"/>
      <x:c r="F186" s="81" t="n"/>
      <x:c r="G186" s="81" t="n"/>
      <x:c r="H186" s="81" t="n"/>
      <x:c r="I186" s="81" t="n"/>
      <x:c r="J186" s="81" t="n"/>
      <x:c r="K186" s="81" t="n"/>
    </x:row>
    <x:row r="187">
      <x:c r="A187" s="81" t="n"/>
      <x:c r="B187" s="81" t="n"/>
      <x:c r="C187" s="81" t="n"/>
      <x:c r="D187" s="81" t="n"/>
      <x:c r="E187" s="81" t="n"/>
      <x:c r="F187" s="81" t="n"/>
      <x:c r="G187" s="81" t="n"/>
      <x:c r="H187" s="81" t="n"/>
      <x:c r="I187" s="81" t="n"/>
      <x:c r="J187" s="81" t="n"/>
      <x:c r="K187" s="81" t="n"/>
    </x:row>
    <x:row r="188">
      <x:c r="A188" s="81" t="n"/>
      <x:c r="B188" s="81" t="n"/>
      <x:c r="C188" s="81" t="n"/>
      <x:c r="D188" s="81" t="n"/>
      <x:c r="E188" s="81" t="n"/>
      <x:c r="F188" s="81" t="n"/>
      <x:c r="G188" s="81" t="n"/>
      <x:c r="H188" s="81" t="n"/>
      <x:c r="I188" s="81" t="n"/>
      <x:c r="J188" s="81" t="n"/>
      <x:c r="K188" s="81" t="n"/>
    </x:row>
    <x:row r="189">
      <x:c r="A189" s="81" t="n"/>
      <x:c r="B189" s="81" t="n"/>
      <x:c r="C189" s="81" t="n"/>
      <x:c r="D189" s="81" t="n"/>
      <x:c r="E189" s="81" t="n"/>
      <x:c r="F189" s="81" t="n"/>
      <x:c r="G189" s="81" t="n"/>
      <x:c r="H189" s="81" t="n"/>
      <x:c r="I189" s="81" t="n"/>
      <x:c r="J189" s="81" t="n"/>
      <x:c r="K189" s="81" t="n"/>
    </x:row>
    <x:row r="190">
      <x:c r="A190" s="81" t="n"/>
      <x:c r="B190" s="81" t="n"/>
      <x:c r="C190" s="81" t="n"/>
      <x:c r="D190" s="81" t="n"/>
      <x:c r="E190" s="81" t="n"/>
      <x:c r="F190" s="81" t="n"/>
      <x:c r="G190" s="81" t="n"/>
      <x:c r="H190" s="81" t="n"/>
      <x:c r="I190" s="81" t="n"/>
      <x:c r="J190" s="81" t="n"/>
      <x:c r="K190" s="81" t="n"/>
    </x:row>
    <x:row r="191">
      <x:c r="A191" s="81" t="n"/>
      <x:c r="B191" s="81" t="n"/>
      <x:c r="C191" s="81" t="n"/>
      <x:c r="D191" s="81" t="n"/>
      <x:c r="E191" s="81" t="n"/>
      <x:c r="F191" s="81" t="n"/>
      <x:c r="G191" s="81" t="n"/>
      <x:c r="H191" s="81" t="n"/>
      <x:c r="I191" s="81" t="n"/>
      <x:c r="J191" s="81" t="n"/>
      <x:c r="K191" s="81" t="n"/>
    </x:row>
    <x:row r="192">
      <x:c r="A192" s="81" t="n"/>
      <x:c r="B192" s="81" t="n"/>
      <x:c r="C192" s="81" t="n"/>
      <x:c r="D192" s="81" t="n"/>
      <x:c r="E192" s="81" t="n"/>
      <x:c r="F192" s="81" t="n"/>
      <x:c r="G192" s="81" t="n"/>
      <x:c r="H192" s="81" t="n"/>
      <x:c r="I192" s="81" t="n"/>
      <x:c r="J192" s="81" t="n"/>
      <x:c r="K192" s="81" t="n"/>
    </x:row>
    <x:row r="193">
      <x:c r="A193" s="81" t="n"/>
      <x:c r="B193" s="81" t="n"/>
      <x:c r="C193" s="81" t="n"/>
      <x:c r="D193" s="81" t="n"/>
      <x:c r="E193" s="81" t="n"/>
      <x:c r="F193" s="81" t="n"/>
      <x:c r="G193" s="81" t="n"/>
      <x:c r="H193" s="81" t="n"/>
      <x:c r="I193" s="81" t="n"/>
      <x:c r="J193" s="81" t="n"/>
      <x:c r="K193" s="81" t="n"/>
    </x:row>
    <x:row r="194">
      <x:c r="A194" s="81" t="n"/>
      <x:c r="B194" s="81" t="n"/>
      <x:c r="C194" s="81" t="n"/>
      <x:c r="D194" s="81" t="n"/>
      <x:c r="E194" s="81" t="n"/>
      <x:c r="F194" s="81" t="n"/>
      <x:c r="G194" s="81" t="n"/>
      <x:c r="H194" s="81" t="n"/>
      <x:c r="I194" s="81" t="n"/>
      <x:c r="J194" s="81" t="n"/>
      <x:c r="K194" s="81" t="n"/>
    </x:row>
    <x:row r="195">
      <x:c r="A195" s="81" t="n"/>
      <x:c r="B195" s="81" t="n"/>
      <x:c r="C195" s="81" t="n"/>
      <x:c r="D195" s="81" t="n"/>
      <x:c r="E195" s="81" t="n"/>
      <x:c r="F195" s="81" t="n"/>
      <x:c r="G195" s="81" t="n"/>
      <x:c r="H195" s="81" t="n"/>
      <x:c r="I195" s="81" t="n"/>
      <x:c r="J195" s="81" t="n"/>
      <x:c r="K195" s="81" t="n"/>
    </x:row>
    <x:row r="196">
      <x:c r="A196" s="81" t="n"/>
      <x:c r="B196" s="81" t="n"/>
      <x:c r="C196" s="81" t="n"/>
      <x:c r="D196" s="81" t="n"/>
      <x:c r="E196" s="81" t="n"/>
      <x:c r="F196" s="81" t="n"/>
      <x:c r="G196" s="81" t="n"/>
      <x:c r="H196" s="81" t="n"/>
      <x:c r="I196" s="81" t="n"/>
      <x:c r="J196" s="81" t="n"/>
      <x:c r="K196" s="81" t="n"/>
    </x:row>
    <x:row r="197">
      <x:c r="A197" s="81" t="n"/>
      <x:c r="B197" s="81" t="n"/>
      <x:c r="C197" s="81" t="n"/>
      <x:c r="D197" s="81" t="n"/>
      <x:c r="E197" s="81" t="n"/>
      <x:c r="F197" s="81" t="n"/>
      <x:c r="G197" s="81" t="n"/>
      <x:c r="H197" s="81" t="n"/>
      <x:c r="I197" s="81" t="n"/>
      <x:c r="J197" s="81" t="n"/>
      <x:c r="K197" s="81" t="n"/>
    </x:row>
    <x:row r="198">
      <x:c r="A198" s="81" t="n"/>
      <x:c r="B198" s="81" t="n"/>
      <x:c r="C198" s="81" t="n"/>
      <x:c r="D198" s="81" t="n"/>
      <x:c r="E198" s="81" t="n"/>
      <x:c r="F198" s="81" t="n"/>
      <x:c r="G198" s="81" t="n"/>
      <x:c r="H198" s="81" t="n"/>
      <x:c r="I198" s="81" t="n"/>
      <x:c r="J198" s="81" t="n"/>
      <x:c r="K198" s="81" t="n"/>
    </x:row>
    <x:row r="199">
      <x:c r="A199" s="81" t="n"/>
      <x:c r="B199" s="81" t="n"/>
      <x:c r="C199" s="81" t="n"/>
      <x:c r="D199" s="81" t="n"/>
      <x:c r="E199" s="81" t="n"/>
      <x:c r="F199" s="81" t="n"/>
      <x:c r="G199" s="81" t="n"/>
      <x:c r="H199" s="81" t="n"/>
      <x:c r="I199" s="81" t="n"/>
      <x:c r="J199" s="81" t="n"/>
      <x:c r="K199" s="81" t="n"/>
    </x:row>
    <x:row r="200">
      <x:c r="A200" s="81" t="n"/>
      <x:c r="B200" s="81" t="n"/>
      <x:c r="C200" s="81" t="n"/>
      <x:c r="D200" s="81" t="n"/>
      <x:c r="E200" s="81" t="n"/>
      <x:c r="F200" s="81" t="n"/>
      <x:c r="G200" s="81" t="n"/>
      <x:c r="H200" s="81" t="n"/>
      <x:c r="I200" s="81" t="n"/>
      <x:c r="J200" s="81" t="n"/>
      <x:c r="K200" s="81" t="n"/>
    </x:row>
  </x:sheetData>
  <x:dataValidations count="1">
    <x:dataValidation type="list" allowBlank="0" showDropDown="0" showInputMessage="0" showErrorMessage="0"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6445c57992b8435b"/>
  </x:tableParts>
</x:worksheet>
</file>

<file path=xl/worksheets/sheet13.xml><?xml version="1.0" encoding="utf-8"?>
<x:worksheet xmlns:x="http://schemas.openxmlformats.org/spreadsheetml/2006/main">
  <x:sheetFormatPr baseColWidth="8" defaultRowHeight="15"/>
  <x:cols>
    <x:col min="1" max="1" width="8" style="72" customWidth="1"/>
    <x:col min="2" max="2" width="34" style="72" customWidth="1"/>
    <x:col min="3" max="3" width="50" style="72" customWidth="1"/>
    <x:col min="4" max="4" width="48" style="72" customWidth="1"/>
    <x:col min="5" max="5" width="45" style="72" customWidth="1"/>
    <x:col min="6" max="6" width="48" style="72" customWidth="1"/>
  </x:cols>
  <x:sheetData>
    <x:row r="1">
      <x:c r="A1" s="69" t="inlineStr">
        <x:is>
          <x:t xml:space="preserve">SELFLO TAXONOMY — HƯỚNG DẪN PHÂN LOẠI &amp; COVERAGE</x:t>
        </x:is>
      </x:c>
      <x:c r="B1" s="1" t="n"/>
      <x:c r="C1" s="1" t="n"/>
      <x:c r="D1" s="1" t="n"/>
      <x:c r="E1" s="1" t="n"/>
      <x:c r="F1" s="1" t="n"/>
    </x:row>
    <x:row r="3">
      <x:c r="A3" s="50" t="inlineStr">
        <x:is>
          <x:t xml:space="preserve">Tầng</x:t>
        </x:is>
      </x:c>
      <x:c r="B3" s="50" t="inlineStr">
        <x:is>
          <x:t xml:space="preserve">Tên taxonomy</x:t>
        </x:is>
      </x:c>
      <x:c r="C3" s="50" t="inlineStr">
        <x:is>
          <x:t xml:space="preserve">Câu hỏi taxonomy trả lời</x:t>
        </x:is>
      </x:c>
      <x:c r="D3" s="50" t="inlineStr">
        <x:is>
          <x:t xml:space="preserve">Ví dụ</x:t>
        </x:is>
      </x:c>
      <x:c r="E3" s="50" t="inlineStr">
        <x:is>
          <x:t xml:space="preserve">Dùng để đánh giá coverage</x:t>
        </x:is>
      </x:c>
      <x:c r="F3" s="50" t="inlineStr">
        <x:is>
          <x:t xml:space="preserve">Ghi chú</x:t>
        </x:is>
      </x:c>
    </x:row>
    <x:row r="4">
      <x:c r="A4" t="inlineStr">
        <x:is>
          <x:t xml:space="preserve">1</x:t>
        </x:is>
      </x:c>
      <x:c r="B4" t="inlineStr">
        <x:is>
          <x:t xml:space="preserve">Lĩnh vực cuộc sống (Life Area)</x:t>
        </x:is>
      </x:c>
      <x:c r="C4" t="inlineStr">
        <x:is>
          <x:t xml:space="preserve">Người dùng đang ở vùng nào của đời sống?</x:t>
        </x:is>
      </x:c>
      <x:c r="D4" t="inlineStr">
        <x:is>
          <x:t xml:space="preserve">Công việc; Nội tâm; Quan hệ; Gia đình; Nghỉ ngơi</x:t>
        </x:is>
      </x:c>
      <x:c r="E4" t="inlineStr">
        <x:is>
          <x:t xml:space="preserve">Độ rộng các vùng đời sống</x:t>
        </x:is>
      </x:c>
      <x:c r="F4" t="inlineStr">
        <x:is>
          <x:t xml:space="preserve">Không dùng Life Area thay cho trải nghiệm cụ thể.</x:t>
        </x:is>
      </x:c>
    </x:row>
    <x:row r="5">
      <x:c r="A5" t="inlineStr">
        <x:is>
          <x:t xml:space="preserve">2</x:t>
        </x:is>
      </x:c>
      <x:c r="B5" t="inlineStr">
        <x:is>
          <x:t xml:space="preserve">Trải nghiệm con người (Human Experience)</x:t>
        </x:is>
      </x:c>
      <x:c r="C5" t="inlineStr">
        <x:is>
          <x:t xml:space="preserve">Điều gì cụ thể đang xảy ra với người dùng?</x:t>
        </x:is>
      </x:c>
      <x:c r="D5" t="inlineStr">
        <x:is>
          <x:t xml:space="preserve">Công việc vẫn ở trong đầu sau giờ làm</x:t>
        </x:is>
      </x:c>
      <x:c r="E5" t="inlineStr">
        <x:is>
          <x:t xml:space="preserve">Đây là đơn vị coverage QUAN TRỌNG NHẤT</x:t>
        </x:is>
      </x:c>
      <x:c r="F5" t="inlineStr">
        <x:is>
          <x:t xml:space="preserve">Một Life Area có nhiều Human Experience.</x:t>
        </x:is>
      </x:c>
    </x:row>
    <x:row r="6">
      <x:c r="A6" t="inlineStr">
        <x:is>
          <x:t xml:space="preserve">3</x:t>
        </x:is>
      </x:c>
      <x:c r="B6" t="inlineStr">
        <x:is>
          <x:t xml:space="preserve">Chủ đề (Theme)</x:t>
        </x:is>
      </x:c>
      <x:c r="C6" t="inlineStr">
        <x:is>
          <x:t xml:space="preserve">Những ý tưởng nào đang được chạm tới?</x:t>
        </x:is>
      </x:c>
      <x:c r="D6" t="inlineStr">
        <x:is>
          <x:t xml:space="preserve">Recovery; Attention; Boundaries</x:t>
        </x:is>
      </x:c>
      <x:c r="E6" t="inlineStr">
        <x:is>
          <x:t xml:space="preserve">Độ rộng ý niệm</x:t>
        </x:is>
      </x:c>
      <x:c r="F6" t="inlineStr">
        <x:is>
          <x:t xml:space="preserve">Một Experience có thể có nhiều Theme.</x:t>
        </x:is>
      </x:c>
    </x:row>
    <x:row r="7">
      <x:c r="A7" t="inlineStr">
        <x:is>
          <x:t xml:space="preserve">4</x:t>
        </x:is>
      </x:c>
      <x:c r="B7" t="inlineStr">
        <x:is>
          <x:t xml:space="preserve">Cảm xúc / trạng thái (Emotion / State)</x:t>
        </x:is>
      </x:c>
      <x:c r="C7" t="inlineStr">
        <x:is>
          <x:t xml:space="preserve">Người dùng có thể đang cảm thấy/trải qua trạng thái gì?</x:t>
        </x:is>
      </x:c>
      <x:c r="D7" t="inlineStr">
        <x:is>
          <x:t xml:space="preserve">Mệt; lo; bối rối; tiếc nuối; nhẹ nhõm</x:t>
        </x:is>
      </x:c>
      <x:c r="E7" t="inlineStr">
        <x:is>
          <x:t xml:space="preserve">Coverage theo trạng thái cảm xúc</x:t>
        </x:is>
      </x:c>
      <x:c r="F7" t="inlineStr">
        <x:is>
          <x:t xml:space="preserve">Không chẩn đoán người dùng; đây là tag biên tập.</x:t>
        </x:is>
      </x:c>
    </x:row>
    <x:row r="8">
      <x:c r="A8" t="inlineStr">
        <x:is>
          <x:t xml:space="preserve">5</x:t>
        </x:is>
      </x:c>
      <x:c r="B8" t="inlineStr">
        <x:is>
          <x:t xml:space="preserve">Vai trò biên tập (Editorial Role)</x:t>
        </x:is>
      </x:c>
      <x:c r="C8" t="inlineStr">
        <x:is>
          <x:t xml:space="preserve">Nội dung đang làm gì cho người đọc?</x:t>
        </x:is>
      </x:c>
      <x:c r="D8" t="inlineStr">
        <x:is>
          <x:t xml:space="preserve">Recognize; Name; Permit; Reframe; Distinguish; Return agency</x:t>
        </x:is>
      </x:c>
      <x:c r="E8" t="inlineStr">
        <x:is>
          <x:t xml:space="preserve">Độ đa dạng góc nhìn trong cùng Experience</x:t>
        </x:is>
      </x:c>
      <x:c r="F8" t="inlineStr">
        <x:is>
          <x:t xml:space="preserve">Tránh library chỉ toàn Reframe/inspiration.</x:t>
        </x:is>
      </x:c>
    </x:row>
    <x:row r="9">
      <x:c r="A9" t="inlineStr">
        <x:is>
          <x:t xml:space="preserve">6</x:t>
        </x:is>
      </x:c>
      <x:c r="B9" t="inlineStr">
        <x:is>
          <x:t xml:space="preserve">Hình thức nội dung (Content Form)</x:t>
        </x:is>
      </x:c>
      <x:c r="C9" t="inlineStr">
        <x:is>
          <x:t xml:space="preserve">Câu được thể hiện bằng cách nào?</x:t>
        </x:is>
      </x:c>
      <x:c r="D9" t="inlineStr">
        <x:is>
          <x:t xml:space="preserve">Quan sát; ẩn dụ; câu hỏi; nghịch lý; tục ngữ; thơ</x:t>
        </x:is>
      </x:c>
      <x:c r="E9" t="inlineStr">
        <x:is>
          <x:t xml:space="preserve">Độ đa dạng giọng và hình thức</x:t>
        </x:is>
      </x:c>
      <x:c r="F9" t="inlineStr">
        <x:is>
          <x:t xml:space="preserve">Tránh 1.000 câu nhưng đều cùng kiểu viết.</x:t>
        </x:is>
      </x:c>
    </x:row>
    <x:row r="10">
      <x:c r="A10" t="inlineStr">
        <x:is>
          <x:t xml:space="preserve">7</x:t>
        </x:is>
      </x:c>
      <x:c r="B10" t="inlineStr">
        <x:is>
          <x:t xml:space="preserve">Nguyên lý nền (Principle)</x:t>
        </x:is>
      </x:c>
      <x:c r="C10" t="inlineStr">
        <x:is>
          <x:t xml:space="preserve">Research/triết lý nào đứng phía sau?</x:t>
        </x:is>
      </x:c>
      <x:c r="D10" t="inlineStr">
        <x:is>
          <x:t xml:space="preserve">Psychological detachment; mixed emotions; human agency</x:t>
        </x:is>
      </x:c>
      <x:c r="E10" t="inlineStr">
        <x:is>
          <x:t xml:space="preserve">Độ sâu tri thức</x:t>
        </x:is>
      </x:c>
      <x:c r="F10" t="inlineStr">
        <x:is>
          <x:t xml:space="preserve">Principle thường không cần hiện trực tiếp với user.</x:t>
        </x:is>
      </x:c>
    </x:row>
    <x:row r="11">
      <x:c r="A11" t="inlineStr">
        <x:is>
          <x:t xml:space="preserve">8</x:t>
        </x:is>
      </x:c>
      <x:c r="B11" t="inlineStr">
        <x:is>
          <x:t xml:space="preserve">Nguồn / truyền thống (Source / Tradition)</x:t>
        </x:is>
      </x:c>
      <x:c r="C11" t="inlineStr">
        <x:is>
          <x:t xml:space="preserve">Nội dung đến từ đâu?</x:t>
        </x:is>
      </x:c>
      <x:c r="D11" t="inlineStr">
        <x:is>
          <x:t xml:space="preserve">Đạo gia; Stoicism; Việt Nam; Literature; Psychology</x:t>
        </x:is>
      </x:c>
      <x:c r="E11" t="inlineStr">
        <x:is>
          <x:t xml:space="preserve">Độ đa dạng văn hóa/tác giả/nguồn</x:t>
        </x:is>
      </x:c>
      <x:c r="F11" t="inlineStr">
        <x:is>
          <x:t xml:space="preserve">Theo dõi over-representation.</x:t>
        </x:is>
      </x:c>
    </x:row>
    <x:row r="12">
      <x:c r="A12" t="inlineStr">
        <x:is>
          <x:t xml:space="preserve">9</x:t>
        </x:is>
      </x:c>
      <x:c r="B12" t="inlineStr">
        <x:is>
          <x:t xml:space="preserve">Mức xác minh (Verification)</x:t>
        </x:is>
      </x:c>
      <x:c r="C12" t="inlineStr">
        <x:is>
          <x:t xml:space="preserve">Attribution/source đáng tin tới đâu?</x:t>
        </x:is>
      </x:c>
      <x:c r="D12" t="inlineStr">
        <x:is>
          <x:t xml:space="preserve">A primary; B authoritative; C needs primary; D disputed</x:t>
        </x:is>
      </x:c>
      <x:c r="E12" t="inlineStr">
        <x:is>
          <x:t xml:space="preserve">Chất lượng provenance</x:t>
        </x:is>
      </x:c>
      <x:c r="F12" t="inlineStr">
        <x:is>
          <x:t xml:space="preserve">D vẫn có thể giữ research nhưng không tự động Release.</x:t>
        </x:is>
      </x:c>
    </x:row>
    <x:row r="13">
      <x:c r="A13" t="inlineStr">
        <x:is>
          <x:t xml:space="preserve">10</x:t>
        </x:is>
      </x:c>
      <x:c r="B13" t="inlineStr">
        <x:is>
          <x:t xml:space="preserve">Quyền sử dụng (Rights)</x:t>
        </x:is>
      </x:c>
      <x:c r="C13" t="inlineStr">
        <x:is>
          <x:t xml:space="preserve">Có thể dùng nội dung như thế nào?</x:t>
        </x:is>
      </x:c>
      <x:c r="D13" t="inlineStr">
        <x:is>
          <x:t xml:space="preserve">Public domain; copyrighted; permission needed</x:t>
        </x:is>
      </x:c>
      <x:c r="E13" t="inlineStr">
        <x:is>
          <x:t xml:space="preserve">Khả năng sử dụng thực tế</x:t>
        </x:is>
      </x:c>
      <x:c r="F13" t="inlineStr">
        <x:is>
          <x:t xml:space="preserve">Tách quality khỏi rights.</x:t>
        </x:is>
      </x:c>
    </x:row>
    <x:row r="14">
      <x:c r="A14" t="inlineStr">
        <x:is>
          <x:t xml:space="preserve">11</x:t>
        </x:is>
      </x:c>
      <x:c r="B14" t="inlineStr">
        <x:is>
          <x:t xml:space="preserve">Mức phù hợp Selflo (Selflo Fit)</x:t>
        </x:is>
      </x:c>
      <x:c r="C14" t="inlineStr">
        <x:is>
          <x:t xml:space="preserve">Nội dung có hợp triết lý Selflo không?</x:t>
        </x:is>
      </x:c>
      <x:c r="D14" t="inlineStr">
        <x:is>
          <x:t xml:space="preserve">High / Medium / Low / Not reviewed</x:t>
        </x:is>
      </x:c>
      <x:c r="E14" t="inlineStr">
        <x:is>
          <x:t xml:space="preserve">Chỉ dùng ở phase curate</x:t>
        </x:is>
      </x:c>
      <x:c r="F14" t="inlineStr">
        <x:is>
          <x:t xml:space="preserve">Không lọc quá sớm trong giai đoạn Collect.</x:t>
        </x:is>
      </x:c>
    </x:row>
    <x:row r="17">
      <x:c r="A17" s="65" t="inlineStr">
        <x:is>
          <x:t xml:space="preserve">COVERAGE NGHĨA LÀ GÌ?</x:t>
        </x:is>
      </x:c>
      <x:c r="B17" s="1" t="n"/>
      <x:c r="C17" s="1" t="n"/>
      <x:c r="D17" s="1" t="n"/>
      <x:c r="E17" s="1" t="n"/>
      <x:c r="F17" s="1" t="n"/>
    </x:row>
    <x:row r="18">
      <x:c r="A18" s="50" t="inlineStr">
        <x:is>
          <x:t xml:space="preserve">Mức</x:t>
        </x:is>
      </x:c>
      <x:c r="B18" s="50" t="inlineStr">
        <x:is>
          <x:t xml:space="preserve">Ý nghĩa</x:t>
        </x:is>
      </x:c>
      <x:c r="C18" s="50" t="inlineStr">
        <x:is>
          <x:t xml:space="preserve">Quy tắc gợi ý</x:t>
        </x:is>
      </x:c>
      <x:c r="D18" s="50" t="inlineStr">
        <x:is>
          <x:t xml:space="preserve">Ví dụ</x:t>
        </x:is>
      </x:c>
      <x:c r="E18" s="50" t="inlineStr">
        <x:is>
          <x:t xml:space="preserve">Hành động</x:t>
        </x:is>
      </x:c>
      <x:c r="F18" s="50" t="str"/>
    </x:row>
    <x:row r="19">
      <x:c r="A19" t="inlineStr">
        <x:is>
          <x:t xml:space="preserve">🔴 Missing</x:t>
        </x:is>
      </x:c>
      <x:c r="B19" t="inlineStr">
        <x:is>
          <x:t xml:space="preserve">Chưa có nội dung cho trải nghiệm.</x:t>
        </x:is>
      </x:c>
      <x:c r="C19" t="inlineStr">
        <x:is>
          <x:t xml:space="preserve">0 quote phù hợp.</x:t>
        </x:is>
      </x:c>
      <x:c r="D19" t="inlineStr">
        <x:is>
          <x:t xml:space="preserve">Mixed emotions: 0</x:t>
        </x:is>
      </x:c>
      <x:c r="E19" t="inlineStr">
        <x:is>
          <x:t xml:space="preserve">Ưu tiên collect.</x:t>
        </x:is>
      </x:c>
    </x:row>
    <x:row r="20">
      <x:c r="A20" t="inlineStr">
        <x:is>
          <x:t xml:space="preserve">🟠 Thin</x:t>
        </x:is>
      </x:c>
      <x:c r="B20" t="inlineStr">
        <x:is>
          <x:t xml:space="preserve">Có nội dung nhưng góc nhìn còn mỏng.</x:t>
        </x:is>
      </x:c>
      <x:c r="C20" t="inlineStr">
        <x:is>
          <x:t xml:space="preserve">1–2 quote hoặc chỉ 1 editorial role.</x:t>
        </x:is>
      </x:c>
      <x:c r="D20" t="inlineStr">
        <x:is>
          <x:t xml:space="preserve">Chỉ có Reframe.</x:t>
        </x:is>
      </x:c>
      <x:c r="E20" t="inlineStr">
        <x:is>
          <x:t xml:space="preserve">Tìm thêm nguồn/góc nhìn khác.</x:t>
        </x:is>
      </x:c>
    </x:row>
    <x:row r="21">
      <x:c r="A21" t="inlineStr">
        <x:is>
          <x:t xml:space="preserve">🟡 Covered</x:t>
        </x:is>
      </x:c>
      <x:c r="B21" t="inlineStr">
        <x:is>
          <x:t xml:space="preserve">Đã có nhiều góc nhìn đủ dùng.</x:t>
        </x:is>
      </x:c>
      <x:c r="C21" t="inlineStr">
        <x:is>
          <x:t xml:space="preserve">≥3 quote và ≥2 editorial roles, nguồn không quá lệch.</x:t>
        </x:is>
      </x:c>
      <x:c r="D21" t="inlineStr">
        <x:is>
          <x:t xml:space="preserve">Recognize + Permit + Distinguish.</x:t>
        </x:is>
      </x:c>
      <x:c r="E21" t="inlineStr">
        <x:is>
          <x:t xml:space="preserve">Không cần ép thêm số lượng.</x:t>
        </x:is>
      </x:c>
    </x:row>
    <x:row r="22">
      <x:c r="A22" t="inlineStr">
        <x:is>
          <x:t xml:space="preserve">🟢 Rich</x:t>
        </x:is>
      </x:c>
      <x:c r="B22" t="inlineStr">
        <x:is>
          <x:t xml:space="preserve">Coverage giàu và đa dạng.</x:t>
        </x:is>
      </x:c>
      <x:c r="C22" t="inlineStr">
        <x:is>
          <x:t xml:space="preserve">Nhiều editorial roles + source/form diversity + story/principle khi hữu ích.</x:t>
        </x:is>
      </x:c>
      <x:c r="D22" t="inlineStr">
        <x:is>
          <x:t xml:space="preserve">Quote + story + research + nhiều truyền thống.</x:t>
        </x:is>
      </x:c>
      <x:c r="E22" t="inlineStr">
        <x:is>
          <x:t xml:space="preserve">Chỉ bổ sung khi có giá trị mới.</x:t>
        </x:is>
      </x:c>
    </x:row>
    <x:row r="25">
      <x:c r="A25" s="65" t="inlineStr">
        <x:is>
          <x:t xml:space="preserve">VÍ DỤ PHÂN LOẠI MỘT QUOTE</x:t>
        </x:is>
      </x:c>
      <x:c r="B25" s="1" t="n"/>
      <x:c r="C25" s="1" t="n"/>
      <x:c r="D25" s="1" t="n"/>
      <x:c r="E25" s="1" t="n"/>
      <x:c r="F25" s="1" t="n"/>
    </x:row>
    <x:row r="26">
      <x:c r="A26" s="94" t="inlineStr">
        <x:is>
          <x:t xml:space="preserve">Quote</x:t>
        </x:is>
      </x:c>
      <x:c r="B26" t="inlineStr">
        <x:is>
          <x:t xml:space="preserve">Mưa đã tạnh. Mặt đất chưa khô. Nhưng mưa đã tạnh.</x:t>
        </x:is>
      </x:c>
    </x:row>
    <x:row r="27">
      <x:c r="A27" s="94" t="inlineStr">
        <x:is>
          <x:t xml:space="preserve">Life Area</x:t>
        </x:is>
      </x:c>
      <x:c r="B27" t="inlineStr">
        <x:is>
          <x:t xml:space="preserve">Nội tâm &amp; cảm xúc</x:t>
        </x:is>
      </x:c>
    </x:row>
    <x:row r="28">
      <x:c r="A28" s="94" t="inlineStr">
        <x:is>
          <x:t xml:space="preserve">Human Experience</x:t>
        </x:is>
      </x:c>
      <x:c r="B28" t="inlineStr">
        <x:is>
          <x:t xml:space="preserve">Chuyện đã qua nhưng mình chưa hồi phục</x:t>
        </x:is>
      </x:c>
    </x:row>
    <x:row r="29">
      <x:c r="A29" s="94" t="inlineStr">
        <x:is>
          <x:t xml:space="preserve">Theme</x:t>
        </x:is>
      </x:c>
      <x:c r="B29" t="inlineStr">
        <x:is>
          <x:t xml:space="preserve">Recovery; Impermanence</x:t>
        </x:is>
      </x:c>
    </x:row>
    <x:row r="30">
      <x:c r="A30" s="94" t="inlineStr">
        <x:is>
          <x:t xml:space="preserve">Emotion / State</x:t>
        </x:is>
      </x:c>
      <x:c r="B30" t="inlineStr">
        <x:is>
          <x:t xml:space="preserve">Lingering emotion; mệt; buồn (tag biên tập, không chẩn đoán)</x:t>
        </x:is>
      </x:c>
    </x:row>
    <x:row r="31">
      <x:c r="A31" s="94" t="inlineStr">
        <x:is>
          <x:t xml:space="preserve">Editorial Role</x:t>
        </x:is>
      </x:c>
      <x:c r="B31" t="inlineStr">
        <x:is>
          <x:t xml:space="preserve">Recognize + Permit</x:t>
        </x:is>
      </x:c>
    </x:row>
    <x:row r="32">
      <x:c r="A32" s="94" t="inlineStr">
        <x:is>
          <x:t xml:space="preserve">Content Form</x:t>
        </x:is>
      </x:c>
      <x:c r="B32" t="inlineStr">
        <x:is>
          <x:t xml:space="preserve">Ẩn dụ (Metaphor)</x:t>
        </x:is>
      </x:c>
    </x:row>
    <x:row r="33">
      <x:c r="A33" s="94" t="inlineStr">
        <x:is>
          <x:t xml:space="preserve">Source</x:t>
        </x:is>
      </x:c>
      <x:c r="B33" t="inlineStr">
        <x:is>
          <x:t xml:space="preserve">Selflo Original</x:t>
        </x:is>
      </x:c>
    </x:row>
    <x:row r="34">
      <x:c r="A34" s="94" t="inlineStr">
        <x:is>
          <x:t xml:space="preserve">Selflo Fit</x:t>
        </x:is>
      </x:c>
      <x:c r="B34" t="inlineStr">
        <x:is>
          <x:t xml:space="preserve">High</x:t>
        </x:is>
      </x:c>
    </x:row>
  </x:sheetData>
  <x:mergeCells>
    <x:mergeCell ref="A1:F1"/>
    <x:mergeCell ref="A17:F17"/>
    <x:mergeCell ref="A25:F25"/>
  </x:mergeCells>
  <x:pageMargins left="0.7" right="0.7" top="0.75" bottom="0.75" header="0.3" footer="0.3"/>
</x:worksheet>
</file>

<file path=xl/worksheets/sheet14.xml><?xml version="1.0" encoding="utf-8"?>
<x:worksheet xmlns:x="http://schemas.openxmlformats.org/spreadsheetml/2006/main">
  <x:sheetFormatPr baseColWidth="8" defaultRowHeight="15"/>
  <x:cols>
    <x:col min="1" max="1" width="22" style="72" customWidth="1"/>
    <x:col min="2" max="2" width="22" style="72" customWidth="1"/>
    <x:col min="3" max="3" width="42" style="72" customWidth="1"/>
    <x:col min="4" max="4" width="42" style="72" customWidth="1"/>
    <x:col min="5" max="5" width="42" style="72" customWidth="1"/>
    <x:col min="6" max="6" width="42" style="72" customWidth="1"/>
    <x:col min="7" max="7" width="22" style="72" customWidth="1"/>
    <x:col min="8" max="8" width="22" style="72" customWidth="1"/>
    <x:col min="9" max="9" width="22" style="72" customWidth="1"/>
    <x:col min="10" max="10" width="22" style="72" customWidth="1"/>
    <x:col min="11" max="11" width="22" style="72" customWidth="1"/>
    <x:col min="12" max="12" width="22" style="72" customWidth="1"/>
    <x:col min="13" max="13" width="22" style="72" customWidth="1"/>
    <x:col min="14" max="14" width="42" style="72" customWidth="1"/>
    <x:col min="15" max="15" width="22" style="72" customWidth="1"/>
    <x:col min="16" max="16" width="42" style="72" customWidth="1"/>
    <x:col min="17" max="17" width="22" style="72" customWidth="1"/>
    <x:col min="18" max="18" width="22" style="72" customWidth="1"/>
    <x:col min="19" max="19" width="42" style="72" customWidth="1"/>
    <x:col min="20" max="20" width="22" style="72" customWidth="1"/>
    <x:col min="21" max="21" width="42" style="72" customWidth="1"/>
    <x:col min="22" max="22" width="22" style="72" customWidth="1"/>
    <x:col min="23" max="23" width="22" style="72" customWidth="1"/>
    <x:col min="24" max="24" width="22" style="72" customWidth="1"/>
    <x:col min="25" max="25" width="42" style="72" customWidth="1"/>
    <x:col min="26" max="26" width="22" style="72" customWidth="1"/>
    <x:col min="27" max="27" width="42" style="72" customWidth="1"/>
    <x:col min="28" max="28" width="22" style="72" customWidth="1"/>
    <x:col min="29" max="29" width="42" style="72" customWidth="1"/>
    <x:col min="30" max="30" width="22" style="72" customWidth="1"/>
    <x:col min="31" max="31" width="22" style="72" customWidth="1"/>
    <x:col min="32" max="32" width="22" style="72" customWidth="1"/>
    <x:col min="33" max="33" width="22" style="72" customWidth="1"/>
    <x:col min="34" max="34" width="22" style="72" customWidth="1"/>
    <x:col min="35" max="35" width="22" style="72" customWidth="1"/>
    <x:col min="36" max="36" width="22" style="72" customWidth="1"/>
    <x:col min="37" max="37" width="22" style="72" customWidth="1"/>
    <x:col min="38" max="38" width="22" style="72" customWidth="1"/>
    <x:col min="39" max="39" width="22" style="72" customWidth="1"/>
    <x:col min="40" max="40" width="22" style="72" customWidth="1"/>
    <x:col min="41" max="41" width="22" style="72" customWidth="1"/>
    <x:col min="42" max="42" width="22" style="72" customWidth="1"/>
    <x:col min="43" max="43" width="42" style="72" customWidth="1"/>
  </x:cols>
  <x:sheetData>
    <x:row r="1">
      <x:c r="A1" s="50" t="inlineStr">
        <x:is>
          <x:t xml:space="preserve">Quote ID</x:t>
        </x:is>
      </x:c>
      <x:c r="B1" s="50" t="inlineStr">
        <x:is>
          <x:t xml:space="preserve">Trạng thái</x:t>
        </x:is>
      </x:c>
      <x:c r="C1" s="50" t="inlineStr">
        <x:is>
          <x:t xml:space="preserve">Lĩnh vực cuộc sống (Life Area)</x:t>
        </x:is>
      </x:c>
      <x:c r="D1" s="50" t="inlineStr">
        <x:is>
          <x:t xml:space="preserve">Cluster chính</x:t>
        </x:is>
      </x:c>
      <x:c r="E1" s="50" t="inlineStr">
        <x:is>
          <x:t xml:space="preserve">Cluster phụ</x:t>
        </x:is>
      </x:c>
      <x:c r="F1" s="50" t="inlineStr">
        <x:is>
          <x:t xml:space="preserve">Trải nghiệm con người (Human Experience)</x:t>
        </x:is>
      </x:c>
      <x:c r="G1" s="50" t="inlineStr">
        <x:is>
          <x:t xml:space="preserve">Chủ đề chính (Theme)</x:t>
        </x:is>
      </x:c>
      <x:c r="H1" s="50" t="inlineStr">
        <x:is>
          <x:t xml:space="preserve">Chủ đề phụ</x:t>
        </x:is>
      </x:c>
      <x:c r="I1" s="50" t="inlineStr">
        <x:is>
          <x:t xml:space="preserve">Cảm xúc / trạng thái chính</x:t>
        </x:is>
      </x:c>
      <x:c r="J1" s="50" t="inlineStr">
        <x:is>
          <x:t xml:space="preserve">Cảm xúc / trạng thái phụ</x:t>
        </x:is>
      </x:c>
      <x:c r="K1" s="50" t="inlineStr">
        <x:is>
          <x:t xml:space="preserve">Vai trò biên tập chính</x:t>
        </x:is>
      </x:c>
      <x:c r="L1" s="50" t="inlineStr">
        <x:is>
          <x:t xml:space="preserve">Vai trò biên tập phụ</x:t>
        </x:is>
      </x:c>
      <x:c r="M1" s="50" t="inlineStr">
        <x:is>
          <x:t xml:space="preserve">Hình thức nội dung (Content Form)</x:t>
        </x:is>
      </x:c>
      <x:c r="N1" s="50" t="inlineStr">
        <x:is>
          <x:t xml:space="preserve">Nguyên văn</x:t>
        </x:is>
      </x:c>
      <x:c r="O1" s="50" t="inlineStr">
        <x:is>
          <x:t xml:space="preserve">Ngôn ngữ</x:t>
        </x:is>
      </x:c>
      <x:c r="P1" s="50" t="inlineStr">
        <x:is>
          <x:t xml:space="preserve">Bản dịch / bản làm việc tiếng Việt</x:t>
        </x:is>
      </x:c>
      <x:c r="Q1" s="50" t="inlineStr">
        <x:is>
          <x:t xml:space="preserve">Tác giả / Attribution</x:t>
        </x:is>
      </x:c>
      <x:c r="R1" s="50" t="inlineStr">
        <x:is>
          <x:t xml:space="preserve">Truyền thống / khu vực</x:t>
        </x:is>
      </x:c>
      <x:c r="S1" s="50" t="inlineStr">
        <x:is>
          <x:t xml:space="preserve">Tên nguồn / tác phẩm</x:t>
        </x:is>
      </x:c>
      <x:c r="T1" s="50" t="inlineStr">
        <x:is>
          <x:t xml:space="preserve">Chương / vị trí</x:t>
        </x:is>
      </x:c>
      <x:c r="U1" s="50" t="inlineStr">
        <x:is>
          <x:t xml:space="preserve">Source URL</x:t>
        </x:is>
      </x:c>
      <x:c r="V1" s="50" t="inlineStr">
        <x:is>
          <x:t xml:space="preserve">Loại nguồn</x:t>
        </x:is>
      </x:c>
      <x:c r="W1" s="50" t="inlineStr">
        <x:is>
          <x:t xml:space="preserve">Loại quote</x:t>
        </x:is>
      </x:c>
      <x:c r="X1" s="50" t="inlineStr">
        <x:is>
          <x:t xml:space="preserve">Mức xác minh</x:t>
        </x:is>
      </x:c>
      <x:c r="Y1" s="50" t="inlineStr">
        <x:is>
          <x:t xml:space="preserve">Ghi chú xác minh</x:t>
        </x:is>
      </x:c>
      <x:c r="Z1" s="50" t="inlineStr">
        <x:is>
          <x:t xml:space="preserve">Quyền sử dụng</x:t>
        </x:is>
      </x:c>
      <x:c r="AA1" s="50" t="inlineStr">
        <x:is>
          <x:t xml:space="preserve">Ghi chú copyright / usage</x:t>
        </x:is>
      </x:c>
      <x:c r="AB1" s="50" t="inlineStr">
        <x:is>
          <x:t xml:space="preserve">Mức phù hợp Selflo</x:t>
        </x:is>
      </x:c>
      <x:c r="AC1" s="50" t="inlineStr">
        <x:is>
          <x:t xml:space="preserve">Ghi chú Selflo Fit</x:t>
        </x:is>
      </x:c>
      <x:c r="AD1" s="50" t="inlineStr">
        <x:is>
          <x:t xml:space="preserve">Rủi ro giáo điều / directive</x:t>
        </x:is>
      </x:c>
      <x:c r="AE1" s="50" t="inlineStr">
        <x:is>
          <x:t xml:space="preserve">Rủi ro trùng ý</x:t>
        </x:is>
      </x:c>
      <x:c r="AF1" s="50" t="inlineStr">
        <x:is>
          <x:t xml:space="preserve">Principle ID liên quan</x:t>
        </x:is>
      </x:c>
      <x:c r="AG1" s="50" t="inlineStr">
        <x:is>
          <x:t xml:space="preserve">Story ID liên quan</x:t>
        </x:is>
      </x:c>
      <x:c r="AH1" s="50" t="inlineStr">
        <x:is>
          <x:t xml:space="preserve">Story dependency gate</x:t>
        </x:is>
      </x:c>
      <x:c r="AI1" s="50" t="inlineStr">
        <x:is>
          <x:t xml:space="preserve">Owner review</x:t>
        </x:is>
      </x:c>
      <x:c r="AJ1" s="50" t="inlineStr">
        <x:is>
          <x:t xml:space="preserve">Release readiness</x:t>
        </x:is>
      </x:c>
      <x:c r="AK1" s="50" t="inlineStr">
        <x:is>
          <x:t xml:space="preserve">Vị trí library hiện tại</x:t>
        </x:is>
      </x:c>
      <x:c r="AL1" s="50" t="inlineStr">
        <x:is>
          <x:t xml:space="preserve">Ngày trong plan</x:t>
        </x:is>
      </x:c>
      <x:c r="AM1" s="50" t="inlineStr">
        <x:is>
          <x:t xml:space="preserve">Người thu thập</x:t>
        </x:is>
      </x:c>
      <x:c r="AN1" s="50" t="inlineStr">
        <x:is>
          <x:t xml:space="preserve">Ngày thu thập</x:t>
        </x:is>
      </x:c>
      <x:c r="AO1" s="50" t="inlineStr">
        <x:is>
          <x:t xml:space="preserve">Ghi chú</x:t>
        </x:is>
      </x:c>
      <x:c r="AP1" s="50" t="n"/>
      <x:c r="AQ1" s="50" t="n"/>
    </x:row>
    <x:row r="2">
      <x:c r="A2" s="81" t="inlineStr">
        <x:is>
          <x:t xml:space="preserve">research.laozi.ch01.001</x:t>
        </x:is>
      </x:c>
      <x:c r="B2" s="81" t="inlineStr">
        <x:is>
          <x:t xml:space="preserve">Collected</x:t>
        </x:is>
      </x:c>
      <x:c r="C2" s="81" t="inlineStr">
        <x:is>
          <x:t xml:space="preserve">Ý nghĩa &amp; bản sắc</x:t>
        </x:is>
      </x:c>
      <x:c r="D2" s="81" t="inlineStr">
        <x:is>
          <x:t xml:space="preserve">AI-age Human Judgment</x:t>
        </x:is>
      </x:c>
      <x:c r="E2" s="81" t="str"/>
      <x:c r="F2" s="81" t="inlineStr">
        <x:is>
          <x:t xml:space="preserve">Tên gọi không bao giờ chứa trọn điều được gọi</x:t>
        </x:is>
      </x:c>
      <x:c r="G2" s="81" t="inlineStr">
        <x:is>
          <x:t xml:space="preserve">Judgment</x:t>
        </x:is>
      </x:c>
      <x:c r="H2" s="81" t="inlineStr">
        <x:is>
          <x:t xml:space="preserve">Uncertainty</x:t>
        </x:is>
      </x:c>
      <x:c r="I2" s="81" t="inlineStr">
        <x:is>
          <x:t xml:space="preserve">Không chắc chắn</x:t>
        </x:is>
      </x:c>
      <x:c r="J2" s="81" t="str"/>
      <x:c r="K2" s="81" t="inlineStr">
        <x:is>
          <x:t xml:space="preserve">Distinguish</x:t>
        </x:is>
      </x:c>
      <x:c r="L2" s="81" t="inlineStr">
        <x:is>
          <x:t xml:space="preserve">Recognize</x:t>
        </x:is>
      </x:c>
      <x:c r="M2" s="81" t="inlineStr">
        <x:is>
          <x:t xml:space="preserve">Trích đoạn triết học</x:t>
        </x:is>
      </x:c>
      <x:c r="N2" s="81" t="inlineStr">
        <x:is>
          <x:t xml:space="preserve">道可道，非常道；名可名，非常名。</x:t>
        </x:is>
      </x:c>
      <x:c r="O2" s="81" t="inlineStr">
        <x:is>
          <x:t xml:space="preserve">Classical Chinese (文言文)</x:t>
        </x:is>
      </x:c>
      <x:c r="P2" s="81" t="inlineStr">
        <x:is>
          <x:t xml:space="preserve">Đạo có thể nói thành lời thì không phải Đạo thường hằng; tên có thể gọi thành tên thì không phải tên thường hằng.</x:t>
        </x:is>
      </x:c>
      <x:c r="Q2" s="81" t="inlineStr">
        <x:is>
          <x:t xml:space="preserve">Laozi / 老子</x:t>
        </x:is>
      </x:c>
      <x:c r="R2" s="81" t="inlineStr">
        <x:is>
          <x:t xml:space="preserve">Taoism</x:t>
        </x:is>
      </x:c>
      <x:c r="S2" s="81" t="inlineStr">
        <x:is>
          <x:t xml:space="preserve">道德經 / Tao Te Ching</x:t>
        </x:is>
      </x:c>
      <x:c r="T2" s="81" t="inlineStr">
        <x:is>
          <x:t xml:space="preserve">Chapter 1</x:t>
        </x:is>
      </x:c>
      <x:c r="U2" s="81" t="inlineStr">
        <x:is>
          <x:t xml:space="preserve">https://zh.wikisource.org/zh-hans/%E9%81%93%E5%BE%B7%E7%B6%93_(%E7%8E%8B%E5%BC%BC%E6%9C%AC)</x:t>
        </x:is>
      </x:c>
      <x:c r="V2" s="81" t="inlineStr">
        <x:is>
          <x:t xml:space="preserve">Primary text</x:t>
        </x:is>
      </x:c>
      <x:c r="W2" s="81" t="inlineStr">
        <x:is>
          <x:t xml:space="preserve">Working translation</x:t>
        </x:is>
      </x:c>
      <x:c r="X2" s="81" t="inlineStr">
        <x:is>
          <x:t xml:space="preserve">A - Primary source</x:t>
        </x:is>
      </x:c>
      <x:c r="Y2" s="81" t="inlineStr">
        <x:is>
          <x:t xml:space="preserve">Original Chinese checked against Wang Bi recension; cross-check via Chinese Text Project. Vietnamese is Selflo working translation, not published translation.</x:t>
        </x:is>
      </x:c>
      <x:c r="Z2" s="81" t="inlineStr">
        <x:is>
          <x:t xml:space="preserve">Public domain / likely</x:t>
        </x:is>
      </x:c>
      <x:c r="AA2" s="81" t="inlineStr">
        <x:is>
          <x:t xml:space="preserve">Ancient text; Legge 1891 comparison is public domain in USA per Project Gutenberg. Verify jurisdiction for commercial publication.</x:t>
        </x:is>
      </x:c>
      <x:c r="AB2" s="81" t="inlineStr">
        <x:is>
          <x:t xml:space="preserve">High</x:t>
        </x:is>
      </x:c>
      <x:c r="AC2" s="81" t="inlineStr">
        <x:is>
          <x:t xml:space="preserve">Mạnh cho distinction: mô tả/nhãn ≠ toàn bộ thực tại.</x:t>
        </x:is>
      </x:c>
      <x:c r="AD2" s="81" t="inlineStr">
        <x:is>
          <x:t xml:space="preserve">Needs editorial review</x:t>
        </x:is>
      </x:c>
      <x:c r="AE2" s="81" t="inlineStr">
        <x:is>
          <x:t xml:space="preserve">Needs semantic dedupe review</x:t>
        </x:is>
      </x:c>
      <x:c r="AF2" s="81" t="str"/>
      <x:c r="AG2" s="81" t="str"/>
      <x:c r="AH2" s="81" t="inlineStr">
        <x:is>
          <x:t xml:space="preserve">No</x:t>
        </x:is>
      </x:c>
      <x:c r="AI2" s="81" t="inlineStr">
        <x:is>
          <x:t xml:space="preserve">Not reviewed</x:t>
        </x:is>
      </x:c>
      <x:c r="AJ2" s="81" t="inlineStr">
        <x:is>
          <x:t xml:space="preserve">Research only</x:t>
        </x:is>
      </x:c>
      <x:c r="AK2" s="81" t="inlineStr">
        <x:is>
          <x:t xml:space="preserve">Research Pool</x:t>
        </x:is>
      </x:c>
      <x:c r="AL2" s="81" t="n">
        <x:v>1</x:v>
      </x:c>
      <x:c r="AM2" s="81" t="inlineStr">
        <x:is>
          <x:t xml:space="preserve">ChatGPT research</x:t>
        </x:is>
      </x:c>
      <x:c r="AN2" s="81" t="inlineStr">
        <x:is>
          <x:t xml:space="preserve">2026-09-18</x:t>
        </x:is>
      </x:c>
      <x:c r="AO2" s="81" t="inlineStr">
        <x:is>
          <x:t xml:space="preserve">Day 1 full-scope audit, chapters 1–20.</x:t>
        </x:is>
      </x:c>
      <x:c r="AP2" s="81" t="n"/>
      <x:c r="AQ2" s="81" t="n"/>
    </x:row>
    <x:row r="3">
      <x:c r="A3" s="81" t="inlineStr">
        <x:is>
          <x:t xml:space="preserve">research.laozi.ch01.002</x:t>
        </x:is>
      </x:c>
      <x:c r="B3" s="81" t="inlineStr">
        <x:is>
          <x:t xml:space="preserve">Collected</x:t>
        </x:is>
      </x:c>
      <x:c r="C3" s="81" t="inlineStr">
        <x:is>
          <x:t xml:space="preserve">Ý nghĩa &amp; bản sắc</x:t>
        </x:is>
      </x:c>
      <x:c r="D3" s="81" t="inlineStr">
        <x:is>
          <x:t xml:space="preserve">Change / Impermanence / Recovery</x:t>
        </x:is>
      </x:c>
      <x:c r="E3" s="81" t="str"/>
      <x:c r="F3" s="81" t="inlineStr">
        <x:is>
          <x:t xml:space="preserve">Tên gọi làm kinh nghiệm trở nên có hình</x:t>
        </x:is>
      </x:c>
      <x:c r="G3" s="81" t="inlineStr">
        <x:is>
          <x:t xml:space="preserve">Identity</x:t>
        </x:is>
      </x:c>
      <x:c r="H3" s="81" t="inlineStr">
        <x:is>
          <x:t xml:space="preserve">Meaning</x:t>
        </x:is>
      </x:c>
      <x:c r="I3" s="81" t="inlineStr">
        <x:is>
          <x:t xml:space="preserve">Không gọi tên được</x:t>
        </x:is>
      </x:c>
      <x:c r="J3" s="81" t="str"/>
      <x:c r="K3" s="81" t="inlineStr">
        <x:is>
          <x:t xml:space="preserve">Name</x:t>
        </x:is>
      </x:c>
      <x:c r="L3" s="81" t="inlineStr">
        <x:is>
          <x:t xml:space="preserve">Distinguish</x:t>
        </x:is>
      </x:c>
      <x:c r="M3" s="81" t="inlineStr">
        <x:is>
          <x:t xml:space="preserve">Trích đoạn triết học</x:t>
        </x:is>
      </x:c>
      <x:c r="N3" s="81" t="inlineStr">
        <x:is>
          <x:t xml:space="preserve">無名，天地之始；有名，萬物之母。</x:t>
        </x:is>
      </x:c>
      <x:c r="O3" s="81" t="inlineStr">
        <x:is>
          <x:t xml:space="preserve">Classical Chinese (文言文)</x:t>
        </x:is>
      </x:c>
      <x:c r="P3" s="81" t="inlineStr">
        <x:is>
          <x:t xml:space="preserve">Không tên là khởi đầu của trời đất; có tên là mẹ của muôn vật.</x:t>
        </x:is>
      </x:c>
      <x:c r="Q3" s="81" t="inlineStr">
        <x:is>
          <x:t xml:space="preserve">Laozi / 老子</x:t>
        </x:is>
      </x:c>
      <x:c r="R3" s="81" t="inlineStr">
        <x:is>
          <x:t xml:space="preserve">Taoism</x:t>
        </x:is>
      </x:c>
      <x:c r="S3" s="81" t="inlineStr">
        <x:is>
          <x:t xml:space="preserve">道德經 / Tao Te Ching</x:t>
        </x:is>
      </x:c>
      <x:c r="T3" s="81" t="inlineStr">
        <x:is>
          <x:t xml:space="preserve">Chapter 1</x:t>
        </x:is>
      </x:c>
      <x:c r="U3" s="81" t="inlineStr">
        <x:is>
          <x:t xml:space="preserve">https://zh.wikisource.org/zh-hans/%E9%81%93%E5%BE%B7%E7%B6%93_(%E7%8E%8B%E5%BC%BC%E6%9C%AC)</x:t>
        </x:is>
      </x:c>
      <x:c r="V3" s="81" t="inlineStr">
        <x:is>
          <x:t xml:space="preserve">Primary text</x:t>
        </x:is>
      </x:c>
      <x:c r="W3" s="81" t="inlineStr">
        <x:is>
          <x:t xml:space="preserve">Working translation</x:t>
        </x:is>
      </x:c>
      <x:c r="X3" s="81" t="inlineStr">
        <x:is>
          <x:t xml:space="preserve">A - Primary source</x:t>
        </x:is>
      </x:c>
      <x:c r="Y3" s="81" t="inlineStr">
        <x:is>
          <x:t xml:space="preserve">Original Chinese checked against Wang Bi recension; cross-check via Chinese Text Project. Vietnamese is Selflo working translation, not published translation.</x:t>
        </x:is>
      </x:c>
      <x:c r="Z3" s="81" t="inlineStr">
        <x:is>
          <x:t xml:space="preserve">Public domain / likely</x:t>
        </x:is>
      </x:c>
      <x:c r="AA3" s="81" t="inlineStr">
        <x:is>
          <x:t xml:space="preserve">Ancient text; Legge 1891 comparison is public domain in USA per Project Gutenberg. Verify jurisdiction for commercial publication.</x:t>
        </x:is>
      </x:c>
      <x:c r="AB3" s="81" t="inlineStr">
        <x:is>
          <x:t xml:space="preserve">Medium</x:t>
        </x:is>
      </x:c>
      <x:c r="AC3" s="81" t="inlineStr">
        <x:is>
          <x:t xml:space="preserve">Giữ research pool; ý siêu hình, cần ngữ cảnh nếu public.</x:t>
        </x:is>
      </x:c>
      <x:c r="AD3" s="81" t="inlineStr">
        <x:is>
          <x:t xml:space="preserve">Needs editorial review</x:t>
        </x:is>
      </x:c>
      <x:c r="AE3" s="81" t="inlineStr">
        <x:is>
          <x:t xml:space="preserve">Needs semantic dedupe review</x:t>
        </x:is>
      </x:c>
      <x:c r="AF3" s="81" t="str"/>
      <x:c r="AG3" s="81" t="str"/>
      <x:c r="AH3" s="81" t="inlineStr">
        <x:is>
          <x:t xml:space="preserve">No</x:t>
        </x:is>
      </x:c>
      <x:c r="AI3" s="81" t="inlineStr">
        <x:is>
          <x:t xml:space="preserve">Not reviewed</x:t>
        </x:is>
      </x:c>
      <x:c r="AJ3" s="81" t="inlineStr">
        <x:is>
          <x:t xml:space="preserve">Research only</x:t>
        </x:is>
      </x:c>
      <x:c r="AK3" s="81" t="inlineStr">
        <x:is>
          <x:t xml:space="preserve">Research Pool</x:t>
        </x:is>
      </x:c>
      <x:c r="AL3" s="81" t="n">
        <x:v>1</x:v>
      </x:c>
      <x:c r="AM3" s="81" t="inlineStr">
        <x:is>
          <x:t xml:space="preserve">ChatGPT research</x:t>
        </x:is>
      </x:c>
      <x:c r="AN3" s="81" t="inlineStr">
        <x:is>
          <x:t xml:space="preserve">2026-09-18</x:t>
        </x:is>
      </x:c>
      <x:c r="AO3" s="81" t="inlineStr">
        <x:is>
          <x:t xml:space="preserve">Day 1 full-scope audit, chapters 1–20.</x:t>
        </x:is>
      </x:c>
      <x:c r="AP3" s="81" t="n"/>
      <x:c r="AQ3" s="81" t="n"/>
    </x:row>
    <x:row r="4">
      <x:c r="A4" s="81" t="inlineStr">
        <x:is>
          <x:t xml:space="preserve">research.laozi.ch01.003</x:t>
        </x:is>
      </x:c>
      <x:c r="B4" s="81" t="inlineStr">
        <x:is>
          <x:t xml:space="preserve">Collected</x:t>
        </x:is>
      </x:c>
      <x:c r="C4" s="81" t="inlineStr">
        <x:is>
          <x:t xml:space="preserve">Nội tâm &amp; hiểu mình</x:t>
        </x:is>
      </x:c>
      <x:c r="D4" s="81" t="inlineStr">
        <x:is>
          <x:t xml:space="preserve">Attention / Noise / Deep focus</x:t>
        </x:is>
      </x:c>
      <x:c r="E4" s="81" t="str"/>
      <x:c r="F4" s="81" t="inlineStr">
        <x:is>
          <x:t xml:space="preserve">Ham muốn có thể làm thay đổi cách mình nhìn một điều</x:t>
        </x:is>
      </x:c>
      <x:c r="G4" s="81" t="inlineStr">
        <x:is>
          <x:t xml:space="preserve">Attention</x:t>
        </x:is>
      </x:c>
      <x:c r="H4" s="81" t="inlineStr">
        <x:is>
          <x:t xml:space="preserve">Judgment</x:t>
        </x:is>
      </x:c>
      <x:c r="I4" s="81" t="inlineStr">
        <x:is>
          <x:t xml:space="preserve">Áp lực</x:t>
        </x:is>
      </x:c>
      <x:c r="J4" s="81" t="str"/>
      <x:c r="K4" s="81" t="inlineStr">
        <x:is>
          <x:t xml:space="preserve">Recognize</x:t>
        </x:is>
      </x:c>
      <x:c r="L4" s="81" t="inlineStr">
        <x:is>
          <x:t xml:space="preserve">Distinguish</x:t>
        </x:is>
      </x:c>
      <x:c r="M4" s="81" t="inlineStr">
        <x:is>
          <x:t xml:space="preserve">Trích đoạn triết học</x:t>
        </x:is>
      </x:c>
      <x:c r="N4" s="81" t="inlineStr">
        <x:is>
          <x:t xml:space="preserve">故常無欲，以觀其妙；常有欲，以觀其徼。</x:t>
        </x:is>
      </x:c>
      <x:c r="O4" s="81" t="inlineStr">
        <x:is>
          <x:t xml:space="preserve">Classical Chinese (文言文)</x:t>
        </x:is>
      </x:c>
      <x:c r="P4" s="81" t="inlineStr">
        <x:is>
          <x:t xml:space="preserve">Khi không bị dục vọng kéo đi, ta có thể nhìn phần vi diệu; khi có ham muốn, ta thường nhìn phần biểu hiện và giới hạn của sự vật.</x:t>
        </x:is>
      </x:c>
      <x:c r="Q4" s="81" t="inlineStr">
        <x:is>
          <x:t xml:space="preserve">Laozi / 老子</x:t>
        </x:is>
      </x:c>
      <x:c r="R4" s="81" t="inlineStr">
        <x:is>
          <x:t xml:space="preserve">Taoism</x:t>
        </x:is>
      </x:c>
      <x:c r="S4" s="81" t="inlineStr">
        <x:is>
          <x:t xml:space="preserve">道德經 / Tao Te Ching</x:t>
        </x:is>
      </x:c>
      <x:c r="T4" s="81" t="inlineStr">
        <x:is>
          <x:t xml:space="preserve">Chapter 1</x:t>
        </x:is>
      </x:c>
      <x:c r="U4" s="81" t="inlineStr">
        <x:is>
          <x:t xml:space="preserve">https://zh.wikisource.org/zh-hans/%E9%81%93%E5%BE%B7%E7%B6%93_(%E7%8E%8B%E5%BC%BC%E6%9C%AC)</x:t>
        </x:is>
      </x:c>
      <x:c r="V4" s="81" t="inlineStr">
        <x:is>
          <x:t xml:space="preserve">Primary text</x:t>
        </x:is>
      </x:c>
      <x:c r="W4" s="81" t="inlineStr">
        <x:is>
          <x:t xml:space="preserve">Working translation</x:t>
        </x:is>
      </x:c>
      <x:c r="X4" s="81" t="inlineStr">
        <x:is>
          <x:t xml:space="preserve">A - Primary source</x:t>
        </x:is>
      </x:c>
      <x:c r="Y4" s="81" t="inlineStr">
        <x:is>
          <x:t xml:space="preserve">Original Chinese checked against Wang Bi recension; cross-check via Chinese Text Project. Vietnamese is Selflo working translation, not published translation.</x:t>
        </x:is>
      </x:c>
      <x:c r="Z4" s="81" t="inlineStr">
        <x:is>
          <x:t xml:space="preserve">Public domain / likely</x:t>
        </x:is>
      </x:c>
      <x:c r="AA4" s="81" t="inlineStr">
        <x:is>
          <x:t xml:space="preserve">Ancient text; Legge 1891 comparison is public domain in USA per Project Gutenberg. Verify jurisdiction for commercial publication.</x:t>
        </x:is>
      </x:c>
      <x:c r="AB4" s="81" t="inlineStr">
        <x:is>
          <x:t xml:space="preserve">Medium</x:t>
        </x:is>
      </x:c>
      <x:c r="AC4" s="81" t="inlineStr">
        <x:is>
          <x:t xml:space="preserve">Working translation diễn giải; cần review học thuật.</x:t>
        </x:is>
      </x:c>
      <x:c r="AD4" s="81" t="inlineStr">
        <x:is>
          <x:t xml:space="preserve">Needs editorial review</x:t>
        </x:is>
      </x:c>
      <x:c r="AE4" s="81" t="inlineStr">
        <x:is>
          <x:t xml:space="preserve">Needs semantic dedupe review</x:t>
        </x:is>
      </x:c>
      <x:c r="AF4" s="81" t="str"/>
      <x:c r="AG4" s="81" t="str"/>
      <x:c r="AH4" s="81" t="inlineStr">
        <x:is>
          <x:t xml:space="preserve">No</x:t>
        </x:is>
      </x:c>
      <x:c r="AI4" s="81" t="inlineStr">
        <x:is>
          <x:t xml:space="preserve">Not reviewed</x:t>
        </x:is>
      </x:c>
      <x:c r="AJ4" s="81" t="inlineStr">
        <x:is>
          <x:t xml:space="preserve">Research only</x:t>
        </x:is>
      </x:c>
      <x:c r="AK4" s="81" t="inlineStr">
        <x:is>
          <x:t xml:space="preserve">Research Pool</x:t>
        </x:is>
      </x:c>
      <x:c r="AL4" s="81" t="n">
        <x:v>1</x:v>
      </x:c>
      <x:c r="AM4" s="81" t="inlineStr">
        <x:is>
          <x:t xml:space="preserve">ChatGPT research</x:t>
        </x:is>
      </x:c>
      <x:c r="AN4" s="81" t="inlineStr">
        <x:is>
          <x:t xml:space="preserve">2026-09-18</x:t>
        </x:is>
      </x:c>
      <x:c r="AO4" s="81" t="inlineStr">
        <x:is>
          <x:t xml:space="preserve">Day 1 full-scope audit, chapters 1–20.</x:t>
        </x:is>
      </x:c>
      <x:c r="AP4" s="81" t="n"/>
      <x:c r="AQ4" s="81" t="n"/>
    </x:row>
    <x:row r="5">
      <x:c r="A5" s="81" t="inlineStr">
        <x:is>
          <x:t xml:space="preserve">research.laozi.ch01.004</x:t>
        </x:is>
      </x:c>
      <x:c r="B5" s="81" t="inlineStr">
        <x:is>
          <x:t xml:space="preserve">Collected</x:t>
        </x:is>
      </x:c>
      <x:c r="C5" s="81" t="inlineStr">
        <x:is>
          <x:t xml:space="preserve">Nội tâm &amp; hiểu mình</x:t>
        </x:is>
      </x:c>
      <x:c r="D5" s="81" t="inlineStr">
        <x:is>
          <x:t xml:space="preserve">Mixed emotions / Emotional memory</x:t>
        </x:is>
      </x:c>
      <x:c r="E5" s="81" t="str"/>
      <x:c r="F5" s="81" t="inlineStr">
        <x:is>
          <x:t xml:space="preserve">Hai mặt khác nhau có thể cùng thuộc một thực tại</x:t>
        </x:is>
      </x:c>
      <x:c r="G5" s="81" t="inlineStr">
        <x:is>
          <x:t xml:space="preserve">Change</x:t>
        </x:is>
      </x:c>
      <x:c r="H5" s="81" t="inlineStr">
        <x:is>
          <x:t xml:space="preserve">Acceptance</x:t>
        </x:is>
      </x:c>
      <x:c r="I5" s="81" t="inlineStr">
        <x:is>
          <x:t xml:space="preserve">Mixed / contradictory</x:t>
        </x:is>
      </x:c>
      <x:c r="J5" s="81" t="str"/>
      <x:c r="K5" s="81" t="inlineStr">
        <x:is>
          <x:t xml:space="preserve">Distinguish</x:t>
        </x:is>
      </x:c>
      <x:c r="L5" s="81" t="inlineStr">
        <x:is>
          <x:t xml:space="preserve">Permit</x:t>
        </x:is>
      </x:c>
      <x:c r="M5" s="81" t="inlineStr">
        <x:is>
          <x:t xml:space="preserve">Trích đoạn triết học</x:t>
        </x:is>
      </x:c>
      <x:c r="N5" s="81" t="inlineStr">
        <x:is>
          <x:t xml:space="preserve">此兩者，同出而異名，同謂之玄。</x:t>
        </x:is>
      </x:c>
      <x:c r="O5" s="81" t="inlineStr">
        <x:is>
          <x:t xml:space="preserve">Classical Chinese (文言文)</x:t>
        </x:is>
      </x:c>
      <x:c r="P5" s="81" t="inlineStr">
        <x:is>
          <x:t xml:space="preserve">Hai mặt ấy cùng đi ra từ một nguồn, chỉ mang những tên khác nhau.</x:t>
        </x:is>
      </x:c>
      <x:c r="Q5" s="81" t="inlineStr">
        <x:is>
          <x:t xml:space="preserve">Laozi / 老子</x:t>
        </x:is>
      </x:c>
      <x:c r="R5" s="81" t="inlineStr">
        <x:is>
          <x:t xml:space="preserve">Taoism</x:t>
        </x:is>
      </x:c>
      <x:c r="S5" s="81" t="inlineStr">
        <x:is>
          <x:t xml:space="preserve">道德經 / Tao Te Ching</x:t>
        </x:is>
      </x:c>
      <x:c r="T5" s="81" t="inlineStr">
        <x:is>
          <x:t xml:space="preserve">Chapter 1</x:t>
        </x:is>
      </x:c>
      <x:c r="U5" s="81" t="inlineStr">
        <x:is>
          <x:t xml:space="preserve">https://zh.wikisource.org/zh-hans/%E9%81%93%E5%BE%B7%E7%B6%93_(%E7%8E%8B%E5%BC%BC%E6%9C%AC)</x:t>
        </x:is>
      </x:c>
      <x:c r="V5" s="81" t="inlineStr">
        <x:is>
          <x:t xml:space="preserve">Primary text</x:t>
        </x:is>
      </x:c>
      <x:c r="W5" s="81" t="inlineStr">
        <x:is>
          <x:t xml:space="preserve">Working translation</x:t>
        </x:is>
      </x:c>
      <x:c r="X5" s="81" t="inlineStr">
        <x:is>
          <x:t xml:space="preserve">A - Primary source</x:t>
        </x:is>
      </x:c>
      <x:c r="Y5" s="81" t="inlineStr">
        <x:is>
          <x:t xml:space="preserve">Original Chinese checked against Wang Bi recension; cross-check via Chinese Text Project. Vietnamese is Selflo working translation, not published translation.</x:t>
        </x:is>
      </x:c>
      <x:c r="Z5" s="81" t="inlineStr">
        <x:is>
          <x:t xml:space="preserve">Public domain / likely</x:t>
        </x:is>
      </x:c>
      <x:c r="AA5" s="81" t="inlineStr">
        <x:is>
          <x:t xml:space="preserve">Ancient text; Legge 1891 comparison is public domain in USA per Project Gutenberg. Verify jurisdiction for commercial publication.</x:t>
        </x:is>
      </x:c>
      <x:c r="AB5" s="81" t="inlineStr">
        <x:is>
          <x:t xml:space="preserve">High</x:t>
        </x:is>
      </x:c>
      <x:c r="AC5" s="81" t="inlineStr">
        <x:is>
          <x:t xml:space="preserve">Gần triết lý hai mặt/đối cực của Selflo.</x:t>
        </x:is>
      </x:c>
      <x:c r="AD5" s="81" t="inlineStr">
        <x:is>
          <x:t xml:space="preserve">Needs editorial review</x:t>
        </x:is>
      </x:c>
      <x:c r="AE5" s="81" t="inlineStr">
        <x:is>
          <x:t xml:space="preserve">Needs semantic dedupe review</x:t>
        </x:is>
      </x:c>
      <x:c r="AF5" s="81" t="str"/>
      <x:c r="AG5" s="81" t="str"/>
      <x:c r="AH5" s="81" t="inlineStr">
        <x:is>
          <x:t xml:space="preserve">No</x:t>
        </x:is>
      </x:c>
      <x:c r="AI5" s="81" t="inlineStr">
        <x:is>
          <x:t xml:space="preserve">Not reviewed</x:t>
        </x:is>
      </x:c>
      <x:c r="AJ5" s="81" t="inlineStr">
        <x:is>
          <x:t xml:space="preserve">Research only</x:t>
        </x:is>
      </x:c>
      <x:c r="AK5" s="81" t="inlineStr">
        <x:is>
          <x:t xml:space="preserve">Research Pool</x:t>
        </x:is>
      </x:c>
      <x:c r="AL5" s="81" t="n">
        <x:v>1</x:v>
      </x:c>
      <x:c r="AM5" s="81" t="inlineStr">
        <x:is>
          <x:t xml:space="preserve">ChatGPT research</x:t>
        </x:is>
      </x:c>
      <x:c r="AN5" s="81" t="inlineStr">
        <x:is>
          <x:t xml:space="preserve">2026-09-18</x:t>
        </x:is>
      </x:c>
      <x:c r="AO5" s="81" t="inlineStr">
        <x:is>
          <x:t xml:space="preserve">Day 1 full-scope audit, chapters 1–20.</x:t>
        </x:is>
      </x:c>
      <x:c r="AP5" s="81" t="n"/>
      <x:c r="AQ5" s="81" t="n"/>
    </x:row>
    <x:row r="6">
      <x:c r="A6" s="81" t="inlineStr">
        <x:is>
          <x:t xml:space="preserve">research.laozi.ch02.005</x:t>
        </x:is>
      </x:c>
      <x:c r="B6" s="81" t="inlineStr">
        <x:is>
          <x:t xml:space="preserve">Collected</x:t>
        </x:is>
      </x:c>
      <x:c r="C6" s="81" t="inlineStr">
        <x:is>
          <x:t xml:space="preserve">Xã hội &amp; văn hóa</x:t>
        </x:is>
      </x:c>
      <x:c r="D6" s="81" t="inlineStr">
        <x:is>
          <x:t xml:space="preserve">Comparison / External standards / Values</x:t>
        </x:is>
      </x:c>
      <x:c r="E6" s="81" t="str"/>
      <x:c r="F6" s="81" t="inlineStr">
        <x:is>
          <x:t xml:space="preserve">Một tiêu chuẩn tạo ra cả phía được chọn và phía bị loại</x:t>
        </x:is>
      </x:c>
      <x:c r="G6" s="81" t="inlineStr">
        <x:is>
          <x:t xml:space="preserve">Comparison</x:t>
        </x:is>
      </x:c>
      <x:c r="H6" s="81" t="inlineStr">
        <x:is>
          <x:t xml:space="preserve">Judgment</x:t>
        </x:is>
      </x:c>
      <x:c r="I6" s="81" t="inlineStr">
        <x:is>
          <x:t xml:space="preserve">Áp lực</x:t>
        </x:is>
      </x:c>
      <x:c r="J6" s="81" t="str"/>
      <x:c r="K6" s="81" t="inlineStr">
        <x:is>
          <x:t xml:space="preserve">Distinguish</x:t>
        </x:is>
      </x:c>
      <x:c r="L6" s="81" t="inlineStr">
        <x:is>
          <x:t xml:space="preserve">Recognize</x:t>
        </x:is>
      </x:c>
      <x:c r="M6" s="81" t="inlineStr">
        <x:is>
          <x:t xml:space="preserve">Trích đoạn triết học</x:t>
        </x:is>
      </x:c>
      <x:c r="N6" s="81" t="inlineStr">
        <x:is>
          <x:t xml:space="preserve">天下皆知美之為美，斯惡已；皆知善之為善，斯不善已。</x:t>
        </x:is>
      </x:c>
      <x:c r="O6" s="81" t="inlineStr">
        <x:is>
          <x:t xml:space="preserve">Classical Chinese (文言文)</x:t>
        </x:is>
      </x:c>
      <x:c r="P6" s="81" t="inlineStr">
        <x:is>
          <x:t xml:space="preserve">Khi mọi người nhận ra cái đẹp là đẹp, ý niệm về cái không đẹp cũng xuất hiện; khi gọi điều này là tốt, điều không tốt cũng được phân biệt.</x:t>
        </x:is>
      </x:c>
      <x:c r="Q6" s="81" t="inlineStr">
        <x:is>
          <x:t xml:space="preserve">Laozi / 老子</x:t>
        </x:is>
      </x:c>
      <x:c r="R6" s="81" t="inlineStr">
        <x:is>
          <x:t xml:space="preserve">Taoism</x:t>
        </x:is>
      </x:c>
      <x:c r="S6" s="81" t="inlineStr">
        <x:is>
          <x:t xml:space="preserve">道德經 / Tao Te Ching</x:t>
        </x:is>
      </x:c>
      <x:c r="T6" s="81" t="inlineStr">
        <x:is>
          <x:t xml:space="preserve">Chapter 2</x:t>
        </x:is>
      </x:c>
      <x:c r="U6" s="81" t="inlineStr">
        <x:is>
          <x:t xml:space="preserve">https://zh.wikisource.org/zh-hans/%E9%81%93%E5%BE%B7%E7%B6%93_(%E7%8E%8B%E5%BC%BC%E6%9C%AC)</x:t>
        </x:is>
      </x:c>
      <x:c r="V6" s="81" t="inlineStr">
        <x:is>
          <x:t xml:space="preserve">Primary text</x:t>
        </x:is>
      </x:c>
      <x:c r="W6" s="81" t="inlineStr">
        <x:is>
          <x:t xml:space="preserve">Working translation</x:t>
        </x:is>
      </x:c>
      <x:c r="X6" s="81" t="inlineStr">
        <x:is>
          <x:t xml:space="preserve">A - Primary source</x:t>
        </x:is>
      </x:c>
      <x:c r="Y6" s="81" t="inlineStr">
        <x:is>
          <x:t xml:space="preserve">Original Chinese checked against Wang Bi recension; cross-check via Chinese Text Project. Vietnamese is Selflo working translation, not published translation.</x:t>
        </x:is>
      </x:c>
      <x:c r="Z6" s="81" t="inlineStr">
        <x:is>
          <x:t xml:space="preserve">Public domain / likely</x:t>
        </x:is>
      </x:c>
      <x:c r="AA6" s="81" t="inlineStr">
        <x:is>
          <x:t xml:space="preserve">Ancient text; Legge 1891 comparison is public domain in USA per Project Gutenberg. Verify jurisdiction for commercial publication.</x:t>
        </x:is>
      </x:c>
      <x:c r="AB6" s="81" t="inlineStr">
        <x:is>
          <x:t xml:space="preserve">High</x:t>
        </x:is>
      </x:c>
      <x:c r="AC6" s="81" t="inlineStr">
        <x:is>
          <x:t xml:space="preserve">Hữu ích cho standards/comparison; tránh biến thành phủ nhận thiện-ác.</x:t>
        </x:is>
      </x:c>
      <x:c r="AD6" s="81" t="inlineStr">
        <x:is>
          <x:t xml:space="preserve">Needs editorial review</x:t>
        </x:is>
      </x:c>
      <x:c r="AE6" s="81" t="inlineStr">
        <x:is>
          <x:t xml:space="preserve">Needs semantic dedupe review</x:t>
        </x:is>
      </x:c>
      <x:c r="AF6" s="81" t="str"/>
      <x:c r="AG6" s="81" t="str"/>
      <x:c r="AH6" s="81" t="inlineStr">
        <x:is>
          <x:t xml:space="preserve">No</x:t>
        </x:is>
      </x:c>
      <x:c r="AI6" s="81" t="inlineStr">
        <x:is>
          <x:t xml:space="preserve">Not reviewed</x:t>
        </x:is>
      </x:c>
      <x:c r="AJ6" s="81" t="inlineStr">
        <x:is>
          <x:t xml:space="preserve">Research only</x:t>
        </x:is>
      </x:c>
      <x:c r="AK6" s="81" t="inlineStr">
        <x:is>
          <x:t xml:space="preserve">Research Pool</x:t>
        </x:is>
      </x:c>
      <x:c r="AL6" s="81" t="n">
        <x:v>1</x:v>
      </x:c>
      <x:c r="AM6" s="81" t="inlineStr">
        <x:is>
          <x:t xml:space="preserve">ChatGPT research</x:t>
        </x:is>
      </x:c>
      <x:c r="AN6" s="81" t="inlineStr">
        <x:is>
          <x:t xml:space="preserve">2026-09-18</x:t>
        </x:is>
      </x:c>
      <x:c r="AO6" s="81" t="inlineStr">
        <x:is>
          <x:t xml:space="preserve">Day 1 full-scope audit, chapters 1–20.</x:t>
        </x:is>
      </x:c>
      <x:c r="AP6" s="81" t="n"/>
      <x:c r="AQ6" s="81" t="n"/>
    </x:row>
    <x:row r="7">
      <x:c r="A7" s="81" t="inlineStr">
        <x:is>
          <x:t xml:space="preserve">research.laozi.ch02.006</x:t>
        </x:is>
      </x:c>
      <x:c r="B7" s="81" t="inlineStr">
        <x:is>
          <x:t xml:space="preserve">Collected</x:t>
        </x:is>
      </x:c>
      <x:c r="C7" s="81" t="inlineStr">
        <x:is>
          <x:t xml:space="preserve">Nội tâm &amp; hiểu mình</x:t>
        </x:is>
      </x:c>
      <x:c r="D7" s="81" t="inlineStr">
        <x:is>
          <x:t xml:space="preserve">Mixed emotions / Emotional memory</x:t>
        </x:is>
      </x:c>
      <x:c r="E7" s="81" t="str"/>
      <x:c r="F7" s="81" t="inlineStr">
        <x:is>
          <x:t xml:space="preserve">Những mặt đối lập có thể định nghĩa và làm rõ nhau</x:t>
        </x:is>
      </x:c>
      <x:c r="G7" s="81" t="inlineStr">
        <x:is>
          <x:t xml:space="preserve">Change</x:t>
        </x:is>
      </x:c>
      <x:c r="H7" s="81" t="inlineStr">
        <x:is>
          <x:t xml:space="preserve">Acceptance</x:t>
        </x:is>
      </x:c>
      <x:c r="I7" s="81" t="inlineStr">
        <x:is>
          <x:t xml:space="preserve">Mixed / contradictory</x:t>
        </x:is>
      </x:c>
      <x:c r="J7" s="81" t="str"/>
      <x:c r="K7" s="81" t="inlineStr">
        <x:is>
          <x:t xml:space="preserve">Distinguish</x:t>
        </x:is>
      </x:c>
      <x:c r="L7" s="81" t="inlineStr">
        <x:is>
          <x:t xml:space="preserve">Reframe</x:t>
        </x:is>
      </x:c>
      <x:c r="M7" s="81" t="inlineStr">
        <x:is>
          <x:t xml:space="preserve">Trích đoạn triết học</x:t>
        </x:is>
      </x:c>
      <x:c r="N7" s="81" t="inlineStr">
        <x:is>
          <x:t xml:space="preserve">有無相生，難易相成，長短相較，高下相傾，音聲相和，前後相隨。</x:t>
        </x:is>
      </x:c>
      <x:c r="O7" s="81" t="inlineStr">
        <x:is>
          <x:t xml:space="preserve">Classical Chinese (文言文)</x:t>
        </x:is>
      </x:c>
      <x:c r="P7" s="81" t="inlineStr">
        <x:is>
          <x:t xml:space="preserve">Có và không sinh ra nhau; khó và dễ thành tựu lẫn nhau; dài và ngắn làm rõ nhau; cao và thấp dựa vào nhau; âm và tiếng hòa cùng nhau; trước và sau nối tiếp nhau.</x:t>
        </x:is>
      </x:c>
      <x:c r="Q7" s="81" t="inlineStr">
        <x:is>
          <x:t xml:space="preserve">Laozi / 老子</x:t>
        </x:is>
      </x:c>
      <x:c r="R7" s="81" t="inlineStr">
        <x:is>
          <x:t xml:space="preserve">Taoism</x:t>
        </x:is>
      </x:c>
      <x:c r="S7" s="81" t="inlineStr">
        <x:is>
          <x:t xml:space="preserve">道德經 / Tao Te Ching</x:t>
        </x:is>
      </x:c>
      <x:c r="T7" s="81" t="inlineStr">
        <x:is>
          <x:t xml:space="preserve">Chapter 2</x:t>
        </x:is>
      </x:c>
      <x:c r="U7" s="81" t="inlineStr">
        <x:is>
          <x:t xml:space="preserve">https://zh.wikisource.org/zh-hans/%E9%81%93%E5%BE%B7%E7%B6%93_(%E7%8E%8B%E5%BC%BC%E6%9C%AC)</x:t>
        </x:is>
      </x:c>
      <x:c r="V7" s="81" t="inlineStr">
        <x:is>
          <x:t xml:space="preserve">Primary text</x:t>
        </x:is>
      </x:c>
      <x:c r="W7" s="81" t="inlineStr">
        <x:is>
          <x:t xml:space="preserve">Working translation</x:t>
        </x:is>
      </x:c>
      <x:c r="X7" s="81" t="inlineStr">
        <x:is>
          <x:t xml:space="preserve">A - Primary source</x:t>
        </x:is>
      </x:c>
      <x:c r="Y7" s="81" t="inlineStr">
        <x:is>
          <x:t xml:space="preserve">Original Chinese checked against Wang Bi recension; cross-check via Chinese Text Project. Vietnamese is Selflo working translation, not published translation.</x:t>
        </x:is>
      </x:c>
      <x:c r="Z7" s="81" t="inlineStr">
        <x:is>
          <x:t xml:space="preserve">Public domain / likely</x:t>
        </x:is>
      </x:c>
      <x:c r="AA7" s="81" t="inlineStr">
        <x:is>
          <x:t xml:space="preserve">Ancient text; Legge 1891 comparison is public domain in USA per Project Gutenberg. Verify jurisdiction for commercial publication.</x:t>
        </x:is>
      </x:c>
      <x:c r="AB7" s="81" t="inlineStr">
        <x:is>
          <x:t xml:space="preserve">High</x:t>
        </x:is>
      </x:c>
      <x:c r="AC7" s="81" t="inlineStr">
        <x:is>
          <x:t xml:space="preserve">Một trong các candidate mạnh nhất Day 1.</x:t>
        </x:is>
      </x:c>
      <x:c r="AD7" s="81" t="inlineStr">
        <x:is>
          <x:t xml:space="preserve">Needs editorial review</x:t>
        </x:is>
      </x:c>
      <x:c r="AE7" s="81" t="inlineStr">
        <x:is>
          <x:t xml:space="preserve">Needs semantic dedupe review</x:t>
        </x:is>
      </x:c>
      <x:c r="AF7" s="81" t="str"/>
      <x:c r="AG7" s="81" t="str"/>
      <x:c r="AH7" s="81" t="inlineStr">
        <x:is>
          <x:t xml:space="preserve">No</x:t>
        </x:is>
      </x:c>
      <x:c r="AI7" s="81" t="inlineStr">
        <x:is>
          <x:t xml:space="preserve">Not reviewed</x:t>
        </x:is>
      </x:c>
      <x:c r="AJ7" s="81" t="inlineStr">
        <x:is>
          <x:t xml:space="preserve">Research only</x:t>
        </x:is>
      </x:c>
      <x:c r="AK7" s="81" t="inlineStr">
        <x:is>
          <x:t xml:space="preserve">Research Pool</x:t>
        </x:is>
      </x:c>
      <x:c r="AL7" s="81" t="n">
        <x:v>1</x:v>
      </x:c>
      <x:c r="AM7" s="81" t="inlineStr">
        <x:is>
          <x:t xml:space="preserve">ChatGPT research</x:t>
        </x:is>
      </x:c>
      <x:c r="AN7" s="81" t="inlineStr">
        <x:is>
          <x:t xml:space="preserve">2026-09-18</x:t>
        </x:is>
      </x:c>
      <x:c r="AO7" s="81" t="inlineStr">
        <x:is>
          <x:t xml:space="preserve">Day 1 full-scope audit, chapters 1–20.</x:t>
        </x:is>
      </x:c>
      <x:c r="AP7" s="81" t="n"/>
      <x:c r="AQ7" s="81" t="n"/>
    </x:row>
    <x:row r="8">
      <x:c r="A8" s="81" t="inlineStr">
        <x:is>
          <x:t xml:space="preserve">research.laozi.ch02.007</x:t>
        </x:is>
      </x:c>
      <x:c r="B8" s="81" t="inlineStr">
        <x:is>
          <x:t xml:space="preserve">Collected</x:t>
        </x:is>
      </x:c>
      <x:c r="C8" s="81" t="inlineStr">
        <x:is>
          <x:t xml:space="preserve">Quan hệ</x:t>
        </x:is>
      </x:c>
      <x:c r="D8" s="81" t="inlineStr">
        <x:is>
          <x:t xml:space="preserve">Relationships / Boundaries / Connection</x:t>
        </x:is>
      </x:c>
      <x:c r="E8" s="81" t="str"/>
      <x:c r="F8" s="81" t="inlineStr">
        <x:is>
          <x:t xml:space="preserve">Chăm sóc hoặc tạo ra điều gì đó mà không biến nó thành sở hữu</x:t>
        </x:is>
      </x:c>
      <x:c r="G8" s="81" t="inlineStr">
        <x:is>
          <x:t xml:space="preserve">Agency</x:t>
        </x:is>
      </x:c>
      <x:c r="H8" s="81" t="inlineStr">
        <x:is>
          <x:t xml:space="preserve">Connection</x:t>
        </x:is>
      </x:c>
      <x:c r="I8" s="81" t="inlineStr">
        <x:is>
          <x:t xml:space="preserve">Bình yên</x:t>
        </x:is>
      </x:c>
      <x:c r="J8" s="81" t="str"/>
      <x:c r="K8" s="81" t="inlineStr">
        <x:is>
          <x:t xml:space="preserve">Reframe</x:t>
        </x:is>
      </x:c>
      <x:c r="L8" s="81" t="inlineStr">
        <x:is>
          <x:t xml:space="preserve">Distinguish</x:t>
        </x:is>
      </x:c>
      <x:c r="M8" s="81" t="inlineStr">
        <x:is>
          <x:t xml:space="preserve">Trích đoạn triết học</x:t>
        </x:is>
      </x:c>
      <x:c r="N8" s="81" t="inlineStr">
        <x:is>
          <x:t xml:space="preserve">萬物作焉而不辭，生而不有，為而不恃。</x:t>
        </x:is>
      </x:c>
      <x:c r="O8" s="81" t="inlineStr">
        <x:is>
          <x:t xml:space="preserve">Classical Chinese (文言文)</x:t>
        </x:is>
      </x:c>
      <x:c r="P8" s="81" t="inlineStr">
        <x:is>
          <x:t xml:space="preserve">Muôn vật sinh khởi mà không bị giữ lại; sinh ra mà không chiếm hữu, làm mà không cậy vào việc mình đã làm.</x:t>
        </x:is>
      </x:c>
      <x:c r="Q8" s="81" t="inlineStr">
        <x:is>
          <x:t xml:space="preserve">Laozi / 老子</x:t>
        </x:is>
      </x:c>
      <x:c r="R8" s="81" t="inlineStr">
        <x:is>
          <x:t xml:space="preserve">Taoism</x:t>
        </x:is>
      </x:c>
      <x:c r="S8" s="81" t="inlineStr">
        <x:is>
          <x:t xml:space="preserve">道德經 / Tao Te Ching</x:t>
        </x:is>
      </x:c>
      <x:c r="T8" s="81" t="inlineStr">
        <x:is>
          <x:t xml:space="preserve">Chapter 2</x:t>
        </x:is>
      </x:c>
      <x:c r="U8" s="81" t="inlineStr">
        <x:is>
          <x:t xml:space="preserve">https://zh.wikisource.org/zh-hans/%E9%81%93%E5%BE%B7%E7%B6%93_(%E7%8E%8B%E5%BC%BC%E6%9C%AC)</x:t>
        </x:is>
      </x:c>
      <x:c r="V8" s="81" t="inlineStr">
        <x:is>
          <x:t xml:space="preserve">Primary text</x:t>
        </x:is>
      </x:c>
      <x:c r="W8" s="81" t="inlineStr">
        <x:is>
          <x:t xml:space="preserve">Working translation</x:t>
        </x:is>
      </x:c>
      <x:c r="X8" s="81" t="inlineStr">
        <x:is>
          <x:t xml:space="preserve">A - Primary source</x:t>
        </x:is>
      </x:c>
      <x:c r="Y8" s="81" t="inlineStr">
        <x:is>
          <x:t xml:space="preserve">Original Chinese checked against Wang Bi recension; cross-check via Chinese Text Project. Vietnamese is Selflo working translation, not published translation.</x:t>
        </x:is>
      </x:c>
      <x:c r="Z8" s="81" t="inlineStr">
        <x:is>
          <x:t xml:space="preserve">Public domain / likely</x:t>
        </x:is>
      </x:c>
      <x:c r="AA8" s="81" t="inlineStr">
        <x:is>
          <x:t xml:space="preserve">Ancient text; Legge 1891 comparison is public domain in USA per Project Gutenberg. Verify jurisdiction for commercial publication.</x:t>
        </x:is>
      </x:c>
      <x:c r="AB8" s="81" t="inlineStr">
        <x:is>
          <x:t xml:space="preserve">Medium</x:t>
        </x:is>
      </x:c>
      <x:c r="AC8" s="81" t="inlineStr">
        <x:is>
          <x:t xml:space="preserve">Có thể hữu ích cho parenting/leadership; cần ngữ cảnh.</x:t>
        </x:is>
      </x:c>
      <x:c r="AD8" s="81" t="inlineStr">
        <x:is>
          <x:t xml:space="preserve">Needs editorial review</x:t>
        </x:is>
      </x:c>
      <x:c r="AE8" s="81" t="inlineStr">
        <x:is>
          <x:t xml:space="preserve">Needs semantic dedupe review</x:t>
        </x:is>
      </x:c>
      <x:c r="AF8" s="81" t="str"/>
      <x:c r="AG8" s="81" t="str"/>
      <x:c r="AH8" s="81" t="inlineStr">
        <x:is>
          <x:t xml:space="preserve">No</x:t>
        </x:is>
      </x:c>
      <x:c r="AI8" s="81" t="inlineStr">
        <x:is>
          <x:t xml:space="preserve">Not reviewed</x:t>
        </x:is>
      </x:c>
      <x:c r="AJ8" s="81" t="inlineStr">
        <x:is>
          <x:t xml:space="preserve">Research only</x:t>
        </x:is>
      </x:c>
      <x:c r="AK8" s="81" t="inlineStr">
        <x:is>
          <x:t xml:space="preserve">Research Pool</x:t>
        </x:is>
      </x:c>
      <x:c r="AL8" s="81" t="n">
        <x:v>1</x:v>
      </x:c>
      <x:c r="AM8" s="81" t="inlineStr">
        <x:is>
          <x:t xml:space="preserve">ChatGPT research</x:t>
        </x:is>
      </x:c>
      <x:c r="AN8" s="81" t="inlineStr">
        <x:is>
          <x:t xml:space="preserve">2026-09-18</x:t>
        </x:is>
      </x:c>
      <x:c r="AO8" s="81" t="inlineStr">
        <x:is>
          <x:t xml:space="preserve">Day 1 full-scope audit, chapters 1–20.</x:t>
        </x:is>
      </x:c>
      <x:c r="AP8" s="81" t="n"/>
      <x:c r="AQ8" s="81" t="n"/>
    </x:row>
    <x:row r="9">
      <x:c r="A9" s="81" t="inlineStr">
        <x:is>
          <x:t xml:space="preserve">research.laozi.ch02.008</x:t>
        </x:is>
      </x:c>
      <x:c r="B9" s="81" t="inlineStr">
        <x:is>
          <x:t xml:space="preserve">Collected</x:t>
        </x:is>
      </x:c>
      <x:c r="C9" s="81" t="inlineStr">
        <x:is>
          <x:t xml:space="preserve">Công việc &amp; mục đích</x:t>
        </x:is>
      </x:c>
      <x:c r="D9" s="81" t="inlineStr">
        <x:is>
          <x:t xml:space="preserve">Meaning / Identity / Work</x:t>
        </x:is>
      </x:c>
      <x:c r="E9" s="81" t="str"/>
      <x:c r="F9" s="81" t="inlineStr">
        <x:is>
          <x:t xml:space="preserve">Thành tựu không nhất thiết phải trở thành nơi mình bám vào</x:t>
        </x:is>
      </x:c>
      <x:c r="G9" s="81" t="inlineStr">
        <x:is>
          <x:t xml:space="preserve">Identity</x:t>
        </x:is>
      </x:c>
      <x:c r="H9" s="81" t="inlineStr">
        <x:is>
          <x:t xml:space="preserve">Enoughness</x:t>
        </x:is>
      </x:c>
      <x:c r="I9" s="81" t="inlineStr">
        <x:is>
          <x:t xml:space="preserve">Áp lực</x:t>
        </x:is>
      </x:c>
      <x:c r="J9" s="81" t="str"/>
      <x:c r="K9" s="81" t="inlineStr">
        <x:is>
          <x:t xml:space="preserve">Reframe</x:t>
        </x:is>
      </x:c>
      <x:c r="L9" s="81" t="inlineStr">
        <x:is>
          <x:t xml:space="preserve">Permit</x:t>
        </x:is>
      </x:c>
      <x:c r="M9" s="81" t="inlineStr">
        <x:is>
          <x:t xml:space="preserve">Trích đoạn triết học</x:t>
        </x:is>
      </x:c>
      <x:c r="N9" s="81" t="inlineStr">
        <x:is>
          <x:t xml:space="preserve">功成而弗居。夫唯弗居，是以不去。</x:t>
        </x:is>
      </x:c>
      <x:c r="O9" s="81" t="inlineStr">
        <x:is>
          <x:t xml:space="preserve">Classical Chinese (文言文)</x:t>
        </x:is>
      </x:c>
      <x:c r="P9" s="81" t="inlineStr">
        <x:is>
          <x:t xml:space="preserve">Việc thành mà không ở lại trong công trạng; chính vì không giữ lấy nên điều ấy không mất đi.</x:t>
        </x:is>
      </x:c>
      <x:c r="Q9" s="81" t="inlineStr">
        <x:is>
          <x:t xml:space="preserve">Laozi / 老子</x:t>
        </x:is>
      </x:c>
      <x:c r="R9" s="81" t="inlineStr">
        <x:is>
          <x:t xml:space="preserve">Taoism</x:t>
        </x:is>
      </x:c>
      <x:c r="S9" s="81" t="inlineStr">
        <x:is>
          <x:t xml:space="preserve">道德經 / Tao Te Ching</x:t>
        </x:is>
      </x:c>
      <x:c r="T9" s="81" t="inlineStr">
        <x:is>
          <x:t xml:space="preserve">Chapter 2</x:t>
        </x:is>
      </x:c>
      <x:c r="U9" s="81" t="inlineStr">
        <x:is>
          <x:t xml:space="preserve">https://zh.wikisource.org/zh-hans/%E9%81%93%E5%BE%B7%E7%B6%93_(%E7%8E%8B%E5%BC%BC%E6%9C%AC)</x:t>
        </x:is>
      </x:c>
      <x:c r="V9" s="81" t="inlineStr">
        <x:is>
          <x:t xml:space="preserve">Primary text</x:t>
        </x:is>
      </x:c>
      <x:c r="W9" s="81" t="inlineStr">
        <x:is>
          <x:t xml:space="preserve">Working translation</x:t>
        </x:is>
      </x:c>
      <x:c r="X9" s="81" t="inlineStr">
        <x:is>
          <x:t xml:space="preserve">A - Primary source</x:t>
        </x:is>
      </x:c>
      <x:c r="Y9" s="81" t="inlineStr">
        <x:is>
          <x:t xml:space="preserve">Original Chinese checked against Wang Bi recension; cross-check via Chinese Text Project. Vietnamese is Selflo working translation, not published translation.</x:t>
        </x:is>
      </x:c>
      <x:c r="Z9" s="81" t="inlineStr">
        <x:is>
          <x:t xml:space="preserve">Public domain / likely</x:t>
        </x:is>
      </x:c>
      <x:c r="AA9" s="81" t="inlineStr">
        <x:is>
          <x:t xml:space="preserve">Ancient text; Legge 1891 comparison is public domain in USA per Project Gutenberg. Verify jurisdiction for commercial publication.</x:t>
        </x:is>
      </x:c>
      <x:c r="AB9" s="81" t="inlineStr">
        <x:is>
          <x:t xml:space="preserve">High</x:t>
        </x:is>
      </x:c>
      <x:c r="AC9" s="81" t="inlineStr">
        <x:is>
          <x:t xml:space="preserve">Mạnh cho achievement ≠ identity.</x:t>
        </x:is>
      </x:c>
      <x:c r="AD9" s="81" t="inlineStr">
        <x:is>
          <x:t xml:space="preserve">Needs editorial review</x:t>
        </x:is>
      </x:c>
      <x:c r="AE9" s="81" t="inlineStr">
        <x:is>
          <x:t xml:space="preserve">Needs semantic dedupe review</x:t>
        </x:is>
      </x:c>
      <x:c r="AF9" s="81" t="str"/>
      <x:c r="AG9" s="81" t="str"/>
      <x:c r="AH9" s="81" t="inlineStr">
        <x:is>
          <x:t xml:space="preserve">No</x:t>
        </x:is>
      </x:c>
      <x:c r="AI9" s="81" t="inlineStr">
        <x:is>
          <x:t xml:space="preserve">Not reviewed</x:t>
        </x:is>
      </x:c>
      <x:c r="AJ9" s="81" t="inlineStr">
        <x:is>
          <x:t xml:space="preserve">Research only</x:t>
        </x:is>
      </x:c>
      <x:c r="AK9" s="81" t="inlineStr">
        <x:is>
          <x:t xml:space="preserve">Research Pool</x:t>
        </x:is>
      </x:c>
      <x:c r="AL9" s="81" t="n">
        <x:v>1</x:v>
      </x:c>
      <x:c r="AM9" s="81" t="inlineStr">
        <x:is>
          <x:t xml:space="preserve">ChatGPT research</x:t>
        </x:is>
      </x:c>
      <x:c r="AN9" s="81" t="inlineStr">
        <x:is>
          <x:t xml:space="preserve">2026-09-18</x:t>
        </x:is>
      </x:c>
      <x:c r="AO9" s="81" t="inlineStr">
        <x:is>
          <x:t xml:space="preserve">Day 1 full-scope audit, chapters 1–20.</x:t>
        </x:is>
      </x:c>
      <x:c r="AP9" s="81" t="n"/>
      <x:c r="AQ9" s="81" t="n"/>
    </x:row>
    <x:row r="10">
      <x:c r="A10" s="81" t="inlineStr">
        <x:is>
          <x:t xml:space="preserve">research.laozi.ch03.009</x:t>
        </x:is>
      </x:c>
      <x:c r="B10" s="81" t="inlineStr">
        <x:is>
          <x:t xml:space="preserve">Collected</x:t>
        </x:is>
      </x:c>
      <x:c r="C10" s="81" t="inlineStr">
        <x:is>
          <x:t xml:space="preserve">Xã hội &amp; văn hóa</x:t>
        </x:is>
      </x:c>
      <x:c r="D10" s="81" t="inlineStr">
        <x:is>
          <x:t xml:space="preserve">Comparison / External standards / Values</x:t>
        </x:is>
      </x:c>
      <x:c r="E10" s="81" t="str"/>
      <x:c r="F10" s="81" t="inlineStr">
        <x:is>
          <x:t xml:space="preserve">Môi trường và tín hiệu xã hội có thể khuếch đại cạnh tranh và ham muốn</x:t>
        </x:is>
      </x:c>
      <x:c r="G10" s="81" t="inlineStr">
        <x:is>
          <x:t xml:space="preserve">Comparison</x:t>
        </x:is>
      </x:c>
      <x:c r="H10" s="81" t="inlineStr">
        <x:is>
          <x:t xml:space="preserve">Attention</x:t>
        </x:is>
      </x:c>
      <x:c r="I10" s="81" t="inlineStr">
        <x:is>
          <x:t xml:space="preserve">Áp lực</x:t>
        </x:is>
      </x:c>
      <x:c r="J10" s="81" t="str"/>
      <x:c r="K10" s="81" t="inlineStr">
        <x:is>
          <x:t xml:space="preserve">Recognize</x:t>
        </x:is>
      </x:c>
      <x:c r="L10" s="81" t="inlineStr">
        <x:is>
          <x:t xml:space="preserve">Reframe</x:t>
        </x:is>
      </x:c>
      <x:c r="M10" s="81" t="inlineStr">
        <x:is>
          <x:t xml:space="preserve">Trích đoạn triết học</x:t>
        </x:is>
      </x:c>
      <x:c r="N10" s="81" t="inlineStr">
        <x:is>
          <x:t xml:space="preserve">不尚賢，使民不爭；不貴難得之貨，使民不為盜；不見可欲，使民心不亂。</x:t>
        </x:is>
      </x:c>
      <x:c r="O10" s="81" t="inlineStr">
        <x:is>
          <x:t xml:space="preserve">Classical Chinese (文言文)</x:t>
        </x:is>
      </x:c>
      <x:c r="P10" s="81" t="inlineStr">
        <x:is>
          <x:t xml:space="preserve">Khi xã hội không liên tục tôn cao hơn-thua, quý hiếm và những thứ kích thích ham muốn, sự tranh giành và xao động cũng có thể bớt đi.</x:t>
        </x:is>
      </x:c>
      <x:c r="Q10" s="81" t="inlineStr">
        <x:is>
          <x:t xml:space="preserve">Laozi / 老子</x:t>
        </x:is>
      </x:c>
      <x:c r="R10" s="81" t="inlineStr">
        <x:is>
          <x:t xml:space="preserve">Taoism</x:t>
        </x:is>
      </x:c>
      <x:c r="S10" s="81" t="inlineStr">
        <x:is>
          <x:t xml:space="preserve">道德經 / Tao Te Ching</x:t>
        </x:is>
      </x:c>
      <x:c r="T10" s="81" t="inlineStr">
        <x:is>
          <x:t xml:space="preserve">Chapter 3</x:t>
        </x:is>
      </x:c>
      <x:c r="U10" s="81" t="inlineStr">
        <x:is>
          <x:t xml:space="preserve">https://zh.wikisource.org/zh-hans/%E9%81%93%E5%BE%B7%E7%B6%93_(%E7%8E%8B%E5%BC%BC%E6%9C%AC)</x:t>
        </x:is>
      </x:c>
      <x:c r="V10" s="81" t="inlineStr">
        <x:is>
          <x:t xml:space="preserve">Primary text</x:t>
        </x:is>
      </x:c>
      <x:c r="W10" s="81" t="inlineStr">
        <x:is>
          <x:t xml:space="preserve">Working translation</x:t>
        </x:is>
      </x:c>
      <x:c r="X10" s="81" t="inlineStr">
        <x:is>
          <x:t xml:space="preserve">A - Primary source</x:t>
        </x:is>
      </x:c>
      <x:c r="Y10" s="81" t="inlineStr">
        <x:is>
          <x:t xml:space="preserve">Original Chinese checked against Wang Bi recension; cross-check via Chinese Text Project. Vietnamese is Selflo working translation, not published translation.</x:t>
        </x:is>
      </x:c>
      <x:c r="Z10" s="81" t="inlineStr">
        <x:is>
          <x:t xml:space="preserve">Public domain / likely</x:t>
        </x:is>
      </x:c>
      <x:c r="AA10" s="81" t="inlineStr">
        <x:is>
          <x:t xml:space="preserve">Ancient text; Legge 1891 comparison is public domain in USA per Project Gutenberg. Verify jurisdiction for commercial publication.</x:t>
        </x:is>
      </x:c>
      <x:c r="AB10" s="81" t="inlineStr">
        <x:is>
          <x:t xml:space="preserve">Medium</x:t>
        </x:is>
      </x:c>
      <x:c r="AC10" s="81" t="inlineStr">
        <x:is>
          <x:t xml:space="preserve">Bản dịch chủ ý mềm hơn; nguyên văn mang tính chính trị/xã hội.</x:t>
        </x:is>
      </x:c>
      <x:c r="AD10" s="81" t="inlineStr">
        <x:is>
          <x:t xml:space="preserve">Needs editorial review</x:t>
        </x:is>
      </x:c>
      <x:c r="AE10" s="81" t="inlineStr">
        <x:is>
          <x:t xml:space="preserve">Needs semantic dedupe review</x:t>
        </x:is>
      </x:c>
      <x:c r="AF10" s="81" t="str"/>
      <x:c r="AG10" s="81" t="str"/>
      <x:c r="AH10" s="81" t="inlineStr">
        <x:is>
          <x:t xml:space="preserve">No</x:t>
        </x:is>
      </x:c>
      <x:c r="AI10" s="81" t="inlineStr">
        <x:is>
          <x:t xml:space="preserve">Not reviewed</x:t>
        </x:is>
      </x:c>
      <x:c r="AJ10" s="81" t="inlineStr">
        <x:is>
          <x:t xml:space="preserve">Research only</x:t>
        </x:is>
      </x:c>
      <x:c r="AK10" s="81" t="inlineStr">
        <x:is>
          <x:t xml:space="preserve">Research Pool</x:t>
        </x:is>
      </x:c>
      <x:c r="AL10" s="81" t="n">
        <x:v>1</x:v>
      </x:c>
      <x:c r="AM10" s="81" t="inlineStr">
        <x:is>
          <x:t xml:space="preserve">ChatGPT research</x:t>
        </x:is>
      </x:c>
      <x:c r="AN10" s="81" t="inlineStr">
        <x:is>
          <x:t xml:space="preserve">2026-09-18</x:t>
        </x:is>
      </x:c>
      <x:c r="AO10" s="81" t="inlineStr">
        <x:is>
          <x:t xml:space="preserve">Day 1 full-scope audit, chapters 1–20.</x:t>
        </x:is>
      </x:c>
      <x:c r="AP10" s="81" t="n"/>
      <x:c r="AQ10" s="81" t="n"/>
    </x:row>
    <x:row r="11">
      <x:c r="A11" s="81" t="inlineStr">
        <x:is>
          <x:t xml:space="preserve">research.laozi.ch03.010</x:t>
        </x:is>
      </x:c>
      <x:c r="B11" s="81" t="inlineStr">
        <x:is>
          <x:t xml:space="preserve">Collected</x:t>
        </x:is>
      </x:c>
      <x:c r="C11" s="81" t="inlineStr">
        <x:is>
          <x:t xml:space="preserve">AI &amp; tương lai</x:t>
        </x:is>
      </x:c>
      <x:c r="D11" s="81" t="inlineStr">
        <x:is>
          <x:t xml:space="preserve">AI-age Human Judgment</x:t>
        </x:is>
      </x:c>
      <x:c r="E11" s="81" t="str"/>
      <x:c r="F11" s="81" t="inlineStr">
        <x:is>
          <x:t xml:space="preserve">Không phải mọi vấn đề đều cần thêm can thiệp</x:t>
        </x:is>
      </x:c>
      <x:c r="G11" s="81" t="inlineStr">
        <x:is>
          <x:t xml:space="preserve">Control</x:t>
        </x:is>
      </x:c>
      <x:c r="H11" s="81" t="inlineStr">
        <x:is>
          <x:t xml:space="preserve">Agency</x:t>
        </x:is>
      </x:c>
      <x:c r="I11" s="81" t="inlineStr">
        <x:is>
          <x:t xml:space="preserve">Bối rối</x:t>
        </x:is>
      </x:c>
      <x:c r="J11" s="81" t="str"/>
      <x:c r="K11" s="81" t="inlineStr">
        <x:is>
          <x:t xml:space="preserve">Reframe</x:t>
        </x:is>
      </x:c>
      <x:c r="L11" s="81" t="inlineStr">
        <x:is>
          <x:t xml:space="preserve">Distinguish</x:t>
        </x:is>
      </x:c>
      <x:c r="M11" s="81" t="inlineStr">
        <x:is>
          <x:t xml:space="preserve">Trích đoạn triết học</x:t>
        </x:is>
      </x:c>
      <x:c r="N11" s="81" t="inlineStr">
        <x:is>
          <x:t xml:space="preserve">為無為，則無不治。</x:t>
        </x:is>
      </x:c>
      <x:c r="O11" s="81" t="inlineStr">
        <x:is>
          <x:t xml:space="preserve">Classical Chinese (文言文)</x:t>
        </x:is>
      </x:c>
      <x:c r="P11" s="81" t="inlineStr">
        <x:is>
          <x:t xml:space="preserve">Làm theo cách không cưỡng ép; khi ấy sự việc có thể tự tìm được trật tự của nó.</x:t>
        </x:is>
      </x:c>
      <x:c r="Q11" s="81" t="inlineStr">
        <x:is>
          <x:t xml:space="preserve">Laozi / 老子</x:t>
        </x:is>
      </x:c>
      <x:c r="R11" s="81" t="inlineStr">
        <x:is>
          <x:t xml:space="preserve">Taoism</x:t>
        </x:is>
      </x:c>
      <x:c r="S11" s="81" t="inlineStr">
        <x:is>
          <x:t xml:space="preserve">道德經 / Tao Te Ching</x:t>
        </x:is>
      </x:c>
      <x:c r="T11" s="81" t="inlineStr">
        <x:is>
          <x:t xml:space="preserve">Chapter 3</x:t>
        </x:is>
      </x:c>
      <x:c r="U11" s="81" t="inlineStr">
        <x:is>
          <x:t xml:space="preserve">https://zh.wikisource.org/zh-hans/%E9%81%93%E5%BE%B7%E7%B6%93_(%E7%8E%8B%E5%BC%BC%E6%9C%AC)</x:t>
        </x:is>
      </x:c>
      <x:c r="V11" s="81" t="inlineStr">
        <x:is>
          <x:t xml:space="preserve">Primary text</x:t>
        </x:is>
      </x:c>
      <x:c r="W11" s="81" t="inlineStr">
        <x:is>
          <x:t xml:space="preserve">Working translation</x:t>
        </x:is>
      </x:c>
      <x:c r="X11" s="81" t="inlineStr">
        <x:is>
          <x:t xml:space="preserve">A - Primary source</x:t>
        </x:is>
      </x:c>
      <x:c r="Y11" s="81" t="inlineStr">
        <x:is>
          <x:t xml:space="preserve">Original Chinese checked against Wang Bi recension; cross-check via Chinese Text Project. Vietnamese is Selflo working translation, not published translation.</x:t>
        </x:is>
      </x:c>
      <x:c r="Z11" s="81" t="inlineStr">
        <x:is>
          <x:t xml:space="preserve">Public domain / likely</x:t>
        </x:is>
      </x:c>
      <x:c r="AA11" s="81" t="inlineStr">
        <x:is>
          <x:t xml:space="preserve">Ancient text; Legge 1891 comparison is public domain in USA per Project Gutenberg. Verify jurisdiction for commercial publication.</x:t>
        </x:is>
      </x:c>
      <x:c r="AB11" s="81" t="inlineStr">
        <x:is>
          <x:t xml:space="preserve">Medium</x:t>
        </x:is>
      </x:c>
      <x:c r="AC11" s="81" t="inlineStr">
        <x:is>
          <x:t xml:space="preserve">Wu-wei khó dịch; không nên Release nguyên trạng trước review.</x:t>
        </x:is>
      </x:c>
      <x:c r="AD11" s="81" t="inlineStr">
        <x:is>
          <x:t xml:space="preserve">Needs editorial review</x:t>
        </x:is>
      </x:c>
      <x:c r="AE11" s="81" t="inlineStr">
        <x:is>
          <x:t xml:space="preserve">Needs semantic dedupe review</x:t>
        </x:is>
      </x:c>
      <x:c r="AF11" s="81" t="str"/>
      <x:c r="AG11" s="81" t="str"/>
      <x:c r="AH11" s="81" t="inlineStr">
        <x:is>
          <x:t xml:space="preserve">No</x:t>
        </x:is>
      </x:c>
      <x:c r="AI11" s="81" t="inlineStr">
        <x:is>
          <x:t xml:space="preserve">Not reviewed</x:t>
        </x:is>
      </x:c>
      <x:c r="AJ11" s="81" t="inlineStr">
        <x:is>
          <x:t xml:space="preserve">Research only</x:t>
        </x:is>
      </x:c>
      <x:c r="AK11" s="81" t="inlineStr">
        <x:is>
          <x:t xml:space="preserve">Research Pool</x:t>
        </x:is>
      </x:c>
      <x:c r="AL11" s="81" t="n">
        <x:v>1</x:v>
      </x:c>
      <x:c r="AM11" s="81" t="inlineStr">
        <x:is>
          <x:t xml:space="preserve">ChatGPT research</x:t>
        </x:is>
      </x:c>
      <x:c r="AN11" s="81" t="inlineStr">
        <x:is>
          <x:t xml:space="preserve">2026-09-18</x:t>
        </x:is>
      </x:c>
      <x:c r="AO11" s="81" t="inlineStr">
        <x:is>
          <x:t xml:space="preserve">Day 1 full-scope audit, chapters 1–20.</x:t>
        </x:is>
      </x:c>
      <x:c r="AP11" s="81" t="n"/>
      <x:c r="AQ11" s="81" t="n"/>
    </x:row>
    <x:row r="12">
      <x:c r="A12" s="81" t="inlineStr">
        <x:is>
          <x:t xml:space="preserve">research.laozi.ch04.011</x:t>
        </x:is>
      </x:c>
      <x:c r="B12" s="81" t="inlineStr">
        <x:is>
          <x:t xml:space="preserve">Collected</x:t>
        </x:is>
      </x:c>
      <x:c r="C12" s="81" t="inlineStr">
        <x:is>
          <x:t xml:space="preserve">Nội tâm &amp; hiểu mình</x:t>
        </x:is>
      </x:c>
      <x:c r="D12" s="81" t="inlineStr">
        <x:is>
          <x:t xml:space="preserve">Rest / Limits / Wellbeing</x:t>
        </x:is>
      </x:c>
      <x:c r="E12" s="81" t="str"/>
      <x:c r="F12" s="81" t="inlineStr">
        <x:is>
          <x:t xml:space="preserve">Khoảng trống không nhất thiết là thiếu hụt</x:t>
        </x:is>
      </x:c>
      <x:c r="G12" s="81" t="inlineStr">
        <x:is>
          <x:t xml:space="preserve">Enoughness</x:t>
        </x:is>
      </x:c>
      <x:c r="H12" s="81" t="inlineStr">
        <x:is>
          <x:t xml:space="preserve">Rest</x:t>
        </x:is>
      </x:c>
      <x:c r="I12" s="81" t="inlineStr">
        <x:is>
          <x:t xml:space="preserve">Trống rỗng</x:t>
        </x:is>
      </x:c>
      <x:c r="J12" s="81" t="str"/>
      <x:c r="K12" s="81" t="inlineStr">
        <x:is>
          <x:t xml:space="preserve">Reframe</x:t>
        </x:is>
      </x:c>
      <x:c r="L12" s="81" t="inlineStr">
        <x:is>
          <x:t xml:space="preserve">Permit</x:t>
        </x:is>
      </x:c>
      <x:c r="M12" s="81" t="inlineStr">
        <x:is>
          <x:t xml:space="preserve">Ẩn dụ</x:t>
        </x:is>
      </x:c>
      <x:c r="N12" s="81" t="inlineStr">
        <x:is>
          <x:t xml:space="preserve">道沖而用之或不盈。</x:t>
        </x:is>
      </x:c>
      <x:c r="O12" s="81" t="inlineStr">
        <x:is>
          <x:t xml:space="preserve">Classical Chinese (文言文)</x:t>
        </x:is>
      </x:c>
      <x:c r="P12" s="81" t="inlineStr">
        <x:is>
          <x:t xml:space="preserve">Đạo rỗng mà dùng mãi dường như vẫn không đầy.</x:t>
        </x:is>
      </x:c>
      <x:c r="Q12" s="81" t="inlineStr">
        <x:is>
          <x:t xml:space="preserve">Laozi / 老子</x:t>
        </x:is>
      </x:c>
      <x:c r="R12" s="81" t="inlineStr">
        <x:is>
          <x:t xml:space="preserve">Taoism</x:t>
        </x:is>
      </x:c>
      <x:c r="S12" s="81" t="inlineStr">
        <x:is>
          <x:t xml:space="preserve">道德經 / Tao Te Ching</x:t>
        </x:is>
      </x:c>
      <x:c r="T12" s="81" t="inlineStr">
        <x:is>
          <x:t xml:space="preserve">Chapter 4</x:t>
        </x:is>
      </x:c>
      <x:c r="U12" s="81" t="inlineStr">
        <x:is>
          <x:t xml:space="preserve">https://zh.wikisource.org/zh-hans/%E9%81%93%E5%BE%B7%E7%B6%93_(%E7%8E%8B%E5%BC%BC%E6%9C%AC)</x:t>
        </x:is>
      </x:c>
      <x:c r="V12" s="81" t="inlineStr">
        <x:is>
          <x:t xml:space="preserve">Primary text</x:t>
        </x:is>
      </x:c>
      <x:c r="W12" s="81" t="inlineStr">
        <x:is>
          <x:t xml:space="preserve">Working translation</x:t>
        </x:is>
      </x:c>
      <x:c r="X12" s="81" t="inlineStr">
        <x:is>
          <x:t xml:space="preserve">A - Primary source</x:t>
        </x:is>
      </x:c>
      <x:c r="Y12" s="81" t="inlineStr">
        <x:is>
          <x:t xml:space="preserve">Original Chinese checked against Wang Bi recension; cross-check via Chinese Text Project. Vietnamese is Selflo working translation, not published translation.</x:t>
        </x:is>
      </x:c>
      <x:c r="Z12" s="81" t="inlineStr">
        <x:is>
          <x:t xml:space="preserve">Public domain / likely</x:t>
        </x:is>
      </x:c>
      <x:c r="AA12" s="81" t="inlineStr">
        <x:is>
          <x:t xml:space="preserve">Ancient text; Legge 1891 comparison is public domain in USA per Project Gutenberg. Verify jurisdiction for commercial publication.</x:t>
        </x:is>
      </x:c>
      <x:c r="AB12" s="81" t="inlineStr">
        <x:is>
          <x:t xml:space="preserve">High</x:t>
        </x:is>
      </x:c>
      <x:c r="AC12" s="81" t="inlineStr">
        <x:is>
          <x:t xml:space="preserve">Mạnh cho empty space / Ma; metaphysical context cần giữ.</x:t>
        </x:is>
      </x:c>
      <x:c r="AD12" s="81" t="inlineStr">
        <x:is>
          <x:t xml:space="preserve">Needs editorial review</x:t>
        </x:is>
      </x:c>
      <x:c r="AE12" s="81" t="inlineStr">
        <x:is>
          <x:t xml:space="preserve">Needs semantic dedupe review</x:t>
        </x:is>
      </x:c>
      <x:c r="AF12" s="81" t="str"/>
      <x:c r="AG12" s="81" t="str"/>
      <x:c r="AH12" s="81" t="inlineStr">
        <x:is>
          <x:t xml:space="preserve">No</x:t>
        </x:is>
      </x:c>
      <x:c r="AI12" s="81" t="inlineStr">
        <x:is>
          <x:t xml:space="preserve">Not reviewed</x:t>
        </x:is>
      </x:c>
      <x:c r="AJ12" s="81" t="inlineStr">
        <x:is>
          <x:t xml:space="preserve">Research only</x:t>
        </x:is>
      </x:c>
      <x:c r="AK12" s="81" t="inlineStr">
        <x:is>
          <x:t xml:space="preserve">Research Pool</x:t>
        </x:is>
      </x:c>
      <x:c r="AL12" s="81" t="n">
        <x:v>1</x:v>
      </x:c>
      <x:c r="AM12" s="81" t="inlineStr">
        <x:is>
          <x:t xml:space="preserve">ChatGPT research</x:t>
        </x:is>
      </x:c>
      <x:c r="AN12" s="81" t="inlineStr">
        <x:is>
          <x:t xml:space="preserve">2026-09-18</x:t>
        </x:is>
      </x:c>
      <x:c r="AO12" s="81" t="inlineStr">
        <x:is>
          <x:t xml:space="preserve">Day 1 full-scope audit, chapters 1–20.</x:t>
        </x:is>
      </x:c>
      <x:c r="AP12" s="81" t="n"/>
      <x:c r="AQ12" s="81" t="n"/>
    </x:row>
    <x:row r="13">
      <x:c r="A13" s="81" t="inlineStr">
        <x:is>
          <x:t xml:space="preserve">research.laozi.ch04.012</x:t>
        </x:is>
      </x:c>
      <x:c r="B13" s="81" t="inlineStr">
        <x:is>
          <x:t xml:space="preserve">Collected</x:t>
        </x:is>
      </x:c>
      <x:c r="C13" s="81" t="inlineStr">
        <x:is>
          <x:t xml:space="preserve">Nội tâm &amp; hiểu mình</x:t>
        </x:is>
      </x:c>
      <x:c r="D13" s="81" t="inlineStr">
        <x:is>
          <x:t xml:space="preserve">Rest / Limits / Wellbeing</x:t>
        </x:is>
      </x:c>
      <x:c r="E13" s="81" t="str"/>
      <x:c r="F13" s="81" t="inlineStr">
        <x:is>
          <x:t xml:space="preserve">Không phải lúc nào cũng cần giữ mình ở trạng thái sắc bén nhất</x:t>
        </x:is>
      </x:c>
      <x:c r="G13" s="81" t="inlineStr">
        <x:is>
          <x:t xml:space="preserve">Rest</x:t>
        </x:is>
      </x:c>
      <x:c r="H13" s="81" t="inlineStr">
        <x:is>
          <x:t xml:space="preserve">Simplicity</x:t>
        </x:is>
      </x:c>
      <x:c r="I13" s="81" t="inlineStr">
        <x:is>
          <x:t xml:space="preserve">Cạn năng lượng</x:t>
        </x:is>
      </x:c>
      <x:c r="J13" s="81" t="str"/>
      <x:c r="K13" s="81" t="inlineStr">
        <x:is>
          <x:t xml:space="preserve">Permit</x:t>
        </x:is>
      </x:c>
      <x:c r="L13" s="81" t="inlineStr">
        <x:is>
          <x:t xml:space="preserve">Reframe</x:t>
        </x:is>
      </x:c>
      <x:c r="M13" s="81" t="inlineStr">
        <x:is>
          <x:t xml:space="preserve">Ẩn dụ</x:t>
        </x:is>
      </x:c>
      <x:c r="N13" s="81" t="inlineStr">
        <x:is>
          <x:t xml:space="preserve">挫其銳，解其紛，和其光，同其塵。</x:t>
        </x:is>
      </x:c>
      <x:c r="O13" s="81" t="inlineStr">
        <x:is>
          <x:t xml:space="preserve">Classical Chinese (文言文)</x:t>
        </x:is>
      </x:c>
      <x:c r="P13" s="81" t="inlineStr">
        <x:is>
          <x:t xml:space="preserve">Làm bớt sắc nhọn, gỡ điều rối, dịu ánh sáng và hòa vào bụi đời.</x:t>
        </x:is>
      </x:c>
      <x:c r="Q13" s="81" t="inlineStr">
        <x:is>
          <x:t xml:space="preserve">Laozi / 老子</x:t>
        </x:is>
      </x:c>
      <x:c r="R13" s="81" t="inlineStr">
        <x:is>
          <x:t xml:space="preserve">Taoism</x:t>
        </x:is>
      </x:c>
      <x:c r="S13" s="81" t="inlineStr">
        <x:is>
          <x:t xml:space="preserve">道德經 / Tao Te Ching</x:t>
        </x:is>
      </x:c>
      <x:c r="T13" s="81" t="inlineStr">
        <x:is>
          <x:t xml:space="preserve">Chapter 4</x:t>
        </x:is>
      </x:c>
      <x:c r="U13" s="81" t="inlineStr">
        <x:is>
          <x:t xml:space="preserve">https://zh.wikisource.org/zh-hans/%E9%81%93%E5%BE%B7%E7%B6%93_(%E7%8E%8B%E5%BC%BC%E6%9C%AC)</x:t>
        </x:is>
      </x:c>
      <x:c r="V13" s="81" t="inlineStr">
        <x:is>
          <x:t xml:space="preserve">Primary text</x:t>
        </x:is>
      </x:c>
      <x:c r="W13" s="81" t="inlineStr">
        <x:is>
          <x:t xml:space="preserve">Working translation</x:t>
        </x:is>
      </x:c>
      <x:c r="X13" s="81" t="inlineStr">
        <x:is>
          <x:t xml:space="preserve">A - Primary source</x:t>
        </x:is>
      </x:c>
      <x:c r="Y13" s="81" t="inlineStr">
        <x:is>
          <x:t xml:space="preserve">Original Chinese checked against Wang Bi recension; cross-check via Chinese Text Project. Vietnamese is Selflo working translation, not published translation.</x:t>
        </x:is>
      </x:c>
      <x:c r="Z13" s="81" t="inlineStr">
        <x:is>
          <x:t xml:space="preserve">Public domain / likely</x:t>
        </x:is>
      </x:c>
      <x:c r="AA13" s="81" t="inlineStr">
        <x:is>
          <x:t xml:space="preserve">Ancient text; Legge 1891 comparison is public domain in USA per Project Gutenberg. Verify jurisdiction for commercial publication.</x:t>
        </x:is>
      </x:c>
      <x:c r="AB13" s="81" t="inlineStr">
        <x:is>
          <x:t xml:space="preserve">Medium</x:t>
        </x:is>
      </x:c>
      <x:c r="AC13" s="81" t="inlineStr">
        <x:is>
          <x:t xml:space="preserve">Có tiềm năng recovery; bản dịch cần owner review.</x:t>
        </x:is>
      </x:c>
      <x:c r="AD13" s="81" t="inlineStr">
        <x:is>
          <x:t xml:space="preserve">Needs editorial review</x:t>
        </x:is>
      </x:c>
      <x:c r="AE13" s="81" t="inlineStr">
        <x:is>
          <x:t xml:space="preserve">Needs semantic dedupe review</x:t>
        </x:is>
      </x:c>
      <x:c r="AF13" s="81" t="str"/>
      <x:c r="AG13" s="81" t="str"/>
      <x:c r="AH13" s="81" t="inlineStr">
        <x:is>
          <x:t xml:space="preserve">No</x:t>
        </x:is>
      </x:c>
      <x:c r="AI13" s="81" t="inlineStr">
        <x:is>
          <x:t xml:space="preserve">Not reviewed</x:t>
        </x:is>
      </x:c>
      <x:c r="AJ13" s="81" t="inlineStr">
        <x:is>
          <x:t xml:space="preserve">Research only</x:t>
        </x:is>
      </x:c>
      <x:c r="AK13" s="81" t="inlineStr">
        <x:is>
          <x:t xml:space="preserve">Research Pool</x:t>
        </x:is>
      </x:c>
      <x:c r="AL13" s="81" t="n">
        <x:v>1</x:v>
      </x:c>
      <x:c r="AM13" s="81" t="inlineStr">
        <x:is>
          <x:t xml:space="preserve">ChatGPT research</x:t>
        </x:is>
      </x:c>
      <x:c r="AN13" s="81" t="inlineStr">
        <x:is>
          <x:t xml:space="preserve">2026-09-18</x:t>
        </x:is>
      </x:c>
      <x:c r="AO13" s="81" t="inlineStr">
        <x:is>
          <x:t xml:space="preserve">Day 1 full-scope audit, chapters 1–20.</x:t>
        </x:is>
      </x:c>
      <x:c r="AP13" s="81" t="n"/>
      <x:c r="AQ13" s="81" t="n"/>
    </x:row>
    <x:row r="14">
      <x:c r="A14" s="81" t="inlineStr">
        <x:is>
          <x:t xml:space="preserve">research.laozi.ch05.013</x:t>
        </x:is>
      </x:c>
      <x:c r="B14" s="81" t="inlineStr">
        <x:is>
          <x:t xml:space="preserve">Collected</x:t>
        </x:is>
      </x:c>
      <x:c r="C14" s="81" t="inlineStr">
        <x:is>
          <x:t xml:space="preserve">AI &amp; tương lai</x:t>
        </x:is>
      </x:c>
      <x:c r="D14" s="81" t="inlineStr">
        <x:is>
          <x:t xml:space="preserve">Attention / Noise / Deep focus</x:t>
        </x:is>
      </x:c>
      <x:c r="E14" s="81" t="str"/>
      <x:c r="F14" s="81" t="inlineStr">
        <x:is>
          <x:t xml:space="preserve">Khoảng rỗng có thể là điều kiện cho khả năng sinh ra</x:t>
        </x:is>
      </x:c>
      <x:c r="G14" s="81" t="inlineStr">
        <x:is>
          <x:t xml:space="preserve">Attention</x:t>
        </x:is>
      </x:c>
      <x:c r="H14" s="81" t="inlineStr">
        <x:is>
          <x:t xml:space="preserve">Enoughness</x:t>
        </x:is>
      </x:c>
      <x:c r="I14" s="81" t="inlineStr">
        <x:is>
          <x:t xml:space="preserve">Trống rỗng</x:t>
        </x:is>
      </x:c>
      <x:c r="J14" s="81" t="str"/>
      <x:c r="K14" s="81" t="inlineStr">
        <x:is>
          <x:t xml:space="preserve">Reframe</x:t>
        </x:is>
      </x:c>
      <x:c r="L14" s="81" t="inlineStr">
        <x:is>
          <x:t xml:space="preserve">Distinguish</x:t>
        </x:is>
      </x:c>
      <x:c r="M14" s="81" t="inlineStr">
        <x:is>
          <x:t xml:space="preserve">Ẩn dụ</x:t>
        </x:is>
      </x:c>
      <x:c r="N14" s="81" t="inlineStr">
        <x:is>
          <x:t xml:space="preserve">天地之間，其猶橐籥乎？虛而不屈，動而愈出。</x:t>
        </x:is>
      </x:c>
      <x:c r="O14" s="81" t="inlineStr">
        <x:is>
          <x:t xml:space="preserve">Classical Chinese (文言文)</x:t>
        </x:is>
      </x:c>
      <x:c r="P14" s="81" t="inlineStr">
        <x:is>
          <x:t xml:space="preserve">Khoảng giữa trời đất chẳng giống một ống bễ sao? Rỗng mà không kiệt; càng vận động, nó càng tạo ra luồng khí.</x:t>
        </x:is>
      </x:c>
      <x:c r="Q14" s="81" t="inlineStr">
        <x:is>
          <x:t xml:space="preserve">Laozi / 老子</x:t>
        </x:is>
      </x:c>
      <x:c r="R14" s="81" t="inlineStr">
        <x:is>
          <x:t xml:space="preserve">Taoism</x:t>
        </x:is>
      </x:c>
      <x:c r="S14" s="81" t="inlineStr">
        <x:is>
          <x:t xml:space="preserve">道德經 / Tao Te Ching</x:t>
        </x:is>
      </x:c>
      <x:c r="T14" s="81" t="inlineStr">
        <x:is>
          <x:t xml:space="preserve">Chapter 5</x:t>
        </x:is>
      </x:c>
      <x:c r="U14" s="81" t="inlineStr">
        <x:is>
          <x:t xml:space="preserve">https://zh.wikisource.org/zh-hans/%E9%81%93%E5%BE%B7%E7%B6%93_(%E7%8E%8B%E5%BC%BC%E6%9C%AC)</x:t>
        </x:is>
      </x:c>
      <x:c r="V14" s="81" t="inlineStr">
        <x:is>
          <x:t xml:space="preserve">Primary text</x:t>
        </x:is>
      </x:c>
      <x:c r="W14" s="81" t="inlineStr">
        <x:is>
          <x:t xml:space="preserve">Working translation</x:t>
        </x:is>
      </x:c>
      <x:c r="X14" s="81" t="inlineStr">
        <x:is>
          <x:t xml:space="preserve">A - Primary source</x:t>
        </x:is>
      </x:c>
      <x:c r="Y14" s="81" t="inlineStr">
        <x:is>
          <x:t xml:space="preserve">Original Chinese checked against Wang Bi recension; cross-check via Chinese Text Project. Vietnamese is Selflo working translation, not published translation.</x:t>
        </x:is>
      </x:c>
      <x:c r="Z14" s="81" t="inlineStr">
        <x:is>
          <x:t xml:space="preserve">Public domain / likely</x:t>
        </x:is>
      </x:c>
      <x:c r="AA14" s="81" t="inlineStr">
        <x:is>
          <x:t xml:space="preserve">Ancient text; Legge 1891 comparison is public domain in USA per Project Gutenberg. Verify jurisdiction for commercial publication.</x:t>
        </x:is>
      </x:c>
      <x:c r="AB14" s="81" t="inlineStr">
        <x:is>
          <x:t xml:space="preserve">High</x:t>
        </x:is>
      </x:c>
      <x:c r="AC14" s="81" t="inlineStr">
        <x:is>
          <x:t xml:space="preserve">Metaphor passage; không phải story.</x:t>
        </x:is>
      </x:c>
      <x:c r="AD14" s="81" t="inlineStr">
        <x:is>
          <x:t xml:space="preserve">Needs editorial review</x:t>
        </x:is>
      </x:c>
      <x:c r="AE14" s="81" t="inlineStr">
        <x:is>
          <x:t xml:space="preserve">Needs semantic dedupe review</x:t>
        </x:is>
      </x:c>
      <x:c r="AF14" s="81" t="str"/>
      <x:c r="AG14" s="81" t="str"/>
      <x:c r="AH14" s="81" t="inlineStr">
        <x:is>
          <x:t xml:space="preserve">No</x:t>
        </x:is>
      </x:c>
      <x:c r="AI14" s="81" t="inlineStr">
        <x:is>
          <x:t xml:space="preserve">Not reviewed</x:t>
        </x:is>
      </x:c>
      <x:c r="AJ14" s="81" t="inlineStr">
        <x:is>
          <x:t xml:space="preserve">Research only</x:t>
        </x:is>
      </x:c>
      <x:c r="AK14" s="81" t="inlineStr">
        <x:is>
          <x:t xml:space="preserve">Research Pool</x:t>
        </x:is>
      </x:c>
      <x:c r="AL14" s="81" t="n">
        <x:v>1</x:v>
      </x:c>
      <x:c r="AM14" s="81" t="inlineStr">
        <x:is>
          <x:t xml:space="preserve">ChatGPT research</x:t>
        </x:is>
      </x:c>
      <x:c r="AN14" s="81" t="inlineStr">
        <x:is>
          <x:t xml:space="preserve">2026-09-18</x:t>
        </x:is>
      </x:c>
      <x:c r="AO14" s="81" t="inlineStr">
        <x:is>
          <x:t xml:space="preserve">Day 1 full-scope audit, chapters 1–20.</x:t>
        </x:is>
      </x:c>
      <x:c r="AP14" s="81" t="n"/>
      <x:c r="AQ14" s="81" t="n"/>
    </x:row>
    <x:row r="15">
      <x:c r="A15" s="81" t="inlineStr">
        <x:is>
          <x:t xml:space="preserve">research.laozi.ch05.014</x:t>
        </x:is>
      </x:c>
      <x:c r="B15" s="81" t="inlineStr">
        <x:is>
          <x:t xml:space="preserve">Collected</x:t>
        </x:is>
      </x:c>
      <x:c r="C15" s="81" t="inlineStr">
        <x:is>
          <x:t xml:space="preserve">Nội tâm &amp; hiểu mình</x:t>
        </x:is>
      </x:c>
      <x:c r="D15" s="81" t="inlineStr">
        <x:is>
          <x:t xml:space="preserve">Attention / Noise / Deep focus</x:t>
        </x:is>
      </x:c>
      <x:c r="E15" s="81" t="str"/>
      <x:c r="F15" s="81" t="inlineStr">
        <x:is>
          <x:t xml:space="preserve">Thêm lời không phải lúc nào cũng tạo thêm sáng rõ</x:t>
        </x:is>
      </x:c>
      <x:c r="G15" s="81" t="inlineStr">
        <x:is>
          <x:t xml:space="preserve">Attention</x:t>
        </x:is>
      </x:c>
      <x:c r="H15" s="81" t="inlineStr">
        <x:is>
          <x:t xml:space="preserve">Simplicity</x:t>
        </x:is>
      </x:c>
      <x:c r="I15" s="81" t="inlineStr">
        <x:is>
          <x:t xml:space="preserve">Quá tải</x:t>
        </x:is>
      </x:c>
      <x:c r="J15" s="81" t="str"/>
      <x:c r="K15" s="81" t="inlineStr">
        <x:is>
          <x:t xml:space="preserve">Distinguish</x:t>
        </x:is>
      </x:c>
      <x:c r="L15" s="81" t="inlineStr">
        <x:is>
          <x:t xml:space="preserve">Permit</x:t>
        </x:is>
      </x:c>
      <x:c r="M15" s="81" t="inlineStr">
        <x:is>
          <x:t xml:space="preserve">Trích đoạn triết học</x:t>
        </x:is>
      </x:c>
      <x:c r="N15" s="81" t="inlineStr">
        <x:is>
          <x:t xml:space="preserve">多言數窮，不如守中。</x:t>
        </x:is>
      </x:c>
      <x:c r="O15" s="81" t="inlineStr">
        <x:is>
          <x:t xml:space="preserve">Classical Chinese (文言文)</x:t>
        </x:is>
      </x:c>
      <x:c r="P15" s="81" t="inlineStr">
        <x:is>
          <x:t xml:space="preserve">Nói quá nhiều dễ đi đến cạn; có lúc giữ lại khoảng trung tâm còn hơn tiếp tục thêm lời.</x:t>
        </x:is>
      </x:c>
      <x:c r="Q15" s="81" t="inlineStr">
        <x:is>
          <x:t xml:space="preserve">Laozi / 老子</x:t>
        </x:is>
      </x:c>
      <x:c r="R15" s="81" t="inlineStr">
        <x:is>
          <x:t xml:space="preserve">Taoism</x:t>
        </x:is>
      </x:c>
      <x:c r="S15" s="81" t="inlineStr">
        <x:is>
          <x:t xml:space="preserve">道德經 / Tao Te Ching</x:t>
        </x:is>
      </x:c>
      <x:c r="T15" s="81" t="inlineStr">
        <x:is>
          <x:t xml:space="preserve">Chapter 5</x:t>
        </x:is>
      </x:c>
      <x:c r="U15" s="81" t="inlineStr">
        <x:is>
          <x:t xml:space="preserve">https://zh.wikisource.org/zh-hans/%E9%81%93%E5%BE%B7%E7%B6%93_(%E7%8E%8B%E5%BC%BC%E6%9C%AC)</x:t>
        </x:is>
      </x:c>
      <x:c r="V15" s="81" t="inlineStr">
        <x:is>
          <x:t xml:space="preserve">Primary text</x:t>
        </x:is>
      </x:c>
      <x:c r="W15" s="81" t="inlineStr">
        <x:is>
          <x:t xml:space="preserve">Working translation</x:t>
        </x:is>
      </x:c>
      <x:c r="X15" s="81" t="inlineStr">
        <x:is>
          <x:t xml:space="preserve">A - Primary source</x:t>
        </x:is>
      </x:c>
      <x:c r="Y15" s="81" t="inlineStr">
        <x:is>
          <x:t xml:space="preserve">Original Chinese checked against Wang Bi recension; cross-check via Chinese Text Project. Vietnamese is Selflo working translation, not published translation.</x:t>
        </x:is>
      </x:c>
      <x:c r="Z15" s="81" t="inlineStr">
        <x:is>
          <x:t xml:space="preserve">Public domain / likely</x:t>
        </x:is>
      </x:c>
      <x:c r="AA15" s="81" t="inlineStr">
        <x:is>
          <x:t xml:space="preserve">Ancient text; Legge 1891 comparison is public domain in USA per Project Gutenberg. Verify jurisdiction for commercial publication.</x:t>
        </x:is>
      </x:c>
      <x:c r="AB15" s="81" t="inlineStr">
        <x:is>
          <x:t xml:space="preserve">High</x:t>
        </x:is>
      </x:c>
      <x:c r="AC15" s="81" t="inlineStr">
        <x:is>
          <x:t xml:space="preserve">Rất hợp AI abundance / answer abundance.</x:t>
        </x:is>
      </x:c>
      <x:c r="AD15" s="81" t="inlineStr">
        <x:is>
          <x:t xml:space="preserve">Needs editorial review</x:t>
        </x:is>
      </x:c>
      <x:c r="AE15" s="81" t="inlineStr">
        <x:is>
          <x:t xml:space="preserve">Needs semantic dedupe review</x:t>
        </x:is>
      </x:c>
      <x:c r="AF15" s="81" t="str"/>
      <x:c r="AG15" s="81" t="str"/>
      <x:c r="AH15" s="81" t="inlineStr">
        <x:is>
          <x:t xml:space="preserve">No</x:t>
        </x:is>
      </x:c>
      <x:c r="AI15" s="81" t="inlineStr">
        <x:is>
          <x:t xml:space="preserve">Not reviewed</x:t>
        </x:is>
      </x:c>
      <x:c r="AJ15" s="81" t="inlineStr">
        <x:is>
          <x:t xml:space="preserve">Research only</x:t>
        </x:is>
      </x:c>
      <x:c r="AK15" s="81" t="inlineStr">
        <x:is>
          <x:t xml:space="preserve">Research Pool</x:t>
        </x:is>
      </x:c>
      <x:c r="AL15" s="81" t="n">
        <x:v>1</x:v>
      </x:c>
      <x:c r="AM15" s="81" t="inlineStr">
        <x:is>
          <x:t xml:space="preserve">ChatGPT research</x:t>
        </x:is>
      </x:c>
      <x:c r="AN15" s="81" t="inlineStr">
        <x:is>
          <x:t xml:space="preserve">2026-09-18</x:t>
        </x:is>
      </x:c>
      <x:c r="AO15" s="81" t="inlineStr">
        <x:is>
          <x:t xml:space="preserve">Day 1 full-scope audit, chapters 1–20.</x:t>
        </x:is>
      </x:c>
      <x:c r="AP15" s="81" t="n"/>
      <x:c r="AQ15" s="81" t="n"/>
    </x:row>
    <x:row r="16">
      <x:c r="A16" s="81" t="inlineStr">
        <x:is>
          <x:t xml:space="preserve">research.laozi.ch06.015</x:t>
        </x:is>
      </x:c>
      <x:c r="B16" s="81" t="inlineStr">
        <x:is>
          <x:t xml:space="preserve">Collected</x:t>
        </x:is>
      </x:c>
      <x:c r="C16" s="81" t="inlineStr">
        <x:is>
          <x:t xml:space="preserve">Ý nghĩa &amp; bản sắc</x:t>
        </x:is>
      </x:c>
      <x:c r="D16" s="81" t="inlineStr">
        <x:is>
          <x:t xml:space="preserve">Change / Impermanence / Recovery</x:t>
        </x:is>
      </x:c>
      <x:c r="E16" s="81" t="str"/>
      <x:c r="F16" s="81" t="inlineStr">
        <x:is>
          <x:t xml:space="preserve">Hình ảnh thung lũng như một sức chứa và nguồn sinh</x:t>
        </x:is>
      </x:c>
      <x:c r="G16" s="81" t="inlineStr">
        <x:is>
          <x:t xml:space="preserve">Change</x:t>
        </x:is>
      </x:c>
      <x:c r="H16" s="81" t="inlineStr">
        <x:is>
          <x:t xml:space="preserve">Meaning</x:t>
        </x:is>
      </x:c>
      <x:c r="I16" s="81" t="inlineStr">
        <x:is>
          <x:t xml:space="preserve">Bình yên</x:t>
        </x:is>
      </x:c>
      <x:c r="J16" s="81" t="str"/>
      <x:c r="K16" s="81" t="inlineStr">
        <x:is>
          <x:t xml:space="preserve">Recognize</x:t>
        </x:is>
      </x:c>
      <x:c r="L16" s="81" t="inlineStr">
        <x:is>
          <x:t xml:space="preserve">Reframe</x:t>
        </x:is>
      </x:c>
      <x:c r="M16" s="81" t="inlineStr">
        <x:is>
          <x:t xml:space="preserve">Ẩn dụ</x:t>
        </x:is>
      </x:c>
      <x:c r="N16" s="81" t="inlineStr">
        <x:is>
          <x:t xml:space="preserve">谷神不死，是謂玄牝。</x:t>
        </x:is>
      </x:c>
      <x:c r="O16" s="81" t="inlineStr">
        <x:is>
          <x:t xml:space="preserve">Classical Chinese (文言文)</x:t>
        </x:is>
      </x:c>
      <x:c r="P16" s="81" t="inlineStr">
        <x:is>
          <x:t xml:space="preserve">Tinh thần của thung lũng không mất; đó được gọi là nguồn sinh huyền nhiệm.</x:t>
        </x:is>
      </x:c>
      <x:c r="Q16" s="81" t="inlineStr">
        <x:is>
          <x:t xml:space="preserve">Laozi / 老子</x:t>
        </x:is>
      </x:c>
      <x:c r="R16" s="81" t="inlineStr">
        <x:is>
          <x:t xml:space="preserve">Taoism</x:t>
        </x:is>
      </x:c>
      <x:c r="S16" s="81" t="inlineStr">
        <x:is>
          <x:t xml:space="preserve">道德經 / Tao Te Ching</x:t>
        </x:is>
      </x:c>
      <x:c r="T16" s="81" t="inlineStr">
        <x:is>
          <x:t xml:space="preserve">Chapter 6</x:t>
        </x:is>
      </x:c>
      <x:c r="U16" s="81" t="inlineStr">
        <x:is>
          <x:t xml:space="preserve">https://zh.wikisource.org/zh-hans/%E9%81%93%E5%BE%B7%E7%B6%93_(%E7%8E%8B%E5%BC%BC%E6%9C%AC)</x:t>
        </x:is>
      </x:c>
      <x:c r="V16" s="81" t="inlineStr">
        <x:is>
          <x:t xml:space="preserve">Primary text</x:t>
        </x:is>
      </x:c>
      <x:c r="W16" s="81" t="inlineStr">
        <x:is>
          <x:t xml:space="preserve">Working translation</x:t>
        </x:is>
      </x:c>
      <x:c r="X16" s="81" t="inlineStr">
        <x:is>
          <x:t xml:space="preserve">A - Primary source</x:t>
        </x:is>
      </x:c>
      <x:c r="Y16" s="81" t="inlineStr">
        <x:is>
          <x:t xml:space="preserve">Original Chinese checked against Wang Bi recension; cross-check via Chinese Text Project. Vietnamese is Selflo working translation, not published translation.</x:t>
        </x:is>
      </x:c>
      <x:c r="Z16" s="81" t="inlineStr">
        <x:is>
          <x:t xml:space="preserve">Public domain / likely</x:t>
        </x:is>
      </x:c>
      <x:c r="AA16" s="81" t="inlineStr">
        <x:is>
          <x:t xml:space="preserve">Ancient text; Legge 1891 comparison is public domain in USA per Project Gutenberg. Verify jurisdiction for commercial publication.</x:t>
        </x:is>
      </x:c>
      <x:c r="AB16" s="81" t="inlineStr">
        <x:is>
          <x:t xml:space="preserve">Low</x:t>
        </x:is>
      </x:c>
      <x:c r="AC16" s="81" t="inlineStr">
        <x:is>
          <x:t xml:space="preserve">Giữ research vì hình ảnh đẹp nhưng rất siêu hình.</x:t>
        </x:is>
      </x:c>
      <x:c r="AD16" s="81" t="inlineStr">
        <x:is>
          <x:t xml:space="preserve">Needs editorial review</x:t>
        </x:is>
      </x:c>
      <x:c r="AE16" s="81" t="inlineStr">
        <x:is>
          <x:t xml:space="preserve">Needs semantic dedupe review</x:t>
        </x:is>
      </x:c>
      <x:c r="AF16" s="81" t="str"/>
      <x:c r="AG16" s="81" t="str"/>
      <x:c r="AH16" s="81" t="inlineStr">
        <x:is>
          <x:t xml:space="preserve">No</x:t>
        </x:is>
      </x:c>
      <x:c r="AI16" s="81" t="inlineStr">
        <x:is>
          <x:t xml:space="preserve">Not reviewed</x:t>
        </x:is>
      </x:c>
      <x:c r="AJ16" s="81" t="inlineStr">
        <x:is>
          <x:t xml:space="preserve">Research only</x:t>
        </x:is>
      </x:c>
      <x:c r="AK16" s="81" t="inlineStr">
        <x:is>
          <x:t xml:space="preserve">Research Pool</x:t>
        </x:is>
      </x:c>
      <x:c r="AL16" s="81" t="n">
        <x:v>1</x:v>
      </x:c>
      <x:c r="AM16" s="81" t="inlineStr">
        <x:is>
          <x:t xml:space="preserve">ChatGPT research</x:t>
        </x:is>
      </x:c>
      <x:c r="AN16" s="81" t="inlineStr">
        <x:is>
          <x:t xml:space="preserve">2026-09-18</x:t>
        </x:is>
      </x:c>
      <x:c r="AO16" s="81" t="inlineStr">
        <x:is>
          <x:t xml:space="preserve">Day 1 full-scope audit, chapters 1–20.</x:t>
        </x:is>
      </x:c>
      <x:c r="AP16" s="81" t="n"/>
      <x:c r="AQ16" s="81" t="n"/>
    </x:row>
    <x:row r="17">
      <x:c r="A17" s="81" t="inlineStr">
        <x:is>
          <x:t xml:space="preserve">research.laozi.ch06.016</x:t>
        </x:is>
      </x:c>
      <x:c r="B17" s="81" t="inlineStr">
        <x:is>
          <x:t xml:space="preserve">Collected</x:t>
        </x:is>
      </x:c>
      <x:c r="C17" s="81" t="inlineStr">
        <x:is>
          <x:t xml:space="preserve">Nghỉ ngơi &amp; sức khỏe tinh thần</x:t>
        </x:is>
      </x:c>
      <x:c r="D17" s="81" t="inlineStr">
        <x:is>
          <x:t xml:space="preserve">Rest / Limits / Wellbeing</x:t>
        </x:is>
      </x:c>
      <x:c r="E17" s="81" t="str"/>
      <x:c r="F17" s="81" t="inlineStr">
        <x:is>
          <x:t xml:space="preserve">Sức bền không nhất thiết đến từ gắng sức liên tục</x:t>
        </x:is>
      </x:c>
      <x:c r="G17" s="81" t="inlineStr">
        <x:is>
          <x:t xml:space="preserve">Rest</x:t>
        </x:is>
      </x:c>
      <x:c r="H17" s="81" t="inlineStr">
        <x:is>
          <x:t xml:space="preserve">Enoughness</x:t>
        </x:is>
      </x:c>
      <x:c r="I17" s="81" t="inlineStr">
        <x:is>
          <x:t xml:space="preserve">Cạn năng lượng</x:t>
        </x:is>
      </x:c>
      <x:c r="J17" s="81" t="str"/>
      <x:c r="K17" s="81" t="inlineStr">
        <x:is>
          <x:t xml:space="preserve">Reframe</x:t>
        </x:is>
      </x:c>
      <x:c r="L17" s="81" t="inlineStr">
        <x:is>
          <x:t xml:space="preserve">Permit</x:t>
        </x:is>
      </x:c>
      <x:c r="M17" s="81" t="inlineStr">
        <x:is>
          <x:t xml:space="preserve">Ẩn dụ</x:t>
        </x:is>
      </x:c>
      <x:c r="N17" s="81" t="inlineStr">
        <x:is>
          <x:t xml:space="preserve">綿綿若存，用之不勤。</x:t>
        </x:is>
      </x:c>
      <x:c r="O17" s="81" t="inlineStr">
        <x:is>
          <x:t xml:space="preserve">Classical Chinese (文言文)</x:t>
        </x:is>
      </x:c>
      <x:c r="P17" s="81" t="inlineStr">
        <x:is>
          <x:t xml:space="preserve">Nó nối dài như thể chỉ vừa đủ hiện hữu; dùng đến mà không kiệt sức.</x:t>
        </x:is>
      </x:c>
      <x:c r="Q17" s="81" t="inlineStr">
        <x:is>
          <x:t xml:space="preserve">Laozi / 老子</x:t>
        </x:is>
      </x:c>
      <x:c r="R17" s="81" t="inlineStr">
        <x:is>
          <x:t xml:space="preserve">Taoism</x:t>
        </x:is>
      </x:c>
      <x:c r="S17" s="81" t="inlineStr">
        <x:is>
          <x:t xml:space="preserve">道德經 / Tao Te Ching</x:t>
        </x:is>
      </x:c>
      <x:c r="T17" s="81" t="inlineStr">
        <x:is>
          <x:t xml:space="preserve">Chapter 6</x:t>
        </x:is>
      </x:c>
      <x:c r="U17" s="81" t="inlineStr">
        <x:is>
          <x:t xml:space="preserve">https://zh.wikisource.org/zh-hans/%E9%81%93%E5%BE%B7%E7%B6%93_(%E7%8E%8B%E5%BC%BC%E6%9C%AC)</x:t>
        </x:is>
      </x:c>
      <x:c r="V17" s="81" t="inlineStr">
        <x:is>
          <x:t xml:space="preserve">Primary text</x:t>
        </x:is>
      </x:c>
      <x:c r="W17" s="81" t="inlineStr">
        <x:is>
          <x:t xml:space="preserve">Working translation</x:t>
        </x:is>
      </x:c>
      <x:c r="X17" s="81" t="inlineStr">
        <x:is>
          <x:t xml:space="preserve">A - Primary source</x:t>
        </x:is>
      </x:c>
      <x:c r="Y17" s="81" t="inlineStr">
        <x:is>
          <x:t xml:space="preserve">Original Chinese checked against Wang Bi recension; cross-check via Chinese Text Project. Vietnamese is Selflo working translation, not published translation.</x:t>
        </x:is>
      </x:c>
      <x:c r="Z17" s="81" t="inlineStr">
        <x:is>
          <x:t xml:space="preserve">Public domain / likely</x:t>
        </x:is>
      </x:c>
      <x:c r="AA17" s="81" t="inlineStr">
        <x:is>
          <x:t xml:space="preserve">Ancient text; Legge 1891 comparison is public domain in USA per Project Gutenberg. Verify jurisdiction for commercial publication.</x:t>
        </x:is>
      </x:c>
      <x:c r="AB17" s="81" t="inlineStr">
        <x:is>
          <x:t xml:space="preserve">Medium</x:t>
        </x:is>
      </x:c>
      <x:c r="AC17" s="81" t="inlineStr">
        <x:is>
          <x:t xml:space="preserve">Có thể liên hệ sustainable effort nhưng không nên diễn giải quá xa.</x:t>
        </x:is>
      </x:c>
      <x:c r="AD17" s="81" t="inlineStr">
        <x:is>
          <x:t xml:space="preserve">Needs editorial review</x:t>
        </x:is>
      </x:c>
      <x:c r="AE17" s="81" t="inlineStr">
        <x:is>
          <x:t xml:space="preserve">Needs semantic dedupe review</x:t>
        </x:is>
      </x:c>
      <x:c r="AF17" s="81" t="str"/>
      <x:c r="AG17" s="81" t="str"/>
      <x:c r="AH17" s="81" t="inlineStr">
        <x:is>
          <x:t xml:space="preserve">No</x:t>
        </x:is>
      </x:c>
      <x:c r="AI17" s="81" t="inlineStr">
        <x:is>
          <x:t xml:space="preserve">Not reviewed</x:t>
        </x:is>
      </x:c>
      <x:c r="AJ17" s="81" t="inlineStr">
        <x:is>
          <x:t xml:space="preserve">Research only</x:t>
        </x:is>
      </x:c>
      <x:c r="AK17" s="81" t="inlineStr">
        <x:is>
          <x:t xml:space="preserve">Research Pool</x:t>
        </x:is>
      </x:c>
      <x:c r="AL17" s="81" t="n">
        <x:v>1</x:v>
      </x:c>
      <x:c r="AM17" s="81" t="inlineStr">
        <x:is>
          <x:t xml:space="preserve">ChatGPT research</x:t>
        </x:is>
      </x:c>
      <x:c r="AN17" s="81" t="inlineStr">
        <x:is>
          <x:t xml:space="preserve">2026-09-18</x:t>
        </x:is>
      </x:c>
      <x:c r="AO17" s="81" t="inlineStr">
        <x:is>
          <x:t xml:space="preserve">Day 1 full-scope audit, chapters 1–20.</x:t>
        </x:is>
      </x:c>
      <x:c r="AP17" s="81" t="n"/>
      <x:c r="AQ17" s="81" t="n"/>
    </x:row>
    <x:row r="18">
      <x:c r="A18" s="81" t="inlineStr">
        <x:is>
          <x:t xml:space="preserve">research.laozi.ch07.017</x:t>
        </x:is>
      </x:c>
      <x:c r="B18" s="81" t="inlineStr">
        <x:is>
          <x:t xml:space="preserve">Collected</x:t>
        </x:is>
      </x:c>
      <x:c r="C18" s="81" t="inlineStr">
        <x:is>
          <x:t xml:space="preserve">Ý nghĩa &amp; bản sắc</x:t>
        </x:is>
      </x:c>
      <x:c r="D18" s="81" t="inlineStr">
        <x:is>
          <x:t xml:space="preserve">Meaning / Identity / Work</x:t>
        </x:is>
      </x:c>
      <x:c r="E18" s="81" t="str"/>
      <x:c r="F18" s="81" t="inlineStr">
        <x:is>
          <x:t xml:space="preserve">Sự bền lâu được đặt trong quan hệ rộng hơn cái tôi riêng lẻ</x:t>
        </x:is>
      </x:c>
      <x:c r="G18" s="81" t="inlineStr">
        <x:is>
          <x:t xml:space="preserve">Meaning</x:t>
        </x:is>
      </x:c>
      <x:c r="H18" s="81" t="inlineStr">
        <x:is>
          <x:t xml:space="preserve">Connection</x:t>
        </x:is>
      </x:c>
      <x:c r="I18" s="81" t="inlineStr">
        <x:is>
          <x:t xml:space="preserve">Bình yên</x:t>
        </x:is>
      </x:c>
      <x:c r="J18" s="81" t="str"/>
      <x:c r="K18" s="81" t="inlineStr">
        <x:is>
          <x:t xml:space="preserve">Reframe</x:t>
        </x:is>
      </x:c>
      <x:c r="L18" s="81" t="inlineStr">
        <x:is>
          <x:t xml:space="preserve">Distinguish</x:t>
        </x:is>
      </x:c>
      <x:c r="M18" s="81" t="inlineStr">
        <x:is>
          <x:t xml:space="preserve">Trích đoạn triết học</x:t>
        </x:is>
      </x:c>
      <x:c r="N18" s="81" t="inlineStr">
        <x:is>
          <x:t xml:space="preserve">天長地久。天地所以能長且久者，以其不自生，故能長生。</x:t>
        </x:is>
      </x:c>
      <x:c r="O18" s="81" t="inlineStr">
        <x:is>
          <x:t xml:space="preserve">Classical Chinese (文言文)</x:t>
        </x:is>
      </x:c>
      <x:c r="P18" s="81" t="inlineStr">
        <x:is>
          <x:t xml:space="preserve">Trời đất lâu bền; theo đoạn này, chính vì không chỉ sống cho riêng mình nên có thể tiếp tục lâu dài.</x:t>
        </x:is>
      </x:c>
      <x:c r="Q18" s="81" t="inlineStr">
        <x:is>
          <x:t xml:space="preserve">Laozi / 老子</x:t>
        </x:is>
      </x:c>
      <x:c r="R18" s="81" t="inlineStr">
        <x:is>
          <x:t xml:space="preserve">Taoism</x:t>
        </x:is>
      </x:c>
      <x:c r="S18" s="81" t="inlineStr">
        <x:is>
          <x:t xml:space="preserve">道德經 / Tao Te Ching</x:t>
        </x:is>
      </x:c>
      <x:c r="T18" s="81" t="inlineStr">
        <x:is>
          <x:t xml:space="preserve">Chapter 7</x:t>
        </x:is>
      </x:c>
      <x:c r="U18" s="81" t="inlineStr">
        <x:is>
          <x:t xml:space="preserve">https://zh.wikisource.org/zh-hans/%E9%81%93%E5%BE%B7%E7%B6%93_(%E7%8E%8B%E5%BC%BC%E6%9C%AC)</x:t>
        </x:is>
      </x:c>
      <x:c r="V18" s="81" t="inlineStr">
        <x:is>
          <x:t xml:space="preserve">Primary text</x:t>
        </x:is>
      </x:c>
      <x:c r="W18" s="81" t="inlineStr">
        <x:is>
          <x:t xml:space="preserve">Working translation</x:t>
        </x:is>
      </x:c>
      <x:c r="X18" s="81" t="inlineStr">
        <x:is>
          <x:t xml:space="preserve">A - Primary source</x:t>
        </x:is>
      </x:c>
      <x:c r="Y18" s="81" t="inlineStr">
        <x:is>
          <x:t xml:space="preserve">Original Chinese checked against Wang Bi recension; cross-check via Chinese Text Project. Vietnamese is Selflo working translation, not published translation.</x:t>
        </x:is>
      </x:c>
      <x:c r="Z18" s="81" t="inlineStr">
        <x:is>
          <x:t xml:space="preserve">Public domain / likely</x:t>
        </x:is>
      </x:c>
      <x:c r="AA18" s="81" t="inlineStr">
        <x:is>
          <x:t xml:space="preserve">Ancient text; Legge 1891 comparison is public domain in USA per Project Gutenberg. Verify jurisdiction for commercial publication.</x:t>
        </x:is>
      </x:c>
      <x:c r="AB18" s="81" t="inlineStr">
        <x:is>
          <x:t xml:space="preserve">Low</x:t>
        </x:is>
      </x:c>
      <x:c r="AC18" s="81" t="inlineStr">
        <x:is>
          <x:t xml:space="preserve">Khá metaphysical/ethical; giữ research.</x:t>
        </x:is>
      </x:c>
      <x:c r="AD18" s="81" t="inlineStr">
        <x:is>
          <x:t xml:space="preserve">Needs editorial review</x:t>
        </x:is>
      </x:c>
      <x:c r="AE18" s="81" t="inlineStr">
        <x:is>
          <x:t xml:space="preserve">Needs semantic dedupe review</x:t>
        </x:is>
      </x:c>
      <x:c r="AF18" s="81" t="str"/>
      <x:c r="AG18" s="81" t="str"/>
      <x:c r="AH18" s="81" t="inlineStr">
        <x:is>
          <x:t xml:space="preserve">No</x:t>
        </x:is>
      </x:c>
      <x:c r="AI18" s="81" t="inlineStr">
        <x:is>
          <x:t xml:space="preserve">Not reviewed</x:t>
        </x:is>
      </x:c>
      <x:c r="AJ18" s="81" t="inlineStr">
        <x:is>
          <x:t xml:space="preserve">Research only</x:t>
        </x:is>
      </x:c>
      <x:c r="AK18" s="81" t="inlineStr">
        <x:is>
          <x:t xml:space="preserve">Research Pool</x:t>
        </x:is>
      </x:c>
      <x:c r="AL18" s="81" t="n">
        <x:v>1</x:v>
      </x:c>
      <x:c r="AM18" s="81" t="inlineStr">
        <x:is>
          <x:t xml:space="preserve">ChatGPT research</x:t>
        </x:is>
      </x:c>
      <x:c r="AN18" s="81" t="inlineStr">
        <x:is>
          <x:t xml:space="preserve">2026-09-18</x:t>
        </x:is>
      </x:c>
      <x:c r="AO18" s="81" t="inlineStr">
        <x:is>
          <x:t xml:space="preserve">Day 1 full-scope audit, chapters 1–20.</x:t>
        </x:is>
      </x:c>
      <x:c r="AP18" s="81" t="n"/>
      <x:c r="AQ18" s="81" t="n"/>
    </x:row>
    <x:row r="19">
      <x:c r="A19" s="81" t="inlineStr">
        <x:is>
          <x:t xml:space="preserve">research.laozi.ch07.018</x:t>
        </x:is>
      </x:c>
      <x:c r="B19" s="81" t="inlineStr">
        <x:is>
          <x:t xml:space="preserve">Collected</x:t>
        </x:is>
      </x:c>
      <x:c r="C19" s="81" t="inlineStr">
        <x:is>
          <x:t xml:space="preserve">Quan hệ</x:t>
        </x:is>
      </x:c>
      <x:c r="D19" s="81" t="inlineStr">
        <x:is>
          <x:t xml:space="preserve">Relationships / Boundaries / Connection</x:t>
        </x:is>
      </x:c>
      <x:c r="E19" s="81" t="str"/>
      <x:c r="F19" s="81" t="inlineStr">
        <x:is>
          <x:t xml:space="preserve">Nghịch lý giữa tự đặt mình làm trung tâm và vị trí thực sự của mình</x:t>
        </x:is>
      </x:c>
      <x:c r="G19" s="81" t="inlineStr">
        <x:is>
          <x:t xml:space="preserve">Connection</x:t>
        </x:is>
      </x:c>
      <x:c r="H19" s="81" t="inlineStr">
        <x:is>
          <x:t xml:space="preserve">Agency</x:t>
        </x:is>
      </x:c>
      <x:c r="I19" s="81" t="inlineStr">
        <x:is>
          <x:t xml:space="preserve">Bình yên</x:t>
        </x:is>
      </x:c>
      <x:c r="J19" s="81" t="str"/>
      <x:c r="K19" s="81" t="inlineStr">
        <x:is>
          <x:t xml:space="preserve">Reframe</x:t>
        </x:is>
      </x:c>
      <x:c r="L19" s="81" t="inlineStr">
        <x:is>
          <x:t xml:space="preserve">Distinguish</x:t>
        </x:is>
      </x:c>
      <x:c r="M19" s="81" t="inlineStr">
        <x:is>
          <x:t xml:space="preserve">Nghịch lý</x:t>
        </x:is>
      </x:c>
      <x:c r="N19" s="81" t="inlineStr">
        <x:is>
          <x:t xml:space="preserve">後其身而身先；外其身而身存。</x:t>
        </x:is>
      </x:c>
      <x:c r="O19" s="81" t="inlineStr">
        <x:is>
          <x:t xml:space="preserve">Classical Chinese (文言文)</x:t>
        </x:is>
      </x:c>
      <x:c r="P19" s="81" t="inlineStr">
        <x:is>
          <x:t xml:space="preserve">Đặt mình ra sau mà lại ở trước; không ôm chặt lấy mình mà mình lại được giữ lại.</x:t>
        </x:is>
      </x:c>
      <x:c r="Q19" s="81" t="inlineStr">
        <x:is>
          <x:t xml:space="preserve">Laozi / 老子</x:t>
        </x:is>
      </x:c>
      <x:c r="R19" s="81" t="inlineStr">
        <x:is>
          <x:t xml:space="preserve">Taoism</x:t>
        </x:is>
      </x:c>
      <x:c r="S19" s="81" t="inlineStr">
        <x:is>
          <x:t xml:space="preserve">道德經 / Tao Te Ching</x:t>
        </x:is>
      </x:c>
      <x:c r="T19" s="81" t="inlineStr">
        <x:is>
          <x:t xml:space="preserve">Chapter 7</x:t>
        </x:is>
      </x:c>
      <x:c r="U19" s="81" t="inlineStr">
        <x:is>
          <x:t xml:space="preserve">https://zh.wikisource.org/zh-hans/%E9%81%93%E5%BE%B7%E7%B6%93_(%E7%8E%8B%E5%BC%BC%E6%9C%AC)</x:t>
        </x:is>
      </x:c>
      <x:c r="V19" s="81" t="inlineStr">
        <x:is>
          <x:t xml:space="preserve">Primary text</x:t>
        </x:is>
      </x:c>
      <x:c r="W19" s="81" t="inlineStr">
        <x:is>
          <x:t xml:space="preserve">Working translation</x:t>
        </x:is>
      </x:c>
      <x:c r="X19" s="81" t="inlineStr">
        <x:is>
          <x:t xml:space="preserve">A - Primary source</x:t>
        </x:is>
      </x:c>
      <x:c r="Y19" s="81" t="inlineStr">
        <x:is>
          <x:t xml:space="preserve">Original Chinese checked against Wang Bi recension; cross-check via Chinese Text Project. Vietnamese is Selflo working translation, not published translation.</x:t>
        </x:is>
      </x:c>
      <x:c r="Z19" s="81" t="inlineStr">
        <x:is>
          <x:t xml:space="preserve">Public domain / likely</x:t>
        </x:is>
      </x:c>
      <x:c r="AA19" s="81" t="inlineStr">
        <x:is>
          <x:t xml:space="preserve">Ancient text; Legge 1891 comparison is public domain in USA per Project Gutenberg. Verify jurisdiction for commercial publication.</x:t>
        </x:is>
      </x:c>
      <x:c r="AB19" s="81" t="inlineStr">
        <x:is>
          <x:t xml:space="preserve">Medium</x:t>
        </x:is>
      </x:c>
      <x:c r="AC19" s="81" t="inlineStr">
        <x:is>
          <x:t xml:space="preserve">Không dùng để khuyến khích self-sacrifice.</x:t>
        </x:is>
      </x:c>
      <x:c r="AD19" s="81" t="inlineStr">
        <x:is>
          <x:t xml:space="preserve">Needs editorial review</x:t>
        </x:is>
      </x:c>
      <x:c r="AE19" s="81" t="inlineStr">
        <x:is>
          <x:t xml:space="preserve">Needs semantic dedupe review</x:t>
        </x:is>
      </x:c>
      <x:c r="AF19" s="81" t="str"/>
      <x:c r="AG19" s="81" t="str"/>
      <x:c r="AH19" s="81" t="inlineStr">
        <x:is>
          <x:t xml:space="preserve">No</x:t>
        </x:is>
      </x:c>
      <x:c r="AI19" s="81" t="inlineStr">
        <x:is>
          <x:t xml:space="preserve">Not reviewed</x:t>
        </x:is>
      </x:c>
      <x:c r="AJ19" s="81" t="inlineStr">
        <x:is>
          <x:t xml:space="preserve">Research only</x:t>
        </x:is>
      </x:c>
      <x:c r="AK19" s="81" t="inlineStr">
        <x:is>
          <x:t xml:space="preserve">Research Pool</x:t>
        </x:is>
      </x:c>
      <x:c r="AL19" s="81" t="n">
        <x:v>1</x:v>
      </x:c>
      <x:c r="AM19" s="81" t="inlineStr">
        <x:is>
          <x:t xml:space="preserve">ChatGPT research</x:t>
        </x:is>
      </x:c>
      <x:c r="AN19" s="81" t="inlineStr">
        <x:is>
          <x:t xml:space="preserve">2026-09-18</x:t>
        </x:is>
      </x:c>
      <x:c r="AO19" s="81" t="inlineStr">
        <x:is>
          <x:t xml:space="preserve">Day 1 full-scope audit, chapters 1–20.</x:t>
        </x:is>
      </x:c>
      <x:c r="AP19" s="81" t="n"/>
      <x:c r="AQ19" s="81" t="n"/>
    </x:row>
    <x:row r="20">
      <x:c r="A20" s="81" t="inlineStr">
        <x:is>
          <x:t xml:space="preserve">research.laozi.ch08.019</x:t>
        </x:is>
      </x:c>
      <x:c r="B20" s="81" t="inlineStr">
        <x:is>
          <x:t xml:space="preserve">Collected</x:t>
        </x:is>
      </x:c>
      <x:c r="C20" s="81" t="inlineStr">
        <x:is>
          <x:t xml:space="preserve">Nội tâm &amp; hiểu mình</x:t>
        </x:is>
      </x:c>
      <x:c r="D20" s="81" t="inlineStr">
        <x:is>
          <x:t xml:space="preserve">Change / Impermanence / Recovery</x:t>
        </x:is>
      </x:c>
      <x:c r="E20" s="81" t="str"/>
      <x:c r="F20" s="81" t="inlineStr">
        <x:is>
          <x:t xml:space="preserve">Nước như hình ảnh của mềm mại và thích nghi</x:t>
        </x:is>
      </x:c>
      <x:c r="G20" s="81" t="inlineStr">
        <x:is>
          <x:t xml:space="preserve">Change</x:t>
        </x:is>
      </x:c>
      <x:c r="H20" s="81" t="inlineStr">
        <x:is>
          <x:t xml:space="preserve">Simplicity</x:t>
        </x:is>
      </x:c>
      <x:c r="I20" s="81" t="inlineStr">
        <x:is>
          <x:t xml:space="preserve">Bình yên</x:t>
        </x:is>
      </x:c>
      <x:c r="J20" s="81" t="str"/>
      <x:c r="K20" s="81" t="inlineStr">
        <x:is>
          <x:t xml:space="preserve">Reframe</x:t>
        </x:is>
      </x:c>
      <x:c r="L20" s="81" t="inlineStr">
        <x:is>
          <x:t xml:space="preserve">Recognize</x:t>
        </x:is>
      </x:c>
      <x:c r="M20" s="81" t="inlineStr">
        <x:is>
          <x:t xml:space="preserve">Ẩn dụ</x:t>
        </x:is>
      </x:c>
      <x:c r="N20" s="81" t="inlineStr">
        <x:is>
          <x:t xml:space="preserve">上善若水。</x:t>
        </x:is>
      </x:c>
      <x:c r="O20" s="81" t="inlineStr">
        <x:is>
          <x:t xml:space="preserve">Classical Chinese (文言文)</x:t>
        </x:is>
      </x:c>
      <x:c r="P20" s="81" t="inlineStr">
        <x:is>
          <x:t xml:space="preserve">Điều thiện cao nhất được ví như nước.</x:t>
        </x:is>
      </x:c>
      <x:c r="Q20" s="81" t="inlineStr">
        <x:is>
          <x:t xml:space="preserve">Laozi / 老子</x:t>
        </x:is>
      </x:c>
      <x:c r="R20" s="81" t="inlineStr">
        <x:is>
          <x:t xml:space="preserve">Taoism</x:t>
        </x:is>
      </x:c>
      <x:c r="S20" s="81" t="inlineStr">
        <x:is>
          <x:t xml:space="preserve">道德經 / Tao Te Ching</x:t>
        </x:is>
      </x:c>
      <x:c r="T20" s="81" t="inlineStr">
        <x:is>
          <x:t xml:space="preserve">Chapter 8</x:t>
        </x:is>
      </x:c>
      <x:c r="U20" s="81" t="inlineStr">
        <x:is>
          <x:t xml:space="preserve">https://zh.wikisource.org/zh-hans/%E9%81%93%E5%BE%B7%E7%B6%93_(%E7%8E%8B%E5%BC%BC%E6%9C%AC)</x:t>
        </x:is>
      </x:c>
      <x:c r="V20" s="81" t="inlineStr">
        <x:is>
          <x:t xml:space="preserve">Primary text</x:t>
        </x:is>
      </x:c>
      <x:c r="W20" s="81" t="inlineStr">
        <x:is>
          <x:t xml:space="preserve">Working translation</x:t>
        </x:is>
      </x:c>
      <x:c r="X20" s="81" t="inlineStr">
        <x:is>
          <x:t xml:space="preserve">A - Primary source</x:t>
        </x:is>
      </x:c>
      <x:c r="Y20" s="81" t="inlineStr">
        <x:is>
          <x:t xml:space="preserve">Original Chinese checked against Wang Bi recension; cross-check via Chinese Text Project. Vietnamese is Selflo working translation, not published translation.</x:t>
        </x:is>
      </x:c>
      <x:c r="Z20" s="81" t="inlineStr">
        <x:is>
          <x:t xml:space="preserve">Public domain / likely</x:t>
        </x:is>
      </x:c>
      <x:c r="AA20" s="81" t="inlineStr">
        <x:is>
          <x:t xml:space="preserve">Ancient text; Legge 1891 comparison is public domain in USA per Project Gutenberg. Verify jurisdiction for commercial publication.</x:t>
        </x:is>
      </x:c>
      <x:c r="AB20" s="81" t="inlineStr">
        <x:is>
          <x:t xml:space="preserve">Medium</x:t>
        </x:is>
      </x:c>
      <x:c r="AC20" s="81" t="inlineStr">
        <x:is>
          <x:t xml:space="preserve">Quá ngắn nếu đứng riêng; nên gắn passage.</x:t>
        </x:is>
      </x:c>
      <x:c r="AD20" s="81" t="inlineStr">
        <x:is>
          <x:t xml:space="preserve">Needs editorial review</x:t>
        </x:is>
      </x:c>
      <x:c r="AE20" s="81" t="inlineStr">
        <x:is>
          <x:t xml:space="preserve">Needs semantic dedupe review</x:t>
        </x:is>
      </x:c>
      <x:c r="AF20" s="81" t="str"/>
      <x:c r="AG20" s="81" t="str"/>
      <x:c r="AH20" s="81" t="inlineStr">
        <x:is>
          <x:t xml:space="preserve">No</x:t>
        </x:is>
      </x:c>
      <x:c r="AI20" s="81" t="inlineStr">
        <x:is>
          <x:t xml:space="preserve">Not reviewed</x:t>
        </x:is>
      </x:c>
      <x:c r="AJ20" s="81" t="inlineStr">
        <x:is>
          <x:t xml:space="preserve">Research only</x:t>
        </x:is>
      </x:c>
      <x:c r="AK20" s="81" t="inlineStr">
        <x:is>
          <x:t xml:space="preserve">Research Pool</x:t>
        </x:is>
      </x:c>
      <x:c r="AL20" s="81" t="n">
        <x:v>1</x:v>
      </x:c>
      <x:c r="AM20" s="81" t="inlineStr">
        <x:is>
          <x:t xml:space="preserve">ChatGPT research</x:t>
        </x:is>
      </x:c>
      <x:c r="AN20" s="81" t="inlineStr">
        <x:is>
          <x:t xml:space="preserve">2026-09-18</x:t>
        </x:is>
      </x:c>
      <x:c r="AO20" s="81" t="inlineStr">
        <x:is>
          <x:t xml:space="preserve">Day 1 full-scope audit, chapters 1–20.</x:t>
        </x:is>
      </x:c>
      <x:c r="AP20" s="81" t="n"/>
      <x:c r="AQ20" s="81" t="n"/>
    </x:row>
    <x:row r="21">
      <x:c r="A21" s="81" t="inlineStr">
        <x:is>
          <x:t xml:space="preserve">research.laozi.ch08.020</x:t>
        </x:is>
      </x:c>
      <x:c r="B21" s="81" t="inlineStr">
        <x:is>
          <x:t xml:space="preserve">Collected</x:t>
        </x:is>
      </x:c>
      <x:c r="C21" s="81" t="inlineStr">
        <x:is>
          <x:t xml:space="preserve">Quan hệ</x:t>
        </x:is>
      </x:c>
      <x:c r="D21" s="81" t="inlineStr">
        <x:is>
          <x:t xml:space="preserve">Relationships / Boundaries / Connection</x:t>
        </x:is>
      </x:c>
      <x:c r="E21" s="81" t="str"/>
      <x:c r="F21" s="81" t="inlineStr">
        <x:is>
          <x:t xml:space="preserve">Có ích mà không nhất thiết cạnh tranh để đứng cao hơn</x:t>
        </x:is>
      </x:c>
      <x:c r="G21" s="81" t="inlineStr">
        <x:is>
          <x:t xml:space="preserve">Connection</x:t>
        </x:is>
      </x:c>
      <x:c r="H21" s="81" t="inlineStr">
        <x:is>
          <x:t xml:space="preserve">Comparison</x:t>
        </x:is>
      </x:c>
      <x:c r="I21" s="81" t="inlineStr">
        <x:is>
          <x:t xml:space="preserve">Bình yên</x:t>
        </x:is>
      </x:c>
      <x:c r="J21" s="81" t="str"/>
      <x:c r="K21" s="81" t="inlineStr">
        <x:is>
          <x:t xml:space="preserve">Reframe</x:t>
        </x:is>
      </x:c>
      <x:c r="L21" s="81" t="inlineStr">
        <x:is>
          <x:t xml:space="preserve">Distinguish</x:t>
        </x:is>
      </x:c>
      <x:c r="M21" s="81" t="inlineStr">
        <x:is>
          <x:t xml:space="preserve">Ẩn dụ</x:t>
        </x:is>
      </x:c>
      <x:c r="N21" s="81" t="inlineStr">
        <x:is>
          <x:t xml:space="preserve">水善利萬物而不爭，處眾人之所惡，故幾於道。</x:t>
        </x:is>
      </x:c>
      <x:c r="O21" s="81" t="inlineStr">
        <x:is>
          <x:t xml:space="preserve">Classical Chinese (文言文)</x:t>
        </x:is>
      </x:c>
      <x:c r="P21" s="81" t="inlineStr">
        <x:is>
          <x:t xml:space="preserve">Nước nuôi lợi muôn vật mà không tranh; nó ở những nơi người khác thường tránh, nên được xem là gần với Đạo.</x:t>
        </x:is>
      </x:c>
      <x:c r="Q21" s="81" t="inlineStr">
        <x:is>
          <x:t xml:space="preserve">Laozi / 老子</x:t>
        </x:is>
      </x:c>
      <x:c r="R21" s="81" t="inlineStr">
        <x:is>
          <x:t xml:space="preserve">Taoism</x:t>
        </x:is>
      </x:c>
      <x:c r="S21" s="81" t="inlineStr">
        <x:is>
          <x:t xml:space="preserve">道德經 / Tao Te Ching</x:t>
        </x:is>
      </x:c>
      <x:c r="T21" s="81" t="inlineStr">
        <x:is>
          <x:t xml:space="preserve">Chapter 8</x:t>
        </x:is>
      </x:c>
      <x:c r="U21" s="81" t="inlineStr">
        <x:is>
          <x:t xml:space="preserve">https://zh.wikisource.org/zh-hans/%E9%81%93%E5%BE%B7%E7%B6%93_(%E7%8E%8B%E5%BC%BC%E6%9C%AC)</x:t>
        </x:is>
      </x:c>
      <x:c r="V21" s="81" t="inlineStr">
        <x:is>
          <x:t xml:space="preserve">Primary text</x:t>
        </x:is>
      </x:c>
      <x:c r="W21" s="81" t="inlineStr">
        <x:is>
          <x:t xml:space="preserve">Working translation</x:t>
        </x:is>
      </x:c>
      <x:c r="X21" s="81" t="inlineStr">
        <x:is>
          <x:t xml:space="preserve">A - Primary source</x:t>
        </x:is>
      </x:c>
      <x:c r="Y21" s="81" t="inlineStr">
        <x:is>
          <x:t xml:space="preserve">Original Chinese checked against Wang Bi recension; cross-check via Chinese Text Project. Vietnamese is Selflo working translation, not published translation.</x:t>
        </x:is>
      </x:c>
      <x:c r="Z21" s="81" t="inlineStr">
        <x:is>
          <x:t xml:space="preserve">Public domain / likely</x:t>
        </x:is>
      </x:c>
      <x:c r="AA21" s="81" t="inlineStr">
        <x:is>
          <x:t xml:space="preserve">Ancient text; Legge 1891 comparison is public domain in USA per Project Gutenberg. Verify jurisdiction for commercial publication.</x:t>
        </x:is>
      </x:c>
      <x:c r="AB21" s="81" t="inlineStr">
        <x:is>
          <x:t xml:space="preserve">High</x:t>
        </x:is>
      </x:c>
      <x:c r="AC21" s="81" t="inlineStr">
        <x:is>
          <x:t xml:space="preserve">Mạnh nhưng cần tránh biến thành khuyên chịu thấp kém.</x:t>
        </x:is>
      </x:c>
      <x:c r="AD21" s="81" t="inlineStr">
        <x:is>
          <x:t xml:space="preserve">Needs editorial review</x:t>
        </x:is>
      </x:c>
      <x:c r="AE21" s="81" t="inlineStr">
        <x:is>
          <x:t xml:space="preserve">Needs semantic dedupe review</x:t>
        </x:is>
      </x:c>
      <x:c r="AF21" s="81" t="str"/>
      <x:c r="AG21" s="81" t="str"/>
      <x:c r="AH21" s="81" t="inlineStr">
        <x:is>
          <x:t xml:space="preserve">No</x:t>
        </x:is>
      </x:c>
      <x:c r="AI21" s="81" t="inlineStr">
        <x:is>
          <x:t xml:space="preserve">Not reviewed</x:t>
        </x:is>
      </x:c>
      <x:c r="AJ21" s="81" t="inlineStr">
        <x:is>
          <x:t xml:space="preserve">Research only</x:t>
        </x:is>
      </x:c>
      <x:c r="AK21" s="81" t="inlineStr">
        <x:is>
          <x:t xml:space="preserve">Research Pool</x:t>
        </x:is>
      </x:c>
      <x:c r="AL21" s="81" t="n">
        <x:v>1</x:v>
      </x:c>
      <x:c r="AM21" s="81" t="inlineStr">
        <x:is>
          <x:t xml:space="preserve">ChatGPT research</x:t>
        </x:is>
      </x:c>
      <x:c r="AN21" s="81" t="inlineStr">
        <x:is>
          <x:t xml:space="preserve">2026-09-18</x:t>
        </x:is>
      </x:c>
      <x:c r="AO21" s="81" t="inlineStr">
        <x:is>
          <x:t xml:space="preserve">Day 1 full-scope audit, chapters 1–20.</x:t>
        </x:is>
      </x:c>
      <x:c r="AP21" s="81" t="n"/>
      <x:c r="AQ21" s="81" t="n"/>
    </x:row>
    <x:row r="22">
      <x:c r="A22" s="81" t="inlineStr">
        <x:is>
          <x:t xml:space="preserve">research.laozi.ch08.021</x:t>
        </x:is>
      </x:c>
      <x:c r="B22" s="81" t="inlineStr">
        <x:is>
          <x:t xml:space="preserve">Collected</x:t>
        </x:is>
      </x:c>
      <x:c r="C22" s="81" t="inlineStr">
        <x:is>
          <x:t xml:space="preserve">Công việc &amp; mục đích</x:t>
        </x:is>
      </x:c>
      <x:c r="D22" s="81" t="inlineStr">
        <x:is>
          <x:t xml:space="preserve">Uncertainty / Choice / Agency</x:t>
        </x:is>
      </x:c>
      <x:c r="E22" s="81" t="str"/>
      <x:c r="F22" s="81" t="inlineStr">
        <x:is>
          <x:t xml:space="preserve">Một hành động phù hợp còn tùy nơi, người, năng lực và thời điểm</x:t>
        </x:is>
      </x:c>
      <x:c r="G22" s="81" t="inlineStr">
        <x:is>
          <x:t xml:space="preserve">Values</x:t>
        </x:is>
      </x:c>
      <x:c r="H22" s="81" t="inlineStr">
        <x:is>
          <x:t xml:space="preserve">Judgment</x:t>
        </x:is>
      </x:c>
      <x:c r="I22" s="81" t="inlineStr">
        <x:is>
          <x:t xml:space="preserve">Bối rối</x:t>
        </x:is>
      </x:c>
      <x:c r="J22" s="81" t="str"/>
      <x:c r="K22" s="81" t="inlineStr">
        <x:is>
          <x:t xml:space="preserve">Distinguish</x:t>
        </x:is>
      </x:c>
      <x:c r="L22" s="81" t="inlineStr">
        <x:is>
          <x:t xml:space="preserve">Return agency</x:t>
        </x:is>
      </x:c>
      <x:c r="M22" s="81" t="inlineStr">
        <x:is>
          <x:t xml:space="preserve">Trích đoạn triết học</x:t>
        </x:is>
      </x:c>
      <x:c r="N22" s="81" t="inlineStr">
        <x:is>
          <x:t xml:space="preserve">居善地，心善淵，與善仁，言善信，正善治，事善能，動善時。</x:t>
        </x:is>
      </x:c>
      <x:c r="O22" s="81" t="inlineStr">
        <x:is>
          <x:t xml:space="preserve">Classical Chinese (文言文)</x:t>
        </x:is>
      </x:c>
      <x:c r="P22" s="81" t="inlineStr">
        <x:is>
          <x:t xml:space="preserve">Ở thì hợp nơi; lòng thì sâu; kết giao thì nhân hậu; lời nói thì đáng tin; quản trị thì có trật tự; làm việc thì có năng lực; hành động thì hợp thời.</x:t>
        </x:is>
      </x:c>
      <x:c r="Q22" s="81" t="inlineStr">
        <x:is>
          <x:t xml:space="preserve">Laozi / 老子</x:t>
        </x:is>
      </x:c>
      <x:c r="R22" s="81" t="inlineStr">
        <x:is>
          <x:t xml:space="preserve">Taoism</x:t>
        </x:is>
      </x:c>
      <x:c r="S22" s="81" t="inlineStr">
        <x:is>
          <x:t xml:space="preserve">道德經 / Tao Te Ching</x:t>
        </x:is>
      </x:c>
      <x:c r="T22" s="81" t="inlineStr">
        <x:is>
          <x:t xml:space="preserve">Chapter 8</x:t>
        </x:is>
      </x:c>
      <x:c r="U22" s="81" t="inlineStr">
        <x:is>
          <x:t xml:space="preserve">https://zh.wikisource.org/zh-hans/%E9%81%93%E5%BE%B7%E7%B6%93_(%E7%8E%8B%E5%BC%BC%E6%9C%AC)</x:t>
        </x:is>
      </x:c>
      <x:c r="V22" s="81" t="inlineStr">
        <x:is>
          <x:t xml:space="preserve">Primary text</x:t>
        </x:is>
      </x:c>
      <x:c r="W22" s="81" t="inlineStr">
        <x:is>
          <x:t xml:space="preserve">Working translation</x:t>
        </x:is>
      </x:c>
      <x:c r="X22" s="81" t="inlineStr">
        <x:is>
          <x:t xml:space="preserve">A - Primary source</x:t>
        </x:is>
      </x:c>
      <x:c r="Y22" s="81" t="inlineStr">
        <x:is>
          <x:t xml:space="preserve">Original Chinese checked against Wang Bi recension; cross-check via Chinese Text Project. Vietnamese is Selflo working translation, not published translation.</x:t>
        </x:is>
      </x:c>
      <x:c r="Z22" s="81" t="inlineStr">
        <x:is>
          <x:t xml:space="preserve">Public domain / likely</x:t>
        </x:is>
      </x:c>
      <x:c r="AA22" s="81" t="inlineStr">
        <x:is>
          <x:t xml:space="preserve">Ancient text; Legge 1891 comparison is public domain in USA per Project Gutenberg. Verify jurisdiction for commercial publication.</x:t>
        </x:is>
      </x:c>
      <x:c r="AB22" s="81" t="inlineStr">
        <x:is>
          <x:t xml:space="preserve">Medium</x:t>
        </x:is>
      </x:c>
      <x:c r="AC22" s="81" t="inlineStr">
        <x:is>
          <x:t xml:space="preserve">Có cấu trúc list; không nhất thiết hợp feed quote.</x:t>
        </x:is>
      </x:c>
      <x:c r="AD22" s="81" t="inlineStr">
        <x:is>
          <x:t xml:space="preserve">Needs editorial review</x:t>
        </x:is>
      </x:c>
      <x:c r="AE22" s="81" t="inlineStr">
        <x:is>
          <x:t xml:space="preserve">Needs semantic dedupe review</x:t>
        </x:is>
      </x:c>
      <x:c r="AF22" s="81" t="str"/>
      <x:c r="AG22" s="81" t="str"/>
      <x:c r="AH22" s="81" t="inlineStr">
        <x:is>
          <x:t xml:space="preserve">No</x:t>
        </x:is>
      </x:c>
      <x:c r="AI22" s="81" t="inlineStr">
        <x:is>
          <x:t xml:space="preserve">Not reviewed</x:t>
        </x:is>
      </x:c>
      <x:c r="AJ22" s="81" t="inlineStr">
        <x:is>
          <x:t xml:space="preserve">Research only</x:t>
        </x:is>
      </x:c>
      <x:c r="AK22" s="81" t="inlineStr">
        <x:is>
          <x:t xml:space="preserve">Research Pool</x:t>
        </x:is>
      </x:c>
      <x:c r="AL22" s="81" t="n">
        <x:v>1</x:v>
      </x:c>
      <x:c r="AM22" s="81" t="inlineStr">
        <x:is>
          <x:t xml:space="preserve">ChatGPT research</x:t>
        </x:is>
      </x:c>
      <x:c r="AN22" s="81" t="inlineStr">
        <x:is>
          <x:t xml:space="preserve">2026-09-18</x:t>
        </x:is>
      </x:c>
      <x:c r="AO22" s="81" t="inlineStr">
        <x:is>
          <x:t xml:space="preserve">Day 1 full-scope audit, chapters 1–20.</x:t>
        </x:is>
      </x:c>
      <x:c r="AP22" s="81" t="n"/>
      <x:c r="AQ22" s="81" t="n"/>
    </x:row>
    <x:row r="23">
      <x:c r="A23" s="81" t="inlineStr">
        <x:is>
          <x:t xml:space="preserve">research.laozi.ch09.022</x:t>
        </x:is>
      </x:c>
      <x:c r="B23" s="81" t="inlineStr">
        <x:is>
          <x:t xml:space="preserve">Collected</x:t>
        </x:is>
      </x:c>
      <x:c r="C23" s="81" t="inlineStr">
        <x:is>
          <x:t xml:space="preserve">Nghỉ ngơi &amp; sức khỏe tinh thần</x:t>
        </x:is>
      </x:c>
      <x:c r="D23" s="81" t="inlineStr">
        <x:is>
          <x:t xml:space="preserve">Rest / Limits / Wellbeing</x:t>
        </x:is>
      </x:c>
      <x:c r="E23" s="81" t="str"/>
      <x:c r="F23" s="81" t="inlineStr">
        <x:is>
          <x:t xml:space="preserve">Tiếp tục thêm không phải lúc nào cũng tốt hơn</x:t>
        </x:is>
      </x:c>
      <x:c r="G23" s="81" t="inlineStr">
        <x:is>
          <x:t xml:space="preserve">Enoughness</x:t>
        </x:is>
      </x:c>
      <x:c r="H23" s="81" t="inlineStr">
        <x:is>
          <x:t xml:space="preserve">Rest</x:t>
        </x:is>
      </x:c>
      <x:c r="I23" s="81" t="inlineStr">
        <x:is>
          <x:t xml:space="preserve">Quá tải</x:t>
        </x:is>
      </x:c>
      <x:c r="J23" s="81" t="str"/>
      <x:c r="K23" s="81" t="inlineStr">
        <x:is>
          <x:t xml:space="preserve">Distinguish</x:t>
        </x:is>
      </x:c>
      <x:c r="L23" s="81" t="inlineStr">
        <x:is>
          <x:t xml:space="preserve">Permit</x:t>
        </x:is>
      </x:c>
      <x:c r="M23" s="81" t="inlineStr">
        <x:is>
          <x:t xml:space="preserve">Ẩn dụ</x:t>
        </x:is>
      </x:c>
      <x:c r="N23" s="81" t="inlineStr">
        <x:is>
          <x:t xml:space="preserve">持而盈之，不如其已。</x:t>
        </x:is>
      </x:c>
      <x:c r="O23" s="81" t="inlineStr">
        <x:is>
          <x:t xml:space="preserve">Classical Chinese (文言文)</x:t>
        </x:is>
      </x:c>
      <x:c r="P23" s="81" t="inlineStr">
        <x:is>
          <x:t xml:space="preserve">Cứ giữ cho đầy mãi, không bằng biết lúc dừng.</x:t>
        </x:is>
      </x:c>
      <x:c r="Q23" s="81" t="inlineStr">
        <x:is>
          <x:t xml:space="preserve">Laozi / 老子</x:t>
        </x:is>
      </x:c>
      <x:c r="R23" s="81" t="inlineStr">
        <x:is>
          <x:t xml:space="preserve">Taoism</x:t>
        </x:is>
      </x:c>
      <x:c r="S23" s="81" t="inlineStr">
        <x:is>
          <x:t xml:space="preserve">道德經 / Tao Te Ching</x:t>
        </x:is>
      </x:c>
      <x:c r="T23" s="81" t="inlineStr">
        <x:is>
          <x:t xml:space="preserve">Chapter 9</x:t>
        </x:is>
      </x:c>
      <x:c r="U23" s="81" t="inlineStr">
        <x:is>
          <x:t xml:space="preserve">https://zh.wikisource.org/zh-hans/%E9%81%93%E5%BE%B7%E7%B6%93_(%E7%8E%8B%E5%BC%BC%E6%9C%AC)</x:t>
        </x:is>
      </x:c>
      <x:c r="V23" s="81" t="inlineStr">
        <x:is>
          <x:t xml:space="preserve">Primary text</x:t>
        </x:is>
      </x:c>
      <x:c r="W23" s="81" t="inlineStr">
        <x:is>
          <x:t xml:space="preserve">Working translation</x:t>
        </x:is>
      </x:c>
      <x:c r="X23" s="81" t="inlineStr">
        <x:is>
          <x:t xml:space="preserve">A - Primary source</x:t>
        </x:is>
      </x:c>
      <x:c r="Y23" s="81" t="inlineStr">
        <x:is>
          <x:t xml:space="preserve">Original Chinese checked against Wang Bi recension; cross-check via Chinese Text Project. Vietnamese is Selflo working translation, not published translation.</x:t>
        </x:is>
      </x:c>
      <x:c r="Z23" s="81" t="inlineStr">
        <x:is>
          <x:t xml:space="preserve">Public domain / likely</x:t>
        </x:is>
      </x:c>
      <x:c r="AA23" s="81" t="inlineStr">
        <x:is>
          <x:t xml:space="preserve">Ancient text; Legge 1891 comparison is public domain in USA per Project Gutenberg. Verify jurisdiction for commercial publication.</x:t>
        </x:is>
      </x:c>
      <x:c r="AB23" s="81" t="inlineStr">
        <x:is>
          <x:t xml:space="preserve">High</x:t>
        </x:is>
      </x:c>
      <x:c r="AC23" s="81" t="inlineStr">
        <x:is>
          <x:t xml:space="preserve">Candidate mạnh.</x:t>
        </x:is>
      </x:c>
      <x:c r="AD23" s="81" t="inlineStr">
        <x:is>
          <x:t xml:space="preserve">Needs editorial review</x:t>
        </x:is>
      </x:c>
      <x:c r="AE23" s="81" t="inlineStr">
        <x:is>
          <x:t xml:space="preserve">Needs semantic dedupe review</x:t>
        </x:is>
      </x:c>
      <x:c r="AF23" s="81" t="str"/>
      <x:c r="AG23" s="81" t="str"/>
      <x:c r="AH23" s="81" t="inlineStr">
        <x:is>
          <x:t xml:space="preserve">No</x:t>
        </x:is>
      </x:c>
      <x:c r="AI23" s="81" t="inlineStr">
        <x:is>
          <x:t xml:space="preserve">Not reviewed</x:t>
        </x:is>
      </x:c>
      <x:c r="AJ23" s="81" t="inlineStr">
        <x:is>
          <x:t xml:space="preserve">Research only</x:t>
        </x:is>
      </x:c>
      <x:c r="AK23" s="81" t="inlineStr">
        <x:is>
          <x:t xml:space="preserve">Research Pool</x:t>
        </x:is>
      </x:c>
      <x:c r="AL23" s="81" t="n">
        <x:v>1</x:v>
      </x:c>
      <x:c r="AM23" s="81" t="inlineStr">
        <x:is>
          <x:t xml:space="preserve">ChatGPT research</x:t>
        </x:is>
      </x:c>
      <x:c r="AN23" s="81" t="inlineStr">
        <x:is>
          <x:t xml:space="preserve">2026-09-18</x:t>
        </x:is>
      </x:c>
      <x:c r="AO23" s="81" t="inlineStr">
        <x:is>
          <x:t xml:space="preserve">Day 1 full-scope audit, chapters 1–20.</x:t>
        </x:is>
      </x:c>
      <x:c r="AP23" s="81" t="n"/>
      <x:c r="AQ23" s="81" t="n"/>
    </x:row>
    <x:row r="24">
      <x:c r="A24" s="81" t="inlineStr">
        <x:is>
          <x:t xml:space="preserve">research.laozi.ch09.023</x:t>
        </x:is>
      </x:c>
      <x:c r="B24" s="81" t="inlineStr">
        <x:is>
          <x:t xml:space="preserve">Collected</x:t>
        </x:is>
      </x:c>
      <x:c r="C24" s="81" t="inlineStr">
        <x:is>
          <x:t xml:space="preserve">Nghỉ ngơi &amp; sức khỏe tinh thần</x:t>
        </x:is>
      </x:c>
      <x:c r="D24" s="81" t="inlineStr">
        <x:is>
          <x:t xml:space="preserve">Exhaustion / Recovery / Work carryover</x:t>
        </x:is>
      </x:c>
      <x:c r="E24" s="81" t="str"/>
      <x:c r="F24" s="81" t="inlineStr">
        <x:is>
          <x:t xml:space="preserve">Tối ưu liên tục có thể làm giảm tính bền vững</x:t>
        </x:is>
      </x:c>
      <x:c r="G24" s="81" t="inlineStr">
        <x:is>
          <x:t xml:space="preserve">Rest</x:t>
        </x:is>
      </x:c>
      <x:c r="H24" s="81" t="inlineStr">
        <x:is>
          <x:t xml:space="preserve">Enoughness</x:t>
        </x:is>
      </x:c>
      <x:c r="I24" s="81" t="inlineStr">
        <x:is>
          <x:t xml:space="preserve">Cạn năng lượng</x:t>
        </x:is>
      </x:c>
      <x:c r="J24" s="81" t="str"/>
      <x:c r="K24" s="81" t="inlineStr">
        <x:is>
          <x:t xml:space="preserve">Reframe</x:t>
        </x:is>
      </x:c>
      <x:c r="L24" s="81" t="inlineStr">
        <x:is>
          <x:t xml:space="preserve">Permit</x:t>
        </x:is>
      </x:c>
      <x:c r="M24" s="81" t="inlineStr">
        <x:is>
          <x:t xml:space="preserve">Ẩn dụ</x:t>
        </x:is>
      </x:c>
      <x:c r="N24" s="81" t="inlineStr">
        <x:is>
          <x:t xml:space="preserve">揣而棁之，不可長保。</x:t>
        </x:is>
      </x:c>
      <x:c r="O24" s="81" t="inlineStr">
        <x:is>
          <x:t xml:space="preserve">Classical Chinese (文言文)</x:t>
        </x:is>
      </x:c>
      <x:c r="P24" s="81" t="inlineStr">
        <x:is>
          <x:t xml:space="preserve">Mài một mũi nhọn mãi cho sắc hơn thì khó giữ được độ sắc ấy lâu.</x:t>
        </x:is>
      </x:c>
      <x:c r="Q24" s="81" t="inlineStr">
        <x:is>
          <x:t xml:space="preserve">Laozi / 老子</x:t>
        </x:is>
      </x:c>
      <x:c r="R24" s="81" t="inlineStr">
        <x:is>
          <x:t xml:space="preserve">Taoism</x:t>
        </x:is>
      </x:c>
      <x:c r="S24" s="81" t="inlineStr">
        <x:is>
          <x:t xml:space="preserve">道德經 / Tao Te Ching</x:t>
        </x:is>
      </x:c>
      <x:c r="T24" s="81" t="inlineStr">
        <x:is>
          <x:t xml:space="preserve">Chapter 9</x:t>
        </x:is>
      </x:c>
      <x:c r="U24" s="81" t="inlineStr">
        <x:is>
          <x:t xml:space="preserve">https://zh.wikisource.org/zh-hans/%E9%81%93%E5%BE%B7%E7%B6%93_(%E7%8E%8B%E5%BC%BC%E6%9C%AC)</x:t>
        </x:is>
      </x:c>
      <x:c r="V24" s="81" t="inlineStr">
        <x:is>
          <x:t xml:space="preserve">Primary text</x:t>
        </x:is>
      </x:c>
      <x:c r="W24" s="81" t="inlineStr">
        <x:is>
          <x:t xml:space="preserve">Working translation</x:t>
        </x:is>
      </x:c>
      <x:c r="X24" s="81" t="inlineStr">
        <x:is>
          <x:t xml:space="preserve">A - Primary source</x:t>
        </x:is>
      </x:c>
      <x:c r="Y24" s="81" t="inlineStr">
        <x:is>
          <x:t xml:space="preserve">Original Chinese checked against Wang Bi recension; cross-check via Chinese Text Project. Vietnamese is Selflo working translation, not published translation.</x:t>
        </x:is>
      </x:c>
      <x:c r="Z24" s="81" t="inlineStr">
        <x:is>
          <x:t xml:space="preserve">Public domain / likely</x:t>
        </x:is>
      </x:c>
      <x:c r="AA24" s="81" t="inlineStr">
        <x:is>
          <x:t xml:space="preserve">Ancient text; Legge 1891 comparison is public domain in USA per Project Gutenberg. Verify jurisdiction for commercial publication.</x:t>
        </x:is>
      </x:c>
      <x:c r="AB24" s="81" t="inlineStr">
        <x:is>
          <x:t xml:space="preserve">High</x:t>
        </x:is>
      </x:c>
      <x:c r="AC24" s="81" t="inlineStr">
        <x:is>
          <x:t xml:space="preserve">Mạnh cho over-optimization/burnout, nhưng là interpretation.</x:t>
        </x:is>
      </x:c>
      <x:c r="AD24" s="81" t="inlineStr">
        <x:is>
          <x:t xml:space="preserve">Needs editorial review</x:t>
        </x:is>
      </x:c>
      <x:c r="AE24" s="81" t="inlineStr">
        <x:is>
          <x:t xml:space="preserve">Needs semantic dedupe review</x:t>
        </x:is>
      </x:c>
      <x:c r="AF24" s="81" t="str"/>
      <x:c r="AG24" s="81" t="str"/>
      <x:c r="AH24" s="81" t="inlineStr">
        <x:is>
          <x:t xml:space="preserve">No</x:t>
        </x:is>
      </x:c>
      <x:c r="AI24" s="81" t="inlineStr">
        <x:is>
          <x:t xml:space="preserve">Not reviewed</x:t>
        </x:is>
      </x:c>
      <x:c r="AJ24" s="81" t="inlineStr">
        <x:is>
          <x:t xml:space="preserve">Research only</x:t>
        </x:is>
      </x:c>
      <x:c r="AK24" s="81" t="inlineStr">
        <x:is>
          <x:t xml:space="preserve">Research Pool</x:t>
        </x:is>
      </x:c>
      <x:c r="AL24" s="81" t="n">
        <x:v>1</x:v>
      </x:c>
      <x:c r="AM24" s="81" t="inlineStr">
        <x:is>
          <x:t xml:space="preserve">ChatGPT research</x:t>
        </x:is>
      </x:c>
      <x:c r="AN24" s="81" t="inlineStr">
        <x:is>
          <x:t xml:space="preserve">2026-09-18</x:t>
        </x:is>
      </x:c>
      <x:c r="AO24" s="81" t="inlineStr">
        <x:is>
          <x:t xml:space="preserve">Day 1 full-scope audit, chapters 1–20.</x:t>
        </x:is>
      </x:c>
      <x:c r="AP24" s="81" t="n"/>
      <x:c r="AQ24" s="81" t="n"/>
    </x:row>
    <x:row r="25">
      <x:c r="A25" s="81" t="inlineStr">
        <x:is>
          <x:t xml:space="preserve">research.laozi.ch09.024</x:t>
        </x:is>
      </x:c>
      <x:c r="B25" s="81" t="inlineStr">
        <x:is>
          <x:t xml:space="preserve">Collected</x:t>
        </x:is>
      </x:c>
      <x:c r="C25" s="81" t="inlineStr">
        <x:is>
          <x:t xml:space="preserve">Ý nghĩa &amp; bản sắc</x:t>
        </x:is>
      </x:c>
      <x:c r="D25" s="81" t="inlineStr">
        <x:is>
          <x:t xml:space="preserve">Comparison / External standards / Values</x:t>
        </x:is>
      </x:c>
      <x:c r="E25" s="81" t="str"/>
      <x:c r="F25" s="81" t="inlineStr">
        <x:is>
          <x:t xml:space="preserve">Sở hữu nhiều không đồng nghĩa có thể giữ được mọi thứ</x:t>
        </x:is>
      </x:c>
      <x:c r="G25" s="81" t="inlineStr">
        <x:is>
          <x:t xml:space="preserve">Enoughness</x:t>
        </x:is>
      </x:c>
      <x:c r="H25" s="81" t="inlineStr">
        <x:is>
          <x:t xml:space="preserve">Impermanence</x:t>
        </x:is>
      </x:c>
      <x:c r="I25" s="81" t="inlineStr">
        <x:is>
          <x:t xml:space="preserve">Lo lắng</x:t>
        </x:is>
      </x:c>
      <x:c r="J25" s="81" t="str"/>
      <x:c r="K25" s="81" t="inlineStr">
        <x:is>
          <x:t xml:space="preserve">Distinguish</x:t>
        </x:is>
      </x:c>
      <x:c r="L25" s="81" t="inlineStr">
        <x:is>
          <x:t xml:space="preserve">Reframe</x:t>
        </x:is>
      </x:c>
      <x:c r="M25" s="81" t="inlineStr">
        <x:is>
          <x:t xml:space="preserve">Ẩn dụ</x:t>
        </x:is>
      </x:c>
      <x:c r="N25" s="81" t="inlineStr">
        <x:is>
          <x:t xml:space="preserve">金玉滿堂，莫之能守。</x:t>
        </x:is>
      </x:c>
      <x:c r="O25" s="81" t="inlineStr">
        <x:is>
          <x:t xml:space="preserve">Classical Chinese (文言文)</x:t>
        </x:is>
      </x:c>
      <x:c r="P25" s="81" t="inlineStr">
        <x:is>
          <x:t xml:space="preserve">Vàng ngọc đầy nhà cũng không thể giữ mãi.</x:t>
        </x:is>
      </x:c>
      <x:c r="Q25" s="81" t="inlineStr">
        <x:is>
          <x:t xml:space="preserve">Laozi / 老子</x:t>
        </x:is>
      </x:c>
      <x:c r="R25" s="81" t="inlineStr">
        <x:is>
          <x:t xml:space="preserve">Taoism</x:t>
        </x:is>
      </x:c>
      <x:c r="S25" s="81" t="inlineStr">
        <x:is>
          <x:t xml:space="preserve">道德經 / Tao Te Ching</x:t>
        </x:is>
      </x:c>
      <x:c r="T25" s="81" t="inlineStr">
        <x:is>
          <x:t xml:space="preserve">Chapter 9</x:t>
        </x:is>
      </x:c>
      <x:c r="U25" s="81" t="inlineStr">
        <x:is>
          <x:t xml:space="preserve">https://zh.wikisource.org/zh-hans/%E9%81%93%E5%BE%B7%E7%B6%93_(%E7%8E%8B%E5%BC%BC%E6%9C%AC)</x:t>
        </x:is>
      </x:c>
      <x:c r="V25" s="81" t="inlineStr">
        <x:is>
          <x:t xml:space="preserve">Primary text</x:t>
        </x:is>
      </x:c>
      <x:c r="W25" s="81" t="inlineStr">
        <x:is>
          <x:t xml:space="preserve">Working translation</x:t>
        </x:is>
      </x:c>
      <x:c r="X25" s="81" t="inlineStr">
        <x:is>
          <x:t xml:space="preserve">A - Primary source</x:t>
        </x:is>
      </x:c>
      <x:c r="Y25" s="81" t="inlineStr">
        <x:is>
          <x:t xml:space="preserve">Original Chinese checked against Wang Bi recension; cross-check via Chinese Text Project. Vietnamese is Selflo working translation, not published translation.</x:t>
        </x:is>
      </x:c>
      <x:c r="Z25" s="81" t="inlineStr">
        <x:is>
          <x:t xml:space="preserve">Public domain / likely</x:t>
        </x:is>
      </x:c>
      <x:c r="AA25" s="81" t="inlineStr">
        <x:is>
          <x:t xml:space="preserve">Ancient text; Legge 1891 comparison is public domain in USA per Project Gutenberg. Verify jurisdiction for commercial publication.</x:t>
        </x:is>
      </x:c>
      <x:c r="AB25" s="81" t="inlineStr">
        <x:is>
          <x:t xml:space="preserve">Medium</x:t>
        </x:is>
      </x:c>
      <x:c r="AC25" s="81" t="inlineStr">
        <x:is>
          <x:t xml:space="preserve">Research pool.</x:t>
        </x:is>
      </x:c>
      <x:c r="AD25" s="81" t="inlineStr">
        <x:is>
          <x:t xml:space="preserve">Needs editorial review</x:t>
        </x:is>
      </x:c>
      <x:c r="AE25" s="81" t="inlineStr">
        <x:is>
          <x:t xml:space="preserve">Needs semantic dedupe review</x:t>
        </x:is>
      </x:c>
      <x:c r="AF25" s="81" t="str"/>
      <x:c r="AG25" s="81" t="str"/>
      <x:c r="AH25" s="81" t="inlineStr">
        <x:is>
          <x:t xml:space="preserve">No</x:t>
        </x:is>
      </x:c>
      <x:c r="AI25" s="81" t="inlineStr">
        <x:is>
          <x:t xml:space="preserve">Not reviewed</x:t>
        </x:is>
      </x:c>
      <x:c r="AJ25" s="81" t="inlineStr">
        <x:is>
          <x:t xml:space="preserve">Research only</x:t>
        </x:is>
      </x:c>
      <x:c r="AK25" s="81" t="inlineStr">
        <x:is>
          <x:t xml:space="preserve">Research Pool</x:t>
        </x:is>
      </x:c>
      <x:c r="AL25" s="81" t="n">
        <x:v>1</x:v>
      </x:c>
      <x:c r="AM25" s="81" t="inlineStr">
        <x:is>
          <x:t xml:space="preserve">ChatGPT research</x:t>
        </x:is>
      </x:c>
      <x:c r="AN25" s="81" t="inlineStr">
        <x:is>
          <x:t xml:space="preserve">2026-09-18</x:t>
        </x:is>
      </x:c>
      <x:c r="AO25" s="81" t="inlineStr">
        <x:is>
          <x:t xml:space="preserve">Day 1 full-scope audit, chapters 1–20.</x:t>
        </x:is>
      </x:c>
      <x:c r="AP25" s="81" t="n"/>
      <x:c r="AQ25" s="81" t="n"/>
    </x:row>
    <x:row r="26">
      <x:c r="A26" s="81" t="inlineStr">
        <x:is>
          <x:t xml:space="preserve">research.laozi.ch09.025</x:t>
        </x:is>
      </x:c>
      <x:c r="B26" s="81" t="inlineStr">
        <x:is>
          <x:t xml:space="preserve">Collected</x:t>
        </x:is>
      </x:c>
      <x:c r="C26" s="81" t="inlineStr">
        <x:is>
          <x:t xml:space="preserve">Xã hội &amp; văn hóa</x:t>
        </x:is>
      </x:c>
      <x:c r="D26" s="81" t="inlineStr">
        <x:is>
          <x:t xml:space="preserve">Comparison / External standards / Values</x:t>
        </x:is>
      </x:c>
      <x:c r="E26" s="81" t="str"/>
      <x:c r="F26" s="81" t="inlineStr">
        <x:is>
          <x:t xml:space="preserve">Thành công bên ngoài không loại bỏ rủi ro từ cách mình quan hệ với nó</x:t>
        </x:is>
      </x:c>
      <x:c r="G26" s="81" t="inlineStr">
        <x:is>
          <x:t xml:space="preserve">Values</x:t>
        </x:is>
      </x:c>
      <x:c r="H26" s="81" t="inlineStr">
        <x:is>
          <x:t xml:space="preserve">Responsibility</x:t>
        </x:is>
      </x:c>
      <x:c r="I26" s="81" t="inlineStr">
        <x:is>
          <x:t xml:space="preserve">Áp lực</x:t>
        </x:is>
      </x:c>
      <x:c r="J26" s="81" t="str"/>
      <x:c r="K26" s="81" t="inlineStr">
        <x:is>
          <x:t xml:space="preserve">Recognize</x:t>
        </x:is>
      </x:c>
      <x:c r="L26" s="81" t="inlineStr">
        <x:is>
          <x:t xml:space="preserve">Distinguish</x:t>
        </x:is>
      </x:c>
      <x:c r="M26" s="81" t="inlineStr">
        <x:is>
          <x:t xml:space="preserve">Trích đoạn triết học</x:t>
        </x:is>
      </x:c>
      <x:c r="N26" s="81" t="inlineStr">
        <x:is>
          <x:t xml:space="preserve">富貴而驕，自遺其咎。</x:t>
        </x:is>
      </x:c>
      <x:c r="O26" s="81" t="inlineStr">
        <x:is>
          <x:t xml:space="preserve">Classical Chinese (文言文)</x:t>
        </x:is>
      </x:c>
      <x:c r="P26" s="81" t="inlineStr">
        <x:is>
          <x:t xml:space="preserve">Giàu sang mà sinh kiêu căng có thể tự mang rắc rối đến cho mình.</x:t>
        </x:is>
      </x:c>
      <x:c r="Q26" s="81" t="inlineStr">
        <x:is>
          <x:t xml:space="preserve">Laozi / 老子</x:t>
        </x:is>
      </x:c>
      <x:c r="R26" s="81" t="inlineStr">
        <x:is>
          <x:t xml:space="preserve">Taoism</x:t>
        </x:is>
      </x:c>
      <x:c r="S26" s="81" t="inlineStr">
        <x:is>
          <x:t xml:space="preserve">道德經 / Tao Te Ching</x:t>
        </x:is>
      </x:c>
      <x:c r="T26" s="81" t="inlineStr">
        <x:is>
          <x:t xml:space="preserve">Chapter 9</x:t>
        </x:is>
      </x:c>
      <x:c r="U26" s="81" t="inlineStr">
        <x:is>
          <x:t xml:space="preserve">https://zh.wikisource.org/zh-hans/%E9%81%93%E5%BE%B7%E7%B6%93_(%E7%8E%8B%E5%BC%BC%E6%9C%AC)</x:t>
        </x:is>
      </x:c>
      <x:c r="V26" s="81" t="inlineStr">
        <x:is>
          <x:t xml:space="preserve">Primary text</x:t>
        </x:is>
      </x:c>
      <x:c r="W26" s="81" t="inlineStr">
        <x:is>
          <x:t xml:space="preserve">Working translation</x:t>
        </x:is>
      </x:c>
      <x:c r="X26" s="81" t="inlineStr">
        <x:is>
          <x:t xml:space="preserve">A - Primary source</x:t>
        </x:is>
      </x:c>
      <x:c r="Y26" s="81" t="inlineStr">
        <x:is>
          <x:t xml:space="preserve">Original Chinese checked against Wang Bi recension; cross-check via Chinese Text Project. Vietnamese is Selflo working translation, not published translation.</x:t>
        </x:is>
      </x:c>
      <x:c r="Z26" s="81" t="inlineStr">
        <x:is>
          <x:t xml:space="preserve">Public domain / likely</x:t>
        </x:is>
      </x:c>
      <x:c r="AA26" s="81" t="inlineStr">
        <x:is>
          <x:t xml:space="preserve">Ancient text; Legge 1891 comparison is public domain in USA per Project Gutenberg. Verify jurisdiction for commercial publication.</x:t>
        </x:is>
      </x:c>
      <x:c r="AB26" s="81" t="inlineStr">
        <x:is>
          <x:t xml:space="preserve">Low</x:t>
        </x:is>
      </x:c>
      <x:c r="AC26" s="81" t="inlineStr">
        <x:is>
          <x:t xml:space="preserve">Moralizing risk cao.</x:t>
        </x:is>
      </x:c>
      <x:c r="AD26" s="81" t="inlineStr">
        <x:is>
          <x:t xml:space="preserve">Needs editorial review</x:t>
        </x:is>
      </x:c>
      <x:c r="AE26" s="81" t="inlineStr">
        <x:is>
          <x:t xml:space="preserve">Needs semantic dedupe review</x:t>
        </x:is>
      </x:c>
      <x:c r="AF26" s="81" t="str"/>
      <x:c r="AG26" s="81" t="str"/>
      <x:c r="AH26" s="81" t="inlineStr">
        <x:is>
          <x:t xml:space="preserve">No</x:t>
        </x:is>
      </x:c>
      <x:c r="AI26" s="81" t="inlineStr">
        <x:is>
          <x:t xml:space="preserve">Not reviewed</x:t>
        </x:is>
      </x:c>
      <x:c r="AJ26" s="81" t="inlineStr">
        <x:is>
          <x:t xml:space="preserve">Research only</x:t>
        </x:is>
      </x:c>
      <x:c r="AK26" s="81" t="inlineStr">
        <x:is>
          <x:t xml:space="preserve">Research Pool</x:t>
        </x:is>
      </x:c>
      <x:c r="AL26" s="81" t="n">
        <x:v>1</x:v>
      </x:c>
      <x:c r="AM26" s="81" t="inlineStr">
        <x:is>
          <x:t xml:space="preserve">ChatGPT research</x:t>
        </x:is>
      </x:c>
      <x:c r="AN26" s="81" t="inlineStr">
        <x:is>
          <x:t xml:space="preserve">2026-09-18</x:t>
        </x:is>
      </x:c>
      <x:c r="AO26" s="81" t="inlineStr">
        <x:is>
          <x:t xml:space="preserve">Day 1 full-scope audit, chapters 1–20.</x:t>
        </x:is>
      </x:c>
      <x:c r="AP26" s="81" t="n"/>
      <x:c r="AQ26" s="81" t="n"/>
    </x:row>
    <x:row r="27">
      <x:c r="A27" s="81" t="inlineStr">
        <x:is>
          <x:t xml:space="preserve">research.laozi.ch09.026</x:t>
        </x:is>
      </x:c>
      <x:c r="B27" s="81" t="inlineStr">
        <x:is>
          <x:t xml:space="preserve">Collected</x:t>
        </x:is>
      </x:c>
      <x:c r="C27" s="81" t="inlineStr">
        <x:is>
          <x:t xml:space="preserve">Công việc &amp; mục đích</x:t>
        </x:is>
      </x:c>
      <x:c r="D27" s="81" t="inlineStr">
        <x:is>
          <x:t xml:space="preserve">Meaning / Identity / Work</x:t>
        </x:is>
      </x:c>
      <x:c r="E27" s="81" t="str"/>
      <x:c r="F27" s="81" t="inlineStr">
        <x:is>
          <x:t xml:space="preserve">Biết kết thúc một vai trò sau khi việc đã hoàn thành</x:t>
        </x:is>
      </x:c>
      <x:c r="G27" s="81" t="inlineStr">
        <x:is>
          <x:t xml:space="preserve">Change</x:t>
        </x:is>
      </x:c>
      <x:c r="H27" s="81" t="inlineStr">
        <x:is>
          <x:t xml:space="preserve">Enoughness</x:t>
        </x:is>
      </x:c>
      <x:c r="I27" s="81" t="inlineStr">
        <x:is>
          <x:t xml:space="preserve">Áp lực</x:t>
        </x:is>
      </x:c>
      <x:c r="J27" s="81" t="str"/>
      <x:c r="K27" s="81" t="inlineStr">
        <x:is>
          <x:t xml:space="preserve">Permit</x:t>
        </x:is>
      </x:c>
      <x:c r="L27" s="81" t="inlineStr">
        <x:is>
          <x:t xml:space="preserve">Reframe</x:t>
        </x:is>
      </x:c>
      <x:c r="M27" s="81" t="inlineStr">
        <x:is>
          <x:t xml:space="preserve">Trích đoạn triết học</x:t>
        </x:is>
      </x:c>
      <x:c r="N27" s="81" t="inlineStr">
        <x:is>
          <x:t xml:space="preserve">功遂身退，天之道。</x:t>
        </x:is>
      </x:c>
      <x:c r="O27" s="81" t="inlineStr">
        <x:is>
          <x:t xml:space="preserve">Classical Chinese (文言文)</x:t>
        </x:is>
      </x:c>
      <x:c r="P27" s="81" t="inlineStr">
        <x:is>
          <x:t xml:space="preserve">Việc đã thành thì biết lui; đoạn văn gọi đó là đường của trời.</x:t>
        </x:is>
      </x:c>
      <x:c r="Q27" s="81" t="inlineStr">
        <x:is>
          <x:t xml:space="preserve">Laozi / 老子</x:t>
        </x:is>
      </x:c>
      <x:c r="R27" s="81" t="inlineStr">
        <x:is>
          <x:t xml:space="preserve">Taoism</x:t>
        </x:is>
      </x:c>
      <x:c r="S27" s="81" t="inlineStr">
        <x:is>
          <x:t xml:space="preserve">道德經 / Tao Te Ching</x:t>
        </x:is>
      </x:c>
      <x:c r="T27" s="81" t="inlineStr">
        <x:is>
          <x:t xml:space="preserve">Chapter 9</x:t>
        </x:is>
      </x:c>
      <x:c r="U27" s="81" t="inlineStr">
        <x:is>
          <x:t xml:space="preserve">https://zh.wikisource.org/zh-hans/%E9%81%93%E5%BE%B7%E7%B6%93_(%E7%8E%8B%E5%BC%BC%E6%9C%AC)</x:t>
        </x:is>
      </x:c>
      <x:c r="V27" s="81" t="inlineStr">
        <x:is>
          <x:t xml:space="preserve">Primary text</x:t>
        </x:is>
      </x:c>
      <x:c r="W27" s="81" t="inlineStr">
        <x:is>
          <x:t xml:space="preserve">Working translation</x:t>
        </x:is>
      </x:c>
      <x:c r="X27" s="81" t="inlineStr">
        <x:is>
          <x:t xml:space="preserve">A - Primary source</x:t>
        </x:is>
      </x:c>
      <x:c r="Y27" s="81" t="inlineStr">
        <x:is>
          <x:t xml:space="preserve">Original Chinese checked against Wang Bi recension; cross-check via Chinese Text Project. Vietnamese is Selflo working translation, not published translation.</x:t>
        </x:is>
      </x:c>
      <x:c r="Z27" s="81" t="inlineStr">
        <x:is>
          <x:t xml:space="preserve">Public domain / likely</x:t>
        </x:is>
      </x:c>
      <x:c r="AA27" s="81" t="inlineStr">
        <x:is>
          <x:t xml:space="preserve">Ancient text; Legge 1891 comparison is public domain in USA per Project Gutenberg. Verify jurisdiction for commercial publication.</x:t>
        </x:is>
      </x:c>
      <x:c r="AB27" s="81" t="inlineStr">
        <x:is>
          <x:t xml:space="preserve">High</x:t>
        </x:is>
      </x:c>
      <x:c r="AC27" s="81" t="inlineStr">
        <x:is>
          <x:t xml:space="preserve">Mạnh cho release/identity; không nên biến thành luôn luôn phải rút lui.</x:t>
        </x:is>
      </x:c>
      <x:c r="AD27" s="81" t="inlineStr">
        <x:is>
          <x:t xml:space="preserve">Needs editorial review</x:t>
        </x:is>
      </x:c>
      <x:c r="AE27" s="81" t="inlineStr">
        <x:is>
          <x:t xml:space="preserve">Needs semantic dedupe review</x:t>
        </x:is>
      </x:c>
      <x:c r="AF27" s="81" t="str"/>
      <x:c r="AG27" s="81" t="str"/>
      <x:c r="AH27" s="81" t="inlineStr">
        <x:is>
          <x:t xml:space="preserve">No</x:t>
        </x:is>
      </x:c>
      <x:c r="AI27" s="81" t="inlineStr">
        <x:is>
          <x:t xml:space="preserve">Not reviewed</x:t>
        </x:is>
      </x:c>
      <x:c r="AJ27" s="81" t="inlineStr">
        <x:is>
          <x:t xml:space="preserve">Research only</x:t>
        </x:is>
      </x:c>
      <x:c r="AK27" s="81" t="inlineStr">
        <x:is>
          <x:t xml:space="preserve">Research Pool</x:t>
        </x:is>
      </x:c>
      <x:c r="AL27" s="81" t="n">
        <x:v>1</x:v>
      </x:c>
      <x:c r="AM27" s="81" t="inlineStr">
        <x:is>
          <x:t xml:space="preserve">ChatGPT research</x:t>
        </x:is>
      </x:c>
      <x:c r="AN27" s="81" t="inlineStr">
        <x:is>
          <x:t xml:space="preserve">2026-09-18</x:t>
        </x:is>
      </x:c>
      <x:c r="AO27" s="81" t="inlineStr">
        <x:is>
          <x:t xml:space="preserve">Day 1 full-scope audit, chapters 1–20.</x:t>
        </x:is>
      </x:c>
      <x:c r="AP27" s="81" t="n"/>
      <x:c r="AQ27" s="81" t="n"/>
    </x:row>
    <x:row r="28">
      <x:c r="A28" s="81" t="inlineStr">
        <x:is>
          <x:t xml:space="preserve">research.laozi.ch10.027</x:t>
        </x:is>
      </x:c>
      <x:c r="B28" s="81" t="inlineStr">
        <x:is>
          <x:t xml:space="preserve">Collected</x:t>
        </x:is>
      </x:c>
      <x:c r="C28" s="81" t="inlineStr">
        <x:is>
          <x:t xml:space="preserve">Nội tâm &amp; hiểu mình</x:t>
        </x:is>
      </x:c>
      <x:c r="D28" s="81" t="inlineStr">
        <x:is>
          <x:t xml:space="preserve">Mixed emotions / Emotional memory</x:t>
        </x:is>
      </x:c>
      <x:c r="E28" s="81" t="str"/>
      <x:c r="F28" s="81" t="inlineStr">
        <x:is>
          <x:t xml:space="preserve">Giữ nhiều phần của bản thân mà không buộc chúng phải loại trừ nhau</x:t>
        </x:is>
      </x:c>
      <x:c r="G28" s="81" t="inlineStr">
        <x:is>
          <x:t xml:space="preserve">Acceptance</x:t>
        </x:is>
      </x:c>
      <x:c r="H28" s="81" t="inlineStr">
        <x:is>
          <x:t xml:space="preserve">Identity</x:t>
        </x:is>
      </x:c>
      <x:c r="I28" s="81" t="inlineStr">
        <x:is>
          <x:t xml:space="preserve">Mixed / contradictory</x:t>
        </x:is>
      </x:c>
      <x:c r="J28" s="81" t="str"/>
      <x:c r="K28" s="81" t="inlineStr">
        <x:is>
          <x:t xml:space="preserve">Permit</x:t>
        </x:is>
      </x:c>
      <x:c r="L28" s="81" t="inlineStr">
        <x:is>
          <x:t xml:space="preserve">Distinguish</x:t>
        </x:is>
      </x:c>
      <x:c r="M28" s="81" t="inlineStr">
        <x:is>
          <x:t xml:space="preserve">Câu hỏi</x:t>
        </x:is>
      </x:c>
      <x:c r="N28" s="81" t="inlineStr">
        <x:is>
          <x:t xml:space="preserve">載營魄抱一，能無離乎？</x:t>
        </x:is>
      </x:c>
      <x:c r="O28" s="81" t="inlineStr">
        <x:is>
          <x:t xml:space="preserve">Classical Chinese (文言文)</x:t>
        </x:is>
      </x:c>
      <x:c r="P28" s="81" t="inlineStr">
        <x:is>
          <x:t xml:space="preserve">Giữ những phần của mình trong một mối thống nhất — liệu có thể không để chúng tách rời?</x:t>
        </x:is>
      </x:c>
      <x:c r="Q28" s="81" t="inlineStr">
        <x:is>
          <x:t xml:space="preserve">Laozi / 老子</x:t>
        </x:is>
      </x:c>
      <x:c r="R28" s="81" t="inlineStr">
        <x:is>
          <x:t xml:space="preserve">Taoism</x:t>
        </x:is>
      </x:c>
      <x:c r="S28" s="81" t="inlineStr">
        <x:is>
          <x:t xml:space="preserve">道德經 / Tao Te Ching</x:t>
        </x:is>
      </x:c>
      <x:c r="T28" s="81" t="inlineStr">
        <x:is>
          <x:t xml:space="preserve">Chapter 10</x:t>
        </x:is>
      </x:c>
      <x:c r="U28" s="81" t="inlineStr">
        <x:is>
          <x:t xml:space="preserve">https://zh.wikisource.org/zh-hans/%E9%81%93%E5%BE%B7%E7%B6%93_(%E7%8E%8B%E5%BC%BC%E6%9C%AC)</x:t>
        </x:is>
      </x:c>
      <x:c r="V28" s="81" t="inlineStr">
        <x:is>
          <x:t xml:space="preserve">Primary text</x:t>
        </x:is>
      </x:c>
      <x:c r="W28" s="81" t="inlineStr">
        <x:is>
          <x:t xml:space="preserve">Working translation</x:t>
        </x:is>
      </x:c>
      <x:c r="X28" s="81" t="inlineStr">
        <x:is>
          <x:t xml:space="preserve">A - Primary source</x:t>
        </x:is>
      </x:c>
      <x:c r="Y28" s="81" t="inlineStr">
        <x:is>
          <x:t xml:space="preserve">Original Chinese checked against Wang Bi recension; cross-check via Chinese Text Project. Vietnamese is Selflo working translation, not published translation.</x:t>
        </x:is>
      </x:c>
      <x:c r="Z28" s="81" t="inlineStr">
        <x:is>
          <x:t xml:space="preserve">Public domain / likely</x:t>
        </x:is>
      </x:c>
      <x:c r="AA28" s="81" t="inlineStr">
        <x:is>
          <x:t xml:space="preserve">Ancient text; Legge 1891 comparison is public domain in USA per Project Gutenberg. Verify jurisdiction for commercial publication.</x:t>
        </x:is>
      </x:c>
      <x:c r="AB28" s="81" t="inlineStr">
        <x:is>
          <x:t xml:space="preserve">Medium</x:t>
        </x:is>
      </x:c>
      <x:c r="AC28" s="81" t="inlineStr">
        <x:is>
          <x:t xml:space="preserve">Cổ nghĩa khó; working translation cần scholar review.</x:t>
        </x:is>
      </x:c>
      <x:c r="AD28" s="81" t="inlineStr">
        <x:is>
          <x:t xml:space="preserve">Needs editorial review</x:t>
        </x:is>
      </x:c>
      <x:c r="AE28" s="81" t="inlineStr">
        <x:is>
          <x:t xml:space="preserve">Needs semantic dedupe review</x:t>
        </x:is>
      </x:c>
      <x:c r="AF28" s="81" t="str"/>
      <x:c r="AG28" s="81" t="str"/>
      <x:c r="AH28" s="81" t="inlineStr">
        <x:is>
          <x:t xml:space="preserve">No</x:t>
        </x:is>
      </x:c>
      <x:c r="AI28" s="81" t="inlineStr">
        <x:is>
          <x:t xml:space="preserve">Not reviewed</x:t>
        </x:is>
      </x:c>
      <x:c r="AJ28" s="81" t="inlineStr">
        <x:is>
          <x:t xml:space="preserve">Research only</x:t>
        </x:is>
      </x:c>
      <x:c r="AK28" s="81" t="inlineStr">
        <x:is>
          <x:t xml:space="preserve">Research Pool</x:t>
        </x:is>
      </x:c>
      <x:c r="AL28" s="81" t="n">
        <x:v>1</x:v>
      </x:c>
      <x:c r="AM28" s="81" t="inlineStr">
        <x:is>
          <x:t xml:space="preserve">ChatGPT research</x:t>
        </x:is>
      </x:c>
      <x:c r="AN28" s="81" t="inlineStr">
        <x:is>
          <x:t xml:space="preserve">2026-09-18</x:t>
        </x:is>
      </x:c>
      <x:c r="AO28" s="81" t="inlineStr">
        <x:is>
          <x:t xml:space="preserve">Day 1 full-scope audit, chapters 1–20.</x:t>
        </x:is>
      </x:c>
      <x:c r="AP28" s="81" t="n"/>
      <x:c r="AQ28" s="81" t="n"/>
    </x:row>
    <x:row r="29">
      <x:c r="A29" s="81" t="inlineStr">
        <x:is>
          <x:t xml:space="preserve">research.laozi.ch10.028</x:t>
        </x:is>
      </x:c>
      <x:c r="B29" s="81" t="inlineStr">
        <x:is>
          <x:t xml:space="preserve">Collected</x:t>
        </x:is>
      </x:c>
      <x:c r="C29" s="81" t="inlineStr">
        <x:is>
          <x:t xml:space="preserve">Nghỉ ngơi &amp; sức khỏe tinh thần</x:t>
        </x:is>
      </x:c>
      <x:c r="D29" s="81" t="inlineStr">
        <x:is>
          <x:t xml:space="preserve">Rest / Limits / Wellbeing</x:t>
        </x:is>
      </x:c>
      <x:c r="E29" s="81" t="str"/>
      <x:c r="F29" s="81" t="inlineStr">
        <x:is>
          <x:t xml:space="preserve">Mềm không đồng nghĩa yếu</x:t>
        </x:is>
      </x:c>
      <x:c r="G29" s="81" t="inlineStr">
        <x:is>
          <x:t xml:space="preserve">Rest</x:t>
        </x:is>
      </x:c>
      <x:c r="H29" s="81" t="inlineStr">
        <x:is>
          <x:t xml:space="preserve">Change</x:t>
        </x:is>
      </x:c>
      <x:c r="I29" s="81" t="inlineStr">
        <x:is>
          <x:t xml:space="preserve">Cạn năng lượng</x:t>
        </x:is>
      </x:c>
      <x:c r="J29" s="81" t="str"/>
      <x:c r="K29" s="81" t="inlineStr">
        <x:is>
          <x:t xml:space="preserve">Reframe</x:t>
        </x:is>
      </x:c>
      <x:c r="L29" s="81" t="inlineStr">
        <x:is>
          <x:t xml:space="preserve">Permit</x:t>
        </x:is>
      </x:c>
      <x:c r="M29" s="81" t="inlineStr">
        <x:is>
          <x:t xml:space="preserve">Câu hỏi</x:t>
        </x:is>
      </x:c>
      <x:c r="N29" s="81" t="inlineStr">
        <x:is>
          <x:t xml:space="preserve">專氣致柔，能嬰兒乎？</x:t>
        </x:is>
      </x:c>
      <x:c r="O29" s="81" t="inlineStr">
        <x:is>
          <x:t xml:space="preserve">Classical Chinese (文言文)</x:t>
        </x:is>
      </x:c>
      <x:c r="P29" s="81" t="inlineStr">
        <x:is>
          <x:t xml:space="preserve">Chuyên nhất hơi thở để trở nên mềm — liệu có thể trở lại sự mềm mại như trẻ nhỏ?</x:t>
        </x:is>
      </x:c>
      <x:c r="Q29" s="81" t="inlineStr">
        <x:is>
          <x:t xml:space="preserve">Laozi / 老子</x:t>
        </x:is>
      </x:c>
      <x:c r="R29" s="81" t="inlineStr">
        <x:is>
          <x:t xml:space="preserve">Taoism</x:t>
        </x:is>
      </x:c>
      <x:c r="S29" s="81" t="inlineStr">
        <x:is>
          <x:t xml:space="preserve">道德經 / Tao Te Ching</x:t>
        </x:is>
      </x:c>
      <x:c r="T29" s="81" t="inlineStr">
        <x:is>
          <x:t xml:space="preserve">Chapter 10</x:t>
        </x:is>
      </x:c>
      <x:c r="U29" s="81" t="inlineStr">
        <x:is>
          <x:t xml:space="preserve">https://zh.wikisource.org/zh-hans/%E9%81%93%E5%BE%B7%E7%B6%93_(%E7%8E%8B%E5%BC%BC%E6%9C%AC)</x:t>
        </x:is>
      </x:c>
      <x:c r="V29" s="81" t="inlineStr">
        <x:is>
          <x:t xml:space="preserve">Primary text</x:t>
        </x:is>
      </x:c>
      <x:c r="W29" s="81" t="inlineStr">
        <x:is>
          <x:t xml:space="preserve">Working translation</x:t>
        </x:is>
      </x:c>
      <x:c r="X29" s="81" t="inlineStr">
        <x:is>
          <x:t xml:space="preserve">A - Primary source</x:t>
        </x:is>
      </x:c>
      <x:c r="Y29" s="81" t="inlineStr">
        <x:is>
          <x:t xml:space="preserve">Original Chinese checked against Wang Bi recension; cross-check via Chinese Text Project. Vietnamese is Selflo working translation, not published translation.</x:t>
        </x:is>
      </x:c>
      <x:c r="Z29" s="81" t="inlineStr">
        <x:is>
          <x:t xml:space="preserve">Public domain / likely</x:t>
        </x:is>
      </x:c>
      <x:c r="AA29" s="81" t="inlineStr">
        <x:is>
          <x:t xml:space="preserve">Ancient text; Legge 1891 comparison is public domain in USA per Project Gutenberg. Verify jurisdiction for commercial publication.</x:t>
        </x:is>
      </x:c>
      <x:c r="AB29" s="81" t="inlineStr">
        <x:is>
          <x:t xml:space="preserve">Medium</x:t>
        </x:is>
      </x:c>
      <x:c r="AC29" s="81" t="inlineStr">
        <x:is>
          <x:t xml:space="preserve">Không diễn giải như kỹ thuật thở chữa bệnh.</x:t>
        </x:is>
      </x:c>
      <x:c r="AD29" s="81" t="inlineStr">
        <x:is>
          <x:t xml:space="preserve">Needs editorial review</x:t>
        </x:is>
      </x:c>
      <x:c r="AE29" s="81" t="inlineStr">
        <x:is>
          <x:t xml:space="preserve">Needs semantic dedupe review</x:t>
        </x:is>
      </x:c>
      <x:c r="AF29" s="81" t="str"/>
      <x:c r="AG29" s="81" t="str"/>
      <x:c r="AH29" s="81" t="inlineStr">
        <x:is>
          <x:t xml:space="preserve">No</x:t>
        </x:is>
      </x:c>
      <x:c r="AI29" s="81" t="inlineStr">
        <x:is>
          <x:t xml:space="preserve">Not reviewed</x:t>
        </x:is>
      </x:c>
      <x:c r="AJ29" s="81" t="inlineStr">
        <x:is>
          <x:t xml:space="preserve">Research only</x:t>
        </x:is>
      </x:c>
      <x:c r="AK29" s="81" t="inlineStr">
        <x:is>
          <x:t xml:space="preserve">Research Pool</x:t>
        </x:is>
      </x:c>
      <x:c r="AL29" s="81" t="n">
        <x:v>1</x:v>
      </x:c>
      <x:c r="AM29" s="81" t="inlineStr">
        <x:is>
          <x:t xml:space="preserve">ChatGPT research</x:t>
        </x:is>
      </x:c>
      <x:c r="AN29" s="81" t="inlineStr">
        <x:is>
          <x:t xml:space="preserve">2026-09-18</x:t>
        </x:is>
      </x:c>
      <x:c r="AO29" s="81" t="inlineStr">
        <x:is>
          <x:t xml:space="preserve">Day 1 full-scope audit, chapters 1–20.</x:t>
        </x:is>
      </x:c>
      <x:c r="AP29" s="81" t="n"/>
      <x:c r="AQ29" s="81" t="n"/>
    </x:row>
    <x:row r="30">
      <x:c r="A30" s="81" t="inlineStr">
        <x:is>
          <x:t xml:space="preserve">research.laozi.ch10.029</x:t>
        </x:is>
      </x:c>
      <x:c r="B30" s="81" t="inlineStr">
        <x:is>
          <x:t xml:space="preserve">Collected</x:t>
        </x:is>
      </x:c>
      <x:c r="C30" s="81" t="inlineStr">
        <x:is>
          <x:t xml:space="preserve">Quan hệ</x:t>
        </x:is>
      </x:c>
      <x:c r="D30" s="81" t="inlineStr">
        <x:is>
          <x:t xml:space="preserve">Relationships / Boundaries / Connection</x:t>
        </x:is>
      </x:c>
      <x:c r="E30" s="81" t="str"/>
      <x:c r="F30" s="81" t="inlineStr">
        <x:is>
          <x:t xml:space="preserve">Chăm sóc mà không sở hữu hay kiểm soát</x:t>
        </x:is>
      </x:c>
      <x:c r="G30" s="81" t="inlineStr">
        <x:is>
          <x:t xml:space="preserve">Boundaries</x:t>
        </x:is>
      </x:c>
      <x:c r="H30" s="81" t="inlineStr">
        <x:is>
          <x:t xml:space="preserve">Connection</x:t>
        </x:is>
      </x:c>
      <x:c r="I30" s="81" t="inlineStr">
        <x:is>
          <x:t xml:space="preserve">Bình yên</x:t>
        </x:is>
      </x:c>
      <x:c r="J30" s="81" t="str"/>
      <x:c r="K30" s="81" t="inlineStr">
        <x:is>
          <x:t xml:space="preserve">Distinguish</x:t>
        </x:is>
      </x:c>
      <x:c r="L30" s="81" t="inlineStr">
        <x:is>
          <x:t xml:space="preserve">Reframe</x:t>
        </x:is>
      </x:c>
      <x:c r="M30" s="81" t="inlineStr">
        <x:is>
          <x:t xml:space="preserve">Trích đoạn triết học</x:t>
        </x:is>
      </x:c>
      <x:c r="N30" s="81" t="inlineStr">
        <x:is>
          <x:t xml:space="preserve">生而不有，為而不恃，長而不宰，是謂玄德。</x:t>
        </x:is>
      </x:c>
      <x:c r="O30" s="81" t="inlineStr">
        <x:is>
          <x:t xml:space="preserve">Classical Chinese (文言文)</x:t>
        </x:is>
      </x:c>
      <x:c r="P30" s="81" t="inlineStr">
        <x:is>
          <x:t xml:space="preserve">Sinh dưỡng mà không sở hữu; làm mà không cậy công; giúp lớn lên mà không khống chế — đó được gọi là đức huyền.</x:t>
        </x:is>
      </x:c>
      <x:c r="Q30" s="81" t="inlineStr">
        <x:is>
          <x:t xml:space="preserve">Laozi / 老子</x:t>
        </x:is>
      </x:c>
      <x:c r="R30" s="81" t="inlineStr">
        <x:is>
          <x:t xml:space="preserve">Taoism</x:t>
        </x:is>
      </x:c>
      <x:c r="S30" s="81" t="inlineStr">
        <x:is>
          <x:t xml:space="preserve">道德經 / Tao Te Ching</x:t>
        </x:is>
      </x:c>
      <x:c r="T30" s="81" t="inlineStr">
        <x:is>
          <x:t xml:space="preserve">Chapter 10</x:t>
        </x:is>
      </x:c>
      <x:c r="U30" s="81" t="inlineStr">
        <x:is>
          <x:t xml:space="preserve">https://zh.wikisource.org/zh-hans/%E9%81%93%E5%BE%B7%E7%B6%93_(%E7%8E%8B%E5%BC%BC%E6%9C%AC)</x:t>
        </x:is>
      </x:c>
      <x:c r="V30" s="81" t="inlineStr">
        <x:is>
          <x:t xml:space="preserve">Primary text</x:t>
        </x:is>
      </x:c>
      <x:c r="W30" s="81" t="inlineStr">
        <x:is>
          <x:t xml:space="preserve">Working translation</x:t>
        </x:is>
      </x:c>
      <x:c r="X30" s="81" t="inlineStr">
        <x:is>
          <x:t xml:space="preserve">A - Primary source</x:t>
        </x:is>
      </x:c>
      <x:c r="Y30" s="81" t="inlineStr">
        <x:is>
          <x:t xml:space="preserve">Original Chinese checked against Wang Bi recension; cross-check via Chinese Text Project. Vietnamese is Selflo working translation, not published translation.</x:t>
        </x:is>
      </x:c>
      <x:c r="Z30" s="81" t="inlineStr">
        <x:is>
          <x:t xml:space="preserve">Public domain / likely</x:t>
        </x:is>
      </x:c>
      <x:c r="AA30" s="81" t="inlineStr">
        <x:is>
          <x:t xml:space="preserve">Ancient text; Legge 1891 comparison is public domain in USA per Project Gutenberg. Verify jurisdiction for commercial publication.</x:t>
        </x:is>
      </x:c>
      <x:c r="AB30" s="81" t="inlineStr">
        <x:is>
          <x:t xml:space="preserve">High</x:t>
        </x:is>
      </x:c>
      <x:c r="AC30" s="81" t="inlineStr">
        <x:is>
          <x:t xml:space="preserve">Rất tốt cho relationship/parenting/leadership.</x:t>
        </x:is>
      </x:c>
      <x:c r="AD30" s="81" t="inlineStr">
        <x:is>
          <x:t xml:space="preserve">Needs editorial review</x:t>
        </x:is>
      </x:c>
      <x:c r="AE30" s="81" t="inlineStr">
        <x:is>
          <x:t xml:space="preserve">Needs semantic dedupe review</x:t>
        </x:is>
      </x:c>
      <x:c r="AF30" s="81" t="str"/>
      <x:c r="AG30" s="81" t="str"/>
      <x:c r="AH30" s="81" t="inlineStr">
        <x:is>
          <x:t xml:space="preserve">No</x:t>
        </x:is>
      </x:c>
      <x:c r="AI30" s="81" t="inlineStr">
        <x:is>
          <x:t xml:space="preserve">Not reviewed</x:t>
        </x:is>
      </x:c>
      <x:c r="AJ30" s="81" t="inlineStr">
        <x:is>
          <x:t xml:space="preserve">Research only</x:t>
        </x:is>
      </x:c>
      <x:c r="AK30" s="81" t="inlineStr">
        <x:is>
          <x:t xml:space="preserve">Research Pool</x:t>
        </x:is>
      </x:c>
      <x:c r="AL30" s="81" t="n">
        <x:v>1</x:v>
      </x:c>
      <x:c r="AM30" s="81" t="inlineStr">
        <x:is>
          <x:t xml:space="preserve">ChatGPT research</x:t>
        </x:is>
      </x:c>
      <x:c r="AN30" s="81" t="inlineStr">
        <x:is>
          <x:t xml:space="preserve">2026-09-18</x:t>
        </x:is>
      </x:c>
      <x:c r="AO30" s="81" t="inlineStr">
        <x:is>
          <x:t xml:space="preserve">Day 1 full-scope audit, chapters 1–20.</x:t>
        </x:is>
      </x:c>
      <x:c r="AP30" s="81" t="n"/>
      <x:c r="AQ30" s="81" t="n"/>
    </x:row>
    <x:row r="31">
      <x:c r="A31" s="81" t="inlineStr">
        <x:is>
          <x:t xml:space="preserve">research.laozi.ch11.030</x:t>
        </x:is>
      </x:c>
      <x:c r="B31" s="81" t="inlineStr">
        <x:is>
          <x:t xml:space="preserve">Collected</x:t>
        </x:is>
      </x:c>
      <x:c r="C31" s="81" t="inlineStr">
        <x:is>
          <x:t xml:space="preserve">AI &amp; tương lai</x:t>
        </x:is>
      </x:c>
      <x:c r="D31" s="81" t="inlineStr">
        <x:is>
          <x:t xml:space="preserve">Attention / Noise / Deep focus</x:t>
        </x:is>
      </x:c>
      <x:c r="E31" s="81" t="str"/>
      <x:c r="F31" s="81" t="inlineStr">
        <x:is>
          <x:t xml:space="preserve">Khoảng trống có chức năng chứ không chỉ là thiếu vắng</x:t>
        </x:is>
      </x:c>
      <x:c r="G31" s="81" t="inlineStr">
        <x:is>
          <x:t xml:space="preserve">Attention</x:t>
        </x:is>
      </x:c>
      <x:c r="H31" s="81" t="inlineStr">
        <x:is>
          <x:t xml:space="preserve">Enoughness</x:t>
        </x:is>
      </x:c>
      <x:c r="I31" s="81" t="inlineStr">
        <x:is>
          <x:t xml:space="preserve">Trống rỗng</x:t>
        </x:is>
      </x:c>
      <x:c r="J31" s="81" t="str"/>
      <x:c r="K31" s="81" t="inlineStr">
        <x:is>
          <x:t xml:space="preserve">Reframe</x:t>
        </x:is>
      </x:c>
      <x:c r="L31" s="81" t="inlineStr">
        <x:is>
          <x:t xml:space="preserve">Distinguish</x:t>
        </x:is>
      </x:c>
      <x:c r="M31" s="81" t="inlineStr">
        <x:is>
          <x:t xml:space="preserve">Ẩn dụ</x:t>
        </x:is>
      </x:c>
      <x:c r="N31" s="81" t="inlineStr">
        <x:is>
          <x:t xml:space="preserve">三十輻共一轂，當其無，有車之用。</x:t>
        </x:is>
      </x:c>
      <x:c r="O31" s="81" t="inlineStr">
        <x:is>
          <x:t xml:space="preserve">Classical Chinese (文言文)</x:t>
        </x:is>
      </x:c>
      <x:c r="P31" s="81" t="inlineStr">
        <x:is>
          <x:t xml:space="preserve">Ba mươi nan hoa cùng tụ vào một trục; chính khoảng rỗng ở giữa làm bánh xe dùng được.</x:t>
        </x:is>
      </x:c>
      <x:c r="Q31" s="81" t="inlineStr">
        <x:is>
          <x:t xml:space="preserve">Laozi / 老子</x:t>
        </x:is>
      </x:c>
      <x:c r="R31" s="81" t="inlineStr">
        <x:is>
          <x:t xml:space="preserve">Taoism</x:t>
        </x:is>
      </x:c>
      <x:c r="S31" s="81" t="inlineStr">
        <x:is>
          <x:t xml:space="preserve">道德經 / Tao Te Ching</x:t>
        </x:is>
      </x:c>
      <x:c r="T31" s="81" t="inlineStr">
        <x:is>
          <x:t xml:space="preserve">Chapter 11</x:t>
        </x:is>
      </x:c>
      <x:c r="U31" s="81" t="inlineStr">
        <x:is>
          <x:t xml:space="preserve">https://zh.wikisource.org/zh-hans/%E9%81%93%E5%BE%B7%E7%B6%93_(%E7%8E%8B%E5%BC%BC%E6%9C%AC)</x:t>
        </x:is>
      </x:c>
      <x:c r="V31" s="81" t="inlineStr">
        <x:is>
          <x:t xml:space="preserve">Primary text</x:t>
        </x:is>
      </x:c>
      <x:c r="W31" s="81" t="inlineStr">
        <x:is>
          <x:t xml:space="preserve">Working translation</x:t>
        </x:is>
      </x:c>
      <x:c r="X31" s="81" t="inlineStr">
        <x:is>
          <x:t xml:space="preserve">A - Primary source</x:t>
        </x:is>
      </x:c>
      <x:c r="Y31" s="81" t="inlineStr">
        <x:is>
          <x:t xml:space="preserve">Original Chinese checked against Wang Bi recension; cross-check via Chinese Text Project. Vietnamese is Selflo working translation, not published translation.</x:t>
        </x:is>
      </x:c>
      <x:c r="Z31" s="81" t="inlineStr">
        <x:is>
          <x:t xml:space="preserve">Public domain / likely</x:t>
        </x:is>
      </x:c>
      <x:c r="AA31" s="81" t="inlineStr">
        <x:is>
          <x:t xml:space="preserve">Ancient text; Legge 1891 comparison is public domain in USA per Project Gutenberg. Verify jurisdiction for commercial publication.</x:t>
        </x:is>
      </x:c>
      <x:c r="AB31" s="81" t="inlineStr">
        <x:is>
          <x:t xml:space="preserve">High</x:t>
        </x:is>
      </x:c>
      <x:c r="AC31" s="81" t="inlineStr">
        <x:is>
          <x:t xml:space="preserve">Candidate mạnh nhất cho philosophy of space.</x:t>
        </x:is>
      </x:c>
      <x:c r="AD31" s="81" t="inlineStr">
        <x:is>
          <x:t xml:space="preserve">Needs editorial review</x:t>
        </x:is>
      </x:c>
      <x:c r="AE31" s="81" t="inlineStr">
        <x:is>
          <x:t xml:space="preserve">Needs semantic dedupe review</x:t>
        </x:is>
      </x:c>
      <x:c r="AF31" s="81" t="str"/>
      <x:c r="AG31" s="81" t="str"/>
      <x:c r="AH31" s="81" t="inlineStr">
        <x:is>
          <x:t xml:space="preserve">No</x:t>
        </x:is>
      </x:c>
      <x:c r="AI31" s="81" t="inlineStr">
        <x:is>
          <x:t xml:space="preserve">Not reviewed</x:t>
        </x:is>
      </x:c>
      <x:c r="AJ31" s="81" t="inlineStr">
        <x:is>
          <x:t xml:space="preserve">Research only</x:t>
        </x:is>
      </x:c>
      <x:c r="AK31" s="81" t="inlineStr">
        <x:is>
          <x:t xml:space="preserve">Research Pool</x:t>
        </x:is>
      </x:c>
      <x:c r="AL31" s="81" t="n">
        <x:v>1</x:v>
      </x:c>
      <x:c r="AM31" s="81" t="inlineStr">
        <x:is>
          <x:t xml:space="preserve">ChatGPT research</x:t>
        </x:is>
      </x:c>
      <x:c r="AN31" s="81" t="inlineStr">
        <x:is>
          <x:t xml:space="preserve">2026-09-18</x:t>
        </x:is>
      </x:c>
      <x:c r="AO31" s="81" t="inlineStr">
        <x:is>
          <x:t xml:space="preserve">Day 1 full-scope audit, chapters 1–20.</x:t>
        </x:is>
      </x:c>
      <x:c r="AP31" s="81" t="n"/>
      <x:c r="AQ31" s="81" t="n"/>
    </x:row>
    <x:row r="32">
      <x:c r="A32" s="81" t="inlineStr">
        <x:is>
          <x:t xml:space="preserve">research.laozi.ch11.031</x:t>
        </x:is>
      </x:c>
      <x:c r="B32" s="81" t="inlineStr">
        <x:is>
          <x:t xml:space="preserve">Collected</x:t>
        </x:is>
      </x:c>
      <x:c r="C32" s="81" t="inlineStr">
        <x:is>
          <x:t xml:space="preserve">Nội tâm &amp; hiểu mình</x:t>
        </x:is>
      </x:c>
      <x:c r="D32" s="81" t="inlineStr">
        <x:is>
          <x:t xml:space="preserve">Rest / Limits / Wellbeing</x:t>
        </x:is>
      </x:c>
      <x:c r="E32" s="81" t="str"/>
      <x:c r="F32" s="81" t="inlineStr">
        <x:is>
          <x:t xml:space="preserve">Điều không được lấp đầy cũng có thể tạo ra khả năng chứa</x:t>
        </x:is>
      </x:c>
      <x:c r="G32" s="81" t="inlineStr">
        <x:is>
          <x:t xml:space="preserve">Enoughness</x:t>
        </x:is>
      </x:c>
      <x:c r="H32" s="81" t="inlineStr">
        <x:is>
          <x:t xml:space="preserve">Rest</x:t>
        </x:is>
      </x:c>
      <x:c r="I32" s="81" t="inlineStr">
        <x:is>
          <x:t xml:space="preserve">Trống rỗng</x:t>
        </x:is>
      </x:c>
      <x:c r="J32" s="81" t="str"/>
      <x:c r="K32" s="81" t="inlineStr">
        <x:is>
          <x:t xml:space="preserve">Reframe</x:t>
        </x:is>
      </x:c>
      <x:c r="L32" s="81" t="inlineStr">
        <x:is>
          <x:t xml:space="preserve">Permit</x:t>
        </x:is>
      </x:c>
      <x:c r="M32" s="81" t="inlineStr">
        <x:is>
          <x:t xml:space="preserve">Ẩn dụ</x:t>
        </x:is>
      </x:c>
      <x:c r="N32" s="81" t="inlineStr">
        <x:is>
          <x:t xml:space="preserve">埏埴以為器，當其無，有器之用。</x:t>
        </x:is>
      </x:c>
      <x:c r="O32" s="81" t="inlineStr">
        <x:is>
          <x:t xml:space="preserve">Classical Chinese (文言文)</x:t>
        </x:is>
      </x:c>
      <x:c r="P32" s="81" t="inlineStr">
        <x:is>
          <x:t xml:space="preserve">Nặn đất thành đồ đựng; chính khoảng rỗng bên trong làm nó có công dụng.</x:t>
        </x:is>
      </x:c>
      <x:c r="Q32" s="81" t="inlineStr">
        <x:is>
          <x:t xml:space="preserve">Laozi / 老子</x:t>
        </x:is>
      </x:c>
      <x:c r="R32" s="81" t="inlineStr">
        <x:is>
          <x:t xml:space="preserve">Taoism</x:t>
        </x:is>
      </x:c>
      <x:c r="S32" s="81" t="inlineStr">
        <x:is>
          <x:t xml:space="preserve">道德經 / Tao Te Ching</x:t>
        </x:is>
      </x:c>
      <x:c r="T32" s="81" t="inlineStr">
        <x:is>
          <x:t xml:space="preserve">Chapter 11</x:t>
        </x:is>
      </x:c>
      <x:c r="U32" s="81" t="inlineStr">
        <x:is>
          <x:t xml:space="preserve">https://zh.wikisource.org/zh-hans/%E9%81%93%E5%BE%B7%E7%B6%93_(%E7%8E%8B%E5%BC%BC%E6%9C%AC)</x:t>
        </x:is>
      </x:c>
      <x:c r="V32" s="81" t="inlineStr">
        <x:is>
          <x:t xml:space="preserve">Primary text</x:t>
        </x:is>
      </x:c>
      <x:c r="W32" s="81" t="inlineStr">
        <x:is>
          <x:t xml:space="preserve">Working translation</x:t>
        </x:is>
      </x:c>
      <x:c r="X32" s="81" t="inlineStr">
        <x:is>
          <x:t xml:space="preserve">A - Primary source</x:t>
        </x:is>
      </x:c>
      <x:c r="Y32" s="81" t="inlineStr">
        <x:is>
          <x:t xml:space="preserve">Original Chinese checked against Wang Bi recension; cross-check via Chinese Text Project. Vietnamese is Selflo working translation, not published translation.</x:t>
        </x:is>
      </x:c>
      <x:c r="Z32" s="81" t="inlineStr">
        <x:is>
          <x:t xml:space="preserve">Public domain / likely</x:t>
        </x:is>
      </x:c>
      <x:c r="AA32" s="81" t="inlineStr">
        <x:is>
          <x:t xml:space="preserve">Ancient text; Legge 1891 comparison is public domain in USA per Project Gutenberg. Verify jurisdiction for commercial publication.</x:t>
        </x:is>
      </x:c>
      <x:c r="AB32" s="81" t="inlineStr">
        <x:is>
          <x:t xml:space="preserve">High</x:t>
        </x:is>
      </x:c>
      <x:c r="AC32" s="81" t="inlineStr">
        <x:is>
          <x:t xml:space="preserve">Mạnh.</x:t>
        </x:is>
      </x:c>
      <x:c r="AD32" s="81" t="inlineStr">
        <x:is>
          <x:t xml:space="preserve">Needs editorial review</x:t>
        </x:is>
      </x:c>
      <x:c r="AE32" s="81" t="inlineStr">
        <x:is>
          <x:t xml:space="preserve">Needs semantic dedupe review</x:t>
        </x:is>
      </x:c>
      <x:c r="AF32" s="81" t="str"/>
      <x:c r="AG32" s="81" t="str"/>
      <x:c r="AH32" s="81" t="inlineStr">
        <x:is>
          <x:t xml:space="preserve">No</x:t>
        </x:is>
      </x:c>
      <x:c r="AI32" s="81" t="inlineStr">
        <x:is>
          <x:t xml:space="preserve">Not reviewed</x:t>
        </x:is>
      </x:c>
      <x:c r="AJ32" s="81" t="inlineStr">
        <x:is>
          <x:t xml:space="preserve">Research only</x:t>
        </x:is>
      </x:c>
      <x:c r="AK32" s="81" t="inlineStr">
        <x:is>
          <x:t xml:space="preserve">Research Pool</x:t>
        </x:is>
      </x:c>
      <x:c r="AL32" s="81" t="n">
        <x:v>1</x:v>
      </x:c>
      <x:c r="AM32" s="81" t="inlineStr">
        <x:is>
          <x:t xml:space="preserve">ChatGPT research</x:t>
        </x:is>
      </x:c>
      <x:c r="AN32" s="81" t="inlineStr">
        <x:is>
          <x:t xml:space="preserve">2026-09-18</x:t>
        </x:is>
      </x:c>
      <x:c r="AO32" s="81" t="inlineStr">
        <x:is>
          <x:t xml:space="preserve">Day 1 full-scope audit, chapters 1–20.</x:t>
        </x:is>
      </x:c>
      <x:c r="AP32" s="81" t="n"/>
      <x:c r="AQ32" s="81" t="n"/>
    </x:row>
    <x:row r="33">
      <x:c r="A33" s="81" t="inlineStr">
        <x:is>
          <x:t xml:space="preserve">research.laozi.ch11.032</x:t>
        </x:is>
      </x:c>
      <x:c r="B33" s="81" t="inlineStr">
        <x:is>
          <x:t xml:space="preserve">Collected</x:t>
        </x:is>
      </x:c>
      <x:c r="C33" s="81" t="inlineStr">
        <x:is>
          <x:t xml:space="preserve">Nội tâm &amp; hiểu mình</x:t>
        </x:is>
      </x:c>
      <x:c r="D33" s="81" t="inlineStr">
        <x:is>
          <x:t xml:space="preserve">Attention / Noise / Deep focus</x:t>
        </x:is>
      </x:c>
      <x:c r="E33" s="81" t="str"/>
      <x:c r="F33" s="81" t="inlineStr">
        <x:is>
          <x:t xml:space="preserve">Không gian để sống không chỉ được tạo bởi thứ ta xây thêm</x:t>
        </x:is>
      </x:c>
      <x:c r="G33" s="81" t="inlineStr">
        <x:is>
          <x:t xml:space="preserve">Attention</x:t>
        </x:is>
      </x:c>
      <x:c r="H33" s="81" t="inlineStr">
        <x:is>
          <x:t xml:space="preserve">Rest</x:t>
        </x:is>
      </x:c>
      <x:c r="I33" s="81" t="inlineStr">
        <x:is>
          <x:t xml:space="preserve">Quá tải</x:t>
        </x:is>
      </x:c>
      <x:c r="J33" s="81" t="str"/>
      <x:c r="K33" s="81" t="inlineStr">
        <x:is>
          <x:t xml:space="preserve">Reframe</x:t>
        </x:is>
      </x:c>
      <x:c r="L33" s="81" t="inlineStr">
        <x:is>
          <x:t xml:space="preserve">Permit</x:t>
        </x:is>
      </x:c>
      <x:c r="M33" s="81" t="inlineStr">
        <x:is>
          <x:t xml:space="preserve">Ẩn dụ</x:t>
        </x:is>
      </x:c>
      <x:c r="N33" s="81" t="inlineStr">
        <x:is>
          <x:t xml:space="preserve">鑿戶牖以為室，當其無，有室之用。</x:t>
        </x:is>
      </x:c>
      <x:c r="O33" s="81" t="inlineStr">
        <x:is>
          <x:t xml:space="preserve">Classical Chinese (文言文)</x:t>
        </x:is>
      </x:c>
      <x:c r="P33" s="81" t="inlineStr">
        <x:is>
          <x:t xml:space="preserve">Mở cửa và cửa sổ để thành căn phòng; chính khoảng không bên trong làm căn phòng dùng được.</x:t>
        </x:is>
      </x:c>
      <x:c r="Q33" s="81" t="inlineStr">
        <x:is>
          <x:t xml:space="preserve">Laozi / 老子</x:t>
        </x:is>
      </x:c>
      <x:c r="R33" s="81" t="inlineStr">
        <x:is>
          <x:t xml:space="preserve">Taoism</x:t>
        </x:is>
      </x:c>
      <x:c r="S33" s="81" t="inlineStr">
        <x:is>
          <x:t xml:space="preserve">道德經 / Tao Te Ching</x:t>
        </x:is>
      </x:c>
      <x:c r="T33" s="81" t="inlineStr">
        <x:is>
          <x:t xml:space="preserve">Chapter 11</x:t>
        </x:is>
      </x:c>
      <x:c r="U33" s="81" t="inlineStr">
        <x:is>
          <x:t xml:space="preserve">https://zh.wikisource.org/zh-hans/%E9%81%93%E5%BE%B7%E7%B6%93_(%E7%8E%8B%E5%BC%BC%E6%9C%AC)</x:t>
        </x:is>
      </x:c>
      <x:c r="V33" s="81" t="inlineStr">
        <x:is>
          <x:t xml:space="preserve">Primary text</x:t>
        </x:is>
      </x:c>
      <x:c r="W33" s="81" t="inlineStr">
        <x:is>
          <x:t xml:space="preserve">Working translation</x:t>
        </x:is>
      </x:c>
      <x:c r="X33" s="81" t="inlineStr">
        <x:is>
          <x:t xml:space="preserve">A - Primary source</x:t>
        </x:is>
      </x:c>
      <x:c r="Y33" s="81" t="inlineStr">
        <x:is>
          <x:t xml:space="preserve">Original Chinese checked against Wang Bi recension; cross-check via Chinese Text Project. Vietnamese is Selflo working translation, not published translation.</x:t>
        </x:is>
      </x:c>
      <x:c r="Z33" s="81" t="inlineStr">
        <x:is>
          <x:t xml:space="preserve">Public domain / likely</x:t>
        </x:is>
      </x:c>
      <x:c r="AA33" s="81" t="inlineStr">
        <x:is>
          <x:t xml:space="preserve">Ancient text; Legge 1891 comparison is public domain in USA per Project Gutenberg. Verify jurisdiction for commercial publication.</x:t>
        </x:is>
      </x:c>
      <x:c r="AB33" s="81" t="inlineStr">
        <x:is>
          <x:t xml:space="preserve">High</x:t>
        </x:is>
      </x:c>
      <x:c r="AC33" s="81" t="inlineStr">
        <x:is>
          <x:t xml:space="preserve">Mạnh cho Selflo/space.</x:t>
        </x:is>
      </x:c>
      <x:c r="AD33" s="81" t="inlineStr">
        <x:is>
          <x:t xml:space="preserve">Needs editorial review</x:t>
        </x:is>
      </x:c>
      <x:c r="AE33" s="81" t="inlineStr">
        <x:is>
          <x:t xml:space="preserve">Needs semantic dedupe review</x:t>
        </x:is>
      </x:c>
      <x:c r="AF33" s="81" t="str"/>
      <x:c r="AG33" s="81" t="str"/>
      <x:c r="AH33" s="81" t="inlineStr">
        <x:is>
          <x:t xml:space="preserve">No</x:t>
        </x:is>
      </x:c>
      <x:c r="AI33" s="81" t="inlineStr">
        <x:is>
          <x:t xml:space="preserve">Not reviewed</x:t>
        </x:is>
      </x:c>
      <x:c r="AJ33" s="81" t="inlineStr">
        <x:is>
          <x:t xml:space="preserve">Research only</x:t>
        </x:is>
      </x:c>
      <x:c r="AK33" s="81" t="inlineStr">
        <x:is>
          <x:t xml:space="preserve">Research Pool</x:t>
        </x:is>
      </x:c>
      <x:c r="AL33" s="81" t="n">
        <x:v>1</x:v>
      </x:c>
      <x:c r="AM33" s="81" t="inlineStr">
        <x:is>
          <x:t xml:space="preserve">ChatGPT research</x:t>
        </x:is>
      </x:c>
      <x:c r="AN33" s="81" t="inlineStr">
        <x:is>
          <x:t xml:space="preserve">2026-09-18</x:t>
        </x:is>
      </x:c>
      <x:c r="AO33" s="81" t="inlineStr">
        <x:is>
          <x:t xml:space="preserve">Day 1 full-scope audit, chapters 1–20.</x:t>
        </x:is>
      </x:c>
      <x:c r="AP33" s="81" t="n"/>
      <x:c r="AQ33" s="81" t="n"/>
    </x:row>
    <x:row r="34">
      <x:c r="A34" s="81" t="inlineStr">
        <x:is>
          <x:t xml:space="preserve">research.laozi.ch11.033</x:t>
        </x:is>
      </x:c>
      <x:c r="B34" s="81" t="inlineStr">
        <x:is>
          <x:t xml:space="preserve">Collected</x:t>
        </x:is>
      </x:c>
      <x:c r="C34" s="81" t="inlineStr">
        <x:is>
          <x:t xml:space="preserve">AI &amp; tương lai</x:t>
        </x:is>
      </x:c>
      <x:c r="D34" s="81" t="inlineStr">
        <x:is>
          <x:t xml:space="preserve">AI-age Human Judgment</x:t>
        </x:is>
      </x:c>
      <x:c r="E34" s="81" t="str"/>
      <x:c r="F34" s="81" t="inlineStr">
        <x:is>
          <x:t xml:space="preserve">Giá trị có thể đến cả từ thứ hiện diện lẫn khoảng không được giữ lại</x:t>
        </x:is>
      </x:c>
      <x:c r="G34" s="81" t="inlineStr">
        <x:is>
          <x:t xml:space="preserve">Enoughness</x:t>
        </x:is>
      </x:c>
      <x:c r="H34" s="81" t="inlineStr">
        <x:is>
          <x:t xml:space="preserve">Attention</x:t>
        </x:is>
      </x:c>
      <x:c r="I34" s="81" t="inlineStr">
        <x:is>
          <x:t xml:space="preserve">Quá tải</x:t>
        </x:is>
      </x:c>
      <x:c r="J34" s="81" t="str"/>
      <x:c r="K34" s="81" t="inlineStr">
        <x:is>
          <x:t xml:space="preserve">Distinguish</x:t>
        </x:is>
      </x:c>
      <x:c r="L34" s="81" t="inlineStr">
        <x:is>
          <x:t xml:space="preserve">Reframe</x:t>
        </x:is>
      </x:c>
      <x:c r="M34" s="81" t="inlineStr">
        <x:is>
          <x:t xml:space="preserve">Nghịch lý</x:t>
        </x:is>
      </x:c>
      <x:c r="N34" s="81" t="inlineStr">
        <x:is>
          <x:t xml:space="preserve">故有之以為利，無之以為用。</x:t>
        </x:is>
      </x:c>
      <x:c r="O34" s="81" t="inlineStr">
        <x:is>
          <x:t xml:space="preserve">Classical Chinese (文言文)</x:t>
        </x:is>
      </x:c>
      <x:c r="P34" s="81" t="inlineStr">
        <x:is>
          <x:t xml:space="preserve">Cái có tạo nên lợi ích; cái không có tạo nên chỗ để sử dụng.</x:t>
        </x:is>
      </x:c>
      <x:c r="Q34" s="81" t="inlineStr">
        <x:is>
          <x:t xml:space="preserve">Laozi / 老子</x:t>
        </x:is>
      </x:c>
      <x:c r="R34" s="81" t="inlineStr">
        <x:is>
          <x:t xml:space="preserve">Taoism</x:t>
        </x:is>
      </x:c>
      <x:c r="S34" s="81" t="inlineStr">
        <x:is>
          <x:t xml:space="preserve">道德經 / Tao Te Ching</x:t>
        </x:is>
      </x:c>
      <x:c r="T34" s="81" t="inlineStr">
        <x:is>
          <x:t xml:space="preserve">Chapter 11</x:t>
        </x:is>
      </x:c>
      <x:c r="U34" s="81" t="inlineStr">
        <x:is>
          <x:t xml:space="preserve">https://zh.wikisource.org/zh-hans/%E9%81%93%E5%BE%B7%E7%B6%93_(%E7%8E%8B%E5%BC%BC%E6%9C%AC)</x:t>
        </x:is>
      </x:c>
      <x:c r="V34" s="81" t="inlineStr">
        <x:is>
          <x:t xml:space="preserve">Primary text</x:t>
        </x:is>
      </x:c>
      <x:c r="W34" s="81" t="inlineStr">
        <x:is>
          <x:t xml:space="preserve">Working translation</x:t>
        </x:is>
      </x:c>
      <x:c r="X34" s="81" t="inlineStr">
        <x:is>
          <x:t xml:space="preserve">A - Primary source</x:t>
        </x:is>
      </x:c>
      <x:c r="Y34" s="81" t="inlineStr">
        <x:is>
          <x:t xml:space="preserve">Original Chinese checked against Wang Bi recension; cross-check via Chinese Text Project. Vietnamese is Selflo working translation, not published translation.</x:t>
        </x:is>
      </x:c>
      <x:c r="Z34" s="81" t="inlineStr">
        <x:is>
          <x:t xml:space="preserve">Public domain / likely</x:t>
        </x:is>
      </x:c>
      <x:c r="AA34" s="81" t="inlineStr">
        <x:is>
          <x:t xml:space="preserve">Ancient text; Legge 1891 comparison is public domain in USA per Project Gutenberg. Verify jurisdiction for commercial publication.</x:t>
        </x:is>
      </x:c>
      <x:c r="AB34" s="81" t="inlineStr">
        <x:is>
          <x:t xml:space="preserve">High</x:t>
        </x:is>
      </x:c>
      <x:c r="AC34" s="81" t="inlineStr">
        <x:is>
          <x:t xml:space="preserve">Rất mạnh cho AI abundance.</x:t>
        </x:is>
      </x:c>
      <x:c r="AD34" s="81" t="inlineStr">
        <x:is>
          <x:t xml:space="preserve">Needs editorial review</x:t>
        </x:is>
      </x:c>
      <x:c r="AE34" s="81" t="inlineStr">
        <x:is>
          <x:t xml:space="preserve">Needs semantic dedupe review</x:t>
        </x:is>
      </x:c>
      <x:c r="AF34" s="81" t="str"/>
      <x:c r="AG34" s="81" t="str"/>
      <x:c r="AH34" s="81" t="inlineStr">
        <x:is>
          <x:t xml:space="preserve">No</x:t>
        </x:is>
      </x:c>
      <x:c r="AI34" s="81" t="inlineStr">
        <x:is>
          <x:t xml:space="preserve">Not reviewed</x:t>
        </x:is>
      </x:c>
      <x:c r="AJ34" s="81" t="inlineStr">
        <x:is>
          <x:t xml:space="preserve">Research only</x:t>
        </x:is>
      </x:c>
      <x:c r="AK34" s="81" t="inlineStr">
        <x:is>
          <x:t xml:space="preserve">Research Pool</x:t>
        </x:is>
      </x:c>
      <x:c r="AL34" s="81" t="n">
        <x:v>1</x:v>
      </x:c>
      <x:c r="AM34" s="81" t="inlineStr">
        <x:is>
          <x:t xml:space="preserve">ChatGPT research</x:t>
        </x:is>
      </x:c>
      <x:c r="AN34" s="81" t="inlineStr">
        <x:is>
          <x:t xml:space="preserve">2026-09-18</x:t>
        </x:is>
      </x:c>
      <x:c r="AO34" s="81" t="inlineStr">
        <x:is>
          <x:t xml:space="preserve">Day 1 full-scope audit, chapters 1–20.</x:t>
        </x:is>
      </x:c>
      <x:c r="AP34" s="81" t="n"/>
      <x:c r="AQ34" s="81" t="n"/>
    </x:row>
    <x:row r="35">
      <x:c r="A35" s="81" t="inlineStr">
        <x:is>
          <x:t xml:space="preserve">research.laozi.ch12.034</x:t>
        </x:is>
      </x:c>
      <x:c r="B35" s="81" t="inlineStr">
        <x:is>
          <x:t xml:space="preserve">Collected</x:t>
        </x:is>
      </x:c>
      <x:c r="C35" s="81" t="inlineStr">
        <x:is>
          <x:t xml:space="preserve">AI &amp; tương lai</x:t>
        </x:is>
      </x:c>
      <x:c r="D35" s="81" t="inlineStr">
        <x:is>
          <x:t xml:space="preserve">Attention / Noise / Deep focus</x:t>
        </x:is>
      </x:c>
      <x:c r="E35" s="81" t="str"/>
      <x:c r="F35" s="81" t="inlineStr">
        <x:is>
          <x:t xml:space="preserve">Quá nhiều kích thích có thể làm giảm khả năng cảm nhận</x:t>
        </x:is>
      </x:c>
      <x:c r="G35" s="81" t="inlineStr">
        <x:is>
          <x:t xml:space="preserve">Attention</x:t>
        </x:is>
      </x:c>
      <x:c r="H35" s="81" t="inlineStr">
        <x:is>
          <x:t xml:space="preserve">Enoughness</x:t>
        </x:is>
      </x:c>
      <x:c r="I35" s="81" t="inlineStr">
        <x:is>
          <x:t xml:space="preserve">Quá tải</x:t>
        </x:is>
      </x:c>
      <x:c r="J35" s="81" t="str"/>
      <x:c r="K35" s="81" t="inlineStr">
        <x:is>
          <x:t xml:space="preserve">Recognize</x:t>
        </x:is>
      </x:c>
      <x:c r="L35" s="81" t="inlineStr">
        <x:is>
          <x:t xml:space="preserve">Distinguish</x:t>
        </x:is>
      </x:c>
      <x:c r="M35" s="81" t="inlineStr">
        <x:is>
          <x:t xml:space="preserve">Ẩn dụ</x:t>
        </x:is>
      </x:c>
      <x:c r="N35" s="81" t="inlineStr">
        <x:is>
          <x:t xml:space="preserve">五色令人目盲，五音令人耳聾，五味令人口爽。</x:t>
        </x:is>
      </x:c>
      <x:c r="O35" s="81" t="inlineStr">
        <x:is>
          <x:t xml:space="preserve">Classical Chinese (文言文)</x:t>
        </x:is>
      </x:c>
      <x:c r="P35" s="81" t="inlineStr">
        <x:is>
          <x:t xml:space="preserve">Quá nhiều sắc có thể làm mắt lóa; quá nhiều âm làm tai như điếc; quá nhiều vị làm miệng mất khả năng phân biệt.</x:t>
        </x:is>
      </x:c>
      <x:c r="Q35" s="81" t="inlineStr">
        <x:is>
          <x:t xml:space="preserve">Laozi / 老子</x:t>
        </x:is>
      </x:c>
      <x:c r="R35" s="81" t="inlineStr">
        <x:is>
          <x:t xml:space="preserve">Taoism</x:t>
        </x:is>
      </x:c>
      <x:c r="S35" s="81" t="inlineStr">
        <x:is>
          <x:t xml:space="preserve">道德經 / Tao Te Ching</x:t>
        </x:is>
      </x:c>
      <x:c r="T35" s="81" t="inlineStr">
        <x:is>
          <x:t xml:space="preserve">Chapter 12</x:t>
        </x:is>
      </x:c>
      <x:c r="U35" s="81" t="inlineStr">
        <x:is>
          <x:t xml:space="preserve">https://zh.wikisource.org/zh-hans/%E9%81%93%E5%BE%B7%E7%B6%93_(%E7%8E%8B%E5%BC%BC%E6%9C%AC)</x:t>
        </x:is>
      </x:c>
      <x:c r="V35" s="81" t="inlineStr">
        <x:is>
          <x:t xml:space="preserve">Primary text</x:t>
        </x:is>
      </x:c>
      <x:c r="W35" s="81" t="inlineStr">
        <x:is>
          <x:t xml:space="preserve">Working translation</x:t>
        </x:is>
      </x:c>
      <x:c r="X35" s="81" t="inlineStr">
        <x:is>
          <x:t xml:space="preserve">A - Primary source</x:t>
        </x:is>
      </x:c>
      <x:c r="Y35" s="81" t="inlineStr">
        <x:is>
          <x:t xml:space="preserve">Original Chinese checked against Wang Bi recension; cross-check via Chinese Text Project. Vietnamese is Selflo working translation, not published translation.</x:t>
        </x:is>
      </x:c>
      <x:c r="Z35" s="81" t="inlineStr">
        <x:is>
          <x:t xml:space="preserve">Public domain / likely</x:t>
        </x:is>
      </x:c>
      <x:c r="AA35" s="81" t="inlineStr">
        <x:is>
          <x:t xml:space="preserve">Ancient text; Legge 1891 comparison is public domain in USA per Project Gutenberg. Verify jurisdiction for commercial publication.</x:t>
        </x:is>
      </x:c>
      <x:c r="AB35" s="81" t="inlineStr">
        <x:is>
          <x:t xml:space="preserve">High</x:t>
        </x:is>
      </x:c>
      <x:c r="AC35" s="81" t="inlineStr">
        <x:is>
          <x:t xml:space="preserve">Mạnh cho information abundance.</x:t>
        </x:is>
      </x:c>
      <x:c r="AD35" s="81" t="inlineStr">
        <x:is>
          <x:t xml:space="preserve">Needs editorial review</x:t>
        </x:is>
      </x:c>
      <x:c r="AE35" s="81" t="inlineStr">
        <x:is>
          <x:t xml:space="preserve">Needs semantic dedupe review</x:t>
        </x:is>
      </x:c>
      <x:c r="AF35" s="81" t="str"/>
      <x:c r="AG35" s="81" t="str"/>
      <x:c r="AH35" s="81" t="inlineStr">
        <x:is>
          <x:t xml:space="preserve">No</x:t>
        </x:is>
      </x:c>
      <x:c r="AI35" s="81" t="inlineStr">
        <x:is>
          <x:t xml:space="preserve">Not reviewed</x:t>
        </x:is>
      </x:c>
      <x:c r="AJ35" s="81" t="inlineStr">
        <x:is>
          <x:t xml:space="preserve">Research only</x:t>
        </x:is>
      </x:c>
      <x:c r="AK35" s="81" t="inlineStr">
        <x:is>
          <x:t xml:space="preserve">Research Pool</x:t>
        </x:is>
      </x:c>
      <x:c r="AL35" s="81" t="n">
        <x:v>1</x:v>
      </x:c>
      <x:c r="AM35" s="81" t="inlineStr">
        <x:is>
          <x:t xml:space="preserve">ChatGPT research</x:t>
        </x:is>
      </x:c>
      <x:c r="AN35" s="81" t="inlineStr">
        <x:is>
          <x:t xml:space="preserve">2026-09-18</x:t>
        </x:is>
      </x:c>
      <x:c r="AO35" s="81" t="inlineStr">
        <x:is>
          <x:t xml:space="preserve">Day 1 full-scope audit, chapters 1–20.</x:t>
        </x:is>
      </x:c>
      <x:c r="AP35" s="81" t="n"/>
      <x:c r="AQ35" s="81" t="n"/>
    </x:row>
    <x:row r="36">
      <x:c r="A36" s="81" t="inlineStr">
        <x:is>
          <x:t xml:space="preserve">research.laozi.ch12.035</x:t>
        </x:is>
      </x:c>
      <x:c r="B36" s="81" t="inlineStr">
        <x:is>
          <x:t xml:space="preserve">Collected</x:t>
        </x:is>
      </x:c>
      <x:c r="C36" s="81" t="inlineStr">
        <x:is>
          <x:t xml:space="preserve">Xã hội &amp; văn hóa</x:t>
        </x:is>
      </x:c>
      <x:c r="D36" s="81" t="inlineStr">
        <x:is>
          <x:t xml:space="preserve">Comparison / External standards / Values</x:t>
        </x:is>
      </x:c>
      <x:c r="E36" s="81" t="str"/>
      <x:c r="F36" s="81" t="inlineStr">
        <x:is>
          <x:t xml:space="preserve">Săn đuổi kích thích và sự hiếm có có thể định hướng hành vi</x:t>
        </x:is>
      </x:c>
      <x:c r="G36" s="81" t="inlineStr">
        <x:is>
          <x:t xml:space="preserve">Attention</x:t>
        </x:is>
      </x:c>
      <x:c r="H36" s="81" t="inlineStr">
        <x:is>
          <x:t xml:space="preserve">Values</x:t>
        </x:is>
      </x:c>
      <x:c r="I36" s="81" t="inlineStr">
        <x:is>
          <x:t xml:space="preserve">Áp lực</x:t>
        </x:is>
      </x:c>
      <x:c r="J36" s="81" t="str"/>
      <x:c r="K36" s="81" t="inlineStr">
        <x:is>
          <x:t xml:space="preserve">Recognize</x:t>
        </x:is>
      </x:c>
      <x:c r="L36" s="81" t="inlineStr">
        <x:is>
          <x:t xml:space="preserve">Distinguish</x:t>
        </x:is>
      </x:c>
      <x:c r="M36" s="81" t="inlineStr">
        <x:is>
          <x:t xml:space="preserve">Trích đoạn triết học</x:t>
        </x:is>
      </x:c>
      <x:c r="N36" s="81" t="inlineStr">
        <x:is>
          <x:t xml:space="preserve">馳騁畋獵令人心發狂，難得之貨令人行妨。</x:t>
        </x:is>
      </x:c>
      <x:c r="O36" s="81" t="inlineStr">
        <x:is>
          <x:t xml:space="preserve">Classical Chinese (文言文)</x:t>
        </x:is>
      </x:c>
      <x:c r="P36" s="81" t="inlineStr">
        <x:is>
          <x:t xml:space="preserve">Cuộc săn đuổi kích thích có thể làm tâm trí cuồng động; vật hiếm khó có thể kéo hành vi lệch khỏi đường của mình.</x:t>
        </x:is>
      </x:c>
      <x:c r="Q36" s="81" t="inlineStr">
        <x:is>
          <x:t xml:space="preserve">Laozi / 老子</x:t>
        </x:is>
      </x:c>
      <x:c r="R36" s="81" t="inlineStr">
        <x:is>
          <x:t xml:space="preserve">Taoism</x:t>
        </x:is>
      </x:c>
      <x:c r="S36" s="81" t="inlineStr">
        <x:is>
          <x:t xml:space="preserve">道德經 / Tao Te Ching</x:t>
        </x:is>
      </x:c>
      <x:c r="T36" s="81" t="inlineStr">
        <x:is>
          <x:t xml:space="preserve">Chapter 12</x:t>
        </x:is>
      </x:c>
      <x:c r="U36" s="81" t="inlineStr">
        <x:is>
          <x:t xml:space="preserve">https://zh.wikisource.org/zh-hans/%E9%81%93%E5%BE%B7%E7%B6%93_(%E7%8E%8B%E5%BC%BC%E6%9C%AC)</x:t>
        </x:is>
      </x:c>
      <x:c r="V36" s="81" t="inlineStr">
        <x:is>
          <x:t xml:space="preserve">Primary text</x:t>
        </x:is>
      </x:c>
      <x:c r="W36" s="81" t="inlineStr">
        <x:is>
          <x:t xml:space="preserve">Working translation</x:t>
        </x:is>
      </x:c>
      <x:c r="X36" s="81" t="inlineStr">
        <x:is>
          <x:t xml:space="preserve">A - Primary source</x:t>
        </x:is>
      </x:c>
      <x:c r="Y36" s="81" t="inlineStr">
        <x:is>
          <x:t xml:space="preserve">Original Chinese checked against Wang Bi recension; cross-check via Chinese Text Project. Vietnamese is Selflo working translation, not published translation.</x:t>
        </x:is>
      </x:c>
      <x:c r="Z36" s="81" t="inlineStr">
        <x:is>
          <x:t xml:space="preserve">Public domain / likely</x:t>
        </x:is>
      </x:c>
      <x:c r="AA36" s="81" t="inlineStr">
        <x:is>
          <x:t xml:space="preserve">Ancient text; Legge 1891 comparison is public domain in USA per Project Gutenberg. Verify jurisdiction for commercial publication.</x:t>
        </x:is>
      </x:c>
      <x:c r="AB36" s="81" t="inlineStr">
        <x:is>
          <x:t xml:space="preserve">Medium</x:t>
        </x:is>
      </x:c>
      <x:c r="AC36" s="81" t="inlineStr">
        <x:is>
          <x:t xml:space="preserve">Cần tránh moralizing.</x:t>
        </x:is>
      </x:c>
      <x:c r="AD36" s="81" t="inlineStr">
        <x:is>
          <x:t xml:space="preserve">Needs editorial review</x:t>
        </x:is>
      </x:c>
      <x:c r="AE36" s="81" t="inlineStr">
        <x:is>
          <x:t xml:space="preserve">Needs semantic dedupe review</x:t>
        </x:is>
      </x:c>
      <x:c r="AF36" s="81" t="str"/>
      <x:c r="AG36" s="81" t="str"/>
      <x:c r="AH36" s="81" t="inlineStr">
        <x:is>
          <x:t xml:space="preserve">No</x:t>
        </x:is>
      </x:c>
      <x:c r="AI36" s="81" t="inlineStr">
        <x:is>
          <x:t xml:space="preserve">Not reviewed</x:t>
        </x:is>
      </x:c>
      <x:c r="AJ36" s="81" t="inlineStr">
        <x:is>
          <x:t xml:space="preserve">Research only</x:t>
        </x:is>
      </x:c>
      <x:c r="AK36" s="81" t="inlineStr">
        <x:is>
          <x:t xml:space="preserve">Research Pool</x:t>
        </x:is>
      </x:c>
      <x:c r="AL36" s="81" t="n">
        <x:v>1</x:v>
      </x:c>
      <x:c r="AM36" s="81" t="inlineStr">
        <x:is>
          <x:t xml:space="preserve">ChatGPT research</x:t>
        </x:is>
      </x:c>
      <x:c r="AN36" s="81" t="inlineStr">
        <x:is>
          <x:t xml:space="preserve">2026-09-18</x:t>
        </x:is>
      </x:c>
      <x:c r="AO36" s="81" t="inlineStr">
        <x:is>
          <x:t xml:space="preserve">Day 1 full-scope audit, chapters 1–20.</x:t>
        </x:is>
      </x:c>
      <x:c r="AP36" s="81" t="n"/>
      <x:c r="AQ36" s="81" t="n"/>
    </x:row>
    <x:row r="37">
      <x:c r="A37" s="81" t="inlineStr">
        <x:is>
          <x:t xml:space="preserve">research.laozi.ch12.036</x:t>
        </x:is>
      </x:c>
      <x:c r="B37" s="81" t="inlineStr">
        <x:is>
          <x:t xml:space="preserve">Collected</x:t>
        </x:is>
      </x:c>
      <x:c r="C37" s="81" t="inlineStr">
        <x:is>
          <x:t xml:space="preserve">Nội tâm &amp; hiểu mình</x:t>
        </x:is>
      </x:c>
      <x:c r="D37" s="81" t="inlineStr">
        <x:is>
          <x:t xml:space="preserve">Comparison / External standards / Values</x:t>
        </x:is>
      </x:c>
      <x:c r="E37" s="81" t="str"/>
      <x:c r="F37" s="81" t="inlineStr">
        <x:is>
          <x:t xml:space="preserve">Phân biệt điều nuôi dưỡng mình với điều chỉ thu hút mình</x:t>
        </x:is>
      </x:c>
      <x:c r="G37" s="81" t="inlineStr">
        <x:is>
          <x:t xml:space="preserve">Values</x:t>
        </x:is>
      </x:c>
      <x:c r="H37" s="81" t="inlineStr">
        <x:is>
          <x:t xml:space="preserve">Enoughness</x:t>
        </x:is>
      </x:c>
      <x:c r="I37" s="81" t="inlineStr">
        <x:is>
          <x:t xml:space="preserve">Bối rối</x:t>
        </x:is>
      </x:c>
      <x:c r="J37" s="81" t="str"/>
      <x:c r="K37" s="81" t="inlineStr">
        <x:is>
          <x:t xml:space="preserve">Distinguish</x:t>
        </x:is>
      </x:c>
      <x:c r="L37" s="81" t="inlineStr">
        <x:is>
          <x:t xml:space="preserve">Return agency</x:t>
        </x:is>
      </x:c>
      <x:c r="M37" s="81" t="inlineStr">
        <x:is>
          <x:t xml:space="preserve">Trích đoạn triết học</x:t>
        </x:is>
      </x:c>
      <x:c r="N37" s="81" t="inlineStr">
        <x:is>
          <x:t xml:space="preserve">是以聖人為腹不為目，故去彼取此。</x:t>
        </x:is>
      </x:c>
      <x:c r="O37" s="81" t="inlineStr">
        <x:is>
          <x:t xml:space="preserve">Classical Chinese (文言文)</x:t>
        </x:is>
      </x:c>
      <x:c r="P37" s="81" t="inlineStr">
        <x:is>
          <x:t xml:space="preserve">Vì vậy người theo Đạo chăm điều nuôi dưỡng bên trong hơn là chạy theo thứ chỉ làm mắt thỏa mãn.</x:t>
        </x:is>
      </x:c>
      <x:c r="Q37" s="81" t="inlineStr">
        <x:is>
          <x:t xml:space="preserve">Laozi / 老子</x:t>
        </x:is>
      </x:c>
      <x:c r="R37" s="81" t="inlineStr">
        <x:is>
          <x:t xml:space="preserve">Taoism</x:t>
        </x:is>
      </x:c>
      <x:c r="S37" s="81" t="inlineStr">
        <x:is>
          <x:t xml:space="preserve">道德經 / Tao Te Ching</x:t>
        </x:is>
      </x:c>
      <x:c r="T37" s="81" t="inlineStr">
        <x:is>
          <x:t xml:space="preserve">Chapter 12</x:t>
        </x:is>
      </x:c>
      <x:c r="U37" s="81" t="inlineStr">
        <x:is>
          <x:t xml:space="preserve">https://zh.wikisource.org/zh-hans/%E9%81%93%E5%BE%B7%E7%B6%93_(%E7%8E%8B%E5%BC%BC%E6%9C%AC)</x:t>
        </x:is>
      </x:c>
      <x:c r="V37" s="81" t="inlineStr">
        <x:is>
          <x:t xml:space="preserve">Primary text</x:t>
        </x:is>
      </x:c>
      <x:c r="W37" s="81" t="inlineStr">
        <x:is>
          <x:t xml:space="preserve">Working translation</x:t>
        </x:is>
      </x:c>
      <x:c r="X37" s="81" t="inlineStr">
        <x:is>
          <x:t xml:space="preserve">A - Primary source</x:t>
        </x:is>
      </x:c>
      <x:c r="Y37" s="81" t="inlineStr">
        <x:is>
          <x:t xml:space="preserve">Original Chinese checked against Wang Bi recension; cross-check via Chinese Text Project. Vietnamese is Selflo working translation, not published translation.</x:t>
        </x:is>
      </x:c>
      <x:c r="Z37" s="81" t="inlineStr">
        <x:is>
          <x:t xml:space="preserve">Public domain / likely</x:t>
        </x:is>
      </x:c>
      <x:c r="AA37" s="81" t="inlineStr">
        <x:is>
          <x:t xml:space="preserve">Ancient text; Legge 1891 comparison is public domain in USA per Project Gutenberg. Verify jurisdiction for commercial publication.</x:t>
        </x:is>
      </x:c>
      <x:c r="AB37" s="81" t="inlineStr">
        <x:is>
          <x:t xml:space="preserve">High</x:t>
        </x:is>
      </x:c>
      <x:c r="AC37" s="81" t="inlineStr">
        <x:is>
          <x:t xml:space="preserve">Working translation diễn giải; hợp values.</x:t>
        </x:is>
      </x:c>
      <x:c r="AD37" s="81" t="inlineStr">
        <x:is>
          <x:t xml:space="preserve">Needs editorial review</x:t>
        </x:is>
      </x:c>
      <x:c r="AE37" s="81" t="inlineStr">
        <x:is>
          <x:t xml:space="preserve">Needs semantic dedupe review</x:t>
        </x:is>
      </x:c>
      <x:c r="AF37" s="81" t="str"/>
      <x:c r="AG37" s="81" t="str"/>
      <x:c r="AH37" s="81" t="inlineStr">
        <x:is>
          <x:t xml:space="preserve">No</x:t>
        </x:is>
      </x:c>
      <x:c r="AI37" s="81" t="inlineStr">
        <x:is>
          <x:t xml:space="preserve">Not reviewed</x:t>
        </x:is>
      </x:c>
      <x:c r="AJ37" s="81" t="inlineStr">
        <x:is>
          <x:t xml:space="preserve">Research only</x:t>
        </x:is>
      </x:c>
      <x:c r="AK37" s="81" t="inlineStr">
        <x:is>
          <x:t xml:space="preserve">Research Pool</x:t>
        </x:is>
      </x:c>
      <x:c r="AL37" s="81" t="n">
        <x:v>1</x:v>
      </x:c>
      <x:c r="AM37" s="81" t="inlineStr">
        <x:is>
          <x:t xml:space="preserve">ChatGPT research</x:t>
        </x:is>
      </x:c>
      <x:c r="AN37" s="81" t="inlineStr">
        <x:is>
          <x:t xml:space="preserve">2026-09-18</x:t>
        </x:is>
      </x:c>
      <x:c r="AO37" s="81" t="inlineStr">
        <x:is>
          <x:t xml:space="preserve">Day 1 full-scope audit, chapters 1–20.</x:t>
        </x:is>
      </x:c>
      <x:c r="AP37" s="81" t="n"/>
      <x:c r="AQ37" s="81" t="n"/>
    </x:row>
    <x:row r="38">
      <x:c r="A38" s="81" t="inlineStr">
        <x:is>
          <x:t xml:space="preserve">research.laozi.ch13.037</x:t>
        </x:is>
      </x:c>
      <x:c r="B38" s="81" t="inlineStr">
        <x:is>
          <x:t xml:space="preserve">Collected</x:t>
        </x:is>
      </x:c>
      <x:c r="C38" s="81" t="inlineStr">
        <x:is>
          <x:t xml:space="preserve">Xã hội &amp; văn hóa</x:t>
        </x:is>
      </x:c>
      <x:c r="D38" s="81" t="inlineStr">
        <x:is>
          <x:t xml:space="preserve">Comparison / External standards / Values</x:t>
        </x:is>
      </x:c>
      <x:c r="E38" s="81" t="str"/>
      <x:c r="F38" s="81" t="inlineStr">
        <x:is>
          <x:t xml:space="preserve">Sự đánh giá bên ngoài có thể làm mình bất an ở cả hai phía</x:t>
        </x:is>
      </x:c>
      <x:c r="G38" s="81" t="inlineStr">
        <x:is>
          <x:t xml:space="preserve">Comparison</x:t>
        </x:is>
      </x:c>
      <x:c r="H38" s="81" t="inlineStr">
        <x:is>
          <x:t xml:space="preserve">Self-worth</x:t>
        </x:is>
      </x:c>
      <x:c r="I38" s="81" t="inlineStr">
        <x:is>
          <x:t xml:space="preserve">Lo lắng</x:t>
        </x:is>
      </x:c>
      <x:c r="J38" s="81" t="str"/>
      <x:c r="K38" s="81" t="inlineStr">
        <x:is>
          <x:t xml:space="preserve">Recognize</x:t>
        </x:is>
      </x:c>
      <x:c r="L38" s="81" t="inlineStr">
        <x:is>
          <x:t xml:space="preserve">Distinguish</x:t>
        </x:is>
      </x:c>
      <x:c r="M38" s="81" t="inlineStr">
        <x:is>
          <x:t xml:space="preserve">Nghịch lý</x:t>
        </x:is>
      </x:c>
      <x:c r="N38" s="81" t="inlineStr">
        <x:is>
          <x:t xml:space="preserve">寵辱若驚。</x:t>
        </x:is>
      </x:c>
      <x:c r="O38" s="81" t="inlineStr">
        <x:is>
          <x:t xml:space="preserve">Classical Chinese (文言文)</x:t>
        </x:is>
      </x:c>
      <x:c r="P38" s="81" t="inlineStr">
        <x:is>
          <x:t xml:space="preserve">Được ưu ái hay bị hạ thấp đều có thể khiến lòng bất an.</x:t>
        </x:is>
      </x:c>
      <x:c r="Q38" s="81" t="inlineStr">
        <x:is>
          <x:t xml:space="preserve">Laozi / 老子</x:t>
        </x:is>
      </x:c>
      <x:c r="R38" s="81" t="inlineStr">
        <x:is>
          <x:t xml:space="preserve">Taoism</x:t>
        </x:is>
      </x:c>
      <x:c r="S38" s="81" t="inlineStr">
        <x:is>
          <x:t xml:space="preserve">道德經 / Tao Te Ching</x:t>
        </x:is>
      </x:c>
      <x:c r="T38" s="81" t="inlineStr">
        <x:is>
          <x:t xml:space="preserve">Chapter 13</x:t>
        </x:is>
      </x:c>
      <x:c r="U38" s="81" t="inlineStr">
        <x:is>
          <x:t xml:space="preserve">https://zh.wikisource.org/zh-hans/%E9%81%93%E5%BE%B7%E7%B6%93_(%E7%8E%8B%E5%BC%BC%E6%9C%AC)</x:t>
        </x:is>
      </x:c>
      <x:c r="V38" s="81" t="inlineStr">
        <x:is>
          <x:t xml:space="preserve">Primary text</x:t>
        </x:is>
      </x:c>
      <x:c r="W38" s="81" t="inlineStr">
        <x:is>
          <x:t xml:space="preserve">Working translation</x:t>
        </x:is>
      </x:c>
      <x:c r="X38" s="81" t="inlineStr">
        <x:is>
          <x:t xml:space="preserve">A - Primary source</x:t>
        </x:is>
      </x:c>
      <x:c r="Y38" s="81" t="inlineStr">
        <x:is>
          <x:t xml:space="preserve">Original Chinese checked against Wang Bi recension; cross-check via Chinese Text Project. Vietnamese is Selflo working translation, not published translation.</x:t>
        </x:is>
      </x:c>
      <x:c r="Z38" s="81" t="inlineStr">
        <x:is>
          <x:t xml:space="preserve">Public domain / likely</x:t>
        </x:is>
      </x:c>
      <x:c r="AA38" s="81" t="inlineStr">
        <x:is>
          <x:t xml:space="preserve">Ancient text; Legge 1891 comparison is public domain in USA per Project Gutenberg. Verify jurisdiction for commercial publication.</x:t>
        </x:is>
      </x:c>
      <x:c r="AB38" s="81" t="inlineStr">
        <x:is>
          <x:t xml:space="preserve">High</x:t>
        </x:is>
      </x:c>
      <x:c r="AC38" s="81" t="inlineStr">
        <x:is>
          <x:t xml:space="preserve">Ngắn, mạnh; cần ngữ cảnh chương 13.</x:t>
        </x:is>
      </x:c>
      <x:c r="AD38" s="81" t="inlineStr">
        <x:is>
          <x:t xml:space="preserve">Needs editorial review</x:t>
        </x:is>
      </x:c>
      <x:c r="AE38" s="81" t="inlineStr">
        <x:is>
          <x:t xml:space="preserve">Needs semantic dedupe review</x:t>
        </x:is>
      </x:c>
      <x:c r="AF38" s="81" t="str"/>
      <x:c r="AG38" s="81" t="str"/>
      <x:c r="AH38" s="81" t="inlineStr">
        <x:is>
          <x:t xml:space="preserve">No</x:t>
        </x:is>
      </x:c>
      <x:c r="AI38" s="81" t="inlineStr">
        <x:is>
          <x:t xml:space="preserve">Not reviewed</x:t>
        </x:is>
      </x:c>
      <x:c r="AJ38" s="81" t="inlineStr">
        <x:is>
          <x:t xml:space="preserve">Research only</x:t>
        </x:is>
      </x:c>
      <x:c r="AK38" s="81" t="inlineStr">
        <x:is>
          <x:t xml:space="preserve">Research Pool</x:t>
        </x:is>
      </x:c>
      <x:c r="AL38" s="81" t="n">
        <x:v>1</x:v>
      </x:c>
      <x:c r="AM38" s="81" t="inlineStr">
        <x:is>
          <x:t xml:space="preserve">ChatGPT research</x:t>
        </x:is>
      </x:c>
      <x:c r="AN38" s="81" t="inlineStr">
        <x:is>
          <x:t xml:space="preserve">2026-09-18</x:t>
        </x:is>
      </x:c>
      <x:c r="AO38" s="81" t="inlineStr">
        <x:is>
          <x:t xml:space="preserve">Day 1 full-scope audit, chapters 1–20.</x:t>
        </x:is>
      </x:c>
      <x:c r="AP38" s="81" t="n"/>
      <x:c r="AQ38" s="81" t="n"/>
    </x:row>
    <x:row r="39">
      <x:c r="A39" s="81" t="inlineStr">
        <x:is>
          <x:t xml:space="preserve">research.laozi.ch13.038</x:t>
        </x:is>
      </x:c>
      <x:c r="B39" s="81" t="inlineStr">
        <x:is>
          <x:t xml:space="preserve">Collected</x:t>
        </x:is>
      </x:c>
      <x:c r="C39" s="81" t="inlineStr">
        <x:is>
          <x:t xml:space="preserve">Nội tâm &amp; hiểu mình</x:t>
        </x:is>
      </x:c>
      <x:c r="D39" s="81" t="inlineStr">
        <x:is>
          <x:t xml:space="preserve">Uncertainty / Choice / Agency</x:t>
        </x:is>
      </x:c>
      <x:c r="E39" s="81" t="str"/>
      <x:c r="F39" s="81" t="inlineStr">
        <x:is>
          <x:t xml:space="preserve">Một thứ mình bám vào có thể tạo lo cả khi được lẫn khi mất</x:t>
        </x:is>
      </x:c>
      <x:c r="G39" s="81" t="inlineStr">
        <x:is>
          <x:t xml:space="preserve">Fear</x:t>
        </x:is>
      </x:c>
      <x:c r="H39" s="81" t="inlineStr">
        <x:is>
          <x:t xml:space="preserve">Control</x:t>
        </x:is>
      </x:c>
      <x:c r="I39" s="81" t="inlineStr">
        <x:is>
          <x:t xml:space="preserve">Lo lắng</x:t>
        </x:is>
      </x:c>
      <x:c r="J39" s="81" t="str"/>
      <x:c r="K39" s="81" t="inlineStr">
        <x:is>
          <x:t xml:space="preserve">Recognize</x:t>
        </x:is>
      </x:c>
      <x:c r="L39" s="81" t="inlineStr">
        <x:is>
          <x:t xml:space="preserve">Distinguish</x:t>
        </x:is>
      </x:c>
      <x:c r="M39" s="81" t="inlineStr">
        <x:is>
          <x:t xml:space="preserve">Nghịch lý</x:t>
        </x:is>
      </x:c>
      <x:c r="N39" s="81" t="inlineStr">
        <x:is>
          <x:t xml:space="preserve">得之若驚，失之若驚。</x:t>
        </x:is>
      </x:c>
      <x:c r="O39" s="81" t="inlineStr">
        <x:is>
          <x:t xml:space="preserve">Classical Chinese (文言文)</x:t>
        </x:is>
      </x:c>
      <x:c r="P39" s="81" t="inlineStr">
        <x:is>
          <x:t xml:space="preserve">Có được thì lo, mất đi cũng lo.</x:t>
        </x:is>
      </x:c>
      <x:c r="Q39" s="81" t="inlineStr">
        <x:is>
          <x:t xml:space="preserve">Laozi / 老子</x:t>
        </x:is>
      </x:c>
      <x:c r="R39" s="81" t="inlineStr">
        <x:is>
          <x:t xml:space="preserve">Taoism</x:t>
        </x:is>
      </x:c>
      <x:c r="S39" s="81" t="inlineStr">
        <x:is>
          <x:t xml:space="preserve">道德經 / Tao Te Ching</x:t>
        </x:is>
      </x:c>
      <x:c r="T39" s="81" t="inlineStr">
        <x:is>
          <x:t xml:space="preserve">Chapter 13</x:t>
        </x:is>
      </x:c>
      <x:c r="U39" s="81" t="inlineStr">
        <x:is>
          <x:t xml:space="preserve">https://zh.wikisource.org/zh-hans/%E9%81%93%E5%BE%B7%E7%B6%93_(%E7%8E%8B%E5%BC%BC%E6%9C%AC)</x:t>
        </x:is>
      </x:c>
      <x:c r="V39" s="81" t="inlineStr">
        <x:is>
          <x:t xml:space="preserve">Primary text</x:t>
        </x:is>
      </x:c>
      <x:c r="W39" s="81" t="inlineStr">
        <x:is>
          <x:t xml:space="preserve">Working translation</x:t>
        </x:is>
      </x:c>
      <x:c r="X39" s="81" t="inlineStr">
        <x:is>
          <x:t xml:space="preserve">A - Primary source</x:t>
        </x:is>
      </x:c>
      <x:c r="Y39" s="81" t="inlineStr">
        <x:is>
          <x:t xml:space="preserve">Original Chinese checked against Wang Bi recension; cross-check via Chinese Text Project. Vietnamese is Selflo working translation, not published translation.</x:t>
        </x:is>
      </x:c>
      <x:c r="Z39" s="81" t="inlineStr">
        <x:is>
          <x:t xml:space="preserve">Public domain / likely</x:t>
        </x:is>
      </x:c>
      <x:c r="AA39" s="81" t="inlineStr">
        <x:is>
          <x:t xml:space="preserve">Ancient text; Legge 1891 comparison is public domain in USA per Project Gutenberg. Verify jurisdiction for commercial publication.</x:t>
        </x:is>
      </x:c>
      <x:c r="AB39" s="81" t="inlineStr">
        <x:is>
          <x:t xml:space="preserve">High</x:t>
        </x:is>
      </x:c>
      <x:c r="AC39" s="81" t="inlineStr">
        <x:is>
          <x:t xml:space="preserve">Rất Selflo-like nếu dịch mềm.</x:t>
        </x:is>
      </x:c>
      <x:c r="AD39" s="81" t="inlineStr">
        <x:is>
          <x:t xml:space="preserve">Needs editorial review</x:t>
        </x:is>
      </x:c>
      <x:c r="AE39" s="81" t="inlineStr">
        <x:is>
          <x:t xml:space="preserve">Needs semantic dedupe review</x:t>
        </x:is>
      </x:c>
      <x:c r="AF39" s="81" t="str"/>
      <x:c r="AG39" s="81" t="str"/>
      <x:c r="AH39" s="81" t="inlineStr">
        <x:is>
          <x:t xml:space="preserve">No</x:t>
        </x:is>
      </x:c>
      <x:c r="AI39" s="81" t="inlineStr">
        <x:is>
          <x:t xml:space="preserve">Not reviewed</x:t>
        </x:is>
      </x:c>
      <x:c r="AJ39" s="81" t="inlineStr">
        <x:is>
          <x:t xml:space="preserve">Research only</x:t>
        </x:is>
      </x:c>
      <x:c r="AK39" s="81" t="inlineStr">
        <x:is>
          <x:t xml:space="preserve">Research Pool</x:t>
        </x:is>
      </x:c>
      <x:c r="AL39" s="81" t="n">
        <x:v>1</x:v>
      </x:c>
      <x:c r="AM39" s="81" t="inlineStr">
        <x:is>
          <x:t xml:space="preserve">ChatGPT research</x:t>
        </x:is>
      </x:c>
      <x:c r="AN39" s="81" t="inlineStr">
        <x:is>
          <x:t xml:space="preserve">2026-09-18</x:t>
        </x:is>
      </x:c>
      <x:c r="AO39" s="81" t="inlineStr">
        <x:is>
          <x:t xml:space="preserve">Day 1 full-scope audit, chapters 1–20.</x:t>
        </x:is>
      </x:c>
      <x:c r="AP39" s="81" t="n"/>
      <x:c r="AQ39" s="81" t="n"/>
    </x:row>
    <x:row r="40">
      <x:c r="A40" s="81" t="inlineStr">
        <x:is>
          <x:t xml:space="preserve">research.laozi.ch13.039</x:t>
        </x:is>
      </x:c>
      <x:c r="B40" s="81" t="inlineStr">
        <x:is>
          <x:t xml:space="preserve">Collected</x:t>
        </x:is>
      </x:c>
      <x:c r="C40" s="81" t="inlineStr">
        <x:is>
          <x:t xml:space="preserve">Nghỉ ngơi &amp; sức khỏe tinh thần</x:t>
        </x:is>
      </x:c>
      <x:c r="D40" s="81" t="inlineStr">
        <x:is>
          <x:t xml:space="preserve">Rest / Limits / Wellbeing</x:t>
        </x:is>
      </x:c>
      <x:c r="E40" s="81" t="str"/>
      <x:c r="F40" s="81" t="inlineStr">
        <x:is>
          <x:t xml:space="preserve">Chăm chính mình không nhất thiết đối lập với trách nhiệm lớn</x:t>
        </x:is>
      </x:c>
      <x:c r="G40" s="81" t="inlineStr">
        <x:is>
          <x:t xml:space="preserve">Responsibility</x:t>
        </x:is>
      </x:c>
      <x:c r="H40" s="81" t="inlineStr">
        <x:is>
          <x:t xml:space="preserve">Rest</x:t>
        </x:is>
      </x:c>
      <x:c r="I40" s="81" t="inlineStr">
        <x:is>
          <x:t xml:space="preserve">Áp lực</x:t>
        </x:is>
      </x:c>
      <x:c r="J40" s="81" t="str"/>
      <x:c r="K40" s="81" t="inlineStr">
        <x:is>
          <x:t xml:space="preserve">Reframe</x:t>
        </x:is>
      </x:c>
      <x:c r="L40" s="81" t="inlineStr">
        <x:is>
          <x:t xml:space="preserve">Permit</x:t>
        </x:is>
      </x:c>
      <x:c r="M40" s="81" t="inlineStr">
        <x:is>
          <x:t xml:space="preserve">Trích đoạn triết học</x:t>
        </x:is>
      </x:c>
      <x:c r="N40" s="81" t="inlineStr">
        <x:is>
          <x:t xml:space="preserve">貴以身為天下，若可寄天下；愛以身為天下，若可托天下。</x:t>
        </x:is>
      </x:c>
      <x:c r="O40" s="81" t="inlineStr">
        <x:is>
          <x:t xml:space="preserve">Classical Chinese (文言文)</x:t>
        </x:is>
      </x:c>
      <x:c r="P40" s="81" t="inlineStr">
        <x:is>
          <x:t xml:space="preserve">Ai biết quý và chăm thân mình như quý việc lớn mới có thể được trao việc lớn.</x:t>
        </x:is>
      </x:c>
      <x:c r="Q40" s="81" t="inlineStr">
        <x:is>
          <x:t xml:space="preserve">Laozi / 老子</x:t>
        </x:is>
      </x:c>
      <x:c r="R40" s="81" t="inlineStr">
        <x:is>
          <x:t xml:space="preserve">Taoism</x:t>
        </x:is>
      </x:c>
      <x:c r="S40" s="81" t="inlineStr">
        <x:is>
          <x:t xml:space="preserve">道德經 / Tao Te Ching</x:t>
        </x:is>
      </x:c>
      <x:c r="T40" s="81" t="inlineStr">
        <x:is>
          <x:t xml:space="preserve">Chapter 13</x:t>
        </x:is>
      </x:c>
      <x:c r="U40" s="81" t="inlineStr">
        <x:is>
          <x:t xml:space="preserve">https://zh.wikisource.org/zh-hans/%E9%81%93%E5%BE%B7%E7%B6%93_(%E7%8E%8B%E5%BC%BC%E6%9C%AC)</x:t>
        </x:is>
      </x:c>
      <x:c r="V40" s="81" t="inlineStr">
        <x:is>
          <x:t xml:space="preserve">Primary text</x:t>
        </x:is>
      </x:c>
      <x:c r="W40" s="81" t="inlineStr">
        <x:is>
          <x:t xml:space="preserve">Working translation</x:t>
        </x:is>
      </x:c>
      <x:c r="X40" s="81" t="inlineStr">
        <x:is>
          <x:t xml:space="preserve">A - Primary source</x:t>
        </x:is>
      </x:c>
      <x:c r="Y40" s="81" t="inlineStr">
        <x:is>
          <x:t xml:space="preserve">Original Chinese checked against Wang Bi recension; cross-check via Chinese Text Project. Vietnamese is Selflo working translation, not published translation.</x:t>
        </x:is>
      </x:c>
      <x:c r="Z40" s="81" t="inlineStr">
        <x:is>
          <x:t xml:space="preserve">Public domain / likely</x:t>
        </x:is>
      </x:c>
      <x:c r="AA40" s="81" t="inlineStr">
        <x:is>
          <x:t xml:space="preserve">Ancient text; Legge 1891 comparison is public domain in USA per Project Gutenberg. Verify jurisdiction for commercial publication.</x:t>
        </x:is>
      </x:c>
      <x:c r="AB40" s="81" t="inlineStr">
        <x:is>
          <x:t xml:space="preserve">Medium</x:t>
        </x:is>
      </x:c>
      <x:c r="AC40" s="81" t="inlineStr">
        <x:is>
          <x:t xml:space="preserve">Cổ nghĩa/phép trị quốc; không over-modernize.</x:t>
        </x:is>
      </x:c>
      <x:c r="AD40" s="81" t="inlineStr">
        <x:is>
          <x:t xml:space="preserve">Needs editorial review</x:t>
        </x:is>
      </x:c>
      <x:c r="AE40" s="81" t="inlineStr">
        <x:is>
          <x:t xml:space="preserve">Needs semantic dedupe review</x:t>
        </x:is>
      </x:c>
      <x:c r="AF40" s="81" t="str"/>
      <x:c r="AG40" s="81" t="str"/>
      <x:c r="AH40" s="81" t="inlineStr">
        <x:is>
          <x:t xml:space="preserve">No</x:t>
        </x:is>
      </x:c>
      <x:c r="AI40" s="81" t="inlineStr">
        <x:is>
          <x:t xml:space="preserve">Not reviewed</x:t>
        </x:is>
      </x:c>
      <x:c r="AJ40" s="81" t="inlineStr">
        <x:is>
          <x:t xml:space="preserve">Research only</x:t>
        </x:is>
      </x:c>
      <x:c r="AK40" s="81" t="inlineStr">
        <x:is>
          <x:t xml:space="preserve">Research Pool</x:t>
        </x:is>
      </x:c>
      <x:c r="AL40" s="81" t="n">
        <x:v>1</x:v>
      </x:c>
      <x:c r="AM40" s="81" t="inlineStr">
        <x:is>
          <x:t xml:space="preserve">ChatGPT research</x:t>
        </x:is>
      </x:c>
      <x:c r="AN40" s="81" t="inlineStr">
        <x:is>
          <x:t xml:space="preserve">2026-09-18</x:t>
        </x:is>
      </x:c>
      <x:c r="AO40" s="81" t="inlineStr">
        <x:is>
          <x:t xml:space="preserve">Day 1 full-scope audit, chapters 1–20.</x:t>
        </x:is>
      </x:c>
      <x:c r="AP40" s="81" t="n"/>
      <x:c r="AQ40" s="81" t="n"/>
    </x:row>
    <x:row r="41">
      <x:c r="A41" s="81" t="inlineStr">
        <x:is>
          <x:t xml:space="preserve">research.laozi.ch14.040</x:t>
        </x:is>
      </x:c>
      <x:c r="B41" s="81" t="inlineStr">
        <x:is>
          <x:t xml:space="preserve">Collected</x:t>
        </x:is>
      </x:c>
      <x:c r="C41" s="81" t="inlineStr">
        <x:is>
          <x:t xml:space="preserve">Nội tâm &amp; hiểu mình</x:t>
        </x:is>
      </x:c>
      <x:c r="D41" s="81" t="inlineStr">
        <x:is>
          <x:t xml:space="preserve">Uncertainty / Choice / Agency</x:t>
        </x:is>
      </x:c>
      <x:c r="E41" s="81" t="str"/>
      <x:c r="F41" s="81" t="inlineStr">
        <x:is>
          <x:t xml:space="preserve">Không phải điều có ý nghĩa nào cũng dễ thấy, nghe hay nắm bắt</x:t>
        </x:is>
      </x:c>
      <x:c r="G41" s="81" t="inlineStr">
        <x:is>
          <x:t xml:space="preserve">Uncertainty</x:t>
        </x:is>
      </x:c>
      <x:c r="H41" s="81" t="inlineStr">
        <x:is>
          <x:t xml:space="preserve">Meaning</x:t>
        </x:is>
      </x:c>
      <x:c r="I41" s="81" t="inlineStr">
        <x:is>
          <x:t xml:space="preserve">Không chắc chắn</x:t>
        </x:is>
      </x:c>
      <x:c r="J41" s="81" t="str"/>
      <x:c r="K41" s="81" t="inlineStr">
        <x:is>
          <x:t xml:space="preserve">Permit</x:t>
        </x:is>
      </x:c>
      <x:c r="L41" s="81" t="inlineStr">
        <x:is>
          <x:t xml:space="preserve">Recognize</x:t>
        </x:is>
      </x:c>
      <x:c r="M41" s="81" t="inlineStr">
        <x:is>
          <x:t xml:space="preserve">Trích đoạn triết học</x:t>
        </x:is>
      </x:c>
      <x:c r="N41" s="81" t="inlineStr">
        <x:is>
          <x:t xml:space="preserve">視之不見名曰夷，聽之不聞名曰希，搏之不得名曰微。</x:t>
        </x:is>
      </x:c>
      <x:c r="O41" s="81" t="inlineStr">
        <x:is>
          <x:t xml:space="preserve">Classical Chinese (文言文)</x:t>
        </x:is>
      </x:c>
      <x:c r="P41" s="81" t="inlineStr">
        <x:is>
          <x:t xml:space="preserve">Nhìn mà không thấy, nghe mà không nghe được, nắm mà không giữ được — đoạn văn gọi những điều ấy là mờ, lặng và vi tế.</x:t>
        </x:is>
      </x:c>
      <x:c r="Q41" s="81" t="inlineStr">
        <x:is>
          <x:t xml:space="preserve">Laozi / 老子</x:t>
        </x:is>
      </x:c>
      <x:c r="R41" s="81" t="inlineStr">
        <x:is>
          <x:t xml:space="preserve">Taoism</x:t>
        </x:is>
      </x:c>
      <x:c r="S41" s="81" t="inlineStr">
        <x:is>
          <x:t xml:space="preserve">道德經 / Tao Te Ching</x:t>
        </x:is>
      </x:c>
      <x:c r="T41" s="81" t="inlineStr">
        <x:is>
          <x:t xml:space="preserve">Chapter 14</x:t>
        </x:is>
      </x:c>
      <x:c r="U41" s="81" t="inlineStr">
        <x:is>
          <x:t xml:space="preserve">https://zh.wikisource.org/zh-hans/%E9%81%93%E5%BE%B7%E7%B6%93_(%E7%8E%8B%E5%BC%BC%E6%9C%AC)</x:t>
        </x:is>
      </x:c>
      <x:c r="V41" s="81" t="inlineStr">
        <x:is>
          <x:t xml:space="preserve">Primary text</x:t>
        </x:is>
      </x:c>
      <x:c r="W41" s="81" t="inlineStr">
        <x:is>
          <x:t xml:space="preserve">Working translation</x:t>
        </x:is>
      </x:c>
      <x:c r="X41" s="81" t="inlineStr">
        <x:is>
          <x:t xml:space="preserve">A - Primary source</x:t>
        </x:is>
      </x:c>
      <x:c r="Y41" s="81" t="inlineStr">
        <x:is>
          <x:t xml:space="preserve">Original Chinese checked against Wang Bi recension; cross-check via Chinese Text Project. Vietnamese is Selflo working translation, not published translation.</x:t>
        </x:is>
      </x:c>
      <x:c r="Z41" s="81" t="inlineStr">
        <x:is>
          <x:t xml:space="preserve">Public domain / likely</x:t>
        </x:is>
      </x:c>
      <x:c r="AA41" s="81" t="inlineStr">
        <x:is>
          <x:t xml:space="preserve">Ancient text; Legge 1891 comparison is public domain in USA per Project Gutenberg. Verify jurisdiction for commercial publication.</x:t>
        </x:is>
      </x:c>
      <x:c r="AB41" s="81" t="inlineStr">
        <x:is>
          <x:t xml:space="preserve">Medium</x:t>
        </x:is>
      </x:c>
      <x:c r="AC41" s="81" t="inlineStr">
        <x:is>
          <x:t xml:space="preserve">Metaphysical.</x:t>
        </x:is>
      </x:c>
      <x:c r="AD41" s="81" t="inlineStr">
        <x:is>
          <x:t xml:space="preserve">Needs editorial review</x:t>
        </x:is>
      </x:c>
      <x:c r="AE41" s="81" t="inlineStr">
        <x:is>
          <x:t xml:space="preserve">Needs semantic dedupe review</x:t>
        </x:is>
      </x:c>
      <x:c r="AF41" s="81" t="str"/>
      <x:c r="AG41" s="81" t="str"/>
      <x:c r="AH41" s="81" t="inlineStr">
        <x:is>
          <x:t xml:space="preserve">No</x:t>
        </x:is>
      </x:c>
      <x:c r="AI41" s="81" t="inlineStr">
        <x:is>
          <x:t xml:space="preserve">Not reviewed</x:t>
        </x:is>
      </x:c>
      <x:c r="AJ41" s="81" t="inlineStr">
        <x:is>
          <x:t xml:space="preserve">Research only</x:t>
        </x:is>
      </x:c>
      <x:c r="AK41" s="81" t="inlineStr">
        <x:is>
          <x:t xml:space="preserve">Research Pool</x:t>
        </x:is>
      </x:c>
      <x:c r="AL41" s="81" t="n">
        <x:v>1</x:v>
      </x:c>
      <x:c r="AM41" s="81" t="inlineStr">
        <x:is>
          <x:t xml:space="preserve">ChatGPT research</x:t>
        </x:is>
      </x:c>
      <x:c r="AN41" s="81" t="inlineStr">
        <x:is>
          <x:t xml:space="preserve">2026-09-18</x:t>
        </x:is>
      </x:c>
      <x:c r="AO41" s="81" t="inlineStr">
        <x:is>
          <x:t xml:space="preserve">Day 1 full-scope audit, chapters 1–20.</x:t>
        </x:is>
      </x:c>
      <x:c r="AP41" s="81" t="n"/>
      <x:c r="AQ41" s="81" t="n"/>
    </x:row>
    <x:row r="42">
      <x:c r="A42" s="81" t="inlineStr">
        <x:is>
          <x:t xml:space="preserve">research.laozi.ch14.041</x:t>
        </x:is>
      </x:c>
      <x:c r="B42" s="81" t="inlineStr">
        <x:is>
          <x:t xml:space="preserve">Collected</x:t>
        </x:is>
      </x:c>
      <x:c r="C42" s="81" t="inlineStr">
        <x:is>
          <x:t xml:space="preserve">Nội tâm &amp; hiểu mình</x:t>
        </x:is>
      </x:c>
      <x:c r="D42" s="81" t="inlineStr">
        <x:is>
          <x:t xml:space="preserve">Uncertainty / Choice / Agency</x:t>
        </x:is>
      </x:c>
      <x:c r="E42" s="81" t="str"/>
      <x:c r="F42" s="81" t="inlineStr">
        <x:is>
          <x:t xml:space="preserve">Có trải nghiệm chưa thể định hình rõ ràng</x:t>
        </x:is>
      </x:c>
      <x:c r="G42" s="81" t="inlineStr">
        <x:is>
          <x:t xml:space="preserve">Uncertainty</x:t>
        </x:is>
      </x:c>
      <x:c r="H42" s="81" t="inlineStr">
        <x:is>
          <x:t xml:space="preserve">Identity</x:t>
        </x:is>
      </x:c>
      <x:c r="I42" s="81" t="inlineStr">
        <x:is>
          <x:t xml:space="preserve">Không gọi tên được</x:t>
        </x:is>
      </x:c>
      <x:c r="J42" s="81" t="str"/>
      <x:c r="K42" s="81" t="inlineStr">
        <x:is>
          <x:t xml:space="preserve">Name</x:t>
        </x:is>
      </x:c>
      <x:c r="L42" s="81" t="inlineStr">
        <x:is>
          <x:t xml:space="preserve">Permit</x:t>
        </x:is>
      </x:c>
      <x:c r="M42" s="81" t="inlineStr">
        <x:is>
          <x:t xml:space="preserve">Nghịch lý</x:t>
        </x:is>
      </x:c>
      <x:c r="N42" s="81" t="inlineStr">
        <x:is>
          <x:t xml:space="preserve">是謂無狀之狀，無物之象，是謂惚恍。</x:t>
        </x:is>
      </x:c>
      <x:c r="O42" s="81" t="inlineStr">
        <x:is>
          <x:t xml:space="preserve">Classical Chinese (文言文)</x:t>
        </x:is>
      </x:c>
      <x:c r="P42" s="81" t="inlineStr">
        <x:is>
          <x:t xml:space="preserve">Đó là hình của cái không có hình, dáng của cái không thành vật — một trạng thái khó nắm bắt.</x:t>
        </x:is>
      </x:c>
      <x:c r="Q42" s="81" t="inlineStr">
        <x:is>
          <x:t xml:space="preserve">Laozi / 老子</x:t>
        </x:is>
      </x:c>
      <x:c r="R42" s="81" t="inlineStr">
        <x:is>
          <x:t xml:space="preserve">Taoism</x:t>
        </x:is>
      </x:c>
      <x:c r="S42" s="81" t="inlineStr">
        <x:is>
          <x:t xml:space="preserve">道德經 / Tao Te Ching</x:t>
        </x:is>
      </x:c>
      <x:c r="T42" s="81" t="inlineStr">
        <x:is>
          <x:t xml:space="preserve">Chapter 14</x:t>
        </x:is>
      </x:c>
      <x:c r="U42" s="81" t="inlineStr">
        <x:is>
          <x:t xml:space="preserve">https://zh.wikisource.org/zh-hans/%E9%81%93%E5%BE%B7%E7%B6%93_(%E7%8E%8B%E5%BC%BC%E6%9C%AC)</x:t>
        </x:is>
      </x:c>
      <x:c r="V42" s="81" t="inlineStr">
        <x:is>
          <x:t xml:space="preserve">Primary text</x:t>
        </x:is>
      </x:c>
      <x:c r="W42" s="81" t="inlineStr">
        <x:is>
          <x:t xml:space="preserve">Working translation</x:t>
        </x:is>
      </x:c>
      <x:c r="X42" s="81" t="inlineStr">
        <x:is>
          <x:t xml:space="preserve">A - Primary source</x:t>
        </x:is>
      </x:c>
      <x:c r="Y42" s="81" t="inlineStr">
        <x:is>
          <x:t xml:space="preserve">Original Chinese checked against Wang Bi recension; cross-check via Chinese Text Project. Vietnamese is Selflo working translation, not published translation.</x:t>
        </x:is>
      </x:c>
      <x:c r="Z42" s="81" t="inlineStr">
        <x:is>
          <x:t xml:space="preserve">Public domain / likely</x:t>
        </x:is>
      </x:c>
      <x:c r="AA42" s="81" t="inlineStr">
        <x:is>
          <x:t xml:space="preserve">Ancient text; Legge 1891 comparison is public domain in USA per Project Gutenberg. Verify jurisdiction for commercial publication.</x:t>
        </x:is>
      </x:c>
      <x:c r="AB42" s="81" t="inlineStr">
        <x:is>
          <x:t xml:space="preserve">Medium</x:t>
        </x:is>
      </x:c>
      <x:c r="AC42" s="81" t="inlineStr">
        <x:is>
          <x:t xml:space="preserve">Có tiềm năng cho unnamed experience.</x:t>
        </x:is>
      </x:c>
      <x:c r="AD42" s="81" t="inlineStr">
        <x:is>
          <x:t xml:space="preserve">Needs editorial review</x:t>
        </x:is>
      </x:c>
      <x:c r="AE42" s="81" t="inlineStr">
        <x:is>
          <x:t xml:space="preserve">Needs semantic dedupe review</x:t>
        </x:is>
      </x:c>
      <x:c r="AF42" s="81" t="str"/>
      <x:c r="AG42" s="81" t="str"/>
      <x:c r="AH42" s="81" t="inlineStr">
        <x:is>
          <x:t xml:space="preserve">No</x:t>
        </x:is>
      </x:c>
      <x:c r="AI42" s="81" t="inlineStr">
        <x:is>
          <x:t xml:space="preserve">Not reviewed</x:t>
        </x:is>
      </x:c>
      <x:c r="AJ42" s="81" t="inlineStr">
        <x:is>
          <x:t xml:space="preserve">Research only</x:t>
        </x:is>
      </x:c>
      <x:c r="AK42" s="81" t="inlineStr">
        <x:is>
          <x:t xml:space="preserve">Research Pool</x:t>
        </x:is>
      </x:c>
      <x:c r="AL42" s="81" t="n">
        <x:v>1</x:v>
      </x:c>
      <x:c r="AM42" s="81" t="inlineStr">
        <x:is>
          <x:t xml:space="preserve">ChatGPT research</x:t>
        </x:is>
      </x:c>
      <x:c r="AN42" s="81" t="inlineStr">
        <x:is>
          <x:t xml:space="preserve">2026-09-18</x:t>
        </x:is>
      </x:c>
      <x:c r="AO42" s="81" t="inlineStr">
        <x:is>
          <x:t xml:space="preserve">Day 1 full-scope audit, chapters 1–20.</x:t>
        </x:is>
      </x:c>
      <x:c r="AP42" s="81" t="n"/>
      <x:c r="AQ42" s="81" t="n"/>
    </x:row>
    <x:row r="43">
      <x:c r="A43" s="81" t="inlineStr">
        <x:is>
          <x:t xml:space="preserve">research.laozi.ch14.042</x:t>
        </x:is>
      </x:c>
      <x:c r="B43" s="81" t="inlineStr">
        <x:is>
          <x:t xml:space="preserve">Collected</x:t>
        </x:is>
      </x:c>
      <x:c r="C43" s="81" t="inlineStr">
        <x:is>
          <x:t xml:space="preserve">AI &amp; tương lai</x:t>
        </x:is>
      </x:c>
      <x:c r="D43" s="81" t="inlineStr">
        <x:is>
          <x:t xml:space="preserve">AI-age Human Judgment</x:t>
        </x:is>
      </x:c>
      <x:c r="E43" s="81" t="str"/>
      <x:c r="F43" s="81" t="inlineStr">
        <x:is>
          <x:t xml:space="preserve">Nguyên lý bền có thể giúp định hướng trong hoàn cảnh mới</x:t>
        </x:is>
      </x:c>
      <x:c r="G43" s="81" t="inlineStr">
        <x:is>
          <x:t xml:space="preserve">Judgment</x:t>
        </x:is>
      </x:c>
      <x:c r="H43" s="81" t="inlineStr">
        <x:is>
          <x:t xml:space="preserve">Values</x:t>
        </x:is>
      </x:c>
      <x:c r="I43" s="81" t="inlineStr">
        <x:is>
          <x:t xml:space="preserve">Bối rối</x:t>
        </x:is>
      </x:c>
      <x:c r="J43" s="81" t="str"/>
      <x:c r="K43" s="81" t="inlineStr">
        <x:is>
          <x:t xml:space="preserve">Reframe</x:t>
        </x:is>
      </x:c>
      <x:c r="L43" s="81" t="inlineStr">
        <x:is>
          <x:t xml:space="preserve">Return agency</x:t>
        </x:is>
      </x:c>
      <x:c r="M43" s="81" t="inlineStr">
        <x:is>
          <x:t xml:space="preserve">Trích đoạn triết học</x:t>
        </x:is>
      </x:c>
      <x:c r="N43" s="81" t="inlineStr">
        <x:is>
          <x:t xml:space="preserve">執古之道，以御今之有。</x:t>
        </x:is>
      </x:c>
      <x:c r="O43" s="81" t="inlineStr">
        <x:is>
          <x:t xml:space="preserve">Classical Chinese (文言文)</x:t>
        </x:is>
      </x:c>
      <x:c r="P43" s="81" t="inlineStr">
        <x:is>
          <x:t xml:space="preserve">Nắm một nguyên lý xưa để soi và ứng xử với điều đang có hôm nay.</x:t>
        </x:is>
      </x:c>
      <x:c r="Q43" s="81" t="inlineStr">
        <x:is>
          <x:t xml:space="preserve">Laozi / 老子</x:t>
        </x:is>
      </x:c>
      <x:c r="R43" s="81" t="inlineStr">
        <x:is>
          <x:t xml:space="preserve">Taoism</x:t>
        </x:is>
      </x:c>
      <x:c r="S43" s="81" t="inlineStr">
        <x:is>
          <x:t xml:space="preserve">道德經 / Tao Te Ching</x:t>
        </x:is>
      </x:c>
      <x:c r="T43" s="81" t="inlineStr">
        <x:is>
          <x:t xml:space="preserve">Chapter 14</x:t>
        </x:is>
      </x:c>
      <x:c r="U43" s="81" t="inlineStr">
        <x:is>
          <x:t xml:space="preserve">https://zh.wikisource.org/zh-hans/%E9%81%93%E5%BE%B7%E7%B6%93_(%E7%8E%8B%E5%BC%BC%E6%9C%AC)</x:t>
        </x:is>
      </x:c>
      <x:c r="V43" s="81" t="inlineStr">
        <x:is>
          <x:t xml:space="preserve">Primary text</x:t>
        </x:is>
      </x:c>
      <x:c r="W43" s="81" t="inlineStr">
        <x:is>
          <x:t xml:space="preserve">Working translation</x:t>
        </x:is>
      </x:c>
      <x:c r="X43" s="81" t="inlineStr">
        <x:is>
          <x:t xml:space="preserve">A - Primary source</x:t>
        </x:is>
      </x:c>
      <x:c r="Y43" s="81" t="inlineStr">
        <x:is>
          <x:t xml:space="preserve">Original Chinese checked against Wang Bi recension; cross-check via Chinese Text Project. Vietnamese is Selflo working translation, not published translation.</x:t>
        </x:is>
      </x:c>
      <x:c r="Z43" s="81" t="inlineStr">
        <x:is>
          <x:t xml:space="preserve">Public domain / likely</x:t>
        </x:is>
      </x:c>
      <x:c r="AA43" s="81" t="inlineStr">
        <x:is>
          <x:t xml:space="preserve">Ancient text; Legge 1891 comparison is public domain in USA per Project Gutenberg. Verify jurisdiction for commercial publication.</x:t>
        </x:is>
      </x:c>
      <x:c r="AB43" s="81" t="inlineStr">
        <x:is>
          <x:t xml:space="preserve">High</x:t>
        </x:is>
      </x:c>
      <x:c r="AC43" s="81" t="inlineStr">
        <x:is>
          <x:t xml:space="preserve">Rất gần docs 'nguyên lý bền' của Selflo.</x:t>
        </x:is>
      </x:c>
      <x:c r="AD43" s="81" t="inlineStr">
        <x:is>
          <x:t xml:space="preserve">Needs editorial review</x:t>
        </x:is>
      </x:c>
      <x:c r="AE43" s="81" t="inlineStr">
        <x:is>
          <x:t xml:space="preserve">Needs semantic dedupe review</x:t>
        </x:is>
      </x:c>
      <x:c r="AF43" s="81" t="str"/>
      <x:c r="AG43" s="81" t="str"/>
      <x:c r="AH43" s="81" t="inlineStr">
        <x:is>
          <x:t xml:space="preserve">No</x:t>
        </x:is>
      </x:c>
      <x:c r="AI43" s="81" t="inlineStr">
        <x:is>
          <x:t xml:space="preserve">Not reviewed</x:t>
        </x:is>
      </x:c>
      <x:c r="AJ43" s="81" t="inlineStr">
        <x:is>
          <x:t xml:space="preserve">Research only</x:t>
        </x:is>
      </x:c>
      <x:c r="AK43" s="81" t="inlineStr">
        <x:is>
          <x:t xml:space="preserve">Research Pool</x:t>
        </x:is>
      </x:c>
      <x:c r="AL43" s="81" t="n">
        <x:v>1</x:v>
      </x:c>
      <x:c r="AM43" s="81" t="inlineStr">
        <x:is>
          <x:t xml:space="preserve">ChatGPT research</x:t>
        </x:is>
      </x:c>
      <x:c r="AN43" s="81" t="inlineStr">
        <x:is>
          <x:t xml:space="preserve">2026-09-18</x:t>
        </x:is>
      </x:c>
      <x:c r="AO43" s="81" t="inlineStr">
        <x:is>
          <x:t xml:space="preserve">Day 1 full-scope audit, chapters 1–20.</x:t>
        </x:is>
      </x:c>
      <x:c r="AP43" s="81" t="n"/>
      <x:c r="AQ43" s="81" t="n"/>
    </x:row>
    <x:row r="44">
      <x:c r="A44" s="81" t="inlineStr">
        <x:is>
          <x:t xml:space="preserve">research.laozi.ch15.043</x:t>
        </x:is>
      </x:c>
      <x:c r="B44" s="81" t="inlineStr">
        <x:is>
          <x:t xml:space="preserve">Collected</x:t>
        </x:is>
      </x:c>
      <x:c r="C44" s="81" t="inlineStr">
        <x:is>
          <x:t xml:space="preserve">Lựa chọn &amp; định hướng</x:t>
        </x:is>
      </x:c>
      <x:c r="D44" s="81" t="inlineStr">
        <x:is>
          <x:t xml:space="preserve">Uncertainty / Choice / Agency</x:t>
        </x:is>
      </x:c>
      <x:c r="E44" s="81" t="str"/>
      <x:c r="F44" s="81" t="inlineStr">
        <x:is>
          <x:t xml:space="preserve">Chưa chắc chắn có thể đi cùng sự thận trọng thay vì vội vàng</x:t>
        </x:is>
      </x:c>
      <x:c r="G44" s="81" t="inlineStr">
        <x:is>
          <x:t xml:space="preserve">Uncertainty</x:t>
        </x:is>
      </x:c>
      <x:c r="H44" s="81" t="inlineStr">
        <x:is>
          <x:t xml:space="preserve">Patience</x:t>
        </x:is>
      </x:c>
      <x:c r="I44" s="81" t="inlineStr">
        <x:is>
          <x:t xml:space="preserve">Không chắc chắn</x:t>
        </x:is>
      </x:c>
      <x:c r="J44" s="81" t="str"/>
      <x:c r="K44" s="81" t="inlineStr">
        <x:is>
          <x:t xml:space="preserve">Permit</x:t>
        </x:is>
      </x:c>
      <x:c r="L44" s="81" t="inlineStr">
        <x:is>
          <x:t xml:space="preserve">Reframe</x:t>
        </x:is>
      </x:c>
      <x:c r="M44" s="81" t="inlineStr">
        <x:is>
          <x:t xml:space="preserve">Ẩn dụ</x:t>
        </x:is>
      </x:c>
      <x:c r="N44" s="81" t="inlineStr">
        <x:is>
          <x:t xml:space="preserve">豫焉若冬涉川；猶兮若畏四鄰。</x:t>
        </x:is>
      </x:c>
      <x:c r="O44" s="81" t="inlineStr">
        <x:is>
          <x:t xml:space="preserve">Classical Chinese (文言文)</x:t>
        </x:is>
      </x:c>
      <x:c r="P44" s="81" t="inlineStr">
        <x:is>
          <x:t xml:space="preserve">Thận trọng như người lội sông mùa đông; dè dặt như người biết quanh mình có điều cần lưu ý.</x:t>
        </x:is>
      </x:c>
      <x:c r="Q44" s="81" t="inlineStr">
        <x:is>
          <x:t xml:space="preserve">Laozi / 老子</x:t>
        </x:is>
      </x:c>
      <x:c r="R44" s="81" t="inlineStr">
        <x:is>
          <x:t xml:space="preserve">Taoism</x:t>
        </x:is>
      </x:c>
      <x:c r="S44" s="81" t="inlineStr">
        <x:is>
          <x:t xml:space="preserve">道德經 / Tao Te Ching</x:t>
        </x:is>
      </x:c>
      <x:c r="T44" s="81" t="inlineStr">
        <x:is>
          <x:t xml:space="preserve">Chapter 15</x:t>
        </x:is>
      </x:c>
      <x:c r="U44" s="81" t="inlineStr">
        <x:is>
          <x:t xml:space="preserve">https://zh.wikisource.org/zh-hans/%E9%81%93%E5%BE%B7%E7%B6%93_(%E7%8E%8B%E5%BC%BC%E6%9C%AC)</x:t>
        </x:is>
      </x:c>
      <x:c r="V44" s="81" t="inlineStr">
        <x:is>
          <x:t xml:space="preserve">Primary text</x:t>
        </x:is>
      </x:c>
      <x:c r="W44" s="81" t="inlineStr">
        <x:is>
          <x:t xml:space="preserve">Working translation</x:t>
        </x:is>
      </x:c>
      <x:c r="X44" s="81" t="inlineStr">
        <x:is>
          <x:t xml:space="preserve">A - Primary source</x:t>
        </x:is>
      </x:c>
      <x:c r="Y44" s="81" t="inlineStr">
        <x:is>
          <x:t xml:space="preserve">Original Chinese checked against Wang Bi recension; cross-check via Chinese Text Project. Vietnamese is Selflo working translation, not published translation.</x:t>
        </x:is>
      </x:c>
      <x:c r="Z44" s="81" t="inlineStr">
        <x:is>
          <x:t xml:space="preserve">Public domain / likely</x:t>
        </x:is>
      </x:c>
      <x:c r="AA44" s="81" t="inlineStr">
        <x:is>
          <x:t xml:space="preserve">Ancient text; Legge 1891 comparison is public domain in USA per Project Gutenberg. Verify jurisdiction for commercial publication.</x:t>
        </x:is>
      </x:c>
      <x:c r="AB44" s="81" t="inlineStr">
        <x:is>
          <x:t xml:space="preserve">High</x:t>
        </x:is>
      </x:c>
      <x:c r="AC44" s="81" t="inlineStr">
        <x:is>
          <x:t xml:space="preserve">Tốt cho choice without rush.</x:t>
        </x:is>
      </x:c>
      <x:c r="AD44" s="81" t="inlineStr">
        <x:is>
          <x:t xml:space="preserve">Needs editorial review</x:t>
        </x:is>
      </x:c>
      <x:c r="AE44" s="81" t="inlineStr">
        <x:is>
          <x:t xml:space="preserve">Needs semantic dedupe review</x:t>
        </x:is>
      </x:c>
      <x:c r="AF44" s="81" t="str"/>
      <x:c r="AG44" s="81" t="str"/>
      <x:c r="AH44" s="81" t="inlineStr">
        <x:is>
          <x:t xml:space="preserve">No</x:t>
        </x:is>
      </x:c>
      <x:c r="AI44" s="81" t="inlineStr">
        <x:is>
          <x:t xml:space="preserve">Not reviewed</x:t>
        </x:is>
      </x:c>
      <x:c r="AJ44" s="81" t="inlineStr">
        <x:is>
          <x:t xml:space="preserve">Research only</x:t>
        </x:is>
      </x:c>
      <x:c r="AK44" s="81" t="inlineStr">
        <x:is>
          <x:t xml:space="preserve">Research Pool</x:t>
        </x:is>
      </x:c>
      <x:c r="AL44" s="81" t="n">
        <x:v>1</x:v>
      </x:c>
      <x:c r="AM44" s="81" t="inlineStr">
        <x:is>
          <x:t xml:space="preserve">ChatGPT research</x:t>
        </x:is>
      </x:c>
      <x:c r="AN44" s="81" t="inlineStr">
        <x:is>
          <x:t xml:space="preserve">2026-09-18</x:t>
        </x:is>
      </x:c>
      <x:c r="AO44" s="81" t="inlineStr">
        <x:is>
          <x:t xml:space="preserve">Day 1 full-scope audit, chapters 1–20.</x:t>
        </x:is>
      </x:c>
      <x:c r="AP44" s="81" t="n"/>
      <x:c r="AQ44" s="81" t="n"/>
    </x:row>
    <x:row r="45">
      <x:c r="A45" s="81" t="inlineStr">
        <x:is>
          <x:t xml:space="preserve">research.laozi.ch15.044</x:t>
        </x:is>
      </x:c>
      <x:c r="B45" s="81" t="inlineStr">
        <x:is>
          <x:t xml:space="preserve">Collected</x:t>
        </x:is>
      </x:c>
      <x:c r="C45" s="81" t="inlineStr">
        <x:is>
          <x:t xml:space="preserve">Nội tâm &amp; hiểu mình</x:t>
        </x:is>
      </x:c>
      <x:c r="D45" s="81" t="inlineStr">
        <x:is>
          <x:t xml:space="preserve">Change / Impermanence / Recovery</x:t>
        </x:is>
      </x:c>
      <x:c r="E45" s="81" t="str"/>
      <x:c r="F45" s="81" t="inlineStr">
        <x:is>
          <x:t xml:space="preserve">Không cần luôn xuất hiện hoàn chỉnh, sắc nét hay dễ phân loại</x:t>
        </x:is>
      </x:c>
      <x:c r="G45" s="81" t="inlineStr">
        <x:is>
          <x:t xml:space="preserve">Acceptance</x:t>
        </x:is>
      </x:c>
      <x:c r="H45" s="81" t="inlineStr">
        <x:is>
          <x:t xml:space="preserve">Change</x:t>
        </x:is>
      </x:c>
      <x:c r="I45" s="81" t="inlineStr">
        <x:is>
          <x:t xml:space="preserve">Không gọi tên được</x:t>
        </x:is>
      </x:c>
      <x:c r="J45" s="81" t="str"/>
      <x:c r="K45" s="81" t="inlineStr">
        <x:is>
          <x:t xml:space="preserve">Permit</x:t>
        </x:is>
      </x:c>
      <x:c r="L45" s="81" t="inlineStr">
        <x:is>
          <x:t xml:space="preserve">Reframe</x:t>
        </x:is>
      </x:c>
      <x:c r="M45" s="81" t="inlineStr">
        <x:is>
          <x:t xml:space="preserve">Ẩn dụ</x:t>
        </x:is>
      </x:c>
      <x:c r="N45" s="81" t="inlineStr">
        <x:is>
          <x:t xml:space="preserve">渙兮若冰之將釋，敦兮其若樸，曠兮其若谷，混兮其若濁。</x:t>
        </x:is>
      </x:c>
      <x:c r="O45" s="81" t="inlineStr">
        <x:is>
          <x:t xml:space="preserve">Classical Chinese (文言文)</x:t>
        </x:is>
      </x:c>
      <x:c r="P45" s="81" t="inlineStr">
        <x:is>
          <x:t xml:space="preserve">Tan ra như băng sắp chảy; mộc như gỗ chưa đẽo; rộng như thung lũng; hòa lẫn như nước đục.</x:t>
        </x:is>
      </x:c>
      <x:c r="Q45" s="81" t="inlineStr">
        <x:is>
          <x:t xml:space="preserve">Laozi / 老子</x:t>
        </x:is>
      </x:c>
      <x:c r="R45" s="81" t="inlineStr">
        <x:is>
          <x:t xml:space="preserve">Taoism</x:t>
        </x:is>
      </x:c>
      <x:c r="S45" s="81" t="inlineStr">
        <x:is>
          <x:t xml:space="preserve">道德經 / Tao Te Ching</x:t>
        </x:is>
      </x:c>
      <x:c r="T45" s="81" t="inlineStr">
        <x:is>
          <x:t xml:space="preserve">Chapter 15</x:t>
        </x:is>
      </x:c>
      <x:c r="U45" s="81" t="inlineStr">
        <x:is>
          <x:t xml:space="preserve">https://zh.wikisource.org/zh-hans/%E9%81%93%E5%BE%B7%E7%B6%93_(%E7%8E%8B%E5%BC%BC%E6%9C%AC)</x:t>
        </x:is>
      </x:c>
      <x:c r="V45" s="81" t="inlineStr">
        <x:is>
          <x:t xml:space="preserve">Primary text</x:t>
        </x:is>
      </x:c>
      <x:c r="W45" s="81" t="inlineStr">
        <x:is>
          <x:t xml:space="preserve">Working translation</x:t>
        </x:is>
      </x:c>
      <x:c r="X45" s="81" t="inlineStr">
        <x:is>
          <x:t xml:space="preserve">A - Primary source</x:t>
        </x:is>
      </x:c>
      <x:c r="Y45" s="81" t="inlineStr">
        <x:is>
          <x:t xml:space="preserve">Original Chinese checked against Wang Bi recension; cross-check via Chinese Text Project. Vietnamese is Selflo working translation, not published translation.</x:t>
        </x:is>
      </x:c>
      <x:c r="Z45" s="81" t="inlineStr">
        <x:is>
          <x:t xml:space="preserve">Public domain / likely</x:t>
        </x:is>
      </x:c>
      <x:c r="AA45" s="81" t="inlineStr">
        <x:is>
          <x:t xml:space="preserve">Ancient text; Legge 1891 comparison is public domain in USA per Project Gutenberg. Verify jurisdiction for commercial publication.</x:t>
        </x:is>
      </x:c>
      <x:c r="AB45" s="81" t="inlineStr">
        <x:is>
          <x:t xml:space="preserve">High</x:t>
        </x:is>
      </x:c>
      <x:c r="AC45" s="81" t="inlineStr">
        <x:is>
          <x:t xml:space="preserve">Rất hợp self-compassion/uncertainty.</x:t>
        </x:is>
      </x:c>
      <x:c r="AD45" s="81" t="inlineStr">
        <x:is>
          <x:t xml:space="preserve">Needs editorial review</x:t>
        </x:is>
      </x:c>
      <x:c r="AE45" s="81" t="inlineStr">
        <x:is>
          <x:t xml:space="preserve">Needs semantic dedupe review</x:t>
        </x:is>
      </x:c>
      <x:c r="AF45" s="81" t="str"/>
      <x:c r="AG45" s="81" t="str"/>
      <x:c r="AH45" s="81" t="inlineStr">
        <x:is>
          <x:t xml:space="preserve">No</x:t>
        </x:is>
      </x:c>
      <x:c r="AI45" s="81" t="inlineStr">
        <x:is>
          <x:t xml:space="preserve">Not reviewed</x:t>
        </x:is>
      </x:c>
      <x:c r="AJ45" s="81" t="inlineStr">
        <x:is>
          <x:t xml:space="preserve">Research only</x:t>
        </x:is>
      </x:c>
      <x:c r="AK45" s="81" t="inlineStr">
        <x:is>
          <x:t xml:space="preserve">Research Pool</x:t>
        </x:is>
      </x:c>
      <x:c r="AL45" s="81" t="n">
        <x:v>1</x:v>
      </x:c>
      <x:c r="AM45" s="81" t="inlineStr">
        <x:is>
          <x:t xml:space="preserve">ChatGPT research</x:t>
        </x:is>
      </x:c>
      <x:c r="AN45" s="81" t="inlineStr">
        <x:is>
          <x:t xml:space="preserve">2026-09-18</x:t>
        </x:is>
      </x:c>
      <x:c r="AO45" s="81" t="inlineStr">
        <x:is>
          <x:t xml:space="preserve">Day 1 full-scope audit, chapters 1–20.</x:t>
        </x:is>
      </x:c>
      <x:c r="AP45" s="81" t="n"/>
      <x:c r="AQ45" s="81" t="n"/>
    </x:row>
    <x:row r="46">
      <x:c r="A46" s="81" t="inlineStr">
        <x:is>
          <x:t xml:space="preserve">research.laozi.ch15.045</x:t>
        </x:is>
      </x:c>
      <x:c r="B46" s="81" t="inlineStr">
        <x:is>
          <x:t xml:space="preserve">Collected</x:t>
        </x:is>
      </x:c>
      <x:c r="C46" s="81" t="inlineStr">
        <x:is>
          <x:t xml:space="preserve">Nội tâm &amp; hiểu mình</x:t>
        </x:is>
      </x:c>
      <x:c r="D46" s="81" t="inlineStr">
        <x:is>
          <x:t xml:space="preserve">Attention / Noise / Deep focus</x:t>
        </x:is>
      </x:c>
      <x:c r="E46" s="81" t="str"/>
      <x:c r="F46" s="81" t="inlineStr">
        <x:is>
          <x:t xml:space="preserve">Sáng rõ đôi khi xuất hiện khi không tiếp tục khuấy động</x:t>
        </x:is>
      </x:c>
      <x:c r="G46" s="81" t="inlineStr">
        <x:is>
          <x:t xml:space="preserve">Attention</x:t>
        </x:is>
      </x:c>
      <x:c r="H46" s="81" t="inlineStr">
        <x:is>
          <x:t xml:space="preserve">Patience</x:t>
        </x:is>
      </x:c>
      <x:c r="I46" s="81" t="inlineStr">
        <x:is>
          <x:t xml:space="preserve">Bối rối</x:t>
        </x:is>
      </x:c>
      <x:c r="J46" s="81" t="str"/>
      <x:c r="K46" s="81" t="inlineStr">
        <x:is>
          <x:t xml:space="preserve">Permit</x:t>
        </x:is>
      </x:c>
      <x:c r="L46" s="81" t="inlineStr">
        <x:is>
          <x:t xml:space="preserve">Reframe</x:t>
        </x:is>
      </x:c>
      <x:c r="M46" s="81" t="inlineStr">
        <x:is>
          <x:t xml:space="preserve">Câu hỏi</x:t>
        </x:is>
      </x:c>
      <x:c r="N46" s="81" t="inlineStr">
        <x:is>
          <x:t xml:space="preserve">孰能濁以靜之徐清？</x:t>
        </x:is>
      </x:c>
      <x:c r="O46" s="81" t="inlineStr">
        <x:is>
          <x:t xml:space="preserve">Classical Chinese (文言文)</x:t>
        </x:is>
      </x:c>
      <x:c r="P46" s="81" t="inlineStr">
        <x:is>
          <x:t xml:space="preserve">Ai có thể để nước đục lắng yên rồi dần trở nên trong?</x:t>
        </x:is>
      </x:c>
      <x:c r="Q46" s="81" t="inlineStr">
        <x:is>
          <x:t xml:space="preserve">Laozi / 老子</x:t>
        </x:is>
      </x:c>
      <x:c r="R46" s="81" t="inlineStr">
        <x:is>
          <x:t xml:space="preserve">Taoism</x:t>
        </x:is>
      </x:c>
      <x:c r="S46" s="81" t="inlineStr">
        <x:is>
          <x:t xml:space="preserve">道德經 / Tao Te Ching</x:t>
        </x:is>
      </x:c>
      <x:c r="T46" s="81" t="inlineStr">
        <x:is>
          <x:t xml:space="preserve">Chapter 15</x:t>
        </x:is>
      </x:c>
      <x:c r="U46" s="81" t="inlineStr">
        <x:is>
          <x:t xml:space="preserve">https://zh.wikisource.org/zh-hans/%E9%81%93%E5%BE%B7%E7%B6%93_(%E7%8E%8B%E5%BC%BC%E6%9C%AC)</x:t>
        </x:is>
      </x:c>
      <x:c r="V46" s="81" t="inlineStr">
        <x:is>
          <x:t xml:space="preserve">Primary text</x:t>
        </x:is>
      </x:c>
      <x:c r="W46" s="81" t="inlineStr">
        <x:is>
          <x:t xml:space="preserve">Working translation</x:t>
        </x:is>
      </x:c>
      <x:c r="X46" s="81" t="inlineStr">
        <x:is>
          <x:t xml:space="preserve">A - Primary source</x:t>
        </x:is>
      </x:c>
      <x:c r="Y46" s="81" t="inlineStr">
        <x:is>
          <x:t xml:space="preserve">Original Chinese checked against Wang Bi recension; cross-check via Chinese Text Project. Vietnamese is Selflo working translation, not published translation.</x:t>
        </x:is>
      </x:c>
      <x:c r="Z46" s="81" t="inlineStr">
        <x:is>
          <x:t xml:space="preserve">Public domain / likely</x:t>
        </x:is>
      </x:c>
      <x:c r="AA46" s="81" t="inlineStr">
        <x:is>
          <x:t xml:space="preserve">Ancient text; Legge 1891 comparison is public domain in USA per Project Gutenberg. Verify jurisdiction for commercial publication.</x:t>
        </x:is>
      </x:c>
      <x:c r="AB46" s="81" t="inlineStr">
        <x:is>
          <x:t xml:space="preserve">High</x:t>
        </x:is>
      </x:c>
      <x:c r="AC46" s="81" t="inlineStr">
        <x:is>
          <x:t xml:space="preserve">Candidate mạnh; không hứa mọi vấn đề tự hết.</x:t>
        </x:is>
      </x:c>
      <x:c r="AD46" s="81" t="inlineStr">
        <x:is>
          <x:t xml:space="preserve">Needs editorial review</x:t>
        </x:is>
      </x:c>
      <x:c r="AE46" s="81" t="inlineStr">
        <x:is>
          <x:t xml:space="preserve">Needs semantic dedupe review</x:t>
        </x:is>
      </x:c>
      <x:c r="AF46" s="81" t="str"/>
      <x:c r="AG46" s="81" t="str"/>
      <x:c r="AH46" s="81" t="inlineStr">
        <x:is>
          <x:t xml:space="preserve">No</x:t>
        </x:is>
      </x:c>
      <x:c r="AI46" s="81" t="inlineStr">
        <x:is>
          <x:t xml:space="preserve">Not reviewed</x:t>
        </x:is>
      </x:c>
      <x:c r="AJ46" s="81" t="inlineStr">
        <x:is>
          <x:t xml:space="preserve">Research only</x:t>
        </x:is>
      </x:c>
      <x:c r="AK46" s="81" t="inlineStr">
        <x:is>
          <x:t xml:space="preserve">Research Pool</x:t>
        </x:is>
      </x:c>
      <x:c r="AL46" s="81" t="n">
        <x:v>1</x:v>
      </x:c>
      <x:c r="AM46" s="81" t="inlineStr">
        <x:is>
          <x:t xml:space="preserve">ChatGPT research</x:t>
        </x:is>
      </x:c>
      <x:c r="AN46" s="81" t="inlineStr">
        <x:is>
          <x:t xml:space="preserve">2026-09-18</x:t>
        </x:is>
      </x:c>
      <x:c r="AO46" s="81" t="inlineStr">
        <x:is>
          <x:t xml:space="preserve">Day 1 full-scope audit, chapters 1–20.</x:t>
        </x:is>
      </x:c>
      <x:c r="AP46" s="81" t="n"/>
      <x:c r="AQ46" s="81" t="n"/>
    </x:row>
    <x:row r="47">
      <x:c r="A47" s="81" t="inlineStr">
        <x:is>
          <x:t xml:space="preserve">research.laozi.ch15.046</x:t>
        </x:is>
      </x:c>
      <x:c r="B47" s="81" t="inlineStr">
        <x:is>
          <x:t xml:space="preserve">Collected</x:t>
        </x:is>
      </x:c>
      <x:c r="C47" s="81" t="inlineStr">
        <x:is>
          <x:t xml:space="preserve">Thay đổi / mất mát / chuyển tiếp</x:t>
        </x:is>
      </x:c>
      <x:c r="D47" s="81" t="inlineStr">
        <x:is>
          <x:t xml:space="preserve">Change / Impermanence / Recovery</x:t>
        </x:is>
      </x:c>
      <x:c r="E47" s="81" t="str"/>
      <x:c r="F47" s="81" t="inlineStr">
        <x:is>
          <x:t xml:space="preserve">Yên và động không nhất thiết là hai trạng thái loại trừ nhau</x:t>
        </x:is>
      </x:c>
      <x:c r="G47" s="81" t="inlineStr">
        <x:is>
          <x:t xml:space="preserve">Change</x:t>
        </x:is>
      </x:c>
      <x:c r="H47" s="81" t="inlineStr">
        <x:is>
          <x:t xml:space="preserve">Patience</x:t>
        </x:is>
      </x:c>
      <x:c r="I47" s="81" t="inlineStr">
        <x:is>
          <x:t xml:space="preserve">Bình yên</x:t>
        </x:is>
      </x:c>
      <x:c r="J47" s="81" t="str"/>
      <x:c r="K47" s="81" t="inlineStr">
        <x:is>
          <x:t xml:space="preserve">Distinguish</x:t>
        </x:is>
      </x:c>
      <x:c r="L47" s="81" t="inlineStr">
        <x:is>
          <x:t xml:space="preserve">Permit</x:t>
        </x:is>
      </x:c>
      <x:c r="M47" s="81" t="inlineStr">
        <x:is>
          <x:t xml:space="preserve">Câu hỏi</x:t>
        </x:is>
      </x:c>
      <x:c r="N47" s="81" t="inlineStr">
        <x:is>
          <x:t xml:space="preserve">孰能安以久動之徐生？</x:t>
        </x:is>
      </x:c>
      <x:c r="O47" s="81" t="inlineStr">
        <x:is>
          <x:t xml:space="preserve">Classical Chinese (文言文)</x:t>
        </x:is>
      </x:c>
      <x:c r="P47" s="81" t="inlineStr">
        <x:is>
          <x:t xml:space="preserve">Ai có thể ở trong yên mà để chuyển động dần sinh ra?</x:t>
        </x:is>
      </x:c>
      <x:c r="Q47" s="81" t="inlineStr">
        <x:is>
          <x:t xml:space="preserve">Laozi / 老子</x:t>
        </x:is>
      </x:c>
      <x:c r="R47" s="81" t="inlineStr">
        <x:is>
          <x:t xml:space="preserve">Taoism</x:t>
        </x:is>
      </x:c>
      <x:c r="S47" s="81" t="inlineStr">
        <x:is>
          <x:t xml:space="preserve">道德經 / Tao Te Ching</x:t>
        </x:is>
      </x:c>
      <x:c r="T47" s="81" t="inlineStr">
        <x:is>
          <x:t xml:space="preserve">Chapter 15</x:t>
        </x:is>
      </x:c>
      <x:c r="U47" s="81" t="inlineStr">
        <x:is>
          <x:t xml:space="preserve">https://zh.wikisource.org/zh-hans/%E9%81%93%E5%BE%B7%E7%B6%93_(%E7%8E%8B%E5%BC%BC%E6%9C%AC)</x:t>
        </x:is>
      </x:c>
      <x:c r="V47" s="81" t="inlineStr">
        <x:is>
          <x:t xml:space="preserve">Primary text</x:t>
        </x:is>
      </x:c>
      <x:c r="W47" s="81" t="inlineStr">
        <x:is>
          <x:t xml:space="preserve">Working translation</x:t>
        </x:is>
      </x:c>
      <x:c r="X47" s="81" t="inlineStr">
        <x:is>
          <x:t xml:space="preserve">A - Primary source</x:t>
        </x:is>
      </x:c>
      <x:c r="Y47" s="81" t="inlineStr">
        <x:is>
          <x:t xml:space="preserve">Original Chinese checked against Wang Bi recension; cross-check via Chinese Text Project. Vietnamese is Selflo working translation, not published translation.</x:t>
        </x:is>
      </x:c>
      <x:c r="Z47" s="81" t="inlineStr">
        <x:is>
          <x:t xml:space="preserve">Public domain / likely</x:t>
        </x:is>
      </x:c>
      <x:c r="AA47" s="81" t="inlineStr">
        <x:is>
          <x:t xml:space="preserve">Ancient text; Legge 1891 comparison is public domain in USA per Project Gutenberg. Verify jurisdiction for commercial publication.</x:t>
        </x:is>
      </x:c>
      <x:c r="AB47" s="81" t="inlineStr">
        <x:is>
          <x:t xml:space="preserve">High</x:t>
        </x:is>
      </x:c>
      <x:c r="AC47" s="81" t="inlineStr">
        <x:is>
          <x:t xml:space="preserve">Mạnh cho dynamic balance.</x:t>
        </x:is>
      </x:c>
      <x:c r="AD47" s="81" t="inlineStr">
        <x:is>
          <x:t xml:space="preserve">Needs editorial review</x:t>
        </x:is>
      </x:c>
      <x:c r="AE47" s="81" t="inlineStr">
        <x:is>
          <x:t xml:space="preserve">Needs semantic dedupe review</x:t>
        </x:is>
      </x:c>
      <x:c r="AF47" s="81" t="str"/>
      <x:c r="AG47" s="81" t="str"/>
      <x:c r="AH47" s="81" t="inlineStr">
        <x:is>
          <x:t xml:space="preserve">No</x:t>
        </x:is>
      </x:c>
      <x:c r="AI47" s="81" t="inlineStr">
        <x:is>
          <x:t xml:space="preserve">Not reviewed</x:t>
        </x:is>
      </x:c>
      <x:c r="AJ47" s="81" t="inlineStr">
        <x:is>
          <x:t xml:space="preserve">Research only</x:t>
        </x:is>
      </x:c>
      <x:c r="AK47" s="81" t="inlineStr">
        <x:is>
          <x:t xml:space="preserve">Research Pool</x:t>
        </x:is>
      </x:c>
      <x:c r="AL47" s="81" t="n">
        <x:v>1</x:v>
      </x:c>
      <x:c r="AM47" s="81" t="inlineStr">
        <x:is>
          <x:t xml:space="preserve">ChatGPT research</x:t>
        </x:is>
      </x:c>
      <x:c r="AN47" s="81" t="inlineStr">
        <x:is>
          <x:t xml:space="preserve">2026-09-18</x:t>
        </x:is>
      </x:c>
      <x:c r="AO47" s="81" t="inlineStr">
        <x:is>
          <x:t xml:space="preserve">Day 1 full-scope audit, chapters 1–20.</x:t>
        </x:is>
      </x:c>
      <x:c r="AP47" s="81" t="n"/>
      <x:c r="AQ47" s="81" t="n"/>
    </x:row>
    <x:row r="48">
      <x:c r="A48" s="81" t="inlineStr">
        <x:is>
          <x:t xml:space="preserve">research.laozi.ch15.047</x:t>
        </x:is>
      </x:c>
      <x:c r="B48" s="81" t="inlineStr">
        <x:is>
          <x:t xml:space="preserve">Collected</x:t>
        </x:is>
      </x:c>
      <x:c r="C48" s="81" t="inlineStr">
        <x:is>
          <x:t xml:space="preserve">Nội tâm &amp; hiểu mình</x:t>
        </x:is>
      </x:c>
      <x:c r="D48" s="81" t="inlineStr">
        <x:is>
          <x:t xml:space="preserve">Rest / Limits / Wellbeing</x:t>
        </x:is>
      </x:c>
      <x:c r="E48" s="81" t="str"/>
      <x:c r="F48" s="81" t="inlineStr">
        <x:is>
          <x:t xml:space="preserve">Không cần liên tục làm mới hay hoàn thiện mình</x:t>
        </x:is>
      </x:c>
      <x:c r="G48" s="81" t="inlineStr">
        <x:is>
          <x:t xml:space="preserve">Enoughness</x:t>
        </x:is>
      </x:c>
      <x:c r="H48" s="81" t="inlineStr">
        <x:is>
          <x:t xml:space="preserve">Self-worth</x:t>
        </x:is>
      </x:c>
      <x:c r="I48" s="81" t="inlineStr">
        <x:is>
          <x:t xml:space="preserve">Áp lực</x:t>
        </x:is>
      </x:c>
      <x:c r="J48" s="81" t="str"/>
      <x:c r="K48" s="81" t="inlineStr">
        <x:is>
          <x:t xml:space="preserve">Permit</x:t>
        </x:is>
      </x:c>
      <x:c r="L48" s="81" t="inlineStr">
        <x:is>
          <x:t xml:space="preserve">Reframe</x:t>
        </x:is>
      </x:c>
      <x:c r="M48" s="81" t="inlineStr">
        <x:is>
          <x:t xml:space="preserve">Trích đoạn triết học</x:t>
        </x:is>
      </x:c>
      <x:c r="N48" s="81" t="inlineStr">
        <x:is>
          <x:t xml:space="preserve">保此道者不欲盈。夫唯不盈，故能蔽不新成。</x:t>
        </x:is>
      </x:c>
      <x:c r="O48" s="81" t="inlineStr">
        <x:is>
          <x:t xml:space="preserve">Classical Chinese (文言文)</x:t>
        </x:is>
      </x:c>
      <x:c r="P48" s="81" t="inlineStr">
        <x:is>
          <x:t xml:space="preserve">Người giữ cách ấy không muốn tự làm mình đầy; chính vì không đầy nên có thể ở cùng cái cũ mà không phải liên tục làm mới mình.</x:t>
        </x:is>
      </x:c>
      <x:c r="Q48" s="81" t="inlineStr">
        <x:is>
          <x:t xml:space="preserve">Laozi / 老子</x:t>
        </x:is>
      </x:c>
      <x:c r="R48" s="81" t="inlineStr">
        <x:is>
          <x:t xml:space="preserve">Taoism</x:t>
        </x:is>
      </x:c>
      <x:c r="S48" s="81" t="inlineStr">
        <x:is>
          <x:t xml:space="preserve">道德經 / Tao Te Ching</x:t>
        </x:is>
      </x:c>
      <x:c r="T48" s="81" t="inlineStr">
        <x:is>
          <x:t xml:space="preserve">Chapter 15</x:t>
        </x:is>
      </x:c>
      <x:c r="U48" s="81" t="inlineStr">
        <x:is>
          <x:t xml:space="preserve">https://zh.wikisource.org/zh-hans/%E9%81%93%E5%BE%B7%E7%B6%93_(%E7%8E%8B%E5%BC%BC%E6%9C%AC)</x:t>
        </x:is>
      </x:c>
      <x:c r="V48" s="81" t="inlineStr">
        <x:is>
          <x:t xml:space="preserve">Primary text</x:t>
        </x:is>
      </x:c>
      <x:c r="W48" s="81" t="inlineStr">
        <x:is>
          <x:t xml:space="preserve">Working translation</x:t>
        </x:is>
      </x:c>
      <x:c r="X48" s="81" t="inlineStr">
        <x:is>
          <x:t xml:space="preserve">A - Primary source</x:t>
        </x:is>
      </x:c>
      <x:c r="Y48" s="81" t="inlineStr">
        <x:is>
          <x:t xml:space="preserve">Original Chinese checked against Wang Bi recension; cross-check via Chinese Text Project. Vietnamese is Selflo working translation, not published translation.</x:t>
        </x:is>
      </x:c>
      <x:c r="Z48" s="81" t="inlineStr">
        <x:is>
          <x:t xml:space="preserve">Public domain / likely</x:t>
        </x:is>
      </x:c>
      <x:c r="AA48" s="81" t="inlineStr">
        <x:is>
          <x:t xml:space="preserve">Ancient text; Legge 1891 comparison is public domain in USA per Project Gutenberg. Verify jurisdiction for commercial publication.</x:t>
        </x:is>
      </x:c>
      <x:c r="AB48" s="81" t="inlineStr">
        <x:is>
          <x:t xml:space="preserve">High</x:t>
        </x:is>
      </x:c>
      <x:c r="AC48" s="81" t="inlineStr">
        <x:is>
          <x:t xml:space="preserve">Working translation có diễn giải; cần review.</x:t>
        </x:is>
      </x:c>
      <x:c r="AD48" s="81" t="inlineStr">
        <x:is>
          <x:t xml:space="preserve">Needs editorial review</x:t>
        </x:is>
      </x:c>
      <x:c r="AE48" s="81" t="inlineStr">
        <x:is>
          <x:t xml:space="preserve">Needs semantic dedupe review</x:t>
        </x:is>
      </x:c>
      <x:c r="AF48" s="81" t="str"/>
      <x:c r="AG48" s="81" t="str"/>
      <x:c r="AH48" s="81" t="inlineStr">
        <x:is>
          <x:t xml:space="preserve">No</x:t>
        </x:is>
      </x:c>
      <x:c r="AI48" s="81" t="inlineStr">
        <x:is>
          <x:t xml:space="preserve">Not reviewed</x:t>
        </x:is>
      </x:c>
      <x:c r="AJ48" s="81" t="inlineStr">
        <x:is>
          <x:t xml:space="preserve">Research only</x:t>
        </x:is>
      </x:c>
      <x:c r="AK48" s="81" t="inlineStr">
        <x:is>
          <x:t xml:space="preserve">Research Pool</x:t>
        </x:is>
      </x:c>
      <x:c r="AL48" s="81" t="n">
        <x:v>1</x:v>
      </x:c>
      <x:c r="AM48" s="81" t="inlineStr">
        <x:is>
          <x:t xml:space="preserve">ChatGPT research</x:t>
        </x:is>
      </x:c>
      <x:c r="AN48" s="81" t="inlineStr">
        <x:is>
          <x:t xml:space="preserve">2026-09-18</x:t>
        </x:is>
      </x:c>
      <x:c r="AO48" s="81" t="inlineStr">
        <x:is>
          <x:t xml:space="preserve">Day 1 full-scope audit, chapters 1–20.</x:t>
        </x:is>
      </x:c>
      <x:c r="AP48" s="81" t="n"/>
      <x:c r="AQ48" s="81" t="n"/>
    </x:row>
    <x:row r="49">
      <x:c r="A49" s="81" t="inlineStr">
        <x:is>
          <x:t xml:space="preserve">research.laozi.ch16.048</x:t>
        </x:is>
      </x:c>
      <x:c r="B49" s="81" t="inlineStr">
        <x:is>
          <x:t xml:space="preserve">Collected</x:t>
        </x:is>
      </x:c>
      <x:c r="C49" s="81" t="inlineStr">
        <x:is>
          <x:t xml:space="preserve">Nghỉ ngơi &amp; sức khỏe tinh thần</x:t>
        </x:is>
      </x:c>
      <x:c r="D49" s="81" t="inlineStr">
        <x:is>
          <x:t xml:space="preserve">Rest / Limits / Wellbeing</x:t>
        </x:is>
      </x:c>
      <x:c r="E49" s="81" t="str"/>
      <x:c r="F49" s="81" t="inlineStr">
        <x:is>
          <x:t xml:space="preserve">Tạo khoảng trống và tĩnh lặng</x:t>
        </x:is>
      </x:c>
      <x:c r="G49" s="81" t="inlineStr">
        <x:is>
          <x:t xml:space="preserve">Rest</x:t>
        </x:is>
      </x:c>
      <x:c r="H49" s="81" t="inlineStr">
        <x:is>
          <x:t xml:space="preserve">Attention</x:t>
        </x:is>
      </x:c>
      <x:c r="I49" s="81" t="inlineStr">
        <x:is>
          <x:t xml:space="preserve">Quá tải</x:t>
        </x:is>
      </x:c>
      <x:c r="J49" s="81" t="str"/>
      <x:c r="K49" s="81" t="inlineStr">
        <x:is>
          <x:t xml:space="preserve">Permit</x:t>
        </x:is>
      </x:c>
      <x:c r="L49" s="81" t="inlineStr">
        <x:is>
          <x:t xml:space="preserve">Recognize</x:t>
        </x:is>
      </x:c>
      <x:c r="M49" s="81" t="inlineStr">
        <x:is>
          <x:t xml:space="preserve">Trích đoạn triết học</x:t>
        </x:is>
      </x:c>
      <x:c r="N49" s="81" t="inlineStr">
        <x:is>
          <x:t xml:space="preserve">致虛極，守靜篤。</x:t>
        </x:is>
      </x:c>
      <x:c r="O49" s="81" t="inlineStr">
        <x:is>
          <x:t xml:space="preserve">Classical Chinese (文言文)</x:t>
        </x:is>
      </x:c>
      <x:c r="P49" s="81" t="inlineStr">
        <x:is>
          <x:t xml:space="preserve">Đưa khoảng trống đến tận cùng; giữ sự tĩnh lặng thật sâu.</x:t>
        </x:is>
      </x:c>
      <x:c r="Q49" s="81" t="inlineStr">
        <x:is>
          <x:t xml:space="preserve">Laozi / 老子</x:t>
        </x:is>
      </x:c>
      <x:c r="R49" s="81" t="inlineStr">
        <x:is>
          <x:t xml:space="preserve">Taoism</x:t>
        </x:is>
      </x:c>
      <x:c r="S49" s="81" t="inlineStr">
        <x:is>
          <x:t xml:space="preserve">道德經 / Tao Te Ching</x:t>
        </x:is>
      </x:c>
      <x:c r="T49" s="81" t="inlineStr">
        <x:is>
          <x:t xml:space="preserve">Chapter 16</x:t>
        </x:is>
      </x:c>
      <x:c r="U49" s="81" t="inlineStr">
        <x:is>
          <x:t xml:space="preserve">https://zh.wikisource.org/zh-hans/%E9%81%93%E5%BE%B7%E7%B6%93_(%E7%8E%8B%E5%BC%BC%E6%9C%AC)</x:t>
        </x:is>
      </x:c>
      <x:c r="V49" s="81" t="inlineStr">
        <x:is>
          <x:t xml:space="preserve">Primary text</x:t>
        </x:is>
      </x:c>
      <x:c r="W49" s="81" t="inlineStr">
        <x:is>
          <x:t xml:space="preserve">Working translation</x:t>
        </x:is>
      </x:c>
      <x:c r="X49" s="81" t="inlineStr">
        <x:is>
          <x:t xml:space="preserve">A - Primary source</x:t>
        </x:is>
      </x:c>
      <x:c r="Y49" s="81" t="inlineStr">
        <x:is>
          <x:t xml:space="preserve">Original Chinese checked against Wang Bi recension; cross-check via Chinese Text Project. Vietnamese is Selflo working translation, not published translation.</x:t>
        </x:is>
      </x:c>
      <x:c r="Z49" s="81" t="inlineStr">
        <x:is>
          <x:t xml:space="preserve">Public domain / likely</x:t>
        </x:is>
      </x:c>
      <x:c r="AA49" s="81" t="inlineStr">
        <x:is>
          <x:t xml:space="preserve">Ancient text; Legge 1891 comparison is public domain in USA per Project Gutenberg. Verify jurisdiction for commercial publication.</x:t>
        </x:is>
      </x:c>
      <x:c r="AB49" s="81" t="inlineStr">
        <x:is>
          <x:t xml:space="preserve">Medium</x:t>
        </x:is>
      </x:c>
      <x:c r="AC49" s="81" t="inlineStr">
        <x:is>
          <x:t xml:space="preserve">Directive tone nếu tách riêng.</x:t>
        </x:is>
      </x:c>
      <x:c r="AD49" s="81" t="inlineStr">
        <x:is>
          <x:t xml:space="preserve">Needs editorial review</x:t>
        </x:is>
      </x:c>
      <x:c r="AE49" s="81" t="inlineStr">
        <x:is>
          <x:t xml:space="preserve">Needs semantic dedupe review</x:t>
        </x:is>
      </x:c>
      <x:c r="AF49" s="81" t="str"/>
      <x:c r="AG49" s="81" t="str"/>
      <x:c r="AH49" s="81" t="inlineStr">
        <x:is>
          <x:t xml:space="preserve">No</x:t>
        </x:is>
      </x:c>
      <x:c r="AI49" s="81" t="inlineStr">
        <x:is>
          <x:t xml:space="preserve">Not reviewed</x:t>
        </x:is>
      </x:c>
      <x:c r="AJ49" s="81" t="inlineStr">
        <x:is>
          <x:t xml:space="preserve">Research only</x:t>
        </x:is>
      </x:c>
      <x:c r="AK49" s="81" t="inlineStr">
        <x:is>
          <x:t xml:space="preserve">Research Pool</x:t>
        </x:is>
      </x:c>
      <x:c r="AL49" s="81" t="n">
        <x:v>1</x:v>
      </x:c>
      <x:c r="AM49" s="81" t="inlineStr">
        <x:is>
          <x:t xml:space="preserve">ChatGPT research</x:t>
        </x:is>
      </x:c>
      <x:c r="AN49" s="81" t="inlineStr">
        <x:is>
          <x:t xml:space="preserve">2026-09-18</x:t>
        </x:is>
      </x:c>
      <x:c r="AO49" s="81" t="inlineStr">
        <x:is>
          <x:t xml:space="preserve">Day 1 full-scope audit, chapters 1–20.</x:t>
        </x:is>
      </x:c>
      <x:c r="AP49" s="81" t="n"/>
      <x:c r="AQ49" s="81" t="n"/>
    </x:row>
    <x:row r="50">
      <x:c r="A50" s="81" t="inlineStr">
        <x:is>
          <x:t xml:space="preserve">research.laozi.ch16.049</x:t>
        </x:is>
      </x:c>
      <x:c r="B50" s="81" t="inlineStr">
        <x:is>
          <x:t xml:space="preserve">Collected</x:t>
        </x:is>
      </x:c>
      <x:c r="C50" s="81" t="inlineStr">
        <x:is>
          <x:t xml:space="preserve">Thay đổi / mất mát / chuyển tiếp</x:t>
        </x:is>
      </x:c>
      <x:c r="D50" s="81" t="inlineStr">
        <x:is>
          <x:t xml:space="preserve">Change / Impermanence / Recovery</x:t>
        </x:is>
      </x:c>
      <x:c r="E50" s="81" t="str"/>
      <x:c r="F50" s="81" t="inlineStr">
        <x:is>
          <x:t xml:space="preserve">Giữa nhiều chuyển động vẫn có thể quan sát chu kỳ trở về</x:t>
        </x:is>
      </x:c>
      <x:c r="G50" s="81" t="inlineStr">
        <x:is>
          <x:t xml:space="preserve">Change</x:t>
        </x:is>
      </x:c>
      <x:c r="H50" s="81" t="inlineStr">
        <x:is>
          <x:t xml:space="preserve">Impermanence</x:t>
        </x:is>
      </x:c>
      <x:c r="I50" s="81" t="inlineStr">
        <x:is>
          <x:t xml:space="preserve">Bối rối</x:t>
        </x:is>
      </x:c>
      <x:c r="J50" s="81" t="str"/>
      <x:c r="K50" s="81" t="inlineStr">
        <x:is>
          <x:t xml:space="preserve">Recognize</x:t>
        </x:is>
      </x:c>
      <x:c r="L50" s="81" t="inlineStr">
        <x:is>
          <x:t xml:space="preserve">Reframe</x:t>
        </x:is>
      </x:c>
      <x:c r="M50" s="81" t="inlineStr">
        <x:is>
          <x:t xml:space="preserve">Trích đoạn triết học</x:t>
        </x:is>
      </x:c>
      <x:c r="N50" s="81" t="inlineStr">
        <x:is>
          <x:t xml:space="preserve">萬物並作，吾以觀復。</x:t>
        </x:is>
      </x:c>
      <x:c r="O50" s="81" t="inlineStr">
        <x:is>
          <x:t xml:space="preserve">Classical Chinese (文言文)</x:t>
        </x:is>
      </x:c>
      <x:c r="P50" s="81" t="inlineStr">
        <x:is>
          <x:t xml:space="preserve">Muôn vật cùng sinh khởi; ta nhìn chúng trở về.</x:t>
        </x:is>
      </x:c>
      <x:c r="Q50" s="81" t="inlineStr">
        <x:is>
          <x:t xml:space="preserve">Laozi / 老子</x:t>
        </x:is>
      </x:c>
      <x:c r="R50" s="81" t="inlineStr">
        <x:is>
          <x:t xml:space="preserve">Taoism</x:t>
        </x:is>
      </x:c>
      <x:c r="S50" s="81" t="inlineStr">
        <x:is>
          <x:t xml:space="preserve">道德經 / Tao Te Ching</x:t>
        </x:is>
      </x:c>
      <x:c r="T50" s="81" t="inlineStr">
        <x:is>
          <x:t xml:space="preserve">Chapter 16</x:t>
        </x:is>
      </x:c>
      <x:c r="U50" s="81" t="inlineStr">
        <x:is>
          <x:t xml:space="preserve">https://zh.wikisource.org/zh-hans/%E9%81%93%E5%BE%B7%E7%B6%93_(%E7%8E%8B%E5%BC%BC%E6%9C%AC)</x:t>
        </x:is>
      </x:c>
      <x:c r="V50" s="81" t="inlineStr">
        <x:is>
          <x:t xml:space="preserve">Primary text</x:t>
        </x:is>
      </x:c>
      <x:c r="W50" s="81" t="inlineStr">
        <x:is>
          <x:t xml:space="preserve">Working translation</x:t>
        </x:is>
      </x:c>
      <x:c r="X50" s="81" t="inlineStr">
        <x:is>
          <x:t xml:space="preserve">A - Primary source</x:t>
        </x:is>
      </x:c>
      <x:c r="Y50" s="81" t="inlineStr">
        <x:is>
          <x:t xml:space="preserve">Original Chinese checked against Wang Bi recension; cross-check via Chinese Text Project. Vietnamese is Selflo working translation, not published translation.</x:t>
        </x:is>
      </x:c>
      <x:c r="Z50" s="81" t="inlineStr">
        <x:is>
          <x:t xml:space="preserve">Public domain / likely</x:t>
        </x:is>
      </x:c>
      <x:c r="AA50" s="81" t="inlineStr">
        <x:is>
          <x:t xml:space="preserve">Ancient text; Legge 1891 comparison is public domain in USA per Project Gutenberg. Verify jurisdiction for commercial publication.</x:t>
        </x:is>
      </x:c>
      <x:c r="AB50" s="81" t="inlineStr">
        <x:is>
          <x:t xml:space="preserve">High</x:t>
        </x:is>
      </x:c>
      <x:c r="AC50" s="81" t="inlineStr">
        <x:is>
          <x:t xml:space="preserve">Mạnh cho change/cycles.</x:t>
        </x:is>
      </x:c>
      <x:c r="AD50" s="81" t="inlineStr">
        <x:is>
          <x:t xml:space="preserve">Needs editorial review</x:t>
        </x:is>
      </x:c>
      <x:c r="AE50" s="81" t="inlineStr">
        <x:is>
          <x:t xml:space="preserve">Needs semantic dedupe review</x:t>
        </x:is>
      </x:c>
      <x:c r="AF50" s="81" t="str"/>
      <x:c r="AG50" s="81" t="str"/>
      <x:c r="AH50" s="81" t="inlineStr">
        <x:is>
          <x:t xml:space="preserve">No</x:t>
        </x:is>
      </x:c>
      <x:c r="AI50" s="81" t="inlineStr">
        <x:is>
          <x:t xml:space="preserve">Not reviewed</x:t>
        </x:is>
      </x:c>
      <x:c r="AJ50" s="81" t="inlineStr">
        <x:is>
          <x:t xml:space="preserve">Research only</x:t>
        </x:is>
      </x:c>
      <x:c r="AK50" s="81" t="inlineStr">
        <x:is>
          <x:t xml:space="preserve">Research Pool</x:t>
        </x:is>
      </x:c>
      <x:c r="AL50" s="81" t="n">
        <x:v>1</x:v>
      </x:c>
      <x:c r="AM50" s="81" t="inlineStr">
        <x:is>
          <x:t xml:space="preserve">ChatGPT research</x:t>
        </x:is>
      </x:c>
      <x:c r="AN50" s="81" t="inlineStr">
        <x:is>
          <x:t xml:space="preserve">2026-09-18</x:t>
        </x:is>
      </x:c>
      <x:c r="AO50" s="81" t="inlineStr">
        <x:is>
          <x:t xml:space="preserve">Day 1 full-scope audit, chapters 1–20.</x:t>
        </x:is>
      </x:c>
      <x:c r="AP50" s="81" t="n"/>
      <x:c r="AQ50" s="81" t="n"/>
    </x:row>
    <x:row r="51">
      <x:c r="A51" s="81" t="inlineStr">
        <x:is>
          <x:t xml:space="preserve">research.laozi.ch16.050</x:t>
        </x:is>
      </x:c>
      <x:c r="B51" s="81" t="inlineStr">
        <x:is>
          <x:t xml:space="preserve">Collected</x:t>
        </x:is>
      </x:c>
      <x:c r="C51" s="81" t="inlineStr">
        <x:is>
          <x:t xml:space="preserve">Thay đổi / mất mát / chuyển tiếp</x:t>
        </x:is>
      </x:c>
      <x:c r="D51" s="81" t="inlineStr">
        <x:is>
          <x:t xml:space="preserve">Change / Impermanence / Recovery</x:t>
        </x:is>
      </x:c>
      <x:c r="E51" s="81" t="str"/>
      <x:c r="F51" s="81" t="inlineStr">
        <x:is>
          <x:t xml:space="preserve">Phát triển và trở về đều thuộc một chu kỳ</x:t>
        </x:is>
      </x:c>
      <x:c r="G51" s="81" t="inlineStr">
        <x:is>
          <x:t xml:space="preserve">Change</x:t>
        </x:is>
      </x:c>
      <x:c r="H51" s="81" t="inlineStr">
        <x:is>
          <x:t xml:space="preserve">Recovery</x:t>
        </x:is>
      </x:c>
      <x:c r="I51" s="81" t="inlineStr">
        <x:is>
          <x:t xml:space="preserve">Lingering emotion</x:t>
        </x:is>
      </x:c>
      <x:c r="J51" s="81" t="str"/>
      <x:c r="K51" s="81" t="inlineStr">
        <x:is>
          <x:t xml:space="preserve">Reframe</x:t>
        </x:is>
      </x:c>
      <x:c r="L51" s="81" t="inlineStr">
        <x:is>
          <x:t xml:space="preserve">Permit</x:t>
        </x:is>
      </x:c>
      <x:c r="M51" s="81" t="inlineStr">
        <x:is>
          <x:t xml:space="preserve">Ẩn dụ</x:t>
        </x:is>
      </x:c>
      <x:c r="N51" s="81" t="inlineStr">
        <x:is>
          <x:t xml:space="preserve">夫物芸芸，各復歸其根。歸根曰靜，是謂復命。</x:t>
        </x:is>
      </x:c>
      <x:c r="O51" s="81" t="inlineStr">
        <x:is>
          <x:t xml:space="preserve">Classical Chinese (文言文)</x:t>
        </x:is>
      </x:c>
      <x:c r="P51" s="81" t="inlineStr">
        <x:is>
          <x:t xml:space="preserve">Muôn vật phong phú rồi mỗi thứ lại trở về gốc; trở về gốc được gọi là tĩnh.</x:t>
        </x:is>
      </x:c>
      <x:c r="Q51" s="81" t="inlineStr">
        <x:is>
          <x:t xml:space="preserve">Laozi / 老子</x:t>
        </x:is>
      </x:c>
      <x:c r="R51" s="81" t="inlineStr">
        <x:is>
          <x:t xml:space="preserve">Taoism</x:t>
        </x:is>
      </x:c>
      <x:c r="S51" s="81" t="inlineStr">
        <x:is>
          <x:t xml:space="preserve">道德經 / Tao Te Ching</x:t>
        </x:is>
      </x:c>
      <x:c r="T51" s="81" t="inlineStr">
        <x:is>
          <x:t xml:space="preserve">Chapter 16</x:t>
        </x:is>
      </x:c>
      <x:c r="U51" s="81" t="inlineStr">
        <x:is>
          <x:t xml:space="preserve">https://zh.wikisource.org/zh-hans/%E9%81%93%E5%BE%B7%E7%B6%93_(%E7%8E%8B%E5%BC%BC%E6%9C%AC)</x:t>
        </x:is>
      </x:c>
      <x:c r="V51" s="81" t="inlineStr">
        <x:is>
          <x:t xml:space="preserve">Primary text</x:t>
        </x:is>
      </x:c>
      <x:c r="W51" s="81" t="inlineStr">
        <x:is>
          <x:t xml:space="preserve">Working translation</x:t>
        </x:is>
      </x:c>
      <x:c r="X51" s="81" t="inlineStr">
        <x:is>
          <x:t xml:space="preserve">A - Primary source</x:t>
        </x:is>
      </x:c>
      <x:c r="Y51" s="81" t="inlineStr">
        <x:is>
          <x:t xml:space="preserve">Original Chinese checked against Wang Bi recension; cross-check via Chinese Text Project. Vietnamese is Selflo working translation, not published translation.</x:t>
        </x:is>
      </x:c>
      <x:c r="Z51" s="81" t="inlineStr">
        <x:is>
          <x:t xml:space="preserve">Public domain / likely</x:t>
        </x:is>
      </x:c>
      <x:c r="AA51" s="81" t="inlineStr">
        <x:is>
          <x:t xml:space="preserve">Ancient text; Legge 1891 comparison is public domain in USA per Project Gutenberg. Verify jurisdiction for commercial publication.</x:t>
        </x:is>
      </x:c>
      <x:c r="AB51" s="81" t="inlineStr">
        <x:is>
          <x:t xml:space="preserve">High</x:t>
        </x:is>
      </x:c>
      <x:c r="AC51" s="81" t="inlineStr">
        <x:is>
          <x:t xml:space="preserve">Hợp recovery, nhưng metaphysical.</x:t>
        </x:is>
      </x:c>
      <x:c r="AD51" s="81" t="inlineStr">
        <x:is>
          <x:t xml:space="preserve">Needs editorial review</x:t>
        </x:is>
      </x:c>
      <x:c r="AE51" s="81" t="inlineStr">
        <x:is>
          <x:t xml:space="preserve">Needs semantic dedupe review</x:t>
        </x:is>
      </x:c>
      <x:c r="AF51" s="81" t="str"/>
      <x:c r="AG51" s="81" t="str"/>
      <x:c r="AH51" s="81" t="inlineStr">
        <x:is>
          <x:t xml:space="preserve">No</x:t>
        </x:is>
      </x:c>
      <x:c r="AI51" s="81" t="inlineStr">
        <x:is>
          <x:t xml:space="preserve">Not reviewed</x:t>
        </x:is>
      </x:c>
      <x:c r="AJ51" s="81" t="inlineStr">
        <x:is>
          <x:t xml:space="preserve">Research only</x:t>
        </x:is>
      </x:c>
      <x:c r="AK51" s="81" t="inlineStr">
        <x:is>
          <x:t xml:space="preserve">Research Pool</x:t>
        </x:is>
      </x:c>
      <x:c r="AL51" s="81" t="n">
        <x:v>1</x:v>
      </x:c>
      <x:c r="AM51" s="81" t="inlineStr">
        <x:is>
          <x:t xml:space="preserve">ChatGPT research</x:t>
        </x:is>
      </x:c>
      <x:c r="AN51" s="81" t="inlineStr">
        <x:is>
          <x:t xml:space="preserve">2026-09-18</x:t>
        </x:is>
      </x:c>
      <x:c r="AO51" s="81" t="inlineStr">
        <x:is>
          <x:t xml:space="preserve">Day 1 full-scope audit, chapters 1–20.</x:t>
        </x:is>
      </x:c>
      <x:c r="AP51" s="81" t="n"/>
      <x:c r="AQ51" s="81" t="n"/>
    </x:row>
    <x:row r="52">
      <x:c r="A52" s="81" t="inlineStr">
        <x:is>
          <x:t xml:space="preserve">research.laozi.ch16.051</x:t>
        </x:is>
      </x:c>
      <x:c r="B52" s="81" t="inlineStr">
        <x:is>
          <x:t xml:space="preserve">Collected</x:t>
        </x:is>
      </x:c>
      <x:c r="C52" s="81" t="inlineStr">
        <x:is>
          <x:t xml:space="preserve">AI &amp; tương lai</x:t>
        </x:is>
      </x:c>
      <x:c r="D52" s="81" t="inlineStr">
        <x:is>
          <x:t xml:space="preserve">AI-age Human Judgment</x:t>
        </x:is>
      </x:c>
      <x:c r="E52" s="81" t="str"/>
      <x:c r="F52" s="81" t="inlineStr">
        <x:is>
          <x:t xml:space="preserve">Nhận ra nguyên lý bền giữa thay đổi</x:t>
        </x:is>
      </x:c>
      <x:c r="G52" s="81" t="inlineStr">
        <x:is>
          <x:t xml:space="preserve">Judgment</x:t>
        </x:is>
      </x:c>
      <x:c r="H52" s="81" t="inlineStr">
        <x:is>
          <x:t xml:space="preserve">Change</x:t>
        </x:is>
      </x:c>
      <x:c r="I52" s="81" t="inlineStr">
        <x:is>
          <x:t xml:space="preserve">Bối rối</x:t>
        </x:is>
      </x:c>
      <x:c r="J52" s="81" t="str"/>
      <x:c r="K52" s="81" t="inlineStr">
        <x:is>
          <x:t xml:space="preserve">Name</x:t>
        </x:is>
      </x:c>
      <x:c r="L52" s="81" t="inlineStr">
        <x:is>
          <x:t xml:space="preserve">Distinguish</x:t>
        </x:is>
      </x:c>
      <x:c r="M52" s="81" t="inlineStr">
        <x:is>
          <x:t xml:space="preserve">Trích đoạn triết học</x:t>
        </x:is>
      </x:c>
      <x:c r="N52" s="81" t="inlineStr">
        <x:is>
          <x:t xml:space="preserve">知常曰明。</x:t>
        </x:is>
      </x:c>
      <x:c r="O52" s="81" t="inlineStr">
        <x:is>
          <x:t xml:space="preserve">Classical Chinese (文言文)</x:t>
        </x:is>
      </x:c>
      <x:c r="P52" s="81" t="inlineStr">
        <x:is>
          <x:t xml:space="preserve">Nhìn ra điều có tính lặp lại và bền vững được gọi là sáng rõ.</x:t>
        </x:is>
      </x:c>
      <x:c r="Q52" s="81" t="inlineStr">
        <x:is>
          <x:t xml:space="preserve">Laozi / 老子</x:t>
        </x:is>
      </x:c>
      <x:c r="R52" s="81" t="inlineStr">
        <x:is>
          <x:t xml:space="preserve">Taoism</x:t>
        </x:is>
      </x:c>
      <x:c r="S52" s="81" t="inlineStr">
        <x:is>
          <x:t xml:space="preserve">道德經 / Tao Te Ching</x:t>
        </x:is>
      </x:c>
      <x:c r="T52" s="81" t="inlineStr">
        <x:is>
          <x:t xml:space="preserve">Chapter 16</x:t>
        </x:is>
      </x:c>
      <x:c r="U52" s="81" t="inlineStr">
        <x:is>
          <x:t xml:space="preserve">https://zh.wikisource.org/zh-hans/%E9%81%93%E5%BE%B7%E7%B6%93_(%E7%8E%8B%E5%BC%BC%E6%9C%AC)</x:t>
        </x:is>
      </x:c>
      <x:c r="V52" s="81" t="inlineStr">
        <x:is>
          <x:t xml:space="preserve">Primary text</x:t>
        </x:is>
      </x:c>
      <x:c r="W52" s="81" t="inlineStr">
        <x:is>
          <x:t xml:space="preserve">Working translation</x:t>
        </x:is>
      </x:c>
      <x:c r="X52" s="81" t="inlineStr">
        <x:is>
          <x:t xml:space="preserve">A - Primary source</x:t>
        </x:is>
      </x:c>
      <x:c r="Y52" s="81" t="inlineStr">
        <x:is>
          <x:t xml:space="preserve">Original Chinese checked against Wang Bi recension; cross-check via Chinese Text Project. Vietnamese is Selflo working translation, not published translation.</x:t>
        </x:is>
      </x:c>
      <x:c r="Z52" s="81" t="inlineStr">
        <x:is>
          <x:t xml:space="preserve">Public domain / likely</x:t>
        </x:is>
      </x:c>
      <x:c r="AA52" s="81" t="inlineStr">
        <x:is>
          <x:t xml:space="preserve">Ancient text; Legge 1891 comparison is public domain in USA per Project Gutenberg. Verify jurisdiction for commercial publication.</x:t>
        </x:is>
      </x:c>
      <x:c r="AB52" s="81" t="inlineStr">
        <x:is>
          <x:t xml:space="preserve">High</x:t>
        </x:is>
      </x:c>
      <x:c r="AC52" s="81" t="inlineStr">
        <x:is>
          <x:t xml:space="preserve">Rất gần 'nguyên lý bền' trong docs.</x:t>
        </x:is>
      </x:c>
      <x:c r="AD52" s="81" t="inlineStr">
        <x:is>
          <x:t xml:space="preserve">Needs editorial review</x:t>
        </x:is>
      </x:c>
      <x:c r="AE52" s="81" t="inlineStr">
        <x:is>
          <x:t xml:space="preserve">Needs semantic dedupe review</x:t>
        </x:is>
      </x:c>
      <x:c r="AF52" s="81" t="str"/>
      <x:c r="AG52" s="81" t="str"/>
      <x:c r="AH52" s="81" t="inlineStr">
        <x:is>
          <x:t xml:space="preserve">No</x:t>
        </x:is>
      </x:c>
      <x:c r="AI52" s="81" t="inlineStr">
        <x:is>
          <x:t xml:space="preserve">Not reviewed</x:t>
        </x:is>
      </x:c>
      <x:c r="AJ52" s="81" t="inlineStr">
        <x:is>
          <x:t xml:space="preserve">Research only</x:t>
        </x:is>
      </x:c>
      <x:c r="AK52" s="81" t="inlineStr">
        <x:is>
          <x:t xml:space="preserve">Research Pool</x:t>
        </x:is>
      </x:c>
      <x:c r="AL52" s="81" t="n">
        <x:v>1</x:v>
      </x:c>
      <x:c r="AM52" s="81" t="inlineStr">
        <x:is>
          <x:t xml:space="preserve">ChatGPT research</x:t>
        </x:is>
      </x:c>
      <x:c r="AN52" s="81" t="inlineStr">
        <x:is>
          <x:t xml:space="preserve">2026-09-18</x:t>
        </x:is>
      </x:c>
      <x:c r="AO52" s="81" t="inlineStr">
        <x:is>
          <x:t xml:space="preserve">Day 1 full-scope audit, chapters 1–20.</x:t>
        </x:is>
      </x:c>
      <x:c r="AP52" s="81" t="n"/>
      <x:c r="AQ52" s="81" t="n"/>
    </x:row>
    <x:row r="53">
      <x:c r="A53" s="81" t="inlineStr">
        <x:is>
          <x:t xml:space="preserve">research.laozi.ch17.052</x:t>
        </x:is>
      </x:c>
      <x:c r="B53" s="81" t="inlineStr">
        <x:is>
          <x:t xml:space="preserve">Collected</x:t>
        </x:is>
      </x:c>
      <x:c r="C53" s="81" t="inlineStr">
        <x:is>
          <x:t xml:space="preserve">Công việc &amp; mục đích</x:t>
        </x:is>
      </x:c>
      <x:c r="D53" s="81" t="inlineStr">
        <x:is>
          <x:t xml:space="preserve">Meaning / Identity / Work</x:t>
        </x:is>
      </x:c>
      <x:c r="E53" s="81" t="str"/>
      <x:c r="F53" s="81" t="inlineStr">
        <x:is>
          <x:t xml:space="preserve">Ảnh hưởng không nhất thiết tỷ lệ với mức độ người lãnh đạo xuất hiện</x:t>
        </x:is>
      </x:c>
      <x:c r="G53" s="81" t="inlineStr">
        <x:is>
          <x:t xml:space="preserve">Agency</x:t>
        </x:is>
      </x:c>
      <x:c r="H53" s="81" t="inlineStr">
        <x:is>
          <x:t xml:space="preserve">Responsibility</x:t>
        </x:is>
      </x:c>
      <x:c r="I53" s="81" t="inlineStr">
        <x:is>
          <x:t xml:space="preserve">Áp lực</x:t>
        </x:is>
      </x:c>
      <x:c r="J53" s="81" t="str"/>
      <x:c r="K53" s="81" t="inlineStr">
        <x:is>
          <x:t xml:space="preserve">Distinguish</x:t>
        </x:is>
      </x:c>
      <x:c r="L53" s="81" t="inlineStr">
        <x:is>
          <x:t xml:space="preserve">Reframe</x:t>
        </x:is>
      </x:c>
      <x:c r="M53" s="81" t="inlineStr">
        <x:is>
          <x:t xml:space="preserve">Trích đoạn triết học</x:t>
        </x:is>
      </x:c>
      <x:c r="N53" s="81" t="inlineStr">
        <x:is>
          <x:t xml:space="preserve">太上，下知有之；其次，親而譽之；其次，畏之；其次，侮之。</x:t>
        </x:is>
      </x:c>
      <x:c r="O53" s="81" t="inlineStr">
        <x:is>
          <x:t xml:space="preserve">Classical Chinese (文言文)</x:t>
        </x:is>
      </x:c>
      <x:c r="P53" s="81" t="inlineStr">
        <x:is>
          <x:t xml:space="preserve">Ở cách lãnh đạo cao nhất, người ta chỉ biết người lãnh đạo hiện diện; thấp hơn là được yêu và ca ngợi; rồi đến bị sợ; rồi bị khinh.</x:t>
        </x:is>
      </x:c>
      <x:c r="Q53" s="81" t="inlineStr">
        <x:is>
          <x:t xml:space="preserve">Laozi / 老子</x:t>
        </x:is>
      </x:c>
      <x:c r="R53" s="81" t="inlineStr">
        <x:is>
          <x:t xml:space="preserve">Taoism</x:t>
        </x:is>
      </x:c>
      <x:c r="S53" s="81" t="inlineStr">
        <x:is>
          <x:t xml:space="preserve">道德經 / Tao Te Ching</x:t>
        </x:is>
      </x:c>
      <x:c r="T53" s="81" t="inlineStr">
        <x:is>
          <x:t xml:space="preserve">Chapter 17</x:t>
        </x:is>
      </x:c>
      <x:c r="U53" s="81" t="inlineStr">
        <x:is>
          <x:t xml:space="preserve">https://zh.wikisource.org/zh-hans/%E9%81%93%E5%BE%B7%E7%B6%93_(%E7%8E%8B%E5%BC%BC%E6%9C%AC)</x:t>
        </x:is>
      </x:c>
      <x:c r="V53" s="81" t="inlineStr">
        <x:is>
          <x:t xml:space="preserve">Primary text</x:t>
        </x:is>
      </x:c>
      <x:c r="W53" s="81" t="inlineStr">
        <x:is>
          <x:t xml:space="preserve">Working translation</x:t>
        </x:is>
      </x:c>
      <x:c r="X53" s="81" t="inlineStr">
        <x:is>
          <x:t xml:space="preserve">A - Primary source</x:t>
        </x:is>
      </x:c>
      <x:c r="Y53" s="81" t="inlineStr">
        <x:is>
          <x:t xml:space="preserve">Original Chinese checked against Wang Bi recension; cross-check via Chinese Text Project. Vietnamese is Selflo working translation, not published translation.</x:t>
        </x:is>
      </x:c>
      <x:c r="Z53" s="81" t="inlineStr">
        <x:is>
          <x:t xml:space="preserve">Public domain / likely</x:t>
        </x:is>
      </x:c>
      <x:c r="AA53" s="81" t="inlineStr">
        <x:is>
          <x:t xml:space="preserve">Ancient text; Legge 1891 comparison is public domain in USA per Project Gutenberg. Verify jurisdiction for commercial publication.</x:t>
        </x:is>
      </x:c>
      <x:c r="AB53" s="81" t="inlineStr">
        <x:is>
          <x:t xml:space="preserve">Medium</x:t>
        </x:is>
      </x:c>
      <x:c r="AC53" s="81" t="inlineStr">
        <x:is>
          <x:t xml:space="preserve">Leadership-specific; research pool.</x:t>
        </x:is>
      </x:c>
      <x:c r="AD53" s="81" t="inlineStr">
        <x:is>
          <x:t xml:space="preserve">Needs editorial review</x:t>
        </x:is>
      </x:c>
      <x:c r="AE53" s="81" t="inlineStr">
        <x:is>
          <x:t xml:space="preserve">Needs semantic dedupe review</x:t>
        </x:is>
      </x:c>
      <x:c r="AF53" s="81" t="str"/>
      <x:c r="AG53" s="81" t="str"/>
      <x:c r="AH53" s="81" t="inlineStr">
        <x:is>
          <x:t xml:space="preserve">No</x:t>
        </x:is>
      </x:c>
      <x:c r="AI53" s="81" t="inlineStr">
        <x:is>
          <x:t xml:space="preserve">Not reviewed</x:t>
        </x:is>
      </x:c>
      <x:c r="AJ53" s="81" t="inlineStr">
        <x:is>
          <x:t xml:space="preserve">Research only</x:t>
        </x:is>
      </x:c>
      <x:c r="AK53" s="81" t="inlineStr">
        <x:is>
          <x:t xml:space="preserve">Research Pool</x:t>
        </x:is>
      </x:c>
      <x:c r="AL53" s="81" t="n">
        <x:v>1</x:v>
      </x:c>
      <x:c r="AM53" s="81" t="inlineStr">
        <x:is>
          <x:t xml:space="preserve">ChatGPT research</x:t>
        </x:is>
      </x:c>
      <x:c r="AN53" s="81" t="inlineStr">
        <x:is>
          <x:t xml:space="preserve">2026-09-18</x:t>
        </x:is>
      </x:c>
      <x:c r="AO53" s="81" t="inlineStr">
        <x:is>
          <x:t xml:space="preserve">Day 1 full-scope audit, chapters 1–20.</x:t>
        </x:is>
      </x:c>
      <x:c r="AP53" s="81" t="n"/>
      <x:c r="AQ53" s="81" t="n"/>
    </x:row>
    <x:row r="54">
      <x:c r="A54" s="81" t="inlineStr">
        <x:is>
          <x:t xml:space="preserve">research.laozi.ch17.053</x:t>
        </x:is>
      </x:c>
      <x:c r="B54" s="81" t="inlineStr">
        <x:is>
          <x:t xml:space="preserve">Collected</x:t>
        </x:is>
      </x:c>
      <x:c r="C54" s="81" t="inlineStr">
        <x:is>
          <x:t xml:space="preserve">Quan hệ</x:t>
        </x:is>
      </x:c>
      <x:c r="D54" s="81" t="inlineStr">
        <x:is>
          <x:t xml:space="preserve">Relationships / Boundaries / Connection</x:t>
        </x:is>
      </x:c>
      <x:c r="E54" s="81" t="str"/>
      <x:c r="F54" s="81" t="inlineStr">
        <x:is>
          <x:t xml:space="preserve">Niềm tin không thể chỉ được yêu cầu từ phía người khác</x:t>
        </x:is>
      </x:c>
      <x:c r="G54" s="81" t="inlineStr">
        <x:is>
          <x:t xml:space="preserve">Trust</x:t>
        </x:is>
      </x:c>
      <x:c r="H54" s="81" t="inlineStr">
        <x:is>
          <x:t xml:space="preserve">Responsibility</x:t>
        </x:is>
      </x:c>
      <x:c r="I54" s="81" t="inlineStr">
        <x:is>
          <x:t xml:space="preserve">Lo lắng</x:t>
        </x:is>
      </x:c>
      <x:c r="J54" s="81" t="str"/>
      <x:c r="K54" s="81" t="inlineStr">
        <x:is>
          <x:t xml:space="preserve">Distinguish</x:t>
        </x:is>
      </x:c>
      <x:c r="L54" s="81" t="inlineStr">
        <x:is>
          <x:t xml:space="preserve">Recognize</x:t>
        </x:is>
      </x:c>
      <x:c r="M54" s="81" t="inlineStr">
        <x:is>
          <x:t xml:space="preserve">Trích đoạn triết học</x:t>
        </x:is>
      </x:c>
      <x:c r="N54" s="81" t="inlineStr">
        <x:is>
          <x:t xml:space="preserve">信不足焉，有不信焉。</x:t>
        </x:is>
      </x:c>
      <x:c r="O54" s="81" t="inlineStr">
        <x:is>
          <x:t xml:space="preserve">Classical Chinese (文言文)</x:t>
        </x:is>
      </x:c>
      <x:c r="P54" s="81" t="inlineStr">
        <x:is>
          <x:t xml:space="preserve">Khi sự đáng tin không đủ, sự không tin cũng xuất hiện.</x:t>
        </x:is>
      </x:c>
      <x:c r="Q54" s="81" t="inlineStr">
        <x:is>
          <x:t xml:space="preserve">Laozi / 老子</x:t>
        </x:is>
      </x:c>
      <x:c r="R54" s="81" t="inlineStr">
        <x:is>
          <x:t xml:space="preserve">Taoism</x:t>
        </x:is>
      </x:c>
      <x:c r="S54" s="81" t="inlineStr">
        <x:is>
          <x:t xml:space="preserve">道德經 / Tao Te Ching</x:t>
        </x:is>
      </x:c>
      <x:c r="T54" s="81" t="inlineStr">
        <x:is>
          <x:t xml:space="preserve">Chapter 17</x:t>
        </x:is>
      </x:c>
      <x:c r="U54" s="81" t="inlineStr">
        <x:is>
          <x:t xml:space="preserve">https://zh.wikisource.org/zh-hans/%E9%81%93%E5%BE%B7%E7%B6%93_(%E7%8E%8B%E5%BC%BC%E6%9C%AC)</x:t>
        </x:is>
      </x:c>
      <x:c r="V54" s="81" t="inlineStr">
        <x:is>
          <x:t xml:space="preserve">Primary text</x:t>
        </x:is>
      </x:c>
      <x:c r="W54" s="81" t="inlineStr">
        <x:is>
          <x:t xml:space="preserve">Working translation</x:t>
        </x:is>
      </x:c>
      <x:c r="X54" s="81" t="inlineStr">
        <x:is>
          <x:t xml:space="preserve">A - Primary source</x:t>
        </x:is>
      </x:c>
      <x:c r="Y54" s="81" t="inlineStr">
        <x:is>
          <x:t xml:space="preserve">Original Chinese checked against Wang Bi recension; cross-check via Chinese Text Project. Vietnamese is Selflo working translation, not published translation.</x:t>
        </x:is>
      </x:c>
      <x:c r="Z54" s="81" t="inlineStr">
        <x:is>
          <x:t xml:space="preserve">Public domain / likely</x:t>
        </x:is>
      </x:c>
      <x:c r="AA54" s="81" t="inlineStr">
        <x:is>
          <x:t xml:space="preserve">Ancient text; Legge 1891 comparison is public domain in USA per Project Gutenberg. Verify jurisdiction for commercial publication.</x:t>
        </x:is>
      </x:c>
      <x:c r="AB54" s="81" t="inlineStr">
        <x:is>
          <x:t xml:space="preserve">High</x:t>
        </x:is>
      </x:c>
      <x:c r="AC54" s="81" t="inlineStr">
        <x:is>
          <x:t xml:space="preserve">Ngắn và ứng dụng rộng.</x:t>
        </x:is>
      </x:c>
      <x:c r="AD54" s="81" t="inlineStr">
        <x:is>
          <x:t xml:space="preserve">Needs editorial review</x:t>
        </x:is>
      </x:c>
      <x:c r="AE54" s="81" t="inlineStr">
        <x:is>
          <x:t xml:space="preserve">Needs semantic dedupe review</x:t>
        </x:is>
      </x:c>
      <x:c r="AF54" s="81" t="str"/>
      <x:c r="AG54" s="81" t="str"/>
      <x:c r="AH54" s="81" t="inlineStr">
        <x:is>
          <x:t xml:space="preserve">No</x:t>
        </x:is>
      </x:c>
      <x:c r="AI54" s="81" t="inlineStr">
        <x:is>
          <x:t xml:space="preserve">Not reviewed</x:t>
        </x:is>
      </x:c>
      <x:c r="AJ54" s="81" t="inlineStr">
        <x:is>
          <x:t xml:space="preserve">Research only</x:t>
        </x:is>
      </x:c>
      <x:c r="AK54" s="81" t="inlineStr">
        <x:is>
          <x:t xml:space="preserve">Research Pool</x:t>
        </x:is>
      </x:c>
      <x:c r="AL54" s="81" t="n">
        <x:v>1</x:v>
      </x:c>
      <x:c r="AM54" s="81" t="inlineStr">
        <x:is>
          <x:t xml:space="preserve">ChatGPT research</x:t>
        </x:is>
      </x:c>
      <x:c r="AN54" s="81" t="inlineStr">
        <x:is>
          <x:t xml:space="preserve">2026-09-18</x:t>
        </x:is>
      </x:c>
      <x:c r="AO54" s="81" t="inlineStr">
        <x:is>
          <x:t xml:space="preserve">Day 1 full-scope audit, chapters 1–20.</x:t>
        </x:is>
      </x:c>
      <x:c r="AP54" s="81" t="n"/>
      <x:c r="AQ54" s="81" t="n"/>
    </x:row>
    <x:row r="55">
      <x:c r="A55" s="81" t="inlineStr">
        <x:is>
          <x:t xml:space="preserve">research.laozi.ch17.054</x:t>
        </x:is>
      </x:c>
      <x:c r="B55" s="81" t="inlineStr">
        <x:is>
          <x:t xml:space="preserve">Collected</x:t>
        </x:is>
      </x:c>
      <x:c r="C55" s="81" t="inlineStr">
        <x:is>
          <x:t xml:space="preserve">Công việc &amp; mục đích</x:t>
        </x:is>
      </x:c>
      <x:c r="D55" s="81" t="inlineStr">
        <x:is>
          <x:t xml:space="preserve">Meaning / Identity / Work</x:t>
        </x:is>
      </x:c>
      <x:c r="E55" s="81" t="str"/>
      <x:c r="F55" s="81" t="inlineStr">
        <x:is>
          <x:t xml:space="preserve">Một kiểu hỗ trợ tốt có thể làm người khác giữ được cảm giác chủ thể</x:t>
        </x:is>
      </x:c>
      <x:c r="G55" s="81" t="inlineStr">
        <x:is>
          <x:t xml:space="preserve">Agency</x:t>
        </x:is>
      </x:c>
      <x:c r="H55" s="81" t="inlineStr">
        <x:is>
          <x:t xml:space="preserve">Responsibility</x:t>
        </x:is>
      </x:c>
      <x:c r="I55" s="81" t="inlineStr">
        <x:is>
          <x:t xml:space="preserve">Bình yên</x:t>
        </x:is>
      </x:c>
      <x:c r="J55" s="81" t="str"/>
      <x:c r="K55" s="81" t="inlineStr">
        <x:is>
          <x:t xml:space="preserve">Return agency</x:t>
        </x:is>
      </x:c>
      <x:c r="L55" s="81" t="inlineStr">
        <x:is>
          <x:t xml:space="preserve">Reframe</x:t>
        </x:is>
      </x:c>
      <x:c r="M55" s="81" t="inlineStr">
        <x:is>
          <x:t xml:space="preserve">Trích đoạn triết học</x:t>
        </x:is>
      </x:c>
      <x:c r="N55" s="81" t="inlineStr">
        <x:is>
          <x:t xml:space="preserve">功成事遂，百姓皆謂：我自然。</x:t>
        </x:is>
      </x:c>
      <x:c r="O55" s="81" t="inlineStr">
        <x:is>
          <x:t xml:space="preserve">Classical Chinese (文言文)</x:t>
        </x:is>
      </x:c>
      <x:c r="P55" s="81" t="inlineStr">
        <x:is>
          <x:t xml:space="preserve">Việc thành, chuyện xong, mà người ta nói: chúng tôi tự làm được như vậy.</x:t>
        </x:is>
      </x:c>
      <x:c r="Q55" s="81" t="inlineStr">
        <x:is>
          <x:t xml:space="preserve">Laozi / 老子</x:t>
        </x:is>
      </x:c>
      <x:c r="R55" s="81" t="inlineStr">
        <x:is>
          <x:t xml:space="preserve">Taoism</x:t>
        </x:is>
      </x:c>
      <x:c r="S55" s="81" t="inlineStr">
        <x:is>
          <x:t xml:space="preserve">道德經 / Tao Te Ching</x:t>
        </x:is>
      </x:c>
      <x:c r="T55" s="81" t="inlineStr">
        <x:is>
          <x:t xml:space="preserve">Chapter 17</x:t>
        </x:is>
      </x:c>
      <x:c r="U55" s="81" t="inlineStr">
        <x:is>
          <x:t xml:space="preserve">https://zh.wikisource.org/zh-hans/%E9%81%93%E5%BE%B7%E7%B6%93_(%E7%8E%8B%E5%BC%BC%E6%9C%AC)</x:t>
        </x:is>
      </x:c>
      <x:c r="V55" s="81" t="inlineStr">
        <x:is>
          <x:t xml:space="preserve">Primary text</x:t>
        </x:is>
      </x:c>
      <x:c r="W55" s="81" t="inlineStr">
        <x:is>
          <x:t xml:space="preserve">Working translation</x:t>
        </x:is>
      </x:c>
      <x:c r="X55" s="81" t="inlineStr">
        <x:is>
          <x:t xml:space="preserve">A - Primary source</x:t>
        </x:is>
      </x:c>
      <x:c r="Y55" s="81" t="inlineStr">
        <x:is>
          <x:t xml:space="preserve">Original Chinese checked against Wang Bi recension; cross-check via Chinese Text Project. Vietnamese is Selflo working translation, not published translation.</x:t>
        </x:is>
      </x:c>
      <x:c r="Z55" s="81" t="inlineStr">
        <x:is>
          <x:t xml:space="preserve">Public domain / likely</x:t>
        </x:is>
      </x:c>
      <x:c r="AA55" s="81" t="inlineStr">
        <x:is>
          <x:t xml:space="preserve">Ancient text; Legge 1891 comparison is public domain in USA per Project Gutenberg. Verify jurisdiction for commercial publication.</x:t>
        </x:is>
      </x:c>
      <x:c r="AB55" s="81" t="inlineStr">
        <x:is>
          <x:t xml:space="preserve">High</x:t>
        </x:is>
      </x:c>
      <x:c r="AC55" s="81" t="inlineStr">
        <x:is>
          <x:t xml:space="preserve">Rất gần triết lý Selflo: user là chủ thể.</x:t>
        </x:is>
      </x:c>
      <x:c r="AD55" s="81" t="inlineStr">
        <x:is>
          <x:t xml:space="preserve">Needs editorial review</x:t>
        </x:is>
      </x:c>
      <x:c r="AE55" s="81" t="inlineStr">
        <x:is>
          <x:t xml:space="preserve">Needs semantic dedupe review</x:t>
        </x:is>
      </x:c>
      <x:c r="AF55" s="81" t="str"/>
      <x:c r="AG55" s="81" t="str"/>
      <x:c r="AH55" s="81" t="inlineStr">
        <x:is>
          <x:t xml:space="preserve">No</x:t>
        </x:is>
      </x:c>
      <x:c r="AI55" s="81" t="inlineStr">
        <x:is>
          <x:t xml:space="preserve">Not reviewed</x:t>
        </x:is>
      </x:c>
      <x:c r="AJ55" s="81" t="inlineStr">
        <x:is>
          <x:t xml:space="preserve">Research only</x:t>
        </x:is>
      </x:c>
      <x:c r="AK55" s="81" t="inlineStr">
        <x:is>
          <x:t xml:space="preserve">Research Pool</x:t>
        </x:is>
      </x:c>
      <x:c r="AL55" s="81" t="n">
        <x:v>1</x:v>
      </x:c>
      <x:c r="AM55" s="81" t="inlineStr">
        <x:is>
          <x:t xml:space="preserve">ChatGPT research</x:t>
        </x:is>
      </x:c>
      <x:c r="AN55" s="81" t="inlineStr">
        <x:is>
          <x:t xml:space="preserve">2026-09-18</x:t>
        </x:is>
      </x:c>
      <x:c r="AO55" s="81" t="inlineStr">
        <x:is>
          <x:t xml:space="preserve">Day 1 full-scope audit, chapters 1–20.</x:t>
        </x:is>
      </x:c>
      <x:c r="AP55" s="81" t="n"/>
      <x:c r="AQ55" s="81" t="n"/>
    </x:row>
    <x:row r="56">
      <x:c r="A56" s="81" t="inlineStr">
        <x:is>
          <x:t xml:space="preserve">research.laozi.ch18.055</x:t>
        </x:is>
      </x:c>
      <x:c r="B56" s="81" t="inlineStr">
        <x:is>
          <x:t xml:space="preserve">Collected</x:t>
        </x:is>
      </x:c>
      <x:c r="C56" s="81" t="inlineStr">
        <x:is>
          <x:t xml:space="preserve">Xã hội &amp; văn hóa</x:t>
        </x:is>
      </x:c>
      <x:c r="D56" s="81" t="inlineStr">
        <x:is>
          <x:t xml:space="preserve">Comparison / External standards / Values</x:t>
        </x:is>
      </x:c>
      <x:c r="E56" s="81" t="str"/>
      <x:c r="F56" s="81" t="inlineStr">
        <x:is>
          <x:t xml:space="preserve">Một giá trị được nói nhiều không bảo đảm nó đang được sống thật</x:t>
        </x:is>
      </x:c>
      <x:c r="G56" s="81" t="inlineStr">
        <x:is>
          <x:t xml:space="preserve">Values</x:t>
        </x:is>
      </x:c>
      <x:c r="H56" s="81" t="inlineStr">
        <x:is>
          <x:t xml:space="preserve">Trust</x:t>
        </x:is>
      </x:c>
      <x:c r="I56" s="81" t="inlineStr">
        <x:is>
          <x:t xml:space="preserve">Bối rối</x:t>
        </x:is>
      </x:c>
      <x:c r="J56" s="81" t="str"/>
      <x:c r="K56" s="81" t="inlineStr">
        <x:is>
          <x:t xml:space="preserve">Distinguish</x:t>
        </x:is>
      </x:c>
      <x:c r="L56" s="81" t="inlineStr">
        <x:is>
          <x:t xml:space="preserve">Recognize</x:t>
        </x:is>
      </x:c>
      <x:c r="M56" s="81" t="inlineStr">
        <x:is>
          <x:t xml:space="preserve">Nghịch lý</x:t>
        </x:is>
      </x:c>
      <x:c r="N56" s="81" t="inlineStr">
        <x:is>
          <x:t xml:space="preserve">大道廢，有仁義；智慧出，有大偽。</x:t>
        </x:is>
      </x:c>
      <x:c r="O56" s="81" t="inlineStr">
        <x:is>
          <x:t xml:space="preserve">Classical Chinese (文言文)</x:t>
        </x:is>
      </x:c>
      <x:c r="P56" s="81" t="inlineStr">
        <x:is>
          <x:t xml:space="preserve">Khi con đường lớn không còn được sống tự nhiên, những nhãn như nhân nghĩa nổi lên; khi sự khôn ngoan phô bày, giả tạo cũng có thể tăng theo.</x:t>
        </x:is>
      </x:c>
      <x:c r="Q56" s="81" t="inlineStr">
        <x:is>
          <x:t xml:space="preserve">Laozi / 老子</x:t>
        </x:is>
      </x:c>
      <x:c r="R56" s="81" t="inlineStr">
        <x:is>
          <x:t xml:space="preserve">Taoism</x:t>
        </x:is>
      </x:c>
      <x:c r="S56" s="81" t="inlineStr">
        <x:is>
          <x:t xml:space="preserve">道德經 / Tao Te Ching</x:t>
        </x:is>
      </x:c>
      <x:c r="T56" s="81" t="inlineStr">
        <x:is>
          <x:t xml:space="preserve">Chapter 18</x:t>
        </x:is>
      </x:c>
      <x:c r="U56" s="81" t="inlineStr">
        <x:is>
          <x:t xml:space="preserve">https://zh.wikisource.org/zh-hans/%E9%81%93%E5%BE%B7%E7%B6%93_(%E7%8E%8B%E5%BC%BC%E6%9C%AC)</x:t>
        </x:is>
      </x:c>
      <x:c r="V56" s="81" t="inlineStr">
        <x:is>
          <x:t xml:space="preserve">Primary text</x:t>
        </x:is>
      </x:c>
      <x:c r="W56" s="81" t="inlineStr">
        <x:is>
          <x:t xml:space="preserve">Working translation</x:t>
        </x:is>
      </x:c>
      <x:c r="X56" s="81" t="inlineStr">
        <x:is>
          <x:t xml:space="preserve">A - Primary source</x:t>
        </x:is>
      </x:c>
      <x:c r="Y56" s="81" t="inlineStr">
        <x:is>
          <x:t xml:space="preserve">Original Chinese checked against Wang Bi recension; cross-check via Chinese Text Project. Vietnamese is Selflo working translation, not published translation.</x:t>
        </x:is>
      </x:c>
      <x:c r="Z56" s="81" t="inlineStr">
        <x:is>
          <x:t xml:space="preserve">Public domain / likely</x:t>
        </x:is>
      </x:c>
      <x:c r="AA56" s="81" t="inlineStr">
        <x:is>
          <x:t xml:space="preserve">Ancient text; Legge 1891 comparison is public domain in USA per Project Gutenberg. Verify jurisdiction for commercial publication.</x:t>
        </x:is>
      </x:c>
      <x:c r="AB56" s="81" t="inlineStr">
        <x:is>
          <x:t xml:space="preserve">Medium</x:t>
        </x:is>
      </x:c>
      <x:c r="AC56" s="81" t="inlineStr">
        <x:is>
          <x:t xml:space="preserve">Cần bối cảnh; dễ bị hiểu cực đoan.</x:t>
        </x:is>
      </x:c>
      <x:c r="AD56" s="81" t="inlineStr">
        <x:is>
          <x:t xml:space="preserve">Needs editorial review</x:t>
        </x:is>
      </x:c>
      <x:c r="AE56" s="81" t="inlineStr">
        <x:is>
          <x:t xml:space="preserve">Needs semantic dedupe review</x:t>
        </x:is>
      </x:c>
      <x:c r="AF56" s="81" t="str"/>
      <x:c r="AG56" s="81" t="str"/>
      <x:c r="AH56" s="81" t="inlineStr">
        <x:is>
          <x:t xml:space="preserve">No</x:t>
        </x:is>
      </x:c>
      <x:c r="AI56" s="81" t="inlineStr">
        <x:is>
          <x:t xml:space="preserve">Not reviewed</x:t>
        </x:is>
      </x:c>
      <x:c r="AJ56" s="81" t="inlineStr">
        <x:is>
          <x:t xml:space="preserve">Research only</x:t>
        </x:is>
      </x:c>
      <x:c r="AK56" s="81" t="inlineStr">
        <x:is>
          <x:t xml:space="preserve">Research Pool</x:t>
        </x:is>
      </x:c>
      <x:c r="AL56" s="81" t="n">
        <x:v>1</x:v>
      </x:c>
      <x:c r="AM56" s="81" t="inlineStr">
        <x:is>
          <x:t xml:space="preserve">ChatGPT research</x:t>
        </x:is>
      </x:c>
      <x:c r="AN56" s="81" t="inlineStr">
        <x:is>
          <x:t xml:space="preserve">2026-09-18</x:t>
        </x:is>
      </x:c>
      <x:c r="AO56" s="81" t="inlineStr">
        <x:is>
          <x:t xml:space="preserve">Day 1 full-scope audit, chapters 1–20.</x:t>
        </x:is>
      </x:c>
      <x:c r="AP56" s="81" t="n"/>
      <x:c r="AQ56" s="81" t="n"/>
    </x:row>
    <x:row r="57">
      <x:c r="A57" s="81" t="inlineStr">
        <x:is>
          <x:t xml:space="preserve">research.laozi.ch18.056</x:t>
        </x:is>
      </x:c>
      <x:c r="B57" s="81" t="inlineStr">
        <x:is>
          <x:t xml:space="preserve">Collected</x:t>
        </x:is>
      </x:c>
      <x:c r="C57" s="81" t="inlineStr">
        <x:is>
          <x:t xml:space="preserve">Xã hội &amp; văn hóa</x:t>
        </x:is>
      </x:c>
      <x:c r="D57" s="81" t="inlineStr">
        <x:is>
          <x:t xml:space="preserve">Comparison / External standards / Values</x:t>
        </x:is>
      </x:c>
      <x:c r="E57" s="81" t="str"/>
      <x:c r="F57" s="81" t="inlineStr">
        <x:is>
          <x:t xml:space="preserve">Một phẩm chất đôi khi chỉ trở nên nổi bật vì bối cảnh đối nghịch</x:t>
        </x:is>
      </x:c>
      <x:c r="G57" s="81" t="inlineStr">
        <x:is>
          <x:t xml:space="preserve">Judgment</x:t>
        </x:is>
      </x:c>
      <x:c r="H57" s="81" t="inlineStr">
        <x:is>
          <x:t xml:space="preserve">Change</x:t>
        </x:is>
      </x:c>
      <x:c r="I57" s="81" t="inlineStr">
        <x:is>
          <x:t xml:space="preserve">Mixed / contradictory</x:t>
        </x:is>
      </x:c>
      <x:c r="J57" s="81" t="str"/>
      <x:c r="K57" s="81" t="inlineStr">
        <x:is>
          <x:t xml:space="preserve">Distinguish</x:t>
        </x:is>
      </x:c>
      <x:c r="L57" s="81" t="inlineStr">
        <x:is>
          <x:t xml:space="preserve">Reframe</x:t>
        </x:is>
      </x:c>
      <x:c r="M57" s="81" t="inlineStr">
        <x:is>
          <x:t xml:space="preserve">Nghịch lý</x:t>
        </x:is>
      </x:c>
      <x:c r="N57" s="81" t="inlineStr">
        <x:is>
          <x:t xml:space="preserve">六親不和，有孝慈；國家昏亂，有忠臣。</x:t>
        </x:is>
      </x:c>
      <x:c r="O57" s="81" t="inlineStr">
        <x:is>
          <x:t xml:space="preserve">Classical Chinese (文言文)</x:t>
        </x:is>
      </x:c>
      <x:c r="P57" s="81" t="inlineStr">
        <x:is>
          <x:t xml:space="preserve">Khi quan hệ gia đình mất hòa hợp, người con hiếu mới được nêu bật; khi đất nước rối ren, người trung thần mới nổi rõ.</x:t>
        </x:is>
      </x:c>
      <x:c r="Q57" s="81" t="inlineStr">
        <x:is>
          <x:t xml:space="preserve">Laozi / 老子</x:t>
        </x:is>
      </x:c>
      <x:c r="R57" s="81" t="inlineStr">
        <x:is>
          <x:t xml:space="preserve">Taoism</x:t>
        </x:is>
      </x:c>
      <x:c r="S57" s="81" t="inlineStr">
        <x:is>
          <x:t xml:space="preserve">道德經 / Tao Te Ching</x:t>
        </x:is>
      </x:c>
      <x:c r="T57" s="81" t="inlineStr">
        <x:is>
          <x:t xml:space="preserve">Chapter 18</x:t>
        </x:is>
      </x:c>
      <x:c r="U57" s="81" t="inlineStr">
        <x:is>
          <x:t xml:space="preserve">https://zh.wikisource.org/zh-hans/%E9%81%93%E5%BE%B7%E7%B6%93_(%E7%8E%8B%E5%BC%BC%E6%9C%AC)</x:t>
        </x:is>
      </x:c>
      <x:c r="V57" s="81" t="inlineStr">
        <x:is>
          <x:t xml:space="preserve">Primary text</x:t>
        </x:is>
      </x:c>
      <x:c r="W57" s="81" t="inlineStr">
        <x:is>
          <x:t xml:space="preserve">Working translation</x:t>
        </x:is>
      </x:c>
      <x:c r="X57" s="81" t="inlineStr">
        <x:is>
          <x:t xml:space="preserve">A - Primary source</x:t>
        </x:is>
      </x:c>
      <x:c r="Y57" s="81" t="inlineStr">
        <x:is>
          <x:t xml:space="preserve">Original Chinese checked against Wang Bi recension; cross-check via Chinese Text Project. Vietnamese is Selflo working translation, not published translation.</x:t>
        </x:is>
      </x:c>
      <x:c r="Z57" s="81" t="inlineStr">
        <x:is>
          <x:t xml:space="preserve">Public domain / likely</x:t>
        </x:is>
      </x:c>
      <x:c r="AA57" s="81" t="inlineStr">
        <x:is>
          <x:t xml:space="preserve">Ancient text; Legge 1891 comparison is public domain in USA per Project Gutenberg. Verify jurisdiction for commercial publication.</x:t>
        </x:is>
      </x:c>
      <x:c r="AB57" s="81" t="inlineStr">
        <x:is>
          <x:t xml:space="preserve">Medium</x:t>
        </x:is>
      </x:c>
      <x:c r="AC57" s="81" t="inlineStr">
        <x:is>
          <x:t xml:space="preserve">Mạnh về relational contrast; context cổ đại.</x:t>
        </x:is>
      </x:c>
      <x:c r="AD57" s="81" t="inlineStr">
        <x:is>
          <x:t xml:space="preserve">Needs editorial review</x:t>
        </x:is>
      </x:c>
      <x:c r="AE57" s="81" t="inlineStr">
        <x:is>
          <x:t xml:space="preserve">Needs semantic dedupe review</x:t>
        </x:is>
      </x:c>
      <x:c r="AF57" s="81" t="str"/>
      <x:c r="AG57" s="81" t="str"/>
      <x:c r="AH57" s="81" t="inlineStr">
        <x:is>
          <x:t xml:space="preserve">No</x:t>
        </x:is>
      </x:c>
      <x:c r="AI57" s="81" t="inlineStr">
        <x:is>
          <x:t xml:space="preserve">Not reviewed</x:t>
        </x:is>
      </x:c>
      <x:c r="AJ57" s="81" t="inlineStr">
        <x:is>
          <x:t xml:space="preserve">Research only</x:t>
        </x:is>
      </x:c>
      <x:c r="AK57" s="81" t="inlineStr">
        <x:is>
          <x:t xml:space="preserve">Research Pool</x:t>
        </x:is>
      </x:c>
      <x:c r="AL57" s="81" t="n">
        <x:v>1</x:v>
      </x:c>
      <x:c r="AM57" s="81" t="inlineStr">
        <x:is>
          <x:t xml:space="preserve">ChatGPT research</x:t>
        </x:is>
      </x:c>
      <x:c r="AN57" s="81" t="inlineStr">
        <x:is>
          <x:t xml:space="preserve">2026-09-18</x:t>
        </x:is>
      </x:c>
      <x:c r="AO57" s="81" t="inlineStr">
        <x:is>
          <x:t xml:space="preserve">Day 1 full-scope audit, chapters 1–20.</x:t>
        </x:is>
      </x:c>
      <x:c r="AP57" s="81" t="n"/>
      <x:c r="AQ57" s="81" t="n"/>
    </x:row>
    <x:row r="58">
      <x:c r="A58" s="81" t="inlineStr">
        <x:is>
          <x:t xml:space="preserve">research.laozi.ch19.057</x:t>
        </x:is>
      </x:c>
      <x:c r="B58" s="81" t="inlineStr">
        <x:is>
          <x:t xml:space="preserve">Collected</x:t>
        </x:is>
      </x:c>
      <x:c r="C58" s="81" t="inlineStr">
        <x:is>
          <x:t xml:space="preserve">Nội tâm &amp; hiểu mình</x:t>
        </x:is>
      </x:c>
      <x:c r="D58" s="81" t="inlineStr">
        <x:is>
          <x:t xml:space="preserve">Comparison / External standards / Values</x:t>
        </x:is>
      </x:c>
      <x:c r="E58" s="81" t="str"/>
      <x:c r="F58" s="81" t="inlineStr">
        <x:is>
          <x:t xml:space="preserve">Giảm bớt lớp tô vẽ để trở lại điều đơn giản hơn</x:t>
        </x:is>
      </x:c>
      <x:c r="G58" s="81" t="inlineStr">
        <x:is>
          <x:t xml:space="preserve">Simplicity</x:t>
        </x:is>
      </x:c>
      <x:c r="H58" s="81" t="inlineStr">
        <x:is>
          <x:t xml:space="preserve">Enoughness</x:t>
        </x:is>
      </x:c>
      <x:c r="I58" s="81" t="inlineStr">
        <x:is>
          <x:t xml:space="preserve">Áp lực</x:t>
        </x:is>
      </x:c>
      <x:c r="J58" s="81" t="str"/>
      <x:c r="K58" s="81" t="inlineStr">
        <x:is>
          <x:t xml:space="preserve">Reframe</x:t>
        </x:is>
      </x:c>
      <x:c r="L58" s="81" t="inlineStr">
        <x:is>
          <x:t xml:space="preserve">Permit</x:t>
        </x:is>
      </x:c>
      <x:c r="M58" s="81" t="inlineStr">
        <x:is>
          <x:t xml:space="preserve">Trích đoạn triết học</x:t>
        </x:is>
      </x:c>
      <x:c r="N58" s="81" t="inlineStr">
        <x:is>
          <x:t xml:space="preserve">見素抱樸，少私寡欲。</x:t>
        </x:is>
      </x:c>
      <x:c r="O58" s="81" t="inlineStr">
        <x:is>
          <x:t xml:space="preserve">Classical Chinese (文言文)</x:t>
        </x:is>
      </x:c>
      <x:c r="P58" s="81" t="inlineStr">
        <x:is>
          <x:t xml:space="preserve">Giữ cái mộc mạc, ôm lấy phần chưa tô vẽ; bớt cái riêng tư vị kỷ, bớt ham muốn.</x:t>
        </x:is>
      </x:c>
      <x:c r="Q58" s="81" t="inlineStr">
        <x:is>
          <x:t xml:space="preserve">Laozi / 老子</x:t>
        </x:is>
      </x:c>
      <x:c r="R58" s="81" t="inlineStr">
        <x:is>
          <x:t xml:space="preserve">Taoism</x:t>
        </x:is>
      </x:c>
      <x:c r="S58" s="81" t="inlineStr">
        <x:is>
          <x:t xml:space="preserve">道德經 / Tao Te Ching</x:t>
        </x:is>
      </x:c>
      <x:c r="T58" s="81" t="inlineStr">
        <x:is>
          <x:t xml:space="preserve">Chapter 19</x:t>
        </x:is>
      </x:c>
      <x:c r="U58" s="81" t="inlineStr">
        <x:is>
          <x:t xml:space="preserve">https://zh.wikisource.org/zh-hans/%E9%81%93%E5%BE%B7%E7%B6%93_(%E7%8E%8B%E5%BC%BC%E6%9C%AC)</x:t>
        </x:is>
      </x:c>
      <x:c r="V58" s="81" t="inlineStr">
        <x:is>
          <x:t xml:space="preserve">Primary text</x:t>
        </x:is>
      </x:c>
      <x:c r="W58" s="81" t="inlineStr">
        <x:is>
          <x:t xml:space="preserve">Working translation</x:t>
        </x:is>
      </x:c>
      <x:c r="X58" s="81" t="inlineStr">
        <x:is>
          <x:t xml:space="preserve">A - Primary source</x:t>
        </x:is>
      </x:c>
      <x:c r="Y58" s="81" t="inlineStr">
        <x:is>
          <x:t xml:space="preserve">Original Chinese checked against Wang Bi recension; cross-check via Chinese Text Project. Vietnamese is Selflo working translation, not published translation.</x:t>
        </x:is>
      </x:c>
      <x:c r="Z58" s="81" t="inlineStr">
        <x:is>
          <x:t xml:space="preserve">Public domain / likely</x:t>
        </x:is>
      </x:c>
      <x:c r="AA58" s="81" t="inlineStr">
        <x:is>
          <x:t xml:space="preserve">Ancient text; Legge 1891 comparison is public domain in USA per Project Gutenberg. Verify jurisdiction for commercial publication.</x:t>
        </x:is>
      </x:c>
      <x:c r="AB58" s="81" t="inlineStr">
        <x:is>
          <x:t xml:space="preserve">Medium</x:t>
        </x:is>
      </x:c>
      <x:c r="AC58" s="81" t="inlineStr">
        <x:is>
          <x:t xml:space="preserve">Directive/moral tone; research pool.</x:t>
        </x:is>
      </x:c>
      <x:c r="AD58" s="81" t="inlineStr">
        <x:is>
          <x:t xml:space="preserve">Needs editorial review</x:t>
        </x:is>
      </x:c>
      <x:c r="AE58" s="81" t="inlineStr">
        <x:is>
          <x:t xml:space="preserve">Needs semantic dedupe review</x:t>
        </x:is>
      </x:c>
      <x:c r="AF58" s="81" t="str"/>
      <x:c r="AG58" s="81" t="str"/>
      <x:c r="AH58" s="81" t="inlineStr">
        <x:is>
          <x:t xml:space="preserve">No</x:t>
        </x:is>
      </x:c>
      <x:c r="AI58" s="81" t="inlineStr">
        <x:is>
          <x:t xml:space="preserve">Not reviewed</x:t>
        </x:is>
      </x:c>
      <x:c r="AJ58" s="81" t="inlineStr">
        <x:is>
          <x:t xml:space="preserve">Research only</x:t>
        </x:is>
      </x:c>
      <x:c r="AK58" s="81" t="inlineStr">
        <x:is>
          <x:t xml:space="preserve">Research Pool</x:t>
        </x:is>
      </x:c>
      <x:c r="AL58" s="81" t="n">
        <x:v>1</x:v>
      </x:c>
      <x:c r="AM58" s="81" t="inlineStr">
        <x:is>
          <x:t xml:space="preserve">ChatGPT research</x:t>
        </x:is>
      </x:c>
      <x:c r="AN58" s="81" t="inlineStr">
        <x:is>
          <x:t xml:space="preserve">2026-09-18</x:t>
        </x:is>
      </x:c>
      <x:c r="AO58" s="81" t="inlineStr">
        <x:is>
          <x:t xml:space="preserve">Day 1 full-scope audit, chapters 1–20.</x:t>
        </x:is>
      </x:c>
      <x:c r="AP58" s="81" t="n"/>
      <x:c r="AQ58" s="81" t="n"/>
    </x:row>
    <x:row r="59">
      <x:c r="A59" s="81" t="inlineStr">
        <x:is>
          <x:t xml:space="preserve">research.laozi.ch20.058</x:t>
        </x:is>
      </x:c>
      <x:c r="B59" s="81" t="inlineStr">
        <x:is>
          <x:t xml:space="preserve">Collected</x:t>
        </x:is>
      </x:c>
      <x:c r="C59" s="81" t="inlineStr">
        <x:is>
          <x:t xml:space="preserve">Nội tâm &amp; hiểu mình</x:t>
        </x:is>
      </x:c>
      <x:c r="D59" s="81" t="inlineStr">
        <x:is>
          <x:t xml:space="preserve">Uncertainty / Choice / Agency</x:t>
        </x:is>
      </x:c>
      <x:c r="E59" s="81" t="str"/>
      <x:c r="F59" s="81" t="inlineStr">
        <x:is>
          <x:t xml:space="preserve">Nỗi sợ xã hội có thật nhưng có thể lan rộng vô tận</x:t>
        </x:is>
      </x:c>
      <x:c r="G59" s="81" t="inlineStr">
        <x:is>
          <x:t xml:space="preserve">Fear</x:t>
        </x:is>
      </x:c>
      <x:c r="H59" s="81" t="inlineStr">
        <x:is>
          <x:t xml:space="preserve">Comparison</x:t>
        </x:is>
      </x:c>
      <x:c r="I59" s="81" t="inlineStr">
        <x:is>
          <x:t xml:space="preserve">Sợ hãi</x:t>
        </x:is>
      </x:c>
      <x:c r="J59" s="81" t="str"/>
      <x:c r="K59" s="81" t="inlineStr">
        <x:is>
          <x:t xml:space="preserve">Recognize</x:t>
        </x:is>
      </x:c>
      <x:c r="L59" s="81" t="inlineStr">
        <x:is>
          <x:t xml:space="preserve">Distinguish</x:t>
        </x:is>
      </x:c>
      <x:c r="M59" s="81" t="inlineStr">
        <x:is>
          <x:t xml:space="preserve">Trích đoạn triết học</x:t>
        </x:is>
      </x:c>
      <x:c r="N59" s="81" t="inlineStr">
        <x:is>
          <x:t xml:space="preserve">人之所畏，不可不畏。荒兮其未央哉！</x:t>
        </x:is>
      </x:c>
      <x:c r="O59" s="81" t="inlineStr">
        <x:is>
          <x:t xml:space="preserve">Classical Chinese (文言文)</x:t>
        </x:is>
      </x:c>
      <x:c r="P59" s="81" t="inlineStr">
        <x:is>
          <x:t xml:space="preserve">Điều mọi người sợ không thể đơn giản coi như không đáng sợ; nhưng phạm vi của nỗi sợ ấy dường như không có tận cùng.</x:t>
        </x:is>
      </x:c>
      <x:c r="Q59" s="81" t="inlineStr">
        <x:is>
          <x:t xml:space="preserve">Laozi / 老子</x:t>
        </x:is>
      </x:c>
      <x:c r="R59" s="81" t="inlineStr">
        <x:is>
          <x:t xml:space="preserve">Taoism</x:t>
        </x:is>
      </x:c>
      <x:c r="S59" s="81" t="inlineStr">
        <x:is>
          <x:t xml:space="preserve">道德經 / Tao Te Ching</x:t>
        </x:is>
      </x:c>
      <x:c r="T59" s="81" t="inlineStr">
        <x:is>
          <x:t xml:space="preserve">Chapter 20</x:t>
        </x:is>
      </x:c>
      <x:c r="U59" s="81" t="inlineStr">
        <x:is>
          <x:t xml:space="preserve">https://zh.wikisource.org/zh-hans/%E9%81%93%E5%BE%B7%E7%B6%93_(%E7%8E%8B%E5%BC%BC%E6%9C%AC)</x:t>
        </x:is>
      </x:c>
      <x:c r="V59" s="81" t="inlineStr">
        <x:is>
          <x:t xml:space="preserve">Primary text</x:t>
        </x:is>
      </x:c>
      <x:c r="W59" s="81" t="inlineStr">
        <x:is>
          <x:t xml:space="preserve">Working translation</x:t>
        </x:is>
      </x:c>
      <x:c r="X59" s="81" t="inlineStr">
        <x:is>
          <x:t xml:space="preserve">A - Primary source</x:t>
        </x:is>
      </x:c>
      <x:c r="Y59" s="81" t="inlineStr">
        <x:is>
          <x:t xml:space="preserve">Original Chinese checked against Wang Bi recension; cross-check via Chinese Text Project. Vietnamese is Selflo working translation, not published translation.</x:t>
        </x:is>
      </x:c>
      <x:c r="Z59" s="81" t="inlineStr">
        <x:is>
          <x:t xml:space="preserve">Public domain / likely</x:t>
        </x:is>
      </x:c>
      <x:c r="AA59" s="81" t="inlineStr">
        <x:is>
          <x:t xml:space="preserve">Ancient text; Legge 1891 comparison is public domain in USA per Project Gutenberg. Verify jurisdiction for commercial publication.</x:t>
        </x:is>
      </x:c>
      <x:c r="AB59" s="81" t="inlineStr">
        <x:is>
          <x:t xml:space="preserve">High</x:t>
        </x:is>
      </x:c>
      <x:c r="AC59" s="81" t="inlineStr">
        <x:is>
          <x:t xml:space="preserve">Hợp fear/social influence.</x:t>
        </x:is>
      </x:c>
      <x:c r="AD59" s="81" t="inlineStr">
        <x:is>
          <x:t xml:space="preserve">Needs editorial review</x:t>
        </x:is>
      </x:c>
      <x:c r="AE59" s="81" t="inlineStr">
        <x:is>
          <x:t xml:space="preserve">Needs semantic dedupe review</x:t>
        </x:is>
      </x:c>
      <x:c r="AF59" s="81" t="str"/>
      <x:c r="AG59" s="81" t="str"/>
      <x:c r="AH59" s="81" t="inlineStr">
        <x:is>
          <x:t xml:space="preserve">No</x:t>
        </x:is>
      </x:c>
      <x:c r="AI59" s="81" t="inlineStr">
        <x:is>
          <x:t xml:space="preserve">Not reviewed</x:t>
        </x:is>
      </x:c>
      <x:c r="AJ59" s="81" t="inlineStr">
        <x:is>
          <x:t xml:space="preserve">Research only</x:t>
        </x:is>
      </x:c>
      <x:c r="AK59" s="81" t="inlineStr">
        <x:is>
          <x:t xml:space="preserve">Research Pool</x:t>
        </x:is>
      </x:c>
      <x:c r="AL59" s="81" t="n">
        <x:v>1</x:v>
      </x:c>
      <x:c r="AM59" s="81" t="inlineStr">
        <x:is>
          <x:t xml:space="preserve">ChatGPT research</x:t>
        </x:is>
      </x:c>
      <x:c r="AN59" s="81" t="inlineStr">
        <x:is>
          <x:t xml:space="preserve">2026-09-18</x:t>
        </x:is>
      </x:c>
      <x:c r="AO59" s="81" t="inlineStr">
        <x:is>
          <x:t xml:space="preserve">Day 1 full-scope audit, chapters 1–20.</x:t>
        </x:is>
      </x:c>
      <x:c r="AP59" s="81" t="n"/>
      <x:c r="AQ59" s="81" t="n"/>
    </x:row>
    <x:row r="60">
      <x:c r="A60" s="81" t="inlineStr">
        <x:is>
          <x:t xml:space="preserve">research.laozi.ch20.059</x:t>
        </x:is>
      </x:c>
      <x:c r="B60" s="81" t="inlineStr">
        <x:is>
          <x:t xml:space="preserve">Collected</x:t>
        </x:is>
      </x:c>
      <x:c r="C60" s="81" t="inlineStr">
        <x:is>
          <x:t xml:space="preserve">Xã hội &amp; văn hóa</x:t>
        </x:is>
      </x:c>
      <x:c r="D60" s="81" t="inlineStr">
        <x:is>
          <x:t xml:space="preserve">Comparison / External standards / Values</x:t>
        </x:is>
      </x:c>
      <x:c r="E60" s="81" t="str"/>
      <x:c r="F60" s="81" t="inlineStr">
        <x:is>
          <x:t xml:space="preserve">Xung quanh đều có vẻ vui và chắc chắn trong khi mình không như vậy</x:t>
        </x:is>
      </x:c>
      <x:c r="G60" s="81" t="inlineStr">
        <x:is>
          <x:t xml:space="preserve">Comparison</x:t>
        </x:is>
      </x:c>
      <x:c r="H60" s="81" t="inlineStr">
        <x:is>
          <x:t xml:space="preserve">Self-worth</x:t>
        </x:is>
      </x:c>
      <x:c r="I60" s="81" t="inlineStr">
        <x:is>
          <x:t xml:space="preserve">Cô đơn</x:t>
        </x:is>
      </x:c>
      <x:c r="J60" s="81" t="str"/>
      <x:c r="K60" s="81" t="inlineStr">
        <x:is>
          <x:t xml:space="preserve">Recognize</x:t>
        </x:is>
      </x:c>
      <x:c r="L60" s="81" t="inlineStr">
        <x:is>
          <x:t xml:space="preserve">Permit</x:t>
        </x:is>
      </x:c>
      <x:c r="M60" s="81" t="inlineStr">
        <x:is>
          <x:t xml:space="preserve">Ẩn dụ</x:t>
        </x:is>
      </x:c>
      <x:c r="N60" s="81" t="inlineStr">
        <x:is>
          <x:t xml:space="preserve">眾人熙熙，如享太牢，如春登臺。</x:t>
        </x:is>
      </x:c>
      <x:c r="O60" s="81" t="inlineStr">
        <x:is>
          <x:t xml:space="preserve">Classical Chinese (文言文)</x:t>
        </x:is>
      </x:c>
      <x:c r="P60" s="81" t="inlineStr">
        <x:is>
          <x:t xml:space="preserve">Mọi người hân hoan như dự đại tiệc, như lên đài ngắm cảnh mùa xuân.</x:t>
        </x:is>
      </x:c>
      <x:c r="Q60" s="81" t="inlineStr">
        <x:is>
          <x:t xml:space="preserve">Laozi / 老子</x:t>
        </x:is>
      </x:c>
      <x:c r="R60" s="81" t="inlineStr">
        <x:is>
          <x:t xml:space="preserve">Taoism</x:t>
        </x:is>
      </x:c>
      <x:c r="S60" s="81" t="inlineStr">
        <x:is>
          <x:t xml:space="preserve">道德經 / Tao Te Ching</x:t>
        </x:is>
      </x:c>
      <x:c r="T60" s="81" t="inlineStr">
        <x:is>
          <x:t xml:space="preserve">Chapter 20</x:t>
        </x:is>
      </x:c>
      <x:c r="U60" s="81" t="inlineStr">
        <x:is>
          <x:t xml:space="preserve">https://zh.wikisource.org/zh-hans/%E9%81%93%E5%BE%B7%E7%B6%93_(%E7%8E%8B%E5%BC%BC%E6%9C%AC)</x:t>
        </x:is>
      </x:c>
      <x:c r="V60" s="81" t="inlineStr">
        <x:is>
          <x:t xml:space="preserve">Primary text</x:t>
        </x:is>
      </x:c>
      <x:c r="W60" s="81" t="inlineStr">
        <x:is>
          <x:t xml:space="preserve">Working translation</x:t>
        </x:is>
      </x:c>
      <x:c r="X60" s="81" t="inlineStr">
        <x:is>
          <x:t xml:space="preserve">A - Primary source</x:t>
        </x:is>
      </x:c>
      <x:c r="Y60" s="81" t="inlineStr">
        <x:is>
          <x:t xml:space="preserve">Original Chinese checked against Wang Bi recension; cross-check via Chinese Text Project. Vietnamese is Selflo working translation, not published translation.</x:t>
        </x:is>
      </x:c>
      <x:c r="Z60" s="81" t="inlineStr">
        <x:is>
          <x:t xml:space="preserve">Public domain / likely</x:t>
        </x:is>
      </x:c>
      <x:c r="AA60" s="81" t="inlineStr">
        <x:is>
          <x:t xml:space="preserve">Ancient text; Legge 1891 comparison is public domain in USA per Project Gutenberg. Verify jurisdiction for commercial publication.</x:t>
        </x:is>
      </x:c>
      <x:c r="AB60" s="81" t="inlineStr">
        <x:is>
          <x:t xml:space="preserve">High</x:t>
        </x:is>
      </x:c>
      <x:c r="AC60" s="81" t="inlineStr">
        <x:is>
          <x:t xml:space="preserve">Cần ghép với câu 'I alone...' để thấy contrast.</x:t>
        </x:is>
      </x:c>
      <x:c r="AD60" s="81" t="inlineStr">
        <x:is>
          <x:t xml:space="preserve">Needs editorial review</x:t>
        </x:is>
      </x:c>
      <x:c r="AE60" s="81" t="inlineStr">
        <x:is>
          <x:t xml:space="preserve">Needs semantic dedupe review</x:t>
        </x:is>
      </x:c>
      <x:c r="AF60" s="81" t="str"/>
      <x:c r="AG60" s="81" t="str"/>
      <x:c r="AH60" s="81" t="inlineStr">
        <x:is>
          <x:t xml:space="preserve">No</x:t>
        </x:is>
      </x:c>
      <x:c r="AI60" s="81" t="inlineStr">
        <x:is>
          <x:t xml:space="preserve">Not reviewed</x:t>
        </x:is>
      </x:c>
      <x:c r="AJ60" s="81" t="inlineStr">
        <x:is>
          <x:t xml:space="preserve">Research only</x:t>
        </x:is>
      </x:c>
      <x:c r="AK60" s="81" t="inlineStr">
        <x:is>
          <x:t xml:space="preserve">Research Pool</x:t>
        </x:is>
      </x:c>
      <x:c r="AL60" s="81" t="n">
        <x:v>1</x:v>
      </x:c>
      <x:c r="AM60" s="81" t="inlineStr">
        <x:is>
          <x:t xml:space="preserve">ChatGPT research</x:t>
        </x:is>
      </x:c>
      <x:c r="AN60" s="81" t="inlineStr">
        <x:is>
          <x:t xml:space="preserve">2026-09-18</x:t>
        </x:is>
      </x:c>
      <x:c r="AO60" s="81" t="inlineStr">
        <x:is>
          <x:t xml:space="preserve">Day 1 full-scope audit, chapters 1–20.</x:t>
        </x:is>
      </x:c>
      <x:c r="AP60" s="81" t="n"/>
      <x:c r="AQ60" s="81" t="n"/>
    </x:row>
    <x:row r="61">
      <x:c r="A61" s="81" t="inlineStr">
        <x:is>
          <x:t xml:space="preserve">research.laozi.ch20.060</x:t>
        </x:is>
      </x:c>
      <x:c r="B61" s="81" t="inlineStr">
        <x:is>
          <x:t xml:space="preserve">Collected</x:t>
        </x:is>
      </x:c>
      <x:c r="C61" s="81" t="inlineStr">
        <x:is>
          <x:t xml:space="preserve">Nội tâm &amp; hiểu mình</x:t>
        </x:is>
      </x:c>
      <x:c r="D61" s="81" t="inlineStr">
        <x:is>
          <x:t xml:space="preserve">Comparison / External standards / Values</x:t>
        </x:is>
      </x:c>
      <x:c r="E61" s="81" t="str"/>
      <x:c r="F61" s="81" t="inlineStr">
        <x:is>
          <x:t xml:space="preserve">Cảm giác mọi người đều có đủ còn mình thì thiếu</x:t>
        </x:is>
      </x:c>
      <x:c r="G61" s="81" t="inlineStr">
        <x:is>
          <x:t xml:space="preserve">Comparison</x:t>
        </x:is>
      </x:c>
      <x:c r="H61" s="81" t="inlineStr">
        <x:is>
          <x:t xml:space="preserve">Self-worth</x:t>
        </x:is>
      </x:c>
      <x:c r="I61" s="81" t="inlineStr">
        <x:is>
          <x:t xml:space="preserve">Trống rỗng</x:t>
        </x:is>
      </x:c>
      <x:c r="J61" s="81" t="str"/>
      <x:c r="K61" s="81" t="inlineStr">
        <x:is>
          <x:t xml:space="preserve">Recognize</x:t>
        </x:is>
      </x:c>
      <x:c r="L61" s="81" t="inlineStr">
        <x:is>
          <x:t xml:space="preserve">Permit</x:t>
        </x:is>
      </x:c>
      <x:c r="M61" s="81" t="inlineStr">
        <x:is>
          <x:t xml:space="preserve">Trích đoạn triết học</x:t>
        </x:is>
      </x:c>
      <x:c r="N61" s="81" t="inlineStr">
        <x:is>
          <x:t xml:space="preserve">眾人皆有餘，而我獨若遺。</x:t>
        </x:is>
      </x:c>
      <x:c r="O61" s="81" t="inlineStr">
        <x:is>
          <x:t xml:space="preserve">Classical Chinese (文言文)</x:t>
        </x:is>
      </x:c>
      <x:c r="P61" s="81" t="inlineStr">
        <x:is>
          <x:t xml:space="preserve">Mọi người dường như đều dư dả; riêng ta như thể đã bỏ quên hay thiếu mất điều gì.</x:t>
        </x:is>
      </x:c>
      <x:c r="Q61" s="81" t="inlineStr">
        <x:is>
          <x:t xml:space="preserve">Laozi / 老子</x:t>
        </x:is>
      </x:c>
      <x:c r="R61" s="81" t="inlineStr">
        <x:is>
          <x:t xml:space="preserve">Taoism</x:t>
        </x:is>
      </x:c>
      <x:c r="S61" s="81" t="inlineStr">
        <x:is>
          <x:t xml:space="preserve">道德經 / Tao Te Ching</x:t>
        </x:is>
      </x:c>
      <x:c r="T61" s="81" t="inlineStr">
        <x:is>
          <x:t xml:space="preserve">Chapter 20</x:t>
        </x:is>
      </x:c>
      <x:c r="U61" s="81" t="inlineStr">
        <x:is>
          <x:t xml:space="preserve">https://zh.wikisource.org/zh-hans/%E9%81%93%E5%BE%B7%E7%B6%93_(%E7%8E%8B%E5%BC%BC%E6%9C%AC)</x:t>
        </x:is>
      </x:c>
      <x:c r="V61" s="81" t="inlineStr">
        <x:is>
          <x:t xml:space="preserve">Primary text</x:t>
        </x:is>
      </x:c>
      <x:c r="W61" s="81" t="inlineStr">
        <x:is>
          <x:t xml:space="preserve">Working translation</x:t>
        </x:is>
      </x:c>
      <x:c r="X61" s="81" t="inlineStr">
        <x:is>
          <x:t xml:space="preserve">A - Primary source</x:t>
        </x:is>
      </x:c>
      <x:c r="Y61" s="81" t="inlineStr">
        <x:is>
          <x:t xml:space="preserve">Original Chinese checked against Wang Bi recension; cross-check via Chinese Text Project. Vietnamese is Selflo working translation, not published translation.</x:t>
        </x:is>
      </x:c>
      <x:c r="Z61" s="81" t="inlineStr">
        <x:is>
          <x:t xml:space="preserve">Public domain / likely</x:t>
        </x:is>
      </x:c>
      <x:c r="AA61" s="81" t="inlineStr">
        <x:is>
          <x:t xml:space="preserve">Ancient text; Legge 1891 comparison is public domain in USA per Project Gutenberg. Verify jurisdiction for commercial publication.</x:t>
        </x:is>
      </x:c>
      <x:c r="AB61" s="81" t="inlineStr">
        <x:is>
          <x:t xml:space="preserve">High</x:t>
        </x:is>
      </x:c>
      <x:c r="AC61" s="81" t="inlineStr">
        <x:is>
          <x:t xml:space="preserve">Rất mạnh cho comparison/loneliness.</x:t>
        </x:is>
      </x:c>
      <x:c r="AD61" s="81" t="inlineStr">
        <x:is>
          <x:t xml:space="preserve">Needs editorial review</x:t>
        </x:is>
      </x:c>
      <x:c r="AE61" s="81" t="inlineStr">
        <x:is>
          <x:t xml:space="preserve">Needs semantic dedupe review</x:t>
        </x:is>
      </x:c>
      <x:c r="AF61" s="81" t="str"/>
      <x:c r="AG61" s="81" t="str"/>
      <x:c r="AH61" s="81" t="inlineStr">
        <x:is>
          <x:t xml:space="preserve">No</x:t>
        </x:is>
      </x:c>
      <x:c r="AI61" s="81" t="inlineStr">
        <x:is>
          <x:t xml:space="preserve">Not reviewed</x:t>
        </x:is>
      </x:c>
      <x:c r="AJ61" s="81" t="inlineStr">
        <x:is>
          <x:t xml:space="preserve">Research only</x:t>
        </x:is>
      </x:c>
      <x:c r="AK61" s="81" t="inlineStr">
        <x:is>
          <x:t xml:space="preserve">Research Pool</x:t>
        </x:is>
      </x:c>
      <x:c r="AL61" s="81" t="n">
        <x:v>1</x:v>
      </x:c>
      <x:c r="AM61" s="81" t="inlineStr">
        <x:is>
          <x:t xml:space="preserve">ChatGPT research</x:t>
        </x:is>
      </x:c>
      <x:c r="AN61" s="81" t="inlineStr">
        <x:is>
          <x:t xml:space="preserve">2026-09-18</x:t>
        </x:is>
      </x:c>
      <x:c r="AO61" s="81" t="inlineStr">
        <x:is>
          <x:t xml:space="preserve">Day 1 full-scope audit, chapters 1–20.</x:t>
        </x:is>
      </x:c>
      <x:c r="AP61" s="81" t="n"/>
      <x:c r="AQ61" s="81" t="n"/>
    </x:row>
    <x:row r="62">
      <x:c r="A62" s="81" t="inlineStr">
        <x:is>
          <x:t xml:space="preserve">research.laozi.ch20.061</x:t>
        </x:is>
      </x:c>
      <x:c r="B62" s="81" t="inlineStr">
        <x:is>
          <x:t xml:space="preserve">Collected</x:t>
        </x:is>
      </x:c>
      <x:c r="C62" s="81" t="inlineStr">
        <x:is>
          <x:t xml:space="preserve">Nội tâm &amp; hiểu mình</x:t>
        </x:is>
      </x:c>
      <x:c r="D62" s="81" t="inlineStr">
        <x:is>
          <x:t xml:space="preserve">Uncertainty / Choice / Agency</x:t>
        </x:is>
      </x:c>
      <x:c r="E62" s="81" t="str"/>
      <x:c r="F62" s="81" t="inlineStr">
        <x:is>
          <x:t xml:space="preserve">Mọi người có vẻ biết rõ trong khi mình chưa biết</x:t>
        </x:is>
      </x:c>
      <x:c r="G62" s="81" t="inlineStr">
        <x:is>
          <x:t xml:space="preserve">Uncertainty</x:t>
        </x:is>
      </x:c>
      <x:c r="H62" s="81" t="inlineStr">
        <x:is>
          <x:t xml:space="preserve">Self-worth</x:t>
        </x:is>
      </x:c>
      <x:c r="I62" s="81" t="inlineStr">
        <x:is>
          <x:t xml:space="preserve">Bối rối</x:t>
        </x:is>
      </x:c>
      <x:c r="J62" s="81" t="str"/>
      <x:c r="K62" s="81" t="inlineStr">
        <x:is>
          <x:t xml:space="preserve">Recognize</x:t>
        </x:is>
      </x:c>
      <x:c r="L62" s="81" t="inlineStr">
        <x:is>
          <x:t xml:space="preserve">Permit</x:t>
        </x:is>
      </x:c>
      <x:c r="M62" s="81" t="inlineStr">
        <x:is>
          <x:t xml:space="preserve">Nghịch lý</x:t>
        </x:is>
      </x:c>
      <x:c r="N62" s="81" t="inlineStr">
        <x:is>
          <x:t xml:space="preserve">俗人昭昭，我獨昏昏；俗人察察，我獨悶悶。</x:t>
        </x:is>
      </x:c>
      <x:c r="O62" s="81" t="inlineStr">
        <x:is>
          <x:t xml:space="preserve">Classical Chinese (文言文)</x:t>
        </x:is>
      </x:c>
      <x:c r="P62" s="81" t="inlineStr">
        <x:is>
          <x:t xml:space="preserve">Người đời có vẻ sáng rõ; riêng ta mờ tối. Người đời có vẻ phân định rành rẽ; riêng ta còn mơ hồ.</x:t>
        </x:is>
      </x:c>
      <x:c r="Q62" s="81" t="inlineStr">
        <x:is>
          <x:t xml:space="preserve">Laozi / 老子</x:t>
        </x:is>
      </x:c>
      <x:c r="R62" s="81" t="inlineStr">
        <x:is>
          <x:t xml:space="preserve">Taoism</x:t>
        </x:is>
      </x:c>
      <x:c r="S62" s="81" t="inlineStr">
        <x:is>
          <x:t xml:space="preserve">道德經 / Tao Te Ching</x:t>
        </x:is>
      </x:c>
      <x:c r="T62" s="81" t="inlineStr">
        <x:is>
          <x:t xml:space="preserve">Chapter 20</x:t>
        </x:is>
      </x:c>
      <x:c r="U62" s="81" t="inlineStr">
        <x:is>
          <x:t xml:space="preserve">https://zh.wikisource.org/zh-hans/%E9%81%93%E5%BE%B7%E7%B6%93_(%E7%8E%8B%E5%BC%BC%E6%9C%AC)</x:t>
        </x:is>
      </x:c>
      <x:c r="V62" s="81" t="inlineStr">
        <x:is>
          <x:t xml:space="preserve">Primary text</x:t>
        </x:is>
      </x:c>
      <x:c r="W62" s="81" t="inlineStr">
        <x:is>
          <x:t xml:space="preserve">Working translation</x:t>
        </x:is>
      </x:c>
      <x:c r="X62" s="81" t="inlineStr">
        <x:is>
          <x:t xml:space="preserve">A - Primary source</x:t>
        </x:is>
      </x:c>
      <x:c r="Y62" s="81" t="inlineStr">
        <x:is>
          <x:t xml:space="preserve">Original Chinese checked against Wang Bi recension; cross-check via Chinese Text Project. Vietnamese is Selflo working translation, not published translation.</x:t>
        </x:is>
      </x:c>
      <x:c r="Z62" s="81" t="inlineStr">
        <x:is>
          <x:t xml:space="preserve">Public domain / likely</x:t>
        </x:is>
      </x:c>
      <x:c r="AA62" s="81" t="inlineStr">
        <x:is>
          <x:t xml:space="preserve">Ancient text; Legge 1891 comparison is public domain in USA per Project Gutenberg. Verify jurisdiction for commercial publication.</x:t>
        </x:is>
      </x:c>
      <x:c r="AB62" s="81" t="inlineStr">
        <x:is>
          <x:t xml:space="preserve">High</x:t>
        </x:is>
      </x:c>
      <x:c r="AC62" s="81" t="inlineStr">
        <x:is>
          <x:t xml:space="preserve">Rất Selflo-like; giữ quyền chưa biết.</x:t>
        </x:is>
      </x:c>
      <x:c r="AD62" s="81" t="inlineStr">
        <x:is>
          <x:t xml:space="preserve">Needs editorial review</x:t>
        </x:is>
      </x:c>
      <x:c r="AE62" s="81" t="inlineStr">
        <x:is>
          <x:t xml:space="preserve">Needs semantic dedupe review</x:t>
        </x:is>
      </x:c>
      <x:c r="AF62" s="81" t="str"/>
      <x:c r="AG62" s="81" t="str"/>
      <x:c r="AH62" s="81" t="inlineStr">
        <x:is>
          <x:t xml:space="preserve">No</x:t>
        </x:is>
      </x:c>
      <x:c r="AI62" s="81" t="inlineStr">
        <x:is>
          <x:t xml:space="preserve">Not reviewed</x:t>
        </x:is>
      </x:c>
      <x:c r="AJ62" s="81" t="inlineStr">
        <x:is>
          <x:t xml:space="preserve">Research only</x:t>
        </x:is>
      </x:c>
      <x:c r="AK62" s="81" t="inlineStr">
        <x:is>
          <x:t xml:space="preserve">Research Pool</x:t>
        </x:is>
      </x:c>
      <x:c r="AL62" s="81" t="n">
        <x:v>1</x:v>
      </x:c>
      <x:c r="AM62" s="81" t="inlineStr">
        <x:is>
          <x:t xml:space="preserve">ChatGPT research</x:t>
        </x:is>
      </x:c>
      <x:c r="AN62" s="81" t="inlineStr">
        <x:is>
          <x:t xml:space="preserve">2026-09-18</x:t>
        </x:is>
      </x:c>
      <x:c r="AO62" s="81" t="inlineStr">
        <x:is>
          <x:t xml:space="preserve">Day 1 full-scope audit, chapters 1–20.</x:t>
        </x:is>
      </x:c>
      <x:c r="AP62" s="81" t="n"/>
      <x:c r="AQ62" s="81" t="n"/>
    </x:row>
    <x:row r="63">
      <x:c r="A63" s="81" t="inlineStr">
        <x:is>
          <x:t xml:space="preserve">research.laozi.ch20.062</x:t>
        </x:is>
      </x:c>
      <x:c r="B63" s="81" t="inlineStr">
        <x:is>
          <x:t xml:space="preserve">Collected</x:t>
        </x:is>
      </x:c>
      <x:c r="C63" s="81" t="inlineStr">
        <x:is>
          <x:t xml:space="preserve">Nội tâm &amp; hiểu mình</x:t>
        </x:is>
      </x:c>
      <x:c r="D63" s="81" t="inlineStr">
        <x:is>
          <x:t xml:space="preserve">Uncertainty / Choice / Agency</x:t>
        </x:is>
      </x:c>
      <x:c r="E63" s="81" t="str"/>
      <x:c r="F63" s="81" t="inlineStr">
        <x:is>
          <x:t xml:space="preserve">Cảm giác chưa có nơi để neo lại</x:t>
        </x:is>
      </x:c>
      <x:c r="G63" s="81" t="inlineStr">
        <x:is>
          <x:t xml:space="preserve">Uncertainty</x:t>
        </x:is>
      </x:c>
      <x:c r="H63" s="81" t="inlineStr">
        <x:is>
          <x:t xml:space="preserve">Meaning</x:t>
        </x:is>
      </x:c>
      <x:c r="I63" s="81" t="inlineStr">
        <x:is>
          <x:t xml:space="preserve">Không chắc chắn</x:t>
        </x:is>
      </x:c>
      <x:c r="J63" s="81" t="str"/>
      <x:c r="K63" s="81" t="inlineStr">
        <x:is>
          <x:t xml:space="preserve">Recognize</x:t>
        </x:is>
      </x:c>
      <x:c r="L63" s="81" t="inlineStr">
        <x:is>
          <x:t xml:space="preserve">Permit</x:t>
        </x:is>
      </x:c>
      <x:c r="M63" s="81" t="inlineStr">
        <x:is>
          <x:t xml:space="preserve">Ẩn dụ</x:t>
        </x:is>
      </x:c>
      <x:c r="N63" s="81" t="inlineStr">
        <x:is>
          <x:t xml:space="preserve">澹兮其若海，飂兮若無止。</x:t>
        </x:is>
      </x:c>
      <x:c r="O63" s="81" t="inlineStr">
        <x:is>
          <x:t xml:space="preserve">Classical Chinese (文言文)</x:t>
        </x:is>
      </x:c>
      <x:c r="P63" s="81" t="inlineStr">
        <x:is>
          <x:t xml:space="preserve">Mênh mang như biển; trôi đi như chưa có nơi dừng.</x:t>
        </x:is>
      </x:c>
      <x:c r="Q63" s="81" t="inlineStr">
        <x:is>
          <x:t xml:space="preserve">Laozi / 老子</x:t>
        </x:is>
      </x:c>
      <x:c r="R63" s="81" t="inlineStr">
        <x:is>
          <x:t xml:space="preserve">Taoism</x:t>
        </x:is>
      </x:c>
      <x:c r="S63" s="81" t="inlineStr">
        <x:is>
          <x:t xml:space="preserve">道德經 / Tao Te Ching</x:t>
        </x:is>
      </x:c>
      <x:c r="T63" s="81" t="inlineStr">
        <x:is>
          <x:t xml:space="preserve">Chapter 20</x:t>
        </x:is>
      </x:c>
      <x:c r="U63" s="81" t="inlineStr">
        <x:is>
          <x:t xml:space="preserve">https://zh.wikisource.org/zh-hans/%E9%81%93%E5%BE%B7%E7%B6%93_(%E7%8E%8B%E5%BC%BC%E6%9C%AC)</x:t>
        </x:is>
      </x:c>
      <x:c r="V63" s="81" t="inlineStr">
        <x:is>
          <x:t xml:space="preserve">Primary text</x:t>
        </x:is>
      </x:c>
      <x:c r="W63" s="81" t="inlineStr">
        <x:is>
          <x:t xml:space="preserve">Working translation</x:t>
        </x:is>
      </x:c>
      <x:c r="X63" s="81" t="inlineStr">
        <x:is>
          <x:t xml:space="preserve">A - Primary source</x:t>
        </x:is>
      </x:c>
      <x:c r="Y63" s="81" t="inlineStr">
        <x:is>
          <x:t xml:space="preserve">Original Chinese checked against Wang Bi recension; cross-check via Chinese Text Project. Vietnamese is Selflo working translation, not published translation.</x:t>
        </x:is>
      </x:c>
      <x:c r="Z63" s="81" t="inlineStr">
        <x:is>
          <x:t xml:space="preserve">Public domain / likely</x:t>
        </x:is>
      </x:c>
      <x:c r="AA63" s="81" t="inlineStr">
        <x:is>
          <x:t xml:space="preserve">Ancient text; Legge 1891 comparison is public domain in USA per Project Gutenberg. Verify jurisdiction for commercial publication.</x:t>
        </x:is>
      </x:c>
      <x:c r="AB63" s="81" t="inlineStr">
        <x:is>
          <x:t xml:space="preserve">High</x:t>
        </x:is>
      </x:c>
      <x:c r="AC63" s="81" t="inlineStr">
        <x:is>
          <x:t xml:space="preserve">Hợp uncertainty.</x:t>
        </x:is>
      </x:c>
      <x:c r="AD63" s="81" t="inlineStr">
        <x:is>
          <x:t xml:space="preserve">Needs editorial review</x:t>
        </x:is>
      </x:c>
      <x:c r="AE63" s="81" t="inlineStr">
        <x:is>
          <x:t xml:space="preserve">Needs semantic dedupe review</x:t>
        </x:is>
      </x:c>
      <x:c r="AF63" s="81" t="str"/>
      <x:c r="AG63" s="81" t="str"/>
      <x:c r="AH63" s="81" t="inlineStr">
        <x:is>
          <x:t xml:space="preserve">No</x:t>
        </x:is>
      </x:c>
      <x:c r="AI63" s="81" t="inlineStr">
        <x:is>
          <x:t xml:space="preserve">Not reviewed</x:t>
        </x:is>
      </x:c>
      <x:c r="AJ63" s="81" t="inlineStr">
        <x:is>
          <x:t xml:space="preserve">Research only</x:t>
        </x:is>
      </x:c>
      <x:c r="AK63" s="81" t="inlineStr">
        <x:is>
          <x:t xml:space="preserve">Research Pool</x:t>
        </x:is>
      </x:c>
      <x:c r="AL63" s="81" t="n">
        <x:v>1</x:v>
      </x:c>
      <x:c r="AM63" s="81" t="inlineStr">
        <x:is>
          <x:t xml:space="preserve">ChatGPT research</x:t>
        </x:is>
      </x:c>
      <x:c r="AN63" s="81" t="inlineStr">
        <x:is>
          <x:t xml:space="preserve">2026-09-18</x:t>
        </x:is>
      </x:c>
      <x:c r="AO63" s="81" t="inlineStr">
        <x:is>
          <x:t xml:space="preserve">Day 1 full-scope audit, chapters 1–20.</x:t>
        </x:is>
      </x:c>
      <x:c r="AP63" s="81" t="n"/>
      <x:c r="AQ63" s="81" t="n"/>
    </x:row>
    <x:row r="64">
      <x:c r="A64" s="81" t="inlineStr">
        <x:is>
          <x:t xml:space="preserve">research.laozi.ch20.063</x:t>
        </x:is>
      </x:c>
      <x:c r="B64" s="81" t="inlineStr">
        <x:is>
          <x:t xml:space="preserve">Collected</x:t>
        </x:is>
      </x:c>
      <x:c r="C64" s="81" t="inlineStr">
        <x:is>
          <x:t xml:space="preserve">Công việc &amp; mục đích</x:t>
        </x:is>
      </x:c>
      <x:c r="D64" s="81" t="inlineStr">
        <x:is>
          <x:t xml:space="preserve">Meaning / Identity / Work</x:t>
        </x:is>
      </x:c>
      <x:c r="E64" s="81" t="str"/>
      <x:c r="F64" s="81" t="inlineStr">
        <x:is>
          <x:t xml:space="preserve">Người khác có vẻ có hướng đi còn mình thì chưa</x:t>
        </x:is>
      </x:c>
      <x:c r="G64" s="81" t="inlineStr">
        <x:is>
          <x:t xml:space="preserve">Identity</x:t>
        </x:is>
      </x:c>
      <x:c r="H64" s="81" t="inlineStr">
        <x:is>
          <x:t xml:space="preserve">Comparison</x:t>
        </x:is>
      </x:c>
      <x:c r="I64" s="81" t="inlineStr">
        <x:is>
          <x:t xml:space="preserve">Bối rối</x:t>
        </x:is>
      </x:c>
      <x:c r="J64" s="81" t="str"/>
      <x:c r="K64" s="81" t="inlineStr">
        <x:is>
          <x:t xml:space="preserve">Recognize</x:t>
        </x:is>
      </x:c>
      <x:c r="L64" s="81" t="inlineStr">
        <x:is>
          <x:t xml:space="preserve">Permit</x:t>
        </x:is>
      </x:c>
      <x:c r="M64" s="81" t="inlineStr">
        <x:is>
          <x:t xml:space="preserve">Trích đoạn triết học</x:t>
        </x:is>
      </x:c>
      <x:c r="N64" s="81" t="inlineStr">
        <x:is>
          <x:t xml:space="preserve">眾人皆有以，而我獨頑似鄙。</x:t>
        </x:is>
      </x:c>
      <x:c r="O64" s="81" t="inlineStr">
        <x:is>
          <x:t xml:space="preserve">Classical Chinese (文言文)</x:t>
        </x:is>
      </x:c>
      <x:c r="P64" s="81" t="inlineStr">
        <x:is>
          <x:t xml:space="preserve">Mọi người đều có vẻ biết mình dùng năng lực vào đâu; riêng ta trông vụng và không hợp thời.</x:t>
        </x:is>
      </x:c>
      <x:c r="Q64" s="81" t="inlineStr">
        <x:is>
          <x:t xml:space="preserve">Laozi / 老子</x:t>
        </x:is>
      </x:c>
      <x:c r="R64" s="81" t="inlineStr">
        <x:is>
          <x:t xml:space="preserve">Taoism</x:t>
        </x:is>
      </x:c>
      <x:c r="S64" s="81" t="inlineStr">
        <x:is>
          <x:t xml:space="preserve">道德經 / Tao Te Ching</x:t>
        </x:is>
      </x:c>
      <x:c r="T64" s="81" t="inlineStr">
        <x:is>
          <x:t xml:space="preserve">Chapter 20</x:t>
        </x:is>
      </x:c>
      <x:c r="U64" s="81" t="inlineStr">
        <x:is>
          <x:t xml:space="preserve">https://zh.wikisource.org/zh-hans/%E9%81%93%E5%BE%B7%E7%B6%93_(%E7%8E%8B%E5%BC%BC%E6%9C%AC)</x:t>
        </x:is>
      </x:c>
      <x:c r="V64" s="81" t="inlineStr">
        <x:is>
          <x:t xml:space="preserve">Primary text</x:t>
        </x:is>
      </x:c>
      <x:c r="W64" s="81" t="inlineStr">
        <x:is>
          <x:t xml:space="preserve">Working translation</x:t>
        </x:is>
      </x:c>
      <x:c r="X64" s="81" t="inlineStr">
        <x:is>
          <x:t xml:space="preserve">A - Primary source</x:t>
        </x:is>
      </x:c>
      <x:c r="Y64" s="81" t="inlineStr">
        <x:is>
          <x:t xml:space="preserve">Original Chinese checked against Wang Bi recension; cross-check via Chinese Text Project. Vietnamese is Selflo working translation, not published translation.</x:t>
        </x:is>
      </x:c>
      <x:c r="Z64" s="81" t="inlineStr">
        <x:is>
          <x:t xml:space="preserve">Public domain / likely</x:t>
        </x:is>
      </x:c>
      <x:c r="AA64" s="81" t="inlineStr">
        <x:is>
          <x:t xml:space="preserve">Ancient text; Legge 1891 comparison is public domain in USA per Project Gutenberg. Verify jurisdiction for commercial publication.</x:t>
        </x:is>
      </x:c>
      <x:c r="AB64" s="81" t="inlineStr">
        <x:is>
          <x:t xml:space="preserve">High</x:t>
        </x:is>
      </x:c>
      <x:c r="AC64" s="81" t="inlineStr">
        <x:is>
          <x:t xml:space="preserve">Mạnh cho career uncertainty.</x:t>
        </x:is>
      </x:c>
      <x:c r="AD64" s="81" t="inlineStr">
        <x:is>
          <x:t xml:space="preserve">Needs editorial review</x:t>
        </x:is>
      </x:c>
      <x:c r="AE64" s="81" t="inlineStr">
        <x:is>
          <x:t xml:space="preserve">Needs semantic dedupe review</x:t>
        </x:is>
      </x:c>
      <x:c r="AF64" s="81" t="str"/>
      <x:c r="AG64" s="81" t="str"/>
      <x:c r="AH64" s="81" t="inlineStr">
        <x:is>
          <x:t xml:space="preserve">No</x:t>
        </x:is>
      </x:c>
      <x:c r="AI64" s="81" t="inlineStr">
        <x:is>
          <x:t xml:space="preserve">Not reviewed</x:t>
        </x:is>
      </x:c>
      <x:c r="AJ64" s="81" t="inlineStr">
        <x:is>
          <x:t xml:space="preserve">Research only</x:t>
        </x:is>
      </x:c>
      <x:c r="AK64" s="81" t="inlineStr">
        <x:is>
          <x:t xml:space="preserve">Research Pool</x:t>
        </x:is>
      </x:c>
      <x:c r="AL64" s="81" t="n">
        <x:v>1</x:v>
      </x:c>
      <x:c r="AM64" s="81" t="inlineStr">
        <x:is>
          <x:t xml:space="preserve">ChatGPT research</x:t>
        </x:is>
      </x:c>
      <x:c r="AN64" s="81" t="inlineStr">
        <x:is>
          <x:t xml:space="preserve">2026-09-18</x:t>
        </x:is>
      </x:c>
      <x:c r="AO64" s="81" t="inlineStr">
        <x:is>
          <x:t xml:space="preserve">Day 1 full-scope audit, chapters 1–20.</x:t>
        </x:is>
      </x:c>
      <x:c r="AP64" s="81" t="n"/>
      <x:c r="AQ64" s="81" t="n"/>
    </x:row>
    <x:row r="65">
      <x:c r="A65" s="81" t="inlineStr">
        <x:is>
          <x:t xml:space="preserve">research.laozi.day2.ch21.001</x:t>
        </x:is>
      </x:c>
      <x:c r="B65" s="81" t="inlineStr">
        <x:is>
          <x:t xml:space="preserve">Collected</x:t>
        </x:is>
      </x:c>
      <x:c r="C65" s="81" t="inlineStr">
        <x:is>
          <x:t xml:space="preserve">Nội tâm &amp; hiểu mình</x:t>
        </x:is>
      </x:c>
      <x:c r="D65" s="81" t="inlineStr">
        <x:is>
          <x:t xml:space="preserve">Day 2 / Laozi 21–50</x:t>
        </x:is>
      </x:c>
      <x:c r="E65" s="81" t="n"/>
      <x:c r="F65" s="81" t="inlineStr">
        <x:is>
          <x:t xml:space="preserve">Sống theo điều mình coi là nền tảng</x:t>
        </x:is>
      </x:c>
      <x:c r="G65" s="81" t="inlineStr">
        <x:is>
          <x:t xml:space="preserve">Values</x:t>
        </x:is>
      </x:c>
      <x:c r="H65" s="81" t="n"/>
      <x:c r="I65" s="81" t="n"/>
      <x:c r="J65" s="81" t="n"/>
      <x:c r="K65" s="81" t="inlineStr">
        <x:is>
          <x:t xml:space="preserve">Recognize</x:t>
        </x:is>
      </x:c>
      <x:c r="L65" s="81" t="n"/>
      <x:c r="M65" s="81" t="inlineStr">
        <x:is>
          <x:t xml:space="preserve">Trích đoạn triết học</x:t>
        </x:is>
      </x:c>
      <x:c r="N65" s="81" t="inlineStr">
        <x:is>
          <x:t xml:space="preserve">孔德之容，惟道是從。</x:t>
        </x:is>
      </x:c>
      <x:c r="O65" s="81" t="inlineStr">
        <x:is>
          <x:t xml:space="preserve">Classical Chinese (文言文)</x:t>
        </x:is>
      </x:c>
      <x:c r="P65" s="81" t="inlineStr">
        <x:is>
          <x:t xml:space="preserve">Hình thái của đức lớn đi theo Đạo.</x:t>
        </x:is>
      </x:c>
      <x:c r="Q65" s="81" t="inlineStr">
        <x:is>
          <x:t xml:space="preserve">Laozi / 老子</x:t>
        </x:is>
      </x:c>
      <x:c r="R65" s="81" t="inlineStr">
        <x:is>
          <x:t xml:space="preserve">Taoism</x:t>
        </x:is>
      </x:c>
      <x:c r="S65" s="81" t="inlineStr">
        <x:is>
          <x:t xml:space="preserve">道德經 / Tao Te Ching</x:t>
        </x:is>
      </x:c>
      <x:c r="T65" s="81" t="inlineStr">
        <x:is>
          <x:t xml:space="preserve">Chapter 21</x:t>
        </x:is>
      </x:c>
      <x:c r="U65" s="81" t="inlineStr">
        <x:is>
          <x:t xml:space="preserve">https://zh.wikisource.org/zh-hant/%E9%81%93%E5%BE%B7%E7%B6%93_%28%E7%8E%8B%E5%BC%BC%E6%9C%AC%29</x:t>
        </x:is>
      </x:c>
      <x:c r="V65" s="81" t="inlineStr">
        <x:is>
          <x:t xml:space="preserve">Primary text</x:t>
        </x:is>
      </x:c>
      <x:c r="W65" s="81" t="inlineStr">
        <x:is>
          <x:t xml:space="preserve">Working translation</x:t>
        </x:is>
      </x:c>
      <x:c r="X65" s="81" t="inlineStr">
        <x:is>
          <x:t xml:space="preserve">A - Primary source</x:t>
        </x:is>
      </x:c>
      <x:c r="Y65" s="81" t="inlineStr">
        <x:is>
          <x:t xml:space="preserve">Original Chinese checked against Wang Bi recension; Vietnamese is Selflo working translation, not a published translation.</x:t>
        </x:is>
      </x:c>
      <x:c r="Z65" s="81" t="inlineStr">
        <x:is>
          <x:t xml:space="preserve">Public domain / likely</x:t>
        </x:is>
      </x:c>
      <x:c r="AA65" s="81" t="inlineStr">
        <x:is>
          <x:t xml:space="preserve">Ancient source text. Verify jurisdiction/edition before commercial publication.</x:t>
        </x:is>
      </x:c>
      <x:c r="AB65" s="81" t="inlineStr">
        <x:is>
          <x:t xml:space="preserve">Medium</x:t>
        </x:is>
      </x:c>
      <x:c r="AC65" s="81" t="inlineStr">
        <x:is>
          <x:t xml:space="preserve">Khá siêu hình; giữ research.</x:t>
        </x:is>
      </x:c>
      <x:c r="AD65" s="81" t="inlineStr">
        <x:is>
          <x:t xml:space="preserve">Needs editorial review</x:t>
        </x:is>
      </x:c>
      <x:c r="AE65" s="81" t="inlineStr">
        <x:is>
          <x:t xml:space="preserve">Needs semantic dedupe review</x:t>
        </x:is>
      </x:c>
      <x:c r="AF65" s="81" t="n"/>
      <x:c r="AG65" s="81" t="n"/>
      <x:c r="AH65" s="81" t="inlineStr">
        <x:is>
          <x:t xml:space="preserve">No</x:t>
        </x:is>
      </x:c>
      <x:c r="AI65" s="81" t="inlineStr">
        <x:is>
          <x:t xml:space="preserve">Not reviewed</x:t>
        </x:is>
      </x:c>
      <x:c r="AJ65" s="81" t="inlineStr">
        <x:is>
          <x:t xml:space="preserve">Research only</x:t>
        </x:is>
      </x:c>
      <x:c r="AK65" s="81" t="inlineStr">
        <x:is>
          <x:t xml:space="preserve">Research Pool</x:t>
        </x:is>
      </x:c>
      <x:c r="AL65" s="81" t="n">
        <x:v>2</x:v>
      </x:c>
      <x:c r="AM65" s="81" t="inlineStr">
        <x:is>
          <x:t xml:space="preserve">ChatGPT research</x:t>
        </x:is>
      </x:c>
      <x:c r="AN65" s="81" t="inlineStr">
        <x:is>
          <x:t xml:space="preserve">2026-09-18</x:t>
        </x:is>
      </x:c>
      <x:c r="AO65" s="81" t="inlineStr">
        <x:is>
          <x:t xml:space="preserve">Day 2 full-scope audit, chapters 21–50.</x:t>
        </x:is>
      </x:c>
      <x:c r="AP65" s="81" t="n"/>
      <x:c r="AQ65" s="81" t="n"/>
    </x:row>
    <x:row r="66">
      <x:c r="A66" s="81" t="inlineStr">
        <x:is>
          <x:t xml:space="preserve">research.laozi.day2.ch21.002</x:t>
        </x:is>
      </x:c>
      <x:c r="B66" s="81" t="inlineStr">
        <x:is>
          <x:t xml:space="preserve">Collected</x:t>
        </x:is>
      </x:c>
      <x:c r="C66" s="81" t="inlineStr">
        <x:is>
          <x:t xml:space="preserve">Nội tâm &amp; hiểu mình</x:t>
        </x:is>
      </x:c>
      <x:c r="D66" s="81" t="inlineStr">
        <x:is>
          <x:t xml:space="preserve">Day 2 / Laozi 21–50</x:t>
        </x:is>
      </x:c>
      <x:c r="E66" s="81" t="n"/>
      <x:c r="F66" s="81" t="inlineStr">
        <x:is>
          <x:t xml:space="preserve">Ở cùng điều chưa thể nắm rõ</x:t>
        </x:is>
      </x:c>
      <x:c r="G66" s="81" t="inlineStr">
        <x:is>
          <x:t xml:space="preserve">Uncertainty</x:t>
        </x:is>
      </x:c>
      <x:c r="H66" s="81" t="n"/>
      <x:c r="I66" s="81" t="n"/>
      <x:c r="J66" s="81" t="n"/>
      <x:c r="K66" s="81" t="inlineStr">
        <x:is>
          <x:t xml:space="preserve">Permit</x:t>
        </x:is>
      </x:c>
      <x:c r="L66" s="81" t="n"/>
      <x:c r="M66" s="81" t="inlineStr">
        <x:is>
          <x:t xml:space="preserve">Trích đoạn triết học</x:t>
        </x:is>
      </x:c>
      <x:c r="N66" s="81" t="inlineStr">
        <x:is>
          <x:t xml:space="preserve">道之為物，惟恍惟惚。</x:t>
        </x:is>
      </x:c>
      <x:c r="O66" s="81" t="inlineStr">
        <x:is>
          <x:t xml:space="preserve">Classical Chinese (文言文)</x:t>
        </x:is>
      </x:c>
      <x:c r="P66" s="81" t="inlineStr">
        <x:is>
          <x:t xml:space="preserve">Đạo như một điều vừa mờ vừa khó nắm bắt.</x:t>
        </x:is>
      </x:c>
      <x:c r="Q66" s="81" t="inlineStr">
        <x:is>
          <x:t xml:space="preserve">Laozi / 老子</x:t>
        </x:is>
      </x:c>
      <x:c r="R66" s="81" t="inlineStr">
        <x:is>
          <x:t xml:space="preserve">Taoism</x:t>
        </x:is>
      </x:c>
      <x:c r="S66" s="81" t="inlineStr">
        <x:is>
          <x:t xml:space="preserve">道德經 / Tao Te Ching</x:t>
        </x:is>
      </x:c>
      <x:c r="T66" s="81" t="inlineStr">
        <x:is>
          <x:t xml:space="preserve">Chapter 21</x:t>
        </x:is>
      </x:c>
      <x:c r="U66" s="81" t="inlineStr">
        <x:is>
          <x:t xml:space="preserve">https://zh.wikisource.org/zh-hant/%E9%81%93%E5%BE%B7%E7%B6%93_%28%E7%8E%8B%E5%BC%BC%E6%9C%AC%29</x:t>
        </x:is>
      </x:c>
      <x:c r="V66" s="81" t="inlineStr">
        <x:is>
          <x:t xml:space="preserve">Primary text</x:t>
        </x:is>
      </x:c>
      <x:c r="W66" s="81" t="inlineStr">
        <x:is>
          <x:t xml:space="preserve">Working translation</x:t>
        </x:is>
      </x:c>
      <x:c r="X66" s="81" t="inlineStr">
        <x:is>
          <x:t xml:space="preserve">A - Primary source</x:t>
        </x:is>
      </x:c>
      <x:c r="Y66" s="81" t="inlineStr">
        <x:is>
          <x:t xml:space="preserve">Original Chinese checked against Wang Bi recension; Vietnamese is Selflo working translation, not a published translation.</x:t>
        </x:is>
      </x:c>
      <x:c r="Z66" s="81" t="inlineStr">
        <x:is>
          <x:t xml:space="preserve">Public domain / likely</x:t>
        </x:is>
      </x:c>
      <x:c r="AA66" s="81" t="inlineStr">
        <x:is>
          <x:t xml:space="preserve">Ancient source text. Verify jurisdiction/edition before commercial publication.</x:t>
        </x:is>
      </x:c>
      <x:c r="AB66" s="81" t="inlineStr">
        <x:is>
          <x:t xml:space="preserve">High</x:t>
        </x:is>
      </x:c>
      <x:c r="AC66" s="81" t="inlineStr">
        <x:is>
          <x:t xml:space="preserve">Hợp trải nghiệm chưa gọi tên được.</x:t>
        </x:is>
      </x:c>
      <x:c r="AD66" s="81" t="inlineStr">
        <x:is>
          <x:t xml:space="preserve">Needs editorial review</x:t>
        </x:is>
      </x:c>
      <x:c r="AE66" s="81" t="inlineStr">
        <x:is>
          <x:t xml:space="preserve">Needs semantic dedupe review</x:t>
        </x:is>
      </x:c>
      <x:c r="AF66" s="81" t="n"/>
      <x:c r="AG66" s="81" t="n"/>
      <x:c r="AH66" s="81" t="inlineStr">
        <x:is>
          <x:t xml:space="preserve">No</x:t>
        </x:is>
      </x:c>
      <x:c r="AI66" s="81" t="inlineStr">
        <x:is>
          <x:t xml:space="preserve">Not reviewed</x:t>
        </x:is>
      </x:c>
      <x:c r="AJ66" s="81" t="inlineStr">
        <x:is>
          <x:t xml:space="preserve">Research only</x:t>
        </x:is>
      </x:c>
      <x:c r="AK66" s="81" t="inlineStr">
        <x:is>
          <x:t xml:space="preserve">Research Pool</x:t>
        </x:is>
      </x:c>
      <x:c r="AL66" s="81" t="n">
        <x:v>2</x:v>
      </x:c>
      <x:c r="AM66" s="81" t="inlineStr">
        <x:is>
          <x:t xml:space="preserve">ChatGPT research</x:t>
        </x:is>
      </x:c>
      <x:c r="AN66" s="81" t="inlineStr">
        <x:is>
          <x:t xml:space="preserve">2026-09-18</x:t>
        </x:is>
      </x:c>
      <x:c r="AO66" s="81" t="inlineStr">
        <x:is>
          <x:t xml:space="preserve">Day 2 full-scope audit, chapters 21–50.</x:t>
        </x:is>
      </x:c>
      <x:c r="AP66" s="81" t="n"/>
      <x:c r="AQ66" s="81" t="n"/>
    </x:row>
    <x:row r="67">
      <x:c r="A67" s="81" t="inlineStr">
        <x:is>
          <x:t xml:space="preserve">research.laozi.day2.ch21.003</x:t>
        </x:is>
      </x:c>
      <x:c r="B67" s="81" t="inlineStr">
        <x:is>
          <x:t xml:space="preserve">Collected</x:t>
        </x:is>
      </x:c>
      <x:c r="C67" s="81" t="inlineStr">
        <x:is>
          <x:t xml:space="preserve">Nội tâm &amp; hiểu mình</x:t>
        </x:is>
      </x:c>
      <x:c r="D67" s="81" t="inlineStr">
        <x:is>
          <x:t xml:space="preserve">Day 2 / Laozi 21–50</x:t>
        </x:is>
      </x:c>
      <x:c r="E67" s="81" t="n"/>
      <x:c r="F67" s="81" t="inlineStr">
        <x:is>
          <x:t xml:space="preserve">Nhận ra hình dạng trong điều còn mơ hồ</x:t>
        </x:is>
      </x:c>
      <x:c r="G67" s="81" t="inlineStr">
        <x:is>
          <x:t xml:space="preserve">Uncertainty</x:t>
        </x:is>
      </x:c>
      <x:c r="H67" s="81" t="n"/>
      <x:c r="I67" s="81" t="n"/>
      <x:c r="J67" s="81" t="n"/>
      <x:c r="K67" s="81" t="inlineStr">
        <x:is>
          <x:t xml:space="preserve">Recognize</x:t>
        </x:is>
      </x:c>
      <x:c r="L67" s="81" t="n"/>
      <x:c r="M67" s="81" t="inlineStr">
        <x:is>
          <x:t xml:space="preserve">Trích đoạn triết học</x:t>
        </x:is>
      </x:c>
      <x:c r="N67" s="81" t="inlineStr">
        <x:is>
          <x:t xml:space="preserve">惚兮恍兮，其中有象；恍兮惚兮，其中有物。</x:t>
        </x:is>
      </x:c>
      <x:c r="O67" s="81" t="inlineStr">
        <x:is>
          <x:t xml:space="preserve">Classical Chinese (文言文)</x:t>
        </x:is>
      </x:c>
      <x:c r="P67" s="81" t="inlineStr">
        <x:is>
          <x:t xml:space="preserve">Trong cái mờ khó nắm vẫn có hình; trong cái mơ hồ vẫn có điều đang hiện hữu.</x:t>
        </x:is>
      </x:c>
      <x:c r="Q67" s="81" t="inlineStr">
        <x:is>
          <x:t xml:space="preserve">Laozi / 老子</x:t>
        </x:is>
      </x:c>
      <x:c r="R67" s="81" t="inlineStr">
        <x:is>
          <x:t xml:space="preserve">Taoism</x:t>
        </x:is>
      </x:c>
      <x:c r="S67" s="81" t="inlineStr">
        <x:is>
          <x:t xml:space="preserve">道德經 / Tao Te Ching</x:t>
        </x:is>
      </x:c>
      <x:c r="T67" s="81" t="inlineStr">
        <x:is>
          <x:t xml:space="preserve">Chapter 21</x:t>
        </x:is>
      </x:c>
      <x:c r="U67" s="81" t="inlineStr">
        <x:is>
          <x:t xml:space="preserve">https://zh.wikisource.org/zh-hant/%E9%81%93%E5%BE%B7%E7%B6%93_%28%E7%8E%8B%E5%BC%BC%E6%9C%AC%29</x:t>
        </x:is>
      </x:c>
      <x:c r="V67" s="81" t="inlineStr">
        <x:is>
          <x:t xml:space="preserve">Primary text</x:t>
        </x:is>
      </x:c>
      <x:c r="W67" s="81" t="inlineStr">
        <x:is>
          <x:t xml:space="preserve">Working translation</x:t>
        </x:is>
      </x:c>
      <x:c r="X67" s="81" t="inlineStr">
        <x:is>
          <x:t xml:space="preserve">A - Primary source</x:t>
        </x:is>
      </x:c>
      <x:c r="Y67" s="81" t="inlineStr">
        <x:is>
          <x:t xml:space="preserve">Original Chinese checked against Wang Bi recension; Vietnamese is Selflo working translation, not a published translation.</x:t>
        </x:is>
      </x:c>
      <x:c r="Z67" s="81" t="inlineStr">
        <x:is>
          <x:t xml:space="preserve">Public domain / likely</x:t>
        </x:is>
      </x:c>
      <x:c r="AA67" s="81" t="inlineStr">
        <x:is>
          <x:t xml:space="preserve">Ancient source text. Verify jurisdiction/edition before commercial publication.</x:t>
        </x:is>
      </x:c>
      <x:c r="AB67" s="81" t="inlineStr">
        <x:is>
          <x:t xml:space="preserve">High</x:t>
        </x:is>
      </x:c>
      <x:c r="AC67" s="81" t="inlineStr">
        <x:is>
          <x:t xml:space="preserve">Mạnh cho self-understanding.</x:t>
        </x:is>
      </x:c>
      <x:c r="AD67" s="81" t="inlineStr">
        <x:is>
          <x:t xml:space="preserve">Needs editorial review</x:t>
        </x:is>
      </x:c>
      <x:c r="AE67" s="81" t="inlineStr">
        <x:is>
          <x:t xml:space="preserve">Needs semantic dedupe review</x:t>
        </x:is>
      </x:c>
      <x:c r="AF67" s="81" t="n"/>
      <x:c r="AG67" s="81" t="n"/>
      <x:c r="AH67" s="81" t="inlineStr">
        <x:is>
          <x:t xml:space="preserve">No</x:t>
        </x:is>
      </x:c>
      <x:c r="AI67" s="81" t="inlineStr">
        <x:is>
          <x:t xml:space="preserve">Not reviewed</x:t>
        </x:is>
      </x:c>
      <x:c r="AJ67" s="81" t="inlineStr">
        <x:is>
          <x:t xml:space="preserve">Research only</x:t>
        </x:is>
      </x:c>
      <x:c r="AK67" s="81" t="inlineStr">
        <x:is>
          <x:t xml:space="preserve">Research Pool</x:t>
        </x:is>
      </x:c>
      <x:c r="AL67" s="81" t="n">
        <x:v>2</x:v>
      </x:c>
      <x:c r="AM67" s="81" t="inlineStr">
        <x:is>
          <x:t xml:space="preserve">ChatGPT research</x:t>
        </x:is>
      </x:c>
      <x:c r="AN67" s="81" t="inlineStr">
        <x:is>
          <x:t xml:space="preserve">2026-09-18</x:t>
        </x:is>
      </x:c>
      <x:c r="AO67" s="81" t="inlineStr">
        <x:is>
          <x:t xml:space="preserve">Day 2 full-scope audit, chapters 21–50.</x:t>
        </x:is>
      </x:c>
      <x:c r="AP67" s="81" t="n"/>
      <x:c r="AQ67" s="81" t="n"/>
    </x:row>
    <x:row r="68">
      <x:c r="A68" s="81" t="inlineStr">
        <x:is>
          <x:t xml:space="preserve">research.laozi.day2.ch21.004</x:t>
        </x:is>
      </x:c>
      <x:c r="B68" s="81" t="inlineStr">
        <x:is>
          <x:t xml:space="preserve">Collected</x:t>
        </x:is>
      </x:c>
      <x:c r="C68" s="81" t="inlineStr">
        <x:is>
          <x:t xml:space="preserve">Nội tâm &amp; hiểu mình</x:t>
        </x:is>
      </x:c>
      <x:c r="D68" s="81" t="inlineStr">
        <x:is>
          <x:t xml:space="preserve">Day 2 / Laozi 21–50</x:t>
        </x:is>
      </x:c>
      <x:c r="E68" s="81" t="n"/>
      <x:c r="F68" s="81" t="inlineStr">
        <x:is>
          <x:t xml:space="preserve">Tìm phần đáng tin giữa mơ hồ</x:t>
        </x:is>
      </x:c>
      <x:c r="G68" s="81" t="inlineStr">
        <x:is>
          <x:t xml:space="preserve">Trust</x:t>
        </x:is>
      </x:c>
      <x:c r="H68" s="81" t="n"/>
      <x:c r="I68" s="81" t="n"/>
      <x:c r="J68" s="81" t="n"/>
      <x:c r="K68" s="81" t="inlineStr">
        <x:is>
          <x:t xml:space="preserve">Recognize</x:t>
        </x:is>
      </x:c>
      <x:c r="L68" s="81" t="n"/>
      <x:c r="M68" s="81" t="inlineStr">
        <x:is>
          <x:t xml:space="preserve">Trích đoạn triết học</x:t>
        </x:is>
      </x:c>
      <x:c r="N68" s="81" t="inlineStr">
        <x:is>
          <x:t xml:space="preserve">窈兮冥兮，其中有精；其精甚真，其中有信。</x:t>
        </x:is>
      </x:c>
      <x:c r="O68" s="81" t="inlineStr">
        <x:is>
          <x:t xml:space="preserve">Classical Chinese (文言文)</x:t>
        </x:is>
      </x:c>
      <x:c r="P68" s="81" t="inlineStr">
        <x:is>
          <x:t xml:space="preserve">Trong chỗ sâu và tối vẫn có phần tinh cốt; phần ấy được nói là chân thực và có thể tin.</x:t>
        </x:is>
      </x:c>
      <x:c r="Q68" s="81" t="inlineStr">
        <x:is>
          <x:t xml:space="preserve">Laozi / 老子</x:t>
        </x:is>
      </x:c>
      <x:c r="R68" s="81" t="inlineStr">
        <x:is>
          <x:t xml:space="preserve">Taoism</x:t>
        </x:is>
      </x:c>
      <x:c r="S68" s="81" t="inlineStr">
        <x:is>
          <x:t xml:space="preserve">道德經 / Tao Te Ching</x:t>
        </x:is>
      </x:c>
      <x:c r="T68" s="81" t="inlineStr">
        <x:is>
          <x:t xml:space="preserve">Chapter 21</x:t>
        </x:is>
      </x:c>
      <x:c r="U68" s="81" t="inlineStr">
        <x:is>
          <x:t xml:space="preserve">https://zh.wikisource.org/zh-hant/%E9%81%93%E5%BE%B7%E7%B6%93_%28%E7%8E%8B%E5%BC%BC%E6%9C%AC%29</x:t>
        </x:is>
      </x:c>
      <x:c r="V68" s="81" t="inlineStr">
        <x:is>
          <x:t xml:space="preserve">Primary text</x:t>
        </x:is>
      </x:c>
      <x:c r="W68" s="81" t="inlineStr">
        <x:is>
          <x:t xml:space="preserve">Working translation</x:t>
        </x:is>
      </x:c>
      <x:c r="X68" s="81" t="inlineStr">
        <x:is>
          <x:t xml:space="preserve">A - Primary source</x:t>
        </x:is>
      </x:c>
      <x:c r="Y68" s="81" t="inlineStr">
        <x:is>
          <x:t xml:space="preserve">Original Chinese checked against Wang Bi recension; Vietnamese is Selflo working translation, not a published translation.</x:t>
        </x:is>
      </x:c>
      <x:c r="Z68" s="81" t="inlineStr">
        <x:is>
          <x:t xml:space="preserve">Public domain / likely</x:t>
        </x:is>
      </x:c>
      <x:c r="AA68" s="81" t="inlineStr">
        <x:is>
          <x:t xml:space="preserve">Ancient source text. Verify jurisdiction/edition before commercial publication.</x:t>
        </x:is>
      </x:c>
      <x:c r="AB68" s="81" t="inlineStr">
        <x:is>
          <x:t xml:space="preserve">Medium</x:t>
        </x:is>
      </x:c>
      <x:c r="AC68" s="81" t="inlineStr">
        <x:is>
          <x:t xml:space="preserve">Metaphysical.</x:t>
        </x:is>
      </x:c>
      <x:c r="AD68" s="81" t="inlineStr">
        <x:is>
          <x:t xml:space="preserve">Needs editorial review</x:t>
        </x:is>
      </x:c>
      <x:c r="AE68" s="81" t="inlineStr">
        <x:is>
          <x:t xml:space="preserve">Needs semantic dedupe review</x:t>
        </x:is>
      </x:c>
      <x:c r="AF68" s="81" t="n"/>
      <x:c r="AG68" s="81" t="n"/>
      <x:c r="AH68" s="81" t="inlineStr">
        <x:is>
          <x:t xml:space="preserve">No</x:t>
        </x:is>
      </x:c>
      <x:c r="AI68" s="81" t="inlineStr">
        <x:is>
          <x:t xml:space="preserve">Not reviewed</x:t>
        </x:is>
      </x:c>
      <x:c r="AJ68" s="81" t="inlineStr">
        <x:is>
          <x:t xml:space="preserve">Research only</x:t>
        </x:is>
      </x:c>
      <x:c r="AK68" s="81" t="inlineStr">
        <x:is>
          <x:t xml:space="preserve">Research Pool</x:t>
        </x:is>
      </x:c>
      <x:c r="AL68" s="81" t="n">
        <x:v>2</x:v>
      </x:c>
      <x:c r="AM68" s="81" t="inlineStr">
        <x:is>
          <x:t xml:space="preserve">ChatGPT research</x:t>
        </x:is>
      </x:c>
      <x:c r="AN68" s="81" t="inlineStr">
        <x:is>
          <x:t xml:space="preserve">2026-09-18</x:t>
        </x:is>
      </x:c>
      <x:c r="AO68" s="81" t="inlineStr">
        <x:is>
          <x:t xml:space="preserve">Day 2 full-scope audit, chapters 21–50.</x:t>
        </x:is>
      </x:c>
      <x:c r="AP68" s="81" t="n"/>
      <x:c r="AQ68" s="81" t="n"/>
    </x:row>
    <x:row r="69">
      <x:c r="A69" s="81" t="inlineStr">
        <x:is>
          <x:t xml:space="preserve">research.laozi.day2.ch21.005</x:t>
        </x:is>
      </x:c>
      <x:c r="B69" s="81" t="inlineStr">
        <x:is>
          <x:t xml:space="preserve">Collected</x:t>
        </x:is>
      </x:c>
      <x:c r="C69" s="81" t="inlineStr">
        <x:is>
          <x:t xml:space="preserve">Nội tâm &amp; hiểu mình</x:t>
        </x:is>
      </x:c>
      <x:c r="D69" s="81" t="inlineStr">
        <x:is>
          <x:t xml:space="preserve">Day 2 / Laozi 21–50</x:t>
        </x:is>
      </x:c>
      <x:c r="E69" s="81" t="n"/>
      <x:c r="F69" s="81" t="inlineStr">
        <x:is>
          <x:t xml:space="preserve">Dùng nguyên lý bền để soi thay đổi</x:t>
        </x:is>
      </x:c>
      <x:c r="G69" s="81" t="inlineStr">
        <x:is>
          <x:t xml:space="preserve">Judgment</x:t>
        </x:is>
      </x:c>
      <x:c r="H69" s="81" t="n"/>
      <x:c r="I69" s="81" t="n"/>
      <x:c r="J69" s="81" t="n"/>
      <x:c r="K69" s="81" t="inlineStr">
        <x:is>
          <x:t xml:space="preserve">Distinguish</x:t>
        </x:is>
      </x:c>
      <x:c r="L69" s="81" t="n"/>
      <x:c r="M69" s="81" t="inlineStr">
        <x:is>
          <x:t xml:space="preserve">Trích đoạn triết học</x:t>
        </x:is>
      </x:c>
      <x:c r="N69" s="81" t="inlineStr">
        <x:is>
          <x:t xml:space="preserve">自古及今，其名不去，以閱眾甫。</x:t>
        </x:is>
      </x:c>
      <x:c r="O69" s="81" t="inlineStr">
        <x:is>
          <x:t xml:space="preserve">Classical Chinese (文言文)</x:t>
        </x:is>
      </x:c>
      <x:c r="P69" s="81" t="inlineStr">
        <x:is>
          <x:t xml:space="preserve">Từ xưa đến nay, tên ấy không mất; nhờ đó có thể nhìn lại những khởi đầu của muôn vật.</x:t>
        </x:is>
      </x:c>
      <x:c r="Q69" s="81" t="inlineStr">
        <x:is>
          <x:t xml:space="preserve">Laozi / 老子</x:t>
        </x:is>
      </x:c>
      <x:c r="R69" s="81" t="inlineStr">
        <x:is>
          <x:t xml:space="preserve">Taoism</x:t>
        </x:is>
      </x:c>
      <x:c r="S69" s="81" t="inlineStr">
        <x:is>
          <x:t xml:space="preserve">道德經 / Tao Te Ching</x:t>
        </x:is>
      </x:c>
      <x:c r="T69" s="81" t="inlineStr">
        <x:is>
          <x:t xml:space="preserve">Chapter 21</x:t>
        </x:is>
      </x:c>
      <x:c r="U69" s="81" t="inlineStr">
        <x:is>
          <x:t xml:space="preserve">https://zh.wikisource.org/zh-hant/%E9%81%93%E5%BE%B7%E7%B6%93_%28%E7%8E%8B%E5%BC%BC%E6%9C%AC%29</x:t>
        </x:is>
      </x:c>
      <x:c r="V69" s="81" t="inlineStr">
        <x:is>
          <x:t xml:space="preserve">Primary text</x:t>
        </x:is>
      </x:c>
      <x:c r="W69" s="81" t="inlineStr">
        <x:is>
          <x:t xml:space="preserve">Working translation</x:t>
        </x:is>
      </x:c>
      <x:c r="X69" s="81" t="inlineStr">
        <x:is>
          <x:t xml:space="preserve">A - Primary source</x:t>
        </x:is>
      </x:c>
      <x:c r="Y69" s="81" t="inlineStr">
        <x:is>
          <x:t xml:space="preserve">Original Chinese checked against Wang Bi recension; Vietnamese is Selflo working translation, not a published translation.</x:t>
        </x:is>
      </x:c>
      <x:c r="Z69" s="81" t="inlineStr">
        <x:is>
          <x:t xml:space="preserve">Public domain / likely</x:t>
        </x:is>
      </x:c>
      <x:c r="AA69" s="81" t="inlineStr">
        <x:is>
          <x:t xml:space="preserve">Ancient source text. Verify jurisdiction/edition before commercial publication.</x:t>
        </x:is>
      </x:c>
      <x:c r="AB69" s="81" t="inlineStr">
        <x:is>
          <x:t xml:space="preserve">High</x:t>
        </x:is>
      </x:c>
      <x:c r="AC69" s="81" t="inlineStr">
        <x:is>
          <x:t xml:space="preserve">Gần docs nguyên lý bền.</x:t>
        </x:is>
      </x:c>
      <x:c r="AD69" s="81" t="inlineStr">
        <x:is>
          <x:t xml:space="preserve">Needs editorial review</x:t>
        </x:is>
      </x:c>
      <x:c r="AE69" s="81" t="inlineStr">
        <x:is>
          <x:t xml:space="preserve">Needs semantic dedupe review</x:t>
        </x:is>
      </x:c>
      <x:c r="AF69" s="81" t="n"/>
      <x:c r="AG69" s="81" t="n"/>
      <x:c r="AH69" s="81" t="inlineStr">
        <x:is>
          <x:t xml:space="preserve">No</x:t>
        </x:is>
      </x:c>
      <x:c r="AI69" s="81" t="inlineStr">
        <x:is>
          <x:t xml:space="preserve">Not reviewed</x:t>
        </x:is>
      </x:c>
      <x:c r="AJ69" s="81" t="inlineStr">
        <x:is>
          <x:t xml:space="preserve">Research only</x:t>
        </x:is>
      </x:c>
      <x:c r="AK69" s="81" t="inlineStr">
        <x:is>
          <x:t xml:space="preserve">Research Pool</x:t>
        </x:is>
      </x:c>
      <x:c r="AL69" s="81" t="n">
        <x:v>2</x:v>
      </x:c>
      <x:c r="AM69" s="81" t="inlineStr">
        <x:is>
          <x:t xml:space="preserve">ChatGPT research</x:t>
        </x:is>
      </x:c>
      <x:c r="AN69" s="81" t="inlineStr">
        <x:is>
          <x:t xml:space="preserve">2026-09-18</x:t>
        </x:is>
      </x:c>
      <x:c r="AO69" s="81" t="inlineStr">
        <x:is>
          <x:t xml:space="preserve">Day 2 full-scope audit, chapters 21–50.</x:t>
        </x:is>
      </x:c>
      <x:c r="AP69" s="81" t="n"/>
      <x:c r="AQ69" s="81" t="n"/>
    </x:row>
    <x:row r="70">
      <x:c r="A70" s="81" t="inlineStr">
        <x:is>
          <x:t xml:space="preserve">research.laozi.day2.ch22.006</x:t>
        </x:is>
      </x:c>
      <x:c r="B70" s="81" t="inlineStr">
        <x:is>
          <x:t xml:space="preserve">Collected</x:t>
        </x:is>
      </x:c>
      <x:c r="C70" s="81" t="inlineStr">
        <x:is>
          <x:t xml:space="preserve">Nội tâm &amp; hiểu mình</x:t>
        </x:is>
      </x:c>
      <x:c r="D70" s="81" t="inlineStr">
        <x:is>
          <x:t xml:space="preserve">Day 2 / Laozi 21–50</x:t>
        </x:is>
      </x:c>
      <x:c r="E70" s="81" t="n"/>
      <x:c r="F70" s="81" t="inlineStr">
        <x:is>
          <x:t xml:space="preserve">Nhìn hai mặt của thiếu–đủ và cũ–mới</x:t>
        </x:is>
      </x:c>
      <x:c r="G70" s="81" t="inlineStr">
        <x:is>
          <x:t xml:space="preserve">Enoughness</x:t>
        </x:is>
      </x:c>
      <x:c r="H70" s="81" t="n"/>
      <x:c r="I70" s="81" t="n"/>
      <x:c r="J70" s="81" t="n"/>
      <x:c r="K70" s="81" t="inlineStr">
        <x:is>
          <x:t xml:space="preserve">Reframe</x:t>
        </x:is>
      </x:c>
      <x:c r="L70" s="81" t="n"/>
      <x:c r="M70" s="81" t="inlineStr">
        <x:is>
          <x:t xml:space="preserve">Trích đoạn triết học</x:t>
        </x:is>
      </x:c>
      <x:c r="N70" s="81" t="inlineStr">
        <x:is>
          <x:t xml:space="preserve">曲則全，枉則直，窪則盈，敝則新，少則得，多則惑。</x:t>
        </x:is>
      </x:c>
      <x:c r="O70" s="81" t="inlineStr">
        <x:is>
          <x:t xml:space="preserve">Classical Chinese (文言文)</x:t>
        </x:is>
      </x:c>
      <x:c r="P70" s="81" t="inlineStr">
        <x:is>
          <x:t xml:space="preserve">Cong có thể giữ được toàn; trũng có thể được đầy; cũ có thể thành mới; ít có thể được, nhiều có thể làm rối.</x:t>
        </x:is>
      </x:c>
      <x:c r="Q70" s="81" t="inlineStr">
        <x:is>
          <x:t xml:space="preserve">Laozi / 老子</x:t>
        </x:is>
      </x:c>
      <x:c r="R70" s="81" t="inlineStr">
        <x:is>
          <x:t xml:space="preserve">Taoism</x:t>
        </x:is>
      </x:c>
      <x:c r="S70" s="81" t="inlineStr">
        <x:is>
          <x:t xml:space="preserve">道德經 / Tao Te Ching</x:t>
        </x:is>
      </x:c>
      <x:c r="T70" s="81" t="inlineStr">
        <x:is>
          <x:t xml:space="preserve">Chapter 22</x:t>
        </x:is>
      </x:c>
      <x:c r="U70" s="81" t="inlineStr">
        <x:is>
          <x:t xml:space="preserve">https://zh.wikisource.org/zh-hant/%E9%81%93%E5%BE%B7%E7%B6%93_%28%E7%8E%8B%E5%BC%BC%E6%9C%AC%29</x:t>
        </x:is>
      </x:c>
      <x:c r="V70" s="81" t="inlineStr">
        <x:is>
          <x:t xml:space="preserve">Primary text</x:t>
        </x:is>
      </x:c>
      <x:c r="W70" s="81" t="inlineStr">
        <x:is>
          <x:t xml:space="preserve">Working translation</x:t>
        </x:is>
      </x:c>
      <x:c r="X70" s="81" t="inlineStr">
        <x:is>
          <x:t xml:space="preserve">A - Primary source</x:t>
        </x:is>
      </x:c>
      <x:c r="Y70" s="81" t="inlineStr">
        <x:is>
          <x:t xml:space="preserve">Original Chinese checked against Wang Bi recension; Vietnamese is Selflo working translation, not a published translation.</x:t>
        </x:is>
      </x:c>
      <x:c r="Z70" s="81" t="inlineStr">
        <x:is>
          <x:t xml:space="preserve">Public domain / likely</x:t>
        </x:is>
      </x:c>
      <x:c r="AA70" s="81" t="inlineStr">
        <x:is>
          <x:t xml:space="preserve">Ancient source text. Verify jurisdiction/edition before commercial publication.</x:t>
        </x:is>
      </x:c>
      <x:c r="AB70" s="81" t="inlineStr">
        <x:is>
          <x:t xml:space="preserve">High</x:t>
        </x:is>
      </x:c>
      <x:c r="AC70" s="81" t="inlineStr">
        <x:is>
          <x:t xml:space="preserve">Nghịch lý mạnh; không literalize.</x:t>
        </x:is>
      </x:c>
      <x:c r="AD70" s="81" t="inlineStr">
        <x:is>
          <x:t xml:space="preserve">Needs editorial review</x:t>
        </x:is>
      </x:c>
      <x:c r="AE70" s="81" t="inlineStr">
        <x:is>
          <x:t xml:space="preserve">Needs semantic dedupe review</x:t>
        </x:is>
      </x:c>
      <x:c r="AF70" s="81" t="n"/>
      <x:c r="AG70" s="81" t="n"/>
      <x:c r="AH70" s="81" t="inlineStr">
        <x:is>
          <x:t xml:space="preserve">No</x:t>
        </x:is>
      </x:c>
      <x:c r="AI70" s="81" t="inlineStr">
        <x:is>
          <x:t xml:space="preserve">Not reviewed</x:t>
        </x:is>
      </x:c>
      <x:c r="AJ70" s="81" t="inlineStr">
        <x:is>
          <x:t xml:space="preserve">Research only</x:t>
        </x:is>
      </x:c>
      <x:c r="AK70" s="81" t="inlineStr">
        <x:is>
          <x:t xml:space="preserve">Research Pool</x:t>
        </x:is>
      </x:c>
      <x:c r="AL70" s="81" t="n">
        <x:v>2</x:v>
      </x:c>
      <x:c r="AM70" s="81" t="inlineStr">
        <x:is>
          <x:t xml:space="preserve">ChatGPT research</x:t>
        </x:is>
      </x:c>
      <x:c r="AN70" s="81" t="inlineStr">
        <x:is>
          <x:t xml:space="preserve">2026-09-18</x:t>
        </x:is>
      </x:c>
      <x:c r="AO70" s="81" t="inlineStr">
        <x:is>
          <x:t xml:space="preserve">Day 2 full-scope audit, chapters 21–50.</x:t>
        </x:is>
      </x:c>
      <x:c r="AP70" s="81" t="n"/>
      <x:c r="AQ70" s="81" t="n"/>
    </x:row>
    <x:row r="71">
      <x:c r="A71" s="81" t="inlineStr">
        <x:is>
          <x:t xml:space="preserve">research.laozi.day2.ch22.007</x:t>
        </x:is>
      </x:c>
      <x:c r="B71" s="81" t="inlineStr">
        <x:is>
          <x:t xml:space="preserve">Collected</x:t>
        </x:is>
      </x:c>
      <x:c r="C71" s="81" t="inlineStr">
        <x:is>
          <x:t xml:space="preserve">Nội tâm &amp; hiểu mình</x:t>
        </x:is>
      </x:c>
      <x:c r="D71" s="81" t="inlineStr">
        <x:is>
          <x:t xml:space="preserve">Day 2 / Laozi 21–50</x:t>
        </x:is>
      </x:c>
      <x:c r="E71" s="81" t="n"/>
      <x:c r="F71" s="81" t="inlineStr">
        <x:is>
          <x:t xml:space="preserve">Không để mọi giá trị thành cuộc cạnh tranh</x:t>
        </x:is>
      </x:c>
      <x:c r="G71" s="81" t="inlineStr">
        <x:is>
          <x:t xml:space="preserve">Comparison</x:t>
        </x:is>
      </x:c>
      <x:c r="H71" s="81" t="n"/>
      <x:c r="I71" s="81" t="n"/>
      <x:c r="J71" s="81" t="n"/>
      <x:c r="K71" s="81" t="inlineStr">
        <x:is>
          <x:t xml:space="preserve">Distinguish</x:t>
        </x:is>
      </x:c>
      <x:c r="L71" s="81" t="n"/>
      <x:c r="M71" s="81" t="inlineStr">
        <x:is>
          <x:t xml:space="preserve">Trích đoạn triết học</x:t>
        </x:is>
      </x:c>
      <x:c r="N71" s="81" t="inlineStr">
        <x:is>
          <x:t xml:space="preserve">夫唯不爭，故天下莫能與之爭。</x:t>
        </x:is>
      </x:c>
      <x:c r="O71" s="81" t="inlineStr">
        <x:is>
          <x:t xml:space="preserve">Classical Chinese (文言文)</x:t>
        </x:is>
      </x:c>
      <x:c r="P71" s="81" t="inlineStr">
        <x:is>
          <x:t xml:space="preserve">Chính vì không tranh nên không ai có thể kéo vào cùng một cuộc tranh.</x:t>
        </x:is>
      </x:c>
      <x:c r="Q71" s="81" t="inlineStr">
        <x:is>
          <x:t xml:space="preserve">Laozi / 老子</x:t>
        </x:is>
      </x:c>
      <x:c r="R71" s="81" t="inlineStr">
        <x:is>
          <x:t xml:space="preserve">Taoism</x:t>
        </x:is>
      </x:c>
      <x:c r="S71" s="81" t="inlineStr">
        <x:is>
          <x:t xml:space="preserve">道德經 / Tao Te Ching</x:t>
        </x:is>
      </x:c>
      <x:c r="T71" s="81" t="inlineStr">
        <x:is>
          <x:t xml:space="preserve">Chapter 22</x:t>
        </x:is>
      </x:c>
      <x:c r="U71" s="81" t="inlineStr">
        <x:is>
          <x:t xml:space="preserve">https://zh.wikisource.org/zh-hant/%E9%81%93%E5%BE%B7%E7%B6%93_%28%E7%8E%8B%E5%BC%BC%E6%9C%AC%29</x:t>
        </x:is>
      </x:c>
      <x:c r="V71" s="81" t="inlineStr">
        <x:is>
          <x:t xml:space="preserve">Primary text</x:t>
        </x:is>
      </x:c>
      <x:c r="W71" s="81" t="inlineStr">
        <x:is>
          <x:t xml:space="preserve">Working translation</x:t>
        </x:is>
      </x:c>
      <x:c r="X71" s="81" t="inlineStr">
        <x:is>
          <x:t xml:space="preserve">A - Primary source</x:t>
        </x:is>
      </x:c>
      <x:c r="Y71" s="81" t="inlineStr">
        <x:is>
          <x:t xml:space="preserve">Original Chinese checked against Wang Bi recension; Vietnamese is Selflo working translation, not a published translation.</x:t>
        </x:is>
      </x:c>
      <x:c r="Z71" s="81" t="inlineStr">
        <x:is>
          <x:t xml:space="preserve">Public domain / likely</x:t>
        </x:is>
      </x:c>
      <x:c r="AA71" s="81" t="inlineStr">
        <x:is>
          <x:t xml:space="preserve">Ancient source text. Verify jurisdiction/edition before commercial publication.</x:t>
        </x:is>
      </x:c>
      <x:c r="AB71" s="81" t="inlineStr">
        <x:is>
          <x:t xml:space="preserve">High</x:t>
        </x:is>
      </x:c>
      <x:c r="AC71" s="81" t="inlineStr">
        <x:is>
          <x:t xml:space="preserve">Hợp comparison.</x:t>
        </x:is>
      </x:c>
      <x:c r="AD71" s="81" t="inlineStr">
        <x:is>
          <x:t xml:space="preserve">Needs editorial review</x:t>
        </x:is>
      </x:c>
      <x:c r="AE71" s="81" t="inlineStr">
        <x:is>
          <x:t xml:space="preserve">Needs semantic dedupe review</x:t>
        </x:is>
      </x:c>
      <x:c r="AF71" s="81" t="n"/>
      <x:c r="AG71" s="81" t="n"/>
      <x:c r="AH71" s="81" t="inlineStr">
        <x:is>
          <x:t xml:space="preserve">No</x:t>
        </x:is>
      </x:c>
      <x:c r="AI71" s="81" t="inlineStr">
        <x:is>
          <x:t xml:space="preserve">Not reviewed</x:t>
        </x:is>
      </x:c>
      <x:c r="AJ71" s="81" t="inlineStr">
        <x:is>
          <x:t xml:space="preserve">Research only</x:t>
        </x:is>
      </x:c>
      <x:c r="AK71" s="81" t="inlineStr">
        <x:is>
          <x:t xml:space="preserve">Research Pool</x:t>
        </x:is>
      </x:c>
      <x:c r="AL71" s="81" t="n">
        <x:v>2</x:v>
      </x:c>
      <x:c r="AM71" s="81" t="inlineStr">
        <x:is>
          <x:t xml:space="preserve">ChatGPT research</x:t>
        </x:is>
      </x:c>
      <x:c r="AN71" s="81" t="inlineStr">
        <x:is>
          <x:t xml:space="preserve">2026-09-18</x:t>
        </x:is>
      </x:c>
      <x:c r="AO71" s="81" t="inlineStr">
        <x:is>
          <x:t xml:space="preserve">Day 2 full-scope audit, chapters 21–50.</x:t>
        </x:is>
      </x:c>
      <x:c r="AP71" s="81" t="n"/>
      <x:c r="AQ71" s="81" t="n"/>
    </x:row>
    <x:row r="72">
      <x:c r="A72" s="81" t="inlineStr">
        <x:is>
          <x:t xml:space="preserve">research.laozi.day2.ch22.008</x:t>
        </x:is>
      </x:c>
      <x:c r="B72" s="81" t="inlineStr">
        <x:is>
          <x:t xml:space="preserve">Collected</x:t>
        </x:is>
      </x:c>
      <x:c r="C72" s="81" t="inlineStr">
        <x:is>
          <x:t xml:space="preserve">Nội tâm &amp; hiểu mình</x:t>
        </x:is>
      </x:c>
      <x:c r="D72" s="81" t="inlineStr">
        <x:is>
          <x:t xml:space="preserve">Day 2 / Laozi 21–50</x:t>
        </x:is>
      </x:c>
      <x:c r="E72" s="81" t="n"/>
      <x:c r="F72" s="81" t="inlineStr">
        <x:is>
          <x:t xml:space="preserve">Trở về phần nguyên vẹn của mình</x:t>
        </x:is>
      </x:c>
      <x:c r="G72" s="81" t="inlineStr">
        <x:is>
          <x:t xml:space="preserve">Identity</x:t>
        </x:is>
      </x:c>
      <x:c r="H72" s="81" t="n"/>
      <x:c r="I72" s="81" t="n"/>
      <x:c r="J72" s="81" t="n"/>
      <x:c r="K72" s="81" t="inlineStr">
        <x:is>
          <x:t xml:space="preserve">Reframe</x:t>
        </x:is>
      </x:c>
      <x:c r="L72" s="81" t="n"/>
      <x:c r="M72" s="81" t="inlineStr">
        <x:is>
          <x:t xml:space="preserve">Trích đoạn triết học</x:t>
        </x:is>
      </x:c>
      <x:c r="N72" s="81" t="inlineStr">
        <x:is>
          <x:t xml:space="preserve">誠全而歸之。</x:t>
        </x:is>
      </x:c>
      <x:c r="O72" s="81" t="inlineStr">
        <x:is>
          <x:t xml:space="preserve">Classical Chinese (文言文)</x:t>
        </x:is>
      </x:c>
      <x:c r="P72" s="81" t="inlineStr">
        <x:is>
          <x:t xml:space="preserve">Giữ được tính toàn vẹn rồi trở về với nó.</x:t>
        </x:is>
      </x:c>
      <x:c r="Q72" s="81" t="inlineStr">
        <x:is>
          <x:t xml:space="preserve">Laozi / 老子</x:t>
        </x:is>
      </x:c>
      <x:c r="R72" s="81" t="inlineStr">
        <x:is>
          <x:t xml:space="preserve">Taoism</x:t>
        </x:is>
      </x:c>
      <x:c r="S72" s="81" t="inlineStr">
        <x:is>
          <x:t xml:space="preserve">道德經 / Tao Te Ching</x:t>
        </x:is>
      </x:c>
      <x:c r="T72" s="81" t="inlineStr">
        <x:is>
          <x:t xml:space="preserve">Chapter 22</x:t>
        </x:is>
      </x:c>
      <x:c r="U72" s="81" t="inlineStr">
        <x:is>
          <x:t xml:space="preserve">https://zh.wikisource.org/zh-hant/%E9%81%93%E5%BE%B7%E7%B6%93_%28%E7%8E%8B%E5%BC%BC%E6%9C%AC%29</x:t>
        </x:is>
      </x:c>
      <x:c r="V72" s="81" t="inlineStr">
        <x:is>
          <x:t xml:space="preserve">Primary text</x:t>
        </x:is>
      </x:c>
      <x:c r="W72" s="81" t="inlineStr">
        <x:is>
          <x:t xml:space="preserve">Working translation</x:t>
        </x:is>
      </x:c>
      <x:c r="X72" s="81" t="inlineStr">
        <x:is>
          <x:t xml:space="preserve">A - Primary source</x:t>
        </x:is>
      </x:c>
      <x:c r="Y72" s="81" t="inlineStr">
        <x:is>
          <x:t xml:space="preserve">Original Chinese checked against Wang Bi recension; Vietnamese is Selflo working translation, not a published translation.</x:t>
        </x:is>
      </x:c>
      <x:c r="Z72" s="81" t="inlineStr">
        <x:is>
          <x:t xml:space="preserve">Public domain / likely</x:t>
        </x:is>
      </x:c>
      <x:c r="AA72" s="81" t="inlineStr">
        <x:is>
          <x:t xml:space="preserve">Ancient source text. Verify jurisdiction/edition before commercial publication.</x:t>
        </x:is>
      </x:c>
      <x:c r="AB72" s="81" t="inlineStr">
        <x:is>
          <x:t xml:space="preserve">Medium</x:t>
        </x:is>
      </x:c>
      <x:c r="AC72" s="81" t="inlineStr">
        <x:is>
          <x:t xml:space="preserve">Cần ngữ cảnh.</x:t>
        </x:is>
      </x:c>
      <x:c r="AD72" s="81" t="inlineStr">
        <x:is>
          <x:t xml:space="preserve">Needs editorial review</x:t>
        </x:is>
      </x:c>
      <x:c r="AE72" s="81" t="inlineStr">
        <x:is>
          <x:t xml:space="preserve">Needs semantic dedupe review</x:t>
        </x:is>
      </x:c>
      <x:c r="AF72" s="81" t="n"/>
      <x:c r="AG72" s="81" t="n"/>
      <x:c r="AH72" s="81" t="inlineStr">
        <x:is>
          <x:t xml:space="preserve">No</x:t>
        </x:is>
      </x:c>
      <x:c r="AI72" s="81" t="inlineStr">
        <x:is>
          <x:t xml:space="preserve">Not reviewed</x:t>
        </x:is>
      </x:c>
      <x:c r="AJ72" s="81" t="inlineStr">
        <x:is>
          <x:t xml:space="preserve">Research only</x:t>
        </x:is>
      </x:c>
      <x:c r="AK72" s="81" t="inlineStr">
        <x:is>
          <x:t xml:space="preserve">Research Pool</x:t>
        </x:is>
      </x:c>
      <x:c r="AL72" s="81" t="n">
        <x:v>2</x:v>
      </x:c>
      <x:c r="AM72" s="81" t="inlineStr">
        <x:is>
          <x:t xml:space="preserve">ChatGPT research</x:t>
        </x:is>
      </x:c>
      <x:c r="AN72" s="81" t="inlineStr">
        <x:is>
          <x:t xml:space="preserve">2026-09-18</x:t>
        </x:is>
      </x:c>
      <x:c r="AO72" s="81" t="inlineStr">
        <x:is>
          <x:t xml:space="preserve">Day 2 full-scope audit, chapters 21–50.</x:t>
        </x:is>
      </x:c>
      <x:c r="AP72" s="81" t="n"/>
      <x:c r="AQ72" s="81" t="n"/>
    </x:row>
    <x:row r="73">
      <x:c r="A73" s="81" t="inlineStr">
        <x:is>
          <x:t xml:space="preserve">research.laozi.day2.ch23.009</x:t>
        </x:is>
      </x:c>
      <x:c r="B73" s="81" t="inlineStr">
        <x:is>
          <x:t xml:space="preserve">Collected</x:t>
        </x:is>
      </x:c>
      <x:c r="C73" s="81" t="inlineStr">
        <x:is>
          <x:t xml:space="preserve">Nội tâm &amp; hiểu mình</x:t>
        </x:is>
      </x:c>
      <x:c r="D73" s="81" t="inlineStr">
        <x:is>
          <x:t xml:space="preserve">Day 2 / Laozi 21–50</x:t>
        </x:is>
      </x:c>
      <x:c r="E73" s="81" t="n"/>
      <x:c r="F73" s="81" t="inlineStr">
        <x:is>
          <x:t xml:space="preserve">Không phải lúc nào thêm lời cũng thêm sáng rõ</x:t>
        </x:is>
      </x:c>
      <x:c r="G73" s="81" t="inlineStr">
        <x:is>
          <x:t xml:space="preserve">Attention</x:t>
        </x:is>
      </x:c>
      <x:c r="H73" s="81" t="n"/>
      <x:c r="I73" s="81" t="n"/>
      <x:c r="J73" s="81" t="n"/>
      <x:c r="K73" s="81" t="inlineStr">
        <x:is>
          <x:t xml:space="preserve">Distinguish</x:t>
        </x:is>
      </x:c>
      <x:c r="L73" s="81" t="n"/>
      <x:c r="M73" s="81" t="inlineStr">
        <x:is>
          <x:t xml:space="preserve">Trích đoạn triết học</x:t>
        </x:is>
      </x:c>
      <x:c r="N73" s="81" t="inlineStr">
        <x:is>
          <x:t xml:space="preserve">希言自然。</x:t>
        </x:is>
      </x:c>
      <x:c r="O73" s="81" t="inlineStr">
        <x:is>
          <x:t xml:space="preserve">Classical Chinese (文言文)</x:t>
        </x:is>
      </x:c>
      <x:c r="P73" s="81" t="inlineStr">
        <x:is>
          <x:t xml:space="preserve">Ít lời gần với tự nhiên.</x:t>
        </x:is>
      </x:c>
      <x:c r="Q73" s="81" t="inlineStr">
        <x:is>
          <x:t xml:space="preserve">Laozi / 老子</x:t>
        </x:is>
      </x:c>
      <x:c r="R73" s="81" t="inlineStr">
        <x:is>
          <x:t xml:space="preserve">Taoism</x:t>
        </x:is>
      </x:c>
      <x:c r="S73" s="81" t="inlineStr">
        <x:is>
          <x:t xml:space="preserve">道德經 / Tao Te Ching</x:t>
        </x:is>
      </x:c>
      <x:c r="T73" s="81" t="inlineStr">
        <x:is>
          <x:t xml:space="preserve">Chapter 23</x:t>
        </x:is>
      </x:c>
      <x:c r="U73" s="81" t="inlineStr">
        <x:is>
          <x:t xml:space="preserve">https://zh.wikisource.org/zh-hant/%E9%81%93%E5%BE%B7%E7%B6%93_%28%E7%8E%8B%E5%BC%BC%E6%9C%AC%29</x:t>
        </x:is>
      </x:c>
      <x:c r="V73" s="81" t="inlineStr">
        <x:is>
          <x:t xml:space="preserve">Primary text</x:t>
        </x:is>
      </x:c>
      <x:c r="W73" s="81" t="inlineStr">
        <x:is>
          <x:t xml:space="preserve">Working translation</x:t>
        </x:is>
      </x:c>
      <x:c r="X73" s="81" t="inlineStr">
        <x:is>
          <x:t xml:space="preserve">A - Primary source</x:t>
        </x:is>
      </x:c>
      <x:c r="Y73" s="81" t="inlineStr">
        <x:is>
          <x:t xml:space="preserve">Original Chinese checked against Wang Bi recension; Vietnamese is Selflo working translation, not a published translation.</x:t>
        </x:is>
      </x:c>
      <x:c r="Z73" s="81" t="inlineStr">
        <x:is>
          <x:t xml:space="preserve">Public domain / likely</x:t>
        </x:is>
      </x:c>
      <x:c r="AA73" s="81" t="inlineStr">
        <x:is>
          <x:t xml:space="preserve">Ancient source text. Verify jurisdiction/edition before commercial publication.</x:t>
        </x:is>
      </x:c>
      <x:c r="AB73" s="81" t="inlineStr">
        <x:is>
          <x:t xml:space="preserve">High</x:t>
        </x:is>
      </x:c>
      <x:c r="AC73" s="81" t="inlineStr">
        <x:is>
          <x:t xml:space="preserve">AI abundance relevance.</x:t>
        </x:is>
      </x:c>
      <x:c r="AD73" s="81" t="inlineStr">
        <x:is>
          <x:t xml:space="preserve">Needs editorial review</x:t>
        </x:is>
      </x:c>
      <x:c r="AE73" s="81" t="inlineStr">
        <x:is>
          <x:t xml:space="preserve">Needs semantic dedupe review</x:t>
        </x:is>
      </x:c>
      <x:c r="AF73" s="81" t="n"/>
      <x:c r="AG73" s="81" t="n"/>
      <x:c r="AH73" s="81" t="inlineStr">
        <x:is>
          <x:t xml:space="preserve">No</x:t>
        </x:is>
      </x:c>
      <x:c r="AI73" s="81" t="inlineStr">
        <x:is>
          <x:t xml:space="preserve">Not reviewed</x:t>
        </x:is>
      </x:c>
      <x:c r="AJ73" s="81" t="inlineStr">
        <x:is>
          <x:t xml:space="preserve">Research only</x:t>
        </x:is>
      </x:c>
      <x:c r="AK73" s="81" t="inlineStr">
        <x:is>
          <x:t xml:space="preserve">Research Pool</x:t>
        </x:is>
      </x:c>
      <x:c r="AL73" s="81" t="n">
        <x:v>2</x:v>
      </x:c>
      <x:c r="AM73" s="81" t="inlineStr">
        <x:is>
          <x:t xml:space="preserve">ChatGPT research</x:t>
        </x:is>
      </x:c>
      <x:c r="AN73" s="81" t="inlineStr">
        <x:is>
          <x:t xml:space="preserve">2026-09-18</x:t>
        </x:is>
      </x:c>
      <x:c r="AO73" s="81" t="inlineStr">
        <x:is>
          <x:t xml:space="preserve">Day 2 full-scope audit, chapters 21–50.</x:t>
        </x:is>
      </x:c>
      <x:c r="AP73" s="81" t="n"/>
      <x:c r="AQ73" s="81" t="n"/>
    </x:row>
    <x:row r="74">
      <x:c r="A74" s="81" t="inlineStr">
        <x:is>
          <x:t xml:space="preserve">research.laozi.day2.ch23.010</x:t>
        </x:is>
      </x:c>
      <x:c r="B74" s="81" t="inlineStr">
        <x:is>
          <x:t xml:space="preserve">Collected</x:t>
        </x:is>
      </x:c>
      <x:c r="C74" s="81" t="inlineStr">
        <x:is>
          <x:t xml:space="preserve">Nội tâm &amp; hiểu mình</x:t>
        </x:is>
      </x:c>
      <x:c r="D74" s="81" t="inlineStr">
        <x:is>
          <x:t xml:space="preserve">Day 2 / Laozi 21–50</x:t>
        </x:is>
      </x:c>
      <x:c r="E74" s="81" t="n"/>
      <x:c r="F74" s="81" t="inlineStr">
        <x:is>
          <x:t xml:space="preserve">Trạng thái mạnh cũng có nhịp và giới hạn</x:t>
        </x:is>
      </x:c>
      <x:c r="G74" s="81" t="inlineStr">
        <x:is>
          <x:t xml:space="preserve">Impermanence</x:t>
        </x:is>
      </x:c>
      <x:c r="H74" s="81" t="n"/>
      <x:c r="I74" s="81" t="n"/>
      <x:c r="J74" s="81" t="n"/>
      <x:c r="K74" s="81" t="inlineStr">
        <x:is>
          <x:t xml:space="preserve">Permit</x:t>
        </x:is>
      </x:c>
      <x:c r="L74" s="81" t="n"/>
      <x:c r="M74" s="81" t="inlineStr">
        <x:is>
          <x:t xml:space="preserve">Trích đoạn triết học</x:t>
        </x:is>
      </x:c>
      <x:c r="N74" s="81" t="inlineStr">
        <x:is>
          <x:t xml:space="preserve">飄風不終朝，驟雨不終日。</x:t>
        </x:is>
      </x:c>
      <x:c r="O74" s="81" t="inlineStr">
        <x:is>
          <x:t xml:space="preserve">Classical Chinese (文言文)</x:t>
        </x:is>
      </x:c>
      <x:c r="P74" s="81" t="inlineStr">
        <x:is>
          <x:t xml:space="preserve">Gió dữ không thổi hết buổi; mưa lớn không kéo suốt ngày.</x:t>
        </x:is>
      </x:c>
      <x:c r="Q74" s="81" t="inlineStr">
        <x:is>
          <x:t xml:space="preserve">Laozi / 老子</x:t>
        </x:is>
      </x:c>
      <x:c r="R74" s="81" t="inlineStr">
        <x:is>
          <x:t xml:space="preserve">Taoism</x:t>
        </x:is>
      </x:c>
      <x:c r="S74" s="81" t="inlineStr">
        <x:is>
          <x:t xml:space="preserve">道德經 / Tao Te Ching</x:t>
        </x:is>
      </x:c>
      <x:c r="T74" s="81" t="inlineStr">
        <x:is>
          <x:t xml:space="preserve">Chapter 23</x:t>
        </x:is>
      </x:c>
      <x:c r="U74" s="81" t="inlineStr">
        <x:is>
          <x:t xml:space="preserve">https://zh.wikisource.org/zh-hant/%E9%81%93%E5%BE%B7%E7%B6%93_%28%E7%8E%8B%E5%BC%BC%E6%9C%AC%29</x:t>
        </x:is>
      </x:c>
      <x:c r="V74" s="81" t="inlineStr">
        <x:is>
          <x:t xml:space="preserve">Primary text</x:t>
        </x:is>
      </x:c>
      <x:c r="W74" s="81" t="inlineStr">
        <x:is>
          <x:t xml:space="preserve">Working translation</x:t>
        </x:is>
      </x:c>
      <x:c r="X74" s="81" t="inlineStr">
        <x:is>
          <x:t xml:space="preserve">A - Primary source</x:t>
        </x:is>
      </x:c>
      <x:c r="Y74" s="81" t="inlineStr">
        <x:is>
          <x:t xml:space="preserve">Original Chinese checked against Wang Bi recension; Vietnamese is Selflo working translation, not a published translation.</x:t>
        </x:is>
      </x:c>
      <x:c r="Z74" s="81" t="inlineStr">
        <x:is>
          <x:t xml:space="preserve">Public domain / likely</x:t>
        </x:is>
      </x:c>
      <x:c r="AA74" s="81" t="inlineStr">
        <x:is>
          <x:t xml:space="preserve">Ancient source text. Verify jurisdiction/edition before commercial publication.</x:t>
        </x:is>
      </x:c>
      <x:c r="AB74" s="81" t="inlineStr">
        <x:is>
          <x:t xml:space="preserve">High</x:t>
        </x:is>
      </x:c>
      <x:c r="AC74" s="81" t="inlineStr">
        <x:is>
          <x:t xml:space="preserve">Không dùng để hứa khó khăn sẽ tự hết.</x:t>
        </x:is>
      </x:c>
      <x:c r="AD74" s="81" t="inlineStr">
        <x:is>
          <x:t xml:space="preserve">Needs editorial review</x:t>
        </x:is>
      </x:c>
      <x:c r="AE74" s="81" t="inlineStr">
        <x:is>
          <x:t xml:space="preserve">Needs semantic dedupe review</x:t>
        </x:is>
      </x:c>
      <x:c r="AF74" s="81" t="n"/>
      <x:c r="AG74" s="81" t="n"/>
      <x:c r="AH74" s="81" t="inlineStr">
        <x:is>
          <x:t xml:space="preserve">No</x:t>
        </x:is>
      </x:c>
      <x:c r="AI74" s="81" t="inlineStr">
        <x:is>
          <x:t xml:space="preserve">Not reviewed</x:t>
        </x:is>
      </x:c>
      <x:c r="AJ74" s="81" t="inlineStr">
        <x:is>
          <x:t xml:space="preserve">Research only</x:t>
        </x:is>
      </x:c>
      <x:c r="AK74" s="81" t="inlineStr">
        <x:is>
          <x:t xml:space="preserve">Research Pool</x:t>
        </x:is>
      </x:c>
      <x:c r="AL74" s="81" t="n">
        <x:v>2</x:v>
      </x:c>
      <x:c r="AM74" s="81" t="inlineStr">
        <x:is>
          <x:t xml:space="preserve">ChatGPT research</x:t>
        </x:is>
      </x:c>
      <x:c r="AN74" s="81" t="inlineStr">
        <x:is>
          <x:t xml:space="preserve">2026-09-18</x:t>
        </x:is>
      </x:c>
      <x:c r="AO74" s="81" t="inlineStr">
        <x:is>
          <x:t xml:space="preserve">Day 2 full-scope audit, chapters 21–50.</x:t>
        </x:is>
      </x:c>
      <x:c r="AP74" s="81" t="n"/>
      <x:c r="AQ74" s="81" t="n"/>
    </x:row>
    <x:row r="75">
      <x:c r="A75" s="81" t="inlineStr">
        <x:is>
          <x:t xml:space="preserve">research.laozi.day2.ch23.011</x:t>
        </x:is>
      </x:c>
      <x:c r="B75" s="81" t="inlineStr">
        <x:is>
          <x:t xml:space="preserve">Collected</x:t>
        </x:is>
      </x:c>
      <x:c r="C75" s="81" t="inlineStr">
        <x:is>
          <x:t xml:space="preserve">Nội tâm &amp; hiểu mình</x:t>
        </x:is>
      </x:c>
      <x:c r="D75" s="81" t="inlineStr">
        <x:is>
          <x:t xml:space="preserve">Day 2 / Laozi 21–50</x:t>
        </x:is>
      </x:c>
      <x:c r="E75" s="81" t="n"/>
      <x:c r="F75" s="81" t="inlineStr">
        <x:is>
          <x:t xml:space="preserve">Không đòi bản thân duy trì cường độ mãi</x:t>
        </x:is>
      </x:c>
      <x:c r="G75" s="81" t="inlineStr">
        <x:is>
          <x:t xml:space="preserve">Limits</x:t>
        </x:is>
      </x:c>
      <x:c r="H75" s="81" t="n"/>
      <x:c r="I75" s="81" t="n"/>
      <x:c r="J75" s="81" t="n"/>
      <x:c r="K75" s="81" t="inlineStr">
        <x:is>
          <x:t xml:space="preserve">Permit</x:t>
        </x:is>
      </x:c>
      <x:c r="L75" s="81" t="n"/>
      <x:c r="M75" s="81" t="inlineStr">
        <x:is>
          <x:t xml:space="preserve">Trích đoạn triết học</x:t>
        </x:is>
      </x:c>
      <x:c r="N75" s="81" t="inlineStr">
        <x:is>
          <x:t xml:space="preserve">天地尚不能久，而況於人乎？</x:t>
        </x:is>
      </x:c>
      <x:c r="O75" s="81" t="inlineStr">
        <x:is>
          <x:t xml:space="preserve">Classical Chinese (文言文)</x:t>
        </x:is>
      </x:c>
      <x:c r="P75" s="81" t="inlineStr">
        <x:is>
          <x:t xml:space="preserve">Ngay trời đất cũng không duy trì mãi một cơn dữ dội; con người lại càng không thể giữ mãi một trạng thái như vậy.</x:t>
        </x:is>
      </x:c>
      <x:c r="Q75" s="81" t="inlineStr">
        <x:is>
          <x:t xml:space="preserve">Laozi / 老子</x:t>
        </x:is>
      </x:c>
      <x:c r="R75" s="81" t="inlineStr">
        <x:is>
          <x:t xml:space="preserve">Taoism</x:t>
        </x:is>
      </x:c>
      <x:c r="S75" s="81" t="inlineStr">
        <x:is>
          <x:t xml:space="preserve">道德經 / Tao Te Ching</x:t>
        </x:is>
      </x:c>
      <x:c r="T75" s="81" t="inlineStr">
        <x:is>
          <x:t xml:space="preserve">Chapter 23</x:t>
        </x:is>
      </x:c>
      <x:c r="U75" s="81" t="inlineStr">
        <x:is>
          <x:t xml:space="preserve">https://zh.wikisource.org/zh-hant/%E9%81%93%E5%BE%B7%E7%B6%93_%28%E7%8E%8B%E5%BC%BC%E6%9C%AC%29</x:t>
        </x:is>
      </x:c>
      <x:c r="V75" s="81" t="inlineStr">
        <x:is>
          <x:t xml:space="preserve">Primary text</x:t>
        </x:is>
      </x:c>
      <x:c r="W75" s="81" t="inlineStr">
        <x:is>
          <x:t xml:space="preserve">Working translation</x:t>
        </x:is>
      </x:c>
      <x:c r="X75" s="81" t="inlineStr">
        <x:is>
          <x:t xml:space="preserve">A - Primary source</x:t>
        </x:is>
      </x:c>
      <x:c r="Y75" s="81" t="inlineStr">
        <x:is>
          <x:t xml:space="preserve">Original Chinese checked against Wang Bi recension; Vietnamese is Selflo working translation, not a published translation.</x:t>
        </x:is>
      </x:c>
      <x:c r="Z75" s="81" t="inlineStr">
        <x:is>
          <x:t xml:space="preserve">Public domain / likely</x:t>
        </x:is>
      </x:c>
      <x:c r="AA75" s="81" t="inlineStr">
        <x:is>
          <x:t xml:space="preserve">Ancient source text. Verify jurisdiction/edition before commercial publication.</x:t>
        </x:is>
      </x:c>
      <x:c r="AB75" s="81" t="inlineStr">
        <x:is>
          <x:t xml:space="preserve">High</x:t>
        </x:is>
      </x:c>
      <x:c r="AC75" s="81" t="inlineStr">
        <x:is>
          <x:t xml:space="preserve">Recovery/limits.</x:t>
        </x:is>
      </x:c>
      <x:c r="AD75" s="81" t="inlineStr">
        <x:is>
          <x:t xml:space="preserve">Needs editorial review</x:t>
        </x:is>
      </x:c>
      <x:c r="AE75" s="81" t="inlineStr">
        <x:is>
          <x:t xml:space="preserve">Needs semantic dedupe review</x:t>
        </x:is>
      </x:c>
      <x:c r="AF75" s="81" t="n"/>
      <x:c r="AG75" s="81" t="n"/>
      <x:c r="AH75" s="81" t="inlineStr">
        <x:is>
          <x:t xml:space="preserve">No</x:t>
        </x:is>
      </x:c>
      <x:c r="AI75" s="81" t="inlineStr">
        <x:is>
          <x:t xml:space="preserve">Not reviewed</x:t>
        </x:is>
      </x:c>
      <x:c r="AJ75" s="81" t="inlineStr">
        <x:is>
          <x:t xml:space="preserve">Research only</x:t>
        </x:is>
      </x:c>
      <x:c r="AK75" s="81" t="inlineStr">
        <x:is>
          <x:t xml:space="preserve">Research Pool</x:t>
        </x:is>
      </x:c>
      <x:c r="AL75" s="81" t="n">
        <x:v>2</x:v>
      </x:c>
      <x:c r="AM75" s="81" t="inlineStr">
        <x:is>
          <x:t xml:space="preserve">ChatGPT research</x:t>
        </x:is>
      </x:c>
      <x:c r="AN75" s="81" t="inlineStr">
        <x:is>
          <x:t xml:space="preserve">2026-09-18</x:t>
        </x:is>
      </x:c>
      <x:c r="AO75" s="81" t="inlineStr">
        <x:is>
          <x:t xml:space="preserve">Day 2 full-scope audit, chapters 21–50.</x:t>
        </x:is>
      </x:c>
      <x:c r="AP75" s="81" t="n"/>
      <x:c r="AQ75" s="81" t="n"/>
    </x:row>
    <x:row r="76">
      <x:c r="A76" s="81" t="inlineStr">
        <x:is>
          <x:t xml:space="preserve">research.laozi.day2.ch23.012</x:t>
        </x:is>
      </x:c>
      <x:c r="B76" s="81" t="inlineStr">
        <x:is>
          <x:t xml:space="preserve">Collected</x:t>
        </x:is>
      </x:c>
      <x:c r="C76" s="81" t="inlineStr">
        <x:is>
          <x:t xml:space="preserve">Nội tâm &amp; hiểu mình</x:t>
        </x:is>
      </x:c>
      <x:c r="D76" s="81" t="inlineStr">
        <x:is>
          <x:t xml:space="preserve">Day 2 / Laozi 21–50</x:t>
        </x:is>
      </x:c>
      <x:c r="E76" s="81" t="n"/>
      <x:c r="F76" s="81" t="inlineStr">
        <x:is>
          <x:t xml:space="preserve">Niềm tin cần điều kiện để hình thành</x:t>
        </x:is>
      </x:c>
      <x:c r="G76" s="81" t="inlineStr">
        <x:is>
          <x:t xml:space="preserve">Trust</x:t>
        </x:is>
      </x:c>
      <x:c r="H76" s="81" t="n"/>
      <x:c r="I76" s="81" t="n"/>
      <x:c r="J76" s="81" t="n"/>
      <x:c r="K76" s="81" t="inlineStr">
        <x:is>
          <x:t xml:space="preserve">Distinguish</x:t>
        </x:is>
      </x:c>
      <x:c r="L76" s="81" t="n"/>
      <x:c r="M76" s="81" t="inlineStr">
        <x:is>
          <x:t xml:space="preserve">Trích đoạn triết học</x:t>
        </x:is>
      </x:c>
      <x:c r="N76" s="81" t="inlineStr">
        <x:is>
          <x:t xml:space="preserve">信不足焉，有不信焉。</x:t>
        </x:is>
      </x:c>
      <x:c r="O76" s="81" t="inlineStr">
        <x:is>
          <x:t xml:space="preserve">Classical Chinese (文言文)</x:t>
        </x:is>
      </x:c>
      <x:c r="P76" s="81" t="inlineStr">
        <x:is>
          <x:t xml:space="preserve">Khi sự đáng tin không đủ, sự không tin cũng xuất hiện.</x:t>
        </x:is>
      </x:c>
      <x:c r="Q76" s="81" t="inlineStr">
        <x:is>
          <x:t xml:space="preserve">Laozi / 老子</x:t>
        </x:is>
      </x:c>
      <x:c r="R76" s="81" t="inlineStr">
        <x:is>
          <x:t xml:space="preserve">Taoism</x:t>
        </x:is>
      </x:c>
      <x:c r="S76" s="81" t="inlineStr">
        <x:is>
          <x:t xml:space="preserve">道德經 / Tao Te Ching</x:t>
        </x:is>
      </x:c>
      <x:c r="T76" s="81" t="inlineStr">
        <x:is>
          <x:t xml:space="preserve">Chapter 23</x:t>
        </x:is>
      </x:c>
      <x:c r="U76" s="81" t="inlineStr">
        <x:is>
          <x:t xml:space="preserve">https://zh.wikisource.org/zh-hant/%E9%81%93%E5%BE%B7%E7%B6%93_%28%E7%8E%8B%E5%BC%BC%E6%9C%AC%29</x:t>
        </x:is>
      </x:c>
      <x:c r="V76" s="81" t="inlineStr">
        <x:is>
          <x:t xml:space="preserve">Primary text</x:t>
        </x:is>
      </x:c>
      <x:c r="W76" s="81" t="inlineStr">
        <x:is>
          <x:t xml:space="preserve">Working translation</x:t>
        </x:is>
      </x:c>
      <x:c r="X76" s="81" t="inlineStr">
        <x:is>
          <x:t xml:space="preserve">A - Primary source</x:t>
        </x:is>
      </x:c>
      <x:c r="Y76" s="81" t="inlineStr">
        <x:is>
          <x:t xml:space="preserve">Original Chinese checked against Wang Bi recension; Vietnamese is Selflo working translation, not a published translation.</x:t>
        </x:is>
      </x:c>
      <x:c r="Z76" s="81" t="inlineStr">
        <x:is>
          <x:t xml:space="preserve">Public domain / likely</x:t>
        </x:is>
      </x:c>
      <x:c r="AA76" s="81" t="inlineStr">
        <x:is>
          <x:t xml:space="preserve">Ancient source text. Verify jurisdiction/edition before commercial publication.</x:t>
        </x:is>
      </x:c>
      <x:c r="AB76" s="81" t="inlineStr">
        <x:is>
          <x:t xml:space="preserve">High</x:t>
        </x:is>
      </x:c>
      <x:c r="AC76" s="81" t="inlineStr">
        <x:is>
          <x:t xml:space="preserve">Lặp motif ch.17; dedupe later.</x:t>
        </x:is>
      </x:c>
      <x:c r="AD76" s="81" t="inlineStr">
        <x:is>
          <x:t xml:space="preserve">Needs editorial review</x:t>
        </x:is>
      </x:c>
      <x:c r="AE76" s="81" t="inlineStr">
        <x:is>
          <x:t xml:space="preserve">Needs semantic dedupe review</x:t>
        </x:is>
      </x:c>
      <x:c r="AF76" s="81" t="n"/>
      <x:c r="AG76" s="81" t="n"/>
      <x:c r="AH76" s="81" t="inlineStr">
        <x:is>
          <x:t xml:space="preserve">No</x:t>
        </x:is>
      </x:c>
      <x:c r="AI76" s="81" t="inlineStr">
        <x:is>
          <x:t xml:space="preserve">Not reviewed</x:t>
        </x:is>
      </x:c>
      <x:c r="AJ76" s="81" t="inlineStr">
        <x:is>
          <x:t xml:space="preserve">Research only</x:t>
        </x:is>
      </x:c>
      <x:c r="AK76" s="81" t="inlineStr">
        <x:is>
          <x:t xml:space="preserve">Research Pool</x:t>
        </x:is>
      </x:c>
      <x:c r="AL76" s="81" t="n">
        <x:v>2</x:v>
      </x:c>
      <x:c r="AM76" s="81" t="inlineStr">
        <x:is>
          <x:t xml:space="preserve">ChatGPT research</x:t>
        </x:is>
      </x:c>
      <x:c r="AN76" s="81" t="inlineStr">
        <x:is>
          <x:t xml:space="preserve">2026-09-18</x:t>
        </x:is>
      </x:c>
      <x:c r="AO76" s="81" t="inlineStr">
        <x:is>
          <x:t xml:space="preserve">Day 2 full-scope audit, chapters 21–50.</x:t>
        </x:is>
      </x:c>
      <x:c r="AP76" s="81" t="n"/>
      <x:c r="AQ76" s="81" t="n"/>
    </x:row>
    <x:row r="77">
      <x:c r="A77" s="81" t="inlineStr">
        <x:is>
          <x:t xml:space="preserve">research.laozi.day2.ch24.013</x:t>
        </x:is>
      </x:c>
      <x:c r="B77" s="81" t="inlineStr">
        <x:is>
          <x:t xml:space="preserve">Collected</x:t>
        </x:is>
      </x:c>
      <x:c r="C77" s="81" t="inlineStr">
        <x:is>
          <x:t xml:space="preserve">Nội tâm &amp; hiểu mình</x:t>
        </x:is>
      </x:c>
      <x:c r="D77" s="81" t="inlineStr">
        <x:is>
          <x:t xml:space="preserve">Day 2 / Laozi 21–50</x:t>
        </x:is>
      </x:c>
      <x:c r="E77" s="81" t="n"/>
      <x:c r="F77" s="81" t="inlineStr">
        <x:is>
          <x:t xml:space="preserve">Cố vượt nhịp có thể làm giảm tính bền vững</x:t>
        </x:is>
      </x:c>
      <x:c r="G77" s="81" t="inlineStr">
        <x:is>
          <x:t xml:space="preserve">Limits</x:t>
        </x:is>
      </x:c>
      <x:c r="H77" s="81" t="n"/>
      <x:c r="I77" s="81" t="n"/>
      <x:c r="J77" s="81" t="n"/>
      <x:c r="K77" s="81" t="inlineStr">
        <x:is>
          <x:t xml:space="preserve">Reframe</x:t>
        </x:is>
      </x:c>
      <x:c r="L77" s="81" t="n"/>
      <x:c r="M77" s="81" t="inlineStr">
        <x:is>
          <x:t xml:space="preserve">Trích đoạn triết học</x:t>
        </x:is>
      </x:c>
      <x:c r="N77" s="81" t="inlineStr">
        <x:is>
          <x:t xml:space="preserve">企者不立，跨者不行。</x:t>
        </x:is>
      </x:c>
      <x:c r="O77" s="81" t="inlineStr">
        <x:is>
          <x:t xml:space="preserve">Classical Chinese (文言文)</x:t>
        </x:is>
      </x:c>
      <x:c r="P77" s="81" t="inlineStr">
        <x:is>
          <x:t xml:space="preserve">Nhón chân thì khó đứng lâu; bước quá dài thì khó đi bền.</x:t>
        </x:is>
      </x:c>
      <x:c r="Q77" s="81" t="inlineStr">
        <x:is>
          <x:t xml:space="preserve">Laozi / 老子</x:t>
        </x:is>
      </x:c>
      <x:c r="R77" s="81" t="inlineStr">
        <x:is>
          <x:t xml:space="preserve">Taoism</x:t>
        </x:is>
      </x:c>
      <x:c r="S77" s="81" t="inlineStr">
        <x:is>
          <x:t xml:space="preserve">道德經 / Tao Te Ching</x:t>
        </x:is>
      </x:c>
      <x:c r="T77" s="81" t="inlineStr">
        <x:is>
          <x:t xml:space="preserve">Chapter 24</x:t>
        </x:is>
      </x:c>
      <x:c r="U77" s="81" t="inlineStr">
        <x:is>
          <x:t xml:space="preserve">https://zh.wikisource.org/zh-hant/%E9%81%93%E5%BE%B7%E7%B6%93_%28%E7%8E%8B%E5%BC%BC%E6%9C%AC%29</x:t>
        </x:is>
      </x:c>
      <x:c r="V77" s="81" t="inlineStr">
        <x:is>
          <x:t xml:space="preserve">Primary text</x:t>
        </x:is>
      </x:c>
      <x:c r="W77" s="81" t="inlineStr">
        <x:is>
          <x:t xml:space="preserve">Working translation</x:t>
        </x:is>
      </x:c>
      <x:c r="X77" s="81" t="inlineStr">
        <x:is>
          <x:t xml:space="preserve">A - Primary source</x:t>
        </x:is>
      </x:c>
      <x:c r="Y77" s="81" t="inlineStr">
        <x:is>
          <x:t xml:space="preserve">Original Chinese checked against Wang Bi recension; Vietnamese is Selflo working translation, not a published translation.</x:t>
        </x:is>
      </x:c>
      <x:c r="Z77" s="81" t="inlineStr">
        <x:is>
          <x:t xml:space="preserve">Public domain / likely</x:t>
        </x:is>
      </x:c>
      <x:c r="AA77" s="81" t="inlineStr">
        <x:is>
          <x:t xml:space="preserve">Ancient source text. Verify jurisdiction/edition before commercial publication.</x:t>
        </x:is>
      </x:c>
      <x:c r="AB77" s="81" t="inlineStr">
        <x:is>
          <x:t xml:space="preserve">High</x:t>
        </x:is>
      </x:c>
      <x:c r="AC77" s="81" t="inlineStr">
        <x:is>
          <x:t xml:space="preserve">Mạnh cho burnout/pace.</x:t>
        </x:is>
      </x:c>
      <x:c r="AD77" s="81" t="inlineStr">
        <x:is>
          <x:t xml:space="preserve">Needs editorial review</x:t>
        </x:is>
      </x:c>
      <x:c r="AE77" s="81" t="inlineStr">
        <x:is>
          <x:t xml:space="preserve">Needs semantic dedupe review</x:t>
        </x:is>
      </x:c>
      <x:c r="AF77" s="81" t="n"/>
      <x:c r="AG77" s="81" t="n"/>
      <x:c r="AH77" s="81" t="inlineStr">
        <x:is>
          <x:t xml:space="preserve">No</x:t>
        </x:is>
      </x:c>
      <x:c r="AI77" s="81" t="inlineStr">
        <x:is>
          <x:t xml:space="preserve">Not reviewed</x:t>
        </x:is>
      </x:c>
      <x:c r="AJ77" s="81" t="inlineStr">
        <x:is>
          <x:t xml:space="preserve">Research only</x:t>
        </x:is>
      </x:c>
      <x:c r="AK77" s="81" t="inlineStr">
        <x:is>
          <x:t xml:space="preserve">Research Pool</x:t>
        </x:is>
      </x:c>
      <x:c r="AL77" s="81" t="n">
        <x:v>2</x:v>
      </x:c>
      <x:c r="AM77" s="81" t="inlineStr">
        <x:is>
          <x:t xml:space="preserve">ChatGPT research</x:t>
        </x:is>
      </x:c>
      <x:c r="AN77" s="81" t="inlineStr">
        <x:is>
          <x:t xml:space="preserve">2026-09-18</x:t>
        </x:is>
      </x:c>
      <x:c r="AO77" s="81" t="inlineStr">
        <x:is>
          <x:t xml:space="preserve">Day 2 full-scope audit, chapters 21–50.</x:t>
        </x:is>
      </x:c>
      <x:c r="AP77" s="81" t="n"/>
      <x:c r="AQ77" s="81" t="n"/>
    </x:row>
    <x:row r="78">
      <x:c r="A78" s="81" t="inlineStr">
        <x:is>
          <x:t xml:space="preserve">research.laozi.day2.ch24.014</x:t>
        </x:is>
      </x:c>
      <x:c r="B78" s="81" t="inlineStr">
        <x:is>
          <x:t xml:space="preserve">Collected</x:t>
        </x:is>
      </x:c>
      <x:c r="C78" s="81" t="inlineStr">
        <x:is>
          <x:t xml:space="preserve">Nội tâm &amp; hiểu mình</x:t>
        </x:is>
      </x:c>
      <x:c r="D78" s="81" t="inlineStr">
        <x:is>
          <x:t xml:space="preserve">Day 2 / Laozi 21–50</x:t>
        </x:is>
      </x:c>
      <x:c r="E78" s="81" t="n"/>
      <x:c r="F78" s="81" t="inlineStr">
        <x:is>
          <x:t xml:space="preserve">Cái tôi có thể che mất khả năng nhìn rõ</x:t>
        </x:is>
      </x:c>
      <x:c r="G78" s="81" t="inlineStr">
        <x:is>
          <x:t xml:space="preserve">Judgment</x:t>
        </x:is>
      </x:c>
      <x:c r="H78" s="81" t="n"/>
      <x:c r="I78" s="81" t="n"/>
      <x:c r="J78" s="81" t="n"/>
      <x:c r="K78" s="81" t="inlineStr">
        <x:is>
          <x:t xml:space="preserve">Distinguish</x:t>
        </x:is>
      </x:c>
      <x:c r="L78" s="81" t="n"/>
      <x:c r="M78" s="81" t="inlineStr">
        <x:is>
          <x:t xml:space="preserve">Trích đoạn triết học</x:t>
        </x:is>
      </x:c>
      <x:c r="N78" s="81" t="inlineStr">
        <x:is>
          <x:t xml:space="preserve">自見者不明，自是者不彰，自伐者無功，自矜者不長。</x:t>
        </x:is>
      </x:c>
      <x:c r="O78" s="81" t="inlineStr">
        <x:is>
          <x:t xml:space="preserve">Classical Chinese (文言文)</x:t>
        </x:is>
      </x:c>
      <x:c r="P78" s="81" t="inlineStr">
        <x:is>
          <x:t xml:space="preserve">Chỉ chăm thấy mình thì khó sáng; tự cho mình đúng thì khó được làm rõ; tự kể công thì công khó đứng; tự tôn mình thì khó bền.</x:t>
        </x:is>
      </x:c>
      <x:c r="Q78" s="81" t="inlineStr">
        <x:is>
          <x:t xml:space="preserve">Laozi / 老子</x:t>
        </x:is>
      </x:c>
      <x:c r="R78" s="81" t="inlineStr">
        <x:is>
          <x:t xml:space="preserve">Taoism</x:t>
        </x:is>
      </x:c>
      <x:c r="S78" s="81" t="inlineStr">
        <x:is>
          <x:t xml:space="preserve">道德經 / Tao Te Ching</x:t>
        </x:is>
      </x:c>
      <x:c r="T78" s="81" t="inlineStr">
        <x:is>
          <x:t xml:space="preserve">Chapter 24</x:t>
        </x:is>
      </x:c>
      <x:c r="U78" s="81" t="inlineStr">
        <x:is>
          <x:t xml:space="preserve">https://zh.wikisource.org/zh-hant/%E9%81%93%E5%BE%B7%E7%B6%93_%28%E7%8E%8B%E5%BC%BC%E6%9C%AC%29</x:t>
        </x:is>
      </x:c>
      <x:c r="V78" s="81" t="inlineStr">
        <x:is>
          <x:t xml:space="preserve">Primary text</x:t>
        </x:is>
      </x:c>
      <x:c r="W78" s="81" t="inlineStr">
        <x:is>
          <x:t xml:space="preserve">Working translation</x:t>
        </x:is>
      </x:c>
      <x:c r="X78" s="81" t="inlineStr">
        <x:is>
          <x:t xml:space="preserve">A - Primary source</x:t>
        </x:is>
      </x:c>
      <x:c r="Y78" s="81" t="inlineStr">
        <x:is>
          <x:t xml:space="preserve">Original Chinese checked against Wang Bi recension; Vietnamese is Selflo working translation, not a published translation.</x:t>
        </x:is>
      </x:c>
      <x:c r="Z78" s="81" t="inlineStr">
        <x:is>
          <x:t xml:space="preserve">Public domain / likely</x:t>
        </x:is>
      </x:c>
      <x:c r="AA78" s="81" t="inlineStr">
        <x:is>
          <x:t xml:space="preserve">Ancient source text. Verify jurisdiction/edition before commercial publication.</x:t>
        </x:is>
      </x:c>
      <x:c r="AB78" s="81" t="inlineStr">
        <x:is>
          <x:t xml:space="preserve">Medium</x:t>
        </x:is>
      </x:c>
      <x:c r="AC78" s="81" t="inlineStr">
        <x:is>
          <x:t xml:space="preserve">Có moralizing risk.</x:t>
        </x:is>
      </x:c>
      <x:c r="AD78" s="81" t="inlineStr">
        <x:is>
          <x:t xml:space="preserve">Needs editorial review</x:t>
        </x:is>
      </x:c>
      <x:c r="AE78" s="81" t="inlineStr">
        <x:is>
          <x:t xml:space="preserve">Needs semantic dedupe review</x:t>
        </x:is>
      </x:c>
      <x:c r="AF78" s="81" t="n"/>
      <x:c r="AG78" s="81" t="n"/>
      <x:c r="AH78" s="81" t="inlineStr">
        <x:is>
          <x:t xml:space="preserve">No</x:t>
        </x:is>
      </x:c>
      <x:c r="AI78" s="81" t="inlineStr">
        <x:is>
          <x:t xml:space="preserve">Not reviewed</x:t>
        </x:is>
      </x:c>
      <x:c r="AJ78" s="81" t="inlineStr">
        <x:is>
          <x:t xml:space="preserve">Research only</x:t>
        </x:is>
      </x:c>
      <x:c r="AK78" s="81" t="inlineStr">
        <x:is>
          <x:t xml:space="preserve">Research Pool</x:t>
        </x:is>
      </x:c>
      <x:c r="AL78" s="81" t="n">
        <x:v>2</x:v>
      </x:c>
      <x:c r="AM78" s="81" t="inlineStr">
        <x:is>
          <x:t xml:space="preserve">ChatGPT research</x:t>
        </x:is>
      </x:c>
      <x:c r="AN78" s="81" t="inlineStr">
        <x:is>
          <x:t xml:space="preserve">2026-09-18</x:t>
        </x:is>
      </x:c>
      <x:c r="AO78" s="81" t="inlineStr">
        <x:is>
          <x:t xml:space="preserve">Day 2 full-scope audit, chapters 21–50.</x:t>
        </x:is>
      </x:c>
      <x:c r="AP78" s="81" t="n"/>
      <x:c r="AQ78" s="81" t="n"/>
    </x:row>
    <x:row r="79">
      <x:c r="A79" s="81" t="inlineStr">
        <x:is>
          <x:t xml:space="preserve">research.laozi.day2.ch24.015</x:t>
        </x:is>
      </x:c>
      <x:c r="B79" s="81" t="inlineStr">
        <x:is>
          <x:t xml:space="preserve">Collected</x:t>
        </x:is>
      </x:c>
      <x:c r="C79" s="81" t="inlineStr">
        <x:is>
          <x:t xml:space="preserve">Nội tâm &amp; hiểu mình</x:t>
        </x:is>
      </x:c>
      <x:c r="D79" s="81" t="inlineStr">
        <x:is>
          <x:t xml:space="preserve">Day 2 / Laozi 21–50</x:t>
        </x:is>
      </x:c>
      <x:c r="E79" s="81" t="n"/>
      <x:c r="F79" s="81" t="inlineStr">
        <x:is>
          <x:t xml:space="preserve">Nhận ra phần thêm vào nhưng không còn tạo giá trị</x:t>
        </x:is>
      </x:c>
      <x:c r="G79" s="81" t="inlineStr">
        <x:is>
          <x:t xml:space="preserve">Enoughness</x:t>
        </x:is>
      </x:c>
      <x:c r="H79" s="81" t="n"/>
      <x:c r="I79" s="81" t="n"/>
      <x:c r="J79" s="81" t="n"/>
      <x:c r="K79" s="81" t="inlineStr">
        <x:is>
          <x:t xml:space="preserve">Distinguish</x:t>
        </x:is>
      </x:c>
      <x:c r="L79" s="81" t="n"/>
      <x:c r="M79" s="81" t="inlineStr">
        <x:is>
          <x:t xml:space="preserve">Trích đoạn triết học</x:t>
        </x:is>
      </x:c>
      <x:c r="N79" s="81" t="inlineStr">
        <x:is>
          <x:t xml:space="preserve">其在道也，曰餘食贅行。</x:t>
        </x:is>
      </x:c>
      <x:c r="O79" s="81" t="inlineStr">
        <x:is>
          <x:t xml:space="preserve">Classical Chinese (文言文)</x:t>
        </x:is>
      </x:c>
      <x:c r="P79" s="81" t="inlineStr">
        <x:is>
          <x:t xml:space="preserve">Xét theo Đạo, những thứ dư thừa ấy giống thức ăn thừa hay phần thừa trên thân.</x:t>
        </x:is>
      </x:c>
      <x:c r="Q79" s="81" t="inlineStr">
        <x:is>
          <x:t xml:space="preserve">Laozi / 老子</x:t>
        </x:is>
      </x:c>
      <x:c r="R79" s="81" t="inlineStr">
        <x:is>
          <x:t xml:space="preserve">Taoism</x:t>
        </x:is>
      </x:c>
      <x:c r="S79" s="81" t="inlineStr">
        <x:is>
          <x:t xml:space="preserve">道德經 / Tao Te Ching</x:t>
        </x:is>
      </x:c>
      <x:c r="T79" s="81" t="inlineStr">
        <x:is>
          <x:t xml:space="preserve">Chapter 24</x:t>
        </x:is>
      </x:c>
      <x:c r="U79" s="81" t="inlineStr">
        <x:is>
          <x:t xml:space="preserve">https://zh.wikisource.org/zh-hant/%E9%81%93%E5%BE%B7%E7%B6%93_%28%E7%8E%8B%E5%BC%BC%E6%9C%AC%29</x:t>
        </x:is>
      </x:c>
      <x:c r="V79" s="81" t="inlineStr">
        <x:is>
          <x:t xml:space="preserve">Primary text</x:t>
        </x:is>
      </x:c>
      <x:c r="W79" s="81" t="inlineStr">
        <x:is>
          <x:t xml:space="preserve">Working translation</x:t>
        </x:is>
      </x:c>
      <x:c r="X79" s="81" t="inlineStr">
        <x:is>
          <x:t xml:space="preserve">A - Primary source</x:t>
        </x:is>
      </x:c>
      <x:c r="Y79" s="81" t="inlineStr">
        <x:is>
          <x:t xml:space="preserve">Original Chinese checked against Wang Bi recension; Vietnamese is Selflo working translation, not a published translation.</x:t>
        </x:is>
      </x:c>
      <x:c r="Z79" s="81" t="inlineStr">
        <x:is>
          <x:t xml:space="preserve">Public domain / likely</x:t>
        </x:is>
      </x:c>
      <x:c r="AA79" s="81" t="inlineStr">
        <x:is>
          <x:t xml:space="preserve">Ancient source text. Verify jurisdiction/edition before commercial publication.</x:t>
        </x:is>
      </x:c>
      <x:c r="AB79" s="81" t="inlineStr">
        <x:is>
          <x:t xml:space="preserve">Medium</x:t>
        </x:is>
      </x:c>
      <x:c r="AC79" s="81" t="inlineStr">
        <x:is>
          <x:t xml:space="preserve">Hình ảnh mạnh nhưng harsh.</x:t>
        </x:is>
      </x:c>
      <x:c r="AD79" s="81" t="inlineStr">
        <x:is>
          <x:t xml:space="preserve">Needs editorial review</x:t>
        </x:is>
      </x:c>
      <x:c r="AE79" s="81" t="inlineStr">
        <x:is>
          <x:t xml:space="preserve">Needs semantic dedupe review</x:t>
        </x:is>
      </x:c>
      <x:c r="AF79" s="81" t="n"/>
      <x:c r="AG79" s="81" t="n"/>
      <x:c r="AH79" s="81" t="inlineStr">
        <x:is>
          <x:t xml:space="preserve">No</x:t>
        </x:is>
      </x:c>
      <x:c r="AI79" s="81" t="inlineStr">
        <x:is>
          <x:t xml:space="preserve">Not reviewed</x:t>
        </x:is>
      </x:c>
      <x:c r="AJ79" s="81" t="inlineStr">
        <x:is>
          <x:t xml:space="preserve">Research only</x:t>
        </x:is>
      </x:c>
      <x:c r="AK79" s="81" t="inlineStr">
        <x:is>
          <x:t xml:space="preserve">Research Pool</x:t>
        </x:is>
      </x:c>
      <x:c r="AL79" s="81" t="n">
        <x:v>2</x:v>
      </x:c>
      <x:c r="AM79" s="81" t="inlineStr">
        <x:is>
          <x:t xml:space="preserve">ChatGPT research</x:t>
        </x:is>
      </x:c>
      <x:c r="AN79" s="81" t="inlineStr">
        <x:is>
          <x:t xml:space="preserve">2026-09-18</x:t>
        </x:is>
      </x:c>
      <x:c r="AO79" s="81" t="inlineStr">
        <x:is>
          <x:t xml:space="preserve">Day 2 full-scope audit, chapters 21–50.</x:t>
        </x:is>
      </x:c>
      <x:c r="AP79" s="81" t="n"/>
      <x:c r="AQ79" s="81" t="n"/>
    </x:row>
    <x:row r="80">
      <x:c r="A80" s="81" t="inlineStr">
        <x:is>
          <x:t xml:space="preserve">research.laozi.day2.ch25.016</x:t>
        </x:is>
      </x:c>
      <x:c r="B80" s="81" t="inlineStr">
        <x:is>
          <x:t xml:space="preserve">Collected</x:t>
        </x:is>
      </x:c>
      <x:c r="C80" s="81" t="inlineStr">
        <x:is>
          <x:t xml:space="preserve">Nội tâm &amp; hiểu mình</x:t>
        </x:is>
      </x:c>
      <x:c r="D80" s="81" t="inlineStr">
        <x:is>
          <x:t xml:space="preserve">Day 2 / Laozi 21–50</x:t>
        </x:is>
      </x:c>
      <x:c r="E80" s="81" t="n"/>
      <x:c r="F80" s="81" t="inlineStr">
        <x:is>
          <x:t xml:space="preserve">Nhìn nền tảng nằm dưới các hình thức thay đổi</x:t>
        </x:is>
      </x:c>
      <x:c r="G80" s="81" t="inlineStr">
        <x:is>
          <x:t xml:space="preserve">Meaning</x:t>
        </x:is>
      </x:c>
      <x:c r="H80" s="81" t="n"/>
      <x:c r="I80" s="81" t="n"/>
      <x:c r="J80" s="81" t="n"/>
      <x:c r="K80" s="81" t="inlineStr">
        <x:is>
          <x:t xml:space="preserve">Recognize</x:t>
        </x:is>
      </x:c>
      <x:c r="L80" s="81" t="n"/>
      <x:c r="M80" s="81" t="inlineStr">
        <x:is>
          <x:t xml:space="preserve">Trích đoạn triết học</x:t>
        </x:is>
      </x:c>
      <x:c r="N80" s="81" t="inlineStr">
        <x:is>
          <x:t xml:space="preserve">有物混成，先天地生。</x:t>
        </x:is>
      </x:c>
      <x:c r="O80" s="81" t="inlineStr">
        <x:is>
          <x:t xml:space="preserve">Classical Chinese (文言文)</x:t>
        </x:is>
      </x:c>
      <x:c r="P80" s="81" t="inlineStr">
        <x:is>
          <x:t xml:space="preserve">Có một điều hỗn thành, được nói là có trước trời đất.</x:t>
        </x:is>
      </x:c>
      <x:c r="Q80" s="81" t="inlineStr">
        <x:is>
          <x:t xml:space="preserve">Laozi / 老子</x:t>
        </x:is>
      </x:c>
      <x:c r="R80" s="81" t="inlineStr">
        <x:is>
          <x:t xml:space="preserve">Taoism</x:t>
        </x:is>
      </x:c>
      <x:c r="S80" s="81" t="inlineStr">
        <x:is>
          <x:t xml:space="preserve">道德經 / Tao Te Ching</x:t>
        </x:is>
      </x:c>
      <x:c r="T80" s="81" t="inlineStr">
        <x:is>
          <x:t xml:space="preserve">Chapter 25</x:t>
        </x:is>
      </x:c>
      <x:c r="U80" s="81" t="inlineStr">
        <x:is>
          <x:t xml:space="preserve">https://zh.wikisource.org/zh-hant/%E9%81%93%E5%BE%B7%E7%B6%93_%28%E7%8E%8B%E5%BC%BC%E6%9C%AC%29</x:t>
        </x:is>
      </x:c>
      <x:c r="V80" s="81" t="inlineStr">
        <x:is>
          <x:t xml:space="preserve">Primary text</x:t>
        </x:is>
      </x:c>
      <x:c r="W80" s="81" t="inlineStr">
        <x:is>
          <x:t xml:space="preserve">Working translation</x:t>
        </x:is>
      </x:c>
      <x:c r="X80" s="81" t="inlineStr">
        <x:is>
          <x:t xml:space="preserve">A - Primary source</x:t>
        </x:is>
      </x:c>
      <x:c r="Y80" s="81" t="inlineStr">
        <x:is>
          <x:t xml:space="preserve">Original Chinese checked against Wang Bi recension; Vietnamese is Selflo working translation, not a published translation.</x:t>
        </x:is>
      </x:c>
      <x:c r="Z80" s="81" t="inlineStr">
        <x:is>
          <x:t xml:space="preserve">Public domain / likely</x:t>
        </x:is>
      </x:c>
      <x:c r="AA80" s="81" t="inlineStr">
        <x:is>
          <x:t xml:space="preserve">Ancient source text. Verify jurisdiction/edition before commercial publication.</x:t>
        </x:is>
      </x:c>
      <x:c r="AB80" s="81" t="inlineStr">
        <x:is>
          <x:t xml:space="preserve">Low</x:t>
        </x:is>
      </x:c>
      <x:c r="AC80" s="81" t="inlineStr">
        <x:is>
          <x:t xml:space="preserve">Metaphysical research.</x:t>
        </x:is>
      </x:c>
      <x:c r="AD80" s="81" t="inlineStr">
        <x:is>
          <x:t xml:space="preserve">Needs editorial review</x:t>
        </x:is>
      </x:c>
      <x:c r="AE80" s="81" t="inlineStr">
        <x:is>
          <x:t xml:space="preserve">Needs semantic dedupe review</x:t>
        </x:is>
      </x:c>
      <x:c r="AF80" s="81" t="n"/>
      <x:c r="AG80" s="81" t="n"/>
      <x:c r="AH80" s="81" t="inlineStr">
        <x:is>
          <x:t xml:space="preserve">No</x:t>
        </x:is>
      </x:c>
      <x:c r="AI80" s="81" t="inlineStr">
        <x:is>
          <x:t xml:space="preserve">Not reviewed</x:t>
        </x:is>
      </x:c>
      <x:c r="AJ80" s="81" t="inlineStr">
        <x:is>
          <x:t xml:space="preserve">Research only</x:t>
        </x:is>
      </x:c>
      <x:c r="AK80" s="81" t="inlineStr">
        <x:is>
          <x:t xml:space="preserve">Research Pool</x:t>
        </x:is>
      </x:c>
      <x:c r="AL80" s="81" t="n">
        <x:v>2</x:v>
      </x:c>
      <x:c r="AM80" s="81" t="inlineStr">
        <x:is>
          <x:t xml:space="preserve">ChatGPT research</x:t>
        </x:is>
      </x:c>
      <x:c r="AN80" s="81" t="inlineStr">
        <x:is>
          <x:t xml:space="preserve">2026-09-18</x:t>
        </x:is>
      </x:c>
      <x:c r="AO80" s="81" t="inlineStr">
        <x:is>
          <x:t xml:space="preserve">Day 2 full-scope audit, chapters 21–50.</x:t>
        </x:is>
      </x:c>
      <x:c r="AP80" s="81" t="n"/>
      <x:c r="AQ80" s="81" t="n"/>
    </x:row>
    <x:row r="81">
      <x:c r="A81" s="81" t="inlineStr">
        <x:is>
          <x:t xml:space="preserve">research.laozi.day2.ch25.017</x:t>
        </x:is>
      </x:c>
      <x:c r="B81" s="81" t="inlineStr">
        <x:is>
          <x:t xml:space="preserve">Collected</x:t>
        </x:is>
      </x:c>
      <x:c r="C81" s="81" t="inlineStr">
        <x:is>
          <x:t xml:space="preserve">Nội tâm &amp; hiểu mình</x:t>
        </x:is>
      </x:c>
      <x:c r="D81" s="81" t="inlineStr">
        <x:is>
          <x:t xml:space="preserve">Day 2 / Laozi 21–50</x:t>
        </x:is>
      </x:c>
      <x:c r="E81" s="81" t="n"/>
      <x:c r="F81" s="81" t="inlineStr">
        <x:is>
          <x:t xml:space="preserve">Tìm điều bền giữa chuyển động</x:t>
        </x:is>
      </x:c>
      <x:c r="G81" s="81" t="inlineStr">
        <x:is>
          <x:t xml:space="preserve">Change</x:t>
        </x:is>
      </x:c>
      <x:c r="H81" s="81" t="n"/>
      <x:c r="I81" s="81" t="n"/>
      <x:c r="J81" s="81" t="n"/>
      <x:c r="K81" s="81" t="inlineStr">
        <x:is>
          <x:t xml:space="preserve">Recognize</x:t>
        </x:is>
      </x:c>
      <x:c r="L81" s="81" t="n"/>
      <x:c r="M81" s="81" t="inlineStr">
        <x:is>
          <x:t xml:space="preserve">Trích đoạn triết học</x:t>
        </x:is>
      </x:c>
      <x:c r="N81" s="81" t="inlineStr">
        <x:is>
          <x:t xml:space="preserve">寂兮寥兮，獨立而不改，周行而不殆。</x:t>
        </x:is>
      </x:c>
      <x:c r="O81" s="81" t="inlineStr">
        <x:is>
          <x:t xml:space="preserve">Classical Chinese (文言文)</x:t>
        </x:is>
      </x:c>
      <x:c r="P81" s="81" t="inlineStr">
        <x:is>
          <x:t xml:space="preserve">Lặng và rộng; đứng riêng mà không đổi, vận hành khắp mà không kiệt.</x:t>
        </x:is>
      </x:c>
      <x:c r="Q81" s="81" t="inlineStr">
        <x:is>
          <x:t xml:space="preserve">Laozi / 老子</x:t>
        </x:is>
      </x:c>
      <x:c r="R81" s="81" t="inlineStr">
        <x:is>
          <x:t xml:space="preserve">Taoism</x:t>
        </x:is>
      </x:c>
      <x:c r="S81" s="81" t="inlineStr">
        <x:is>
          <x:t xml:space="preserve">道德經 / Tao Te Ching</x:t>
        </x:is>
      </x:c>
      <x:c r="T81" s="81" t="inlineStr">
        <x:is>
          <x:t xml:space="preserve">Chapter 25</x:t>
        </x:is>
      </x:c>
      <x:c r="U81" s="81" t="inlineStr">
        <x:is>
          <x:t xml:space="preserve">https://zh.wikisource.org/zh-hant/%E9%81%93%E5%BE%B7%E7%B6%93_%28%E7%8E%8B%E5%BC%BC%E6%9C%AC%29</x:t>
        </x:is>
      </x:c>
      <x:c r="V81" s="81" t="inlineStr">
        <x:is>
          <x:t xml:space="preserve">Primary text</x:t>
        </x:is>
      </x:c>
      <x:c r="W81" s="81" t="inlineStr">
        <x:is>
          <x:t xml:space="preserve">Working translation</x:t>
        </x:is>
      </x:c>
      <x:c r="X81" s="81" t="inlineStr">
        <x:is>
          <x:t xml:space="preserve">A - Primary source</x:t>
        </x:is>
      </x:c>
      <x:c r="Y81" s="81" t="inlineStr">
        <x:is>
          <x:t xml:space="preserve">Original Chinese checked against Wang Bi recension; Vietnamese is Selflo working translation, not a published translation.</x:t>
        </x:is>
      </x:c>
      <x:c r="Z81" s="81" t="inlineStr">
        <x:is>
          <x:t xml:space="preserve">Public domain / likely</x:t>
        </x:is>
      </x:c>
      <x:c r="AA81" s="81" t="inlineStr">
        <x:is>
          <x:t xml:space="preserve">Ancient source text. Verify jurisdiction/edition before commercial publication.</x:t>
        </x:is>
      </x:c>
      <x:c r="AB81" s="81" t="inlineStr">
        <x:is>
          <x:t xml:space="preserve">High</x:t>
        </x:is>
      </x:c>
      <x:c r="AC81" s="81" t="inlineStr">
        <x:is>
          <x:t xml:space="preserve">Enduring principle.</x:t>
        </x:is>
      </x:c>
      <x:c r="AD81" s="81" t="inlineStr">
        <x:is>
          <x:t xml:space="preserve">Needs editorial review</x:t>
        </x:is>
      </x:c>
      <x:c r="AE81" s="81" t="inlineStr">
        <x:is>
          <x:t xml:space="preserve">Needs semantic dedupe review</x:t>
        </x:is>
      </x:c>
      <x:c r="AF81" s="81" t="n"/>
      <x:c r="AG81" s="81" t="n"/>
      <x:c r="AH81" s="81" t="inlineStr">
        <x:is>
          <x:t xml:space="preserve">No</x:t>
        </x:is>
      </x:c>
      <x:c r="AI81" s="81" t="inlineStr">
        <x:is>
          <x:t xml:space="preserve">Not reviewed</x:t>
        </x:is>
      </x:c>
      <x:c r="AJ81" s="81" t="inlineStr">
        <x:is>
          <x:t xml:space="preserve">Research only</x:t>
        </x:is>
      </x:c>
      <x:c r="AK81" s="81" t="inlineStr">
        <x:is>
          <x:t xml:space="preserve">Research Pool</x:t>
        </x:is>
      </x:c>
      <x:c r="AL81" s="81" t="n">
        <x:v>2</x:v>
      </x:c>
      <x:c r="AM81" s="81" t="inlineStr">
        <x:is>
          <x:t xml:space="preserve">ChatGPT research</x:t>
        </x:is>
      </x:c>
      <x:c r="AN81" s="81" t="inlineStr">
        <x:is>
          <x:t xml:space="preserve">2026-09-18</x:t>
        </x:is>
      </x:c>
      <x:c r="AO81" s="81" t="inlineStr">
        <x:is>
          <x:t xml:space="preserve">Day 2 full-scope audit, chapters 21–50.</x:t>
        </x:is>
      </x:c>
      <x:c r="AP81" s="81" t="n"/>
      <x:c r="AQ81" s="81" t="n"/>
    </x:row>
    <x:row r="82">
      <x:c r="A82" s="81" t="inlineStr">
        <x:is>
          <x:t xml:space="preserve">research.laozi.day2.ch25.018</x:t>
        </x:is>
      </x:c>
      <x:c r="B82" s="81" t="inlineStr">
        <x:is>
          <x:t xml:space="preserve">Collected</x:t>
        </x:is>
      </x:c>
      <x:c r="C82" s="81" t="inlineStr">
        <x:is>
          <x:t xml:space="preserve">Nội tâm &amp; hiểu mình</x:t>
        </x:is>
      </x:c>
      <x:c r="D82" s="81" t="inlineStr">
        <x:is>
          <x:t xml:space="preserve">Day 2 / Laozi 21–50</x:t>
        </x:is>
      </x:c>
      <x:c r="E82" s="81" t="n"/>
      <x:c r="F82" s="81" t="inlineStr">
        <x:is>
          <x:t xml:space="preserve">Nhìn mình trong hệ thống lớn hơn</x:t>
        </x:is>
      </x:c>
      <x:c r="G82" s="81" t="inlineStr">
        <x:is>
          <x:t xml:space="preserve">Context</x:t>
        </x:is>
      </x:c>
      <x:c r="H82" s="81" t="n"/>
      <x:c r="I82" s="81" t="n"/>
      <x:c r="J82" s="81" t="n"/>
      <x:c r="K82" s="81" t="inlineStr">
        <x:is>
          <x:t xml:space="preserve">Reframe</x:t>
        </x:is>
      </x:c>
      <x:c r="L82" s="81" t="n"/>
      <x:c r="M82" s="81" t="inlineStr">
        <x:is>
          <x:t xml:space="preserve">Trích đoạn triết học</x:t>
        </x:is>
      </x:c>
      <x:c r="N82" s="81" t="inlineStr">
        <x:is>
          <x:t xml:space="preserve">人法地，地法天，天法道，道法自然。</x:t>
        </x:is>
      </x:c>
      <x:c r="O82" s="81" t="inlineStr">
        <x:is>
          <x:t xml:space="preserve">Classical Chinese (文言文)</x:t>
        </x:is>
      </x:c>
      <x:c r="P82" s="81" t="inlineStr">
        <x:is>
          <x:t xml:space="preserve">Người theo đất, đất theo trời, trời theo Đạo; Đạo theo cái tự nhiên như chính nó.</x:t>
        </x:is>
      </x:c>
      <x:c r="Q82" s="81" t="inlineStr">
        <x:is>
          <x:t xml:space="preserve">Laozi / 老子</x:t>
        </x:is>
      </x:c>
      <x:c r="R82" s="81" t="inlineStr">
        <x:is>
          <x:t xml:space="preserve">Taoism</x:t>
        </x:is>
      </x:c>
      <x:c r="S82" s="81" t="inlineStr">
        <x:is>
          <x:t xml:space="preserve">道德經 / Tao Te Ching</x:t>
        </x:is>
      </x:c>
      <x:c r="T82" s="81" t="inlineStr">
        <x:is>
          <x:t xml:space="preserve">Chapter 25</x:t>
        </x:is>
      </x:c>
      <x:c r="U82" s="81" t="inlineStr">
        <x:is>
          <x:t xml:space="preserve">https://zh.wikisource.org/zh-hant/%E9%81%93%E5%BE%B7%E7%B6%93_%28%E7%8E%8B%E5%BC%BC%E6%9C%AC%29</x:t>
        </x:is>
      </x:c>
      <x:c r="V82" s="81" t="inlineStr">
        <x:is>
          <x:t xml:space="preserve">Primary text</x:t>
        </x:is>
      </x:c>
      <x:c r="W82" s="81" t="inlineStr">
        <x:is>
          <x:t xml:space="preserve">Working translation</x:t>
        </x:is>
      </x:c>
      <x:c r="X82" s="81" t="inlineStr">
        <x:is>
          <x:t xml:space="preserve">A - Primary source</x:t>
        </x:is>
      </x:c>
      <x:c r="Y82" s="81" t="inlineStr">
        <x:is>
          <x:t xml:space="preserve">Original Chinese checked against Wang Bi recension; Vietnamese is Selflo working translation, not a published translation.</x:t>
        </x:is>
      </x:c>
      <x:c r="Z82" s="81" t="inlineStr">
        <x:is>
          <x:t xml:space="preserve">Public domain / likely</x:t>
        </x:is>
      </x:c>
      <x:c r="AA82" s="81" t="inlineStr">
        <x:is>
          <x:t xml:space="preserve">Ancient source text. Verify jurisdiction/edition before commercial publication.</x:t>
        </x:is>
      </x:c>
      <x:c r="AB82" s="81" t="inlineStr">
        <x:is>
          <x:t xml:space="preserve">High</x:t>
        </x:is>
      </x:c>
      <x:c r="AC82" s="81" t="inlineStr">
        <x:is>
          <x:t xml:space="preserve">Mạnh cho context/system; 自然 nghĩa cổ.</x:t>
        </x:is>
      </x:c>
      <x:c r="AD82" s="81" t="inlineStr">
        <x:is>
          <x:t xml:space="preserve">Needs editorial review</x:t>
        </x:is>
      </x:c>
      <x:c r="AE82" s="81" t="inlineStr">
        <x:is>
          <x:t xml:space="preserve">Needs semantic dedupe review</x:t>
        </x:is>
      </x:c>
      <x:c r="AF82" s="81" t="n"/>
      <x:c r="AG82" s="81" t="n"/>
      <x:c r="AH82" s="81" t="inlineStr">
        <x:is>
          <x:t xml:space="preserve">No</x:t>
        </x:is>
      </x:c>
      <x:c r="AI82" s="81" t="inlineStr">
        <x:is>
          <x:t xml:space="preserve">Not reviewed</x:t>
        </x:is>
      </x:c>
      <x:c r="AJ82" s="81" t="inlineStr">
        <x:is>
          <x:t xml:space="preserve">Research only</x:t>
        </x:is>
      </x:c>
      <x:c r="AK82" s="81" t="inlineStr">
        <x:is>
          <x:t xml:space="preserve">Research Pool</x:t>
        </x:is>
      </x:c>
      <x:c r="AL82" s="81" t="n">
        <x:v>2</x:v>
      </x:c>
      <x:c r="AM82" s="81" t="inlineStr">
        <x:is>
          <x:t xml:space="preserve">ChatGPT research</x:t>
        </x:is>
      </x:c>
      <x:c r="AN82" s="81" t="inlineStr">
        <x:is>
          <x:t xml:space="preserve">2026-09-18</x:t>
        </x:is>
      </x:c>
      <x:c r="AO82" s="81" t="inlineStr">
        <x:is>
          <x:t xml:space="preserve">Day 2 full-scope audit, chapters 21–50.</x:t>
        </x:is>
      </x:c>
      <x:c r="AP82" s="81" t="n"/>
      <x:c r="AQ82" s="81" t="n"/>
    </x:row>
    <x:row r="83">
      <x:c r="A83" s="81" t="inlineStr">
        <x:is>
          <x:t xml:space="preserve">research.laozi.day2.ch26.019</x:t>
        </x:is>
      </x:c>
      <x:c r="B83" s="81" t="inlineStr">
        <x:is>
          <x:t xml:space="preserve">Collected</x:t>
        </x:is>
      </x:c>
      <x:c r="C83" s="81" t="inlineStr">
        <x:is>
          <x:t xml:space="preserve">Nội tâm &amp; hiểu mình</x:t>
        </x:is>
      </x:c>
      <x:c r="D83" s="81" t="inlineStr">
        <x:is>
          <x:t xml:space="preserve">Day 2 / Laozi 21–50</x:t>
        </x:is>
      </x:c>
      <x:c r="E83" s="81" t="n"/>
      <x:c r="F83" s="81" t="inlineStr">
        <x:is>
          <x:t xml:space="preserve">Tĩnh và nền tảng có thể nâng đỡ chuyển động</x:t>
        </x:is>
      </x:c>
      <x:c r="G83" s="81" t="inlineStr">
        <x:is>
          <x:t xml:space="preserve">Rest</x:t>
        </x:is>
      </x:c>
      <x:c r="H83" s="81" t="n"/>
      <x:c r="I83" s="81" t="n"/>
      <x:c r="J83" s="81" t="n"/>
      <x:c r="K83" s="81" t="inlineStr">
        <x:is>
          <x:t xml:space="preserve">Reframe</x:t>
        </x:is>
      </x:c>
      <x:c r="L83" s="81" t="n"/>
      <x:c r="M83" s="81" t="inlineStr">
        <x:is>
          <x:t xml:space="preserve">Trích đoạn triết học</x:t>
        </x:is>
      </x:c>
      <x:c r="N83" s="81" t="inlineStr">
        <x:is>
          <x:t xml:space="preserve">重為輕根，靜為躁君。</x:t>
        </x:is>
      </x:c>
      <x:c r="O83" s="81" t="inlineStr">
        <x:is>
          <x:t xml:space="preserve">Classical Chinese (文言文)</x:t>
        </x:is>
      </x:c>
      <x:c r="P83" s="81" t="inlineStr">
        <x:is>
          <x:t xml:space="preserve">Nặng là gốc của nhẹ; tĩnh là chủ của động.</x:t>
        </x:is>
      </x:c>
      <x:c r="Q83" s="81" t="inlineStr">
        <x:is>
          <x:t xml:space="preserve">Laozi / 老子</x:t>
        </x:is>
      </x:c>
      <x:c r="R83" s="81" t="inlineStr">
        <x:is>
          <x:t xml:space="preserve">Taoism</x:t>
        </x:is>
      </x:c>
      <x:c r="S83" s="81" t="inlineStr">
        <x:is>
          <x:t xml:space="preserve">道德經 / Tao Te Ching</x:t>
        </x:is>
      </x:c>
      <x:c r="T83" s="81" t="inlineStr">
        <x:is>
          <x:t xml:space="preserve">Chapter 26</x:t>
        </x:is>
      </x:c>
      <x:c r="U83" s="81" t="inlineStr">
        <x:is>
          <x:t xml:space="preserve">https://zh.wikisource.org/zh-hant/%E9%81%93%E5%BE%B7%E7%B6%93_%28%E7%8E%8B%E5%BC%BC%E6%9C%AC%29</x:t>
        </x:is>
      </x:c>
      <x:c r="V83" s="81" t="inlineStr">
        <x:is>
          <x:t xml:space="preserve">Primary text</x:t>
        </x:is>
      </x:c>
      <x:c r="W83" s="81" t="inlineStr">
        <x:is>
          <x:t xml:space="preserve">Working translation</x:t>
        </x:is>
      </x:c>
      <x:c r="X83" s="81" t="inlineStr">
        <x:is>
          <x:t xml:space="preserve">A - Primary source</x:t>
        </x:is>
      </x:c>
      <x:c r="Y83" s="81" t="inlineStr">
        <x:is>
          <x:t xml:space="preserve">Original Chinese checked against Wang Bi recension; Vietnamese is Selflo working translation, not a published translation.</x:t>
        </x:is>
      </x:c>
      <x:c r="Z83" s="81" t="inlineStr">
        <x:is>
          <x:t xml:space="preserve">Public domain / likely</x:t>
        </x:is>
      </x:c>
      <x:c r="AA83" s="81" t="inlineStr">
        <x:is>
          <x:t xml:space="preserve">Ancient source text. Verify jurisdiction/edition before commercial publication.</x:t>
        </x:is>
      </x:c>
      <x:c r="AB83" s="81" t="inlineStr">
        <x:is>
          <x:t xml:space="preserve">High</x:t>
        </x:is>
      </x:c>
      <x:c r="AC83" s="81" t="inlineStr">
        <x:is>
          <x:t xml:space="preserve">Rất Selflo.</x:t>
        </x:is>
      </x:c>
      <x:c r="AD83" s="81" t="inlineStr">
        <x:is>
          <x:t xml:space="preserve">Needs editorial review</x:t>
        </x:is>
      </x:c>
      <x:c r="AE83" s="81" t="inlineStr">
        <x:is>
          <x:t xml:space="preserve">Needs semantic dedupe review</x:t>
        </x:is>
      </x:c>
      <x:c r="AF83" s="81" t="n"/>
      <x:c r="AG83" s="81" t="n"/>
      <x:c r="AH83" s="81" t="inlineStr">
        <x:is>
          <x:t xml:space="preserve">No</x:t>
        </x:is>
      </x:c>
      <x:c r="AI83" s="81" t="inlineStr">
        <x:is>
          <x:t xml:space="preserve">Not reviewed</x:t>
        </x:is>
      </x:c>
      <x:c r="AJ83" s="81" t="inlineStr">
        <x:is>
          <x:t xml:space="preserve">Research only</x:t>
        </x:is>
      </x:c>
      <x:c r="AK83" s="81" t="inlineStr">
        <x:is>
          <x:t xml:space="preserve">Research Pool</x:t>
        </x:is>
      </x:c>
      <x:c r="AL83" s="81" t="n">
        <x:v>2</x:v>
      </x:c>
      <x:c r="AM83" s="81" t="inlineStr">
        <x:is>
          <x:t xml:space="preserve">ChatGPT research</x:t>
        </x:is>
      </x:c>
      <x:c r="AN83" s="81" t="inlineStr">
        <x:is>
          <x:t xml:space="preserve">2026-09-18</x:t>
        </x:is>
      </x:c>
      <x:c r="AO83" s="81" t="inlineStr">
        <x:is>
          <x:t xml:space="preserve">Day 2 full-scope audit, chapters 21–50.</x:t>
        </x:is>
      </x:c>
      <x:c r="AP83" s="81" t="n"/>
      <x:c r="AQ83" s="81" t="n"/>
    </x:row>
    <x:row r="84">
      <x:c r="A84" s="81" t="inlineStr">
        <x:is>
          <x:t xml:space="preserve">research.laozi.day2.ch26.020</x:t>
        </x:is>
      </x:c>
      <x:c r="B84" s="81" t="inlineStr">
        <x:is>
          <x:t xml:space="preserve">Collected</x:t>
        </x:is>
      </x:c>
      <x:c r="C84" s="81" t="inlineStr">
        <x:is>
          <x:t xml:space="preserve">Nội tâm &amp; hiểu mình</x:t>
        </x:is>
      </x:c>
      <x:c r="D84" s="81" t="inlineStr">
        <x:is>
          <x:t xml:space="preserve">Day 2 / Laozi 21–50</x:t>
        </x:is>
      </x:c>
      <x:c r="E84" s="81" t="n"/>
      <x:c r="F84" s="81" t="inlineStr">
        <x:is>
          <x:t xml:space="preserve">Không để kích thích bên ngoài chiếm hết chú ý</x:t>
        </x:is>
      </x:c>
      <x:c r="G84" s="81" t="inlineStr">
        <x:is>
          <x:t xml:space="preserve">Attention</x:t>
        </x:is>
      </x:c>
      <x:c r="H84" s="81" t="n"/>
      <x:c r="I84" s="81" t="n"/>
      <x:c r="J84" s="81" t="n"/>
      <x:c r="K84" s="81" t="inlineStr">
        <x:is>
          <x:t xml:space="preserve">Permit</x:t>
        </x:is>
      </x:c>
      <x:c r="L84" s="81" t="n"/>
      <x:c r="M84" s="81" t="inlineStr">
        <x:is>
          <x:t xml:space="preserve">Trích đoạn triết học</x:t>
        </x:is>
      </x:c>
      <x:c r="N84" s="81" t="inlineStr">
        <x:is>
          <x:t xml:space="preserve">雖有榮觀，燕處超然。</x:t>
        </x:is>
      </x:c>
      <x:c r="O84" s="81" t="inlineStr">
        <x:is>
          <x:t xml:space="preserve">Classical Chinese (文言文)</x:t>
        </x:is>
      </x:c>
      <x:c r="P84" s="81" t="inlineStr">
        <x:is>
          <x:t xml:space="preserve">Dù có cảnh huy hoàng, vẫn có thể ở yên mà không bị nó cuốn đi.</x:t>
        </x:is>
      </x:c>
      <x:c r="Q84" s="81" t="inlineStr">
        <x:is>
          <x:t xml:space="preserve">Laozi / 老子</x:t>
        </x:is>
      </x:c>
      <x:c r="R84" s="81" t="inlineStr">
        <x:is>
          <x:t xml:space="preserve">Taoism</x:t>
        </x:is>
      </x:c>
      <x:c r="S84" s="81" t="inlineStr">
        <x:is>
          <x:t xml:space="preserve">道德經 / Tao Te Ching</x:t>
        </x:is>
      </x:c>
      <x:c r="T84" s="81" t="inlineStr">
        <x:is>
          <x:t xml:space="preserve">Chapter 26</x:t>
        </x:is>
      </x:c>
      <x:c r="U84" s="81" t="inlineStr">
        <x:is>
          <x:t xml:space="preserve">https://zh.wikisource.org/zh-hant/%E9%81%93%E5%BE%B7%E7%B6%93_%28%E7%8E%8B%E5%BC%BC%E6%9C%AC%29</x:t>
        </x:is>
      </x:c>
      <x:c r="V84" s="81" t="inlineStr">
        <x:is>
          <x:t xml:space="preserve">Primary text</x:t>
        </x:is>
      </x:c>
      <x:c r="W84" s="81" t="inlineStr">
        <x:is>
          <x:t xml:space="preserve">Working translation</x:t>
        </x:is>
      </x:c>
      <x:c r="X84" s="81" t="inlineStr">
        <x:is>
          <x:t xml:space="preserve">A - Primary source</x:t>
        </x:is>
      </x:c>
      <x:c r="Y84" s="81" t="inlineStr">
        <x:is>
          <x:t xml:space="preserve">Original Chinese checked against Wang Bi recension; Vietnamese is Selflo working translation, not a published translation.</x:t>
        </x:is>
      </x:c>
      <x:c r="Z84" s="81" t="inlineStr">
        <x:is>
          <x:t xml:space="preserve">Public domain / likely</x:t>
        </x:is>
      </x:c>
      <x:c r="AA84" s="81" t="inlineStr">
        <x:is>
          <x:t xml:space="preserve">Ancient source text. Verify jurisdiction/edition before commercial publication.</x:t>
        </x:is>
      </x:c>
      <x:c r="AB84" s="81" t="inlineStr">
        <x:is>
          <x:t xml:space="preserve">High</x:t>
        </x:is>
      </x:c>
      <x:c r="AC84" s="81" t="inlineStr">
        <x:is>
          <x:t xml:space="preserve">Attention/values.</x:t>
        </x:is>
      </x:c>
      <x:c r="AD84" s="81" t="inlineStr">
        <x:is>
          <x:t xml:space="preserve">Needs editorial review</x:t>
        </x:is>
      </x:c>
      <x:c r="AE84" s="81" t="inlineStr">
        <x:is>
          <x:t xml:space="preserve">Needs semantic dedupe review</x:t>
        </x:is>
      </x:c>
      <x:c r="AF84" s="81" t="n"/>
      <x:c r="AG84" s="81" t="n"/>
      <x:c r="AH84" s="81" t="inlineStr">
        <x:is>
          <x:t xml:space="preserve">No</x:t>
        </x:is>
      </x:c>
      <x:c r="AI84" s="81" t="inlineStr">
        <x:is>
          <x:t xml:space="preserve">Not reviewed</x:t>
        </x:is>
      </x:c>
      <x:c r="AJ84" s="81" t="inlineStr">
        <x:is>
          <x:t xml:space="preserve">Research only</x:t>
        </x:is>
      </x:c>
      <x:c r="AK84" s="81" t="inlineStr">
        <x:is>
          <x:t xml:space="preserve">Research Pool</x:t>
        </x:is>
      </x:c>
      <x:c r="AL84" s="81" t="n">
        <x:v>2</x:v>
      </x:c>
      <x:c r="AM84" s="81" t="inlineStr">
        <x:is>
          <x:t xml:space="preserve">ChatGPT research</x:t>
        </x:is>
      </x:c>
      <x:c r="AN84" s="81" t="inlineStr">
        <x:is>
          <x:t xml:space="preserve">2026-09-18</x:t>
        </x:is>
      </x:c>
      <x:c r="AO84" s="81" t="inlineStr">
        <x:is>
          <x:t xml:space="preserve">Day 2 full-scope audit, chapters 21–50.</x:t>
        </x:is>
      </x:c>
      <x:c r="AP84" s="81" t="n"/>
      <x:c r="AQ84" s="81" t="n"/>
    </x:row>
    <x:row r="85">
      <x:c r="A85" s="81" t="inlineStr">
        <x:is>
          <x:t xml:space="preserve">research.laozi.day2.ch26.021</x:t>
        </x:is>
      </x:c>
      <x:c r="B85" s="81" t="inlineStr">
        <x:is>
          <x:t xml:space="preserve">Collected</x:t>
        </x:is>
      </x:c>
      <x:c r="C85" s="81" t="inlineStr">
        <x:is>
          <x:t xml:space="preserve">Nội tâm &amp; hiểu mình</x:t>
        </x:is>
      </x:c>
      <x:c r="D85" s="81" t="inlineStr">
        <x:is>
          <x:t xml:space="preserve">Day 2 / Laozi 21–50</x:t>
        </x:is>
      </x:c>
      <x:c r="E85" s="81" t="n"/>
      <x:c r="F85" s="81" t="inlineStr">
        <x:is>
          <x:t xml:space="preserve">Xao động có thể làm mình rời nền tảng</x:t>
        </x:is>
      </x:c>
      <x:c r="G85" s="81" t="inlineStr">
        <x:is>
          <x:t xml:space="preserve">Attention</x:t>
        </x:is>
      </x:c>
      <x:c r="H85" s="81" t="n"/>
      <x:c r="I85" s="81" t="n"/>
      <x:c r="J85" s="81" t="n"/>
      <x:c r="K85" s="81" t="inlineStr">
        <x:is>
          <x:t xml:space="preserve">Recognize</x:t>
        </x:is>
      </x:c>
      <x:c r="L85" s="81" t="n"/>
      <x:c r="M85" s="81" t="inlineStr">
        <x:is>
          <x:t xml:space="preserve">Trích đoạn triết học</x:t>
        </x:is>
      </x:c>
      <x:c r="N85" s="81" t="inlineStr">
        <x:is>
          <x:t xml:space="preserve">輕則失本，躁則失君。</x:t>
        </x:is>
      </x:c>
      <x:c r="O85" s="81" t="inlineStr">
        <x:is>
          <x:t xml:space="preserve">Classical Chinese (文言文)</x:t>
        </x:is>
      </x:c>
      <x:c r="P85" s="81" t="inlineStr">
        <x:is>
          <x:t xml:space="preserve">Quá nhẹ dễ mất gốc; quá xao động dễ mất khả năng làm chủ.</x:t>
        </x:is>
      </x:c>
      <x:c r="Q85" s="81" t="inlineStr">
        <x:is>
          <x:t xml:space="preserve">Laozi / 老子</x:t>
        </x:is>
      </x:c>
      <x:c r="R85" s="81" t="inlineStr">
        <x:is>
          <x:t xml:space="preserve">Taoism</x:t>
        </x:is>
      </x:c>
      <x:c r="S85" s="81" t="inlineStr">
        <x:is>
          <x:t xml:space="preserve">道德經 / Tao Te Ching</x:t>
        </x:is>
      </x:c>
      <x:c r="T85" s="81" t="inlineStr">
        <x:is>
          <x:t xml:space="preserve">Chapter 26</x:t>
        </x:is>
      </x:c>
      <x:c r="U85" s="81" t="inlineStr">
        <x:is>
          <x:t xml:space="preserve">https://zh.wikisource.org/zh-hant/%E9%81%93%E5%BE%B7%E7%B6%93_%28%E7%8E%8B%E5%BC%BC%E6%9C%AC%29</x:t>
        </x:is>
      </x:c>
      <x:c r="V85" s="81" t="inlineStr">
        <x:is>
          <x:t xml:space="preserve">Primary text</x:t>
        </x:is>
      </x:c>
      <x:c r="W85" s="81" t="inlineStr">
        <x:is>
          <x:t xml:space="preserve">Working translation</x:t>
        </x:is>
      </x:c>
      <x:c r="X85" s="81" t="inlineStr">
        <x:is>
          <x:t xml:space="preserve">A - Primary source</x:t>
        </x:is>
      </x:c>
      <x:c r="Y85" s="81" t="inlineStr">
        <x:is>
          <x:t xml:space="preserve">Original Chinese checked against Wang Bi recension; Vietnamese is Selflo working translation, not a published translation.</x:t>
        </x:is>
      </x:c>
      <x:c r="Z85" s="81" t="inlineStr">
        <x:is>
          <x:t xml:space="preserve">Public domain / likely</x:t>
        </x:is>
      </x:c>
      <x:c r="AA85" s="81" t="inlineStr">
        <x:is>
          <x:t xml:space="preserve">Ancient source text. Verify jurisdiction/edition before commercial publication.</x:t>
        </x:is>
      </x:c>
      <x:c r="AB85" s="81" t="inlineStr">
        <x:is>
          <x:t xml:space="preserve">High</x:t>
        </x:is>
      </x:c>
      <x:c r="AC85" s="81" t="inlineStr">
        <x:is>
          <x:t xml:space="preserve">Không medicalize.</x:t>
        </x:is>
      </x:c>
      <x:c r="AD85" s="81" t="inlineStr">
        <x:is>
          <x:t xml:space="preserve">Needs editorial review</x:t>
        </x:is>
      </x:c>
      <x:c r="AE85" s="81" t="inlineStr">
        <x:is>
          <x:t xml:space="preserve">Needs semantic dedupe review</x:t>
        </x:is>
      </x:c>
      <x:c r="AF85" s="81" t="n"/>
      <x:c r="AG85" s="81" t="n"/>
      <x:c r="AH85" s="81" t="inlineStr">
        <x:is>
          <x:t xml:space="preserve">No</x:t>
        </x:is>
      </x:c>
      <x:c r="AI85" s="81" t="inlineStr">
        <x:is>
          <x:t xml:space="preserve">Not reviewed</x:t>
        </x:is>
      </x:c>
      <x:c r="AJ85" s="81" t="inlineStr">
        <x:is>
          <x:t xml:space="preserve">Research only</x:t>
        </x:is>
      </x:c>
      <x:c r="AK85" s="81" t="inlineStr">
        <x:is>
          <x:t xml:space="preserve">Research Pool</x:t>
        </x:is>
      </x:c>
      <x:c r="AL85" s="81" t="n">
        <x:v>2</x:v>
      </x:c>
      <x:c r="AM85" s="81" t="inlineStr">
        <x:is>
          <x:t xml:space="preserve">ChatGPT research</x:t>
        </x:is>
      </x:c>
      <x:c r="AN85" s="81" t="inlineStr">
        <x:is>
          <x:t xml:space="preserve">2026-09-18</x:t>
        </x:is>
      </x:c>
      <x:c r="AO85" s="81" t="inlineStr">
        <x:is>
          <x:t xml:space="preserve">Day 2 full-scope audit, chapters 21–50.</x:t>
        </x:is>
      </x:c>
      <x:c r="AP85" s="81" t="n"/>
      <x:c r="AQ85" s="81" t="n"/>
    </x:row>
    <x:row r="86">
      <x:c r="A86" s="81" t="inlineStr">
        <x:is>
          <x:t xml:space="preserve">research.laozi.day2.ch27.022</x:t>
        </x:is>
      </x:c>
      <x:c r="B86" s="81" t="inlineStr">
        <x:is>
          <x:t xml:space="preserve">Collected</x:t>
        </x:is>
      </x:c>
      <x:c r="C86" s="81" t="inlineStr">
        <x:is>
          <x:t xml:space="preserve">Nội tâm &amp; hiểu mình</x:t>
        </x:is>
      </x:c>
      <x:c r="D86" s="81" t="inlineStr">
        <x:is>
          <x:t xml:space="preserve">Day 2 / Laozi 21–50</x:t>
        </x:is>
      </x:c>
      <x:c r="E86" s="81" t="n"/>
      <x:c r="F86" s="81" t="inlineStr">
        <x:is>
          <x:t xml:space="preserve">Điều tốt không nhất thiết cần phô dấu vết</x:t>
        </x:is>
      </x:c>
      <x:c r="G86" s="81" t="inlineStr">
        <x:is>
          <x:t xml:space="preserve">Simplicity</x:t>
        </x:is>
      </x:c>
      <x:c r="H86" s="81" t="n"/>
      <x:c r="I86" s="81" t="n"/>
      <x:c r="J86" s="81" t="n"/>
      <x:c r="K86" s="81" t="inlineStr">
        <x:is>
          <x:t xml:space="preserve">Reframe</x:t>
        </x:is>
      </x:c>
      <x:c r="L86" s="81" t="n"/>
      <x:c r="M86" s="81" t="inlineStr">
        <x:is>
          <x:t xml:space="preserve">Trích đoạn triết học</x:t>
        </x:is>
      </x:c>
      <x:c r="N86" s="81" t="inlineStr">
        <x:is>
          <x:t xml:space="preserve">善行無轍跡，善言無瑕讁。</x:t>
        </x:is>
      </x:c>
      <x:c r="O86" s="81" t="inlineStr">
        <x:is>
          <x:t xml:space="preserve">Classical Chinese (文言文)</x:t>
        </x:is>
      </x:c>
      <x:c r="P86" s="81" t="inlineStr">
        <x:is>
          <x:t xml:space="preserve">Đi khéo không để vết bánh; nói khéo không để chỗ phải bắt lỗi.</x:t>
        </x:is>
      </x:c>
      <x:c r="Q86" s="81" t="inlineStr">
        <x:is>
          <x:t xml:space="preserve">Laozi / 老子</x:t>
        </x:is>
      </x:c>
      <x:c r="R86" s="81" t="inlineStr">
        <x:is>
          <x:t xml:space="preserve">Taoism</x:t>
        </x:is>
      </x:c>
      <x:c r="S86" s="81" t="inlineStr">
        <x:is>
          <x:t xml:space="preserve">道德經 / Tao Te Ching</x:t>
        </x:is>
      </x:c>
      <x:c r="T86" s="81" t="inlineStr">
        <x:is>
          <x:t xml:space="preserve">Chapter 27</x:t>
        </x:is>
      </x:c>
      <x:c r="U86" s="81" t="inlineStr">
        <x:is>
          <x:t xml:space="preserve">https://zh.wikisource.org/zh-hant/%E9%81%93%E5%BE%B7%E7%B6%93_%28%E7%8E%8B%E5%BC%BC%E6%9C%AC%29</x:t>
        </x:is>
      </x:c>
      <x:c r="V86" s="81" t="inlineStr">
        <x:is>
          <x:t xml:space="preserve">Primary text</x:t>
        </x:is>
      </x:c>
      <x:c r="W86" s="81" t="inlineStr">
        <x:is>
          <x:t xml:space="preserve">Working translation</x:t>
        </x:is>
      </x:c>
      <x:c r="X86" s="81" t="inlineStr">
        <x:is>
          <x:t xml:space="preserve">A - Primary source</x:t>
        </x:is>
      </x:c>
      <x:c r="Y86" s="81" t="inlineStr">
        <x:is>
          <x:t xml:space="preserve">Original Chinese checked against Wang Bi recension; Vietnamese is Selflo working translation, not a published translation.</x:t>
        </x:is>
      </x:c>
      <x:c r="Z86" s="81" t="inlineStr">
        <x:is>
          <x:t xml:space="preserve">Public domain / likely</x:t>
        </x:is>
      </x:c>
      <x:c r="AA86" s="81" t="inlineStr">
        <x:is>
          <x:t xml:space="preserve">Ancient source text. Verify jurisdiction/edition before commercial publication.</x:t>
        </x:is>
      </x:c>
      <x:c r="AB86" s="81" t="inlineStr">
        <x:is>
          <x:t xml:space="preserve">Medium</x:t>
        </x:is>
      </x:c>
      <x:c r="AC86" s="81" t="inlineStr">
        <x:is>
          <x:t xml:space="preserve">Leadership/craft.</x:t>
        </x:is>
      </x:c>
      <x:c r="AD86" s="81" t="inlineStr">
        <x:is>
          <x:t xml:space="preserve">Needs editorial review</x:t>
        </x:is>
      </x:c>
      <x:c r="AE86" s="81" t="inlineStr">
        <x:is>
          <x:t xml:space="preserve">Needs semantic dedupe review</x:t>
        </x:is>
      </x:c>
      <x:c r="AF86" s="81" t="n"/>
      <x:c r="AG86" s="81" t="n"/>
      <x:c r="AH86" s="81" t="inlineStr">
        <x:is>
          <x:t xml:space="preserve">No</x:t>
        </x:is>
      </x:c>
      <x:c r="AI86" s="81" t="inlineStr">
        <x:is>
          <x:t xml:space="preserve">Not reviewed</x:t>
        </x:is>
      </x:c>
      <x:c r="AJ86" s="81" t="inlineStr">
        <x:is>
          <x:t xml:space="preserve">Research only</x:t>
        </x:is>
      </x:c>
      <x:c r="AK86" s="81" t="inlineStr">
        <x:is>
          <x:t xml:space="preserve">Research Pool</x:t>
        </x:is>
      </x:c>
      <x:c r="AL86" s="81" t="n">
        <x:v>2</x:v>
      </x:c>
      <x:c r="AM86" s="81" t="inlineStr">
        <x:is>
          <x:t xml:space="preserve">ChatGPT research</x:t>
        </x:is>
      </x:c>
      <x:c r="AN86" s="81" t="inlineStr">
        <x:is>
          <x:t xml:space="preserve">2026-09-18</x:t>
        </x:is>
      </x:c>
      <x:c r="AO86" s="81" t="inlineStr">
        <x:is>
          <x:t xml:space="preserve">Day 2 full-scope audit, chapters 21–50.</x:t>
        </x:is>
      </x:c>
      <x:c r="AP86" s="81" t="n"/>
      <x:c r="AQ86" s="81" t="n"/>
    </x:row>
    <x:row r="87">
      <x:c r="A87" s="81" t="inlineStr">
        <x:is>
          <x:t xml:space="preserve">research.laozi.day2.ch27.023</x:t>
        </x:is>
      </x:c>
      <x:c r="B87" s="81" t="inlineStr">
        <x:is>
          <x:t xml:space="preserve">Collected</x:t>
        </x:is>
      </x:c>
      <x:c r="C87" s="81" t="inlineStr">
        <x:is>
          <x:t xml:space="preserve">Nội tâm &amp; hiểu mình</x:t>
        </x:is>
      </x:c>
      <x:c r="D87" s="81" t="inlineStr">
        <x:is>
          <x:t xml:space="preserve">Day 2 / Laozi 21–50</x:t>
        </x:is>
      </x:c>
      <x:c r="E87" s="81" t="n"/>
      <x:c r="F87" s="81" t="inlineStr">
        <x:is>
          <x:t xml:space="preserve">Không biến một người thành phần bỏ đi</x:t>
        </x:is>
      </x:c>
      <x:c r="G87" s="81" t="inlineStr">
        <x:is>
          <x:t xml:space="preserve">Self-worth</x:t>
        </x:is>
      </x:c>
      <x:c r="H87" s="81" t="n"/>
      <x:c r="I87" s="81" t="n"/>
      <x:c r="J87" s="81" t="n"/>
      <x:c r="K87" s="81" t="inlineStr">
        <x:is>
          <x:t xml:space="preserve">Reframe</x:t>
        </x:is>
      </x:c>
      <x:c r="L87" s="81" t="n"/>
      <x:c r="M87" s="81" t="inlineStr">
        <x:is>
          <x:t xml:space="preserve">Trích đoạn triết học</x:t>
        </x:is>
      </x:c>
      <x:c r="N87" s="81" t="inlineStr">
        <x:is>
          <x:t xml:space="preserve">聖人常善救人，故無棄人；常善救物，故無棄物。</x:t>
        </x:is>
      </x:c>
      <x:c r="O87" s="81" t="inlineStr">
        <x:is>
          <x:t xml:space="preserve">Classical Chinese (文言文)</x:t>
        </x:is>
      </x:c>
      <x:c r="P87" s="81" t="inlineStr">
        <x:is>
          <x:t xml:space="preserve">Người khéo giúp người nên không vội xem ai là bỏ đi; khéo dùng vật nên không vội xem vật nào là vô dụng.</x:t>
        </x:is>
      </x:c>
      <x:c r="Q87" s="81" t="inlineStr">
        <x:is>
          <x:t xml:space="preserve">Laozi / 老子</x:t>
        </x:is>
      </x:c>
      <x:c r="R87" s="81" t="inlineStr">
        <x:is>
          <x:t xml:space="preserve">Taoism</x:t>
        </x:is>
      </x:c>
      <x:c r="S87" s="81" t="inlineStr">
        <x:is>
          <x:t xml:space="preserve">道德經 / Tao Te Ching</x:t>
        </x:is>
      </x:c>
      <x:c r="T87" s="81" t="inlineStr">
        <x:is>
          <x:t xml:space="preserve">Chapter 27</x:t>
        </x:is>
      </x:c>
      <x:c r="U87" s="81" t="inlineStr">
        <x:is>
          <x:t xml:space="preserve">https://zh.wikisource.org/zh-hant/%E9%81%93%E5%BE%B7%E7%B6%93_%28%E7%8E%8B%E5%BC%BC%E6%9C%AC%29</x:t>
        </x:is>
      </x:c>
      <x:c r="V87" s="81" t="inlineStr">
        <x:is>
          <x:t xml:space="preserve">Primary text</x:t>
        </x:is>
      </x:c>
      <x:c r="W87" s="81" t="inlineStr">
        <x:is>
          <x:t xml:space="preserve">Working translation</x:t>
        </x:is>
      </x:c>
      <x:c r="X87" s="81" t="inlineStr">
        <x:is>
          <x:t xml:space="preserve">A - Primary source</x:t>
        </x:is>
      </x:c>
      <x:c r="Y87" s="81" t="inlineStr">
        <x:is>
          <x:t xml:space="preserve">Original Chinese checked against Wang Bi recension; Vietnamese is Selflo working translation, not a published translation.</x:t>
        </x:is>
      </x:c>
      <x:c r="Z87" s="81" t="inlineStr">
        <x:is>
          <x:t xml:space="preserve">Public domain / likely</x:t>
        </x:is>
      </x:c>
      <x:c r="AA87" s="81" t="inlineStr">
        <x:is>
          <x:t xml:space="preserve">Ancient source text. Verify jurisdiction/edition before commercial publication.</x:t>
        </x:is>
      </x:c>
      <x:c r="AB87" s="81" t="inlineStr">
        <x:is>
          <x:t xml:space="preserve">High</x:t>
        </x:is>
      </x:c>
      <x:c r="AC87" s="81" t="inlineStr">
        <x:is>
          <x:t xml:space="preserve">Rất hợp dignity/self-compassion.</x:t>
        </x:is>
      </x:c>
      <x:c r="AD87" s="81" t="inlineStr">
        <x:is>
          <x:t xml:space="preserve">Needs editorial review</x:t>
        </x:is>
      </x:c>
      <x:c r="AE87" s="81" t="inlineStr">
        <x:is>
          <x:t xml:space="preserve">Needs semantic dedupe review</x:t>
        </x:is>
      </x:c>
      <x:c r="AF87" s="81" t="n"/>
      <x:c r="AG87" s="81" t="n"/>
      <x:c r="AH87" s="81" t="inlineStr">
        <x:is>
          <x:t xml:space="preserve">No</x:t>
        </x:is>
      </x:c>
      <x:c r="AI87" s="81" t="inlineStr">
        <x:is>
          <x:t xml:space="preserve">Not reviewed</x:t>
        </x:is>
      </x:c>
      <x:c r="AJ87" s="81" t="inlineStr">
        <x:is>
          <x:t xml:space="preserve">Research only</x:t>
        </x:is>
      </x:c>
      <x:c r="AK87" s="81" t="inlineStr">
        <x:is>
          <x:t xml:space="preserve">Research Pool</x:t>
        </x:is>
      </x:c>
      <x:c r="AL87" s="81" t="n">
        <x:v>2</x:v>
      </x:c>
      <x:c r="AM87" s="81" t="inlineStr">
        <x:is>
          <x:t xml:space="preserve">ChatGPT research</x:t>
        </x:is>
      </x:c>
      <x:c r="AN87" s="81" t="inlineStr">
        <x:is>
          <x:t xml:space="preserve">2026-09-18</x:t>
        </x:is>
      </x:c>
      <x:c r="AO87" s="81" t="inlineStr">
        <x:is>
          <x:t xml:space="preserve">Day 2 full-scope audit, chapters 21–50.</x:t>
        </x:is>
      </x:c>
      <x:c r="AP87" s="81" t="n"/>
      <x:c r="AQ87" s="81" t="n"/>
    </x:row>
    <x:row r="88">
      <x:c r="A88" s="81" t="inlineStr">
        <x:is>
          <x:t xml:space="preserve">research.laozi.day2.ch27.024</x:t>
        </x:is>
      </x:c>
      <x:c r="B88" s="81" t="inlineStr">
        <x:is>
          <x:t xml:space="preserve">Collected</x:t>
        </x:is>
      </x:c>
      <x:c r="C88" s="81" t="inlineStr">
        <x:is>
          <x:t xml:space="preserve">Nội tâm &amp; hiểu mình</x:t>
        </x:is>
      </x:c>
      <x:c r="D88" s="81" t="inlineStr">
        <x:is>
          <x:t xml:space="preserve">Day 2 / Laozi 21–50</x:t>
        </x:is>
      </x:c>
      <x:c r="E88" s="81" t="n"/>
      <x:c r="F88" s="81" t="inlineStr">
        <x:is>
          <x:t xml:space="preserve">Không chia con người thành hữu dụng/vô dụng tuyệt đối</x:t>
        </x:is>
      </x:c>
      <x:c r="G88" s="81" t="inlineStr">
        <x:is>
          <x:t xml:space="preserve">Learning</x:t>
        </x:is>
      </x:c>
      <x:c r="H88" s="81" t="n"/>
      <x:c r="I88" s="81" t="n"/>
      <x:c r="J88" s="81" t="n"/>
      <x:c r="K88" s="81" t="inlineStr">
        <x:is>
          <x:t xml:space="preserve">Reframe</x:t>
        </x:is>
      </x:c>
      <x:c r="L88" s="81" t="n"/>
      <x:c r="M88" s="81" t="inlineStr">
        <x:is>
          <x:t xml:space="preserve">Trích đoạn triết học</x:t>
        </x:is>
      </x:c>
      <x:c r="N88" s="81" t="inlineStr">
        <x:is>
          <x:t xml:space="preserve">善人者，不善人之師；不善人者，善人之資。</x:t>
        </x:is>
      </x:c>
      <x:c r="O88" s="81" t="inlineStr">
        <x:is>
          <x:t xml:space="preserve">Classical Chinese (文言文)</x:t>
        </x:is>
      </x:c>
      <x:c r="P88" s="81" t="inlineStr">
        <x:is>
          <x:t xml:space="preserve">Người làm tốt có thể là thầy; người chưa làm tốt cũng có thể trở thành điều để người khác học.</x:t>
        </x:is>
      </x:c>
      <x:c r="Q88" s="81" t="inlineStr">
        <x:is>
          <x:t xml:space="preserve">Laozi / 老子</x:t>
        </x:is>
      </x:c>
      <x:c r="R88" s="81" t="inlineStr">
        <x:is>
          <x:t xml:space="preserve">Taoism</x:t>
        </x:is>
      </x:c>
      <x:c r="S88" s="81" t="inlineStr">
        <x:is>
          <x:t xml:space="preserve">道德經 / Tao Te Ching</x:t>
        </x:is>
      </x:c>
      <x:c r="T88" s="81" t="inlineStr">
        <x:is>
          <x:t xml:space="preserve">Chapter 27</x:t>
        </x:is>
      </x:c>
      <x:c r="U88" s="81" t="inlineStr">
        <x:is>
          <x:t xml:space="preserve">https://zh.wikisource.org/zh-hant/%E9%81%93%E5%BE%B7%E7%B6%93_%28%E7%8E%8B%E5%BC%BC%E6%9C%AC%29</x:t>
        </x:is>
      </x:c>
      <x:c r="V88" s="81" t="inlineStr">
        <x:is>
          <x:t xml:space="preserve">Primary text</x:t>
        </x:is>
      </x:c>
      <x:c r="W88" s="81" t="inlineStr">
        <x:is>
          <x:t xml:space="preserve">Working translation</x:t>
        </x:is>
      </x:c>
      <x:c r="X88" s="81" t="inlineStr">
        <x:is>
          <x:t xml:space="preserve">A - Primary source</x:t>
        </x:is>
      </x:c>
      <x:c r="Y88" s="81" t="inlineStr">
        <x:is>
          <x:t xml:space="preserve">Original Chinese checked against Wang Bi recension; Vietnamese is Selflo working translation, not a published translation.</x:t>
        </x:is>
      </x:c>
      <x:c r="Z88" s="81" t="inlineStr">
        <x:is>
          <x:t xml:space="preserve">Public domain / likely</x:t>
        </x:is>
      </x:c>
      <x:c r="AA88" s="81" t="inlineStr">
        <x:is>
          <x:t xml:space="preserve">Ancient source text. Verify jurisdiction/edition before commercial publication.</x:t>
        </x:is>
      </x:c>
      <x:c r="AB88" s="81" t="inlineStr">
        <x:is>
          <x:t xml:space="preserve">High</x:t>
        </x:is>
      </x:c>
      <x:c r="AC88" s="81" t="inlineStr">
        <x:is>
          <x:t xml:space="preserve">Cần tránh objectify.</x:t>
        </x:is>
      </x:c>
      <x:c r="AD88" s="81" t="inlineStr">
        <x:is>
          <x:t xml:space="preserve">Needs editorial review</x:t>
        </x:is>
      </x:c>
      <x:c r="AE88" s="81" t="inlineStr">
        <x:is>
          <x:t xml:space="preserve">Needs semantic dedupe review</x:t>
        </x:is>
      </x:c>
      <x:c r="AF88" s="81" t="n"/>
      <x:c r="AG88" s="81" t="n"/>
      <x:c r="AH88" s="81" t="inlineStr">
        <x:is>
          <x:t xml:space="preserve">No</x:t>
        </x:is>
      </x:c>
      <x:c r="AI88" s="81" t="inlineStr">
        <x:is>
          <x:t xml:space="preserve">Not reviewed</x:t>
        </x:is>
      </x:c>
      <x:c r="AJ88" s="81" t="inlineStr">
        <x:is>
          <x:t xml:space="preserve">Research only</x:t>
        </x:is>
      </x:c>
      <x:c r="AK88" s="81" t="inlineStr">
        <x:is>
          <x:t xml:space="preserve">Research Pool</x:t>
        </x:is>
      </x:c>
      <x:c r="AL88" s="81" t="n">
        <x:v>2</x:v>
      </x:c>
      <x:c r="AM88" s="81" t="inlineStr">
        <x:is>
          <x:t xml:space="preserve">ChatGPT research</x:t>
        </x:is>
      </x:c>
      <x:c r="AN88" s="81" t="inlineStr">
        <x:is>
          <x:t xml:space="preserve">2026-09-18</x:t>
        </x:is>
      </x:c>
      <x:c r="AO88" s="81" t="inlineStr">
        <x:is>
          <x:t xml:space="preserve">Day 2 full-scope audit, chapters 21–50.</x:t>
        </x:is>
      </x:c>
      <x:c r="AP88" s="81" t="n"/>
      <x:c r="AQ88" s="81" t="n"/>
    </x:row>
    <x:row r="89">
      <x:c r="A89" s="81" t="inlineStr">
        <x:is>
          <x:t xml:space="preserve">research.laozi.day2.ch27.025</x:t>
        </x:is>
      </x:c>
      <x:c r="B89" s="81" t="inlineStr">
        <x:is>
          <x:t xml:space="preserve">Collected</x:t>
        </x:is>
      </x:c>
      <x:c r="C89" s="81" t="inlineStr">
        <x:is>
          <x:t xml:space="preserve">Nội tâm &amp; hiểu mình</x:t>
        </x:is>
      </x:c>
      <x:c r="D89" s="81" t="inlineStr">
        <x:is>
          <x:t xml:space="preserve">Day 2 / Laozi 21–50</x:t>
        </x:is>
      </x:c>
      <x:c r="E89" s="81" t="n"/>
      <x:c r="F89" s="81" t="inlineStr">
        <x:is>
          <x:t xml:space="preserve">Thông minh không loại bỏ khả năng sai</x:t>
        </x:is>
      </x:c>
      <x:c r="G89" s="81" t="inlineStr">
        <x:is>
          <x:t xml:space="preserve">Judgment</x:t>
        </x:is>
      </x:c>
      <x:c r="H89" s="81" t="n"/>
      <x:c r="I89" s="81" t="n"/>
      <x:c r="J89" s="81" t="n"/>
      <x:c r="K89" s="81" t="inlineStr">
        <x:is>
          <x:t xml:space="preserve">Distinguish</x:t>
        </x:is>
      </x:c>
      <x:c r="L89" s="81" t="n"/>
      <x:c r="M89" s="81" t="inlineStr">
        <x:is>
          <x:t xml:space="preserve">Trích đoạn triết học</x:t>
        </x:is>
      </x:c>
      <x:c r="N89" s="81" t="inlineStr">
        <x:is>
          <x:t xml:space="preserve">雖智大迷，是謂要妙。</x:t>
        </x:is>
      </x:c>
      <x:c r="O89" s="81" t="inlineStr">
        <x:is>
          <x:t xml:space="preserve">Classical Chinese (文言文)</x:t>
        </x:is>
      </x:c>
      <x:c r="P89" s="81" t="inlineStr">
        <x:is>
          <x:t xml:space="preserve">Dù thông minh vẫn có thể rơi vào mê lầm; đây là điểm tinh tế cần nhớ.</x:t>
        </x:is>
      </x:c>
      <x:c r="Q89" s="81" t="inlineStr">
        <x:is>
          <x:t xml:space="preserve">Laozi / 老子</x:t>
        </x:is>
      </x:c>
      <x:c r="R89" s="81" t="inlineStr">
        <x:is>
          <x:t xml:space="preserve">Taoism</x:t>
        </x:is>
      </x:c>
      <x:c r="S89" s="81" t="inlineStr">
        <x:is>
          <x:t xml:space="preserve">道德經 / Tao Te Ching</x:t>
        </x:is>
      </x:c>
      <x:c r="T89" s="81" t="inlineStr">
        <x:is>
          <x:t xml:space="preserve">Chapter 27</x:t>
        </x:is>
      </x:c>
      <x:c r="U89" s="81" t="inlineStr">
        <x:is>
          <x:t xml:space="preserve">https://zh.wikisource.org/zh-hant/%E9%81%93%E5%BE%B7%E7%B6%93_%28%E7%8E%8B%E5%BC%BC%E6%9C%AC%29</x:t>
        </x:is>
      </x:c>
      <x:c r="V89" s="81" t="inlineStr">
        <x:is>
          <x:t xml:space="preserve">Primary text</x:t>
        </x:is>
      </x:c>
      <x:c r="W89" s="81" t="inlineStr">
        <x:is>
          <x:t xml:space="preserve">Working translation</x:t>
        </x:is>
      </x:c>
      <x:c r="X89" s="81" t="inlineStr">
        <x:is>
          <x:t xml:space="preserve">A - Primary source</x:t>
        </x:is>
      </x:c>
      <x:c r="Y89" s="81" t="inlineStr">
        <x:is>
          <x:t xml:space="preserve">Original Chinese checked against Wang Bi recension; Vietnamese is Selflo working translation, not a published translation.</x:t>
        </x:is>
      </x:c>
      <x:c r="Z89" s="81" t="inlineStr">
        <x:is>
          <x:t xml:space="preserve">Public domain / likely</x:t>
        </x:is>
      </x:c>
      <x:c r="AA89" s="81" t="inlineStr">
        <x:is>
          <x:t xml:space="preserve">Ancient source text. Verify jurisdiction/edition before commercial publication.</x:t>
        </x:is>
      </x:c>
      <x:c r="AB89" s="81" t="inlineStr">
        <x:is>
          <x:t xml:space="preserve">High</x:t>
        </x:is>
      </x:c>
      <x:c r="AC89" s="81" t="inlineStr">
        <x:is>
          <x:t xml:space="preserve">AI/human judgment.</x:t>
        </x:is>
      </x:c>
      <x:c r="AD89" s="81" t="inlineStr">
        <x:is>
          <x:t xml:space="preserve">Needs editorial review</x:t>
        </x:is>
      </x:c>
      <x:c r="AE89" s="81" t="inlineStr">
        <x:is>
          <x:t xml:space="preserve">Needs semantic dedupe review</x:t>
        </x:is>
      </x:c>
      <x:c r="AF89" s="81" t="n"/>
      <x:c r="AG89" s="81" t="n"/>
      <x:c r="AH89" s="81" t="inlineStr">
        <x:is>
          <x:t xml:space="preserve">No</x:t>
        </x:is>
      </x:c>
      <x:c r="AI89" s="81" t="inlineStr">
        <x:is>
          <x:t xml:space="preserve">Not reviewed</x:t>
        </x:is>
      </x:c>
      <x:c r="AJ89" s="81" t="inlineStr">
        <x:is>
          <x:t xml:space="preserve">Research only</x:t>
        </x:is>
      </x:c>
      <x:c r="AK89" s="81" t="inlineStr">
        <x:is>
          <x:t xml:space="preserve">Research Pool</x:t>
        </x:is>
      </x:c>
      <x:c r="AL89" s="81" t="n">
        <x:v>2</x:v>
      </x:c>
      <x:c r="AM89" s="81" t="inlineStr">
        <x:is>
          <x:t xml:space="preserve">ChatGPT research</x:t>
        </x:is>
      </x:c>
      <x:c r="AN89" s="81" t="inlineStr">
        <x:is>
          <x:t xml:space="preserve">2026-09-18</x:t>
        </x:is>
      </x:c>
      <x:c r="AO89" s="81" t="inlineStr">
        <x:is>
          <x:t xml:space="preserve">Day 2 full-scope audit, chapters 21–50.</x:t>
        </x:is>
      </x:c>
      <x:c r="AP89" s="81" t="n"/>
      <x:c r="AQ89" s="81" t="n"/>
    </x:row>
    <x:row r="90">
      <x:c r="A90" s="81" t="inlineStr">
        <x:is>
          <x:t xml:space="preserve">research.laozi.day2.ch28.026</x:t>
        </x:is>
      </x:c>
      <x:c r="B90" s="81" t="inlineStr">
        <x:is>
          <x:t xml:space="preserve">Collected</x:t>
        </x:is>
      </x:c>
      <x:c r="C90" s="81" t="inlineStr">
        <x:is>
          <x:t xml:space="preserve">Nội tâm &amp; hiểu mình</x:t>
        </x:is>
      </x:c>
      <x:c r="D90" s="81" t="inlineStr">
        <x:is>
          <x:t xml:space="preserve">Day 2 / Laozi 21–50</x:t>
        </x:is>
      </x:c>
      <x:c r="E90" s="81" t="n"/>
      <x:c r="F90" s="81" t="inlineStr">
        <x:is>
          <x:t xml:space="preserve">Giữ sức mạnh mà không đánh mất sự mềm</x:t>
        </x:is>
      </x:c>
      <x:c r="G90" s="81" t="inlineStr">
        <x:is>
          <x:t xml:space="preserve">Acceptance</x:t>
        </x:is>
      </x:c>
      <x:c r="H90" s="81" t="n"/>
      <x:c r="I90" s="81" t="n"/>
      <x:c r="J90" s="81" t="n"/>
      <x:c r="K90" s="81" t="inlineStr">
        <x:is>
          <x:t xml:space="preserve">Distinguish</x:t>
        </x:is>
      </x:c>
      <x:c r="L90" s="81" t="n"/>
      <x:c r="M90" s="81" t="inlineStr">
        <x:is>
          <x:t xml:space="preserve">Trích đoạn triết học</x:t>
        </x:is>
      </x:c>
      <x:c r="N90" s="81" t="inlineStr">
        <x:is>
          <x:t xml:space="preserve">知其雄，守其雌，為天下谿。</x:t>
        </x:is>
      </x:c>
      <x:c r="O90" s="81" t="inlineStr">
        <x:is>
          <x:t xml:space="preserve">Classical Chinese (文言文)</x:t>
        </x:is>
      </x:c>
      <x:c r="P90" s="81" t="inlineStr">
        <x:is>
          <x:t xml:space="preserve">Biết phía mạnh nhưng vẫn giữ được phía mềm, như khe nước đón dòng chảy.</x:t>
        </x:is>
      </x:c>
      <x:c r="Q90" s="81" t="inlineStr">
        <x:is>
          <x:t xml:space="preserve">Laozi / 老子</x:t>
        </x:is>
      </x:c>
      <x:c r="R90" s="81" t="inlineStr">
        <x:is>
          <x:t xml:space="preserve">Taoism</x:t>
        </x:is>
      </x:c>
      <x:c r="S90" s="81" t="inlineStr">
        <x:is>
          <x:t xml:space="preserve">道德經 / Tao Te Ching</x:t>
        </x:is>
      </x:c>
      <x:c r="T90" s="81" t="inlineStr">
        <x:is>
          <x:t xml:space="preserve">Chapter 28</x:t>
        </x:is>
      </x:c>
      <x:c r="U90" s="81" t="inlineStr">
        <x:is>
          <x:t xml:space="preserve">https://zh.wikisource.org/zh-hant/%E9%81%93%E5%BE%B7%E7%B6%93_%28%E7%8E%8B%E5%BC%BC%E6%9C%AC%29</x:t>
        </x:is>
      </x:c>
      <x:c r="V90" s="81" t="inlineStr">
        <x:is>
          <x:t xml:space="preserve">Primary text</x:t>
        </x:is>
      </x:c>
      <x:c r="W90" s="81" t="inlineStr">
        <x:is>
          <x:t xml:space="preserve">Working translation</x:t>
        </x:is>
      </x:c>
      <x:c r="X90" s="81" t="inlineStr">
        <x:is>
          <x:t xml:space="preserve">A - Primary source</x:t>
        </x:is>
      </x:c>
      <x:c r="Y90" s="81" t="inlineStr">
        <x:is>
          <x:t xml:space="preserve">Original Chinese checked against Wang Bi recension; Vietnamese is Selflo working translation, not a published translation.</x:t>
        </x:is>
      </x:c>
      <x:c r="Z90" s="81" t="inlineStr">
        <x:is>
          <x:t xml:space="preserve">Public domain / likely</x:t>
        </x:is>
      </x:c>
      <x:c r="AA90" s="81" t="inlineStr">
        <x:is>
          <x:t xml:space="preserve">Ancient source text. Verify jurisdiction/edition before commercial publication.</x:t>
        </x:is>
      </x:c>
      <x:c r="AB90" s="81" t="inlineStr">
        <x:is>
          <x:t xml:space="preserve">High</x:t>
        </x:is>
      </x:c>
      <x:c r="AC90" s="81" t="inlineStr">
        <x:is>
          <x:t xml:space="preserve">Gender metaphor cổ; cần contextualize.</x:t>
        </x:is>
      </x:c>
      <x:c r="AD90" s="81" t="inlineStr">
        <x:is>
          <x:t xml:space="preserve">Needs editorial review</x:t>
        </x:is>
      </x:c>
      <x:c r="AE90" s="81" t="inlineStr">
        <x:is>
          <x:t xml:space="preserve">Needs semantic dedupe review</x:t>
        </x:is>
      </x:c>
      <x:c r="AF90" s="81" t="n"/>
      <x:c r="AG90" s="81" t="n"/>
      <x:c r="AH90" s="81" t="inlineStr">
        <x:is>
          <x:t xml:space="preserve">No</x:t>
        </x:is>
      </x:c>
      <x:c r="AI90" s="81" t="inlineStr">
        <x:is>
          <x:t xml:space="preserve">Not reviewed</x:t>
        </x:is>
      </x:c>
      <x:c r="AJ90" s="81" t="inlineStr">
        <x:is>
          <x:t xml:space="preserve">Research only</x:t>
        </x:is>
      </x:c>
      <x:c r="AK90" s="81" t="inlineStr">
        <x:is>
          <x:t xml:space="preserve">Research Pool</x:t>
        </x:is>
      </x:c>
      <x:c r="AL90" s="81" t="n">
        <x:v>2</x:v>
      </x:c>
      <x:c r="AM90" s="81" t="inlineStr">
        <x:is>
          <x:t xml:space="preserve">ChatGPT research</x:t>
        </x:is>
      </x:c>
      <x:c r="AN90" s="81" t="inlineStr">
        <x:is>
          <x:t xml:space="preserve">2026-09-18</x:t>
        </x:is>
      </x:c>
      <x:c r="AO90" s="81" t="inlineStr">
        <x:is>
          <x:t xml:space="preserve">Day 2 full-scope audit, chapters 21–50.</x:t>
        </x:is>
      </x:c>
      <x:c r="AP90" s="81" t="n"/>
      <x:c r="AQ90" s="81" t="n"/>
    </x:row>
    <x:row r="91">
      <x:c r="A91" s="81" t="inlineStr">
        <x:is>
          <x:t xml:space="preserve">research.laozi.day2.ch28.027</x:t>
        </x:is>
      </x:c>
      <x:c r="B91" s="81" t="inlineStr">
        <x:is>
          <x:t xml:space="preserve">Collected</x:t>
        </x:is>
      </x:c>
      <x:c r="C91" s="81" t="inlineStr">
        <x:is>
          <x:t xml:space="preserve">Nội tâm &amp; hiểu mình</x:t>
        </x:is>
      </x:c>
      <x:c r="D91" s="81" t="inlineStr">
        <x:is>
          <x:t xml:space="preserve">Day 2 / Laozi 21–50</x:t>
        </x:is>
      </x:c>
      <x:c r="E91" s="81" t="n"/>
      <x:c r="F91" s="81" t="inlineStr">
        <x:is>
          <x:t xml:space="preserve">Không loại bỏ một phía để giữ phía kia</x:t>
        </x:is>
      </x:c>
      <x:c r="G91" s="81" t="inlineStr">
        <x:is>
          <x:t xml:space="preserve">Acceptance</x:t>
        </x:is>
      </x:c>
      <x:c r="H91" s="81" t="n"/>
      <x:c r="I91" s="81" t="n"/>
      <x:c r="J91" s="81" t="n"/>
      <x:c r="K91" s="81" t="inlineStr">
        <x:is>
          <x:t xml:space="preserve">Permit</x:t>
        </x:is>
      </x:c>
      <x:c r="L91" s="81" t="n"/>
      <x:c r="M91" s="81" t="inlineStr">
        <x:is>
          <x:t xml:space="preserve">Trích đoạn triết học</x:t>
        </x:is>
      </x:c>
      <x:c r="N91" s="81" t="inlineStr">
        <x:is>
          <x:t xml:space="preserve">知其白，守其黑，為天下式。</x:t>
        </x:is>
      </x:c>
      <x:c r="O91" s="81" t="inlineStr">
        <x:is>
          <x:t xml:space="preserve">Classical Chinese (文言文)</x:t>
        </x:is>
      </x:c>
      <x:c r="P91" s="81" t="inlineStr">
        <x:is>
          <x:t xml:space="preserve">Biết phần sáng mà vẫn giữ được phần tối.</x:t>
        </x:is>
      </x:c>
      <x:c r="Q91" s="81" t="inlineStr">
        <x:is>
          <x:t xml:space="preserve">Laozi / 老子</x:t>
        </x:is>
      </x:c>
      <x:c r="R91" s="81" t="inlineStr">
        <x:is>
          <x:t xml:space="preserve">Taoism</x:t>
        </x:is>
      </x:c>
      <x:c r="S91" s="81" t="inlineStr">
        <x:is>
          <x:t xml:space="preserve">道德經 / Tao Te Ching</x:t>
        </x:is>
      </x:c>
      <x:c r="T91" s="81" t="inlineStr">
        <x:is>
          <x:t xml:space="preserve">Chapter 28</x:t>
        </x:is>
      </x:c>
      <x:c r="U91" s="81" t="inlineStr">
        <x:is>
          <x:t xml:space="preserve">https://zh.wikisource.org/zh-hant/%E9%81%93%E5%BE%B7%E7%B6%93_%28%E7%8E%8B%E5%BC%BC%E6%9C%AC%29</x:t>
        </x:is>
      </x:c>
      <x:c r="V91" s="81" t="inlineStr">
        <x:is>
          <x:t xml:space="preserve">Primary text</x:t>
        </x:is>
      </x:c>
      <x:c r="W91" s="81" t="inlineStr">
        <x:is>
          <x:t xml:space="preserve">Working translation</x:t>
        </x:is>
      </x:c>
      <x:c r="X91" s="81" t="inlineStr">
        <x:is>
          <x:t xml:space="preserve">A - Primary source</x:t>
        </x:is>
      </x:c>
      <x:c r="Y91" s="81" t="inlineStr">
        <x:is>
          <x:t xml:space="preserve">Original Chinese checked against Wang Bi recension; Vietnamese is Selflo working translation, not a published translation.</x:t>
        </x:is>
      </x:c>
      <x:c r="Z91" s="81" t="inlineStr">
        <x:is>
          <x:t xml:space="preserve">Public domain / likely</x:t>
        </x:is>
      </x:c>
      <x:c r="AA91" s="81" t="inlineStr">
        <x:is>
          <x:t xml:space="preserve">Ancient source text. Verify jurisdiction/edition before commercial publication.</x:t>
        </x:is>
      </x:c>
      <x:c r="AB91" s="81" t="inlineStr">
        <x:is>
          <x:t xml:space="preserve">High</x:t>
        </x:is>
      </x:c>
      <x:c r="AC91" s="81" t="inlineStr">
        <x:is>
          <x:t xml:space="preserve">Mạnh cho two-sided self.</x:t>
        </x:is>
      </x:c>
      <x:c r="AD91" s="81" t="inlineStr">
        <x:is>
          <x:t xml:space="preserve">Needs editorial review</x:t>
        </x:is>
      </x:c>
      <x:c r="AE91" s="81" t="inlineStr">
        <x:is>
          <x:t xml:space="preserve">Needs semantic dedupe review</x:t>
        </x:is>
      </x:c>
      <x:c r="AF91" s="81" t="n"/>
      <x:c r="AG91" s="81" t="n"/>
      <x:c r="AH91" s="81" t="inlineStr">
        <x:is>
          <x:t xml:space="preserve">No</x:t>
        </x:is>
      </x:c>
      <x:c r="AI91" s="81" t="inlineStr">
        <x:is>
          <x:t xml:space="preserve">Not reviewed</x:t>
        </x:is>
      </x:c>
      <x:c r="AJ91" s="81" t="inlineStr">
        <x:is>
          <x:t xml:space="preserve">Research only</x:t>
        </x:is>
      </x:c>
      <x:c r="AK91" s="81" t="inlineStr">
        <x:is>
          <x:t xml:space="preserve">Research Pool</x:t>
        </x:is>
      </x:c>
      <x:c r="AL91" s="81" t="n">
        <x:v>2</x:v>
      </x:c>
      <x:c r="AM91" s="81" t="inlineStr">
        <x:is>
          <x:t xml:space="preserve">ChatGPT research</x:t>
        </x:is>
      </x:c>
      <x:c r="AN91" s="81" t="inlineStr">
        <x:is>
          <x:t xml:space="preserve">2026-09-18</x:t>
        </x:is>
      </x:c>
      <x:c r="AO91" s="81" t="inlineStr">
        <x:is>
          <x:t xml:space="preserve">Day 2 full-scope audit, chapters 21–50.</x:t>
        </x:is>
      </x:c>
      <x:c r="AP91" s="81" t="n"/>
      <x:c r="AQ91" s="81" t="n"/>
    </x:row>
    <x:row r="92">
      <x:c r="A92" s="81" t="inlineStr">
        <x:is>
          <x:t xml:space="preserve">research.laozi.day2.ch28.028</x:t>
        </x:is>
      </x:c>
      <x:c r="B92" s="81" t="inlineStr">
        <x:is>
          <x:t xml:space="preserve">Collected</x:t>
        </x:is>
      </x:c>
      <x:c r="C92" s="81" t="inlineStr">
        <x:is>
          <x:t xml:space="preserve">Nội tâm &amp; hiểu mình</x:t>
        </x:is>
      </x:c>
      <x:c r="D92" s="81" t="inlineStr">
        <x:is>
          <x:t xml:space="preserve">Day 2 / Laozi 21–50</x:t>
        </x:is>
      </x:c>
      <x:c r="E92" s="81" t="n"/>
      <x:c r="F92" s="81" t="inlineStr">
        <x:is>
          <x:t xml:space="preserve">Không để vinh–nhục quyết định toàn bộ giá trị</x:t>
        </x:is>
      </x:c>
      <x:c r="G92" s="81" t="inlineStr">
        <x:is>
          <x:t xml:space="preserve">Self-worth</x:t>
        </x:is>
      </x:c>
      <x:c r="H92" s="81" t="n"/>
      <x:c r="I92" s="81" t="n"/>
      <x:c r="J92" s="81" t="n"/>
      <x:c r="K92" s="81" t="inlineStr">
        <x:is>
          <x:t xml:space="preserve">Distinguish</x:t>
        </x:is>
      </x:c>
      <x:c r="L92" s="81" t="n"/>
      <x:c r="M92" s="81" t="inlineStr">
        <x:is>
          <x:t xml:space="preserve">Trích đoạn triết học</x:t>
        </x:is>
      </x:c>
      <x:c r="N92" s="81" t="inlineStr">
        <x:is>
          <x:t xml:space="preserve">知其榮，守其辱，為天下谷。</x:t>
        </x:is>
      </x:c>
      <x:c r="O92" s="81" t="inlineStr">
        <x:is>
          <x:t xml:space="preserve">Classical Chinese (文言文)</x:t>
        </x:is>
      </x:c>
      <x:c r="P92" s="81" t="inlineStr">
        <x:is>
          <x:t xml:space="preserve">Biết vinh mà vẫn giữ được khả năng ở cùng phần thấp và khó chịu.</x:t>
        </x:is>
      </x:c>
      <x:c r="Q92" s="81" t="inlineStr">
        <x:is>
          <x:t xml:space="preserve">Laozi / 老子</x:t>
        </x:is>
      </x:c>
      <x:c r="R92" s="81" t="inlineStr">
        <x:is>
          <x:t xml:space="preserve">Taoism</x:t>
        </x:is>
      </x:c>
      <x:c r="S92" s="81" t="inlineStr">
        <x:is>
          <x:t xml:space="preserve">道德經 / Tao Te Ching</x:t>
        </x:is>
      </x:c>
      <x:c r="T92" s="81" t="inlineStr">
        <x:is>
          <x:t xml:space="preserve">Chapter 28</x:t>
        </x:is>
      </x:c>
      <x:c r="U92" s="81" t="inlineStr">
        <x:is>
          <x:t xml:space="preserve">https://zh.wikisource.org/zh-hant/%E9%81%93%E5%BE%B7%E7%B6%93_%28%E7%8E%8B%E5%BC%BC%E6%9C%AC%29</x:t>
        </x:is>
      </x:c>
      <x:c r="V92" s="81" t="inlineStr">
        <x:is>
          <x:t xml:space="preserve">Primary text</x:t>
        </x:is>
      </x:c>
      <x:c r="W92" s="81" t="inlineStr">
        <x:is>
          <x:t xml:space="preserve">Working translation</x:t>
        </x:is>
      </x:c>
      <x:c r="X92" s="81" t="inlineStr">
        <x:is>
          <x:t xml:space="preserve">A - Primary source</x:t>
        </x:is>
      </x:c>
      <x:c r="Y92" s="81" t="inlineStr">
        <x:is>
          <x:t xml:space="preserve">Original Chinese checked against Wang Bi recension; Vietnamese is Selflo working translation, not a published translation.</x:t>
        </x:is>
      </x:c>
      <x:c r="Z92" s="81" t="inlineStr">
        <x:is>
          <x:t xml:space="preserve">Public domain / likely</x:t>
        </x:is>
      </x:c>
      <x:c r="AA92" s="81" t="inlineStr">
        <x:is>
          <x:t xml:space="preserve">Ancient source text. Verify jurisdiction/edition before commercial publication.</x:t>
        </x:is>
      </x:c>
      <x:c r="AB92" s="81" t="inlineStr">
        <x:is>
          <x:t xml:space="preserve">High</x:t>
        </x:is>
      </x:c>
      <x:c r="AC92" s="81" t="inlineStr">
        <x:is>
          <x:t xml:space="preserve">Self-worth/comparison.</x:t>
        </x:is>
      </x:c>
      <x:c r="AD92" s="81" t="inlineStr">
        <x:is>
          <x:t xml:space="preserve">Needs editorial review</x:t>
        </x:is>
      </x:c>
      <x:c r="AE92" s="81" t="inlineStr">
        <x:is>
          <x:t xml:space="preserve">Needs semantic dedupe review</x:t>
        </x:is>
      </x:c>
      <x:c r="AF92" s="81" t="n"/>
      <x:c r="AG92" s="81" t="n"/>
      <x:c r="AH92" s="81" t="inlineStr">
        <x:is>
          <x:t xml:space="preserve">No</x:t>
        </x:is>
      </x:c>
      <x:c r="AI92" s="81" t="inlineStr">
        <x:is>
          <x:t xml:space="preserve">Not reviewed</x:t>
        </x:is>
      </x:c>
      <x:c r="AJ92" s="81" t="inlineStr">
        <x:is>
          <x:t xml:space="preserve">Research only</x:t>
        </x:is>
      </x:c>
      <x:c r="AK92" s="81" t="inlineStr">
        <x:is>
          <x:t xml:space="preserve">Research Pool</x:t>
        </x:is>
      </x:c>
      <x:c r="AL92" s="81" t="n">
        <x:v>2</x:v>
      </x:c>
      <x:c r="AM92" s="81" t="inlineStr">
        <x:is>
          <x:t xml:space="preserve">ChatGPT research</x:t>
        </x:is>
      </x:c>
      <x:c r="AN92" s="81" t="inlineStr">
        <x:is>
          <x:t xml:space="preserve">2026-09-18</x:t>
        </x:is>
      </x:c>
      <x:c r="AO92" s="81" t="inlineStr">
        <x:is>
          <x:t xml:space="preserve">Day 2 full-scope audit, chapters 21–50.</x:t>
        </x:is>
      </x:c>
      <x:c r="AP92" s="81" t="n"/>
      <x:c r="AQ92" s="81" t="n"/>
    </x:row>
    <x:row r="93">
      <x:c r="A93" s="81" t="inlineStr">
        <x:is>
          <x:t xml:space="preserve">research.laozi.day2.ch28.029</x:t>
        </x:is>
      </x:c>
      <x:c r="B93" s="81" t="inlineStr">
        <x:is>
          <x:t xml:space="preserve">Collected</x:t>
        </x:is>
      </x:c>
      <x:c r="C93" s="81" t="inlineStr">
        <x:is>
          <x:t xml:space="preserve">Nội tâm &amp; hiểu mình</x:t>
        </x:is>
      </x:c>
      <x:c r="D93" s="81" t="inlineStr">
        <x:is>
          <x:t xml:space="preserve">Day 2 / Laozi 21–50</x:t>
        </x:is>
      </x:c>
      <x:c r="E93" s="81" t="n"/>
      <x:c r="F93" s="81" t="inlineStr">
        <x:is>
          <x:t xml:space="preserve">Trở về phần chưa bị tô vẽ</x:t>
        </x:is>
      </x:c>
      <x:c r="G93" s="81" t="inlineStr">
        <x:is>
          <x:t xml:space="preserve">Identity</x:t>
        </x:is>
      </x:c>
      <x:c r="H93" s="81" t="n"/>
      <x:c r="I93" s="81" t="n"/>
      <x:c r="J93" s="81" t="n"/>
      <x:c r="K93" s="81" t="inlineStr">
        <x:is>
          <x:t xml:space="preserve">Reframe</x:t>
        </x:is>
      </x:c>
      <x:c r="L93" s="81" t="n"/>
      <x:c r="M93" s="81" t="inlineStr">
        <x:is>
          <x:t xml:space="preserve">Trích đoạn triết học</x:t>
        </x:is>
      </x:c>
      <x:c r="N93" s="81" t="inlineStr">
        <x:is>
          <x:t xml:space="preserve">復歸於嬰兒。</x:t>
        </x:is>
      </x:c>
      <x:c r="O93" s="81" t="inlineStr">
        <x:is>
          <x:t xml:space="preserve">Classical Chinese (文言文)</x:t>
        </x:is>
      </x:c>
      <x:c r="P93" s="81" t="inlineStr">
        <x:is>
          <x:t xml:space="preserve">Trở về sự nguyên sơ như trẻ nhỏ.</x:t>
        </x:is>
      </x:c>
      <x:c r="Q93" s="81" t="inlineStr">
        <x:is>
          <x:t xml:space="preserve">Laozi / 老子</x:t>
        </x:is>
      </x:c>
      <x:c r="R93" s="81" t="inlineStr">
        <x:is>
          <x:t xml:space="preserve">Taoism</x:t>
        </x:is>
      </x:c>
      <x:c r="S93" s="81" t="inlineStr">
        <x:is>
          <x:t xml:space="preserve">道德經 / Tao Te Ching</x:t>
        </x:is>
      </x:c>
      <x:c r="T93" s="81" t="inlineStr">
        <x:is>
          <x:t xml:space="preserve">Chapter 28</x:t>
        </x:is>
      </x:c>
      <x:c r="U93" s="81" t="inlineStr">
        <x:is>
          <x:t xml:space="preserve">https://zh.wikisource.org/zh-hant/%E9%81%93%E5%BE%B7%E7%B6%93_%28%E7%8E%8B%E5%BC%BC%E6%9C%AC%29</x:t>
        </x:is>
      </x:c>
      <x:c r="V93" s="81" t="inlineStr">
        <x:is>
          <x:t xml:space="preserve">Primary text</x:t>
        </x:is>
      </x:c>
      <x:c r="W93" s="81" t="inlineStr">
        <x:is>
          <x:t xml:space="preserve">Working translation</x:t>
        </x:is>
      </x:c>
      <x:c r="X93" s="81" t="inlineStr">
        <x:is>
          <x:t xml:space="preserve">A - Primary source</x:t>
        </x:is>
      </x:c>
      <x:c r="Y93" s="81" t="inlineStr">
        <x:is>
          <x:t xml:space="preserve">Original Chinese checked against Wang Bi recension; Vietnamese is Selflo working translation, not a published translation.</x:t>
        </x:is>
      </x:c>
      <x:c r="Z93" s="81" t="inlineStr">
        <x:is>
          <x:t xml:space="preserve">Public domain / likely</x:t>
        </x:is>
      </x:c>
      <x:c r="AA93" s="81" t="inlineStr">
        <x:is>
          <x:t xml:space="preserve">Ancient source text. Verify jurisdiction/edition before commercial publication.</x:t>
        </x:is>
      </x:c>
      <x:c r="AB93" s="81" t="inlineStr">
        <x:is>
          <x:t xml:space="preserve">Medium</x:t>
        </x:is>
      </x:c>
      <x:c r="AC93" s="81" t="inlineStr">
        <x:is>
          <x:t xml:space="preserve">Không literalize infantilization.</x:t>
        </x:is>
      </x:c>
      <x:c r="AD93" s="81" t="inlineStr">
        <x:is>
          <x:t xml:space="preserve">Needs editorial review</x:t>
        </x:is>
      </x:c>
      <x:c r="AE93" s="81" t="inlineStr">
        <x:is>
          <x:t xml:space="preserve">Needs semantic dedupe review</x:t>
        </x:is>
      </x:c>
      <x:c r="AF93" s="81" t="n"/>
      <x:c r="AG93" s="81" t="n"/>
      <x:c r="AH93" s="81" t="inlineStr">
        <x:is>
          <x:t xml:space="preserve">No</x:t>
        </x:is>
      </x:c>
      <x:c r="AI93" s="81" t="inlineStr">
        <x:is>
          <x:t xml:space="preserve">Not reviewed</x:t>
        </x:is>
      </x:c>
      <x:c r="AJ93" s="81" t="inlineStr">
        <x:is>
          <x:t xml:space="preserve">Research only</x:t>
        </x:is>
      </x:c>
      <x:c r="AK93" s="81" t="inlineStr">
        <x:is>
          <x:t xml:space="preserve">Research Pool</x:t>
        </x:is>
      </x:c>
      <x:c r="AL93" s="81" t="n">
        <x:v>2</x:v>
      </x:c>
      <x:c r="AM93" s="81" t="inlineStr">
        <x:is>
          <x:t xml:space="preserve">ChatGPT research</x:t>
        </x:is>
      </x:c>
      <x:c r="AN93" s="81" t="inlineStr">
        <x:is>
          <x:t xml:space="preserve">2026-09-18</x:t>
        </x:is>
      </x:c>
      <x:c r="AO93" s="81" t="inlineStr">
        <x:is>
          <x:t xml:space="preserve">Day 2 full-scope audit, chapters 21–50.</x:t>
        </x:is>
      </x:c>
      <x:c r="AP93" s="81" t="n"/>
      <x:c r="AQ93" s="81" t="n"/>
    </x:row>
    <x:row r="94">
      <x:c r="A94" s="81" t="inlineStr">
        <x:is>
          <x:t xml:space="preserve">research.laozi.day2.ch28.030</x:t>
        </x:is>
      </x:c>
      <x:c r="B94" s="81" t="inlineStr">
        <x:is>
          <x:t xml:space="preserve">Collected</x:t>
        </x:is>
      </x:c>
      <x:c r="C94" s="81" t="inlineStr">
        <x:is>
          <x:t xml:space="preserve">Nội tâm &amp; hiểu mình</x:t>
        </x:is>
      </x:c>
      <x:c r="D94" s="81" t="inlineStr">
        <x:is>
          <x:t xml:space="preserve">Day 2 / Laozi 21–50</x:t>
        </x:is>
      </x:c>
      <x:c r="E94" s="81" t="n"/>
      <x:c r="F94" s="81" t="inlineStr">
        <x:is>
          <x:t xml:space="preserve">Không bị khóa vào một cực duy nhất</x:t>
        </x:is>
      </x:c>
      <x:c r="G94" s="81" t="inlineStr">
        <x:is>
          <x:t xml:space="preserve">Acceptance</x:t>
        </x:is>
      </x:c>
      <x:c r="H94" s="81" t="n"/>
      <x:c r="I94" s="81" t="n"/>
      <x:c r="J94" s="81" t="n"/>
      <x:c r="K94" s="81" t="inlineStr">
        <x:is>
          <x:t xml:space="preserve">Reframe</x:t>
        </x:is>
      </x:c>
      <x:c r="L94" s="81" t="n"/>
      <x:c r="M94" s="81" t="inlineStr">
        <x:is>
          <x:t xml:space="preserve">Trích đoạn triết học</x:t>
        </x:is>
      </x:c>
      <x:c r="N94" s="81" t="inlineStr">
        <x:is>
          <x:t xml:space="preserve">復歸於無極。</x:t>
        </x:is>
      </x:c>
      <x:c r="O94" s="81" t="inlineStr">
        <x:is>
          <x:t xml:space="preserve">Classical Chinese (文言文)</x:t>
        </x:is>
      </x:c>
      <x:c r="P94" s="81" t="inlineStr">
        <x:is>
          <x:t xml:space="preserve">Trở về chỗ không bị giới hạn bởi một cực.</x:t>
        </x:is>
      </x:c>
      <x:c r="Q94" s="81" t="inlineStr">
        <x:is>
          <x:t xml:space="preserve">Laozi / 老子</x:t>
        </x:is>
      </x:c>
      <x:c r="R94" s="81" t="inlineStr">
        <x:is>
          <x:t xml:space="preserve">Taoism</x:t>
        </x:is>
      </x:c>
      <x:c r="S94" s="81" t="inlineStr">
        <x:is>
          <x:t xml:space="preserve">道德經 / Tao Te Ching</x:t>
        </x:is>
      </x:c>
      <x:c r="T94" s="81" t="inlineStr">
        <x:is>
          <x:t xml:space="preserve">Chapter 28</x:t>
        </x:is>
      </x:c>
      <x:c r="U94" s="81" t="inlineStr">
        <x:is>
          <x:t xml:space="preserve">https://zh.wikisource.org/zh-hant/%E9%81%93%E5%BE%B7%E7%B6%93_%28%E7%8E%8B%E5%BC%BC%E6%9C%AC%29</x:t>
        </x:is>
      </x:c>
      <x:c r="V94" s="81" t="inlineStr">
        <x:is>
          <x:t xml:space="preserve">Primary text</x:t>
        </x:is>
      </x:c>
      <x:c r="W94" s="81" t="inlineStr">
        <x:is>
          <x:t xml:space="preserve">Working translation</x:t>
        </x:is>
      </x:c>
      <x:c r="X94" s="81" t="inlineStr">
        <x:is>
          <x:t xml:space="preserve">A - Primary source</x:t>
        </x:is>
      </x:c>
      <x:c r="Y94" s="81" t="inlineStr">
        <x:is>
          <x:t xml:space="preserve">Original Chinese checked against Wang Bi recension; Vietnamese is Selflo working translation, not a published translation.</x:t>
        </x:is>
      </x:c>
      <x:c r="Z94" s="81" t="inlineStr">
        <x:is>
          <x:t xml:space="preserve">Public domain / likely</x:t>
        </x:is>
      </x:c>
      <x:c r="AA94" s="81" t="inlineStr">
        <x:is>
          <x:t xml:space="preserve">Ancient source text. Verify jurisdiction/edition before commercial publication.</x:t>
        </x:is>
      </x:c>
      <x:c r="AB94" s="81" t="inlineStr">
        <x:is>
          <x:t xml:space="preserve">High</x:t>
        </x:is>
      </x:c>
      <x:c r="AC94" s="81" t="inlineStr">
        <x:is>
          <x:t xml:space="preserve">Metaphysical but useful.</x:t>
        </x:is>
      </x:c>
      <x:c r="AD94" s="81" t="inlineStr">
        <x:is>
          <x:t xml:space="preserve">Needs editorial review</x:t>
        </x:is>
      </x:c>
      <x:c r="AE94" s="81" t="inlineStr">
        <x:is>
          <x:t xml:space="preserve">Needs semantic dedupe review</x:t>
        </x:is>
      </x:c>
      <x:c r="AF94" s="81" t="n"/>
      <x:c r="AG94" s="81" t="n"/>
      <x:c r="AH94" s="81" t="inlineStr">
        <x:is>
          <x:t xml:space="preserve">No</x:t>
        </x:is>
      </x:c>
      <x:c r="AI94" s="81" t="inlineStr">
        <x:is>
          <x:t xml:space="preserve">Not reviewed</x:t>
        </x:is>
      </x:c>
      <x:c r="AJ94" s="81" t="inlineStr">
        <x:is>
          <x:t xml:space="preserve">Research only</x:t>
        </x:is>
      </x:c>
      <x:c r="AK94" s="81" t="inlineStr">
        <x:is>
          <x:t xml:space="preserve">Research Pool</x:t>
        </x:is>
      </x:c>
      <x:c r="AL94" s="81" t="n">
        <x:v>2</x:v>
      </x:c>
      <x:c r="AM94" s="81" t="inlineStr">
        <x:is>
          <x:t xml:space="preserve">ChatGPT research</x:t>
        </x:is>
      </x:c>
      <x:c r="AN94" s="81" t="inlineStr">
        <x:is>
          <x:t xml:space="preserve">2026-09-18</x:t>
        </x:is>
      </x:c>
      <x:c r="AO94" s="81" t="inlineStr">
        <x:is>
          <x:t xml:space="preserve">Day 2 full-scope audit, chapters 21–50.</x:t>
        </x:is>
      </x:c>
      <x:c r="AP94" s="81" t="n"/>
      <x:c r="AQ94" s="81" t="n"/>
    </x:row>
    <x:row r="95">
      <x:c r="A95" s="81" t="inlineStr">
        <x:is>
          <x:t xml:space="preserve">research.laozi.day2.ch28.031</x:t>
        </x:is>
      </x:c>
      <x:c r="B95" s="81" t="inlineStr">
        <x:is>
          <x:t xml:space="preserve">Collected</x:t>
        </x:is>
      </x:c>
      <x:c r="C95" s="81" t="inlineStr">
        <x:is>
          <x:t xml:space="preserve">Nội tâm &amp; hiểu mình</x:t>
        </x:is>
      </x:c>
      <x:c r="D95" s="81" t="inlineStr">
        <x:is>
          <x:t xml:space="preserve">Day 2 / Laozi 21–50</x:t>
        </x:is>
      </x:c>
      <x:c r="E95" s="81" t="n"/>
      <x:c r="F95" s="81" t="inlineStr">
        <x:is>
          <x:t xml:space="preserve">Trở về điều đơn giản trước lớp tô vẽ</x:t>
        </x:is>
      </x:c>
      <x:c r="G95" s="81" t="inlineStr">
        <x:is>
          <x:t xml:space="preserve">Simplicity</x:t>
        </x:is>
      </x:c>
      <x:c r="H95" s="81" t="n"/>
      <x:c r="I95" s="81" t="n"/>
      <x:c r="J95" s="81" t="n"/>
      <x:c r="K95" s="81" t="inlineStr">
        <x:is>
          <x:t xml:space="preserve">Reframe</x:t>
        </x:is>
      </x:c>
      <x:c r="L95" s="81" t="n"/>
      <x:c r="M95" s="81" t="inlineStr">
        <x:is>
          <x:t xml:space="preserve">Trích đoạn triết học</x:t>
        </x:is>
      </x:c>
      <x:c r="N95" s="81" t="inlineStr">
        <x:is>
          <x:t xml:space="preserve">復歸於樸。</x:t>
        </x:is>
      </x:c>
      <x:c r="O95" s="81" t="inlineStr">
        <x:is>
          <x:t xml:space="preserve">Classical Chinese (文言文)</x:t>
        </x:is>
      </x:c>
      <x:c r="P95" s="81" t="inlineStr">
        <x:is>
          <x:t xml:space="preserve">Trở về phần mộc chưa bị đẽo gọt.</x:t>
        </x:is>
      </x:c>
      <x:c r="Q95" s="81" t="inlineStr">
        <x:is>
          <x:t xml:space="preserve">Laozi / 老子</x:t>
        </x:is>
      </x:c>
      <x:c r="R95" s="81" t="inlineStr">
        <x:is>
          <x:t xml:space="preserve">Taoism</x:t>
        </x:is>
      </x:c>
      <x:c r="S95" s="81" t="inlineStr">
        <x:is>
          <x:t xml:space="preserve">道德經 / Tao Te Ching</x:t>
        </x:is>
      </x:c>
      <x:c r="T95" s="81" t="inlineStr">
        <x:is>
          <x:t xml:space="preserve">Chapter 28</x:t>
        </x:is>
      </x:c>
      <x:c r="U95" s="81" t="inlineStr">
        <x:is>
          <x:t xml:space="preserve">https://zh.wikisource.org/zh-hant/%E9%81%93%E5%BE%B7%E7%B6%93_%28%E7%8E%8B%E5%BC%BC%E6%9C%AC%29</x:t>
        </x:is>
      </x:c>
      <x:c r="V95" s="81" t="inlineStr">
        <x:is>
          <x:t xml:space="preserve">Primary text</x:t>
        </x:is>
      </x:c>
      <x:c r="W95" s="81" t="inlineStr">
        <x:is>
          <x:t xml:space="preserve">Working translation</x:t>
        </x:is>
      </x:c>
      <x:c r="X95" s="81" t="inlineStr">
        <x:is>
          <x:t xml:space="preserve">A - Primary source</x:t>
        </x:is>
      </x:c>
      <x:c r="Y95" s="81" t="inlineStr">
        <x:is>
          <x:t xml:space="preserve">Original Chinese checked against Wang Bi recension; Vietnamese is Selflo working translation, not a published translation.</x:t>
        </x:is>
      </x:c>
      <x:c r="Z95" s="81" t="inlineStr">
        <x:is>
          <x:t xml:space="preserve">Public domain / likely</x:t>
        </x:is>
      </x:c>
      <x:c r="AA95" s="81" t="inlineStr">
        <x:is>
          <x:t xml:space="preserve">Ancient source text. Verify jurisdiction/edition before commercial publication.</x:t>
        </x:is>
      </x:c>
      <x:c r="AB95" s="81" t="inlineStr">
        <x:is>
          <x:t xml:space="preserve">High</x:t>
        </x:is>
      </x:c>
      <x:c r="AC95" s="81" t="inlineStr">
        <x:is>
          <x:t xml:space="preserve">Strong Selflo metaphor.</x:t>
        </x:is>
      </x:c>
      <x:c r="AD95" s="81" t="inlineStr">
        <x:is>
          <x:t xml:space="preserve">Needs editorial review</x:t>
        </x:is>
      </x:c>
      <x:c r="AE95" s="81" t="inlineStr">
        <x:is>
          <x:t xml:space="preserve">Needs semantic dedupe review</x:t>
        </x:is>
      </x:c>
      <x:c r="AF95" s="81" t="n"/>
      <x:c r="AG95" s="81" t="n"/>
      <x:c r="AH95" s="81" t="inlineStr">
        <x:is>
          <x:t xml:space="preserve">No</x:t>
        </x:is>
      </x:c>
      <x:c r="AI95" s="81" t="inlineStr">
        <x:is>
          <x:t xml:space="preserve">Not reviewed</x:t>
        </x:is>
      </x:c>
      <x:c r="AJ95" s="81" t="inlineStr">
        <x:is>
          <x:t xml:space="preserve">Research only</x:t>
        </x:is>
      </x:c>
      <x:c r="AK95" s="81" t="inlineStr">
        <x:is>
          <x:t xml:space="preserve">Research Pool</x:t>
        </x:is>
      </x:c>
      <x:c r="AL95" s="81" t="n">
        <x:v>2</x:v>
      </x:c>
      <x:c r="AM95" s="81" t="inlineStr">
        <x:is>
          <x:t xml:space="preserve">ChatGPT research</x:t>
        </x:is>
      </x:c>
      <x:c r="AN95" s="81" t="inlineStr">
        <x:is>
          <x:t xml:space="preserve">2026-09-18</x:t>
        </x:is>
      </x:c>
      <x:c r="AO95" s="81" t="inlineStr">
        <x:is>
          <x:t xml:space="preserve">Day 2 full-scope audit, chapters 21–50.</x:t>
        </x:is>
      </x:c>
      <x:c r="AP95" s="81" t="n"/>
      <x:c r="AQ95" s="81" t="n"/>
    </x:row>
    <x:row r="96">
      <x:c r="A96" s="81" t="inlineStr">
        <x:is>
          <x:t xml:space="preserve">research.laozi.day2.ch29.032</x:t>
        </x:is>
      </x:c>
      <x:c r="B96" s="81" t="inlineStr">
        <x:is>
          <x:t xml:space="preserve">Collected</x:t>
        </x:is>
      </x:c>
      <x:c r="C96" s="81" t="inlineStr">
        <x:is>
          <x:t xml:space="preserve">Nội tâm &amp; hiểu mình</x:t>
        </x:is>
      </x:c>
      <x:c r="D96" s="81" t="inlineStr">
        <x:is>
          <x:t xml:space="preserve">Day 2 / Laozi 21–50</x:t>
        </x:is>
      </x:c>
      <x:c r="E96" s="81" t="n"/>
      <x:c r="F96" s="81" t="inlineStr">
        <x:is>
          <x:t xml:space="preserve">Không phải mọi thứ đều có thể kiểm soát bằng can thiệp</x:t>
        </x:is>
      </x:c>
      <x:c r="G96" s="81" t="inlineStr">
        <x:is>
          <x:t xml:space="preserve">Control</x:t>
        </x:is>
      </x:c>
      <x:c r="H96" s="81" t="n"/>
      <x:c r="I96" s="81" t="n"/>
      <x:c r="J96" s="81" t="n"/>
      <x:c r="K96" s="81" t="inlineStr">
        <x:is>
          <x:t xml:space="preserve">Distinguish</x:t>
        </x:is>
      </x:c>
      <x:c r="L96" s="81" t="n"/>
      <x:c r="M96" s="81" t="inlineStr">
        <x:is>
          <x:t xml:space="preserve">Trích đoạn triết học</x:t>
        </x:is>
      </x:c>
      <x:c r="N96" s="81" t="inlineStr">
        <x:is>
          <x:t xml:space="preserve">將欲取天下而為之，吾見其不得已。</x:t>
        </x:is>
      </x:c>
      <x:c r="O96" s="81" t="inlineStr">
        <x:is>
          <x:t xml:space="preserve">Classical Chinese (文言文)</x:t>
        </x:is>
      </x:c>
      <x:c r="P96" s="81" t="inlineStr">
        <x:is>
          <x:t xml:space="preserve">Muốn nắm cả thế giới rồi cưỡng làm theo ý mình, đoạn văn cho rằng điều ấy khó thành.</x:t>
        </x:is>
      </x:c>
      <x:c r="Q96" s="81" t="inlineStr">
        <x:is>
          <x:t xml:space="preserve">Laozi / 老子</x:t>
        </x:is>
      </x:c>
      <x:c r="R96" s="81" t="inlineStr">
        <x:is>
          <x:t xml:space="preserve">Taoism</x:t>
        </x:is>
      </x:c>
      <x:c r="S96" s="81" t="inlineStr">
        <x:is>
          <x:t xml:space="preserve">道德經 / Tao Te Ching</x:t>
        </x:is>
      </x:c>
      <x:c r="T96" s="81" t="inlineStr">
        <x:is>
          <x:t xml:space="preserve">Chapter 29</x:t>
        </x:is>
      </x:c>
      <x:c r="U96" s="81" t="inlineStr">
        <x:is>
          <x:t xml:space="preserve">https://zh.wikisource.org/zh-hant/%E9%81%93%E5%BE%B7%E7%B6%93_%28%E7%8E%8B%E5%BC%BC%E6%9C%AC%29</x:t>
        </x:is>
      </x:c>
      <x:c r="V96" s="81" t="inlineStr">
        <x:is>
          <x:t xml:space="preserve">Primary text</x:t>
        </x:is>
      </x:c>
      <x:c r="W96" s="81" t="inlineStr">
        <x:is>
          <x:t xml:space="preserve">Working translation</x:t>
        </x:is>
      </x:c>
      <x:c r="X96" s="81" t="inlineStr">
        <x:is>
          <x:t xml:space="preserve">A - Primary source</x:t>
        </x:is>
      </x:c>
      <x:c r="Y96" s="81" t="inlineStr">
        <x:is>
          <x:t xml:space="preserve">Original Chinese checked against Wang Bi recension; Vietnamese is Selflo working translation, not a published translation.</x:t>
        </x:is>
      </x:c>
      <x:c r="Z96" s="81" t="inlineStr">
        <x:is>
          <x:t xml:space="preserve">Public domain / likely</x:t>
        </x:is>
      </x:c>
      <x:c r="AA96" s="81" t="inlineStr">
        <x:is>
          <x:t xml:space="preserve">Ancient source text. Verify jurisdiction/edition before commercial publication.</x:t>
        </x:is>
      </x:c>
      <x:c r="AB96" s="81" t="inlineStr">
        <x:is>
          <x:t xml:space="preserve">High</x:t>
        </x:is>
      </x:c>
      <x:c r="AC96" s="81" t="inlineStr">
        <x:is>
          <x:t xml:space="preserve">Agency/control.</x:t>
        </x:is>
      </x:c>
      <x:c r="AD96" s="81" t="inlineStr">
        <x:is>
          <x:t xml:space="preserve">Needs editorial review</x:t>
        </x:is>
      </x:c>
      <x:c r="AE96" s="81" t="inlineStr">
        <x:is>
          <x:t xml:space="preserve">Needs semantic dedupe review</x:t>
        </x:is>
      </x:c>
      <x:c r="AF96" s="81" t="n"/>
      <x:c r="AG96" s="81" t="n"/>
      <x:c r="AH96" s="81" t="inlineStr">
        <x:is>
          <x:t xml:space="preserve">No</x:t>
        </x:is>
      </x:c>
      <x:c r="AI96" s="81" t="inlineStr">
        <x:is>
          <x:t xml:space="preserve">Not reviewed</x:t>
        </x:is>
      </x:c>
      <x:c r="AJ96" s="81" t="inlineStr">
        <x:is>
          <x:t xml:space="preserve">Research only</x:t>
        </x:is>
      </x:c>
      <x:c r="AK96" s="81" t="inlineStr">
        <x:is>
          <x:t xml:space="preserve">Research Pool</x:t>
        </x:is>
      </x:c>
      <x:c r="AL96" s="81" t="n">
        <x:v>2</x:v>
      </x:c>
      <x:c r="AM96" s="81" t="inlineStr">
        <x:is>
          <x:t xml:space="preserve">ChatGPT research</x:t>
        </x:is>
      </x:c>
      <x:c r="AN96" s="81" t="inlineStr">
        <x:is>
          <x:t xml:space="preserve">2026-09-18</x:t>
        </x:is>
      </x:c>
      <x:c r="AO96" s="81" t="inlineStr">
        <x:is>
          <x:t xml:space="preserve">Day 2 full-scope audit, chapters 21–50.</x:t>
        </x:is>
      </x:c>
      <x:c r="AP96" s="81" t="n"/>
      <x:c r="AQ96" s="81" t="n"/>
    </x:row>
    <x:row r="97">
      <x:c r="A97" s="81" t="inlineStr">
        <x:is>
          <x:t xml:space="preserve">research.laozi.day2.ch29.033</x:t>
        </x:is>
      </x:c>
      <x:c r="B97" s="81" t="inlineStr">
        <x:is>
          <x:t xml:space="preserve">Collected</x:t>
        </x:is>
      </x:c>
      <x:c r="C97" s="81" t="inlineStr">
        <x:is>
          <x:t xml:space="preserve">Nội tâm &amp; hiểu mình</x:t>
        </x:is>
      </x:c>
      <x:c r="D97" s="81" t="inlineStr">
        <x:is>
          <x:t xml:space="preserve">Day 2 / Laozi 21–50</x:t>
        </x:is>
      </x:c>
      <x:c r="E97" s="81" t="n"/>
      <x:c r="F97" s="81" t="inlineStr">
        <x:is>
          <x:t xml:space="preserve">Chấp nhận giới hạn của kiểm soát</x:t>
        </x:is>
      </x:c>
      <x:c r="G97" s="81" t="inlineStr">
        <x:is>
          <x:t xml:space="preserve">Control</x:t>
        </x:is>
      </x:c>
      <x:c r="H97" s="81" t="n"/>
      <x:c r="I97" s="81" t="n"/>
      <x:c r="J97" s="81" t="n"/>
      <x:c r="K97" s="81" t="inlineStr">
        <x:is>
          <x:t xml:space="preserve">Permit</x:t>
        </x:is>
      </x:c>
      <x:c r="L97" s="81" t="n"/>
      <x:c r="M97" s="81" t="inlineStr">
        <x:is>
          <x:t xml:space="preserve">Trích đoạn triết học</x:t>
        </x:is>
      </x:c>
      <x:c r="N97" s="81" t="inlineStr">
        <x:is>
          <x:t xml:space="preserve">天下神器，不可為也，不可執也。</x:t>
        </x:is>
      </x:c>
      <x:c r="O97" s="81" t="inlineStr">
        <x:is>
          <x:t xml:space="preserve">Classical Chinese (文言文)</x:t>
        </x:is>
      </x:c>
      <x:c r="P97" s="81" t="inlineStr">
        <x:is>
          <x:t xml:space="preserve">Có những điều không thể bị cưỡng làm hay nắm giữ như một vật sở hữu.</x:t>
        </x:is>
      </x:c>
      <x:c r="Q97" s="81" t="inlineStr">
        <x:is>
          <x:t xml:space="preserve">Laozi / 老子</x:t>
        </x:is>
      </x:c>
      <x:c r="R97" s="81" t="inlineStr">
        <x:is>
          <x:t xml:space="preserve">Taoism</x:t>
        </x:is>
      </x:c>
      <x:c r="S97" s="81" t="inlineStr">
        <x:is>
          <x:t xml:space="preserve">道德經 / Tao Te Ching</x:t>
        </x:is>
      </x:c>
      <x:c r="T97" s="81" t="inlineStr">
        <x:is>
          <x:t xml:space="preserve">Chapter 29</x:t>
        </x:is>
      </x:c>
      <x:c r="U97" s="81" t="inlineStr">
        <x:is>
          <x:t xml:space="preserve">https://zh.wikisource.org/zh-hant/%E9%81%93%E5%BE%B7%E7%B6%93_%28%E7%8E%8B%E5%BC%BC%E6%9C%AC%29</x:t>
        </x:is>
      </x:c>
      <x:c r="V97" s="81" t="inlineStr">
        <x:is>
          <x:t xml:space="preserve">Primary text</x:t>
        </x:is>
      </x:c>
      <x:c r="W97" s="81" t="inlineStr">
        <x:is>
          <x:t xml:space="preserve">Working translation</x:t>
        </x:is>
      </x:c>
      <x:c r="X97" s="81" t="inlineStr">
        <x:is>
          <x:t xml:space="preserve">A - Primary source</x:t>
        </x:is>
      </x:c>
      <x:c r="Y97" s="81" t="inlineStr">
        <x:is>
          <x:t xml:space="preserve">Original Chinese checked against Wang Bi recension; Vietnamese is Selflo working translation, not a published translation.</x:t>
        </x:is>
      </x:c>
      <x:c r="Z97" s="81" t="inlineStr">
        <x:is>
          <x:t xml:space="preserve">Public domain / likely</x:t>
        </x:is>
      </x:c>
      <x:c r="AA97" s="81" t="inlineStr">
        <x:is>
          <x:t xml:space="preserve">Ancient source text. Verify jurisdiction/edition before commercial publication.</x:t>
        </x:is>
      </x:c>
      <x:c r="AB97" s="81" t="inlineStr">
        <x:is>
          <x:t xml:space="preserve">High</x:t>
        </x:is>
      </x:c>
      <x:c r="AC97" s="81" t="inlineStr">
        <x:is>
          <x:t xml:space="preserve">Strong.</x:t>
        </x:is>
      </x:c>
      <x:c r="AD97" s="81" t="inlineStr">
        <x:is>
          <x:t xml:space="preserve">Needs editorial review</x:t>
        </x:is>
      </x:c>
      <x:c r="AE97" s="81" t="inlineStr">
        <x:is>
          <x:t xml:space="preserve">Needs semantic dedupe review</x:t>
        </x:is>
      </x:c>
      <x:c r="AF97" s="81" t="n"/>
      <x:c r="AG97" s="81" t="n"/>
      <x:c r="AH97" s="81" t="inlineStr">
        <x:is>
          <x:t xml:space="preserve">No</x:t>
        </x:is>
      </x:c>
      <x:c r="AI97" s="81" t="inlineStr">
        <x:is>
          <x:t xml:space="preserve">Not reviewed</x:t>
        </x:is>
      </x:c>
      <x:c r="AJ97" s="81" t="inlineStr">
        <x:is>
          <x:t xml:space="preserve">Research only</x:t>
        </x:is>
      </x:c>
      <x:c r="AK97" s="81" t="inlineStr">
        <x:is>
          <x:t xml:space="preserve">Research Pool</x:t>
        </x:is>
      </x:c>
      <x:c r="AL97" s="81" t="n">
        <x:v>2</x:v>
      </x:c>
      <x:c r="AM97" s="81" t="inlineStr">
        <x:is>
          <x:t xml:space="preserve">ChatGPT research</x:t>
        </x:is>
      </x:c>
      <x:c r="AN97" s="81" t="inlineStr">
        <x:is>
          <x:t xml:space="preserve">2026-09-18</x:t>
        </x:is>
      </x:c>
      <x:c r="AO97" s="81" t="inlineStr">
        <x:is>
          <x:t xml:space="preserve">Day 2 full-scope audit, chapters 21–50.</x:t>
        </x:is>
      </x:c>
      <x:c r="AP97" s="81" t="n"/>
      <x:c r="AQ97" s="81" t="n"/>
    </x:row>
    <x:row r="98">
      <x:c r="A98" s="81" t="inlineStr">
        <x:is>
          <x:t xml:space="preserve">research.laozi.day2.ch29.034</x:t>
        </x:is>
      </x:c>
      <x:c r="B98" s="81" t="inlineStr">
        <x:is>
          <x:t xml:space="preserve">Collected</x:t>
        </x:is>
      </x:c>
      <x:c r="C98" s="81" t="inlineStr">
        <x:is>
          <x:t xml:space="preserve">Nội tâm &amp; hiểu mình</x:t>
        </x:is>
      </x:c>
      <x:c r="D98" s="81" t="inlineStr">
        <x:is>
          <x:t xml:space="preserve">Day 2 / Laozi 21–50</x:t>
        </x:is>
      </x:c>
      <x:c r="E98" s="81" t="n"/>
      <x:c r="F98" s="81" t="inlineStr">
        <x:is>
          <x:t xml:space="preserve">Nắm quá chặt đôi khi làm mất điều mình muốn giữ</x:t>
        </x:is>
      </x:c>
      <x:c r="G98" s="81" t="inlineStr">
        <x:is>
          <x:t xml:space="preserve">Control</x:t>
        </x:is>
      </x:c>
      <x:c r="H98" s="81" t="n"/>
      <x:c r="I98" s="81" t="n"/>
      <x:c r="J98" s="81" t="n"/>
      <x:c r="K98" s="81" t="inlineStr">
        <x:is>
          <x:t xml:space="preserve">Reframe</x:t>
        </x:is>
      </x:c>
      <x:c r="L98" s="81" t="n"/>
      <x:c r="M98" s="81" t="inlineStr">
        <x:is>
          <x:t xml:space="preserve">Trích đoạn triết học</x:t>
        </x:is>
      </x:c>
      <x:c r="N98" s="81" t="inlineStr">
        <x:is>
          <x:t xml:space="preserve">為者敗之，執者失之。</x:t>
        </x:is>
      </x:c>
      <x:c r="O98" s="81" t="inlineStr">
        <x:is>
          <x:t xml:space="preserve">Classical Chinese (文言文)</x:t>
        </x:is>
      </x:c>
      <x:c r="P98" s="81" t="inlineStr">
        <x:is>
          <x:t xml:space="preserve">Cưỡng làm có thể làm hỏng; nắm quá chặt có thể làm mất.</x:t>
        </x:is>
      </x:c>
      <x:c r="Q98" s="81" t="inlineStr">
        <x:is>
          <x:t xml:space="preserve">Laozi / 老子</x:t>
        </x:is>
      </x:c>
      <x:c r="R98" s="81" t="inlineStr">
        <x:is>
          <x:t xml:space="preserve">Taoism</x:t>
        </x:is>
      </x:c>
      <x:c r="S98" s="81" t="inlineStr">
        <x:is>
          <x:t xml:space="preserve">道德經 / Tao Te Ching</x:t>
        </x:is>
      </x:c>
      <x:c r="T98" s="81" t="inlineStr">
        <x:is>
          <x:t xml:space="preserve">Chapter 29</x:t>
        </x:is>
      </x:c>
      <x:c r="U98" s="81" t="inlineStr">
        <x:is>
          <x:t xml:space="preserve">https://zh.wikisource.org/zh-hant/%E9%81%93%E5%BE%B7%E7%B6%93_%28%E7%8E%8B%E5%BC%BC%E6%9C%AC%29</x:t>
        </x:is>
      </x:c>
      <x:c r="V98" s="81" t="inlineStr">
        <x:is>
          <x:t xml:space="preserve">Primary text</x:t>
        </x:is>
      </x:c>
      <x:c r="W98" s="81" t="inlineStr">
        <x:is>
          <x:t xml:space="preserve">Working translation</x:t>
        </x:is>
      </x:c>
      <x:c r="X98" s="81" t="inlineStr">
        <x:is>
          <x:t xml:space="preserve">A - Primary source</x:t>
        </x:is>
      </x:c>
      <x:c r="Y98" s="81" t="inlineStr">
        <x:is>
          <x:t xml:space="preserve">Original Chinese checked against Wang Bi recension; Vietnamese is Selflo working translation, not a published translation.</x:t>
        </x:is>
      </x:c>
      <x:c r="Z98" s="81" t="inlineStr">
        <x:is>
          <x:t xml:space="preserve">Public domain / likely</x:t>
        </x:is>
      </x:c>
      <x:c r="AA98" s="81" t="inlineStr">
        <x:is>
          <x:t xml:space="preserve">Ancient source text. Verify jurisdiction/edition before commercial publication.</x:t>
        </x:is>
      </x:c>
      <x:c r="AB98" s="81" t="inlineStr">
        <x:is>
          <x:t xml:space="preserve">High</x:t>
        </x:is>
      </x:c>
      <x:c r="AC98" s="81" t="inlineStr">
        <x:is>
          <x:t xml:space="preserve">Strong but avoid universalizing.</x:t>
        </x:is>
      </x:c>
      <x:c r="AD98" s="81" t="inlineStr">
        <x:is>
          <x:t xml:space="preserve">Needs editorial review</x:t>
        </x:is>
      </x:c>
      <x:c r="AE98" s="81" t="inlineStr">
        <x:is>
          <x:t xml:space="preserve">Needs semantic dedupe review</x:t>
        </x:is>
      </x:c>
      <x:c r="AF98" s="81" t="n"/>
      <x:c r="AG98" s="81" t="n"/>
      <x:c r="AH98" s="81" t="inlineStr">
        <x:is>
          <x:t xml:space="preserve">No</x:t>
        </x:is>
      </x:c>
      <x:c r="AI98" s="81" t="inlineStr">
        <x:is>
          <x:t xml:space="preserve">Not reviewed</x:t>
        </x:is>
      </x:c>
      <x:c r="AJ98" s="81" t="inlineStr">
        <x:is>
          <x:t xml:space="preserve">Research only</x:t>
        </x:is>
      </x:c>
      <x:c r="AK98" s="81" t="inlineStr">
        <x:is>
          <x:t xml:space="preserve">Research Pool</x:t>
        </x:is>
      </x:c>
      <x:c r="AL98" s="81" t="n">
        <x:v>2</x:v>
      </x:c>
      <x:c r="AM98" s="81" t="inlineStr">
        <x:is>
          <x:t xml:space="preserve">ChatGPT research</x:t>
        </x:is>
      </x:c>
      <x:c r="AN98" s="81" t="inlineStr">
        <x:is>
          <x:t xml:space="preserve">2026-09-18</x:t>
        </x:is>
      </x:c>
      <x:c r="AO98" s="81" t="inlineStr">
        <x:is>
          <x:t xml:space="preserve">Day 2 full-scope audit, chapters 21–50.</x:t>
        </x:is>
      </x:c>
      <x:c r="AP98" s="81" t="n"/>
      <x:c r="AQ98" s="81" t="n"/>
    </x:row>
    <x:row r="99">
      <x:c r="A99" s="81" t="inlineStr">
        <x:is>
          <x:t xml:space="preserve">research.laozi.day2.ch29.035</x:t>
        </x:is>
      </x:c>
      <x:c r="B99" s="81" t="inlineStr">
        <x:is>
          <x:t xml:space="preserve">Collected</x:t>
        </x:is>
      </x:c>
      <x:c r="C99" s="81" t="inlineStr">
        <x:is>
          <x:t xml:space="preserve">Nội tâm &amp; hiểu mình</x:t>
        </x:is>
      </x:c>
      <x:c r="D99" s="81" t="inlineStr">
        <x:is>
          <x:t xml:space="preserve">Day 2 / Laozi 21–50</x:t>
        </x:is>
      </x:c>
      <x:c r="E99" s="81" t="n"/>
      <x:c r="F99" s="81" t="inlineStr">
        <x:is>
          <x:t xml:space="preserve">Nhịp và vị trí thay đổi theo hoàn cảnh</x:t>
        </x:is>
      </x:c>
      <x:c r="G99" s="81" t="inlineStr">
        <x:is>
          <x:t xml:space="preserve">Change</x:t>
        </x:is>
      </x:c>
      <x:c r="H99" s="81" t="n"/>
      <x:c r="I99" s="81" t="n"/>
      <x:c r="J99" s="81" t="n"/>
      <x:c r="K99" s="81" t="inlineStr">
        <x:is>
          <x:t xml:space="preserve">Permit</x:t>
        </x:is>
      </x:c>
      <x:c r="L99" s="81" t="n"/>
      <x:c r="M99" s="81" t="inlineStr">
        <x:is>
          <x:t xml:space="preserve">Trích đoạn triết học</x:t>
        </x:is>
      </x:c>
      <x:c r="N99" s="81" t="inlineStr">
        <x:is>
          <x:t xml:space="preserve">物或行或隨，或歔或吹，或強或羸，或載或隳。</x:t>
        </x:is>
      </x:c>
      <x:c r="O99" s="81" t="inlineStr">
        <x:is>
          <x:t xml:space="preserve">Classical Chinese (文言文)</x:t>
        </x:is>
      </x:c>
      <x:c r="P99" s="81" t="inlineStr">
        <x:is>
          <x:t xml:space="preserve">Sự vật có lúc đi trước, lúc theo sau; lúc mạnh, lúc yếu; lúc nâng lên, lúc rơi xuống.</x:t>
        </x:is>
      </x:c>
      <x:c r="Q99" s="81" t="inlineStr">
        <x:is>
          <x:t xml:space="preserve">Laozi / 老子</x:t>
        </x:is>
      </x:c>
      <x:c r="R99" s="81" t="inlineStr">
        <x:is>
          <x:t xml:space="preserve">Taoism</x:t>
        </x:is>
      </x:c>
      <x:c r="S99" s="81" t="inlineStr">
        <x:is>
          <x:t xml:space="preserve">道德經 / Tao Te Ching</x:t>
        </x:is>
      </x:c>
      <x:c r="T99" s="81" t="inlineStr">
        <x:is>
          <x:t xml:space="preserve">Chapter 29</x:t>
        </x:is>
      </x:c>
      <x:c r="U99" s="81" t="inlineStr">
        <x:is>
          <x:t xml:space="preserve">https://zh.wikisource.org/zh-hant/%E9%81%93%E5%BE%B7%E7%B6%93_%28%E7%8E%8B%E5%BC%BC%E6%9C%AC%29</x:t>
        </x:is>
      </x:c>
      <x:c r="V99" s="81" t="inlineStr">
        <x:is>
          <x:t xml:space="preserve">Primary text</x:t>
        </x:is>
      </x:c>
      <x:c r="W99" s="81" t="inlineStr">
        <x:is>
          <x:t xml:space="preserve">Working translation</x:t>
        </x:is>
      </x:c>
      <x:c r="X99" s="81" t="inlineStr">
        <x:is>
          <x:t xml:space="preserve">A - Primary source</x:t>
        </x:is>
      </x:c>
      <x:c r="Y99" s="81" t="inlineStr">
        <x:is>
          <x:t xml:space="preserve">Original Chinese checked against Wang Bi recension; Vietnamese is Selflo working translation, not a published translation.</x:t>
        </x:is>
      </x:c>
      <x:c r="Z99" s="81" t="inlineStr">
        <x:is>
          <x:t xml:space="preserve">Public domain / likely</x:t>
        </x:is>
      </x:c>
      <x:c r="AA99" s="81" t="inlineStr">
        <x:is>
          <x:t xml:space="preserve">Ancient source text. Verify jurisdiction/edition before commercial publication.</x:t>
        </x:is>
      </x:c>
      <x:c r="AB99" s="81" t="inlineStr">
        <x:is>
          <x:t xml:space="preserve">High</x:t>
        </x:is>
      </x:c>
      <x:c r="AC99" s="81" t="inlineStr">
        <x:is>
          <x:t xml:space="preserve">Context and variability.</x:t>
        </x:is>
      </x:c>
      <x:c r="AD99" s="81" t="inlineStr">
        <x:is>
          <x:t xml:space="preserve">Needs editorial review</x:t>
        </x:is>
      </x:c>
      <x:c r="AE99" s="81" t="inlineStr">
        <x:is>
          <x:t xml:space="preserve">Needs semantic dedupe review</x:t>
        </x:is>
      </x:c>
      <x:c r="AF99" s="81" t="n"/>
      <x:c r="AG99" s="81" t="n"/>
      <x:c r="AH99" s="81" t="inlineStr">
        <x:is>
          <x:t xml:space="preserve">No</x:t>
        </x:is>
      </x:c>
      <x:c r="AI99" s="81" t="inlineStr">
        <x:is>
          <x:t xml:space="preserve">Not reviewed</x:t>
        </x:is>
      </x:c>
      <x:c r="AJ99" s="81" t="inlineStr">
        <x:is>
          <x:t xml:space="preserve">Research only</x:t>
        </x:is>
      </x:c>
      <x:c r="AK99" s="81" t="inlineStr">
        <x:is>
          <x:t xml:space="preserve">Research Pool</x:t>
        </x:is>
      </x:c>
      <x:c r="AL99" s="81" t="n">
        <x:v>2</x:v>
      </x:c>
      <x:c r="AM99" s="81" t="inlineStr">
        <x:is>
          <x:t xml:space="preserve">ChatGPT research</x:t>
        </x:is>
      </x:c>
      <x:c r="AN99" s="81" t="inlineStr">
        <x:is>
          <x:t xml:space="preserve">2026-09-18</x:t>
        </x:is>
      </x:c>
      <x:c r="AO99" s="81" t="inlineStr">
        <x:is>
          <x:t xml:space="preserve">Day 2 full-scope audit, chapters 21–50.</x:t>
        </x:is>
      </x:c>
      <x:c r="AP99" s="81" t="n"/>
      <x:c r="AQ99" s="81" t="n"/>
    </x:row>
    <x:row r="100">
      <x:c r="A100" s="81" t="inlineStr">
        <x:is>
          <x:t xml:space="preserve">research.laozi.day2.ch29.036</x:t>
        </x:is>
      </x:c>
      <x:c r="B100" s="81" t="inlineStr">
        <x:is>
          <x:t xml:space="preserve">Collected</x:t>
        </x:is>
      </x:c>
      <x:c r="C100" s="81" t="inlineStr">
        <x:is>
          <x:t xml:space="preserve">Nội tâm &amp; hiểu mình</x:t>
        </x:is>
      </x:c>
      <x:c r="D100" s="81" t="inlineStr">
        <x:is>
          <x:t xml:space="preserve">Day 2 / Laozi 21–50</x:t>
        </x:is>
      </x:c>
      <x:c r="E100" s="81" t="n"/>
      <x:c r="F100" s="81" t="inlineStr">
        <x:is>
          <x:t xml:space="preserve">Giảm phần quá mức thay vì luôn thêm</x:t>
        </x:is>
      </x:c>
      <x:c r="G100" s="81" t="inlineStr">
        <x:is>
          <x:t xml:space="preserve">Enoughness</x:t>
        </x:is>
      </x:c>
      <x:c r="H100" s="81" t="n"/>
      <x:c r="I100" s="81" t="n"/>
      <x:c r="J100" s="81" t="n"/>
      <x:c r="K100" s="81" t="inlineStr">
        <x:is>
          <x:t xml:space="preserve">Reframe</x:t>
        </x:is>
      </x:c>
      <x:c r="L100" s="81" t="n"/>
      <x:c r="M100" s="81" t="inlineStr">
        <x:is>
          <x:t xml:space="preserve">Trích đoạn triết học</x:t>
        </x:is>
      </x:c>
      <x:c r="N100" s="81" t="inlineStr">
        <x:is>
          <x:t xml:space="preserve">去甚，去奢，去泰。</x:t>
        </x:is>
      </x:c>
      <x:c r="O100" s="81" t="inlineStr">
        <x:is>
          <x:t xml:space="preserve">Classical Chinese (文言文)</x:t>
        </x:is>
      </x:c>
      <x:c r="P100" s="81" t="inlineStr">
        <x:is>
          <x:t xml:space="preserve">Bỏ phần quá mức, phần phô trương và phần cực đoan.</x:t>
        </x:is>
      </x:c>
      <x:c r="Q100" s="81" t="inlineStr">
        <x:is>
          <x:t xml:space="preserve">Laozi / 老子</x:t>
        </x:is>
      </x:c>
      <x:c r="R100" s="81" t="inlineStr">
        <x:is>
          <x:t xml:space="preserve">Taoism</x:t>
        </x:is>
      </x:c>
      <x:c r="S100" s="81" t="inlineStr">
        <x:is>
          <x:t xml:space="preserve">道德經 / Tao Te Ching</x:t>
        </x:is>
      </x:c>
      <x:c r="T100" s="81" t="inlineStr">
        <x:is>
          <x:t xml:space="preserve">Chapter 29</x:t>
        </x:is>
      </x:c>
      <x:c r="U100" s="81" t="inlineStr">
        <x:is>
          <x:t xml:space="preserve">https://zh.wikisource.org/zh-hant/%E9%81%93%E5%BE%B7%E7%B6%93_%28%E7%8E%8B%E5%BC%BC%E6%9C%AC%29</x:t>
        </x:is>
      </x:c>
      <x:c r="V100" s="81" t="inlineStr">
        <x:is>
          <x:t xml:space="preserve">Primary text</x:t>
        </x:is>
      </x:c>
      <x:c r="W100" s="81" t="inlineStr">
        <x:is>
          <x:t xml:space="preserve">Working translation</x:t>
        </x:is>
      </x:c>
      <x:c r="X100" s="81" t="inlineStr">
        <x:is>
          <x:t xml:space="preserve">A - Primary source</x:t>
        </x:is>
      </x:c>
      <x:c r="Y100" s="81" t="inlineStr">
        <x:is>
          <x:t xml:space="preserve">Original Chinese checked against Wang Bi recension; Vietnamese is Selflo working translation, not a published translation.</x:t>
        </x:is>
      </x:c>
      <x:c r="Z100" s="81" t="inlineStr">
        <x:is>
          <x:t xml:space="preserve">Public domain / likely</x:t>
        </x:is>
      </x:c>
      <x:c r="AA100" s="81" t="inlineStr">
        <x:is>
          <x:t xml:space="preserve">Ancient source text. Verify jurisdiction/edition before commercial publication.</x:t>
        </x:is>
      </x:c>
      <x:c r="AB100" s="81" t="inlineStr">
        <x:is>
          <x:t xml:space="preserve">Medium</x:t>
        </x:is>
      </x:c>
      <x:c r="AC100" s="81" t="inlineStr">
        <x:is>
          <x:t xml:space="preserve">Directive tone.</x:t>
        </x:is>
      </x:c>
      <x:c r="AD100" s="81" t="inlineStr">
        <x:is>
          <x:t xml:space="preserve">Needs editorial review</x:t>
        </x:is>
      </x:c>
      <x:c r="AE100" s="81" t="inlineStr">
        <x:is>
          <x:t xml:space="preserve">Needs semantic dedupe review</x:t>
        </x:is>
      </x:c>
      <x:c r="AF100" s="81" t="n"/>
      <x:c r="AG100" s="81" t="n"/>
      <x:c r="AH100" s="81" t="inlineStr">
        <x:is>
          <x:t xml:space="preserve">No</x:t>
        </x:is>
      </x:c>
      <x:c r="AI100" s="81" t="inlineStr">
        <x:is>
          <x:t xml:space="preserve">Not reviewed</x:t>
        </x:is>
      </x:c>
      <x:c r="AJ100" s="81" t="inlineStr">
        <x:is>
          <x:t xml:space="preserve">Research only</x:t>
        </x:is>
      </x:c>
      <x:c r="AK100" s="81" t="inlineStr">
        <x:is>
          <x:t xml:space="preserve">Research Pool</x:t>
        </x:is>
      </x:c>
      <x:c r="AL100" s="81" t="n">
        <x:v>2</x:v>
      </x:c>
      <x:c r="AM100" s="81" t="inlineStr">
        <x:is>
          <x:t xml:space="preserve">ChatGPT research</x:t>
        </x:is>
      </x:c>
      <x:c r="AN100" s="81" t="inlineStr">
        <x:is>
          <x:t xml:space="preserve">2026-09-18</x:t>
        </x:is>
      </x:c>
      <x:c r="AO100" s="81" t="inlineStr">
        <x:is>
          <x:t xml:space="preserve">Day 2 full-scope audit, chapters 21–50.</x:t>
        </x:is>
      </x:c>
      <x:c r="AP100" s="81" t="n"/>
      <x:c r="AQ100" s="81" t="n"/>
    </x:row>
    <x:row r="101">
      <x:c r="A101" s="81" t="inlineStr">
        <x:is>
          <x:t xml:space="preserve">research.laozi.day2.ch30.037</x:t>
        </x:is>
      </x:c>
      <x:c r="B101" s="81" t="inlineStr">
        <x:is>
          <x:t xml:space="preserve">Collected</x:t>
        </x:is>
      </x:c>
      <x:c r="C101" s="81" t="inlineStr">
        <x:is>
          <x:t xml:space="preserve">Nội tâm &amp; hiểu mình</x:t>
        </x:is>
      </x:c>
      <x:c r="D101" s="81" t="inlineStr">
        <x:is>
          <x:t xml:space="preserve">Day 2 / Laozi 21–50</x:t>
        </x:is>
      </x:c>
      <x:c r="E101" s="81" t="n"/>
      <x:c r="F101" s="81" t="inlineStr">
        <x:is>
          <x:t xml:space="preserve">Kết quả không cần trở thành cái tôi</x:t>
        </x:is>
      </x:c>
      <x:c r="G101" s="81" t="inlineStr">
        <x:is>
          <x:t xml:space="preserve">Identity</x:t>
        </x:is>
      </x:c>
      <x:c r="H101" s="81" t="n"/>
      <x:c r="I101" s="81" t="n"/>
      <x:c r="J101" s="81" t="n"/>
      <x:c r="K101" s="81" t="inlineStr">
        <x:is>
          <x:t xml:space="preserve">Distinguish</x:t>
        </x:is>
      </x:c>
      <x:c r="L101" s="81" t="n"/>
      <x:c r="M101" s="81" t="inlineStr">
        <x:is>
          <x:t xml:space="preserve">Trích đoạn triết học</x:t>
        </x:is>
      </x:c>
      <x:c r="N101" s="81" t="inlineStr">
        <x:is>
          <x:t xml:space="preserve">果而勿矜，果而勿伐，果而勿驕。</x:t>
        </x:is>
      </x:c>
      <x:c r="O101" s="81" t="inlineStr">
        <x:is>
          <x:t xml:space="preserve">Classical Chinese (文言文)</x:t>
        </x:is>
      </x:c>
      <x:c r="P101" s="81" t="inlineStr">
        <x:is>
          <x:t xml:space="preserve">Đạt kết quả mà không cần tự tôn, kể công hay kiêu ngạo.</x:t>
        </x:is>
      </x:c>
      <x:c r="Q101" s="81" t="inlineStr">
        <x:is>
          <x:t xml:space="preserve">Laozi / 老子</x:t>
        </x:is>
      </x:c>
      <x:c r="R101" s="81" t="inlineStr">
        <x:is>
          <x:t xml:space="preserve">Taoism</x:t>
        </x:is>
      </x:c>
      <x:c r="S101" s="81" t="inlineStr">
        <x:is>
          <x:t xml:space="preserve">道德經 / Tao Te Ching</x:t>
        </x:is>
      </x:c>
      <x:c r="T101" s="81" t="inlineStr">
        <x:is>
          <x:t xml:space="preserve">Chapter 30</x:t>
        </x:is>
      </x:c>
      <x:c r="U101" s="81" t="inlineStr">
        <x:is>
          <x:t xml:space="preserve">https://zh.wikisource.org/zh-hant/%E9%81%93%E5%BE%B7%E7%B6%93_%28%E7%8E%8B%E5%BC%BC%E6%9C%AC%29</x:t>
        </x:is>
      </x:c>
      <x:c r="V101" s="81" t="inlineStr">
        <x:is>
          <x:t xml:space="preserve">Primary text</x:t>
        </x:is>
      </x:c>
      <x:c r="W101" s="81" t="inlineStr">
        <x:is>
          <x:t xml:space="preserve">Working translation</x:t>
        </x:is>
      </x:c>
      <x:c r="X101" s="81" t="inlineStr">
        <x:is>
          <x:t xml:space="preserve">A - Primary source</x:t>
        </x:is>
      </x:c>
      <x:c r="Y101" s="81" t="inlineStr">
        <x:is>
          <x:t xml:space="preserve">Original Chinese checked against Wang Bi recension; Vietnamese is Selflo working translation, not a published translation.</x:t>
        </x:is>
      </x:c>
      <x:c r="Z101" s="81" t="inlineStr">
        <x:is>
          <x:t xml:space="preserve">Public domain / likely</x:t>
        </x:is>
      </x:c>
      <x:c r="AA101" s="81" t="inlineStr">
        <x:is>
          <x:t xml:space="preserve">Ancient source text. Verify jurisdiction/edition before commercial publication.</x:t>
        </x:is>
      </x:c>
      <x:c r="AB101" s="81" t="inlineStr">
        <x:is>
          <x:t xml:space="preserve">High</x:t>
        </x:is>
      </x:c>
      <x:c r="AC101" s="81" t="inlineStr">
        <x:is>
          <x:t xml:space="preserve">Achievement identity.</x:t>
        </x:is>
      </x:c>
      <x:c r="AD101" s="81" t="inlineStr">
        <x:is>
          <x:t xml:space="preserve">Needs editorial review</x:t>
        </x:is>
      </x:c>
      <x:c r="AE101" s="81" t="inlineStr">
        <x:is>
          <x:t xml:space="preserve">Needs semantic dedupe review</x:t>
        </x:is>
      </x:c>
      <x:c r="AF101" s="81" t="n"/>
      <x:c r="AG101" s="81" t="n"/>
      <x:c r="AH101" s="81" t="inlineStr">
        <x:is>
          <x:t xml:space="preserve">No</x:t>
        </x:is>
      </x:c>
      <x:c r="AI101" s="81" t="inlineStr">
        <x:is>
          <x:t xml:space="preserve">Not reviewed</x:t>
        </x:is>
      </x:c>
      <x:c r="AJ101" s="81" t="inlineStr">
        <x:is>
          <x:t xml:space="preserve">Research only</x:t>
        </x:is>
      </x:c>
      <x:c r="AK101" s="81" t="inlineStr">
        <x:is>
          <x:t xml:space="preserve">Research Pool</x:t>
        </x:is>
      </x:c>
      <x:c r="AL101" s="81" t="n">
        <x:v>2</x:v>
      </x:c>
      <x:c r="AM101" s="81" t="inlineStr">
        <x:is>
          <x:t xml:space="preserve">ChatGPT research</x:t>
        </x:is>
      </x:c>
      <x:c r="AN101" s="81" t="inlineStr">
        <x:is>
          <x:t xml:space="preserve">2026-09-18</x:t>
        </x:is>
      </x:c>
      <x:c r="AO101" s="81" t="inlineStr">
        <x:is>
          <x:t xml:space="preserve">Day 2 full-scope audit, chapters 21–50.</x:t>
        </x:is>
      </x:c>
      <x:c r="AP101" s="81" t="n"/>
      <x:c r="AQ101" s="81" t="n"/>
    </x:row>
    <x:row r="102">
      <x:c r="A102" s="81" t="inlineStr">
        <x:is>
          <x:t xml:space="preserve">research.laozi.day2.ch30.038</x:t>
        </x:is>
      </x:c>
      <x:c r="B102" s="81" t="inlineStr">
        <x:is>
          <x:t xml:space="preserve">Collected</x:t>
        </x:is>
      </x:c>
      <x:c r="C102" s="81" t="inlineStr">
        <x:is>
          <x:t xml:space="preserve">Nội tâm &amp; hiểu mình</x:t>
        </x:is>
      </x:c>
      <x:c r="D102" s="81" t="inlineStr">
        <x:is>
          <x:t xml:space="preserve">Day 2 / Laozi 21–50</x:t>
        </x:is>
      </x:c>
      <x:c r="E102" s="81" t="n"/>
      <x:c r="F102" s="81" t="inlineStr">
        <x:is>
          <x:t xml:space="preserve">Không mặc định cưỡng ép là sức mạnh</x:t>
        </x:is>
      </x:c>
      <x:c r="G102" s="81" t="inlineStr">
        <x:is>
          <x:t xml:space="preserve">Agency</x:t>
        </x:is>
      </x:c>
      <x:c r="H102" s="81" t="n"/>
      <x:c r="I102" s="81" t="n"/>
      <x:c r="J102" s="81" t="n"/>
      <x:c r="K102" s="81" t="inlineStr">
        <x:is>
          <x:t xml:space="preserve">Distinguish</x:t>
        </x:is>
      </x:c>
      <x:c r="L102" s="81" t="n"/>
      <x:c r="M102" s="81" t="inlineStr">
        <x:is>
          <x:t xml:space="preserve">Trích đoạn triết học</x:t>
        </x:is>
      </x:c>
      <x:c r="N102" s="81" t="inlineStr">
        <x:is>
          <x:t xml:space="preserve">果而不得已，果而勿強。</x:t>
        </x:is>
      </x:c>
      <x:c r="O102" s="81" t="inlineStr">
        <x:is>
          <x:t xml:space="preserve">Classical Chinese (文言文)</x:t>
        </x:is>
      </x:c>
      <x:c r="P102" s="81" t="inlineStr">
        <x:is>
          <x:t xml:space="preserve">Làm điều cần làm nhưng không lấy sức ép làm nguyên tắc mặc định.</x:t>
        </x:is>
      </x:c>
      <x:c r="Q102" s="81" t="inlineStr">
        <x:is>
          <x:t xml:space="preserve">Laozi / 老子</x:t>
        </x:is>
      </x:c>
      <x:c r="R102" s="81" t="inlineStr">
        <x:is>
          <x:t xml:space="preserve">Taoism</x:t>
        </x:is>
      </x:c>
      <x:c r="S102" s="81" t="inlineStr">
        <x:is>
          <x:t xml:space="preserve">道德經 / Tao Te Ching</x:t>
        </x:is>
      </x:c>
      <x:c r="T102" s="81" t="inlineStr">
        <x:is>
          <x:t xml:space="preserve">Chapter 30</x:t>
        </x:is>
      </x:c>
      <x:c r="U102" s="81" t="inlineStr">
        <x:is>
          <x:t xml:space="preserve">https://zh.wikisource.org/zh-hant/%E9%81%93%E5%BE%B7%E7%B6%93_%28%E7%8E%8B%E5%BC%BC%E6%9C%AC%29</x:t>
        </x:is>
      </x:c>
      <x:c r="V102" s="81" t="inlineStr">
        <x:is>
          <x:t xml:space="preserve">Primary text</x:t>
        </x:is>
      </x:c>
      <x:c r="W102" s="81" t="inlineStr">
        <x:is>
          <x:t xml:space="preserve">Working translation</x:t>
        </x:is>
      </x:c>
      <x:c r="X102" s="81" t="inlineStr">
        <x:is>
          <x:t xml:space="preserve">A - Primary source</x:t>
        </x:is>
      </x:c>
      <x:c r="Y102" s="81" t="inlineStr">
        <x:is>
          <x:t xml:space="preserve">Original Chinese checked against Wang Bi recension; Vietnamese is Selflo working translation, not a published translation.</x:t>
        </x:is>
      </x:c>
      <x:c r="Z102" s="81" t="inlineStr">
        <x:is>
          <x:t xml:space="preserve">Public domain / likely</x:t>
        </x:is>
      </x:c>
      <x:c r="AA102" s="81" t="inlineStr">
        <x:is>
          <x:t xml:space="preserve">Ancient source text. Verify jurisdiction/edition before commercial publication.</x:t>
        </x:is>
      </x:c>
      <x:c r="AB102" s="81" t="inlineStr">
        <x:is>
          <x:t xml:space="preserve">Medium</x:t>
        </x:is>
      </x:c>
      <x:c r="AC102" s="81" t="inlineStr">
        <x:is>
          <x:t xml:space="preserve">Working translation interpretive.</x:t>
        </x:is>
      </x:c>
      <x:c r="AD102" s="81" t="inlineStr">
        <x:is>
          <x:t xml:space="preserve">Needs editorial review</x:t>
        </x:is>
      </x:c>
      <x:c r="AE102" s="81" t="inlineStr">
        <x:is>
          <x:t xml:space="preserve">Needs semantic dedupe review</x:t>
        </x:is>
      </x:c>
      <x:c r="AF102" s="81" t="n"/>
      <x:c r="AG102" s="81" t="n"/>
      <x:c r="AH102" s="81" t="inlineStr">
        <x:is>
          <x:t xml:space="preserve">No</x:t>
        </x:is>
      </x:c>
      <x:c r="AI102" s="81" t="inlineStr">
        <x:is>
          <x:t xml:space="preserve">Not reviewed</x:t>
        </x:is>
      </x:c>
      <x:c r="AJ102" s="81" t="inlineStr">
        <x:is>
          <x:t xml:space="preserve">Research only</x:t>
        </x:is>
      </x:c>
      <x:c r="AK102" s="81" t="inlineStr">
        <x:is>
          <x:t xml:space="preserve">Research Pool</x:t>
        </x:is>
      </x:c>
      <x:c r="AL102" s="81" t="n">
        <x:v>2</x:v>
      </x:c>
      <x:c r="AM102" s="81" t="inlineStr">
        <x:is>
          <x:t xml:space="preserve">ChatGPT research</x:t>
        </x:is>
      </x:c>
      <x:c r="AN102" s="81" t="inlineStr">
        <x:is>
          <x:t xml:space="preserve">2026-09-18</x:t>
        </x:is>
      </x:c>
      <x:c r="AO102" s="81" t="inlineStr">
        <x:is>
          <x:t xml:space="preserve">Day 2 full-scope audit, chapters 21–50.</x:t>
        </x:is>
      </x:c>
      <x:c r="AP102" s="81" t="n"/>
      <x:c r="AQ102" s="81" t="n"/>
    </x:row>
    <x:row r="103">
      <x:c r="A103" s="81" t="inlineStr">
        <x:is>
          <x:t xml:space="preserve">research.laozi.day2.ch30.039</x:t>
        </x:is>
      </x:c>
      <x:c r="B103" s="81" t="inlineStr">
        <x:is>
          <x:t xml:space="preserve">Collected</x:t>
        </x:is>
      </x:c>
      <x:c r="C103" s="81" t="inlineStr">
        <x:is>
          <x:t xml:space="preserve">Nội tâm &amp; hiểu mình</x:t>
        </x:is>
      </x:c>
      <x:c r="D103" s="81" t="inlineStr">
        <x:is>
          <x:t xml:space="preserve">Day 2 / Laozi 21–50</x:t>
        </x:is>
      </x:c>
      <x:c r="E103" s="81" t="n"/>
      <x:c r="F103" s="81" t="inlineStr">
        <x:is>
          <x:t xml:space="preserve">Cường độ không thể tăng mãi</x:t>
        </x:is>
      </x:c>
      <x:c r="G103" s="81" t="inlineStr">
        <x:is>
          <x:t xml:space="preserve">Impermanence</x:t>
        </x:is>
      </x:c>
      <x:c r="H103" s="81" t="n"/>
      <x:c r="I103" s="81" t="n"/>
      <x:c r="J103" s="81" t="n"/>
      <x:c r="K103" s="81" t="inlineStr">
        <x:is>
          <x:t xml:space="preserve">Reframe</x:t>
        </x:is>
      </x:c>
      <x:c r="L103" s="81" t="n"/>
      <x:c r="M103" s="81" t="inlineStr">
        <x:is>
          <x:t xml:space="preserve">Trích đoạn triết học</x:t>
        </x:is>
      </x:c>
      <x:c r="N103" s="81" t="inlineStr">
        <x:is>
          <x:t xml:space="preserve">物壯則老，是謂不道，不道早已。</x:t>
        </x:is>
      </x:c>
      <x:c r="O103" s="81" t="inlineStr">
        <x:is>
          <x:t xml:space="preserve">Classical Chinese (文言文)</x:t>
        </x:is>
      </x:c>
      <x:c r="P103" s="81" t="inlineStr">
        <x:is>
          <x:t xml:space="preserve">Điều bị đẩy đến cực thịnh rồi cũng đi về suy; đoạn văn xem cưỡng mạnh kéo dài là trái nhịp.</x:t>
        </x:is>
      </x:c>
      <x:c r="Q103" s="81" t="inlineStr">
        <x:is>
          <x:t xml:space="preserve">Laozi / 老子</x:t>
        </x:is>
      </x:c>
      <x:c r="R103" s="81" t="inlineStr">
        <x:is>
          <x:t xml:space="preserve">Taoism</x:t>
        </x:is>
      </x:c>
      <x:c r="S103" s="81" t="inlineStr">
        <x:is>
          <x:t xml:space="preserve">道德經 / Tao Te Ching</x:t>
        </x:is>
      </x:c>
      <x:c r="T103" s="81" t="inlineStr">
        <x:is>
          <x:t xml:space="preserve">Chapter 30</x:t>
        </x:is>
      </x:c>
      <x:c r="U103" s="81" t="inlineStr">
        <x:is>
          <x:t xml:space="preserve">https://zh.wikisource.org/zh-hant/%E9%81%93%E5%BE%B7%E7%B6%93_%28%E7%8E%8B%E5%BC%BC%E6%9C%AC%29</x:t>
        </x:is>
      </x:c>
      <x:c r="V103" s="81" t="inlineStr">
        <x:is>
          <x:t xml:space="preserve">Primary text</x:t>
        </x:is>
      </x:c>
      <x:c r="W103" s="81" t="inlineStr">
        <x:is>
          <x:t xml:space="preserve">Working translation</x:t>
        </x:is>
      </x:c>
      <x:c r="X103" s="81" t="inlineStr">
        <x:is>
          <x:t xml:space="preserve">A - Primary source</x:t>
        </x:is>
      </x:c>
      <x:c r="Y103" s="81" t="inlineStr">
        <x:is>
          <x:t xml:space="preserve">Original Chinese checked against Wang Bi recension; Vietnamese is Selflo working translation, not a published translation.</x:t>
        </x:is>
      </x:c>
      <x:c r="Z103" s="81" t="inlineStr">
        <x:is>
          <x:t xml:space="preserve">Public domain / likely</x:t>
        </x:is>
      </x:c>
      <x:c r="AA103" s="81" t="inlineStr">
        <x:is>
          <x:t xml:space="preserve">Ancient source text. Verify jurisdiction/edition before commercial publication.</x:t>
        </x:is>
      </x:c>
      <x:c r="AB103" s="81" t="inlineStr">
        <x:is>
          <x:t xml:space="preserve">High</x:t>
        </x:is>
      </x:c>
      <x:c r="AC103" s="81" t="inlineStr">
        <x:is>
          <x:t xml:space="preserve">Limits/change.</x:t>
        </x:is>
      </x:c>
      <x:c r="AD103" s="81" t="inlineStr">
        <x:is>
          <x:t xml:space="preserve">Needs editorial review</x:t>
        </x:is>
      </x:c>
      <x:c r="AE103" s="81" t="inlineStr">
        <x:is>
          <x:t xml:space="preserve">Needs semantic dedupe review</x:t>
        </x:is>
      </x:c>
      <x:c r="AF103" s="81" t="n"/>
      <x:c r="AG103" s="81" t="n"/>
      <x:c r="AH103" s="81" t="inlineStr">
        <x:is>
          <x:t xml:space="preserve">No</x:t>
        </x:is>
      </x:c>
      <x:c r="AI103" s="81" t="inlineStr">
        <x:is>
          <x:t xml:space="preserve">Not reviewed</x:t>
        </x:is>
      </x:c>
      <x:c r="AJ103" s="81" t="inlineStr">
        <x:is>
          <x:t xml:space="preserve">Research only</x:t>
        </x:is>
      </x:c>
      <x:c r="AK103" s="81" t="inlineStr">
        <x:is>
          <x:t xml:space="preserve">Research Pool</x:t>
        </x:is>
      </x:c>
      <x:c r="AL103" s="81" t="n">
        <x:v>2</x:v>
      </x:c>
      <x:c r="AM103" s="81" t="inlineStr">
        <x:is>
          <x:t xml:space="preserve">ChatGPT research</x:t>
        </x:is>
      </x:c>
      <x:c r="AN103" s="81" t="inlineStr">
        <x:is>
          <x:t xml:space="preserve">2026-09-18</x:t>
        </x:is>
      </x:c>
      <x:c r="AO103" s="81" t="inlineStr">
        <x:is>
          <x:t xml:space="preserve">Day 2 full-scope audit, chapters 21–50.</x:t>
        </x:is>
      </x:c>
      <x:c r="AP103" s="81" t="n"/>
      <x:c r="AQ103" s="81" t="n"/>
    </x:row>
    <x:row r="104">
      <x:c r="A104" s="81" t="inlineStr">
        <x:is>
          <x:t xml:space="preserve">research.laozi.day2.ch31.040</x:t>
        </x:is>
      </x:c>
      <x:c r="B104" s="81" t="inlineStr">
        <x:is>
          <x:t xml:space="preserve">Collected</x:t>
        </x:is>
      </x:c>
      <x:c r="C104" s="81" t="inlineStr">
        <x:is>
          <x:t xml:space="preserve">Nội tâm &amp; hiểu mình</x:t>
        </x:is>
      </x:c>
      <x:c r="D104" s="81" t="inlineStr">
        <x:is>
          <x:t xml:space="preserve">Day 2 / Laozi 21–50</x:t>
        </x:is>
      </x:c>
      <x:c r="E104" s="81" t="n"/>
      <x:c r="F104" s="81" t="inlineStr">
        <x:is>
          <x:t xml:space="preserve">Không biến công cụ gây hại thành điều đáng tôn vinh</x:t>
        </x:is>
      </x:c>
      <x:c r="G104" s="81" t="inlineStr">
        <x:is>
          <x:t xml:space="preserve">Values</x:t>
        </x:is>
      </x:c>
      <x:c r="H104" s="81" t="n"/>
      <x:c r="I104" s="81" t="n"/>
      <x:c r="J104" s="81" t="n"/>
      <x:c r="K104" s="81" t="inlineStr">
        <x:is>
          <x:t xml:space="preserve">Distinguish</x:t>
        </x:is>
      </x:c>
      <x:c r="L104" s="81" t="n"/>
      <x:c r="M104" s="81" t="inlineStr">
        <x:is>
          <x:t xml:space="preserve">Trích đoạn triết học</x:t>
        </x:is>
      </x:c>
      <x:c r="N104" s="81" t="inlineStr">
        <x:is>
          <x:t xml:space="preserve">兵者不祥之器，非君子之器。</x:t>
        </x:is>
      </x:c>
      <x:c r="O104" s="81" t="inlineStr">
        <x:is>
          <x:t xml:space="preserve">Classical Chinese (文言文)</x:t>
        </x:is>
      </x:c>
      <x:c r="P104" s="81" t="inlineStr">
        <x:is>
          <x:t xml:space="preserve">Vũ khí được xem là công cụ bất tường, không phải thứ để người có đức yêu thích.</x:t>
        </x:is>
      </x:c>
      <x:c r="Q104" s="81" t="inlineStr">
        <x:is>
          <x:t xml:space="preserve">Laozi / 老子</x:t>
        </x:is>
      </x:c>
      <x:c r="R104" s="81" t="inlineStr">
        <x:is>
          <x:t xml:space="preserve">Taoism</x:t>
        </x:is>
      </x:c>
      <x:c r="S104" s="81" t="inlineStr">
        <x:is>
          <x:t xml:space="preserve">道德經 / Tao Te Ching</x:t>
        </x:is>
      </x:c>
      <x:c r="T104" s="81" t="inlineStr">
        <x:is>
          <x:t xml:space="preserve">Chapter 31</x:t>
        </x:is>
      </x:c>
      <x:c r="U104" s="81" t="inlineStr">
        <x:is>
          <x:t xml:space="preserve">https://zh.wikisource.org/zh-hant/%E9%81%93%E5%BE%B7%E7%B6%93_%28%E7%8E%8B%E5%BC%BC%E6%9C%AC%29</x:t>
        </x:is>
      </x:c>
      <x:c r="V104" s="81" t="inlineStr">
        <x:is>
          <x:t xml:space="preserve">Primary text</x:t>
        </x:is>
      </x:c>
      <x:c r="W104" s="81" t="inlineStr">
        <x:is>
          <x:t xml:space="preserve">Working translation</x:t>
        </x:is>
      </x:c>
      <x:c r="X104" s="81" t="inlineStr">
        <x:is>
          <x:t xml:space="preserve">A - Primary source</x:t>
        </x:is>
      </x:c>
      <x:c r="Y104" s="81" t="inlineStr">
        <x:is>
          <x:t xml:space="preserve">Original Chinese checked against Wang Bi recension; Vietnamese is Selflo working translation, not a published translation.</x:t>
        </x:is>
      </x:c>
      <x:c r="Z104" s="81" t="inlineStr">
        <x:is>
          <x:t xml:space="preserve">Public domain / likely</x:t>
        </x:is>
      </x:c>
      <x:c r="AA104" s="81" t="inlineStr">
        <x:is>
          <x:t xml:space="preserve">Ancient source text. Verify jurisdiction/edition before commercial publication.</x:t>
        </x:is>
      </x:c>
      <x:c r="AB104" s="81" t="inlineStr">
        <x:is>
          <x:t xml:space="preserve">Medium</x:t>
        </x:is>
      </x:c>
      <x:c r="AC104" s="81" t="inlineStr">
        <x:is>
          <x:t xml:space="preserve">Political/war context.</x:t>
        </x:is>
      </x:c>
      <x:c r="AD104" s="81" t="inlineStr">
        <x:is>
          <x:t xml:space="preserve">Needs editorial review</x:t>
        </x:is>
      </x:c>
      <x:c r="AE104" s="81" t="inlineStr">
        <x:is>
          <x:t xml:space="preserve">Needs semantic dedupe review</x:t>
        </x:is>
      </x:c>
      <x:c r="AF104" s="81" t="n"/>
      <x:c r="AG104" s="81" t="n"/>
      <x:c r="AH104" s="81" t="inlineStr">
        <x:is>
          <x:t xml:space="preserve">No</x:t>
        </x:is>
      </x:c>
      <x:c r="AI104" s="81" t="inlineStr">
        <x:is>
          <x:t xml:space="preserve">Not reviewed</x:t>
        </x:is>
      </x:c>
      <x:c r="AJ104" s="81" t="inlineStr">
        <x:is>
          <x:t xml:space="preserve">Research only</x:t>
        </x:is>
      </x:c>
      <x:c r="AK104" s="81" t="inlineStr">
        <x:is>
          <x:t xml:space="preserve">Research Pool</x:t>
        </x:is>
      </x:c>
      <x:c r="AL104" s="81" t="n">
        <x:v>2</x:v>
      </x:c>
      <x:c r="AM104" s="81" t="inlineStr">
        <x:is>
          <x:t xml:space="preserve">ChatGPT research</x:t>
        </x:is>
      </x:c>
      <x:c r="AN104" s="81" t="inlineStr">
        <x:is>
          <x:t xml:space="preserve">2026-09-18</x:t>
        </x:is>
      </x:c>
      <x:c r="AO104" s="81" t="inlineStr">
        <x:is>
          <x:t xml:space="preserve">Day 2 full-scope audit, chapters 21–50.</x:t>
        </x:is>
      </x:c>
      <x:c r="AP104" s="81" t="n"/>
      <x:c r="AQ104" s="81" t="n"/>
    </x:row>
    <x:row r="105">
      <x:c r="A105" s="81" t="inlineStr">
        <x:is>
          <x:t xml:space="preserve">research.laozi.day2.ch31.041</x:t>
        </x:is>
      </x:c>
      <x:c r="B105" s="81" t="inlineStr">
        <x:is>
          <x:t xml:space="preserve">Collected</x:t>
        </x:is>
      </x:c>
      <x:c r="C105" s="81" t="inlineStr">
        <x:is>
          <x:t xml:space="preserve">Nội tâm &amp; hiểu mình</x:t>
        </x:is>
      </x:c>
      <x:c r="D105" s="81" t="inlineStr">
        <x:is>
          <x:t xml:space="preserve">Day 2 / Laozi 21–50</x:t>
        </x:is>
      </x:c>
      <x:c r="E105" s="81" t="n"/>
      <x:c r="F105" s="81" t="inlineStr">
        <x:is>
          <x:t xml:space="preserve">Ngay khi phải đối đầu vẫn không cần tôn thờ xung đột</x:t>
        </x:is>
      </x:c>
      <x:c r="G105" s="81" t="inlineStr">
        <x:is>
          <x:t xml:space="preserve">Conflict</x:t>
        </x:is>
      </x:c>
      <x:c r="H105" s="81" t="n"/>
      <x:c r="I105" s="81" t="n"/>
      <x:c r="J105" s="81" t="n"/>
      <x:c r="K105" s="81" t="inlineStr">
        <x:is>
          <x:t xml:space="preserve">Reframe</x:t>
        </x:is>
      </x:c>
      <x:c r="L105" s="81" t="n"/>
      <x:c r="M105" s="81" t="inlineStr">
        <x:is>
          <x:t xml:space="preserve">Trích đoạn triết học</x:t>
        </x:is>
      </x:c>
      <x:c r="N105" s="81" t="inlineStr">
        <x:is>
          <x:t xml:space="preserve">不得已而用之，恬淡為上。</x:t>
        </x:is>
      </x:c>
      <x:c r="O105" s="81" t="inlineStr">
        <x:is>
          <x:t xml:space="preserve">Classical Chinese (文言文)</x:t>
        </x:is>
      </x:c>
      <x:c r="P105" s="81" t="inlineStr">
        <x:is>
          <x:t xml:space="preserve">Nếu bất đắc dĩ phải dùng, sự điềm tĩnh vẫn được đặt cao hơn.</x:t>
        </x:is>
      </x:c>
      <x:c r="Q105" s="81" t="inlineStr">
        <x:is>
          <x:t xml:space="preserve">Laozi / 老子</x:t>
        </x:is>
      </x:c>
      <x:c r="R105" s="81" t="inlineStr">
        <x:is>
          <x:t xml:space="preserve">Taoism</x:t>
        </x:is>
      </x:c>
      <x:c r="S105" s="81" t="inlineStr">
        <x:is>
          <x:t xml:space="preserve">道德經 / Tao Te Ching</x:t>
        </x:is>
      </x:c>
      <x:c r="T105" s="81" t="inlineStr">
        <x:is>
          <x:t xml:space="preserve">Chapter 31</x:t>
        </x:is>
      </x:c>
      <x:c r="U105" s="81" t="inlineStr">
        <x:is>
          <x:t xml:space="preserve">https://zh.wikisource.org/zh-hant/%E9%81%93%E5%BE%B7%E7%B6%93_%28%E7%8E%8B%E5%BC%BC%E6%9C%AC%29</x:t>
        </x:is>
      </x:c>
      <x:c r="V105" s="81" t="inlineStr">
        <x:is>
          <x:t xml:space="preserve">Primary text</x:t>
        </x:is>
      </x:c>
      <x:c r="W105" s="81" t="inlineStr">
        <x:is>
          <x:t xml:space="preserve">Working translation</x:t>
        </x:is>
      </x:c>
      <x:c r="X105" s="81" t="inlineStr">
        <x:is>
          <x:t xml:space="preserve">A - Primary source</x:t>
        </x:is>
      </x:c>
      <x:c r="Y105" s="81" t="inlineStr">
        <x:is>
          <x:t xml:space="preserve">Original Chinese checked against Wang Bi recension; Vietnamese is Selflo working translation, not a published translation.</x:t>
        </x:is>
      </x:c>
      <x:c r="Z105" s="81" t="inlineStr">
        <x:is>
          <x:t xml:space="preserve">Public domain / likely</x:t>
        </x:is>
      </x:c>
      <x:c r="AA105" s="81" t="inlineStr">
        <x:is>
          <x:t xml:space="preserve">Ancient source text. Verify jurisdiction/edition before commercial publication.</x:t>
        </x:is>
      </x:c>
      <x:c r="AB105" s="81" t="inlineStr">
        <x:is>
          <x:t xml:space="preserve">Medium</x:t>
        </x:is>
      </x:c>
      <x:c r="AC105" s="81" t="inlineStr">
        <x:is>
          <x:t xml:space="preserve">Context war.</x:t>
        </x:is>
      </x:c>
      <x:c r="AD105" s="81" t="inlineStr">
        <x:is>
          <x:t xml:space="preserve">Needs editorial review</x:t>
        </x:is>
      </x:c>
      <x:c r="AE105" s="81" t="inlineStr">
        <x:is>
          <x:t xml:space="preserve">Needs semantic dedupe review</x:t>
        </x:is>
      </x:c>
      <x:c r="AF105" s="81" t="n"/>
      <x:c r="AG105" s="81" t="n"/>
      <x:c r="AH105" s="81" t="inlineStr">
        <x:is>
          <x:t xml:space="preserve">No</x:t>
        </x:is>
      </x:c>
      <x:c r="AI105" s="81" t="inlineStr">
        <x:is>
          <x:t xml:space="preserve">Not reviewed</x:t>
        </x:is>
      </x:c>
      <x:c r="AJ105" s="81" t="inlineStr">
        <x:is>
          <x:t xml:space="preserve">Research only</x:t>
        </x:is>
      </x:c>
      <x:c r="AK105" s="81" t="inlineStr">
        <x:is>
          <x:t xml:space="preserve">Research Pool</x:t>
        </x:is>
      </x:c>
      <x:c r="AL105" s="81" t="n">
        <x:v>2</x:v>
      </x:c>
      <x:c r="AM105" s="81" t="inlineStr">
        <x:is>
          <x:t xml:space="preserve">ChatGPT research</x:t>
        </x:is>
      </x:c>
      <x:c r="AN105" s="81" t="inlineStr">
        <x:is>
          <x:t xml:space="preserve">2026-09-18</x:t>
        </x:is>
      </x:c>
      <x:c r="AO105" s="81" t="inlineStr">
        <x:is>
          <x:t xml:space="preserve">Day 2 full-scope audit, chapters 21–50.</x:t>
        </x:is>
      </x:c>
      <x:c r="AP105" s="81" t="n"/>
      <x:c r="AQ105" s="81" t="n"/>
    </x:row>
    <x:row r="106">
      <x:c r="A106" s="81" t="inlineStr">
        <x:is>
          <x:t xml:space="preserve">research.laozi.day2.ch31.042</x:t>
        </x:is>
      </x:c>
      <x:c r="B106" s="81" t="inlineStr">
        <x:is>
          <x:t xml:space="preserve">Collected</x:t>
        </x:is>
      </x:c>
      <x:c r="C106" s="81" t="inlineStr">
        <x:is>
          <x:t xml:space="preserve">Nội tâm &amp; hiểu mình</x:t>
        </x:is>
      </x:c>
      <x:c r="D106" s="81" t="inlineStr">
        <x:is>
          <x:t xml:space="preserve">Day 2 / Laozi 21–50</x:t>
        </x:is>
      </x:c>
      <x:c r="E106" s="81" t="n"/>
      <x:c r="F106" s="81" t="inlineStr">
        <x:is>
          <x:t xml:space="preserve">Không mọi chiến thắng đều đáng ăn mừng</x:t>
        </x:is>
      </x:c>
      <x:c r="G106" s="81" t="inlineStr">
        <x:is>
          <x:t xml:space="preserve">Values</x:t>
        </x:is>
      </x:c>
      <x:c r="H106" s="81" t="n"/>
      <x:c r="I106" s="81" t="n"/>
      <x:c r="J106" s="81" t="n"/>
      <x:c r="K106" s="81" t="inlineStr">
        <x:is>
          <x:t xml:space="preserve">Distinguish</x:t>
        </x:is>
      </x:c>
      <x:c r="L106" s="81" t="n"/>
      <x:c r="M106" s="81" t="inlineStr">
        <x:is>
          <x:t xml:space="preserve">Trích đoạn triết học</x:t>
        </x:is>
      </x:c>
      <x:c r="N106" s="81" t="inlineStr">
        <x:is>
          <x:t xml:space="preserve">勝而不美，而美之者，是樂殺人。</x:t>
        </x:is>
      </x:c>
      <x:c r="O106" s="81" t="inlineStr">
        <x:is>
          <x:t xml:space="preserve">Classical Chinese (文言文)</x:t>
        </x:is>
      </x:c>
      <x:c r="P106" s="81" t="inlineStr">
        <x:is>
          <x:t xml:space="preserve">Thắng mà không xem chiến thắng ấy là đẹp; ca tụng nó là điều văn bản cảnh báo.</x:t>
        </x:is>
      </x:c>
      <x:c r="Q106" s="81" t="inlineStr">
        <x:is>
          <x:t xml:space="preserve">Laozi / 老子</x:t>
        </x:is>
      </x:c>
      <x:c r="R106" s="81" t="inlineStr">
        <x:is>
          <x:t xml:space="preserve">Taoism</x:t>
        </x:is>
      </x:c>
      <x:c r="S106" s="81" t="inlineStr">
        <x:is>
          <x:t xml:space="preserve">道德經 / Tao Te Ching</x:t>
        </x:is>
      </x:c>
      <x:c r="T106" s="81" t="inlineStr">
        <x:is>
          <x:t xml:space="preserve">Chapter 31</x:t>
        </x:is>
      </x:c>
      <x:c r="U106" s="81" t="inlineStr">
        <x:is>
          <x:t xml:space="preserve">https://zh.wikisource.org/zh-hant/%E9%81%93%E5%BE%B7%E7%B6%93_%28%E7%8E%8B%E5%BC%BC%E6%9C%AC%29</x:t>
        </x:is>
      </x:c>
      <x:c r="V106" s="81" t="inlineStr">
        <x:is>
          <x:t xml:space="preserve">Primary text</x:t>
        </x:is>
      </x:c>
      <x:c r="W106" s="81" t="inlineStr">
        <x:is>
          <x:t xml:space="preserve">Working translation</x:t>
        </x:is>
      </x:c>
      <x:c r="X106" s="81" t="inlineStr">
        <x:is>
          <x:t xml:space="preserve">A - Primary source</x:t>
        </x:is>
      </x:c>
      <x:c r="Y106" s="81" t="inlineStr">
        <x:is>
          <x:t xml:space="preserve">Original Chinese checked against Wang Bi recension; Vietnamese is Selflo working translation, not a published translation.</x:t>
        </x:is>
      </x:c>
      <x:c r="Z106" s="81" t="inlineStr">
        <x:is>
          <x:t xml:space="preserve">Public domain / likely</x:t>
        </x:is>
      </x:c>
      <x:c r="AA106" s="81" t="inlineStr">
        <x:is>
          <x:t xml:space="preserve">Ancient source text. Verify jurisdiction/edition before commercial publication.</x:t>
        </x:is>
      </x:c>
      <x:c r="AB106" s="81" t="inlineStr">
        <x:is>
          <x:t xml:space="preserve">High</x:t>
        </x:is>
      </x:c>
      <x:c r="AC106" s="81" t="inlineStr">
        <x:is>
          <x:t xml:space="preserve">Mạnh cho outcome ≠ value.</x:t>
        </x:is>
      </x:c>
      <x:c r="AD106" s="81" t="inlineStr">
        <x:is>
          <x:t xml:space="preserve">Needs editorial review</x:t>
        </x:is>
      </x:c>
      <x:c r="AE106" s="81" t="inlineStr">
        <x:is>
          <x:t xml:space="preserve">Needs semantic dedupe review</x:t>
        </x:is>
      </x:c>
      <x:c r="AF106" s="81" t="n"/>
      <x:c r="AG106" s="81" t="n"/>
      <x:c r="AH106" s="81" t="inlineStr">
        <x:is>
          <x:t xml:space="preserve">No</x:t>
        </x:is>
      </x:c>
      <x:c r="AI106" s="81" t="inlineStr">
        <x:is>
          <x:t xml:space="preserve">Not reviewed</x:t>
        </x:is>
      </x:c>
      <x:c r="AJ106" s="81" t="inlineStr">
        <x:is>
          <x:t xml:space="preserve">Research only</x:t>
        </x:is>
      </x:c>
      <x:c r="AK106" s="81" t="inlineStr">
        <x:is>
          <x:t xml:space="preserve">Research Pool</x:t>
        </x:is>
      </x:c>
      <x:c r="AL106" s="81" t="n">
        <x:v>2</x:v>
      </x:c>
      <x:c r="AM106" s="81" t="inlineStr">
        <x:is>
          <x:t xml:space="preserve">ChatGPT research</x:t>
        </x:is>
      </x:c>
      <x:c r="AN106" s="81" t="inlineStr">
        <x:is>
          <x:t xml:space="preserve">2026-09-18</x:t>
        </x:is>
      </x:c>
      <x:c r="AO106" s="81" t="inlineStr">
        <x:is>
          <x:t xml:space="preserve">Day 2 full-scope audit, chapters 21–50.</x:t>
        </x:is>
      </x:c>
      <x:c r="AP106" s="81" t="n"/>
      <x:c r="AQ106" s="81" t="n"/>
    </x:row>
    <x:row r="107">
      <x:c r="A107" s="81" t="inlineStr">
        <x:is>
          <x:t xml:space="preserve">research.laozi.day2.ch32.043</x:t>
        </x:is>
      </x:c>
      <x:c r="B107" s="81" t="inlineStr">
        <x:is>
          <x:t xml:space="preserve">Collected</x:t>
        </x:is>
      </x:c>
      <x:c r="C107" s="81" t="inlineStr">
        <x:is>
          <x:t xml:space="preserve">Nội tâm &amp; hiểu mình</x:t>
        </x:is>
      </x:c>
      <x:c r="D107" s="81" t="inlineStr">
        <x:is>
          <x:t xml:space="preserve">Day 2 / Laozi 21–50</x:t>
        </x:is>
      </x:c>
      <x:c r="E107" s="81" t="n"/>
      <x:c r="F107" s="81" t="inlineStr">
        <x:is>
          <x:t xml:space="preserve">Không phải điều nền tảng nào cũng cần một nhãn cố định</x:t>
        </x:is>
      </x:c>
      <x:c r="G107" s="81" t="inlineStr">
        <x:is>
          <x:t xml:space="preserve">Naming</x:t>
        </x:is>
      </x:c>
      <x:c r="H107" s="81" t="n"/>
      <x:c r="I107" s="81" t="n"/>
      <x:c r="J107" s="81" t="n"/>
      <x:c r="K107" s="81" t="inlineStr">
        <x:is>
          <x:t xml:space="preserve">Permit</x:t>
        </x:is>
      </x:c>
      <x:c r="L107" s="81" t="n"/>
      <x:c r="M107" s="81" t="inlineStr">
        <x:is>
          <x:t xml:space="preserve">Trích đoạn triết học</x:t>
        </x:is>
      </x:c>
      <x:c r="N107" s="81" t="inlineStr">
        <x:is>
          <x:t xml:space="preserve">道常無名。</x:t>
        </x:is>
      </x:c>
      <x:c r="O107" s="81" t="inlineStr">
        <x:is>
          <x:t xml:space="preserve">Classical Chinese (文言文)</x:t>
        </x:is>
      </x:c>
      <x:c r="P107" s="81" t="inlineStr">
        <x:is>
          <x:t xml:space="preserve">Đạo thường không có tên cố định.</x:t>
        </x:is>
      </x:c>
      <x:c r="Q107" s="81" t="inlineStr">
        <x:is>
          <x:t xml:space="preserve">Laozi / 老子</x:t>
        </x:is>
      </x:c>
      <x:c r="R107" s="81" t="inlineStr">
        <x:is>
          <x:t xml:space="preserve">Taoism</x:t>
        </x:is>
      </x:c>
      <x:c r="S107" s="81" t="inlineStr">
        <x:is>
          <x:t xml:space="preserve">道德經 / Tao Te Ching</x:t>
        </x:is>
      </x:c>
      <x:c r="T107" s="81" t="inlineStr">
        <x:is>
          <x:t xml:space="preserve">Chapter 32</x:t>
        </x:is>
      </x:c>
      <x:c r="U107" s="81" t="inlineStr">
        <x:is>
          <x:t xml:space="preserve">https://zh.wikisource.org/zh-hant/%E9%81%93%E5%BE%B7%E7%B6%93_%28%E7%8E%8B%E5%BC%BC%E6%9C%AC%29</x:t>
        </x:is>
      </x:c>
      <x:c r="V107" s="81" t="inlineStr">
        <x:is>
          <x:t xml:space="preserve">Primary text</x:t>
        </x:is>
      </x:c>
      <x:c r="W107" s="81" t="inlineStr">
        <x:is>
          <x:t xml:space="preserve">Working translation</x:t>
        </x:is>
      </x:c>
      <x:c r="X107" s="81" t="inlineStr">
        <x:is>
          <x:t xml:space="preserve">A - Primary source</x:t>
        </x:is>
      </x:c>
      <x:c r="Y107" s="81" t="inlineStr">
        <x:is>
          <x:t xml:space="preserve">Original Chinese checked against Wang Bi recension; Vietnamese is Selflo working translation, not a published translation.</x:t>
        </x:is>
      </x:c>
      <x:c r="Z107" s="81" t="inlineStr">
        <x:is>
          <x:t xml:space="preserve">Public domain / likely</x:t>
        </x:is>
      </x:c>
      <x:c r="AA107" s="81" t="inlineStr">
        <x:is>
          <x:t xml:space="preserve">Ancient source text. Verify jurisdiction/edition before commercial publication.</x:t>
        </x:is>
      </x:c>
      <x:c r="AB107" s="81" t="inlineStr">
        <x:is>
          <x:t xml:space="preserve">High</x:t>
        </x:is>
      </x:c>
      <x:c r="AC107" s="81" t="inlineStr">
        <x:is>
          <x:t xml:space="preserve">Naming.</x:t>
        </x:is>
      </x:c>
      <x:c r="AD107" s="81" t="inlineStr">
        <x:is>
          <x:t xml:space="preserve">Needs editorial review</x:t>
        </x:is>
      </x:c>
      <x:c r="AE107" s="81" t="inlineStr">
        <x:is>
          <x:t xml:space="preserve">Needs semantic dedupe review</x:t>
        </x:is>
      </x:c>
      <x:c r="AF107" s="81" t="n"/>
      <x:c r="AG107" s="81" t="n"/>
      <x:c r="AH107" s="81" t="inlineStr">
        <x:is>
          <x:t xml:space="preserve">No</x:t>
        </x:is>
      </x:c>
      <x:c r="AI107" s="81" t="inlineStr">
        <x:is>
          <x:t xml:space="preserve">Not reviewed</x:t>
        </x:is>
      </x:c>
      <x:c r="AJ107" s="81" t="inlineStr">
        <x:is>
          <x:t xml:space="preserve">Research only</x:t>
        </x:is>
      </x:c>
      <x:c r="AK107" s="81" t="inlineStr">
        <x:is>
          <x:t xml:space="preserve">Research Pool</x:t>
        </x:is>
      </x:c>
      <x:c r="AL107" s="81" t="n">
        <x:v>2</x:v>
      </x:c>
      <x:c r="AM107" s="81" t="inlineStr">
        <x:is>
          <x:t xml:space="preserve">ChatGPT research</x:t>
        </x:is>
      </x:c>
      <x:c r="AN107" s="81" t="inlineStr">
        <x:is>
          <x:t xml:space="preserve">2026-09-18</x:t>
        </x:is>
      </x:c>
      <x:c r="AO107" s="81" t="inlineStr">
        <x:is>
          <x:t xml:space="preserve">Day 2 full-scope audit, chapters 21–50.</x:t>
        </x:is>
      </x:c>
      <x:c r="AP107" s="81" t="n"/>
      <x:c r="AQ107" s="81" t="n"/>
    </x:row>
    <x:row r="108">
      <x:c r="A108" s="81" t="inlineStr">
        <x:is>
          <x:t xml:space="preserve">research.laozi.day2.ch32.044</x:t>
        </x:is>
      </x:c>
      <x:c r="B108" s="81" t="inlineStr">
        <x:is>
          <x:t xml:space="preserve">Collected</x:t>
        </x:is>
      </x:c>
      <x:c r="C108" s="81" t="inlineStr">
        <x:is>
          <x:t xml:space="preserve">Nội tâm &amp; hiểu mình</x:t>
        </x:is>
      </x:c>
      <x:c r="D108" s="81" t="inlineStr">
        <x:is>
          <x:t xml:space="preserve">Day 2 / Laozi 21–50</x:t>
        </x:is>
      </x:c>
      <x:c r="E108" s="81" t="n"/>
      <x:c r="F108" s="81" t="inlineStr">
        <x:is>
          <x:t xml:space="preserve">Biết giới hạn trước khi quá mức</x:t>
        </x:is>
      </x:c>
      <x:c r="G108" s="81" t="inlineStr">
        <x:is>
          <x:t xml:space="preserve">Limits</x:t>
        </x:is>
      </x:c>
      <x:c r="H108" s="81" t="n"/>
      <x:c r="I108" s="81" t="n"/>
      <x:c r="J108" s="81" t="n"/>
      <x:c r="K108" s="81" t="inlineStr">
        <x:is>
          <x:t xml:space="preserve">Distinguish</x:t>
        </x:is>
      </x:c>
      <x:c r="L108" s="81" t="n"/>
      <x:c r="M108" s="81" t="inlineStr">
        <x:is>
          <x:t xml:space="preserve">Trích đoạn triết học</x:t>
        </x:is>
      </x:c>
      <x:c r="N108" s="81" t="inlineStr">
        <x:is>
          <x:t xml:space="preserve">知止所以不殆。</x:t>
        </x:is>
      </x:c>
      <x:c r="O108" s="81" t="inlineStr">
        <x:is>
          <x:t xml:space="preserve">Classical Chinese (文言文)</x:t>
        </x:is>
      </x:c>
      <x:c r="P108" s="81" t="inlineStr">
        <x:is>
          <x:t xml:space="preserve">Biết chỗ dừng giúp tránh đi vào nguy hiểm.</x:t>
        </x:is>
      </x:c>
      <x:c r="Q108" s="81" t="inlineStr">
        <x:is>
          <x:t xml:space="preserve">Laozi / 老子</x:t>
        </x:is>
      </x:c>
      <x:c r="R108" s="81" t="inlineStr">
        <x:is>
          <x:t xml:space="preserve">Taoism</x:t>
        </x:is>
      </x:c>
      <x:c r="S108" s="81" t="inlineStr">
        <x:is>
          <x:t xml:space="preserve">道德經 / Tao Te Ching</x:t>
        </x:is>
      </x:c>
      <x:c r="T108" s="81" t="inlineStr">
        <x:is>
          <x:t xml:space="preserve">Chapter 32</x:t>
        </x:is>
      </x:c>
      <x:c r="U108" s="81" t="inlineStr">
        <x:is>
          <x:t xml:space="preserve">https://zh.wikisource.org/zh-hant/%E9%81%93%E5%BE%B7%E7%B6%93_%28%E7%8E%8B%E5%BC%BC%E6%9C%AC%29</x:t>
        </x:is>
      </x:c>
      <x:c r="V108" s="81" t="inlineStr">
        <x:is>
          <x:t xml:space="preserve">Primary text</x:t>
        </x:is>
      </x:c>
      <x:c r="W108" s="81" t="inlineStr">
        <x:is>
          <x:t xml:space="preserve">Working translation</x:t>
        </x:is>
      </x:c>
      <x:c r="X108" s="81" t="inlineStr">
        <x:is>
          <x:t xml:space="preserve">A - Primary source</x:t>
        </x:is>
      </x:c>
      <x:c r="Y108" s="81" t="inlineStr">
        <x:is>
          <x:t xml:space="preserve">Original Chinese checked against Wang Bi recension; Vietnamese is Selflo working translation, not a published translation.</x:t>
        </x:is>
      </x:c>
      <x:c r="Z108" s="81" t="inlineStr">
        <x:is>
          <x:t xml:space="preserve">Public domain / likely</x:t>
        </x:is>
      </x:c>
      <x:c r="AA108" s="81" t="inlineStr">
        <x:is>
          <x:t xml:space="preserve">Ancient source text. Verify jurisdiction/edition before commercial publication.</x:t>
        </x:is>
      </x:c>
      <x:c r="AB108" s="81" t="inlineStr">
        <x:is>
          <x:t xml:space="preserve">High</x:t>
        </x:is>
      </x:c>
      <x:c r="AC108" s="81" t="inlineStr">
        <x:is>
          <x:t xml:space="preserve">Very strong.</x:t>
        </x:is>
      </x:c>
      <x:c r="AD108" s="81" t="inlineStr">
        <x:is>
          <x:t xml:space="preserve">Needs editorial review</x:t>
        </x:is>
      </x:c>
      <x:c r="AE108" s="81" t="inlineStr">
        <x:is>
          <x:t xml:space="preserve">Needs semantic dedupe review</x:t>
        </x:is>
      </x:c>
      <x:c r="AF108" s="81" t="n"/>
      <x:c r="AG108" s="81" t="n"/>
      <x:c r="AH108" s="81" t="inlineStr">
        <x:is>
          <x:t xml:space="preserve">No</x:t>
        </x:is>
      </x:c>
      <x:c r="AI108" s="81" t="inlineStr">
        <x:is>
          <x:t xml:space="preserve">Not reviewed</x:t>
        </x:is>
      </x:c>
      <x:c r="AJ108" s="81" t="inlineStr">
        <x:is>
          <x:t xml:space="preserve">Research only</x:t>
        </x:is>
      </x:c>
      <x:c r="AK108" s="81" t="inlineStr">
        <x:is>
          <x:t xml:space="preserve">Research Pool</x:t>
        </x:is>
      </x:c>
      <x:c r="AL108" s="81" t="n">
        <x:v>2</x:v>
      </x:c>
      <x:c r="AM108" s="81" t="inlineStr">
        <x:is>
          <x:t xml:space="preserve">ChatGPT research</x:t>
        </x:is>
      </x:c>
      <x:c r="AN108" s="81" t="inlineStr">
        <x:is>
          <x:t xml:space="preserve">2026-09-18</x:t>
        </x:is>
      </x:c>
      <x:c r="AO108" s="81" t="inlineStr">
        <x:is>
          <x:t xml:space="preserve">Day 2 full-scope audit, chapters 21–50.</x:t>
        </x:is>
      </x:c>
      <x:c r="AP108" s="81" t="n"/>
      <x:c r="AQ108" s="81" t="n"/>
    </x:row>
    <x:row r="109">
      <x:c r="A109" s="81" t="inlineStr">
        <x:is>
          <x:t xml:space="preserve">research.laozi.day2.ch32.045</x:t>
        </x:is>
      </x:c>
      <x:c r="B109" s="81" t="inlineStr">
        <x:is>
          <x:t xml:space="preserve">Collected</x:t>
        </x:is>
      </x:c>
      <x:c r="C109" s="81" t="inlineStr">
        <x:is>
          <x:t xml:space="preserve">Nội tâm &amp; hiểu mình</x:t>
        </x:is>
      </x:c>
      <x:c r="D109" s="81" t="inlineStr">
        <x:is>
          <x:t xml:space="preserve">Day 2 / Laozi 21–50</x:t>
        </x:is>
      </x:c>
      <x:c r="E109" s="81" t="n"/>
      <x:c r="F109" s="81" t="inlineStr">
        <x:is>
          <x:t xml:space="preserve">Nhìn nhiều dòng khác nhau cùng thuộc hệ lớn hơn</x:t>
        </x:is>
      </x:c>
      <x:c r="G109" s="81" t="inlineStr">
        <x:is>
          <x:t xml:space="preserve">Connection</x:t>
        </x:is>
      </x:c>
      <x:c r="H109" s="81" t="n"/>
      <x:c r="I109" s="81" t="n"/>
      <x:c r="J109" s="81" t="n"/>
      <x:c r="K109" s="81" t="inlineStr">
        <x:is>
          <x:t xml:space="preserve">Reframe</x:t>
        </x:is>
      </x:c>
      <x:c r="L109" s="81" t="n"/>
      <x:c r="M109" s="81" t="inlineStr">
        <x:is>
          <x:t xml:space="preserve">Trích đoạn triết học</x:t>
        </x:is>
      </x:c>
      <x:c r="N109" s="81" t="inlineStr">
        <x:is>
          <x:t xml:space="preserve">譬道之在天下，猶川谷之於江海。</x:t>
        </x:is>
      </x:c>
      <x:c r="O109" s="81" t="inlineStr">
        <x:is>
          <x:t xml:space="preserve">Classical Chinese (文言文)</x:t>
        </x:is>
      </x:c>
      <x:c r="P109" s="81" t="inlineStr">
        <x:is>
          <x:t xml:space="preserve">Đạo trong thiên hạ được ví như khe suối và sông cùng hướng về biển.</x:t>
        </x:is>
      </x:c>
      <x:c r="Q109" s="81" t="inlineStr">
        <x:is>
          <x:t xml:space="preserve">Laozi / 老子</x:t>
        </x:is>
      </x:c>
      <x:c r="R109" s="81" t="inlineStr">
        <x:is>
          <x:t xml:space="preserve">Taoism</x:t>
        </x:is>
      </x:c>
      <x:c r="S109" s="81" t="inlineStr">
        <x:is>
          <x:t xml:space="preserve">道德經 / Tao Te Ching</x:t>
        </x:is>
      </x:c>
      <x:c r="T109" s="81" t="inlineStr">
        <x:is>
          <x:t xml:space="preserve">Chapter 32</x:t>
        </x:is>
      </x:c>
      <x:c r="U109" s="81" t="inlineStr">
        <x:is>
          <x:t xml:space="preserve">https://zh.wikisource.org/zh-hant/%E9%81%93%E5%BE%B7%E7%B6%93_%28%E7%8E%8B%E5%BC%BC%E6%9C%AC%29</x:t>
        </x:is>
      </x:c>
      <x:c r="V109" s="81" t="inlineStr">
        <x:is>
          <x:t xml:space="preserve">Primary text</x:t>
        </x:is>
      </x:c>
      <x:c r="W109" s="81" t="inlineStr">
        <x:is>
          <x:t xml:space="preserve">Working translation</x:t>
        </x:is>
      </x:c>
      <x:c r="X109" s="81" t="inlineStr">
        <x:is>
          <x:t xml:space="preserve">A - Primary source</x:t>
        </x:is>
      </x:c>
      <x:c r="Y109" s="81" t="inlineStr">
        <x:is>
          <x:t xml:space="preserve">Original Chinese checked against Wang Bi recension; Vietnamese is Selflo working translation, not a published translation.</x:t>
        </x:is>
      </x:c>
      <x:c r="Z109" s="81" t="inlineStr">
        <x:is>
          <x:t xml:space="preserve">Public domain / likely</x:t>
        </x:is>
      </x:c>
      <x:c r="AA109" s="81" t="inlineStr">
        <x:is>
          <x:t xml:space="preserve">Ancient source text. Verify jurisdiction/edition before commercial publication.</x:t>
        </x:is>
      </x:c>
      <x:c r="AB109" s="81" t="inlineStr">
        <x:is>
          <x:t xml:space="preserve">Medium</x:t>
        </x:is>
      </x:c>
      <x:c r="AC109" s="81" t="inlineStr">
        <x:is>
          <x:t xml:space="preserve">Metaphor.</x:t>
        </x:is>
      </x:c>
      <x:c r="AD109" s="81" t="inlineStr">
        <x:is>
          <x:t xml:space="preserve">Needs editorial review</x:t>
        </x:is>
      </x:c>
      <x:c r="AE109" s="81" t="inlineStr">
        <x:is>
          <x:t xml:space="preserve">Needs semantic dedupe review</x:t>
        </x:is>
      </x:c>
      <x:c r="AF109" s="81" t="n"/>
      <x:c r="AG109" s="81" t="n"/>
      <x:c r="AH109" s="81" t="inlineStr">
        <x:is>
          <x:t xml:space="preserve">No</x:t>
        </x:is>
      </x:c>
      <x:c r="AI109" s="81" t="inlineStr">
        <x:is>
          <x:t xml:space="preserve">Not reviewed</x:t>
        </x:is>
      </x:c>
      <x:c r="AJ109" s="81" t="inlineStr">
        <x:is>
          <x:t xml:space="preserve">Research only</x:t>
        </x:is>
      </x:c>
      <x:c r="AK109" s="81" t="inlineStr">
        <x:is>
          <x:t xml:space="preserve">Research Pool</x:t>
        </x:is>
      </x:c>
      <x:c r="AL109" s="81" t="n">
        <x:v>2</x:v>
      </x:c>
      <x:c r="AM109" s="81" t="inlineStr">
        <x:is>
          <x:t xml:space="preserve">ChatGPT research</x:t>
        </x:is>
      </x:c>
      <x:c r="AN109" s="81" t="inlineStr">
        <x:is>
          <x:t xml:space="preserve">2026-09-18</x:t>
        </x:is>
      </x:c>
      <x:c r="AO109" s="81" t="inlineStr">
        <x:is>
          <x:t xml:space="preserve">Day 2 full-scope audit, chapters 21–50.</x:t>
        </x:is>
      </x:c>
      <x:c r="AP109" s="81" t="n"/>
      <x:c r="AQ109" s="81" t="n"/>
    </x:row>
    <x:row r="110">
      <x:c r="A110" s="81" t="inlineStr">
        <x:is>
          <x:t xml:space="preserve">research.laozi.day2.ch33.046</x:t>
        </x:is>
      </x:c>
      <x:c r="B110" s="81" t="inlineStr">
        <x:is>
          <x:t xml:space="preserve">Collected</x:t>
        </x:is>
      </x:c>
      <x:c r="C110" s="81" t="inlineStr">
        <x:is>
          <x:t xml:space="preserve">Nội tâm &amp; hiểu mình</x:t>
        </x:is>
      </x:c>
      <x:c r="D110" s="81" t="inlineStr">
        <x:is>
          <x:t xml:space="preserve">Day 2 / Laozi 21–50</x:t>
        </x:is>
      </x:c>
      <x:c r="E110" s="81" t="n"/>
      <x:c r="F110" s="81" t="inlineStr">
        <x:is>
          <x:t xml:space="preserve">Tự hiểu mình là một dạng sáng rõ riêng</x:t>
        </x:is>
      </x:c>
      <x:c r="G110" s="81" t="inlineStr">
        <x:is>
          <x:t xml:space="preserve">Self-understanding</x:t>
        </x:is>
      </x:c>
      <x:c r="H110" s="81" t="n"/>
      <x:c r="I110" s="81" t="n"/>
      <x:c r="J110" s="81" t="n"/>
      <x:c r="K110" s="81" t="inlineStr">
        <x:is>
          <x:t xml:space="preserve">Recognize</x:t>
        </x:is>
      </x:c>
      <x:c r="L110" s="81" t="n"/>
      <x:c r="M110" s="81" t="inlineStr">
        <x:is>
          <x:t xml:space="preserve">Trích đoạn triết học</x:t>
        </x:is>
      </x:c>
      <x:c r="N110" s="81" t="inlineStr">
        <x:is>
          <x:t xml:space="preserve">知人者智，自知者明。</x:t>
        </x:is>
      </x:c>
      <x:c r="O110" s="81" t="inlineStr">
        <x:is>
          <x:t xml:space="preserve">Classical Chinese (文言文)</x:t>
        </x:is>
      </x:c>
      <x:c r="P110" s="81" t="inlineStr">
        <x:is>
          <x:t xml:space="preserve">Biết người là trí; biết mình là sáng.</x:t>
        </x:is>
      </x:c>
      <x:c r="Q110" s="81" t="inlineStr">
        <x:is>
          <x:t xml:space="preserve">Laozi / 老子</x:t>
        </x:is>
      </x:c>
      <x:c r="R110" s="81" t="inlineStr">
        <x:is>
          <x:t xml:space="preserve">Taoism</x:t>
        </x:is>
      </x:c>
      <x:c r="S110" s="81" t="inlineStr">
        <x:is>
          <x:t xml:space="preserve">道德經 / Tao Te Ching</x:t>
        </x:is>
      </x:c>
      <x:c r="T110" s="81" t="inlineStr">
        <x:is>
          <x:t xml:space="preserve">Chapter 33</x:t>
        </x:is>
      </x:c>
      <x:c r="U110" s="81" t="inlineStr">
        <x:is>
          <x:t xml:space="preserve">https://zh.wikisource.org/zh-hant/%E9%81%93%E5%BE%B7%E7%B6%93_%28%E7%8E%8B%E5%BC%BC%E6%9C%AC%29</x:t>
        </x:is>
      </x:c>
      <x:c r="V110" s="81" t="inlineStr">
        <x:is>
          <x:t xml:space="preserve">Primary text</x:t>
        </x:is>
      </x:c>
      <x:c r="W110" s="81" t="inlineStr">
        <x:is>
          <x:t xml:space="preserve">Working translation</x:t>
        </x:is>
      </x:c>
      <x:c r="X110" s="81" t="inlineStr">
        <x:is>
          <x:t xml:space="preserve">A - Primary source</x:t>
        </x:is>
      </x:c>
      <x:c r="Y110" s="81" t="inlineStr">
        <x:is>
          <x:t xml:space="preserve">Original Chinese checked against Wang Bi recension; Vietnamese is Selflo working translation, not a published translation.</x:t>
        </x:is>
      </x:c>
      <x:c r="Z110" s="81" t="inlineStr">
        <x:is>
          <x:t xml:space="preserve">Public domain / likely</x:t>
        </x:is>
      </x:c>
      <x:c r="AA110" s="81" t="inlineStr">
        <x:is>
          <x:t xml:space="preserve">Ancient source text. Verify jurisdiction/edition before commercial publication.</x:t>
        </x:is>
      </x:c>
      <x:c r="AB110" s="81" t="inlineStr">
        <x:is>
          <x:t xml:space="preserve">High</x:t>
        </x:is>
      </x:c>
      <x:c r="AC110" s="81" t="inlineStr">
        <x:is>
          <x:t xml:space="preserve">Core Selflo.</x:t>
        </x:is>
      </x:c>
      <x:c r="AD110" s="81" t="inlineStr">
        <x:is>
          <x:t xml:space="preserve">Needs editorial review</x:t>
        </x:is>
      </x:c>
      <x:c r="AE110" s="81" t="inlineStr">
        <x:is>
          <x:t xml:space="preserve">Needs semantic dedupe review</x:t>
        </x:is>
      </x:c>
      <x:c r="AF110" s="81" t="n"/>
      <x:c r="AG110" s="81" t="n"/>
      <x:c r="AH110" s="81" t="inlineStr">
        <x:is>
          <x:t xml:space="preserve">No</x:t>
        </x:is>
      </x:c>
      <x:c r="AI110" s="81" t="inlineStr">
        <x:is>
          <x:t xml:space="preserve">Not reviewed</x:t>
        </x:is>
      </x:c>
      <x:c r="AJ110" s="81" t="inlineStr">
        <x:is>
          <x:t xml:space="preserve">Research only</x:t>
        </x:is>
      </x:c>
      <x:c r="AK110" s="81" t="inlineStr">
        <x:is>
          <x:t xml:space="preserve">Research Pool</x:t>
        </x:is>
      </x:c>
      <x:c r="AL110" s="81" t="n">
        <x:v>2</x:v>
      </x:c>
      <x:c r="AM110" s="81" t="inlineStr">
        <x:is>
          <x:t xml:space="preserve">ChatGPT research</x:t>
        </x:is>
      </x:c>
      <x:c r="AN110" s="81" t="inlineStr">
        <x:is>
          <x:t xml:space="preserve">2026-09-18</x:t>
        </x:is>
      </x:c>
      <x:c r="AO110" s="81" t="inlineStr">
        <x:is>
          <x:t xml:space="preserve">Day 2 full-scope audit, chapters 21–50.</x:t>
        </x:is>
      </x:c>
      <x:c r="AP110" s="81" t="n"/>
      <x:c r="AQ110" s="81" t="n"/>
    </x:row>
    <x:row r="111">
      <x:c r="A111" s="81" t="inlineStr">
        <x:is>
          <x:t xml:space="preserve">research.laozi.day2.ch33.047</x:t>
        </x:is>
      </x:c>
      <x:c r="B111" s="81" t="inlineStr">
        <x:is>
          <x:t xml:space="preserve">Collected</x:t>
        </x:is>
      </x:c>
      <x:c r="C111" s="81" t="inlineStr">
        <x:is>
          <x:t xml:space="preserve">Nội tâm &amp; hiểu mình</x:t>
        </x:is>
      </x:c>
      <x:c r="D111" s="81" t="inlineStr">
        <x:is>
          <x:t xml:space="preserve">Day 2 / Laozi 21–50</x:t>
        </x:is>
      </x:c>
      <x:c r="E111" s="81" t="n"/>
      <x:c r="F111" s="81" t="inlineStr">
        <x:is>
          <x:t xml:space="preserve">Phân biệt sức mạnh bên ngoài và khả năng tự chủ</x:t>
        </x:is>
      </x:c>
      <x:c r="G111" s="81" t="inlineStr">
        <x:is>
          <x:t xml:space="preserve">Agency</x:t>
        </x:is>
      </x:c>
      <x:c r="H111" s="81" t="n"/>
      <x:c r="I111" s="81" t="n"/>
      <x:c r="J111" s="81" t="n"/>
      <x:c r="K111" s="81" t="inlineStr">
        <x:is>
          <x:t xml:space="preserve">Distinguish</x:t>
        </x:is>
      </x:c>
      <x:c r="L111" s="81" t="n"/>
      <x:c r="M111" s="81" t="inlineStr">
        <x:is>
          <x:t xml:space="preserve">Trích đoạn triết học</x:t>
        </x:is>
      </x:c>
      <x:c r="N111" s="81" t="inlineStr">
        <x:is>
          <x:t xml:space="preserve">勝人者有力，自勝者強。</x:t>
        </x:is>
      </x:c>
      <x:c r="O111" s="81" t="inlineStr">
        <x:is>
          <x:t xml:space="preserve">Classical Chinese (文言文)</x:t>
        </x:is>
      </x:c>
      <x:c r="P111" s="81" t="inlineStr">
        <x:is>
          <x:t xml:space="preserve">Thắng người cần sức; thắng được sự kéo lôi trong chính mình được gọi là mạnh.</x:t>
        </x:is>
      </x:c>
      <x:c r="Q111" s="81" t="inlineStr">
        <x:is>
          <x:t xml:space="preserve">Laozi / 老子</x:t>
        </x:is>
      </x:c>
      <x:c r="R111" s="81" t="inlineStr">
        <x:is>
          <x:t xml:space="preserve">Taoism</x:t>
        </x:is>
      </x:c>
      <x:c r="S111" s="81" t="inlineStr">
        <x:is>
          <x:t xml:space="preserve">道德經 / Tao Te Ching</x:t>
        </x:is>
      </x:c>
      <x:c r="T111" s="81" t="inlineStr">
        <x:is>
          <x:t xml:space="preserve">Chapter 33</x:t>
        </x:is>
      </x:c>
      <x:c r="U111" s="81" t="inlineStr">
        <x:is>
          <x:t xml:space="preserve">https://zh.wikisource.org/zh-hant/%E9%81%93%E5%BE%B7%E7%B6%93_%28%E7%8E%8B%E5%BC%BC%E6%9C%AC%29</x:t>
        </x:is>
      </x:c>
      <x:c r="V111" s="81" t="inlineStr">
        <x:is>
          <x:t xml:space="preserve">Primary text</x:t>
        </x:is>
      </x:c>
      <x:c r="W111" s="81" t="inlineStr">
        <x:is>
          <x:t xml:space="preserve">Working translation</x:t>
        </x:is>
      </x:c>
      <x:c r="X111" s="81" t="inlineStr">
        <x:is>
          <x:t xml:space="preserve">A - Primary source</x:t>
        </x:is>
      </x:c>
      <x:c r="Y111" s="81" t="inlineStr">
        <x:is>
          <x:t xml:space="preserve">Original Chinese checked against Wang Bi recension; Vietnamese is Selflo working translation, not a published translation.</x:t>
        </x:is>
      </x:c>
      <x:c r="Z111" s="81" t="inlineStr">
        <x:is>
          <x:t xml:space="preserve">Public domain / likely</x:t>
        </x:is>
      </x:c>
      <x:c r="AA111" s="81" t="inlineStr">
        <x:is>
          <x:t xml:space="preserve">Ancient source text. Verify jurisdiction/edition before commercial publication.</x:t>
        </x:is>
      </x:c>
      <x:c r="AB111" s="81" t="inlineStr">
        <x:is>
          <x:t xml:space="preserve">High</x:t>
        </x:is>
      </x:c>
      <x:c r="AC111" s="81" t="inlineStr">
        <x:is>
          <x:t xml:space="preserve">Avoid self-conquest harshness.</x:t>
        </x:is>
      </x:c>
      <x:c r="AD111" s="81" t="inlineStr">
        <x:is>
          <x:t xml:space="preserve">Needs editorial review</x:t>
        </x:is>
      </x:c>
      <x:c r="AE111" s="81" t="inlineStr">
        <x:is>
          <x:t xml:space="preserve">Needs semantic dedupe review</x:t>
        </x:is>
      </x:c>
      <x:c r="AF111" s="81" t="n"/>
      <x:c r="AG111" s="81" t="n"/>
      <x:c r="AH111" s="81" t="inlineStr">
        <x:is>
          <x:t xml:space="preserve">No</x:t>
        </x:is>
      </x:c>
      <x:c r="AI111" s="81" t="inlineStr">
        <x:is>
          <x:t xml:space="preserve">Not reviewed</x:t>
        </x:is>
      </x:c>
      <x:c r="AJ111" s="81" t="inlineStr">
        <x:is>
          <x:t xml:space="preserve">Research only</x:t>
        </x:is>
      </x:c>
      <x:c r="AK111" s="81" t="inlineStr">
        <x:is>
          <x:t xml:space="preserve">Research Pool</x:t>
        </x:is>
      </x:c>
      <x:c r="AL111" s="81" t="n">
        <x:v>2</x:v>
      </x:c>
      <x:c r="AM111" s="81" t="inlineStr">
        <x:is>
          <x:t xml:space="preserve">ChatGPT research</x:t>
        </x:is>
      </x:c>
      <x:c r="AN111" s="81" t="inlineStr">
        <x:is>
          <x:t xml:space="preserve">2026-09-18</x:t>
        </x:is>
      </x:c>
      <x:c r="AO111" s="81" t="inlineStr">
        <x:is>
          <x:t xml:space="preserve">Day 2 full-scope audit, chapters 21–50.</x:t>
        </x:is>
      </x:c>
      <x:c r="AP111" s="81" t="n"/>
      <x:c r="AQ111" s="81" t="n"/>
    </x:row>
    <x:row r="112">
      <x:c r="A112" s="81" t="inlineStr">
        <x:is>
          <x:t xml:space="preserve">research.laozi.day2.ch33.048</x:t>
        </x:is>
      </x:c>
      <x:c r="B112" s="81" t="inlineStr">
        <x:is>
          <x:t xml:space="preserve">Collected</x:t>
        </x:is>
      </x:c>
      <x:c r="C112" s="81" t="inlineStr">
        <x:is>
          <x:t xml:space="preserve">Nội tâm &amp; hiểu mình</x:t>
        </x:is>
      </x:c>
      <x:c r="D112" s="81" t="inlineStr">
        <x:is>
          <x:t xml:space="preserve">Day 2 / Laozi 21–50</x:t>
        </x:is>
      </x:c>
      <x:c r="E112" s="81" t="n"/>
      <x:c r="F112" s="81" t="inlineStr">
        <x:is>
          <x:t xml:space="preserve">Cảm giác đủ không chỉ phụ thuộc số lượng sở hữu</x:t>
        </x:is>
      </x:c>
      <x:c r="G112" s="81" t="inlineStr">
        <x:is>
          <x:t xml:space="preserve">Enoughness</x:t>
        </x:is>
      </x:c>
      <x:c r="H112" s="81" t="n"/>
      <x:c r="I112" s="81" t="n"/>
      <x:c r="J112" s="81" t="n"/>
      <x:c r="K112" s="81" t="inlineStr">
        <x:is>
          <x:t xml:space="preserve">Reframe</x:t>
        </x:is>
      </x:c>
      <x:c r="L112" s="81" t="n"/>
      <x:c r="M112" s="81" t="inlineStr">
        <x:is>
          <x:t xml:space="preserve">Trích đoạn triết học</x:t>
        </x:is>
      </x:c>
      <x:c r="N112" s="81" t="inlineStr">
        <x:is>
          <x:t xml:space="preserve">知足者富。</x:t>
        </x:is>
      </x:c>
      <x:c r="O112" s="81" t="inlineStr">
        <x:is>
          <x:t xml:space="preserve">Classical Chinese (文言文)</x:t>
        </x:is>
      </x:c>
      <x:c r="P112" s="81" t="inlineStr">
        <x:is>
          <x:t xml:space="preserve">Biết đủ được gọi là giàu.</x:t>
        </x:is>
      </x:c>
      <x:c r="Q112" s="81" t="inlineStr">
        <x:is>
          <x:t xml:space="preserve">Laozi / 老子</x:t>
        </x:is>
      </x:c>
      <x:c r="R112" s="81" t="inlineStr">
        <x:is>
          <x:t xml:space="preserve">Taoism</x:t>
        </x:is>
      </x:c>
      <x:c r="S112" s="81" t="inlineStr">
        <x:is>
          <x:t xml:space="preserve">道德經 / Tao Te Ching</x:t>
        </x:is>
      </x:c>
      <x:c r="T112" s="81" t="inlineStr">
        <x:is>
          <x:t xml:space="preserve">Chapter 33</x:t>
        </x:is>
      </x:c>
      <x:c r="U112" s="81" t="inlineStr">
        <x:is>
          <x:t xml:space="preserve">https://zh.wikisource.org/zh-hant/%E9%81%93%E5%BE%B7%E7%B6%93_%28%E7%8E%8B%E5%BC%BC%E6%9C%AC%29</x:t>
        </x:is>
      </x:c>
      <x:c r="V112" s="81" t="inlineStr">
        <x:is>
          <x:t xml:space="preserve">Primary text</x:t>
        </x:is>
      </x:c>
      <x:c r="W112" s="81" t="inlineStr">
        <x:is>
          <x:t xml:space="preserve">Working translation</x:t>
        </x:is>
      </x:c>
      <x:c r="X112" s="81" t="inlineStr">
        <x:is>
          <x:t xml:space="preserve">A - Primary source</x:t>
        </x:is>
      </x:c>
      <x:c r="Y112" s="81" t="inlineStr">
        <x:is>
          <x:t xml:space="preserve">Original Chinese checked against Wang Bi recension; Vietnamese is Selflo working translation, not a published translation.</x:t>
        </x:is>
      </x:c>
      <x:c r="Z112" s="81" t="inlineStr">
        <x:is>
          <x:t xml:space="preserve">Public domain / likely</x:t>
        </x:is>
      </x:c>
      <x:c r="AA112" s="81" t="inlineStr">
        <x:is>
          <x:t xml:space="preserve">Ancient source text. Verify jurisdiction/edition before commercial publication.</x:t>
        </x:is>
      </x:c>
      <x:c r="AB112" s="81" t="inlineStr">
        <x:is>
          <x:t xml:space="preserve">High</x:t>
        </x:is>
      </x:c>
      <x:c r="AC112" s="81" t="inlineStr">
        <x:is>
          <x:t xml:space="preserve">Strong.</x:t>
        </x:is>
      </x:c>
      <x:c r="AD112" s="81" t="inlineStr">
        <x:is>
          <x:t xml:space="preserve">Needs editorial review</x:t>
        </x:is>
      </x:c>
      <x:c r="AE112" s="81" t="inlineStr">
        <x:is>
          <x:t xml:space="preserve">Needs semantic dedupe review</x:t>
        </x:is>
      </x:c>
      <x:c r="AF112" s="81" t="n"/>
      <x:c r="AG112" s="81" t="n"/>
      <x:c r="AH112" s="81" t="inlineStr">
        <x:is>
          <x:t xml:space="preserve">No</x:t>
        </x:is>
      </x:c>
      <x:c r="AI112" s="81" t="inlineStr">
        <x:is>
          <x:t xml:space="preserve">Not reviewed</x:t>
        </x:is>
      </x:c>
      <x:c r="AJ112" s="81" t="inlineStr">
        <x:is>
          <x:t xml:space="preserve">Research only</x:t>
        </x:is>
      </x:c>
      <x:c r="AK112" s="81" t="inlineStr">
        <x:is>
          <x:t xml:space="preserve">Research Pool</x:t>
        </x:is>
      </x:c>
      <x:c r="AL112" s="81" t="n">
        <x:v>2</x:v>
      </x:c>
      <x:c r="AM112" s="81" t="inlineStr">
        <x:is>
          <x:t xml:space="preserve">ChatGPT research</x:t>
        </x:is>
      </x:c>
      <x:c r="AN112" s="81" t="inlineStr">
        <x:is>
          <x:t xml:space="preserve">2026-09-18</x:t>
        </x:is>
      </x:c>
      <x:c r="AO112" s="81" t="inlineStr">
        <x:is>
          <x:t xml:space="preserve">Day 2 full-scope audit, chapters 21–50.</x:t>
        </x:is>
      </x:c>
      <x:c r="AP112" s="81" t="n"/>
      <x:c r="AQ112" s="81" t="n"/>
    </x:row>
    <x:row r="113">
      <x:c r="A113" s="81" t="inlineStr">
        <x:is>
          <x:t xml:space="preserve">research.laozi.day2.ch33.049</x:t>
        </x:is>
      </x:c>
      <x:c r="B113" s="81" t="inlineStr">
        <x:is>
          <x:t xml:space="preserve">Collected</x:t>
        </x:is>
      </x:c>
      <x:c r="C113" s="81" t="inlineStr">
        <x:is>
          <x:t xml:space="preserve">Nội tâm &amp; hiểu mình</x:t>
        </x:is>
      </x:c>
      <x:c r="D113" s="81" t="inlineStr">
        <x:is>
          <x:t xml:space="preserve">Day 2 / Laozi 21–50</x:t>
        </x:is>
      </x:c>
      <x:c r="E113" s="81" t="n"/>
      <x:c r="F113" s="81" t="inlineStr">
        <x:is>
          <x:t xml:space="preserve">Kiên trì có thể là một dạng định hướng</x:t>
        </x:is>
      </x:c>
      <x:c r="G113" s="81" t="inlineStr">
        <x:is>
          <x:t xml:space="preserve">Agency</x:t>
        </x:is>
      </x:c>
      <x:c r="H113" s="81" t="n"/>
      <x:c r="I113" s="81" t="n"/>
      <x:c r="J113" s="81" t="n"/>
      <x:c r="K113" s="81" t="inlineStr">
        <x:is>
          <x:t xml:space="preserve">Recognize</x:t>
        </x:is>
      </x:c>
      <x:c r="L113" s="81" t="n"/>
      <x:c r="M113" s="81" t="inlineStr">
        <x:is>
          <x:t xml:space="preserve">Trích đoạn triết học</x:t>
        </x:is>
      </x:c>
      <x:c r="N113" s="81" t="inlineStr">
        <x:is>
          <x:t xml:space="preserve">強行者有志。</x:t>
        </x:is>
      </x:c>
      <x:c r="O113" s="81" t="inlineStr">
        <x:is>
          <x:t xml:space="preserve">Classical Chinese (文言文)</x:t>
        </x:is>
      </x:c>
      <x:c r="P113" s="81" t="inlineStr">
        <x:is>
          <x:t xml:space="preserve">Người có thể kiên trì hành động được gọi là có chí.</x:t>
        </x:is>
      </x:c>
      <x:c r="Q113" s="81" t="inlineStr">
        <x:is>
          <x:t xml:space="preserve">Laozi / 老子</x:t>
        </x:is>
      </x:c>
      <x:c r="R113" s="81" t="inlineStr">
        <x:is>
          <x:t xml:space="preserve">Taoism</x:t>
        </x:is>
      </x:c>
      <x:c r="S113" s="81" t="inlineStr">
        <x:is>
          <x:t xml:space="preserve">道德經 / Tao Te Ching</x:t>
        </x:is>
      </x:c>
      <x:c r="T113" s="81" t="inlineStr">
        <x:is>
          <x:t xml:space="preserve">Chapter 33</x:t>
        </x:is>
      </x:c>
      <x:c r="U113" s="81" t="inlineStr">
        <x:is>
          <x:t xml:space="preserve">https://zh.wikisource.org/zh-hant/%E9%81%93%E5%BE%B7%E7%B6%93_%28%E7%8E%8B%E5%BC%BC%E6%9C%AC%29</x:t>
        </x:is>
      </x:c>
      <x:c r="V113" s="81" t="inlineStr">
        <x:is>
          <x:t xml:space="preserve">Primary text</x:t>
        </x:is>
      </x:c>
      <x:c r="W113" s="81" t="inlineStr">
        <x:is>
          <x:t xml:space="preserve">Working translation</x:t>
        </x:is>
      </x:c>
      <x:c r="X113" s="81" t="inlineStr">
        <x:is>
          <x:t xml:space="preserve">A - Primary source</x:t>
        </x:is>
      </x:c>
      <x:c r="Y113" s="81" t="inlineStr">
        <x:is>
          <x:t xml:space="preserve">Original Chinese checked against Wang Bi recension; Vietnamese is Selflo working translation, not a published translation.</x:t>
        </x:is>
      </x:c>
      <x:c r="Z113" s="81" t="inlineStr">
        <x:is>
          <x:t xml:space="preserve">Public domain / likely</x:t>
        </x:is>
      </x:c>
      <x:c r="AA113" s="81" t="inlineStr">
        <x:is>
          <x:t xml:space="preserve">Ancient source text. Verify jurisdiction/edition before commercial publication.</x:t>
        </x:is>
      </x:c>
      <x:c r="AB113" s="81" t="inlineStr">
        <x:is>
          <x:t xml:space="preserve">Medium</x:t>
        </x:is>
      </x:c>
      <x:c r="AC113" s="81" t="inlineStr">
        <x:is>
          <x:t xml:space="preserve">Could become productivity-ish.</x:t>
        </x:is>
      </x:c>
      <x:c r="AD113" s="81" t="inlineStr">
        <x:is>
          <x:t xml:space="preserve">Needs editorial review</x:t>
        </x:is>
      </x:c>
      <x:c r="AE113" s="81" t="inlineStr">
        <x:is>
          <x:t xml:space="preserve">Needs semantic dedupe review</x:t>
        </x:is>
      </x:c>
      <x:c r="AF113" s="81" t="n"/>
      <x:c r="AG113" s="81" t="n"/>
      <x:c r="AH113" s="81" t="inlineStr">
        <x:is>
          <x:t xml:space="preserve">No</x:t>
        </x:is>
      </x:c>
      <x:c r="AI113" s="81" t="inlineStr">
        <x:is>
          <x:t xml:space="preserve">Not reviewed</x:t>
        </x:is>
      </x:c>
      <x:c r="AJ113" s="81" t="inlineStr">
        <x:is>
          <x:t xml:space="preserve">Research only</x:t>
        </x:is>
      </x:c>
      <x:c r="AK113" s="81" t="inlineStr">
        <x:is>
          <x:t xml:space="preserve">Research Pool</x:t>
        </x:is>
      </x:c>
      <x:c r="AL113" s="81" t="n">
        <x:v>2</x:v>
      </x:c>
      <x:c r="AM113" s="81" t="inlineStr">
        <x:is>
          <x:t xml:space="preserve">ChatGPT research</x:t>
        </x:is>
      </x:c>
      <x:c r="AN113" s="81" t="inlineStr">
        <x:is>
          <x:t xml:space="preserve">2026-09-18</x:t>
        </x:is>
      </x:c>
      <x:c r="AO113" s="81" t="inlineStr">
        <x:is>
          <x:t xml:space="preserve">Day 2 full-scope audit, chapters 21–50.</x:t>
        </x:is>
      </x:c>
      <x:c r="AP113" s="81" t="n"/>
      <x:c r="AQ113" s="81" t="n"/>
    </x:row>
    <x:row r="114">
      <x:c r="A114" s="81" t="inlineStr">
        <x:is>
          <x:t xml:space="preserve">research.laozi.day2.ch33.050</x:t>
        </x:is>
      </x:c>
      <x:c r="B114" s="81" t="inlineStr">
        <x:is>
          <x:t xml:space="preserve">Collected</x:t>
        </x:is>
      </x:c>
      <x:c r="C114" s="81" t="inlineStr">
        <x:is>
          <x:t xml:space="preserve">Nội tâm &amp; hiểu mình</x:t>
        </x:is>
      </x:c>
      <x:c r="D114" s="81" t="inlineStr">
        <x:is>
          <x:t xml:space="preserve">Day 2 / Laozi 21–50</x:t>
        </x:is>
      </x:c>
      <x:c r="E114" s="81" t="n"/>
      <x:c r="F114" s="81" t="inlineStr">
        <x:is>
          <x:t xml:space="preserve">Giữ nền tảng giữa thay đổi</x:t>
        </x:is>
      </x:c>
      <x:c r="G114" s="81" t="inlineStr">
        <x:is>
          <x:t xml:space="preserve">Identity</x:t>
        </x:is>
      </x:c>
      <x:c r="H114" s="81" t="n"/>
      <x:c r="I114" s="81" t="n"/>
      <x:c r="J114" s="81" t="n"/>
      <x:c r="K114" s="81" t="inlineStr">
        <x:is>
          <x:t xml:space="preserve">Reframe</x:t>
        </x:is>
      </x:c>
      <x:c r="L114" s="81" t="n"/>
      <x:c r="M114" s="81" t="inlineStr">
        <x:is>
          <x:t xml:space="preserve">Trích đoạn triết học</x:t>
        </x:is>
      </x:c>
      <x:c r="N114" s="81" t="inlineStr">
        <x:is>
          <x:t xml:space="preserve">不失其所者久。</x:t>
        </x:is>
      </x:c>
      <x:c r="O114" s="81" t="inlineStr">
        <x:is>
          <x:t xml:space="preserve">Classical Chinese (文言文)</x:t>
        </x:is>
      </x:c>
      <x:c r="P114" s="81" t="inlineStr">
        <x:is>
          <x:t xml:space="preserve">Không đánh mất chỗ đứng/nền tảng của mình thì có thể bền.</x:t>
        </x:is>
      </x:c>
      <x:c r="Q114" s="81" t="inlineStr">
        <x:is>
          <x:t xml:space="preserve">Laozi / 老子</x:t>
        </x:is>
      </x:c>
      <x:c r="R114" s="81" t="inlineStr">
        <x:is>
          <x:t xml:space="preserve">Taoism</x:t>
        </x:is>
      </x:c>
      <x:c r="S114" s="81" t="inlineStr">
        <x:is>
          <x:t xml:space="preserve">道德經 / Tao Te Ching</x:t>
        </x:is>
      </x:c>
      <x:c r="T114" s="81" t="inlineStr">
        <x:is>
          <x:t xml:space="preserve">Chapter 33</x:t>
        </x:is>
      </x:c>
      <x:c r="U114" s="81" t="inlineStr">
        <x:is>
          <x:t xml:space="preserve">https://zh.wikisource.org/zh-hant/%E9%81%93%E5%BE%B7%E7%B6%93_%28%E7%8E%8B%E5%BC%BC%E6%9C%AC%29</x:t>
        </x:is>
      </x:c>
      <x:c r="V114" s="81" t="inlineStr">
        <x:is>
          <x:t xml:space="preserve">Primary text</x:t>
        </x:is>
      </x:c>
      <x:c r="W114" s="81" t="inlineStr">
        <x:is>
          <x:t xml:space="preserve">Working translation</x:t>
        </x:is>
      </x:c>
      <x:c r="X114" s="81" t="inlineStr">
        <x:is>
          <x:t xml:space="preserve">A - Primary source</x:t>
        </x:is>
      </x:c>
      <x:c r="Y114" s="81" t="inlineStr">
        <x:is>
          <x:t xml:space="preserve">Original Chinese checked against Wang Bi recension; Vietnamese is Selflo working translation, not a published translation.</x:t>
        </x:is>
      </x:c>
      <x:c r="Z114" s="81" t="inlineStr">
        <x:is>
          <x:t xml:space="preserve">Public domain / likely</x:t>
        </x:is>
      </x:c>
      <x:c r="AA114" s="81" t="inlineStr">
        <x:is>
          <x:t xml:space="preserve">Ancient source text. Verify jurisdiction/edition before commercial publication.</x:t>
        </x:is>
      </x:c>
      <x:c r="AB114" s="81" t="inlineStr">
        <x:is>
          <x:t xml:space="preserve">High</x:t>
        </x:is>
      </x:c>
      <x:c r="AC114" s="81" t="inlineStr">
        <x:is>
          <x:t xml:space="preserve">Strong.</x:t>
        </x:is>
      </x:c>
      <x:c r="AD114" s="81" t="inlineStr">
        <x:is>
          <x:t xml:space="preserve">Needs editorial review</x:t>
        </x:is>
      </x:c>
      <x:c r="AE114" s="81" t="inlineStr">
        <x:is>
          <x:t xml:space="preserve">Needs semantic dedupe review</x:t>
        </x:is>
      </x:c>
      <x:c r="AF114" s="81" t="n"/>
      <x:c r="AG114" s="81" t="n"/>
      <x:c r="AH114" s="81" t="inlineStr">
        <x:is>
          <x:t xml:space="preserve">No</x:t>
        </x:is>
      </x:c>
      <x:c r="AI114" s="81" t="inlineStr">
        <x:is>
          <x:t xml:space="preserve">Not reviewed</x:t>
        </x:is>
      </x:c>
      <x:c r="AJ114" s="81" t="inlineStr">
        <x:is>
          <x:t xml:space="preserve">Research only</x:t>
        </x:is>
      </x:c>
      <x:c r="AK114" s="81" t="inlineStr">
        <x:is>
          <x:t xml:space="preserve">Research Pool</x:t>
        </x:is>
      </x:c>
      <x:c r="AL114" s="81" t="n">
        <x:v>2</x:v>
      </x:c>
      <x:c r="AM114" s="81" t="inlineStr">
        <x:is>
          <x:t xml:space="preserve">ChatGPT research</x:t>
        </x:is>
      </x:c>
      <x:c r="AN114" s="81" t="inlineStr">
        <x:is>
          <x:t xml:space="preserve">2026-09-18</x:t>
        </x:is>
      </x:c>
      <x:c r="AO114" s="81" t="inlineStr">
        <x:is>
          <x:t xml:space="preserve">Day 2 full-scope audit, chapters 21–50.</x:t>
        </x:is>
      </x:c>
      <x:c r="AP114" s="81" t="n"/>
      <x:c r="AQ114" s="81" t="n"/>
    </x:row>
    <x:row r="115">
      <x:c r="A115" s="81" t="inlineStr">
        <x:is>
          <x:t xml:space="preserve">research.laozi.day2.ch33.051</x:t>
        </x:is>
      </x:c>
      <x:c r="B115" s="81" t="inlineStr">
        <x:is>
          <x:t xml:space="preserve">Collected</x:t>
        </x:is>
      </x:c>
      <x:c r="C115" s="81" t="inlineStr">
        <x:is>
          <x:t xml:space="preserve">Nội tâm &amp; hiểu mình</x:t>
        </x:is>
      </x:c>
      <x:c r="D115" s="81" t="inlineStr">
        <x:is>
          <x:t xml:space="preserve">Day 2 / Laozi 21–50</x:t>
        </x:is>
      </x:c>
      <x:c r="E115" s="81" t="n"/>
      <x:c r="F115" s="81" t="inlineStr">
        <x:is>
          <x:t xml:space="preserve">Ý nghĩa có thể vượt khỏi thời lượng hiện diện</x:t>
        </x:is>
      </x:c>
      <x:c r="G115" s="81" t="inlineStr">
        <x:is>
          <x:t xml:space="preserve">Meaning</x:t>
        </x:is>
      </x:c>
      <x:c r="H115" s="81" t="n"/>
      <x:c r="I115" s="81" t="n"/>
      <x:c r="J115" s="81" t="n"/>
      <x:c r="K115" s="81" t="inlineStr">
        <x:is>
          <x:t xml:space="preserve">Reframe</x:t>
        </x:is>
      </x:c>
      <x:c r="L115" s="81" t="n"/>
      <x:c r="M115" s="81" t="inlineStr">
        <x:is>
          <x:t xml:space="preserve">Trích đoạn triết học</x:t>
        </x:is>
      </x:c>
      <x:c r="N115" s="81" t="inlineStr">
        <x:is>
          <x:t xml:space="preserve">死而不亡者壽。</x:t>
        </x:is>
      </x:c>
      <x:c r="O115" s="81" t="inlineStr">
        <x:is>
          <x:t xml:space="preserve">Classical Chinese (文言文)</x:t>
        </x:is>
      </x:c>
      <x:c r="P115" s="81" t="inlineStr">
        <x:is>
          <x:t xml:space="preserve">Chết mà điều mình để lại không mất được gọi là sống lâu.</x:t>
        </x:is>
      </x:c>
      <x:c r="Q115" s="81" t="inlineStr">
        <x:is>
          <x:t xml:space="preserve">Laozi / 老子</x:t>
        </x:is>
      </x:c>
      <x:c r="R115" s="81" t="inlineStr">
        <x:is>
          <x:t xml:space="preserve">Taoism</x:t>
        </x:is>
      </x:c>
      <x:c r="S115" s="81" t="inlineStr">
        <x:is>
          <x:t xml:space="preserve">道德經 / Tao Te Ching</x:t>
        </x:is>
      </x:c>
      <x:c r="T115" s="81" t="inlineStr">
        <x:is>
          <x:t xml:space="preserve">Chapter 33</x:t>
        </x:is>
      </x:c>
      <x:c r="U115" s="81" t="inlineStr">
        <x:is>
          <x:t xml:space="preserve">https://zh.wikisource.org/zh-hant/%E9%81%93%E5%BE%B7%E7%B6%93_%28%E7%8E%8B%E5%BC%BC%E6%9C%AC%29</x:t>
        </x:is>
      </x:c>
      <x:c r="V115" s="81" t="inlineStr">
        <x:is>
          <x:t xml:space="preserve">Primary text</x:t>
        </x:is>
      </x:c>
      <x:c r="W115" s="81" t="inlineStr">
        <x:is>
          <x:t xml:space="preserve">Working translation</x:t>
        </x:is>
      </x:c>
      <x:c r="X115" s="81" t="inlineStr">
        <x:is>
          <x:t xml:space="preserve">A - Primary source</x:t>
        </x:is>
      </x:c>
      <x:c r="Y115" s="81" t="inlineStr">
        <x:is>
          <x:t xml:space="preserve">Original Chinese checked against Wang Bi recension; Vietnamese is Selflo working translation, not a published translation.</x:t>
        </x:is>
      </x:c>
      <x:c r="Z115" s="81" t="inlineStr">
        <x:is>
          <x:t xml:space="preserve">Public domain / likely</x:t>
        </x:is>
      </x:c>
      <x:c r="AA115" s="81" t="inlineStr">
        <x:is>
          <x:t xml:space="preserve">Ancient source text. Verify jurisdiction/edition before commercial publication.</x:t>
        </x:is>
      </x:c>
      <x:c r="AB115" s="81" t="inlineStr">
        <x:is>
          <x:t xml:space="preserve">Medium</x:t>
        </x:is>
      </x:c>
      <x:c r="AC115" s="81" t="inlineStr">
        <x:is>
          <x:t xml:space="preserve">Existential.</x:t>
        </x:is>
      </x:c>
      <x:c r="AD115" s="81" t="inlineStr">
        <x:is>
          <x:t xml:space="preserve">Needs editorial review</x:t>
        </x:is>
      </x:c>
      <x:c r="AE115" s="81" t="inlineStr">
        <x:is>
          <x:t xml:space="preserve">Needs semantic dedupe review</x:t>
        </x:is>
      </x:c>
      <x:c r="AF115" s="81" t="n"/>
      <x:c r="AG115" s="81" t="n"/>
      <x:c r="AH115" s="81" t="inlineStr">
        <x:is>
          <x:t xml:space="preserve">No</x:t>
        </x:is>
      </x:c>
      <x:c r="AI115" s="81" t="inlineStr">
        <x:is>
          <x:t xml:space="preserve">Not reviewed</x:t>
        </x:is>
      </x:c>
      <x:c r="AJ115" s="81" t="inlineStr">
        <x:is>
          <x:t xml:space="preserve">Research only</x:t>
        </x:is>
      </x:c>
      <x:c r="AK115" s="81" t="inlineStr">
        <x:is>
          <x:t xml:space="preserve">Research Pool</x:t>
        </x:is>
      </x:c>
      <x:c r="AL115" s="81" t="n">
        <x:v>2</x:v>
      </x:c>
      <x:c r="AM115" s="81" t="inlineStr">
        <x:is>
          <x:t xml:space="preserve">ChatGPT research</x:t>
        </x:is>
      </x:c>
      <x:c r="AN115" s="81" t="inlineStr">
        <x:is>
          <x:t xml:space="preserve">2026-09-18</x:t>
        </x:is>
      </x:c>
      <x:c r="AO115" s="81" t="inlineStr">
        <x:is>
          <x:t xml:space="preserve">Day 2 full-scope audit, chapters 21–50.</x:t>
        </x:is>
      </x:c>
      <x:c r="AP115" s="81" t="n"/>
      <x:c r="AQ115" s="81" t="n"/>
    </x:row>
    <x:row r="116">
      <x:c r="A116" s="81" t="inlineStr">
        <x:is>
          <x:t xml:space="preserve">research.laozi.day2.ch34.052</x:t>
        </x:is>
      </x:c>
      <x:c r="B116" s="81" t="inlineStr">
        <x:is>
          <x:t xml:space="preserve">Collected</x:t>
        </x:is>
      </x:c>
      <x:c r="C116" s="81" t="inlineStr">
        <x:is>
          <x:t xml:space="preserve">Nội tâm &amp; hiểu mình</x:t>
        </x:is>
      </x:c>
      <x:c r="D116" s="81" t="inlineStr">
        <x:is>
          <x:t xml:space="preserve">Day 2 / Laozi 21–50</x:t>
        </x:is>
      </x:c>
      <x:c r="E116" s="81" t="n"/>
      <x:c r="F116" s="81" t="inlineStr">
        <x:is>
          <x:t xml:space="preserve">Không bị khóa vào một hướng duy nhất</x:t>
        </x:is>
      </x:c>
      <x:c r="G116" s="81" t="inlineStr">
        <x:is>
          <x:t xml:space="preserve">Flexibility</x:t>
        </x:is>
      </x:c>
      <x:c r="H116" s="81" t="n"/>
      <x:c r="I116" s="81" t="n"/>
      <x:c r="J116" s="81" t="n"/>
      <x:c r="K116" s="81" t="inlineStr">
        <x:is>
          <x:t xml:space="preserve">Permit</x:t>
        </x:is>
      </x:c>
      <x:c r="L116" s="81" t="n"/>
      <x:c r="M116" s="81" t="inlineStr">
        <x:is>
          <x:t xml:space="preserve">Trích đoạn triết học</x:t>
        </x:is>
      </x:c>
      <x:c r="N116" s="81" t="inlineStr">
        <x:is>
          <x:t xml:space="preserve">大道氾兮，其可左右。</x:t>
        </x:is>
      </x:c>
      <x:c r="O116" s="81" t="inlineStr">
        <x:is>
          <x:t xml:space="preserve">Classical Chinese (文言文)</x:t>
        </x:is>
      </x:c>
      <x:c r="P116" s="81" t="inlineStr">
        <x:is>
          <x:t xml:space="preserve">Đạo lớn tràn khắp, có thể chảy về cả hai phía.</x:t>
        </x:is>
      </x:c>
      <x:c r="Q116" s="81" t="inlineStr">
        <x:is>
          <x:t xml:space="preserve">Laozi / 老子</x:t>
        </x:is>
      </x:c>
      <x:c r="R116" s="81" t="inlineStr">
        <x:is>
          <x:t xml:space="preserve">Taoism</x:t>
        </x:is>
      </x:c>
      <x:c r="S116" s="81" t="inlineStr">
        <x:is>
          <x:t xml:space="preserve">道德經 / Tao Te Ching</x:t>
        </x:is>
      </x:c>
      <x:c r="T116" s="81" t="inlineStr">
        <x:is>
          <x:t xml:space="preserve">Chapter 34</x:t>
        </x:is>
      </x:c>
      <x:c r="U116" s="81" t="inlineStr">
        <x:is>
          <x:t xml:space="preserve">https://zh.wikisource.org/zh-hant/%E9%81%93%E5%BE%B7%E7%B6%93_%28%E7%8E%8B%E5%BC%BC%E6%9C%AC%29</x:t>
        </x:is>
      </x:c>
      <x:c r="V116" s="81" t="inlineStr">
        <x:is>
          <x:t xml:space="preserve">Primary text</x:t>
        </x:is>
      </x:c>
      <x:c r="W116" s="81" t="inlineStr">
        <x:is>
          <x:t xml:space="preserve">Working translation</x:t>
        </x:is>
      </x:c>
      <x:c r="X116" s="81" t="inlineStr">
        <x:is>
          <x:t xml:space="preserve">A - Primary source</x:t>
        </x:is>
      </x:c>
      <x:c r="Y116" s="81" t="inlineStr">
        <x:is>
          <x:t xml:space="preserve">Original Chinese checked against Wang Bi recension; Vietnamese is Selflo working translation, not a published translation.</x:t>
        </x:is>
      </x:c>
      <x:c r="Z116" s="81" t="inlineStr">
        <x:is>
          <x:t xml:space="preserve">Public domain / likely</x:t>
        </x:is>
      </x:c>
      <x:c r="AA116" s="81" t="inlineStr">
        <x:is>
          <x:t xml:space="preserve">Ancient source text. Verify jurisdiction/edition before commercial publication.</x:t>
        </x:is>
      </x:c>
      <x:c r="AB116" s="81" t="inlineStr">
        <x:is>
          <x:t xml:space="preserve">Medium</x:t>
        </x:is>
      </x:c>
      <x:c r="AC116" s="81" t="inlineStr">
        <x:is>
          <x:t xml:space="preserve">Metaphysical.</x:t>
        </x:is>
      </x:c>
      <x:c r="AD116" s="81" t="inlineStr">
        <x:is>
          <x:t xml:space="preserve">Needs editorial review</x:t>
        </x:is>
      </x:c>
      <x:c r="AE116" s="81" t="inlineStr">
        <x:is>
          <x:t xml:space="preserve">Needs semantic dedupe review</x:t>
        </x:is>
      </x:c>
      <x:c r="AF116" s="81" t="n"/>
      <x:c r="AG116" s="81" t="n"/>
      <x:c r="AH116" s="81" t="inlineStr">
        <x:is>
          <x:t xml:space="preserve">No</x:t>
        </x:is>
      </x:c>
      <x:c r="AI116" s="81" t="inlineStr">
        <x:is>
          <x:t xml:space="preserve">Not reviewed</x:t>
        </x:is>
      </x:c>
      <x:c r="AJ116" s="81" t="inlineStr">
        <x:is>
          <x:t xml:space="preserve">Research only</x:t>
        </x:is>
      </x:c>
      <x:c r="AK116" s="81" t="inlineStr">
        <x:is>
          <x:t xml:space="preserve">Research Pool</x:t>
        </x:is>
      </x:c>
      <x:c r="AL116" s="81" t="n">
        <x:v>2</x:v>
      </x:c>
      <x:c r="AM116" s="81" t="inlineStr">
        <x:is>
          <x:t xml:space="preserve">ChatGPT research</x:t>
        </x:is>
      </x:c>
      <x:c r="AN116" s="81" t="inlineStr">
        <x:is>
          <x:t xml:space="preserve">2026-09-18</x:t>
        </x:is>
      </x:c>
      <x:c r="AO116" s="81" t="inlineStr">
        <x:is>
          <x:t xml:space="preserve">Day 2 full-scope audit, chapters 21–50.</x:t>
        </x:is>
      </x:c>
      <x:c r="AP116" s="81" t="n"/>
      <x:c r="AQ116" s="81" t="n"/>
    </x:row>
    <x:row r="117">
      <x:c r="A117" s="81" t="inlineStr">
        <x:is>
          <x:t xml:space="preserve">research.laozi.day2.ch34.053</x:t>
        </x:is>
      </x:c>
      <x:c r="B117" s="81" t="inlineStr">
        <x:is>
          <x:t xml:space="preserve">Collected</x:t>
        </x:is>
      </x:c>
      <x:c r="C117" s="81" t="inlineStr">
        <x:is>
          <x:t xml:space="preserve">Nội tâm &amp; hiểu mình</x:t>
        </x:is>
      </x:c>
      <x:c r="D117" s="81" t="inlineStr">
        <x:is>
          <x:t xml:space="preserve">Day 2 / Laozi 21–50</x:t>
        </x:is>
      </x:c>
      <x:c r="E117" s="81" t="n"/>
      <x:c r="F117" s="81" t="inlineStr">
        <x:is>
          <x:t xml:space="preserve">Tạo giá trị mà không cần chiếm công</x:t>
        </x:is>
      </x:c>
      <x:c r="G117" s="81" t="inlineStr">
        <x:is>
          <x:t xml:space="preserve">Achievement</x:t>
        </x:is>
      </x:c>
      <x:c r="H117" s="81" t="n"/>
      <x:c r="I117" s="81" t="n"/>
      <x:c r="J117" s="81" t="n"/>
      <x:c r="K117" s="81" t="inlineStr">
        <x:is>
          <x:t xml:space="preserve">Reframe</x:t>
        </x:is>
      </x:c>
      <x:c r="L117" s="81" t="n"/>
      <x:c r="M117" s="81" t="inlineStr">
        <x:is>
          <x:t xml:space="preserve">Trích đoạn triết học</x:t>
        </x:is>
      </x:c>
      <x:c r="N117" s="81" t="inlineStr">
        <x:is>
          <x:t xml:space="preserve">萬物恃之以生而不辭，功成不名有。</x:t>
        </x:is>
      </x:c>
      <x:c r="O117" s="81" t="inlineStr">
        <x:is>
          <x:t xml:space="preserve">Classical Chinese (文言文)</x:t>
        </x:is>
      </x:c>
      <x:c r="P117" s="81" t="inlineStr">
        <x:is>
          <x:t xml:space="preserve">Muôn vật nhờ đó mà sinh; việc thành mà không nhận là sở hữu của mình.</x:t>
        </x:is>
      </x:c>
      <x:c r="Q117" s="81" t="inlineStr">
        <x:is>
          <x:t xml:space="preserve">Laozi / 老子</x:t>
        </x:is>
      </x:c>
      <x:c r="R117" s="81" t="inlineStr">
        <x:is>
          <x:t xml:space="preserve">Taoism</x:t>
        </x:is>
      </x:c>
      <x:c r="S117" s="81" t="inlineStr">
        <x:is>
          <x:t xml:space="preserve">道德經 / Tao Te Ching</x:t>
        </x:is>
      </x:c>
      <x:c r="T117" s="81" t="inlineStr">
        <x:is>
          <x:t xml:space="preserve">Chapter 34</x:t>
        </x:is>
      </x:c>
      <x:c r="U117" s="81" t="inlineStr">
        <x:is>
          <x:t xml:space="preserve">https://zh.wikisource.org/zh-hant/%E9%81%93%E5%BE%B7%E7%B6%93_%28%E7%8E%8B%E5%BC%BC%E6%9C%AC%29</x:t>
        </x:is>
      </x:c>
      <x:c r="V117" s="81" t="inlineStr">
        <x:is>
          <x:t xml:space="preserve">Primary text</x:t>
        </x:is>
      </x:c>
      <x:c r="W117" s="81" t="inlineStr">
        <x:is>
          <x:t xml:space="preserve">Working translation</x:t>
        </x:is>
      </x:c>
      <x:c r="X117" s="81" t="inlineStr">
        <x:is>
          <x:t xml:space="preserve">A - Primary source</x:t>
        </x:is>
      </x:c>
      <x:c r="Y117" s="81" t="inlineStr">
        <x:is>
          <x:t xml:space="preserve">Original Chinese checked against Wang Bi recension; Vietnamese is Selflo working translation, not a published translation.</x:t>
        </x:is>
      </x:c>
      <x:c r="Z117" s="81" t="inlineStr">
        <x:is>
          <x:t xml:space="preserve">Public domain / likely</x:t>
        </x:is>
      </x:c>
      <x:c r="AA117" s="81" t="inlineStr">
        <x:is>
          <x:t xml:space="preserve">Ancient source text. Verify jurisdiction/edition before commercial publication.</x:t>
        </x:is>
      </x:c>
      <x:c r="AB117" s="81" t="inlineStr">
        <x:is>
          <x:t xml:space="preserve">High</x:t>
        </x:is>
      </x:c>
      <x:c r="AC117" s="81" t="inlineStr">
        <x:is>
          <x:t xml:space="preserve">Strong.</x:t>
        </x:is>
      </x:c>
      <x:c r="AD117" s="81" t="inlineStr">
        <x:is>
          <x:t xml:space="preserve">Needs editorial review</x:t>
        </x:is>
      </x:c>
      <x:c r="AE117" s="81" t="inlineStr">
        <x:is>
          <x:t xml:space="preserve">Needs semantic dedupe review</x:t>
        </x:is>
      </x:c>
      <x:c r="AF117" s="81" t="n"/>
      <x:c r="AG117" s="81" t="n"/>
      <x:c r="AH117" s="81" t="inlineStr">
        <x:is>
          <x:t xml:space="preserve">No</x:t>
        </x:is>
      </x:c>
      <x:c r="AI117" s="81" t="inlineStr">
        <x:is>
          <x:t xml:space="preserve">Not reviewed</x:t>
        </x:is>
      </x:c>
      <x:c r="AJ117" s="81" t="inlineStr">
        <x:is>
          <x:t xml:space="preserve">Research only</x:t>
        </x:is>
      </x:c>
      <x:c r="AK117" s="81" t="inlineStr">
        <x:is>
          <x:t xml:space="preserve">Research Pool</x:t>
        </x:is>
      </x:c>
      <x:c r="AL117" s="81" t="n">
        <x:v>2</x:v>
      </x:c>
      <x:c r="AM117" s="81" t="inlineStr">
        <x:is>
          <x:t xml:space="preserve">ChatGPT research</x:t>
        </x:is>
      </x:c>
      <x:c r="AN117" s="81" t="inlineStr">
        <x:is>
          <x:t xml:space="preserve">2026-09-18</x:t>
        </x:is>
      </x:c>
      <x:c r="AO117" s="81" t="inlineStr">
        <x:is>
          <x:t xml:space="preserve">Day 2 full-scope audit, chapters 21–50.</x:t>
        </x:is>
      </x:c>
      <x:c r="AP117" s="81" t="n"/>
      <x:c r="AQ117" s="81" t="n"/>
    </x:row>
    <x:row r="118">
      <x:c r="A118" s="81" t="inlineStr">
        <x:is>
          <x:t xml:space="preserve">research.laozi.day2.ch34.054</x:t>
        </x:is>
      </x:c>
      <x:c r="B118" s="81" t="inlineStr">
        <x:is>
          <x:t xml:space="preserve">Collected</x:t>
        </x:is>
      </x:c>
      <x:c r="C118" s="81" t="inlineStr">
        <x:is>
          <x:t xml:space="preserve">Nội tâm &amp; hiểu mình</x:t>
        </x:is>
      </x:c>
      <x:c r="D118" s="81" t="inlineStr">
        <x:is>
          <x:t xml:space="preserve">Day 2 / Laozi 21–50</x:t>
        </x:is>
      </x:c>
      <x:c r="E118" s="81" t="n"/>
      <x:c r="F118" s="81" t="inlineStr">
        <x:is>
          <x:t xml:space="preserve">Hỗ trợ mà không kiểm soát</x:t>
        </x:is>
      </x:c>
      <x:c r="G118" s="81" t="inlineStr">
        <x:is>
          <x:t xml:space="preserve">Agency</x:t>
        </x:is>
      </x:c>
      <x:c r="H118" s="81" t="n"/>
      <x:c r="I118" s="81" t="n"/>
      <x:c r="J118" s="81" t="n"/>
      <x:c r="K118" s="81" t="inlineStr">
        <x:is>
          <x:t xml:space="preserve">Return agency</x:t>
        </x:is>
      </x:c>
      <x:c r="L118" s="81" t="n"/>
      <x:c r="M118" s="81" t="inlineStr">
        <x:is>
          <x:t xml:space="preserve">Trích đoạn triết học</x:t>
        </x:is>
      </x:c>
      <x:c r="N118" s="81" t="inlineStr">
        <x:is>
          <x:t xml:space="preserve">衣養萬物而不為主。</x:t>
        </x:is>
      </x:c>
      <x:c r="O118" s="81" t="inlineStr">
        <x:is>
          <x:t xml:space="preserve">Classical Chinese (文言文)</x:t>
        </x:is>
      </x:c>
      <x:c r="P118" s="81" t="inlineStr">
        <x:is>
          <x:t xml:space="preserve">Nuôi dưỡng muôn vật mà không tự đặt mình làm chủ.</x:t>
        </x:is>
      </x:c>
      <x:c r="Q118" s="81" t="inlineStr">
        <x:is>
          <x:t xml:space="preserve">Laozi / 老子</x:t>
        </x:is>
      </x:c>
      <x:c r="R118" s="81" t="inlineStr">
        <x:is>
          <x:t xml:space="preserve">Taoism</x:t>
        </x:is>
      </x:c>
      <x:c r="S118" s="81" t="inlineStr">
        <x:is>
          <x:t xml:space="preserve">道德經 / Tao Te Ching</x:t>
        </x:is>
      </x:c>
      <x:c r="T118" s="81" t="inlineStr">
        <x:is>
          <x:t xml:space="preserve">Chapter 34</x:t>
        </x:is>
      </x:c>
      <x:c r="U118" s="81" t="inlineStr">
        <x:is>
          <x:t xml:space="preserve">https://zh.wikisource.org/zh-hant/%E9%81%93%E5%BE%B7%E7%B6%93_%28%E7%8E%8B%E5%BC%BC%E6%9C%AC%29</x:t>
        </x:is>
      </x:c>
      <x:c r="V118" s="81" t="inlineStr">
        <x:is>
          <x:t xml:space="preserve">Primary text</x:t>
        </x:is>
      </x:c>
      <x:c r="W118" s="81" t="inlineStr">
        <x:is>
          <x:t xml:space="preserve">Working translation</x:t>
        </x:is>
      </x:c>
      <x:c r="X118" s="81" t="inlineStr">
        <x:is>
          <x:t xml:space="preserve">A - Primary source</x:t>
        </x:is>
      </x:c>
      <x:c r="Y118" s="81" t="inlineStr">
        <x:is>
          <x:t xml:space="preserve">Original Chinese checked against Wang Bi recension; Vietnamese is Selflo working translation, not a published translation.</x:t>
        </x:is>
      </x:c>
      <x:c r="Z118" s="81" t="inlineStr">
        <x:is>
          <x:t xml:space="preserve">Public domain / likely</x:t>
        </x:is>
      </x:c>
      <x:c r="AA118" s="81" t="inlineStr">
        <x:is>
          <x:t xml:space="preserve">Ancient source text. Verify jurisdiction/edition before commercial publication.</x:t>
        </x:is>
      </x:c>
      <x:c r="AB118" s="81" t="inlineStr">
        <x:is>
          <x:t xml:space="preserve">High</x:t>
        </x:is>
      </x:c>
      <x:c r="AC118" s="81" t="inlineStr">
        <x:is>
          <x:t xml:space="preserve">Core Selflo.</x:t>
        </x:is>
      </x:c>
      <x:c r="AD118" s="81" t="inlineStr">
        <x:is>
          <x:t xml:space="preserve">Needs editorial review</x:t>
        </x:is>
      </x:c>
      <x:c r="AE118" s="81" t="inlineStr">
        <x:is>
          <x:t xml:space="preserve">Needs semantic dedupe review</x:t>
        </x:is>
      </x:c>
      <x:c r="AF118" s="81" t="n"/>
      <x:c r="AG118" s="81" t="n"/>
      <x:c r="AH118" s="81" t="inlineStr">
        <x:is>
          <x:t xml:space="preserve">No</x:t>
        </x:is>
      </x:c>
      <x:c r="AI118" s="81" t="inlineStr">
        <x:is>
          <x:t xml:space="preserve">Not reviewed</x:t>
        </x:is>
      </x:c>
      <x:c r="AJ118" s="81" t="inlineStr">
        <x:is>
          <x:t xml:space="preserve">Research only</x:t>
        </x:is>
      </x:c>
      <x:c r="AK118" s="81" t="inlineStr">
        <x:is>
          <x:t xml:space="preserve">Research Pool</x:t>
        </x:is>
      </x:c>
      <x:c r="AL118" s="81" t="n">
        <x:v>2</x:v>
      </x:c>
      <x:c r="AM118" s="81" t="inlineStr">
        <x:is>
          <x:t xml:space="preserve">ChatGPT research</x:t>
        </x:is>
      </x:c>
      <x:c r="AN118" s="81" t="inlineStr">
        <x:is>
          <x:t xml:space="preserve">2026-09-18</x:t>
        </x:is>
      </x:c>
      <x:c r="AO118" s="81" t="inlineStr">
        <x:is>
          <x:t xml:space="preserve">Day 2 full-scope audit, chapters 21–50.</x:t>
        </x:is>
      </x:c>
      <x:c r="AP118" s="81" t="n"/>
      <x:c r="AQ118" s="81" t="n"/>
    </x:row>
    <x:row r="119">
      <x:c r="A119" s="81" t="inlineStr">
        <x:is>
          <x:t xml:space="preserve">research.laozi.day2.ch34.055</x:t>
        </x:is>
      </x:c>
      <x:c r="B119" s="81" t="inlineStr">
        <x:is>
          <x:t xml:space="preserve">Collected</x:t>
        </x:is>
      </x:c>
      <x:c r="C119" s="81" t="inlineStr">
        <x:is>
          <x:t xml:space="preserve">Nội tâm &amp; hiểu mình</x:t>
        </x:is>
      </x:c>
      <x:c r="D119" s="81" t="inlineStr">
        <x:is>
          <x:t xml:space="preserve">Day 2 / Laozi 21–50</x:t>
        </x:is>
      </x:c>
      <x:c r="E119" s="81" t="n"/>
      <x:c r="F119" s="81" t="inlineStr">
        <x:is>
          <x:t xml:space="preserve">Ảnh hưởng không cần đồng nghĩa với kiểm soát</x:t>
        </x:is>
      </x:c>
      <x:c r="G119" s="81" t="inlineStr">
        <x:is>
          <x:t xml:space="preserve">Leadership</x:t>
        </x:is>
      </x:c>
      <x:c r="H119" s="81" t="n"/>
      <x:c r="I119" s="81" t="n"/>
      <x:c r="J119" s="81" t="n"/>
      <x:c r="K119" s="81" t="inlineStr">
        <x:is>
          <x:t xml:space="preserve">Reframe</x:t>
        </x:is>
      </x:c>
      <x:c r="L119" s="81" t="n"/>
      <x:c r="M119" s="81" t="inlineStr">
        <x:is>
          <x:t xml:space="preserve">Trích đoạn triết học</x:t>
        </x:is>
      </x:c>
      <x:c r="N119" s="81" t="inlineStr">
        <x:is>
          <x:t xml:space="preserve">常無欲，可名於小；萬物歸焉而不為主，可名為大。</x:t>
        </x:is>
      </x:c>
      <x:c r="O119" s="81" t="inlineStr">
        <x:is>
          <x:t xml:space="preserve">Classical Chinese (文言文)</x:t>
        </x:is>
      </x:c>
      <x:c r="P119" s="81" t="inlineStr">
        <x:is>
          <x:t xml:space="preserve">Không tự đặt mình ở trung tâm có thể trông nhỏ; đón nhận mà không làm chủ lại có thể là một dạng lớn.</x:t>
        </x:is>
      </x:c>
      <x:c r="Q119" s="81" t="inlineStr">
        <x:is>
          <x:t xml:space="preserve">Laozi / 老子</x:t>
        </x:is>
      </x:c>
      <x:c r="R119" s="81" t="inlineStr">
        <x:is>
          <x:t xml:space="preserve">Taoism</x:t>
        </x:is>
      </x:c>
      <x:c r="S119" s="81" t="inlineStr">
        <x:is>
          <x:t xml:space="preserve">道德經 / Tao Te Ching</x:t>
        </x:is>
      </x:c>
      <x:c r="T119" s="81" t="inlineStr">
        <x:is>
          <x:t xml:space="preserve">Chapter 34</x:t>
        </x:is>
      </x:c>
      <x:c r="U119" s="81" t="inlineStr">
        <x:is>
          <x:t xml:space="preserve">https://zh.wikisource.org/zh-hant/%E9%81%93%E5%BE%B7%E7%B6%93_%28%E7%8E%8B%E5%BC%BC%E6%9C%AC%29</x:t>
        </x:is>
      </x:c>
      <x:c r="V119" s="81" t="inlineStr">
        <x:is>
          <x:t xml:space="preserve">Primary text</x:t>
        </x:is>
      </x:c>
      <x:c r="W119" s="81" t="inlineStr">
        <x:is>
          <x:t xml:space="preserve">Working translation</x:t>
        </x:is>
      </x:c>
      <x:c r="X119" s="81" t="inlineStr">
        <x:is>
          <x:t xml:space="preserve">A - Primary source</x:t>
        </x:is>
      </x:c>
      <x:c r="Y119" s="81" t="inlineStr">
        <x:is>
          <x:t xml:space="preserve">Original Chinese checked against Wang Bi recension; Vietnamese is Selflo working translation, not a published translation.</x:t>
        </x:is>
      </x:c>
      <x:c r="Z119" s="81" t="inlineStr">
        <x:is>
          <x:t xml:space="preserve">Public domain / likely</x:t>
        </x:is>
      </x:c>
      <x:c r="AA119" s="81" t="inlineStr">
        <x:is>
          <x:t xml:space="preserve">Ancient source text. Verify jurisdiction/edition before commercial publication.</x:t>
        </x:is>
      </x:c>
      <x:c r="AB119" s="81" t="inlineStr">
        <x:is>
          <x:t xml:space="preserve">High</x:t>
        </x:is>
      </x:c>
      <x:c r="AC119" s="81" t="inlineStr">
        <x:is>
          <x:t xml:space="preserve">Strong product philosophy.</x:t>
        </x:is>
      </x:c>
      <x:c r="AD119" s="81" t="inlineStr">
        <x:is>
          <x:t xml:space="preserve">Needs editorial review</x:t>
        </x:is>
      </x:c>
      <x:c r="AE119" s="81" t="inlineStr">
        <x:is>
          <x:t xml:space="preserve">Needs semantic dedupe review</x:t>
        </x:is>
      </x:c>
      <x:c r="AF119" s="81" t="n"/>
      <x:c r="AG119" s="81" t="n"/>
      <x:c r="AH119" s="81" t="inlineStr">
        <x:is>
          <x:t xml:space="preserve">No</x:t>
        </x:is>
      </x:c>
      <x:c r="AI119" s="81" t="inlineStr">
        <x:is>
          <x:t xml:space="preserve">Not reviewed</x:t>
        </x:is>
      </x:c>
      <x:c r="AJ119" s="81" t="inlineStr">
        <x:is>
          <x:t xml:space="preserve">Research only</x:t>
        </x:is>
      </x:c>
      <x:c r="AK119" s="81" t="inlineStr">
        <x:is>
          <x:t xml:space="preserve">Research Pool</x:t>
        </x:is>
      </x:c>
      <x:c r="AL119" s="81" t="n">
        <x:v>2</x:v>
      </x:c>
      <x:c r="AM119" s="81" t="inlineStr">
        <x:is>
          <x:t xml:space="preserve">ChatGPT research</x:t>
        </x:is>
      </x:c>
      <x:c r="AN119" s="81" t="inlineStr">
        <x:is>
          <x:t xml:space="preserve">2026-09-18</x:t>
        </x:is>
      </x:c>
      <x:c r="AO119" s="81" t="inlineStr">
        <x:is>
          <x:t xml:space="preserve">Day 2 full-scope audit, chapters 21–50.</x:t>
        </x:is>
      </x:c>
      <x:c r="AP119" s="81" t="n"/>
      <x:c r="AQ119" s="81" t="n"/>
    </x:row>
    <x:row r="120">
      <x:c r="A120" s="81" t="inlineStr">
        <x:is>
          <x:t xml:space="preserve">research.laozi.day2.ch35.056</x:t>
        </x:is>
      </x:c>
      <x:c r="B120" s="81" t="inlineStr">
        <x:is>
          <x:t xml:space="preserve">Collected</x:t>
        </x:is>
      </x:c>
      <x:c r="C120" s="81" t="inlineStr">
        <x:is>
          <x:t xml:space="preserve">Nội tâm &amp; hiểu mình</x:t>
        </x:is>
      </x:c>
      <x:c r="D120" s="81" t="inlineStr">
        <x:is>
          <x:t xml:space="preserve">Day 2 / Laozi 21–50</x:t>
        </x:is>
      </x:c>
      <x:c r="E120" s="81" t="n"/>
      <x:c r="F120" s="81" t="inlineStr">
        <x:is>
          <x:t xml:space="preserve">Một định hướng lớn có thể tạo không gian an toàn</x:t>
        </x:is>
      </x:c>
      <x:c r="G120" s="81" t="inlineStr">
        <x:is>
          <x:t xml:space="preserve">Values</x:t>
        </x:is>
      </x:c>
      <x:c r="H120" s="81" t="n"/>
      <x:c r="I120" s="81" t="n"/>
      <x:c r="J120" s="81" t="n"/>
      <x:c r="K120" s="81" t="inlineStr">
        <x:is>
          <x:t xml:space="preserve">Reframe</x:t>
        </x:is>
      </x:c>
      <x:c r="L120" s="81" t="n"/>
      <x:c r="M120" s="81" t="inlineStr">
        <x:is>
          <x:t xml:space="preserve">Trích đoạn triết học</x:t>
        </x:is>
      </x:c>
      <x:c r="N120" s="81" t="inlineStr">
        <x:is>
          <x:t xml:space="preserve">執大象，天下往。往而不害，安平泰。</x:t>
        </x:is>
      </x:c>
      <x:c r="O120" s="81" t="inlineStr">
        <x:is>
          <x:t xml:space="preserve">Classical Chinese (文言文)</x:t>
        </x:is>
      </x:c>
      <x:c r="P120" s="81" t="inlineStr">
        <x:is>
          <x:t xml:space="preserve">Giữ được hình dung lớn, người ta có thể tìm đến mà không bị hại, có chỗ yên.</x:t>
        </x:is>
      </x:c>
      <x:c r="Q120" s="81" t="inlineStr">
        <x:is>
          <x:t xml:space="preserve">Laozi / 老子</x:t>
        </x:is>
      </x:c>
      <x:c r="R120" s="81" t="inlineStr">
        <x:is>
          <x:t xml:space="preserve">Taoism</x:t>
        </x:is>
      </x:c>
      <x:c r="S120" s="81" t="inlineStr">
        <x:is>
          <x:t xml:space="preserve">道德經 / Tao Te Ching</x:t>
        </x:is>
      </x:c>
      <x:c r="T120" s="81" t="inlineStr">
        <x:is>
          <x:t xml:space="preserve">Chapter 35</x:t>
        </x:is>
      </x:c>
      <x:c r="U120" s="81" t="inlineStr">
        <x:is>
          <x:t xml:space="preserve">https://zh.wikisource.org/zh-hant/%E9%81%93%E5%BE%B7%E7%B6%93_%28%E7%8E%8B%E5%BC%BC%E6%9C%AC%29</x:t>
        </x:is>
      </x:c>
      <x:c r="V120" s="81" t="inlineStr">
        <x:is>
          <x:t xml:space="preserve">Primary text</x:t>
        </x:is>
      </x:c>
      <x:c r="W120" s="81" t="inlineStr">
        <x:is>
          <x:t xml:space="preserve">Working translation</x:t>
        </x:is>
      </x:c>
      <x:c r="X120" s="81" t="inlineStr">
        <x:is>
          <x:t xml:space="preserve">A - Primary source</x:t>
        </x:is>
      </x:c>
      <x:c r="Y120" s="81" t="inlineStr">
        <x:is>
          <x:t xml:space="preserve">Original Chinese checked against Wang Bi recension; Vietnamese is Selflo working translation, not a published translation.</x:t>
        </x:is>
      </x:c>
      <x:c r="Z120" s="81" t="inlineStr">
        <x:is>
          <x:t xml:space="preserve">Public domain / likely</x:t>
        </x:is>
      </x:c>
      <x:c r="AA120" s="81" t="inlineStr">
        <x:is>
          <x:t xml:space="preserve">Ancient source text. Verify jurisdiction/edition before commercial publication.</x:t>
        </x:is>
      </x:c>
      <x:c r="AB120" s="81" t="inlineStr">
        <x:is>
          <x:t xml:space="preserve">Medium</x:t>
        </x:is>
      </x:c>
      <x:c r="AC120" s="81" t="inlineStr">
        <x:is>
          <x:t xml:space="preserve">Metaphysical/leadership.</x:t>
        </x:is>
      </x:c>
      <x:c r="AD120" s="81" t="inlineStr">
        <x:is>
          <x:t xml:space="preserve">Needs editorial review</x:t>
        </x:is>
      </x:c>
      <x:c r="AE120" s="81" t="inlineStr">
        <x:is>
          <x:t xml:space="preserve">Needs semantic dedupe review</x:t>
        </x:is>
      </x:c>
      <x:c r="AF120" s="81" t="n"/>
      <x:c r="AG120" s="81" t="n"/>
      <x:c r="AH120" s="81" t="inlineStr">
        <x:is>
          <x:t xml:space="preserve">No</x:t>
        </x:is>
      </x:c>
      <x:c r="AI120" s="81" t="inlineStr">
        <x:is>
          <x:t xml:space="preserve">Not reviewed</x:t>
        </x:is>
      </x:c>
      <x:c r="AJ120" s="81" t="inlineStr">
        <x:is>
          <x:t xml:space="preserve">Research only</x:t>
        </x:is>
      </x:c>
      <x:c r="AK120" s="81" t="inlineStr">
        <x:is>
          <x:t xml:space="preserve">Research Pool</x:t>
        </x:is>
      </x:c>
      <x:c r="AL120" s="81" t="n">
        <x:v>2</x:v>
      </x:c>
      <x:c r="AM120" s="81" t="inlineStr">
        <x:is>
          <x:t xml:space="preserve">ChatGPT research</x:t>
        </x:is>
      </x:c>
      <x:c r="AN120" s="81" t="inlineStr">
        <x:is>
          <x:t xml:space="preserve">2026-09-18</x:t>
        </x:is>
      </x:c>
      <x:c r="AO120" s="81" t="inlineStr">
        <x:is>
          <x:t xml:space="preserve">Day 2 full-scope audit, chapters 21–50.</x:t>
        </x:is>
      </x:c>
      <x:c r="AP120" s="81" t="n"/>
      <x:c r="AQ120" s="81" t="n"/>
    </x:row>
    <x:row r="121">
      <x:c r="A121" s="81" t="inlineStr">
        <x:is>
          <x:t xml:space="preserve">research.laozi.day2.ch35.057</x:t>
        </x:is>
      </x:c>
      <x:c r="B121" s="81" t="inlineStr">
        <x:is>
          <x:t xml:space="preserve">Collected</x:t>
        </x:is>
      </x:c>
      <x:c r="C121" s="81" t="inlineStr">
        <x:is>
          <x:t xml:space="preserve">Nội tâm &amp; hiểu mình</x:t>
        </x:is>
      </x:c>
      <x:c r="D121" s="81" t="inlineStr">
        <x:is>
          <x:t xml:space="preserve">Day 2 / Laozi 21–50</x:t>
        </x:is>
      </x:c>
      <x:c r="E121" s="81" t="n"/>
      <x:c r="F121" s="81" t="inlineStr">
        <x:is>
          <x:t xml:space="preserve">Điều hấp dẫn dễ giữ chú ý</x:t>
        </x:is>
      </x:c>
      <x:c r="G121" s="81" t="inlineStr">
        <x:is>
          <x:t xml:space="preserve">Attention</x:t>
        </x:is>
      </x:c>
      <x:c r="H121" s="81" t="n"/>
      <x:c r="I121" s="81" t="n"/>
      <x:c r="J121" s="81" t="n"/>
      <x:c r="K121" s="81" t="inlineStr">
        <x:is>
          <x:t xml:space="preserve">Recognize</x:t>
        </x:is>
      </x:c>
      <x:c r="L121" s="81" t="n"/>
      <x:c r="M121" s="81" t="inlineStr">
        <x:is>
          <x:t xml:space="preserve">Trích đoạn triết học</x:t>
        </x:is>
      </x:c>
      <x:c r="N121" s="81" t="inlineStr">
        <x:is>
          <x:t xml:space="preserve">樂與餌，過客止。</x:t>
        </x:is>
      </x:c>
      <x:c r="O121" s="81" t="inlineStr">
        <x:is>
          <x:t xml:space="preserve">Classical Chinese (文言文)</x:t>
        </x:is>
      </x:c>
      <x:c r="P121" s="81" t="inlineStr">
        <x:is>
          <x:t xml:space="preserve">Âm nhạc và món ngon có thể khiến người qua đường dừng lại.</x:t>
        </x:is>
      </x:c>
      <x:c r="Q121" s="81" t="inlineStr">
        <x:is>
          <x:t xml:space="preserve">Laozi / 老子</x:t>
        </x:is>
      </x:c>
      <x:c r="R121" s="81" t="inlineStr">
        <x:is>
          <x:t xml:space="preserve">Taoism</x:t>
        </x:is>
      </x:c>
      <x:c r="S121" s="81" t="inlineStr">
        <x:is>
          <x:t xml:space="preserve">道德經 / Tao Te Ching</x:t>
        </x:is>
      </x:c>
      <x:c r="T121" s="81" t="inlineStr">
        <x:is>
          <x:t xml:space="preserve">Chapter 35</x:t>
        </x:is>
      </x:c>
      <x:c r="U121" s="81" t="inlineStr">
        <x:is>
          <x:t xml:space="preserve">https://zh.wikisource.org/zh-hant/%E9%81%93%E5%BE%B7%E7%B6%93_%28%E7%8E%8B%E5%BC%BC%E6%9C%AC%29</x:t>
        </x:is>
      </x:c>
      <x:c r="V121" s="81" t="inlineStr">
        <x:is>
          <x:t xml:space="preserve">Primary text</x:t>
        </x:is>
      </x:c>
      <x:c r="W121" s="81" t="inlineStr">
        <x:is>
          <x:t xml:space="preserve">Working translation</x:t>
        </x:is>
      </x:c>
      <x:c r="X121" s="81" t="inlineStr">
        <x:is>
          <x:t xml:space="preserve">A - Primary source</x:t>
        </x:is>
      </x:c>
      <x:c r="Y121" s="81" t="inlineStr">
        <x:is>
          <x:t xml:space="preserve">Original Chinese checked against Wang Bi recension; Vietnamese is Selflo working translation, not a published translation.</x:t>
        </x:is>
      </x:c>
      <x:c r="Z121" s="81" t="inlineStr">
        <x:is>
          <x:t xml:space="preserve">Public domain / likely</x:t>
        </x:is>
      </x:c>
      <x:c r="AA121" s="81" t="inlineStr">
        <x:is>
          <x:t xml:space="preserve">Ancient source text. Verify jurisdiction/edition before commercial publication.</x:t>
        </x:is>
      </x:c>
      <x:c r="AB121" s="81" t="inlineStr">
        <x:is>
          <x:t xml:space="preserve">Medium</x:t>
        </x:is>
      </x:c>
      <x:c r="AC121" s="81" t="inlineStr">
        <x:is>
          <x:t xml:space="preserve">Useful for attention.</x:t>
        </x:is>
      </x:c>
      <x:c r="AD121" s="81" t="inlineStr">
        <x:is>
          <x:t xml:space="preserve">Needs editorial review</x:t>
        </x:is>
      </x:c>
      <x:c r="AE121" s="81" t="inlineStr">
        <x:is>
          <x:t xml:space="preserve">Needs semantic dedupe review</x:t>
        </x:is>
      </x:c>
      <x:c r="AF121" s="81" t="n"/>
      <x:c r="AG121" s="81" t="n"/>
      <x:c r="AH121" s="81" t="inlineStr">
        <x:is>
          <x:t xml:space="preserve">No</x:t>
        </x:is>
      </x:c>
      <x:c r="AI121" s="81" t="inlineStr">
        <x:is>
          <x:t xml:space="preserve">Not reviewed</x:t>
        </x:is>
      </x:c>
      <x:c r="AJ121" s="81" t="inlineStr">
        <x:is>
          <x:t xml:space="preserve">Research only</x:t>
        </x:is>
      </x:c>
      <x:c r="AK121" s="81" t="inlineStr">
        <x:is>
          <x:t xml:space="preserve">Research Pool</x:t>
        </x:is>
      </x:c>
      <x:c r="AL121" s="81" t="n">
        <x:v>2</x:v>
      </x:c>
      <x:c r="AM121" s="81" t="inlineStr">
        <x:is>
          <x:t xml:space="preserve">ChatGPT research</x:t>
        </x:is>
      </x:c>
      <x:c r="AN121" s="81" t="inlineStr">
        <x:is>
          <x:t xml:space="preserve">2026-09-18</x:t>
        </x:is>
      </x:c>
      <x:c r="AO121" s="81" t="inlineStr">
        <x:is>
          <x:t xml:space="preserve">Day 2 full-scope audit, chapters 21–50.</x:t>
        </x:is>
      </x:c>
      <x:c r="AP121" s="81" t="n"/>
      <x:c r="AQ121" s="81" t="n"/>
    </x:row>
    <x:row r="122">
      <x:c r="A122" s="81" t="inlineStr">
        <x:is>
          <x:t xml:space="preserve">research.laozi.day2.ch35.058</x:t>
        </x:is>
      </x:c>
      <x:c r="B122" s="81" t="inlineStr">
        <x:is>
          <x:t xml:space="preserve">Collected</x:t>
        </x:is>
      </x:c>
      <x:c r="C122" s="81" t="inlineStr">
        <x:is>
          <x:t xml:space="preserve">Nội tâm &amp; hiểu mình</x:t>
        </x:is>
      </x:c>
      <x:c r="D122" s="81" t="inlineStr">
        <x:is>
          <x:t xml:space="preserve">Day 2 / Laozi 21–50</x:t>
        </x:is>
      </x:c>
      <x:c r="E122" s="81" t="n"/>
      <x:c r="F122" s="81" t="inlineStr">
        <x:is>
          <x:t xml:space="preserve">Điều có giá trị không phải lúc nào cũng gây kích thích</x:t>
        </x:is>
      </x:c>
      <x:c r="G122" s="81" t="inlineStr">
        <x:is>
          <x:t xml:space="preserve">Attention</x:t>
        </x:is>
      </x:c>
      <x:c r="H122" s="81" t="n"/>
      <x:c r="I122" s="81" t="n"/>
      <x:c r="J122" s="81" t="n"/>
      <x:c r="K122" s="81" t="inlineStr">
        <x:is>
          <x:t xml:space="preserve">Distinguish</x:t>
        </x:is>
      </x:c>
      <x:c r="L122" s="81" t="n"/>
      <x:c r="M122" s="81" t="inlineStr">
        <x:is>
          <x:t xml:space="preserve">Trích đoạn triết học</x:t>
        </x:is>
      </x:c>
      <x:c r="N122" s="81" t="inlineStr">
        <x:is>
          <x:t xml:space="preserve">道之出口，淡乎其無味。</x:t>
        </x:is>
      </x:c>
      <x:c r="O122" s="81" t="inlineStr">
        <x:is>
          <x:t xml:space="preserve">Classical Chinese (文言文)</x:t>
        </x:is>
      </x:c>
      <x:c r="P122" s="81" t="inlineStr">
        <x:is>
          <x:t xml:space="preserve">Đạo khi nói ra nghe nhạt như không vị.</x:t>
        </x:is>
      </x:c>
      <x:c r="Q122" s="81" t="inlineStr">
        <x:is>
          <x:t xml:space="preserve">Laozi / 老子</x:t>
        </x:is>
      </x:c>
      <x:c r="R122" s="81" t="inlineStr">
        <x:is>
          <x:t xml:space="preserve">Taoism</x:t>
        </x:is>
      </x:c>
      <x:c r="S122" s="81" t="inlineStr">
        <x:is>
          <x:t xml:space="preserve">道德經 / Tao Te Ching</x:t>
        </x:is>
      </x:c>
      <x:c r="T122" s="81" t="inlineStr">
        <x:is>
          <x:t xml:space="preserve">Chapter 35</x:t>
        </x:is>
      </x:c>
      <x:c r="U122" s="81" t="inlineStr">
        <x:is>
          <x:t xml:space="preserve">https://zh.wikisource.org/zh-hant/%E9%81%93%E5%BE%B7%E7%B6%93_%28%E7%8E%8B%E5%BC%BC%E6%9C%AC%29</x:t>
        </x:is>
      </x:c>
      <x:c r="V122" s="81" t="inlineStr">
        <x:is>
          <x:t xml:space="preserve">Primary text</x:t>
        </x:is>
      </x:c>
      <x:c r="W122" s="81" t="inlineStr">
        <x:is>
          <x:t xml:space="preserve">Working translation</x:t>
        </x:is>
      </x:c>
      <x:c r="X122" s="81" t="inlineStr">
        <x:is>
          <x:t xml:space="preserve">A - Primary source</x:t>
        </x:is>
      </x:c>
      <x:c r="Y122" s="81" t="inlineStr">
        <x:is>
          <x:t xml:space="preserve">Original Chinese checked against Wang Bi recension; Vietnamese is Selflo working translation, not a published translation.</x:t>
        </x:is>
      </x:c>
      <x:c r="Z122" s="81" t="inlineStr">
        <x:is>
          <x:t xml:space="preserve">Public domain / likely</x:t>
        </x:is>
      </x:c>
      <x:c r="AA122" s="81" t="inlineStr">
        <x:is>
          <x:t xml:space="preserve">Ancient source text. Verify jurisdiction/edition before commercial publication.</x:t>
        </x:is>
      </x:c>
      <x:c r="AB122" s="81" t="inlineStr">
        <x:is>
          <x:t xml:space="preserve">High</x:t>
        </x:is>
      </x:c>
      <x:c r="AC122" s="81" t="inlineStr">
        <x:is>
          <x:t xml:space="preserve">Excellent AI/content age.</x:t>
        </x:is>
      </x:c>
      <x:c r="AD122" s="81" t="inlineStr">
        <x:is>
          <x:t xml:space="preserve">Needs editorial review</x:t>
        </x:is>
      </x:c>
      <x:c r="AE122" s="81" t="inlineStr">
        <x:is>
          <x:t xml:space="preserve">Needs semantic dedupe review</x:t>
        </x:is>
      </x:c>
      <x:c r="AF122" s="81" t="n"/>
      <x:c r="AG122" s="81" t="n"/>
      <x:c r="AH122" s="81" t="inlineStr">
        <x:is>
          <x:t xml:space="preserve">No</x:t>
        </x:is>
      </x:c>
      <x:c r="AI122" s="81" t="inlineStr">
        <x:is>
          <x:t xml:space="preserve">Not reviewed</x:t>
        </x:is>
      </x:c>
      <x:c r="AJ122" s="81" t="inlineStr">
        <x:is>
          <x:t xml:space="preserve">Research only</x:t>
        </x:is>
      </x:c>
      <x:c r="AK122" s="81" t="inlineStr">
        <x:is>
          <x:t xml:space="preserve">Research Pool</x:t>
        </x:is>
      </x:c>
      <x:c r="AL122" s="81" t="n">
        <x:v>2</x:v>
      </x:c>
      <x:c r="AM122" s="81" t="inlineStr">
        <x:is>
          <x:t xml:space="preserve">ChatGPT research</x:t>
        </x:is>
      </x:c>
      <x:c r="AN122" s="81" t="inlineStr">
        <x:is>
          <x:t xml:space="preserve">2026-09-18</x:t>
        </x:is>
      </x:c>
      <x:c r="AO122" s="81" t="inlineStr">
        <x:is>
          <x:t xml:space="preserve">Day 2 full-scope audit, chapters 21–50.</x:t>
        </x:is>
      </x:c>
      <x:c r="AP122" s="81" t="n"/>
      <x:c r="AQ122" s="81" t="n"/>
    </x:row>
    <x:row r="123">
      <x:c r="A123" s="81" t="inlineStr">
        <x:is>
          <x:t xml:space="preserve">research.laozi.day2.ch35.059</x:t>
        </x:is>
      </x:c>
      <x:c r="B123" s="81" t="inlineStr">
        <x:is>
          <x:t xml:space="preserve">Collected</x:t>
        </x:is>
      </x:c>
      <x:c r="C123" s="81" t="inlineStr">
        <x:is>
          <x:t xml:space="preserve">Nội tâm &amp; hiểu mình</x:t>
        </x:is>
      </x:c>
      <x:c r="D123" s="81" t="inlineStr">
        <x:is>
          <x:t xml:space="preserve">Day 2 / Laozi 21–50</x:t>
        </x:is>
      </x:c>
      <x:c r="E123" s="81" t="n"/>
      <x:c r="F123" s="81" t="inlineStr">
        <x:is>
          <x:t xml:space="preserve">Phân biệt thứ gây chú ý với thứ có giá trị lâu dài</x:t>
        </x:is>
      </x:c>
      <x:c r="G123" s="81" t="inlineStr">
        <x:is>
          <x:t xml:space="preserve">Values</x:t>
        </x:is>
      </x:c>
      <x:c r="H123" s="81" t="n"/>
      <x:c r="I123" s="81" t="n"/>
      <x:c r="J123" s="81" t="n"/>
      <x:c r="K123" s="81" t="inlineStr">
        <x:is>
          <x:t xml:space="preserve">Distinguish</x:t>
        </x:is>
      </x:c>
      <x:c r="L123" s="81" t="n"/>
      <x:c r="M123" s="81" t="inlineStr">
        <x:is>
          <x:t xml:space="preserve">Trích đoạn triết học</x:t>
        </x:is>
      </x:c>
      <x:c r="N123" s="81" t="inlineStr">
        <x:is>
          <x:t xml:space="preserve">視之不足見，聽之不足聞，用之不足既。</x:t>
        </x:is>
      </x:c>
      <x:c r="O123" s="81" t="inlineStr">
        <x:is>
          <x:t xml:space="preserve">Classical Chinese (文言文)</x:t>
        </x:is>
      </x:c>
      <x:c r="P123" s="81" t="inlineStr">
        <x:is>
          <x:t xml:space="preserve">Nhìn không đủ bắt mắt, nghe không đủ gây chú ý, nhưng dùng đến thì không dễ cạn.</x:t>
        </x:is>
      </x:c>
      <x:c r="Q123" s="81" t="inlineStr">
        <x:is>
          <x:t xml:space="preserve">Laozi / 老子</x:t>
        </x:is>
      </x:c>
      <x:c r="R123" s="81" t="inlineStr">
        <x:is>
          <x:t xml:space="preserve">Taoism</x:t>
        </x:is>
      </x:c>
      <x:c r="S123" s="81" t="inlineStr">
        <x:is>
          <x:t xml:space="preserve">道德經 / Tao Te Ching</x:t>
        </x:is>
      </x:c>
      <x:c r="T123" s="81" t="inlineStr">
        <x:is>
          <x:t xml:space="preserve">Chapter 35</x:t>
        </x:is>
      </x:c>
      <x:c r="U123" s="81" t="inlineStr">
        <x:is>
          <x:t xml:space="preserve">https://zh.wikisource.org/zh-hant/%E9%81%93%E5%BE%B7%E7%B6%93_%28%E7%8E%8B%E5%BC%BC%E6%9C%AC%29</x:t>
        </x:is>
      </x:c>
      <x:c r="V123" s="81" t="inlineStr">
        <x:is>
          <x:t xml:space="preserve">Primary text</x:t>
        </x:is>
      </x:c>
      <x:c r="W123" s="81" t="inlineStr">
        <x:is>
          <x:t xml:space="preserve">Working translation</x:t>
        </x:is>
      </x:c>
      <x:c r="X123" s="81" t="inlineStr">
        <x:is>
          <x:t xml:space="preserve">A - Primary source</x:t>
        </x:is>
      </x:c>
      <x:c r="Y123" s="81" t="inlineStr">
        <x:is>
          <x:t xml:space="preserve">Original Chinese checked against Wang Bi recension; Vietnamese is Selflo working translation, not a published translation.</x:t>
        </x:is>
      </x:c>
      <x:c r="Z123" s="81" t="inlineStr">
        <x:is>
          <x:t xml:space="preserve">Public domain / likely</x:t>
        </x:is>
      </x:c>
      <x:c r="AA123" s="81" t="inlineStr">
        <x:is>
          <x:t xml:space="preserve">Ancient source text. Verify jurisdiction/edition before commercial publication.</x:t>
        </x:is>
      </x:c>
      <x:c r="AB123" s="81" t="inlineStr">
        <x:is>
          <x:t xml:space="preserve">High</x:t>
        </x:is>
      </x:c>
      <x:c r="AC123" s="81" t="inlineStr">
        <x:is>
          <x:t xml:space="preserve">Very strong.</x:t>
        </x:is>
      </x:c>
      <x:c r="AD123" s="81" t="inlineStr">
        <x:is>
          <x:t xml:space="preserve">Needs editorial review</x:t>
        </x:is>
      </x:c>
      <x:c r="AE123" s="81" t="inlineStr">
        <x:is>
          <x:t xml:space="preserve">Needs semantic dedupe review</x:t>
        </x:is>
      </x:c>
      <x:c r="AF123" s="81" t="n"/>
      <x:c r="AG123" s="81" t="n"/>
      <x:c r="AH123" s="81" t="inlineStr">
        <x:is>
          <x:t xml:space="preserve">No</x:t>
        </x:is>
      </x:c>
      <x:c r="AI123" s="81" t="inlineStr">
        <x:is>
          <x:t xml:space="preserve">Not reviewed</x:t>
        </x:is>
      </x:c>
      <x:c r="AJ123" s="81" t="inlineStr">
        <x:is>
          <x:t xml:space="preserve">Research only</x:t>
        </x:is>
      </x:c>
      <x:c r="AK123" s="81" t="inlineStr">
        <x:is>
          <x:t xml:space="preserve">Research Pool</x:t>
        </x:is>
      </x:c>
      <x:c r="AL123" s="81" t="n">
        <x:v>2</x:v>
      </x:c>
      <x:c r="AM123" s="81" t="inlineStr">
        <x:is>
          <x:t xml:space="preserve">ChatGPT research</x:t>
        </x:is>
      </x:c>
      <x:c r="AN123" s="81" t="inlineStr">
        <x:is>
          <x:t xml:space="preserve">2026-09-18</x:t>
        </x:is>
      </x:c>
      <x:c r="AO123" s="81" t="inlineStr">
        <x:is>
          <x:t xml:space="preserve">Day 2 full-scope audit, chapters 21–50.</x:t>
        </x:is>
      </x:c>
      <x:c r="AP123" s="81" t="n"/>
      <x:c r="AQ123" s="81" t="n"/>
    </x:row>
    <x:row r="124">
      <x:c r="A124" s="81" t="inlineStr">
        <x:is>
          <x:t xml:space="preserve">research.laozi.day2.ch36.060</x:t>
        </x:is>
      </x:c>
      <x:c r="B124" s="81" t="inlineStr">
        <x:is>
          <x:t xml:space="preserve">Collected</x:t>
        </x:is>
      </x:c>
      <x:c r="C124" s="81" t="inlineStr">
        <x:is>
          <x:t xml:space="preserve">Nội tâm &amp; hiểu mình</x:t>
        </x:is>
      </x:c>
      <x:c r="D124" s="81" t="inlineStr">
        <x:is>
          <x:t xml:space="preserve">Day 2 / Laozi 21–50</x:t>
        </x:is>
      </x:c>
      <x:c r="E124" s="81" t="n"/>
      <x:c r="F124" s="81" t="inlineStr">
        <x:is>
          <x:t xml:space="preserve">Một chuyển động có thể chứa mầm của chuyển động ngược</x:t>
        </x:is>
      </x:c>
      <x:c r="G124" s="81" t="inlineStr">
        <x:is>
          <x:t xml:space="preserve">Change</x:t>
        </x:is>
      </x:c>
      <x:c r="H124" s="81" t="n"/>
      <x:c r="I124" s="81" t="n"/>
      <x:c r="J124" s="81" t="n"/>
      <x:c r="K124" s="81" t="inlineStr">
        <x:is>
          <x:t xml:space="preserve">Reframe</x:t>
        </x:is>
      </x:c>
      <x:c r="L124" s="81" t="n"/>
      <x:c r="M124" s="81" t="inlineStr">
        <x:is>
          <x:t xml:space="preserve">Trích đoạn triết học</x:t>
        </x:is>
      </x:c>
      <x:c r="N124" s="81" t="inlineStr">
        <x:is>
          <x:t xml:space="preserve">將欲歙之，必固張之；將欲弱之，必固強之。</x:t>
        </x:is>
      </x:c>
      <x:c r="O124" s="81" t="inlineStr">
        <x:is>
          <x:t xml:space="preserve">Classical Chinese (文言文)</x:t>
        </x:is>
      </x:c>
      <x:c r="P124" s="81" t="inlineStr">
        <x:is>
          <x:t xml:space="preserve">Muốn co lại, trước đó có thể đã có lúc mở ra; muốn yếu đi, trước đó có thể đã có lúc mạnh lên.</x:t>
        </x:is>
      </x:c>
      <x:c r="Q124" s="81" t="inlineStr">
        <x:is>
          <x:t xml:space="preserve">Laozi / 老子</x:t>
        </x:is>
      </x:c>
      <x:c r="R124" s="81" t="inlineStr">
        <x:is>
          <x:t xml:space="preserve">Taoism</x:t>
        </x:is>
      </x:c>
      <x:c r="S124" s="81" t="inlineStr">
        <x:is>
          <x:t xml:space="preserve">道德經 / Tao Te Ching</x:t>
        </x:is>
      </x:c>
      <x:c r="T124" s="81" t="inlineStr">
        <x:is>
          <x:t xml:space="preserve">Chapter 36</x:t>
        </x:is>
      </x:c>
      <x:c r="U124" s="81" t="inlineStr">
        <x:is>
          <x:t xml:space="preserve">https://zh.wikisource.org/zh-hant/%E9%81%93%E5%BE%B7%E7%B6%93_%28%E7%8E%8B%E5%BC%BC%E6%9C%AC%29</x:t>
        </x:is>
      </x:c>
      <x:c r="V124" s="81" t="inlineStr">
        <x:is>
          <x:t xml:space="preserve">Primary text</x:t>
        </x:is>
      </x:c>
      <x:c r="W124" s="81" t="inlineStr">
        <x:is>
          <x:t xml:space="preserve">Working translation</x:t>
        </x:is>
      </x:c>
      <x:c r="X124" s="81" t="inlineStr">
        <x:is>
          <x:t xml:space="preserve">A - Primary source</x:t>
        </x:is>
      </x:c>
      <x:c r="Y124" s="81" t="inlineStr">
        <x:is>
          <x:t xml:space="preserve">Original Chinese checked against Wang Bi recension; Vietnamese is Selflo working translation, not a published translation.</x:t>
        </x:is>
      </x:c>
      <x:c r="Z124" s="81" t="inlineStr">
        <x:is>
          <x:t xml:space="preserve">Public domain / likely</x:t>
        </x:is>
      </x:c>
      <x:c r="AA124" s="81" t="inlineStr">
        <x:is>
          <x:t xml:space="preserve">Ancient source text. Verify jurisdiction/edition before commercial publication.</x:t>
        </x:is>
      </x:c>
      <x:c r="AB124" s="81" t="inlineStr">
        <x:is>
          <x:t xml:space="preserve">Medium</x:t>
        </x:is>
      </x:c>
      <x:c r="AC124" s="81" t="inlineStr">
        <x:is>
          <x:t xml:space="preserve">Dialectical; political context.</x:t>
        </x:is>
      </x:c>
      <x:c r="AD124" s="81" t="inlineStr">
        <x:is>
          <x:t xml:space="preserve">Needs editorial review</x:t>
        </x:is>
      </x:c>
      <x:c r="AE124" s="81" t="inlineStr">
        <x:is>
          <x:t xml:space="preserve">Needs semantic dedupe review</x:t>
        </x:is>
      </x:c>
      <x:c r="AF124" s="81" t="n"/>
      <x:c r="AG124" s="81" t="n"/>
      <x:c r="AH124" s="81" t="inlineStr">
        <x:is>
          <x:t xml:space="preserve">No</x:t>
        </x:is>
      </x:c>
      <x:c r="AI124" s="81" t="inlineStr">
        <x:is>
          <x:t xml:space="preserve">Not reviewed</x:t>
        </x:is>
      </x:c>
      <x:c r="AJ124" s="81" t="inlineStr">
        <x:is>
          <x:t xml:space="preserve">Research only</x:t>
        </x:is>
      </x:c>
      <x:c r="AK124" s="81" t="inlineStr">
        <x:is>
          <x:t xml:space="preserve">Research Pool</x:t>
        </x:is>
      </x:c>
      <x:c r="AL124" s="81" t="n">
        <x:v>2</x:v>
      </x:c>
      <x:c r="AM124" s="81" t="inlineStr">
        <x:is>
          <x:t xml:space="preserve">ChatGPT research</x:t>
        </x:is>
      </x:c>
      <x:c r="AN124" s="81" t="inlineStr">
        <x:is>
          <x:t xml:space="preserve">2026-09-18</x:t>
        </x:is>
      </x:c>
      <x:c r="AO124" s="81" t="inlineStr">
        <x:is>
          <x:t xml:space="preserve">Day 2 full-scope audit, chapters 21–50.</x:t>
        </x:is>
      </x:c>
      <x:c r="AP124" s="81" t="n"/>
      <x:c r="AQ124" s="81" t="n"/>
    </x:row>
    <x:row r="125">
      <x:c r="A125" s="81" t="inlineStr">
        <x:is>
          <x:t xml:space="preserve">research.laozi.day2.ch36.061</x:t>
        </x:is>
      </x:c>
      <x:c r="B125" s="81" t="inlineStr">
        <x:is>
          <x:t xml:space="preserve">Collected</x:t>
        </x:is>
      </x:c>
      <x:c r="C125" s="81" t="inlineStr">
        <x:is>
          <x:t xml:space="preserve">Nội tâm &amp; hiểu mình</x:t>
        </x:is>
      </x:c>
      <x:c r="D125" s="81" t="inlineStr">
        <x:is>
          <x:t xml:space="preserve">Day 2 / Laozi 21–50</x:t>
        </x:is>
      </x:c>
      <x:c r="E125" s="81" t="n"/>
      <x:c r="F125" s="81" t="inlineStr">
        <x:is>
          <x:t xml:space="preserve">Mềm không đồng nghĩa bất lực</x:t>
        </x:is>
      </x:c>
      <x:c r="G125" s="81" t="inlineStr">
        <x:is>
          <x:t xml:space="preserve">Strength</x:t>
        </x:is>
      </x:c>
      <x:c r="H125" s="81" t="n"/>
      <x:c r="I125" s="81" t="n"/>
      <x:c r="J125" s="81" t="n"/>
      <x:c r="K125" s="81" t="inlineStr">
        <x:is>
          <x:t xml:space="preserve">Reframe</x:t>
        </x:is>
      </x:c>
      <x:c r="L125" s="81" t="n"/>
      <x:c r="M125" s="81" t="inlineStr">
        <x:is>
          <x:t xml:space="preserve">Trích đoạn triết học</x:t>
        </x:is>
      </x:c>
      <x:c r="N125" s="81" t="inlineStr">
        <x:is>
          <x:t xml:space="preserve">柔弱勝剛強。</x:t>
        </x:is>
      </x:c>
      <x:c r="O125" s="81" t="inlineStr">
        <x:is>
          <x:t xml:space="preserve">Classical Chinese (文言文)</x:t>
        </x:is>
      </x:c>
      <x:c r="P125" s="81" t="inlineStr">
        <x:is>
          <x:t xml:space="preserve">Mềm và yếu có lúc thắng cứng và mạnh.</x:t>
        </x:is>
      </x:c>
      <x:c r="Q125" s="81" t="inlineStr">
        <x:is>
          <x:t xml:space="preserve">Laozi / 老子</x:t>
        </x:is>
      </x:c>
      <x:c r="R125" s="81" t="inlineStr">
        <x:is>
          <x:t xml:space="preserve">Taoism</x:t>
        </x:is>
      </x:c>
      <x:c r="S125" s="81" t="inlineStr">
        <x:is>
          <x:t xml:space="preserve">道德經 / Tao Te Ching</x:t>
        </x:is>
      </x:c>
      <x:c r="T125" s="81" t="inlineStr">
        <x:is>
          <x:t xml:space="preserve">Chapter 36</x:t>
        </x:is>
      </x:c>
      <x:c r="U125" s="81" t="inlineStr">
        <x:is>
          <x:t xml:space="preserve">https://zh.wikisource.org/zh-hant/%E9%81%93%E5%BE%B7%E7%B6%93_%28%E7%8E%8B%E5%BC%BC%E6%9C%AC%29</x:t>
        </x:is>
      </x:c>
      <x:c r="V125" s="81" t="inlineStr">
        <x:is>
          <x:t xml:space="preserve">Primary text</x:t>
        </x:is>
      </x:c>
      <x:c r="W125" s="81" t="inlineStr">
        <x:is>
          <x:t xml:space="preserve">Working translation</x:t>
        </x:is>
      </x:c>
      <x:c r="X125" s="81" t="inlineStr">
        <x:is>
          <x:t xml:space="preserve">A - Primary source</x:t>
        </x:is>
      </x:c>
      <x:c r="Y125" s="81" t="inlineStr">
        <x:is>
          <x:t xml:space="preserve">Original Chinese checked against Wang Bi recension; Vietnamese is Selflo working translation, not a published translation.</x:t>
        </x:is>
      </x:c>
      <x:c r="Z125" s="81" t="inlineStr">
        <x:is>
          <x:t xml:space="preserve">Public domain / likely</x:t>
        </x:is>
      </x:c>
      <x:c r="AA125" s="81" t="inlineStr">
        <x:is>
          <x:t xml:space="preserve">Ancient source text. Verify jurisdiction/edition before commercial publication.</x:t>
        </x:is>
      </x:c>
      <x:c r="AB125" s="81" t="inlineStr">
        <x:is>
          <x:t xml:space="preserve">High</x:t>
        </x:is>
      </x:c>
      <x:c r="AC125" s="81" t="inlineStr">
        <x:is>
          <x:t xml:space="preserve">Strong.</x:t>
        </x:is>
      </x:c>
      <x:c r="AD125" s="81" t="inlineStr">
        <x:is>
          <x:t xml:space="preserve">Needs editorial review</x:t>
        </x:is>
      </x:c>
      <x:c r="AE125" s="81" t="inlineStr">
        <x:is>
          <x:t xml:space="preserve">Needs semantic dedupe review</x:t>
        </x:is>
      </x:c>
      <x:c r="AF125" s="81" t="n"/>
      <x:c r="AG125" s="81" t="n"/>
      <x:c r="AH125" s="81" t="inlineStr">
        <x:is>
          <x:t xml:space="preserve">No</x:t>
        </x:is>
      </x:c>
      <x:c r="AI125" s="81" t="inlineStr">
        <x:is>
          <x:t xml:space="preserve">Not reviewed</x:t>
        </x:is>
      </x:c>
      <x:c r="AJ125" s="81" t="inlineStr">
        <x:is>
          <x:t xml:space="preserve">Research only</x:t>
        </x:is>
      </x:c>
      <x:c r="AK125" s="81" t="inlineStr">
        <x:is>
          <x:t xml:space="preserve">Research Pool</x:t>
        </x:is>
      </x:c>
      <x:c r="AL125" s="81" t="n">
        <x:v>2</x:v>
      </x:c>
      <x:c r="AM125" s="81" t="inlineStr">
        <x:is>
          <x:t xml:space="preserve">ChatGPT research</x:t>
        </x:is>
      </x:c>
      <x:c r="AN125" s="81" t="inlineStr">
        <x:is>
          <x:t xml:space="preserve">2026-09-18</x:t>
        </x:is>
      </x:c>
      <x:c r="AO125" s="81" t="inlineStr">
        <x:is>
          <x:t xml:space="preserve">Day 2 full-scope audit, chapters 21–50.</x:t>
        </x:is>
      </x:c>
      <x:c r="AP125" s="81" t="n"/>
      <x:c r="AQ125" s="81" t="n"/>
    </x:row>
    <x:row r="126">
      <x:c r="A126" s="81" t="inlineStr">
        <x:is>
          <x:t xml:space="preserve">research.laozi.day2.ch36.062</x:t>
        </x:is>
      </x:c>
      <x:c r="B126" s="81" t="inlineStr">
        <x:is>
          <x:t xml:space="preserve">Collected</x:t>
        </x:is>
      </x:c>
      <x:c r="C126" s="81" t="inlineStr">
        <x:is>
          <x:t xml:space="preserve">Nội tâm &amp; hiểu mình</x:t>
        </x:is>
      </x:c>
      <x:c r="D126" s="81" t="inlineStr">
        <x:is>
          <x:t xml:space="preserve">Day 2 / Laozi 21–50</x:t>
        </x:is>
      </x:c>
      <x:c r="E126" s="81" t="n"/>
      <x:c r="F126" s="81" t="inlineStr">
        <x:is>
          <x:t xml:space="preserve">Có những điều chỉ sống được trong đúng môi trường</x:t>
        </x:is>
      </x:c>
      <x:c r="G126" s="81" t="inlineStr">
        <x:is>
          <x:t xml:space="preserve">Context</x:t>
        </x:is>
      </x:c>
      <x:c r="H126" s="81" t="n"/>
      <x:c r="I126" s="81" t="n"/>
      <x:c r="J126" s="81" t="n"/>
      <x:c r="K126" s="81" t="inlineStr">
        <x:is>
          <x:t xml:space="preserve">Distinguish</x:t>
        </x:is>
      </x:c>
      <x:c r="L126" s="81" t="n"/>
      <x:c r="M126" s="81" t="inlineStr">
        <x:is>
          <x:t xml:space="preserve">Trích đoạn triết học</x:t>
        </x:is>
      </x:c>
      <x:c r="N126" s="81" t="inlineStr">
        <x:is>
          <x:t xml:space="preserve">魚不可脫於淵。</x:t>
        </x:is>
      </x:c>
      <x:c r="O126" s="81" t="inlineStr">
        <x:is>
          <x:t xml:space="preserve">Classical Chinese (文言文)</x:t>
        </x:is>
      </x:c>
      <x:c r="P126" s="81" t="inlineStr">
        <x:is>
          <x:t xml:space="preserve">Cá không thể rời vực sâu của nó.</x:t>
        </x:is>
      </x:c>
      <x:c r="Q126" s="81" t="inlineStr">
        <x:is>
          <x:t xml:space="preserve">Laozi / 老子</x:t>
        </x:is>
      </x:c>
      <x:c r="R126" s="81" t="inlineStr">
        <x:is>
          <x:t xml:space="preserve">Taoism</x:t>
        </x:is>
      </x:c>
      <x:c r="S126" s="81" t="inlineStr">
        <x:is>
          <x:t xml:space="preserve">道德經 / Tao Te Ching</x:t>
        </x:is>
      </x:c>
      <x:c r="T126" s="81" t="inlineStr">
        <x:is>
          <x:t xml:space="preserve">Chapter 36</x:t>
        </x:is>
      </x:c>
      <x:c r="U126" s="81" t="inlineStr">
        <x:is>
          <x:t xml:space="preserve">https://zh.wikisource.org/zh-hant/%E9%81%93%E5%BE%B7%E7%B6%93_%28%E7%8E%8B%E5%BC%BC%E6%9C%AC%29</x:t>
        </x:is>
      </x:c>
      <x:c r="V126" s="81" t="inlineStr">
        <x:is>
          <x:t xml:space="preserve">Primary text</x:t>
        </x:is>
      </x:c>
      <x:c r="W126" s="81" t="inlineStr">
        <x:is>
          <x:t xml:space="preserve">Working translation</x:t>
        </x:is>
      </x:c>
      <x:c r="X126" s="81" t="inlineStr">
        <x:is>
          <x:t xml:space="preserve">A - Primary source</x:t>
        </x:is>
      </x:c>
      <x:c r="Y126" s="81" t="inlineStr">
        <x:is>
          <x:t xml:space="preserve">Original Chinese checked against Wang Bi recension; Vietnamese is Selflo working translation, not a published translation.</x:t>
        </x:is>
      </x:c>
      <x:c r="Z126" s="81" t="inlineStr">
        <x:is>
          <x:t xml:space="preserve">Public domain / likely</x:t>
        </x:is>
      </x:c>
      <x:c r="AA126" s="81" t="inlineStr">
        <x:is>
          <x:t xml:space="preserve">Ancient source text. Verify jurisdiction/edition before commercial publication.</x:t>
        </x:is>
      </x:c>
      <x:c r="AB126" s="81" t="inlineStr">
        <x:is>
          <x:t xml:space="preserve">High</x:t>
        </x:is>
      </x:c>
      <x:c r="AC126" s="81" t="inlineStr">
        <x:is>
          <x:t xml:space="preserve">Context/capacity metaphor.</x:t>
        </x:is>
      </x:c>
      <x:c r="AD126" s="81" t="inlineStr">
        <x:is>
          <x:t xml:space="preserve">Needs editorial review</x:t>
        </x:is>
      </x:c>
      <x:c r="AE126" s="81" t="inlineStr">
        <x:is>
          <x:t xml:space="preserve">Needs semantic dedupe review</x:t>
        </x:is>
      </x:c>
      <x:c r="AF126" s="81" t="n"/>
      <x:c r="AG126" s="81" t="n"/>
      <x:c r="AH126" s="81" t="inlineStr">
        <x:is>
          <x:t xml:space="preserve">No</x:t>
        </x:is>
      </x:c>
      <x:c r="AI126" s="81" t="inlineStr">
        <x:is>
          <x:t xml:space="preserve">Not reviewed</x:t>
        </x:is>
      </x:c>
      <x:c r="AJ126" s="81" t="inlineStr">
        <x:is>
          <x:t xml:space="preserve">Research only</x:t>
        </x:is>
      </x:c>
      <x:c r="AK126" s="81" t="inlineStr">
        <x:is>
          <x:t xml:space="preserve">Research Pool</x:t>
        </x:is>
      </x:c>
      <x:c r="AL126" s="81" t="n">
        <x:v>2</x:v>
      </x:c>
      <x:c r="AM126" s="81" t="inlineStr">
        <x:is>
          <x:t xml:space="preserve">ChatGPT research</x:t>
        </x:is>
      </x:c>
      <x:c r="AN126" s="81" t="inlineStr">
        <x:is>
          <x:t xml:space="preserve">2026-09-18</x:t>
        </x:is>
      </x:c>
      <x:c r="AO126" s="81" t="inlineStr">
        <x:is>
          <x:t xml:space="preserve">Day 2 full-scope audit, chapters 21–50.</x:t>
        </x:is>
      </x:c>
      <x:c r="AP126" s="81" t="n"/>
      <x:c r="AQ126" s="81" t="n"/>
    </x:row>
    <x:row r="127">
      <x:c r="A127" s="81" t="inlineStr">
        <x:is>
          <x:t xml:space="preserve">research.laozi.day2.ch36.063</x:t>
        </x:is>
      </x:c>
      <x:c r="B127" s="81" t="inlineStr">
        <x:is>
          <x:t xml:space="preserve">Collected</x:t>
        </x:is>
      </x:c>
      <x:c r="C127" s="81" t="inlineStr">
        <x:is>
          <x:t xml:space="preserve">Nội tâm &amp; hiểu mình</x:t>
        </x:is>
      </x:c>
      <x:c r="D127" s="81" t="inlineStr">
        <x:is>
          <x:t xml:space="preserve">Day 2 / Laozi 21–50</x:t>
        </x:is>
      </x:c>
      <x:c r="E127" s="81" t="n"/>
      <x:c r="F127" s="81" t="inlineStr">
        <x:is>
          <x:t xml:space="preserve">Không mọi năng lực đều cần được phô bày</x:t>
        </x:is>
      </x:c>
      <x:c r="G127" s="81" t="inlineStr">
        <x:is>
          <x:t xml:space="preserve">Simplicity</x:t>
        </x:is>
      </x:c>
      <x:c r="H127" s="81" t="n"/>
      <x:c r="I127" s="81" t="n"/>
      <x:c r="J127" s="81" t="n"/>
      <x:c r="K127" s="81" t="inlineStr">
        <x:is>
          <x:t xml:space="preserve">Distinguish</x:t>
        </x:is>
      </x:c>
      <x:c r="L127" s="81" t="n"/>
      <x:c r="M127" s="81" t="inlineStr">
        <x:is>
          <x:t xml:space="preserve">Trích đoạn triết học</x:t>
        </x:is>
      </x:c>
      <x:c r="N127" s="81" t="inlineStr">
        <x:is>
          <x:t xml:space="preserve">國之利器不可以示人。</x:t>
        </x:is>
      </x:c>
      <x:c r="O127" s="81" t="inlineStr">
        <x:is>
          <x:t xml:space="preserve">Classical Chinese (文言文)</x:t>
        </x:is>
      </x:c>
      <x:c r="P127" s="81" t="inlineStr">
        <x:is>
          <x:t xml:space="preserve">Công cụ sắc bén của một hệ thống không nhất thiết nên đem phô ra.</x:t>
        </x:is>
      </x:c>
      <x:c r="Q127" s="81" t="inlineStr">
        <x:is>
          <x:t xml:space="preserve">Laozi / 老子</x:t>
        </x:is>
      </x:c>
      <x:c r="R127" s="81" t="inlineStr">
        <x:is>
          <x:t xml:space="preserve">Taoism</x:t>
        </x:is>
      </x:c>
      <x:c r="S127" s="81" t="inlineStr">
        <x:is>
          <x:t xml:space="preserve">道德經 / Tao Te Ching</x:t>
        </x:is>
      </x:c>
      <x:c r="T127" s="81" t="inlineStr">
        <x:is>
          <x:t xml:space="preserve">Chapter 36</x:t>
        </x:is>
      </x:c>
      <x:c r="U127" s="81" t="inlineStr">
        <x:is>
          <x:t xml:space="preserve">https://zh.wikisource.org/zh-hant/%E9%81%93%E5%BE%B7%E7%B6%93_%28%E7%8E%8B%E5%BC%BC%E6%9C%AC%29</x:t>
        </x:is>
      </x:c>
      <x:c r="V127" s="81" t="inlineStr">
        <x:is>
          <x:t xml:space="preserve">Primary text</x:t>
        </x:is>
      </x:c>
      <x:c r="W127" s="81" t="inlineStr">
        <x:is>
          <x:t xml:space="preserve">Working translation</x:t>
        </x:is>
      </x:c>
      <x:c r="X127" s="81" t="inlineStr">
        <x:is>
          <x:t xml:space="preserve">A - Primary source</x:t>
        </x:is>
      </x:c>
      <x:c r="Y127" s="81" t="inlineStr">
        <x:is>
          <x:t xml:space="preserve">Original Chinese checked against Wang Bi recension; Vietnamese is Selflo working translation, not a published translation.</x:t>
        </x:is>
      </x:c>
      <x:c r="Z127" s="81" t="inlineStr">
        <x:is>
          <x:t xml:space="preserve">Public domain / likely</x:t>
        </x:is>
      </x:c>
      <x:c r="AA127" s="81" t="inlineStr">
        <x:is>
          <x:t xml:space="preserve">Ancient source text. Verify jurisdiction/edition before commercial publication.</x:t>
        </x:is>
      </x:c>
      <x:c r="AB127" s="81" t="inlineStr">
        <x:is>
          <x:t xml:space="preserve">Low</x:t>
        </x:is>
      </x:c>
      <x:c r="AC127" s="81" t="inlineStr">
        <x:is>
          <x:t xml:space="preserve">Political; possible misuse.</x:t>
        </x:is>
      </x:c>
      <x:c r="AD127" s="81" t="inlineStr">
        <x:is>
          <x:t xml:space="preserve">Needs editorial review</x:t>
        </x:is>
      </x:c>
      <x:c r="AE127" s="81" t="inlineStr">
        <x:is>
          <x:t xml:space="preserve">Needs semantic dedupe review</x:t>
        </x:is>
      </x:c>
      <x:c r="AF127" s="81" t="n"/>
      <x:c r="AG127" s="81" t="n"/>
      <x:c r="AH127" s="81" t="inlineStr">
        <x:is>
          <x:t xml:space="preserve">No</x:t>
        </x:is>
      </x:c>
      <x:c r="AI127" s="81" t="inlineStr">
        <x:is>
          <x:t xml:space="preserve">Not reviewed</x:t>
        </x:is>
      </x:c>
      <x:c r="AJ127" s="81" t="inlineStr">
        <x:is>
          <x:t xml:space="preserve">Research only</x:t>
        </x:is>
      </x:c>
      <x:c r="AK127" s="81" t="inlineStr">
        <x:is>
          <x:t xml:space="preserve">Research Pool</x:t>
        </x:is>
      </x:c>
      <x:c r="AL127" s="81" t="n">
        <x:v>2</x:v>
      </x:c>
      <x:c r="AM127" s="81" t="inlineStr">
        <x:is>
          <x:t xml:space="preserve">ChatGPT research</x:t>
        </x:is>
      </x:c>
      <x:c r="AN127" s="81" t="inlineStr">
        <x:is>
          <x:t xml:space="preserve">2026-09-18</x:t>
        </x:is>
      </x:c>
      <x:c r="AO127" s="81" t="inlineStr">
        <x:is>
          <x:t xml:space="preserve">Day 2 full-scope audit, chapters 21–50.</x:t>
        </x:is>
      </x:c>
      <x:c r="AP127" s="81" t="n"/>
      <x:c r="AQ127" s="81" t="n"/>
    </x:row>
    <x:row r="128">
      <x:c r="A128" s="81" t="inlineStr">
        <x:is>
          <x:t xml:space="preserve">research.laozi.day2.ch37.064</x:t>
        </x:is>
      </x:c>
      <x:c r="B128" s="81" t="inlineStr">
        <x:is>
          <x:t xml:space="preserve">Collected</x:t>
        </x:is>
      </x:c>
      <x:c r="C128" s="81" t="inlineStr">
        <x:is>
          <x:t xml:space="preserve">Nội tâm &amp; hiểu mình</x:t>
        </x:is>
      </x:c>
      <x:c r="D128" s="81" t="inlineStr">
        <x:is>
          <x:t xml:space="preserve">Day 2 / Laozi 21–50</x:t>
        </x:is>
      </x:c>
      <x:c r="E128" s="81" t="n"/>
      <x:c r="F128" s="81" t="inlineStr">
        <x:is>
          <x:t xml:space="preserve">Không cưỡng ép không đồng nghĩa không có tác động</x:t>
        </x:is>
      </x:c>
      <x:c r="G128" s="81" t="inlineStr">
        <x:is>
          <x:t xml:space="preserve">Agency</x:t>
        </x:is>
      </x:c>
      <x:c r="H128" s="81" t="n"/>
      <x:c r="I128" s="81" t="n"/>
      <x:c r="J128" s="81" t="n"/>
      <x:c r="K128" s="81" t="inlineStr">
        <x:is>
          <x:t xml:space="preserve">Distinguish</x:t>
        </x:is>
      </x:c>
      <x:c r="L128" s="81" t="n"/>
      <x:c r="M128" s="81" t="inlineStr">
        <x:is>
          <x:t xml:space="preserve">Trích đoạn triết học</x:t>
        </x:is>
      </x:c>
      <x:c r="N128" s="81" t="inlineStr">
        <x:is>
          <x:t xml:space="preserve">道常無為而無不為。</x:t>
        </x:is>
      </x:c>
      <x:c r="O128" s="81" t="inlineStr">
        <x:is>
          <x:t xml:space="preserve">Classical Chinese (文言文)</x:t>
        </x:is>
      </x:c>
      <x:c r="P128" s="81" t="inlineStr">
        <x:is>
          <x:t xml:space="preserve">Đạo thường không cưỡng làm, mà không gì bị bỏ khỏi quá trình vận hành.</x:t>
        </x:is>
      </x:c>
      <x:c r="Q128" s="81" t="inlineStr">
        <x:is>
          <x:t xml:space="preserve">Laozi / 老子</x:t>
        </x:is>
      </x:c>
      <x:c r="R128" s="81" t="inlineStr">
        <x:is>
          <x:t xml:space="preserve">Taoism</x:t>
        </x:is>
      </x:c>
      <x:c r="S128" s="81" t="inlineStr">
        <x:is>
          <x:t xml:space="preserve">道德經 / Tao Te Ching</x:t>
        </x:is>
      </x:c>
      <x:c r="T128" s="81" t="inlineStr">
        <x:is>
          <x:t xml:space="preserve">Chapter 37</x:t>
        </x:is>
      </x:c>
      <x:c r="U128" s="81" t="inlineStr">
        <x:is>
          <x:t xml:space="preserve">https://zh.wikisource.org/zh-hant/%E9%81%93%E5%BE%B7%E7%B6%93_%28%E7%8E%8B%E5%BC%BC%E6%9C%AC%29</x:t>
        </x:is>
      </x:c>
      <x:c r="V128" s="81" t="inlineStr">
        <x:is>
          <x:t xml:space="preserve">Primary text</x:t>
        </x:is>
      </x:c>
      <x:c r="W128" s="81" t="inlineStr">
        <x:is>
          <x:t xml:space="preserve">Working translation</x:t>
        </x:is>
      </x:c>
      <x:c r="X128" s="81" t="inlineStr">
        <x:is>
          <x:t xml:space="preserve">A - Primary source</x:t>
        </x:is>
      </x:c>
      <x:c r="Y128" s="81" t="inlineStr">
        <x:is>
          <x:t xml:space="preserve">Original Chinese checked against Wang Bi recension; Vietnamese is Selflo working translation, not a published translation.</x:t>
        </x:is>
      </x:c>
      <x:c r="Z128" s="81" t="inlineStr">
        <x:is>
          <x:t xml:space="preserve">Public domain / likely</x:t>
        </x:is>
      </x:c>
      <x:c r="AA128" s="81" t="inlineStr">
        <x:is>
          <x:t xml:space="preserve">Ancient source text. Verify jurisdiction/edition before commercial publication.</x:t>
        </x:is>
      </x:c>
      <x:c r="AB128" s="81" t="inlineStr">
        <x:is>
          <x:t xml:space="preserve">High</x:t>
        </x:is>
      </x:c>
      <x:c r="AC128" s="81" t="inlineStr">
        <x:is>
          <x:t xml:space="preserve">Wu-wei nuance.</x:t>
        </x:is>
      </x:c>
      <x:c r="AD128" s="81" t="inlineStr">
        <x:is>
          <x:t xml:space="preserve">Needs editorial review</x:t>
        </x:is>
      </x:c>
      <x:c r="AE128" s="81" t="inlineStr">
        <x:is>
          <x:t xml:space="preserve">Needs semantic dedupe review</x:t>
        </x:is>
      </x:c>
      <x:c r="AF128" s="81" t="n"/>
      <x:c r="AG128" s="81" t="n"/>
      <x:c r="AH128" s="81" t="inlineStr">
        <x:is>
          <x:t xml:space="preserve">No</x:t>
        </x:is>
      </x:c>
      <x:c r="AI128" s="81" t="inlineStr">
        <x:is>
          <x:t xml:space="preserve">Not reviewed</x:t>
        </x:is>
      </x:c>
      <x:c r="AJ128" s="81" t="inlineStr">
        <x:is>
          <x:t xml:space="preserve">Research only</x:t>
        </x:is>
      </x:c>
      <x:c r="AK128" s="81" t="inlineStr">
        <x:is>
          <x:t xml:space="preserve">Research Pool</x:t>
        </x:is>
      </x:c>
      <x:c r="AL128" s="81" t="n">
        <x:v>2</x:v>
      </x:c>
      <x:c r="AM128" s="81" t="inlineStr">
        <x:is>
          <x:t xml:space="preserve">ChatGPT research</x:t>
        </x:is>
      </x:c>
      <x:c r="AN128" s="81" t="inlineStr">
        <x:is>
          <x:t xml:space="preserve">2026-09-18</x:t>
        </x:is>
      </x:c>
      <x:c r="AO128" s="81" t="inlineStr">
        <x:is>
          <x:t xml:space="preserve">Day 2 full-scope audit, chapters 21–50.</x:t>
        </x:is>
      </x:c>
      <x:c r="AP128" s="81" t="n"/>
      <x:c r="AQ128" s="81" t="n"/>
    </x:row>
    <x:row r="129">
      <x:c r="A129" s="81" t="inlineStr">
        <x:is>
          <x:t xml:space="preserve">research.laozi.day2.ch37.065</x:t>
        </x:is>
      </x:c>
      <x:c r="B129" s="81" t="inlineStr">
        <x:is>
          <x:t xml:space="preserve">Collected</x:t>
        </x:is>
      </x:c>
      <x:c r="C129" s="81" t="inlineStr">
        <x:is>
          <x:t xml:space="preserve">Nội tâm &amp; hiểu mình</x:t>
        </x:is>
      </x:c>
      <x:c r="D129" s="81" t="inlineStr">
        <x:is>
          <x:t xml:space="preserve">Day 2 / Laozi 21–50</x:t>
        </x:is>
      </x:c>
      <x:c r="E129" s="81" t="n"/>
      <x:c r="F129" s="81" t="inlineStr">
        <x:is>
          <x:t xml:space="preserve">Tạo điều kiện thay vì điều khiển từng bước</x:t>
        </x:is>
      </x:c>
      <x:c r="G129" s="81" t="inlineStr">
        <x:is>
          <x:t xml:space="preserve">Agency</x:t>
        </x:is>
      </x:c>
      <x:c r="H129" s="81" t="n"/>
      <x:c r="I129" s="81" t="n"/>
      <x:c r="J129" s="81" t="n"/>
      <x:c r="K129" s="81" t="inlineStr">
        <x:is>
          <x:t xml:space="preserve">Return agency</x:t>
        </x:is>
      </x:c>
      <x:c r="L129" s="81" t="n"/>
      <x:c r="M129" s="81" t="inlineStr">
        <x:is>
          <x:t xml:space="preserve">Trích đoạn triết học</x:t>
        </x:is>
      </x:c>
      <x:c r="N129" s="81" t="inlineStr">
        <x:is>
          <x:t xml:space="preserve">侯王若能守之，萬物將自化。</x:t>
        </x:is>
      </x:c>
      <x:c r="O129" s="81" t="inlineStr">
        <x:is>
          <x:t xml:space="preserve">Classical Chinese (文言文)</x:t>
        </x:is>
      </x:c>
      <x:c r="P129" s="81" t="inlineStr">
        <x:is>
          <x:t xml:space="preserve">Nếu người cầm quyền giữ được nguyên tắc ấy, sự vật có thể tự chuyển hóa.</x:t>
        </x:is>
      </x:c>
      <x:c r="Q129" s="81" t="inlineStr">
        <x:is>
          <x:t xml:space="preserve">Laozi / 老子</x:t>
        </x:is>
      </x:c>
      <x:c r="R129" s="81" t="inlineStr">
        <x:is>
          <x:t xml:space="preserve">Taoism</x:t>
        </x:is>
      </x:c>
      <x:c r="S129" s="81" t="inlineStr">
        <x:is>
          <x:t xml:space="preserve">道德經 / Tao Te Ching</x:t>
        </x:is>
      </x:c>
      <x:c r="T129" s="81" t="inlineStr">
        <x:is>
          <x:t xml:space="preserve">Chapter 37</x:t>
        </x:is>
      </x:c>
      <x:c r="U129" s="81" t="inlineStr">
        <x:is>
          <x:t xml:space="preserve">https://zh.wikisource.org/zh-hant/%E9%81%93%E5%BE%B7%E7%B6%93_%28%E7%8E%8B%E5%BC%BC%E6%9C%AC%29</x:t>
        </x:is>
      </x:c>
      <x:c r="V129" s="81" t="inlineStr">
        <x:is>
          <x:t xml:space="preserve">Primary text</x:t>
        </x:is>
      </x:c>
      <x:c r="W129" s="81" t="inlineStr">
        <x:is>
          <x:t xml:space="preserve">Working translation</x:t>
        </x:is>
      </x:c>
      <x:c r="X129" s="81" t="inlineStr">
        <x:is>
          <x:t xml:space="preserve">A - Primary source</x:t>
        </x:is>
      </x:c>
      <x:c r="Y129" s="81" t="inlineStr">
        <x:is>
          <x:t xml:space="preserve">Original Chinese checked against Wang Bi recension; Vietnamese is Selflo working translation, not a published translation.</x:t>
        </x:is>
      </x:c>
      <x:c r="Z129" s="81" t="inlineStr">
        <x:is>
          <x:t xml:space="preserve">Public domain / likely</x:t>
        </x:is>
      </x:c>
      <x:c r="AA129" s="81" t="inlineStr">
        <x:is>
          <x:t xml:space="preserve">Ancient source text. Verify jurisdiction/edition before commercial publication.</x:t>
        </x:is>
      </x:c>
      <x:c r="AB129" s="81" t="inlineStr">
        <x:is>
          <x:t xml:space="preserve">High</x:t>
        </x:is>
      </x:c>
      <x:c r="AC129" s="81" t="inlineStr">
        <x:is>
          <x:t xml:space="preserve">Product philosophy; political context.</x:t>
        </x:is>
      </x:c>
      <x:c r="AD129" s="81" t="inlineStr">
        <x:is>
          <x:t xml:space="preserve">Needs editorial review</x:t>
        </x:is>
      </x:c>
      <x:c r="AE129" s="81" t="inlineStr">
        <x:is>
          <x:t xml:space="preserve">Needs semantic dedupe review</x:t>
        </x:is>
      </x:c>
      <x:c r="AF129" s="81" t="n"/>
      <x:c r="AG129" s="81" t="n"/>
      <x:c r="AH129" s="81" t="inlineStr">
        <x:is>
          <x:t xml:space="preserve">No</x:t>
        </x:is>
      </x:c>
      <x:c r="AI129" s="81" t="inlineStr">
        <x:is>
          <x:t xml:space="preserve">Not reviewed</x:t>
        </x:is>
      </x:c>
      <x:c r="AJ129" s="81" t="inlineStr">
        <x:is>
          <x:t xml:space="preserve">Research only</x:t>
        </x:is>
      </x:c>
      <x:c r="AK129" s="81" t="inlineStr">
        <x:is>
          <x:t xml:space="preserve">Research Pool</x:t>
        </x:is>
      </x:c>
      <x:c r="AL129" s="81" t="n">
        <x:v>2</x:v>
      </x:c>
      <x:c r="AM129" s="81" t="inlineStr">
        <x:is>
          <x:t xml:space="preserve">ChatGPT research</x:t>
        </x:is>
      </x:c>
      <x:c r="AN129" s="81" t="inlineStr">
        <x:is>
          <x:t xml:space="preserve">2026-09-18</x:t>
        </x:is>
      </x:c>
      <x:c r="AO129" s="81" t="inlineStr">
        <x:is>
          <x:t xml:space="preserve">Day 2 full-scope audit, chapters 21–50.</x:t>
        </x:is>
      </x:c>
      <x:c r="AP129" s="81" t="n"/>
      <x:c r="AQ129" s="81" t="n"/>
    </x:row>
    <x:row r="130">
      <x:c r="A130" s="81" t="inlineStr">
        <x:is>
          <x:t xml:space="preserve">research.laozi.day2.ch37.066</x:t>
        </x:is>
      </x:c>
      <x:c r="B130" s="81" t="inlineStr">
        <x:is>
          <x:t xml:space="preserve">Collected</x:t>
        </x:is>
      </x:c>
      <x:c r="C130" s="81" t="inlineStr">
        <x:is>
          <x:t xml:space="preserve">Nội tâm &amp; hiểu mình</x:t>
        </x:is>
      </x:c>
      <x:c r="D130" s="81" t="inlineStr">
        <x:is>
          <x:t xml:space="preserve">Day 2 / Laozi 21–50</x:t>
        </x:is>
      </x:c>
      <x:c r="E130" s="81" t="n"/>
      <x:c r="F130" s="81" t="inlineStr">
        <x:is>
          <x:t xml:space="preserve">Trở về phần đơn giản khi bị kéo bởi quá nhiều ham muốn</x:t>
        </x:is>
      </x:c>
      <x:c r="G130" s="81" t="inlineStr">
        <x:is>
          <x:t xml:space="preserve">Simplicity</x:t>
        </x:is>
      </x:c>
      <x:c r="H130" s="81" t="n"/>
      <x:c r="I130" s="81" t="n"/>
      <x:c r="J130" s="81" t="n"/>
      <x:c r="K130" s="81" t="inlineStr">
        <x:is>
          <x:t xml:space="preserve">Reframe</x:t>
        </x:is>
      </x:c>
      <x:c r="L130" s="81" t="n"/>
      <x:c r="M130" s="81" t="inlineStr">
        <x:is>
          <x:t xml:space="preserve">Trích đoạn triết học</x:t>
        </x:is>
      </x:c>
      <x:c r="N130" s="81" t="inlineStr">
        <x:is>
          <x:t xml:space="preserve">化而欲作，吾將鎮之以無名之樸。</x:t>
        </x:is>
      </x:c>
      <x:c r="O130" s="81" t="inlineStr">
        <x:is>
          <x:t xml:space="preserve">Classical Chinese (文言文)</x:t>
        </x:is>
      </x:c>
      <x:c r="P130" s="81" t="inlineStr">
        <x:is>
          <x:t xml:space="preserve">Khi ham muốn lại nổi lên, văn bản trở về hình ảnh cái mộc chưa đặt tên.</x:t>
        </x:is>
      </x:c>
      <x:c r="Q130" s="81" t="inlineStr">
        <x:is>
          <x:t xml:space="preserve">Laozi / 老子</x:t>
        </x:is>
      </x:c>
      <x:c r="R130" s="81" t="inlineStr">
        <x:is>
          <x:t xml:space="preserve">Taoism</x:t>
        </x:is>
      </x:c>
      <x:c r="S130" s="81" t="inlineStr">
        <x:is>
          <x:t xml:space="preserve">道德經 / Tao Te Ching</x:t>
        </x:is>
      </x:c>
      <x:c r="T130" s="81" t="inlineStr">
        <x:is>
          <x:t xml:space="preserve">Chapter 37</x:t>
        </x:is>
      </x:c>
      <x:c r="U130" s="81" t="inlineStr">
        <x:is>
          <x:t xml:space="preserve">https://zh.wikisource.org/zh-hant/%E9%81%93%E5%BE%B7%E7%B6%93_%28%E7%8E%8B%E5%BC%BC%E6%9C%AC%29</x:t>
        </x:is>
      </x:c>
      <x:c r="V130" s="81" t="inlineStr">
        <x:is>
          <x:t xml:space="preserve">Primary text</x:t>
        </x:is>
      </x:c>
      <x:c r="W130" s="81" t="inlineStr">
        <x:is>
          <x:t xml:space="preserve">Working translation</x:t>
        </x:is>
      </x:c>
      <x:c r="X130" s="81" t="inlineStr">
        <x:is>
          <x:t xml:space="preserve">A - Primary source</x:t>
        </x:is>
      </x:c>
      <x:c r="Y130" s="81" t="inlineStr">
        <x:is>
          <x:t xml:space="preserve">Original Chinese checked against Wang Bi recension; Vietnamese is Selflo working translation, not a published translation.</x:t>
        </x:is>
      </x:c>
      <x:c r="Z130" s="81" t="inlineStr">
        <x:is>
          <x:t xml:space="preserve">Public domain / likely</x:t>
        </x:is>
      </x:c>
      <x:c r="AA130" s="81" t="inlineStr">
        <x:is>
          <x:t xml:space="preserve">Ancient source text. Verify jurisdiction/edition before commercial publication.</x:t>
        </x:is>
      </x:c>
      <x:c r="AB130" s="81" t="inlineStr">
        <x:is>
          <x:t xml:space="preserve">Medium</x:t>
        </x:is>
      </x:c>
      <x:c r="AC130" s="81" t="inlineStr">
        <x:is>
          <x:t xml:space="preserve">Metaphysical.</x:t>
        </x:is>
      </x:c>
      <x:c r="AD130" s="81" t="inlineStr">
        <x:is>
          <x:t xml:space="preserve">Needs editorial review</x:t>
        </x:is>
      </x:c>
      <x:c r="AE130" s="81" t="inlineStr">
        <x:is>
          <x:t xml:space="preserve">Needs semantic dedupe review</x:t>
        </x:is>
      </x:c>
      <x:c r="AF130" s="81" t="n"/>
      <x:c r="AG130" s="81" t="n"/>
      <x:c r="AH130" s="81" t="inlineStr">
        <x:is>
          <x:t xml:space="preserve">No</x:t>
        </x:is>
      </x:c>
      <x:c r="AI130" s="81" t="inlineStr">
        <x:is>
          <x:t xml:space="preserve">Not reviewed</x:t>
        </x:is>
      </x:c>
      <x:c r="AJ130" s="81" t="inlineStr">
        <x:is>
          <x:t xml:space="preserve">Research only</x:t>
        </x:is>
      </x:c>
      <x:c r="AK130" s="81" t="inlineStr">
        <x:is>
          <x:t xml:space="preserve">Research Pool</x:t>
        </x:is>
      </x:c>
      <x:c r="AL130" s="81" t="n">
        <x:v>2</x:v>
      </x:c>
      <x:c r="AM130" s="81" t="inlineStr">
        <x:is>
          <x:t xml:space="preserve">ChatGPT research</x:t>
        </x:is>
      </x:c>
      <x:c r="AN130" s="81" t="inlineStr">
        <x:is>
          <x:t xml:space="preserve">2026-09-18</x:t>
        </x:is>
      </x:c>
      <x:c r="AO130" s="81" t="inlineStr">
        <x:is>
          <x:t xml:space="preserve">Day 2 full-scope audit, chapters 21–50.</x:t>
        </x:is>
      </x:c>
      <x:c r="AP130" s="81" t="n"/>
      <x:c r="AQ130" s="81" t="n"/>
    </x:row>
    <x:row r="131">
      <x:c r="A131" s="81" t="inlineStr">
        <x:is>
          <x:t xml:space="preserve">research.laozi.day2.ch37.067</x:t>
        </x:is>
      </x:c>
      <x:c r="B131" s="81" t="inlineStr">
        <x:is>
          <x:t xml:space="preserve">Collected</x:t>
        </x:is>
      </x:c>
      <x:c r="C131" s="81" t="inlineStr">
        <x:is>
          <x:t xml:space="preserve">Nội tâm &amp; hiểu mình</x:t>
        </x:is>
      </x:c>
      <x:c r="D131" s="81" t="inlineStr">
        <x:is>
          <x:t xml:space="preserve">Day 2 / Laozi 21–50</x:t>
        </x:is>
      </x:c>
      <x:c r="E131" s="81" t="n"/>
      <x:c r="F131" s="81" t="inlineStr">
        <x:is>
          <x:t xml:space="preserve">Giảm nhiễu để thấy điều đang tự sắp xếp</x:t>
        </x:is>
      </x:c>
      <x:c r="G131" s="81" t="inlineStr">
        <x:is>
          <x:t xml:space="preserve">Attention</x:t>
        </x:is>
      </x:c>
      <x:c r="H131" s="81" t="n"/>
      <x:c r="I131" s="81" t="n"/>
      <x:c r="J131" s="81" t="n"/>
      <x:c r="K131" s="81" t="inlineStr">
        <x:is>
          <x:t xml:space="preserve">Permit</x:t>
        </x:is>
      </x:c>
      <x:c r="L131" s="81" t="n"/>
      <x:c r="M131" s="81" t="inlineStr">
        <x:is>
          <x:t xml:space="preserve">Trích đoạn triết học</x:t>
        </x:is>
      </x:c>
      <x:c r="N131" s="81" t="inlineStr">
        <x:is>
          <x:t xml:space="preserve">不欲以靜，天下將自定。</x:t>
        </x:is>
      </x:c>
      <x:c r="O131" s="81" t="inlineStr">
        <x:is>
          <x:t xml:space="preserve">Classical Chinese (文言文)</x:t>
        </x:is>
      </x:c>
      <x:c r="P131" s="81" t="inlineStr">
        <x:is>
          <x:t xml:space="preserve">Khi bớt bị ham muốn kéo đi, sự tĩnh có thể mở chỗ cho trật tự xuất hiện.</x:t>
        </x:is>
      </x:c>
      <x:c r="Q131" s="81" t="inlineStr">
        <x:is>
          <x:t xml:space="preserve">Laozi / 老子</x:t>
        </x:is>
      </x:c>
      <x:c r="R131" s="81" t="inlineStr">
        <x:is>
          <x:t xml:space="preserve">Taoism</x:t>
        </x:is>
      </x:c>
      <x:c r="S131" s="81" t="inlineStr">
        <x:is>
          <x:t xml:space="preserve">道德經 / Tao Te Ching</x:t>
        </x:is>
      </x:c>
      <x:c r="T131" s="81" t="inlineStr">
        <x:is>
          <x:t xml:space="preserve">Chapter 37</x:t>
        </x:is>
      </x:c>
      <x:c r="U131" s="81" t="inlineStr">
        <x:is>
          <x:t xml:space="preserve">https://zh.wikisource.org/zh-hant/%E9%81%93%E5%BE%B7%E7%B6%93_%28%E7%8E%8B%E5%BC%BC%E6%9C%AC%29</x:t>
        </x:is>
      </x:c>
      <x:c r="V131" s="81" t="inlineStr">
        <x:is>
          <x:t xml:space="preserve">Primary text</x:t>
        </x:is>
      </x:c>
      <x:c r="W131" s="81" t="inlineStr">
        <x:is>
          <x:t xml:space="preserve">Working translation</x:t>
        </x:is>
      </x:c>
      <x:c r="X131" s="81" t="inlineStr">
        <x:is>
          <x:t xml:space="preserve">A - Primary source</x:t>
        </x:is>
      </x:c>
      <x:c r="Y131" s="81" t="inlineStr">
        <x:is>
          <x:t xml:space="preserve">Original Chinese checked against Wang Bi recension; Vietnamese is Selflo working translation, not a published translation.</x:t>
        </x:is>
      </x:c>
      <x:c r="Z131" s="81" t="inlineStr">
        <x:is>
          <x:t xml:space="preserve">Public domain / likely</x:t>
        </x:is>
      </x:c>
      <x:c r="AA131" s="81" t="inlineStr">
        <x:is>
          <x:t xml:space="preserve">Ancient source text. Verify jurisdiction/edition before commercial publication.</x:t>
        </x:is>
      </x:c>
      <x:c r="AB131" s="81" t="inlineStr">
        <x:is>
          <x:t xml:space="preserve">High</x:t>
        </x:is>
      </x:c>
      <x:c r="AC131" s="81" t="inlineStr">
        <x:is>
          <x:t xml:space="preserve">Avoid promise.</x:t>
        </x:is>
      </x:c>
      <x:c r="AD131" s="81" t="inlineStr">
        <x:is>
          <x:t xml:space="preserve">Needs editorial review</x:t>
        </x:is>
      </x:c>
      <x:c r="AE131" s="81" t="inlineStr">
        <x:is>
          <x:t xml:space="preserve">Needs semantic dedupe review</x:t>
        </x:is>
      </x:c>
      <x:c r="AF131" s="81" t="n"/>
      <x:c r="AG131" s="81" t="n"/>
      <x:c r="AH131" s="81" t="inlineStr">
        <x:is>
          <x:t xml:space="preserve">No</x:t>
        </x:is>
      </x:c>
      <x:c r="AI131" s="81" t="inlineStr">
        <x:is>
          <x:t xml:space="preserve">Not reviewed</x:t>
        </x:is>
      </x:c>
      <x:c r="AJ131" s="81" t="inlineStr">
        <x:is>
          <x:t xml:space="preserve">Research only</x:t>
        </x:is>
      </x:c>
      <x:c r="AK131" s="81" t="inlineStr">
        <x:is>
          <x:t xml:space="preserve">Research Pool</x:t>
        </x:is>
      </x:c>
      <x:c r="AL131" s="81" t="n">
        <x:v>2</x:v>
      </x:c>
      <x:c r="AM131" s="81" t="inlineStr">
        <x:is>
          <x:t xml:space="preserve">ChatGPT research</x:t>
        </x:is>
      </x:c>
      <x:c r="AN131" s="81" t="inlineStr">
        <x:is>
          <x:t xml:space="preserve">2026-09-18</x:t>
        </x:is>
      </x:c>
      <x:c r="AO131" s="81" t="inlineStr">
        <x:is>
          <x:t xml:space="preserve">Day 2 full-scope audit, chapters 21–50.</x:t>
        </x:is>
      </x:c>
      <x:c r="AP131" s="81" t="n"/>
      <x:c r="AQ131" s="81" t="n"/>
    </x:row>
    <x:row r="132">
      <x:c r="A132" s="81" t="inlineStr">
        <x:is>
          <x:t xml:space="preserve">research.laozi.day2.ch38.068</x:t>
        </x:is>
      </x:c>
      <x:c r="B132" s="81" t="inlineStr">
        <x:is>
          <x:t xml:space="preserve">Collected</x:t>
        </x:is>
      </x:c>
      <x:c r="C132" s="81" t="inlineStr">
        <x:is>
          <x:t xml:space="preserve">Nội tâm &amp; hiểu mình</x:t>
        </x:is>
      </x:c>
      <x:c r="D132" s="81" t="inlineStr">
        <x:is>
          <x:t xml:space="preserve">Day 2 / Laozi 21–50</x:t>
        </x:is>
      </x:c>
      <x:c r="E132" s="81" t="n"/>
      <x:c r="F132" s="81" t="inlineStr">
        <x:is>
          <x:t xml:space="preserve">Giá trị không nhất thiết cần tự gắn nhãn giá trị</x:t>
        </x:is>
      </x:c>
      <x:c r="G132" s="81" t="inlineStr">
        <x:is>
          <x:t xml:space="preserve">Identity</x:t>
        </x:is>
      </x:c>
      <x:c r="H132" s="81" t="n"/>
      <x:c r="I132" s="81" t="n"/>
      <x:c r="J132" s="81" t="n"/>
      <x:c r="K132" s="81" t="inlineStr">
        <x:is>
          <x:t xml:space="preserve">Distinguish</x:t>
        </x:is>
      </x:c>
      <x:c r="L132" s="81" t="n"/>
      <x:c r="M132" s="81" t="inlineStr">
        <x:is>
          <x:t xml:space="preserve">Trích đoạn triết học</x:t>
        </x:is>
      </x:c>
      <x:c r="N132" s="81" t="inlineStr">
        <x:is>
          <x:t xml:space="preserve">上德不德，是以有德。</x:t>
        </x:is>
      </x:c>
      <x:c r="O132" s="81" t="inlineStr">
        <x:is>
          <x:t xml:space="preserve">Classical Chinese (文言文)</x:t>
        </x:is>
      </x:c>
      <x:c r="P132" s="81" t="inlineStr">
        <x:is>
          <x:t xml:space="preserve">Đức cao không bám vào việc mình có đức, nên mới có đức.</x:t>
        </x:is>
      </x:c>
      <x:c r="Q132" s="81" t="inlineStr">
        <x:is>
          <x:t xml:space="preserve">Laozi / 老子</x:t>
        </x:is>
      </x:c>
      <x:c r="R132" s="81" t="inlineStr">
        <x:is>
          <x:t xml:space="preserve">Taoism</x:t>
        </x:is>
      </x:c>
      <x:c r="S132" s="81" t="inlineStr">
        <x:is>
          <x:t xml:space="preserve">道德經 / Tao Te Ching</x:t>
        </x:is>
      </x:c>
      <x:c r="T132" s="81" t="inlineStr">
        <x:is>
          <x:t xml:space="preserve">Chapter 38</x:t>
        </x:is>
      </x:c>
      <x:c r="U132" s="81" t="inlineStr">
        <x:is>
          <x:t xml:space="preserve">https://zh.wikisource.org/zh-hant/%E9%81%93%E5%BE%B7%E7%B6%93_%28%E7%8E%8B%E5%BC%BC%E6%9C%AC%29</x:t>
        </x:is>
      </x:c>
      <x:c r="V132" s="81" t="inlineStr">
        <x:is>
          <x:t xml:space="preserve">Primary text</x:t>
        </x:is>
      </x:c>
      <x:c r="W132" s="81" t="inlineStr">
        <x:is>
          <x:t xml:space="preserve">Working translation</x:t>
        </x:is>
      </x:c>
      <x:c r="X132" s="81" t="inlineStr">
        <x:is>
          <x:t xml:space="preserve">A - Primary source</x:t>
        </x:is>
      </x:c>
      <x:c r="Y132" s="81" t="inlineStr">
        <x:is>
          <x:t xml:space="preserve">Original Chinese checked against Wang Bi recension; Vietnamese is Selflo working translation, not a published translation.</x:t>
        </x:is>
      </x:c>
      <x:c r="Z132" s="81" t="inlineStr">
        <x:is>
          <x:t xml:space="preserve">Public domain / likely</x:t>
        </x:is>
      </x:c>
      <x:c r="AA132" s="81" t="inlineStr">
        <x:is>
          <x:t xml:space="preserve">Ancient source text. Verify jurisdiction/edition before commercial publication.</x:t>
        </x:is>
      </x:c>
      <x:c r="AB132" s="81" t="inlineStr">
        <x:is>
          <x:t xml:space="preserve">High</x:t>
        </x:is>
      </x:c>
      <x:c r="AC132" s="81" t="inlineStr">
        <x:is>
          <x:t xml:space="preserve">Strong.</x:t>
        </x:is>
      </x:c>
      <x:c r="AD132" s="81" t="inlineStr">
        <x:is>
          <x:t xml:space="preserve">Needs editorial review</x:t>
        </x:is>
      </x:c>
      <x:c r="AE132" s="81" t="inlineStr">
        <x:is>
          <x:t xml:space="preserve">Needs semantic dedupe review</x:t>
        </x:is>
      </x:c>
      <x:c r="AF132" s="81" t="n"/>
      <x:c r="AG132" s="81" t="n"/>
      <x:c r="AH132" s="81" t="inlineStr">
        <x:is>
          <x:t xml:space="preserve">No</x:t>
        </x:is>
      </x:c>
      <x:c r="AI132" s="81" t="inlineStr">
        <x:is>
          <x:t xml:space="preserve">Not reviewed</x:t>
        </x:is>
      </x:c>
      <x:c r="AJ132" s="81" t="inlineStr">
        <x:is>
          <x:t xml:space="preserve">Research only</x:t>
        </x:is>
      </x:c>
      <x:c r="AK132" s="81" t="inlineStr">
        <x:is>
          <x:t xml:space="preserve">Research Pool</x:t>
        </x:is>
      </x:c>
      <x:c r="AL132" s="81" t="n">
        <x:v>2</x:v>
      </x:c>
      <x:c r="AM132" s="81" t="inlineStr">
        <x:is>
          <x:t xml:space="preserve">ChatGPT research</x:t>
        </x:is>
      </x:c>
      <x:c r="AN132" s="81" t="inlineStr">
        <x:is>
          <x:t xml:space="preserve">2026-09-18</x:t>
        </x:is>
      </x:c>
      <x:c r="AO132" s="81" t="inlineStr">
        <x:is>
          <x:t xml:space="preserve">Day 2 full-scope audit, chapters 21–50.</x:t>
        </x:is>
      </x:c>
      <x:c r="AP132" s="81" t="n"/>
      <x:c r="AQ132" s="81" t="n"/>
    </x:row>
    <x:row r="133">
      <x:c r="A133" s="81" t="inlineStr">
        <x:is>
          <x:t xml:space="preserve">research.laozi.day2.ch38.069</x:t>
        </x:is>
      </x:c>
      <x:c r="B133" s="81" t="inlineStr">
        <x:is>
          <x:t xml:space="preserve">Collected</x:t>
        </x:is>
      </x:c>
      <x:c r="C133" s="81" t="inlineStr">
        <x:is>
          <x:t xml:space="preserve">Nội tâm &amp; hiểu mình</x:t>
        </x:is>
      </x:c>
      <x:c r="D133" s="81" t="inlineStr">
        <x:is>
          <x:t xml:space="preserve">Day 2 / Laozi 21–50</x:t>
        </x:is>
      </x:c>
      <x:c r="E133" s="81" t="n"/>
      <x:c r="F133" s="81" t="inlineStr">
        <x:is>
          <x:t xml:space="preserve">Phân biệt hành động từ giá trị và hành động để chứng minh bản thân</x:t>
        </x:is>
      </x:c>
      <x:c r="G133" s="81" t="inlineStr">
        <x:is>
          <x:t xml:space="preserve">Values</x:t>
        </x:is>
      </x:c>
      <x:c r="H133" s="81" t="n"/>
      <x:c r="I133" s="81" t="n"/>
      <x:c r="J133" s="81" t="n"/>
      <x:c r="K133" s="81" t="inlineStr">
        <x:is>
          <x:t xml:space="preserve">Distinguish</x:t>
        </x:is>
      </x:c>
      <x:c r="L133" s="81" t="n"/>
      <x:c r="M133" s="81" t="inlineStr">
        <x:is>
          <x:t xml:space="preserve">Trích đoạn triết học</x:t>
        </x:is>
      </x:c>
      <x:c r="N133" s="81" t="inlineStr">
        <x:is>
          <x:t xml:space="preserve">上德無為而無以為；下德為之而有以為。</x:t>
        </x:is>
      </x:c>
      <x:c r="O133" s="81" t="inlineStr">
        <x:is>
          <x:t xml:space="preserve">Classical Chinese (文言文)</x:t>
        </x:is>
      </x:c>
      <x:c r="P133" s="81" t="inlineStr">
        <x:is>
          <x:t xml:space="preserve">Đức cao không cưỡng làm vì một cái cớ để chứng minh mình; đức thấp hơn hành động với sự bám vào mục đích ấy.</x:t>
        </x:is>
      </x:c>
      <x:c r="Q133" s="81" t="inlineStr">
        <x:is>
          <x:t xml:space="preserve">Laozi / 老子</x:t>
        </x:is>
      </x:c>
      <x:c r="R133" s="81" t="inlineStr">
        <x:is>
          <x:t xml:space="preserve">Taoism</x:t>
        </x:is>
      </x:c>
      <x:c r="S133" s="81" t="inlineStr">
        <x:is>
          <x:t xml:space="preserve">道德經 / Tao Te Ching</x:t>
        </x:is>
      </x:c>
      <x:c r="T133" s="81" t="inlineStr">
        <x:is>
          <x:t xml:space="preserve">Chapter 38</x:t>
        </x:is>
      </x:c>
      <x:c r="U133" s="81" t="inlineStr">
        <x:is>
          <x:t xml:space="preserve">https://zh.wikisource.org/zh-hant/%E9%81%93%E5%BE%B7%E7%B6%93_%28%E7%8E%8B%E5%BC%BC%E6%9C%AC%29</x:t>
        </x:is>
      </x:c>
      <x:c r="V133" s="81" t="inlineStr">
        <x:is>
          <x:t xml:space="preserve">Primary text</x:t>
        </x:is>
      </x:c>
      <x:c r="W133" s="81" t="inlineStr">
        <x:is>
          <x:t xml:space="preserve">Working translation</x:t>
        </x:is>
      </x:c>
      <x:c r="X133" s="81" t="inlineStr">
        <x:is>
          <x:t xml:space="preserve">A - Primary source</x:t>
        </x:is>
      </x:c>
      <x:c r="Y133" s="81" t="inlineStr">
        <x:is>
          <x:t xml:space="preserve">Original Chinese checked against Wang Bi recension; Vietnamese is Selflo working translation, not a published translation.</x:t>
        </x:is>
      </x:c>
      <x:c r="Z133" s="81" t="inlineStr">
        <x:is>
          <x:t xml:space="preserve">Public domain / likely</x:t>
        </x:is>
      </x:c>
      <x:c r="AA133" s="81" t="inlineStr">
        <x:is>
          <x:t xml:space="preserve">Ancient source text. Verify jurisdiction/edition before commercial publication.</x:t>
        </x:is>
      </x:c>
      <x:c r="AB133" s="81" t="inlineStr">
        <x:is>
          <x:t xml:space="preserve">High</x:t>
        </x:is>
      </x:c>
      <x:c r="AC133" s="81" t="inlineStr">
        <x:is>
          <x:t xml:space="preserve">Interpretive but useful.</x:t>
        </x:is>
      </x:c>
      <x:c r="AD133" s="81" t="inlineStr">
        <x:is>
          <x:t xml:space="preserve">Needs editorial review</x:t>
        </x:is>
      </x:c>
      <x:c r="AE133" s="81" t="inlineStr">
        <x:is>
          <x:t xml:space="preserve">Needs semantic dedupe review</x:t>
        </x:is>
      </x:c>
      <x:c r="AF133" s="81" t="n"/>
      <x:c r="AG133" s="81" t="n"/>
      <x:c r="AH133" s="81" t="inlineStr">
        <x:is>
          <x:t xml:space="preserve">No</x:t>
        </x:is>
      </x:c>
      <x:c r="AI133" s="81" t="inlineStr">
        <x:is>
          <x:t xml:space="preserve">Not reviewed</x:t>
        </x:is>
      </x:c>
      <x:c r="AJ133" s="81" t="inlineStr">
        <x:is>
          <x:t xml:space="preserve">Research only</x:t>
        </x:is>
      </x:c>
      <x:c r="AK133" s="81" t="inlineStr">
        <x:is>
          <x:t xml:space="preserve">Research Pool</x:t>
        </x:is>
      </x:c>
      <x:c r="AL133" s="81" t="n">
        <x:v>2</x:v>
      </x:c>
      <x:c r="AM133" s="81" t="inlineStr">
        <x:is>
          <x:t xml:space="preserve">ChatGPT research</x:t>
        </x:is>
      </x:c>
      <x:c r="AN133" s="81" t="inlineStr">
        <x:is>
          <x:t xml:space="preserve">2026-09-18</x:t>
        </x:is>
      </x:c>
      <x:c r="AO133" s="81" t="inlineStr">
        <x:is>
          <x:t xml:space="preserve">Day 2 full-scope audit, chapters 21–50.</x:t>
        </x:is>
      </x:c>
      <x:c r="AP133" s="81" t="n"/>
      <x:c r="AQ133" s="81" t="n"/>
    </x:row>
    <x:row r="134">
      <x:c r="A134" s="81" t="inlineStr">
        <x:is>
          <x:t xml:space="preserve">research.laozi.day2.ch38.070</x:t>
        </x:is>
      </x:c>
      <x:c r="B134" s="81" t="inlineStr">
        <x:is>
          <x:t xml:space="preserve">Collected</x:t>
        </x:is>
      </x:c>
      <x:c r="C134" s="81" t="inlineStr">
        <x:is>
          <x:t xml:space="preserve">Nội tâm &amp; hiểu mình</x:t>
        </x:is>
      </x:c>
      <x:c r="D134" s="81" t="inlineStr">
        <x:is>
          <x:t xml:space="preserve">Day 2 / Laozi 21–50</x:t>
        </x:is>
      </x:c>
      <x:c r="E134" s="81" t="n"/>
      <x:c r="F134" s="81" t="inlineStr">
        <x:is>
          <x:t xml:space="preserve">Quy tắc bên ngoài có thể xuất hiện khi nền tảng bên trong yếu đi</x:t>
        </x:is>
      </x:c>
      <x:c r="G134" s="81" t="inlineStr">
        <x:is>
          <x:t xml:space="preserve">Values</x:t>
        </x:is>
      </x:c>
      <x:c r="H134" s="81" t="n"/>
      <x:c r="I134" s="81" t="n"/>
      <x:c r="J134" s="81" t="n"/>
      <x:c r="K134" s="81" t="inlineStr">
        <x:is>
          <x:t xml:space="preserve">Reframe</x:t>
        </x:is>
      </x:c>
      <x:c r="L134" s="81" t="n"/>
      <x:c r="M134" s="81" t="inlineStr">
        <x:is>
          <x:t xml:space="preserve">Trích đoạn triết học</x:t>
        </x:is>
      </x:c>
      <x:c r="N134" s="81" t="inlineStr">
        <x:is>
          <x:t xml:space="preserve">失道而後德，失德而後仁，失仁而後義，失義而後禮。</x:t>
        </x:is>
      </x:c>
      <x:c r="O134" s="81" t="inlineStr">
        <x:is>
          <x:t xml:space="preserve">Classical Chinese (文言文)</x:t>
        </x:is>
      </x:c>
      <x:c r="P134" s="81" t="inlineStr">
        <x:is>
          <x:t xml:space="preserve">Khi mất tầng nền, người ta lần lượt dựa vào những lớp quy tắc bên ngoài hơn.</x:t>
        </x:is>
      </x:c>
      <x:c r="Q134" s="81" t="inlineStr">
        <x:is>
          <x:t xml:space="preserve">Laozi / 老子</x:t>
        </x:is>
      </x:c>
      <x:c r="R134" s="81" t="inlineStr">
        <x:is>
          <x:t xml:space="preserve">Taoism</x:t>
        </x:is>
      </x:c>
      <x:c r="S134" s="81" t="inlineStr">
        <x:is>
          <x:t xml:space="preserve">道德經 / Tao Te Ching</x:t>
        </x:is>
      </x:c>
      <x:c r="T134" s="81" t="inlineStr">
        <x:is>
          <x:t xml:space="preserve">Chapter 38</x:t>
        </x:is>
      </x:c>
      <x:c r="U134" s="81" t="inlineStr">
        <x:is>
          <x:t xml:space="preserve">https://zh.wikisource.org/zh-hant/%E9%81%93%E5%BE%B7%E7%B6%93_%28%E7%8E%8B%E5%BC%BC%E6%9C%AC%29</x:t>
        </x:is>
      </x:c>
      <x:c r="V134" s="81" t="inlineStr">
        <x:is>
          <x:t xml:space="preserve">Primary text</x:t>
        </x:is>
      </x:c>
      <x:c r="W134" s="81" t="inlineStr">
        <x:is>
          <x:t xml:space="preserve">Working translation</x:t>
        </x:is>
      </x:c>
      <x:c r="X134" s="81" t="inlineStr">
        <x:is>
          <x:t xml:space="preserve">A - Primary source</x:t>
        </x:is>
      </x:c>
      <x:c r="Y134" s="81" t="inlineStr">
        <x:is>
          <x:t xml:space="preserve">Original Chinese checked against Wang Bi recension; Vietnamese is Selflo working translation, not a published translation.</x:t>
        </x:is>
      </x:c>
      <x:c r="Z134" s="81" t="inlineStr">
        <x:is>
          <x:t xml:space="preserve">Public domain / likely</x:t>
        </x:is>
      </x:c>
      <x:c r="AA134" s="81" t="inlineStr">
        <x:is>
          <x:t xml:space="preserve">Ancient source text. Verify jurisdiction/edition before commercial publication.</x:t>
        </x:is>
      </x:c>
      <x:c r="AB134" s="81" t="inlineStr">
        <x:is>
          <x:t xml:space="preserve">Medium</x:t>
        </x:is>
      </x:c>
      <x:c r="AC134" s="81" t="inlineStr">
        <x:is>
          <x:t xml:space="preserve">Needs context.</x:t>
        </x:is>
      </x:c>
      <x:c r="AD134" s="81" t="inlineStr">
        <x:is>
          <x:t xml:space="preserve">Needs editorial review</x:t>
        </x:is>
      </x:c>
      <x:c r="AE134" s="81" t="inlineStr">
        <x:is>
          <x:t xml:space="preserve">Needs semantic dedupe review</x:t>
        </x:is>
      </x:c>
      <x:c r="AF134" s="81" t="n"/>
      <x:c r="AG134" s="81" t="n"/>
      <x:c r="AH134" s="81" t="inlineStr">
        <x:is>
          <x:t xml:space="preserve">No</x:t>
        </x:is>
      </x:c>
      <x:c r="AI134" s="81" t="inlineStr">
        <x:is>
          <x:t xml:space="preserve">Not reviewed</x:t>
        </x:is>
      </x:c>
      <x:c r="AJ134" s="81" t="inlineStr">
        <x:is>
          <x:t xml:space="preserve">Research only</x:t>
        </x:is>
      </x:c>
      <x:c r="AK134" s="81" t="inlineStr">
        <x:is>
          <x:t xml:space="preserve">Research Pool</x:t>
        </x:is>
      </x:c>
      <x:c r="AL134" s="81" t="n">
        <x:v>2</x:v>
      </x:c>
      <x:c r="AM134" s="81" t="inlineStr">
        <x:is>
          <x:t xml:space="preserve">ChatGPT research</x:t>
        </x:is>
      </x:c>
      <x:c r="AN134" s="81" t="inlineStr">
        <x:is>
          <x:t xml:space="preserve">2026-09-18</x:t>
        </x:is>
      </x:c>
      <x:c r="AO134" s="81" t="inlineStr">
        <x:is>
          <x:t xml:space="preserve">Day 2 full-scope audit, chapters 21–50.</x:t>
        </x:is>
      </x:c>
      <x:c r="AP134" s="81" t="n"/>
      <x:c r="AQ134" s="81" t="n"/>
    </x:row>
    <x:row r="135">
      <x:c r="A135" s="81" t="inlineStr">
        <x:is>
          <x:t xml:space="preserve">research.laozi.day2.ch38.071</x:t>
        </x:is>
      </x:c>
      <x:c r="B135" s="81" t="inlineStr">
        <x:is>
          <x:t xml:space="preserve">Collected</x:t>
        </x:is>
      </x:c>
      <x:c r="C135" s="81" t="inlineStr">
        <x:is>
          <x:t xml:space="preserve">Nội tâm &amp; hiểu mình</x:t>
        </x:is>
      </x:c>
      <x:c r="D135" s="81" t="inlineStr">
        <x:is>
          <x:t xml:space="preserve">Day 2 / Laozi 21–50</x:t>
        </x:is>
      </x:c>
      <x:c r="E135" s="81" t="n"/>
      <x:c r="F135" s="81" t="inlineStr">
        <x:is>
          <x:t xml:space="preserve">Hình thức không thay thế được lòng tin</x:t>
        </x:is>
      </x:c>
      <x:c r="G135" s="81" t="inlineStr">
        <x:is>
          <x:t xml:space="preserve">Trust</x:t>
        </x:is>
      </x:c>
      <x:c r="H135" s="81" t="n"/>
      <x:c r="I135" s="81" t="n"/>
      <x:c r="J135" s="81" t="n"/>
      <x:c r="K135" s="81" t="inlineStr">
        <x:is>
          <x:t xml:space="preserve">Distinguish</x:t>
        </x:is>
      </x:c>
      <x:c r="L135" s="81" t="n"/>
      <x:c r="M135" s="81" t="inlineStr">
        <x:is>
          <x:t xml:space="preserve">Trích đoạn triết học</x:t>
        </x:is>
      </x:c>
      <x:c r="N135" s="81" t="inlineStr">
        <x:is>
          <x:t xml:space="preserve">夫禮者，忠信之薄而亂之首。</x:t>
        </x:is>
      </x:c>
      <x:c r="O135" s="81" t="inlineStr">
        <x:is>
          <x:t xml:space="preserve">Classical Chinese (文言文)</x:t>
        </x:is>
      </x:c>
      <x:c r="P135" s="81" t="inlineStr">
        <x:is>
          <x:t xml:space="preserve">Nghi lễ hình thức, khi lòng tin đã mỏng, có thể trở thành dấu hiệu của rối loạn chứ không phải bằng chứng của chân thành.</x:t>
        </x:is>
      </x:c>
      <x:c r="Q135" s="81" t="inlineStr">
        <x:is>
          <x:t xml:space="preserve">Laozi / 老子</x:t>
        </x:is>
      </x:c>
      <x:c r="R135" s="81" t="inlineStr">
        <x:is>
          <x:t xml:space="preserve">Taoism</x:t>
        </x:is>
      </x:c>
      <x:c r="S135" s="81" t="inlineStr">
        <x:is>
          <x:t xml:space="preserve">道德經 / Tao Te Ching</x:t>
        </x:is>
      </x:c>
      <x:c r="T135" s="81" t="inlineStr">
        <x:is>
          <x:t xml:space="preserve">Chapter 38</x:t>
        </x:is>
      </x:c>
      <x:c r="U135" s="81" t="inlineStr">
        <x:is>
          <x:t xml:space="preserve">https://zh.wikisource.org/zh-hant/%E9%81%93%E5%BE%B7%E7%B6%93_%28%E7%8E%8B%E5%BC%BC%E6%9C%AC%29</x:t>
        </x:is>
      </x:c>
      <x:c r="V135" s="81" t="inlineStr">
        <x:is>
          <x:t xml:space="preserve">Primary text</x:t>
        </x:is>
      </x:c>
      <x:c r="W135" s="81" t="inlineStr">
        <x:is>
          <x:t xml:space="preserve">Working translation</x:t>
        </x:is>
      </x:c>
      <x:c r="X135" s="81" t="inlineStr">
        <x:is>
          <x:t xml:space="preserve">A - Primary source</x:t>
        </x:is>
      </x:c>
      <x:c r="Y135" s="81" t="inlineStr">
        <x:is>
          <x:t xml:space="preserve">Original Chinese checked against Wang Bi recension; Vietnamese is Selflo working translation, not a published translation.</x:t>
        </x:is>
      </x:c>
      <x:c r="Z135" s="81" t="inlineStr">
        <x:is>
          <x:t xml:space="preserve">Public domain / likely</x:t>
        </x:is>
      </x:c>
      <x:c r="AA135" s="81" t="inlineStr">
        <x:is>
          <x:t xml:space="preserve">Ancient source text. Verify jurisdiction/edition before commercial publication.</x:t>
        </x:is>
      </x:c>
      <x:c r="AB135" s="81" t="inlineStr">
        <x:is>
          <x:t xml:space="preserve">High</x:t>
        </x:is>
      </x:c>
      <x:c r="AC135" s="81" t="inlineStr">
        <x:is>
          <x:t xml:space="preserve">Strong for culture/organizations.</x:t>
        </x:is>
      </x:c>
      <x:c r="AD135" s="81" t="inlineStr">
        <x:is>
          <x:t xml:space="preserve">Needs editorial review</x:t>
        </x:is>
      </x:c>
      <x:c r="AE135" s="81" t="inlineStr">
        <x:is>
          <x:t xml:space="preserve">Needs semantic dedupe review</x:t>
        </x:is>
      </x:c>
      <x:c r="AF135" s="81" t="n"/>
      <x:c r="AG135" s="81" t="n"/>
      <x:c r="AH135" s="81" t="inlineStr">
        <x:is>
          <x:t xml:space="preserve">No</x:t>
        </x:is>
      </x:c>
      <x:c r="AI135" s="81" t="inlineStr">
        <x:is>
          <x:t xml:space="preserve">Not reviewed</x:t>
        </x:is>
      </x:c>
      <x:c r="AJ135" s="81" t="inlineStr">
        <x:is>
          <x:t xml:space="preserve">Research only</x:t>
        </x:is>
      </x:c>
      <x:c r="AK135" s="81" t="inlineStr">
        <x:is>
          <x:t xml:space="preserve">Research Pool</x:t>
        </x:is>
      </x:c>
      <x:c r="AL135" s="81" t="n">
        <x:v>2</x:v>
      </x:c>
      <x:c r="AM135" s="81" t="inlineStr">
        <x:is>
          <x:t xml:space="preserve">ChatGPT research</x:t>
        </x:is>
      </x:c>
      <x:c r="AN135" s="81" t="inlineStr">
        <x:is>
          <x:t xml:space="preserve">2026-09-18</x:t>
        </x:is>
      </x:c>
      <x:c r="AO135" s="81" t="inlineStr">
        <x:is>
          <x:t xml:space="preserve">Day 2 full-scope audit, chapters 21–50.</x:t>
        </x:is>
      </x:c>
      <x:c r="AP135" s="81" t="n"/>
      <x:c r="AQ135" s="81" t="n"/>
    </x:row>
    <x:row r="136">
      <x:c r="A136" s="81" t="inlineStr">
        <x:is>
          <x:t xml:space="preserve">research.laozi.day2.ch38.072</x:t>
        </x:is>
      </x:c>
      <x:c r="B136" s="81" t="inlineStr">
        <x:is>
          <x:t xml:space="preserve">Collected</x:t>
        </x:is>
      </x:c>
      <x:c r="C136" s="81" t="inlineStr">
        <x:is>
          <x:t xml:space="preserve">Nội tâm &amp; hiểu mình</x:t>
        </x:is>
      </x:c>
      <x:c r="D136" s="81" t="inlineStr">
        <x:is>
          <x:t xml:space="preserve">Day 2 / Laozi 21–50</x:t>
        </x:is>
      </x:c>
      <x:c r="E136" s="81" t="n"/>
      <x:c r="F136" s="81" t="inlineStr">
        <x:is>
          <x:t xml:space="preserve">Biết nhiều không đồng nghĩa thấy đúng</x:t>
        </x:is>
      </x:c>
      <x:c r="G136" s="81" t="inlineStr">
        <x:is>
          <x:t xml:space="preserve">Judgment</x:t>
        </x:is>
      </x:c>
      <x:c r="H136" s="81" t="n"/>
      <x:c r="I136" s="81" t="n"/>
      <x:c r="J136" s="81" t="n"/>
      <x:c r="K136" s="81" t="inlineStr">
        <x:is>
          <x:t xml:space="preserve">Distinguish</x:t>
        </x:is>
      </x:c>
      <x:c r="L136" s="81" t="n"/>
      <x:c r="M136" s="81" t="inlineStr">
        <x:is>
          <x:t xml:space="preserve">Trích đoạn triết học</x:t>
        </x:is>
      </x:c>
      <x:c r="N136" s="81" t="inlineStr">
        <x:is>
          <x:t xml:space="preserve">前識者，道之華而愚之始。</x:t>
        </x:is>
      </x:c>
      <x:c r="O136" s="81" t="inlineStr">
        <x:is>
          <x:t xml:space="preserve">Classical Chinese (文言文)</x:t>
        </x:is>
      </x:c>
      <x:c r="P136" s="81" t="inlineStr">
        <x:is>
          <x:t xml:space="preserve">Biết trước và phô diễn tri thức có thể chỉ là phần hoa bên ngoài; bám vào nó có thể mở đầu cho mê lầm.</x:t>
        </x:is>
      </x:c>
      <x:c r="Q136" s="81" t="inlineStr">
        <x:is>
          <x:t xml:space="preserve">Laozi / 老子</x:t>
        </x:is>
      </x:c>
      <x:c r="R136" s="81" t="inlineStr">
        <x:is>
          <x:t xml:space="preserve">Taoism</x:t>
        </x:is>
      </x:c>
      <x:c r="S136" s="81" t="inlineStr">
        <x:is>
          <x:t xml:space="preserve">道德經 / Tao Te Ching</x:t>
        </x:is>
      </x:c>
      <x:c r="T136" s="81" t="inlineStr">
        <x:is>
          <x:t xml:space="preserve">Chapter 38</x:t>
        </x:is>
      </x:c>
      <x:c r="U136" s="81" t="inlineStr">
        <x:is>
          <x:t xml:space="preserve">https://zh.wikisource.org/zh-hant/%E9%81%93%E5%BE%B7%E7%B6%93_%28%E7%8E%8B%E5%BC%BC%E6%9C%AC%29</x:t>
        </x:is>
      </x:c>
      <x:c r="V136" s="81" t="inlineStr">
        <x:is>
          <x:t xml:space="preserve">Primary text</x:t>
        </x:is>
      </x:c>
      <x:c r="W136" s="81" t="inlineStr">
        <x:is>
          <x:t xml:space="preserve">Working translation</x:t>
        </x:is>
      </x:c>
      <x:c r="X136" s="81" t="inlineStr">
        <x:is>
          <x:t xml:space="preserve">A - Primary source</x:t>
        </x:is>
      </x:c>
      <x:c r="Y136" s="81" t="inlineStr">
        <x:is>
          <x:t xml:space="preserve">Original Chinese checked against Wang Bi recension; Vietnamese is Selflo working translation, not a published translation.</x:t>
        </x:is>
      </x:c>
      <x:c r="Z136" s="81" t="inlineStr">
        <x:is>
          <x:t xml:space="preserve">Public domain / likely</x:t>
        </x:is>
      </x:c>
      <x:c r="AA136" s="81" t="inlineStr">
        <x:is>
          <x:t xml:space="preserve">Ancient source text. Verify jurisdiction/edition before commercial publication.</x:t>
        </x:is>
      </x:c>
      <x:c r="AB136" s="81" t="inlineStr">
        <x:is>
          <x:t xml:space="preserve">High</x:t>
        </x:is>
      </x:c>
      <x:c r="AC136" s="81" t="inlineStr">
        <x:is>
          <x:t xml:space="preserve">Excellent AI-age.</x:t>
        </x:is>
      </x:c>
      <x:c r="AD136" s="81" t="inlineStr">
        <x:is>
          <x:t xml:space="preserve">Needs editorial review</x:t>
        </x:is>
      </x:c>
      <x:c r="AE136" s="81" t="inlineStr">
        <x:is>
          <x:t xml:space="preserve">Needs semantic dedupe review</x:t>
        </x:is>
      </x:c>
      <x:c r="AF136" s="81" t="n"/>
      <x:c r="AG136" s="81" t="n"/>
      <x:c r="AH136" s="81" t="inlineStr">
        <x:is>
          <x:t xml:space="preserve">No</x:t>
        </x:is>
      </x:c>
      <x:c r="AI136" s="81" t="inlineStr">
        <x:is>
          <x:t xml:space="preserve">Not reviewed</x:t>
        </x:is>
      </x:c>
      <x:c r="AJ136" s="81" t="inlineStr">
        <x:is>
          <x:t xml:space="preserve">Research only</x:t>
        </x:is>
      </x:c>
      <x:c r="AK136" s="81" t="inlineStr">
        <x:is>
          <x:t xml:space="preserve">Research Pool</x:t>
        </x:is>
      </x:c>
      <x:c r="AL136" s="81" t="n">
        <x:v>2</x:v>
      </x:c>
      <x:c r="AM136" s="81" t="inlineStr">
        <x:is>
          <x:t xml:space="preserve">ChatGPT research</x:t>
        </x:is>
      </x:c>
      <x:c r="AN136" s="81" t="inlineStr">
        <x:is>
          <x:t xml:space="preserve">2026-09-18</x:t>
        </x:is>
      </x:c>
      <x:c r="AO136" s="81" t="inlineStr">
        <x:is>
          <x:t xml:space="preserve">Day 2 full-scope audit, chapters 21–50.</x:t>
        </x:is>
      </x:c>
      <x:c r="AP136" s="81" t="n"/>
      <x:c r="AQ136" s="81" t="n"/>
    </x:row>
    <x:row r="137">
      <x:c r="A137" s="81" t="inlineStr">
        <x:is>
          <x:t xml:space="preserve">research.laozi.day2.ch38.073</x:t>
        </x:is>
      </x:c>
      <x:c r="B137" s="81" t="inlineStr">
        <x:is>
          <x:t xml:space="preserve">Collected</x:t>
        </x:is>
      </x:c>
      <x:c r="C137" s="81" t="inlineStr">
        <x:is>
          <x:t xml:space="preserve">Nội tâm &amp; hiểu mình</x:t>
        </x:is>
      </x:c>
      <x:c r="D137" s="81" t="inlineStr">
        <x:is>
          <x:t xml:space="preserve">Day 2 / Laozi 21–50</x:t>
        </x:is>
      </x:c>
      <x:c r="E137" s="81" t="n"/>
      <x:c r="F137" s="81" t="inlineStr">
        <x:is>
          <x:t xml:space="preserve">Chọn chiều sâu thay vì chỉ chọn phần gây ấn tượng</x:t>
        </x:is>
      </x:c>
      <x:c r="G137" s="81" t="inlineStr">
        <x:is>
          <x:t xml:space="preserve">Values</x:t>
        </x:is>
      </x:c>
      <x:c r="H137" s="81" t="n"/>
      <x:c r="I137" s="81" t="n"/>
      <x:c r="J137" s="81" t="n"/>
      <x:c r="K137" s="81" t="inlineStr">
        <x:is>
          <x:t xml:space="preserve">Return agency</x:t>
        </x:is>
      </x:c>
      <x:c r="L137" s="81" t="n"/>
      <x:c r="M137" s="81" t="inlineStr">
        <x:is>
          <x:t xml:space="preserve">Trích đoạn triết học</x:t>
        </x:is>
      </x:c>
      <x:c r="N137" s="81" t="inlineStr">
        <x:is>
          <x:t xml:space="preserve">處其厚，不居其薄；處其實，不居其華。</x:t>
        </x:is>
      </x:c>
      <x:c r="O137" s="81" t="inlineStr">
        <x:is>
          <x:t xml:space="preserve">Classical Chinese (文言文)</x:t>
        </x:is>
      </x:c>
      <x:c r="P137" s="81" t="inlineStr">
        <x:is>
          <x:t xml:space="preserve">Ở với phần dày và thật, không chỉ ở phần mỏng và hào nhoáng.</x:t>
        </x:is>
      </x:c>
      <x:c r="Q137" s="81" t="inlineStr">
        <x:is>
          <x:t xml:space="preserve">Laozi / 老子</x:t>
        </x:is>
      </x:c>
      <x:c r="R137" s="81" t="inlineStr">
        <x:is>
          <x:t xml:space="preserve">Taoism</x:t>
        </x:is>
      </x:c>
      <x:c r="S137" s="81" t="inlineStr">
        <x:is>
          <x:t xml:space="preserve">道德經 / Tao Te Ching</x:t>
        </x:is>
      </x:c>
      <x:c r="T137" s="81" t="inlineStr">
        <x:is>
          <x:t xml:space="preserve">Chapter 38</x:t>
        </x:is>
      </x:c>
      <x:c r="U137" s="81" t="inlineStr">
        <x:is>
          <x:t xml:space="preserve">https://zh.wikisource.org/zh-hant/%E9%81%93%E5%BE%B7%E7%B6%93_%28%E7%8E%8B%E5%BC%BC%E6%9C%AC%29</x:t>
        </x:is>
      </x:c>
      <x:c r="V137" s="81" t="inlineStr">
        <x:is>
          <x:t xml:space="preserve">Primary text</x:t>
        </x:is>
      </x:c>
      <x:c r="W137" s="81" t="inlineStr">
        <x:is>
          <x:t xml:space="preserve">Working translation</x:t>
        </x:is>
      </x:c>
      <x:c r="X137" s="81" t="inlineStr">
        <x:is>
          <x:t xml:space="preserve">A - Primary source</x:t>
        </x:is>
      </x:c>
      <x:c r="Y137" s="81" t="inlineStr">
        <x:is>
          <x:t xml:space="preserve">Original Chinese checked against Wang Bi recension; Vietnamese is Selflo working translation, not a published translation.</x:t>
        </x:is>
      </x:c>
      <x:c r="Z137" s="81" t="inlineStr">
        <x:is>
          <x:t xml:space="preserve">Public domain / likely</x:t>
        </x:is>
      </x:c>
      <x:c r="AA137" s="81" t="inlineStr">
        <x:is>
          <x:t xml:space="preserve">Ancient source text. Verify jurisdiction/edition before commercial publication.</x:t>
        </x:is>
      </x:c>
      <x:c r="AB137" s="81" t="inlineStr">
        <x:is>
          <x:t xml:space="preserve">High</x:t>
        </x:is>
      </x:c>
      <x:c r="AC137" s="81" t="inlineStr">
        <x:is>
          <x:t xml:space="preserve">Very strong.</x:t>
        </x:is>
      </x:c>
      <x:c r="AD137" s="81" t="inlineStr">
        <x:is>
          <x:t xml:space="preserve">Needs editorial review</x:t>
        </x:is>
      </x:c>
      <x:c r="AE137" s="81" t="inlineStr">
        <x:is>
          <x:t xml:space="preserve">Needs semantic dedupe review</x:t>
        </x:is>
      </x:c>
      <x:c r="AF137" s="81" t="n"/>
      <x:c r="AG137" s="81" t="n"/>
      <x:c r="AH137" s="81" t="inlineStr">
        <x:is>
          <x:t xml:space="preserve">No</x:t>
        </x:is>
      </x:c>
      <x:c r="AI137" s="81" t="inlineStr">
        <x:is>
          <x:t xml:space="preserve">Not reviewed</x:t>
        </x:is>
      </x:c>
      <x:c r="AJ137" s="81" t="inlineStr">
        <x:is>
          <x:t xml:space="preserve">Research only</x:t>
        </x:is>
      </x:c>
      <x:c r="AK137" s="81" t="inlineStr">
        <x:is>
          <x:t xml:space="preserve">Research Pool</x:t>
        </x:is>
      </x:c>
      <x:c r="AL137" s="81" t="n">
        <x:v>2</x:v>
      </x:c>
      <x:c r="AM137" s="81" t="inlineStr">
        <x:is>
          <x:t xml:space="preserve">ChatGPT research</x:t>
        </x:is>
      </x:c>
      <x:c r="AN137" s="81" t="inlineStr">
        <x:is>
          <x:t xml:space="preserve">2026-09-18</x:t>
        </x:is>
      </x:c>
      <x:c r="AO137" s="81" t="inlineStr">
        <x:is>
          <x:t xml:space="preserve">Day 2 full-scope audit, chapters 21–50.</x:t>
        </x:is>
      </x:c>
      <x:c r="AP137" s="81" t="n"/>
      <x:c r="AQ137" s="81" t="n"/>
    </x:row>
    <x:row r="138">
      <x:c r="A138" s="81" t="inlineStr">
        <x:is>
          <x:t xml:space="preserve">research.laozi.day2.ch39.074</x:t>
        </x:is>
      </x:c>
      <x:c r="B138" s="81" t="inlineStr">
        <x:is>
          <x:t xml:space="preserve">Collected</x:t>
        </x:is>
      </x:c>
      <x:c r="C138" s="81" t="inlineStr">
        <x:is>
          <x:t xml:space="preserve">Nội tâm &amp; hiểu mình</x:t>
        </x:is>
      </x:c>
      <x:c r="D138" s="81" t="inlineStr">
        <x:is>
          <x:t xml:space="preserve">Day 2 / Laozi 21–50</x:t>
        </x:is>
      </x:c>
      <x:c r="E138" s="81" t="n"/>
      <x:c r="F138" s="81" t="inlineStr">
        <x:is>
          <x:t xml:space="preserve">Giữ một nền thống nhất giữa nhiều phần</x:t>
        </x:is>
      </x:c>
      <x:c r="G138" s="81" t="inlineStr">
        <x:is>
          <x:t xml:space="preserve">Integration</x:t>
        </x:is>
      </x:c>
      <x:c r="H138" s="81" t="n"/>
      <x:c r="I138" s="81" t="n"/>
      <x:c r="J138" s="81" t="n"/>
      <x:c r="K138" s="81" t="inlineStr">
        <x:is>
          <x:t xml:space="preserve">Recognize</x:t>
        </x:is>
      </x:c>
      <x:c r="L138" s="81" t="n"/>
      <x:c r="M138" s="81" t="inlineStr">
        <x:is>
          <x:t xml:space="preserve">Trích đoạn triết học</x:t>
        </x:is>
      </x:c>
      <x:c r="N138" s="81" t="inlineStr">
        <x:is>
          <x:t xml:space="preserve">昔之得一者：天得一以清，地得一以寧。</x:t>
        </x:is>
      </x:c>
      <x:c r="O138" s="81" t="inlineStr">
        <x:is>
          <x:t xml:space="preserve">Classical Chinese (文言文)</x:t>
        </x:is>
      </x:c>
      <x:c r="P138" s="81" t="inlineStr">
        <x:is>
          <x:t xml:space="preserve">Theo văn bản, sự ổn định của trời đất và muôn vật được gắn với việc giữ được một nền thống nhất.</x:t>
        </x:is>
      </x:c>
      <x:c r="Q138" s="81" t="inlineStr">
        <x:is>
          <x:t xml:space="preserve">Laozi / 老子</x:t>
        </x:is>
      </x:c>
      <x:c r="R138" s="81" t="inlineStr">
        <x:is>
          <x:t xml:space="preserve">Taoism</x:t>
        </x:is>
      </x:c>
      <x:c r="S138" s="81" t="inlineStr">
        <x:is>
          <x:t xml:space="preserve">道德經 / Tao Te Ching</x:t>
        </x:is>
      </x:c>
      <x:c r="T138" s="81" t="inlineStr">
        <x:is>
          <x:t xml:space="preserve">Chapter 39</x:t>
        </x:is>
      </x:c>
      <x:c r="U138" s="81" t="inlineStr">
        <x:is>
          <x:t xml:space="preserve">https://zh.wikisource.org/zh-hant/%E9%81%93%E5%BE%B7%E7%B6%93_%28%E7%8E%8B%E5%BC%BC%E6%9C%AC%29</x:t>
        </x:is>
      </x:c>
      <x:c r="V138" s="81" t="inlineStr">
        <x:is>
          <x:t xml:space="preserve">Primary text</x:t>
        </x:is>
      </x:c>
      <x:c r="W138" s="81" t="inlineStr">
        <x:is>
          <x:t xml:space="preserve">Working translation</x:t>
        </x:is>
      </x:c>
      <x:c r="X138" s="81" t="inlineStr">
        <x:is>
          <x:t xml:space="preserve">A - Primary source</x:t>
        </x:is>
      </x:c>
      <x:c r="Y138" s="81" t="inlineStr">
        <x:is>
          <x:t xml:space="preserve">Original Chinese checked against Wang Bi recension; Vietnamese is Selflo working translation, not a published translation.</x:t>
        </x:is>
      </x:c>
      <x:c r="Z138" s="81" t="inlineStr">
        <x:is>
          <x:t xml:space="preserve">Public domain / likely</x:t>
        </x:is>
      </x:c>
      <x:c r="AA138" s="81" t="inlineStr">
        <x:is>
          <x:t xml:space="preserve">Ancient source text. Verify jurisdiction/edition before commercial publication.</x:t>
        </x:is>
      </x:c>
      <x:c r="AB138" s="81" t="inlineStr">
        <x:is>
          <x:t xml:space="preserve">Medium</x:t>
        </x:is>
      </x:c>
      <x:c r="AC138" s="81" t="inlineStr">
        <x:is>
          <x:t xml:space="preserve">Metaphysical.</x:t>
        </x:is>
      </x:c>
      <x:c r="AD138" s="81" t="inlineStr">
        <x:is>
          <x:t xml:space="preserve">Needs editorial review</x:t>
        </x:is>
      </x:c>
      <x:c r="AE138" s="81" t="inlineStr">
        <x:is>
          <x:t xml:space="preserve">Needs semantic dedupe review</x:t>
        </x:is>
      </x:c>
      <x:c r="AF138" s="81" t="n"/>
      <x:c r="AG138" s="81" t="n"/>
      <x:c r="AH138" s="81" t="inlineStr">
        <x:is>
          <x:t xml:space="preserve">No</x:t>
        </x:is>
      </x:c>
      <x:c r="AI138" s="81" t="inlineStr">
        <x:is>
          <x:t xml:space="preserve">Not reviewed</x:t>
        </x:is>
      </x:c>
      <x:c r="AJ138" s="81" t="inlineStr">
        <x:is>
          <x:t xml:space="preserve">Research only</x:t>
        </x:is>
      </x:c>
      <x:c r="AK138" s="81" t="inlineStr">
        <x:is>
          <x:t xml:space="preserve">Research Pool</x:t>
        </x:is>
      </x:c>
      <x:c r="AL138" s="81" t="n">
        <x:v>2</x:v>
      </x:c>
      <x:c r="AM138" s="81" t="inlineStr">
        <x:is>
          <x:t xml:space="preserve">ChatGPT research</x:t>
        </x:is>
      </x:c>
      <x:c r="AN138" s="81" t="inlineStr">
        <x:is>
          <x:t xml:space="preserve">2026-09-18</x:t>
        </x:is>
      </x:c>
      <x:c r="AO138" s="81" t="inlineStr">
        <x:is>
          <x:t xml:space="preserve">Day 2 full-scope audit, chapters 21–50.</x:t>
        </x:is>
      </x:c>
      <x:c r="AP138" s="81" t="n"/>
      <x:c r="AQ138" s="81" t="n"/>
    </x:row>
    <x:row r="139">
      <x:c r="A139" s="81" t="inlineStr">
        <x:is>
          <x:t xml:space="preserve">research.laozi.day2.ch39.075</x:t>
        </x:is>
      </x:c>
      <x:c r="B139" s="81" t="inlineStr">
        <x:is>
          <x:t xml:space="preserve">Collected</x:t>
        </x:is>
      </x:c>
      <x:c r="C139" s="81" t="inlineStr">
        <x:is>
          <x:t xml:space="preserve">Nội tâm &amp; hiểu mình</x:t>
        </x:is>
      </x:c>
      <x:c r="D139" s="81" t="inlineStr">
        <x:is>
          <x:t xml:space="preserve">Day 2 / Laozi 21–50</x:t>
        </x:is>
      </x:c>
      <x:c r="E139" s="81" t="n"/>
      <x:c r="F139" s="81" t="inlineStr">
        <x:is>
          <x:t xml:space="preserve">Giá trị và vị trí phụ thuộc vào nền thường bị bỏ qua</x:t>
        </x:is>
      </x:c>
      <x:c r="G139" s="81" t="inlineStr">
        <x:is>
          <x:t xml:space="preserve">Context</x:t>
        </x:is>
      </x:c>
      <x:c r="H139" s="81" t="n"/>
      <x:c r="I139" s="81" t="n"/>
      <x:c r="J139" s="81" t="n"/>
      <x:c r="K139" s="81" t="inlineStr">
        <x:is>
          <x:t xml:space="preserve">Reframe</x:t>
        </x:is>
      </x:c>
      <x:c r="L139" s="81" t="n"/>
      <x:c r="M139" s="81" t="inlineStr">
        <x:is>
          <x:t xml:space="preserve">Trích đoạn triết học</x:t>
        </x:is>
      </x:c>
      <x:c r="N139" s="81" t="inlineStr">
        <x:is>
          <x:t xml:space="preserve">貴以賤為本，高以下為基。</x:t>
        </x:is>
      </x:c>
      <x:c r="O139" s="81" t="inlineStr">
        <x:is>
          <x:t xml:space="preserve">Classical Chinese (文言文)</x:t>
        </x:is>
      </x:c>
      <x:c r="P139" s="81" t="inlineStr">
        <x:is>
          <x:t xml:space="preserve">Cái được xem là quý dựa trên cái bị xem là thấp; cái cao có nền ở cái thấp.</x:t>
        </x:is>
      </x:c>
      <x:c r="Q139" s="81" t="inlineStr">
        <x:is>
          <x:t xml:space="preserve">Laozi / 老子</x:t>
        </x:is>
      </x:c>
      <x:c r="R139" s="81" t="inlineStr">
        <x:is>
          <x:t xml:space="preserve">Taoism</x:t>
        </x:is>
      </x:c>
      <x:c r="S139" s="81" t="inlineStr">
        <x:is>
          <x:t xml:space="preserve">道德經 / Tao Te Ching</x:t>
        </x:is>
      </x:c>
      <x:c r="T139" s="81" t="inlineStr">
        <x:is>
          <x:t xml:space="preserve">Chapter 39</x:t>
        </x:is>
      </x:c>
      <x:c r="U139" s="81" t="inlineStr">
        <x:is>
          <x:t xml:space="preserve">https://zh.wikisource.org/zh-hant/%E9%81%93%E5%BE%B7%E7%B6%93_%28%E7%8E%8B%E5%BC%BC%E6%9C%AC%29</x:t>
        </x:is>
      </x:c>
      <x:c r="V139" s="81" t="inlineStr">
        <x:is>
          <x:t xml:space="preserve">Primary text</x:t>
        </x:is>
      </x:c>
      <x:c r="W139" s="81" t="inlineStr">
        <x:is>
          <x:t xml:space="preserve">Working translation</x:t>
        </x:is>
      </x:c>
      <x:c r="X139" s="81" t="inlineStr">
        <x:is>
          <x:t xml:space="preserve">A - Primary source</x:t>
        </x:is>
      </x:c>
      <x:c r="Y139" s="81" t="inlineStr">
        <x:is>
          <x:t xml:space="preserve">Original Chinese checked against Wang Bi recension; Vietnamese is Selflo working translation, not a published translation.</x:t>
        </x:is>
      </x:c>
      <x:c r="Z139" s="81" t="inlineStr">
        <x:is>
          <x:t xml:space="preserve">Public domain / likely</x:t>
        </x:is>
      </x:c>
      <x:c r="AA139" s="81" t="inlineStr">
        <x:is>
          <x:t xml:space="preserve">Ancient source text. Verify jurisdiction/edition before commercial publication.</x:t>
        </x:is>
      </x:c>
      <x:c r="AB139" s="81" t="inlineStr">
        <x:is>
          <x:t xml:space="preserve">High</x:t>
        </x:is>
      </x:c>
      <x:c r="AC139" s="81" t="inlineStr">
        <x:is>
          <x:t xml:space="preserve">Relational opposites.</x:t>
        </x:is>
      </x:c>
      <x:c r="AD139" s="81" t="inlineStr">
        <x:is>
          <x:t xml:space="preserve">Needs editorial review</x:t>
        </x:is>
      </x:c>
      <x:c r="AE139" s="81" t="inlineStr">
        <x:is>
          <x:t xml:space="preserve">Needs semantic dedupe review</x:t>
        </x:is>
      </x:c>
      <x:c r="AF139" s="81" t="n"/>
      <x:c r="AG139" s="81" t="n"/>
      <x:c r="AH139" s="81" t="inlineStr">
        <x:is>
          <x:t xml:space="preserve">No</x:t>
        </x:is>
      </x:c>
      <x:c r="AI139" s="81" t="inlineStr">
        <x:is>
          <x:t xml:space="preserve">Not reviewed</x:t>
        </x:is>
      </x:c>
      <x:c r="AJ139" s="81" t="inlineStr">
        <x:is>
          <x:t xml:space="preserve">Research only</x:t>
        </x:is>
      </x:c>
      <x:c r="AK139" s="81" t="inlineStr">
        <x:is>
          <x:t xml:space="preserve">Research Pool</x:t>
        </x:is>
      </x:c>
      <x:c r="AL139" s="81" t="n">
        <x:v>2</x:v>
      </x:c>
      <x:c r="AM139" s="81" t="inlineStr">
        <x:is>
          <x:t xml:space="preserve">ChatGPT research</x:t>
        </x:is>
      </x:c>
      <x:c r="AN139" s="81" t="inlineStr">
        <x:is>
          <x:t xml:space="preserve">2026-09-18</x:t>
        </x:is>
      </x:c>
      <x:c r="AO139" s="81" t="inlineStr">
        <x:is>
          <x:t xml:space="preserve">Day 2 full-scope audit, chapters 21–50.</x:t>
        </x:is>
      </x:c>
      <x:c r="AP139" s="81" t="n"/>
      <x:c r="AQ139" s="81" t="n"/>
    </x:row>
    <x:row r="140">
      <x:c r="A140" s="81" t="inlineStr">
        <x:is>
          <x:t xml:space="preserve">research.laozi.day2.ch39.076</x:t>
        </x:is>
      </x:c>
      <x:c r="B140" s="81" t="inlineStr">
        <x:is>
          <x:t xml:space="preserve">Collected</x:t>
        </x:is>
      </x:c>
      <x:c r="C140" s="81" t="inlineStr">
        <x:is>
          <x:t xml:space="preserve">Nội tâm &amp; hiểu mình</x:t>
        </x:is>
      </x:c>
      <x:c r="D140" s="81" t="inlineStr">
        <x:is>
          <x:t xml:space="preserve">Day 2 / Laozi 21–50</x:t>
        </x:is>
      </x:c>
      <x:c r="E140" s="81" t="n"/>
      <x:c r="F140" s="81" t="inlineStr">
        <x:is>
          <x:t xml:space="preserve">Phân tích nhiều phần không thay thế được cái nhìn toàn thể</x:t>
        </x:is>
      </x:c>
      <x:c r="G140" s="81" t="inlineStr">
        <x:is>
          <x:t xml:space="preserve">Systems</x:t>
        </x:is>
      </x:c>
      <x:c r="H140" s="81" t="n"/>
      <x:c r="I140" s="81" t="n"/>
      <x:c r="J140" s="81" t="n"/>
      <x:c r="K140" s="81" t="inlineStr">
        <x:is>
          <x:t xml:space="preserve">Distinguish</x:t>
        </x:is>
      </x:c>
      <x:c r="L140" s="81" t="n"/>
      <x:c r="M140" s="81" t="inlineStr">
        <x:is>
          <x:t xml:space="preserve">Trích đoạn triết học</x:t>
        </x:is>
      </x:c>
      <x:c r="N140" s="81" t="inlineStr">
        <x:is>
          <x:t xml:space="preserve">故致數輿無輿。不欲琭琭如玉，珞珞如石。</x:t>
        </x:is>
      </x:c>
      <x:c r="O140" s="81" t="inlineStr">
        <x:is>
          <x:t xml:space="preserve">Classical Chinese (文言文)</x:t>
        </x:is>
      </x:c>
      <x:c r="P140" s="81" t="inlineStr">
        <x:is>
          <x:t xml:space="preserve">Chia chiếc xe thành quá nhiều bộ phận thì có thể không còn thấy chiếc xe; không nhất thiết phải luôn bóng như ngọc hay thô như đá.</x:t>
        </x:is>
      </x:c>
      <x:c r="Q140" s="81" t="inlineStr">
        <x:is>
          <x:t xml:space="preserve">Laozi / 老子</x:t>
        </x:is>
      </x:c>
      <x:c r="R140" s="81" t="inlineStr">
        <x:is>
          <x:t xml:space="preserve">Taoism</x:t>
        </x:is>
      </x:c>
      <x:c r="S140" s="81" t="inlineStr">
        <x:is>
          <x:t xml:space="preserve">道德經 / Tao Te Ching</x:t>
        </x:is>
      </x:c>
      <x:c r="T140" s="81" t="inlineStr">
        <x:is>
          <x:t xml:space="preserve">Chapter 39</x:t>
        </x:is>
      </x:c>
      <x:c r="U140" s="81" t="inlineStr">
        <x:is>
          <x:t xml:space="preserve">https://zh.wikisource.org/zh-hant/%E9%81%93%E5%BE%B7%E7%B6%93_%28%E7%8E%8B%E5%BC%BC%E6%9C%AC%29</x:t>
        </x:is>
      </x:c>
      <x:c r="V140" s="81" t="inlineStr">
        <x:is>
          <x:t xml:space="preserve">Primary text</x:t>
        </x:is>
      </x:c>
      <x:c r="W140" s="81" t="inlineStr">
        <x:is>
          <x:t xml:space="preserve">Working translation</x:t>
        </x:is>
      </x:c>
      <x:c r="X140" s="81" t="inlineStr">
        <x:is>
          <x:t xml:space="preserve">A - Primary source</x:t>
        </x:is>
      </x:c>
      <x:c r="Y140" s="81" t="inlineStr">
        <x:is>
          <x:t xml:space="preserve">Original Chinese checked against Wang Bi recension; Vietnamese is Selflo working translation, not a published translation.</x:t>
        </x:is>
      </x:c>
      <x:c r="Z140" s="81" t="inlineStr">
        <x:is>
          <x:t xml:space="preserve">Public domain / likely</x:t>
        </x:is>
      </x:c>
      <x:c r="AA140" s="81" t="inlineStr">
        <x:is>
          <x:t xml:space="preserve">Ancient source text. Verify jurisdiction/edition before commercial publication.</x:t>
        </x:is>
      </x:c>
      <x:c r="AB140" s="81" t="inlineStr">
        <x:is>
          <x:t xml:space="preserve">High</x:t>
        </x:is>
      </x:c>
      <x:c r="AC140" s="81" t="inlineStr">
        <x:is>
          <x:t xml:space="preserve">Excellent for architecture/AI reasoning; textual nuance.</x:t>
        </x:is>
      </x:c>
      <x:c r="AD140" s="81" t="inlineStr">
        <x:is>
          <x:t xml:space="preserve">Needs editorial review</x:t>
        </x:is>
      </x:c>
      <x:c r="AE140" s="81" t="inlineStr">
        <x:is>
          <x:t xml:space="preserve">Needs semantic dedupe review</x:t>
        </x:is>
      </x:c>
      <x:c r="AF140" s="81" t="n"/>
      <x:c r="AG140" s="81" t="n"/>
      <x:c r="AH140" s="81" t="inlineStr">
        <x:is>
          <x:t xml:space="preserve">No</x:t>
        </x:is>
      </x:c>
      <x:c r="AI140" s="81" t="inlineStr">
        <x:is>
          <x:t xml:space="preserve">Not reviewed</x:t>
        </x:is>
      </x:c>
      <x:c r="AJ140" s="81" t="inlineStr">
        <x:is>
          <x:t xml:space="preserve">Research only</x:t>
        </x:is>
      </x:c>
      <x:c r="AK140" s="81" t="inlineStr">
        <x:is>
          <x:t xml:space="preserve">Research Pool</x:t>
        </x:is>
      </x:c>
      <x:c r="AL140" s="81" t="n">
        <x:v>2</x:v>
      </x:c>
      <x:c r="AM140" s="81" t="inlineStr">
        <x:is>
          <x:t xml:space="preserve">ChatGPT research</x:t>
        </x:is>
      </x:c>
      <x:c r="AN140" s="81" t="inlineStr">
        <x:is>
          <x:t xml:space="preserve">2026-09-18</x:t>
        </x:is>
      </x:c>
      <x:c r="AO140" s="81" t="inlineStr">
        <x:is>
          <x:t xml:space="preserve">Day 2 full-scope audit, chapters 21–50.</x:t>
        </x:is>
      </x:c>
      <x:c r="AP140" s="81" t="n"/>
      <x:c r="AQ140" s="81" t="n"/>
    </x:row>
    <x:row r="141">
      <x:c r="A141" s="81" t="inlineStr">
        <x:is>
          <x:t xml:space="preserve">research.laozi.day2.ch40.077</x:t>
        </x:is>
      </x:c>
      <x:c r="B141" s="81" t="inlineStr">
        <x:is>
          <x:t xml:space="preserve">Collected</x:t>
        </x:is>
      </x:c>
      <x:c r="C141" s="81" t="inlineStr">
        <x:is>
          <x:t xml:space="preserve">Nội tâm &amp; hiểu mình</x:t>
        </x:is>
      </x:c>
      <x:c r="D141" s="81" t="inlineStr">
        <x:is>
          <x:t xml:space="preserve">Day 2 / Laozi 21–50</x:t>
        </x:is>
      </x:c>
      <x:c r="E141" s="81" t="n"/>
      <x:c r="F141" s="81" t="inlineStr">
        <x:is>
          <x:t xml:space="preserve">Trở lại và mềm đi cũng có thể là chuyển động</x:t>
        </x:is>
      </x:c>
      <x:c r="G141" s="81" t="inlineStr">
        <x:is>
          <x:t xml:space="preserve">Change</x:t>
        </x:is>
      </x:c>
      <x:c r="H141" s="81" t="n"/>
      <x:c r="I141" s="81" t="n"/>
      <x:c r="J141" s="81" t="n"/>
      <x:c r="K141" s="81" t="inlineStr">
        <x:is>
          <x:t xml:space="preserve">Reframe</x:t>
        </x:is>
      </x:c>
      <x:c r="L141" s="81" t="n"/>
      <x:c r="M141" s="81" t="inlineStr">
        <x:is>
          <x:t xml:space="preserve">Trích đoạn triết học</x:t>
        </x:is>
      </x:c>
      <x:c r="N141" s="81" t="inlineStr">
        <x:is>
          <x:t xml:space="preserve">反者道之動，弱者道之用。</x:t>
        </x:is>
      </x:c>
      <x:c r="O141" s="81" t="inlineStr">
        <x:is>
          <x:t xml:space="preserve">Classical Chinese (文言文)</x:t>
        </x:is>
      </x:c>
      <x:c r="P141" s="81" t="inlineStr">
        <x:is>
          <x:t xml:space="preserve">Trở lại là chuyển động của Đạo; mềm/yếu là cách Đạo vận hành.</x:t>
        </x:is>
      </x:c>
      <x:c r="Q141" s="81" t="inlineStr">
        <x:is>
          <x:t xml:space="preserve">Laozi / 老子</x:t>
        </x:is>
      </x:c>
      <x:c r="R141" s="81" t="inlineStr">
        <x:is>
          <x:t xml:space="preserve">Taoism</x:t>
        </x:is>
      </x:c>
      <x:c r="S141" s="81" t="inlineStr">
        <x:is>
          <x:t xml:space="preserve">道德經 / Tao Te Ching</x:t>
        </x:is>
      </x:c>
      <x:c r="T141" s="81" t="inlineStr">
        <x:is>
          <x:t xml:space="preserve">Chapter 40</x:t>
        </x:is>
      </x:c>
      <x:c r="U141" s="81" t="inlineStr">
        <x:is>
          <x:t xml:space="preserve">https://zh.wikisource.org/zh-hant/%E9%81%93%E5%BE%B7%E7%B6%93_%28%E7%8E%8B%E5%BC%BC%E6%9C%AC%29</x:t>
        </x:is>
      </x:c>
      <x:c r="V141" s="81" t="inlineStr">
        <x:is>
          <x:t xml:space="preserve">Primary text</x:t>
        </x:is>
      </x:c>
      <x:c r="W141" s="81" t="inlineStr">
        <x:is>
          <x:t xml:space="preserve">Working translation</x:t>
        </x:is>
      </x:c>
      <x:c r="X141" s="81" t="inlineStr">
        <x:is>
          <x:t xml:space="preserve">A - Primary source</x:t>
        </x:is>
      </x:c>
      <x:c r="Y141" s="81" t="inlineStr">
        <x:is>
          <x:t xml:space="preserve">Original Chinese checked against Wang Bi recension; Vietnamese is Selflo working translation, not a published translation.</x:t>
        </x:is>
      </x:c>
      <x:c r="Z141" s="81" t="inlineStr">
        <x:is>
          <x:t xml:space="preserve">Public domain / likely</x:t>
        </x:is>
      </x:c>
      <x:c r="AA141" s="81" t="inlineStr">
        <x:is>
          <x:t xml:space="preserve">Ancient source text. Verify jurisdiction/edition before commercial publication.</x:t>
        </x:is>
      </x:c>
      <x:c r="AB141" s="81" t="inlineStr">
        <x:is>
          <x:t xml:space="preserve">High</x:t>
        </x:is>
      </x:c>
      <x:c r="AC141" s="81" t="inlineStr">
        <x:is>
          <x:t xml:space="preserve">Core.</x:t>
        </x:is>
      </x:c>
      <x:c r="AD141" s="81" t="inlineStr">
        <x:is>
          <x:t xml:space="preserve">Needs editorial review</x:t>
        </x:is>
      </x:c>
      <x:c r="AE141" s="81" t="inlineStr">
        <x:is>
          <x:t xml:space="preserve">Needs semantic dedupe review</x:t>
        </x:is>
      </x:c>
      <x:c r="AF141" s="81" t="n"/>
      <x:c r="AG141" s="81" t="n"/>
      <x:c r="AH141" s="81" t="inlineStr">
        <x:is>
          <x:t xml:space="preserve">No</x:t>
        </x:is>
      </x:c>
      <x:c r="AI141" s="81" t="inlineStr">
        <x:is>
          <x:t xml:space="preserve">Not reviewed</x:t>
        </x:is>
      </x:c>
      <x:c r="AJ141" s="81" t="inlineStr">
        <x:is>
          <x:t xml:space="preserve">Research only</x:t>
        </x:is>
      </x:c>
      <x:c r="AK141" s="81" t="inlineStr">
        <x:is>
          <x:t xml:space="preserve">Research Pool</x:t>
        </x:is>
      </x:c>
      <x:c r="AL141" s="81" t="n">
        <x:v>2</x:v>
      </x:c>
      <x:c r="AM141" s="81" t="inlineStr">
        <x:is>
          <x:t xml:space="preserve">ChatGPT research</x:t>
        </x:is>
      </x:c>
      <x:c r="AN141" s="81" t="inlineStr">
        <x:is>
          <x:t xml:space="preserve">2026-09-18</x:t>
        </x:is>
      </x:c>
      <x:c r="AO141" s="81" t="inlineStr">
        <x:is>
          <x:t xml:space="preserve">Day 2 full-scope audit, chapters 21–50.</x:t>
        </x:is>
      </x:c>
      <x:c r="AP141" s="81" t="n"/>
      <x:c r="AQ141" s="81" t="n"/>
    </x:row>
    <x:row r="142">
      <x:c r="A142" s="81" t="inlineStr">
        <x:is>
          <x:t xml:space="preserve">research.laozi.day2.ch40.078</x:t>
        </x:is>
      </x:c>
      <x:c r="B142" s="81" t="inlineStr">
        <x:is>
          <x:t xml:space="preserve">Collected</x:t>
        </x:is>
      </x:c>
      <x:c r="C142" s="81" t="inlineStr">
        <x:is>
          <x:t xml:space="preserve">Nội tâm &amp; hiểu mình</x:t>
        </x:is>
      </x:c>
      <x:c r="D142" s="81" t="inlineStr">
        <x:is>
          <x:t xml:space="preserve">Day 2 / Laozi 21–50</x:t>
        </x:is>
      </x:c>
      <x:c r="E142" s="81" t="n"/>
      <x:c r="F142" s="81" t="inlineStr">
        <x:is>
          <x:t xml:space="preserve">Cái hiện hữu và khoảng trống không tách rời tuyệt đối</x:t>
        </x:is>
      </x:c>
      <x:c r="G142" s="81" t="inlineStr">
        <x:is>
          <x:t xml:space="preserve">Enoughness</x:t>
        </x:is>
      </x:c>
      <x:c r="H142" s="81" t="n"/>
      <x:c r="I142" s="81" t="n"/>
      <x:c r="J142" s="81" t="n"/>
      <x:c r="K142" s="81" t="inlineStr">
        <x:is>
          <x:t xml:space="preserve">Reframe</x:t>
        </x:is>
      </x:c>
      <x:c r="L142" s="81" t="n"/>
      <x:c r="M142" s="81" t="inlineStr">
        <x:is>
          <x:t xml:space="preserve">Trích đoạn triết học</x:t>
        </x:is>
      </x:c>
      <x:c r="N142" s="81" t="inlineStr">
        <x:is>
          <x:t xml:space="preserve">天下萬物生於有，有生於無。</x:t>
        </x:is>
      </x:c>
      <x:c r="O142" s="81" t="inlineStr">
        <x:is>
          <x:t xml:space="preserve">Classical Chinese (文言文)</x:t>
        </x:is>
      </x:c>
      <x:c r="P142" s="81" t="inlineStr">
        <x:is>
          <x:t xml:space="preserve">Muôn vật sinh từ cái có; cái có lại được nói là sinh từ cái không.</x:t>
        </x:is>
      </x:c>
      <x:c r="Q142" s="81" t="inlineStr">
        <x:is>
          <x:t xml:space="preserve">Laozi / 老子</x:t>
        </x:is>
      </x:c>
      <x:c r="R142" s="81" t="inlineStr">
        <x:is>
          <x:t xml:space="preserve">Taoism</x:t>
        </x:is>
      </x:c>
      <x:c r="S142" s="81" t="inlineStr">
        <x:is>
          <x:t xml:space="preserve">道德經 / Tao Te Ching</x:t>
        </x:is>
      </x:c>
      <x:c r="T142" s="81" t="inlineStr">
        <x:is>
          <x:t xml:space="preserve">Chapter 40</x:t>
        </x:is>
      </x:c>
      <x:c r="U142" s="81" t="inlineStr">
        <x:is>
          <x:t xml:space="preserve">https://zh.wikisource.org/zh-hant/%E9%81%93%E5%BE%B7%E7%B6%93_%28%E7%8E%8B%E5%BC%BC%E6%9C%AC%29</x:t>
        </x:is>
      </x:c>
      <x:c r="V142" s="81" t="inlineStr">
        <x:is>
          <x:t xml:space="preserve">Primary text</x:t>
        </x:is>
      </x:c>
      <x:c r="W142" s="81" t="inlineStr">
        <x:is>
          <x:t xml:space="preserve">Working translation</x:t>
        </x:is>
      </x:c>
      <x:c r="X142" s="81" t="inlineStr">
        <x:is>
          <x:t xml:space="preserve">A - Primary source</x:t>
        </x:is>
      </x:c>
      <x:c r="Y142" s="81" t="inlineStr">
        <x:is>
          <x:t xml:space="preserve">Original Chinese checked against Wang Bi recension; Vietnamese is Selflo working translation, not a published translation.</x:t>
        </x:is>
      </x:c>
      <x:c r="Z142" s="81" t="inlineStr">
        <x:is>
          <x:t xml:space="preserve">Public domain / likely</x:t>
        </x:is>
      </x:c>
      <x:c r="AA142" s="81" t="inlineStr">
        <x:is>
          <x:t xml:space="preserve">Ancient source text. Verify jurisdiction/edition before commercial publication.</x:t>
        </x:is>
      </x:c>
      <x:c r="AB142" s="81" t="inlineStr">
        <x:is>
          <x:t xml:space="preserve">High</x:t>
        </x:is>
      </x:c>
      <x:c r="AC142" s="81" t="inlineStr">
        <x:is>
          <x:t xml:space="preserve">Links ch11.</x:t>
        </x:is>
      </x:c>
      <x:c r="AD142" s="81" t="inlineStr">
        <x:is>
          <x:t xml:space="preserve">Needs editorial review</x:t>
        </x:is>
      </x:c>
      <x:c r="AE142" s="81" t="inlineStr">
        <x:is>
          <x:t xml:space="preserve">Needs semantic dedupe review</x:t>
        </x:is>
      </x:c>
      <x:c r="AF142" s="81" t="n"/>
      <x:c r="AG142" s="81" t="n"/>
      <x:c r="AH142" s="81" t="inlineStr">
        <x:is>
          <x:t xml:space="preserve">No</x:t>
        </x:is>
      </x:c>
      <x:c r="AI142" s="81" t="inlineStr">
        <x:is>
          <x:t xml:space="preserve">Not reviewed</x:t>
        </x:is>
      </x:c>
      <x:c r="AJ142" s="81" t="inlineStr">
        <x:is>
          <x:t xml:space="preserve">Research only</x:t>
        </x:is>
      </x:c>
      <x:c r="AK142" s="81" t="inlineStr">
        <x:is>
          <x:t xml:space="preserve">Research Pool</x:t>
        </x:is>
      </x:c>
      <x:c r="AL142" s="81" t="n">
        <x:v>2</x:v>
      </x:c>
      <x:c r="AM142" s="81" t="inlineStr">
        <x:is>
          <x:t xml:space="preserve">ChatGPT research</x:t>
        </x:is>
      </x:c>
      <x:c r="AN142" s="81" t="inlineStr">
        <x:is>
          <x:t xml:space="preserve">2026-09-18</x:t>
        </x:is>
      </x:c>
      <x:c r="AO142" s="81" t="inlineStr">
        <x:is>
          <x:t xml:space="preserve">Day 2 full-scope audit, chapters 21–50.</x:t>
        </x:is>
      </x:c>
      <x:c r="AP142" s="81" t="n"/>
      <x:c r="AQ142" s="81" t="n"/>
    </x:row>
    <x:row r="143">
      <x:c r="A143" s="81" t="inlineStr">
        <x:is>
          <x:t xml:space="preserve">research.laozi.day2.ch41.079</x:t>
        </x:is>
      </x:c>
      <x:c r="B143" s="81" t="inlineStr">
        <x:is>
          <x:t xml:space="preserve">Collected</x:t>
        </x:is>
      </x:c>
      <x:c r="C143" s="81" t="inlineStr">
        <x:is>
          <x:t xml:space="preserve">Nội tâm &amp; hiểu mình</x:t>
        </x:is>
      </x:c>
      <x:c r="D143" s="81" t="inlineStr">
        <x:is>
          <x:t xml:space="preserve">Day 2 / Laozi 21–50</x:t>
        </x:is>
      </x:c>
      <x:c r="E143" s="81" t="n"/>
      <x:c r="F143" s="81" t="inlineStr">
        <x:is>
          <x:t xml:space="preserve">Một thông điệp không tạo cùng phản ứng ở mọi người</x:t>
        </x:is>
      </x:c>
      <x:c r="G143" s="81" t="inlineStr">
        <x:is>
          <x:t xml:space="preserve">Context</x:t>
        </x:is>
      </x:c>
      <x:c r="H143" s="81" t="n"/>
      <x:c r="I143" s="81" t="n"/>
      <x:c r="J143" s="81" t="n"/>
      <x:c r="K143" s="81" t="inlineStr">
        <x:is>
          <x:t xml:space="preserve">Recognize</x:t>
        </x:is>
      </x:c>
      <x:c r="L143" s="81" t="n"/>
      <x:c r="M143" s="81" t="inlineStr">
        <x:is>
          <x:t xml:space="preserve">Trích đoạn triết học</x:t>
        </x:is>
      </x:c>
      <x:c r="N143" s="81" t="inlineStr">
        <x:is>
          <x:t xml:space="preserve">上士聞道，勤而行之；中士聞道，若存若亡；下士聞道，大笑之。</x:t>
        </x:is>
      </x:c>
      <x:c r="O143" s="81" t="inlineStr">
        <x:is>
          <x:t xml:space="preserve">Classical Chinese (文言文)</x:t>
        </x:is>
      </x:c>
      <x:c r="P143" s="81" t="inlineStr">
        <x:is>
          <x:t xml:space="preserve">Cùng một điều, người khác nhau có thể nghe và đáp lại rất khác nhau.</x:t>
        </x:is>
      </x:c>
      <x:c r="Q143" s="81" t="inlineStr">
        <x:is>
          <x:t xml:space="preserve">Laozi / 老子</x:t>
        </x:is>
      </x:c>
      <x:c r="R143" s="81" t="inlineStr">
        <x:is>
          <x:t xml:space="preserve">Taoism</x:t>
        </x:is>
      </x:c>
      <x:c r="S143" s="81" t="inlineStr">
        <x:is>
          <x:t xml:space="preserve">道德經 / Tao Te Ching</x:t>
        </x:is>
      </x:c>
      <x:c r="T143" s="81" t="inlineStr">
        <x:is>
          <x:t xml:space="preserve">Chapter 41</x:t>
        </x:is>
      </x:c>
      <x:c r="U143" s="81" t="inlineStr">
        <x:is>
          <x:t xml:space="preserve">https://zh.wikisource.org/zh-hant/%E9%81%93%E5%BE%B7%E7%B6%93_%28%E7%8E%8B%E5%BC%BC%E6%9C%AC%29</x:t>
        </x:is>
      </x:c>
      <x:c r="V143" s="81" t="inlineStr">
        <x:is>
          <x:t xml:space="preserve">Primary text</x:t>
        </x:is>
      </x:c>
      <x:c r="W143" s="81" t="inlineStr">
        <x:is>
          <x:t xml:space="preserve">Working translation</x:t>
        </x:is>
      </x:c>
      <x:c r="X143" s="81" t="inlineStr">
        <x:is>
          <x:t xml:space="preserve">A - Primary source</x:t>
        </x:is>
      </x:c>
      <x:c r="Y143" s="81" t="inlineStr">
        <x:is>
          <x:t xml:space="preserve">Original Chinese checked against Wang Bi recension; Vietnamese is Selflo working translation, not a published translation.</x:t>
        </x:is>
      </x:c>
      <x:c r="Z143" s="81" t="inlineStr">
        <x:is>
          <x:t xml:space="preserve">Public domain / likely</x:t>
        </x:is>
      </x:c>
      <x:c r="AA143" s="81" t="inlineStr">
        <x:is>
          <x:t xml:space="preserve">Ancient source text. Verify jurisdiction/edition before commercial publication.</x:t>
        </x:is>
      </x:c>
      <x:c r="AB143" s="81" t="inlineStr">
        <x:is>
          <x:t xml:space="preserve">High</x:t>
        </x:is>
      </x:c>
      <x:c r="AC143" s="81" t="inlineStr">
        <x:is>
          <x:t xml:space="preserve">Personalization/non-universal.</x:t>
        </x:is>
      </x:c>
      <x:c r="AD143" s="81" t="inlineStr">
        <x:is>
          <x:t xml:space="preserve">Needs editorial review</x:t>
        </x:is>
      </x:c>
      <x:c r="AE143" s="81" t="inlineStr">
        <x:is>
          <x:t xml:space="preserve">Needs semantic dedupe review</x:t>
        </x:is>
      </x:c>
      <x:c r="AF143" s="81" t="n"/>
      <x:c r="AG143" s="81" t="n"/>
      <x:c r="AH143" s="81" t="inlineStr">
        <x:is>
          <x:t xml:space="preserve">No</x:t>
        </x:is>
      </x:c>
      <x:c r="AI143" s="81" t="inlineStr">
        <x:is>
          <x:t xml:space="preserve">Not reviewed</x:t>
        </x:is>
      </x:c>
      <x:c r="AJ143" s="81" t="inlineStr">
        <x:is>
          <x:t xml:space="preserve">Research only</x:t>
        </x:is>
      </x:c>
      <x:c r="AK143" s="81" t="inlineStr">
        <x:is>
          <x:t xml:space="preserve">Research Pool</x:t>
        </x:is>
      </x:c>
      <x:c r="AL143" s="81" t="n">
        <x:v>2</x:v>
      </x:c>
      <x:c r="AM143" s="81" t="inlineStr">
        <x:is>
          <x:t xml:space="preserve">ChatGPT research</x:t>
        </x:is>
      </x:c>
      <x:c r="AN143" s="81" t="inlineStr">
        <x:is>
          <x:t xml:space="preserve">2026-09-18</x:t>
        </x:is>
      </x:c>
      <x:c r="AO143" s="81" t="inlineStr">
        <x:is>
          <x:t xml:space="preserve">Day 2 full-scope audit, chapters 21–50.</x:t>
        </x:is>
      </x:c>
      <x:c r="AP143" s="81" t="n"/>
      <x:c r="AQ143" s="81" t="n"/>
    </x:row>
    <x:row r="144">
      <x:c r="A144" s="81" t="inlineStr">
        <x:is>
          <x:t xml:space="preserve">research.laozi.day2.ch41.080</x:t>
        </x:is>
      </x:c>
      <x:c r="B144" s="81" t="inlineStr">
        <x:is>
          <x:t xml:space="preserve">Collected</x:t>
        </x:is>
      </x:c>
      <x:c r="C144" s="81" t="inlineStr">
        <x:is>
          <x:t xml:space="preserve">Nội tâm &amp; hiểu mình</x:t>
        </x:is>
      </x:c>
      <x:c r="D144" s="81" t="inlineStr">
        <x:is>
          <x:t xml:space="preserve">Day 2 / Laozi 21–50</x:t>
        </x:is>
      </x:c>
      <x:c r="E144" s="81" t="n"/>
      <x:c r="F144" s="81" t="inlineStr">
        <x:is>
          <x:t xml:space="preserve">Tiến bộ không phải lúc nào trông giống tiến bộ</x:t>
        </x:is>
      </x:c>
      <x:c r="G144" s="81" t="inlineStr">
        <x:is>
          <x:t xml:space="preserve">Growth</x:t>
        </x:is>
      </x:c>
      <x:c r="H144" s="81" t="n"/>
      <x:c r="I144" s="81" t="n"/>
      <x:c r="J144" s="81" t="n"/>
      <x:c r="K144" s="81" t="inlineStr">
        <x:is>
          <x:t xml:space="preserve">Reframe</x:t>
        </x:is>
      </x:c>
      <x:c r="L144" s="81" t="n"/>
      <x:c r="M144" s="81" t="inlineStr">
        <x:is>
          <x:t xml:space="preserve">Trích đoạn triết học</x:t>
        </x:is>
      </x:c>
      <x:c r="N144" s="81" t="inlineStr">
        <x:is>
          <x:t xml:space="preserve">明道若昧，進道若退，夷道若纇。</x:t>
        </x:is>
      </x:c>
      <x:c r="O144" s="81" t="inlineStr">
        <x:is>
          <x:t xml:space="preserve">Classical Chinese (文言文)</x:t>
        </x:is>
      </x:c>
      <x:c r="P144" s="81" t="inlineStr">
        <x:is>
          <x:t xml:space="preserve">Con đường sáng có lúc trông như tối; tiến có lúc trông như lùi; đường phẳng có lúc trông gồ ghề.</x:t>
        </x:is>
      </x:c>
      <x:c r="Q144" s="81" t="inlineStr">
        <x:is>
          <x:t xml:space="preserve">Laozi / 老子</x:t>
        </x:is>
      </x:c>
      <x:c r="R144" s="81" t="inlineStr">
        <x:is>
          <x:t xml:space="preserve">Taoism</x:t>
        </x:is>
      </x:c>
      <x:c r="S144" s="81" t="inlineStr">
        <x:is>
          <x:t xml:space="preserve">道德經 / Tao Te Ching</x:t>
        </x:is>
      </x:c>
      <x:c r="T144" s="81" t="inlineStr">
        <x:is>
          <x:t xml:space="preserve">Chapter 41</x:t>
        </x:is>
      </x:c>
      <x:c r="U144" s="81" t="inlineStr">
        <x:is>
          <x:t xml:space="preserve">https://zh.wikisource.org/zh-hant/%E9%81%93%E5%BE%B7%E7%B6%93_%28%E7%8E%8B%E5%BC%BC%E6%9C%AC%29</x:t>
        </x:is>
      </x:c>
      <x:c r="V144" s="81" t="inlineStr">
        <x:is>
          <x:t xml:space="preserve">Primary text</x:t>
        </x:is>
      </x:c>
      <x:c r="W144" s="81" t="inlineStr">
        <x:is>
          <x:t xml:space="preserve">Working translation</x:t>
        </x:is>
      </x:c>
      <x:c r="X144" s="81" t="inlineStr">
        <x:is>
          <x:t xml:space="preserve">A - Primary source</x:t>
        </x:is>
      </x:c>
      <x:c r="Y144" s="81" t="inlineStr">
        <x:is>
          <x:t xml:space="preserve">Original Chinese checked against Wang Bi recension; Vietnamese is Selflo working translation, not a published translation.</x:t>
        </x:is>
      </x:c>
      <x:c r="Z144" s="81" t="inlineStr">
        <x:is>
          <x:t xml:space="preserve">Public domain / likely</x:t>
        </x:is>
      </x:c>
      <x:c r="AA144" s="81" t="inlineStr">
        <x:is>
          <x:t xml:space="preserve">Ancient source text. Verify jurisdiction/edition before commercial publication.</x:t>
        </x:is>
      </x:c>
      <x:c r="AB144" s="81" t="inlineStr">
        <x:is>
          <x:t xml:space="preserve">High</x:t>
        </x:is>
      </x:c>
      <x:c r="AC144" s="81" t="inlineStr">
        <x:is>
          <x:t xml:space="preserve">Very Selflo.</x:t>
        </x:is>
      </x:c>
      <x:c r="AD144" s="81" t="inlineStr">
        <x:is>
          <x:t xml:space="preserve">Needs editorial review</x:t>
        </x:is>
      </x:c>
      <x:c r="AE144" s="81" t="inlineStr">
        <x:is>
          <x:t xml:space="preserve">Needs semantic dedupe review</x:t>
        </x:is>
      </x:c>
      <x:c r="AF144" s="81" t="n"/>
      <x:c r="AG144" s="81" t="n"/>
      <x:c r="AH144" s="81" t="inlineStr">
        <x:is>
          <x:t xml:space="preserve">No</x:t>
        </x:is>
      </x:c>
      <x:c r="AI144" s="81" t="inlineStr">
        <x:is>
          <x:t xml:space="preserve">Not reviewed</x:t>
        </x:is>
      </x:c>
      <x:c r="AJ144" s="81" t="inlineStr">
        <x:is>
          <x:t xml:space="preserve">Research only</x:t>
        </x:is>
      </x:c>
      <x:c r="AK144" s="81" t="inlineStr">
        <x:is>
          <x:t xml:space="preserve">Research Pool</x:t>
        </x:is>
      </x:c>
      <x:c r="AL144" s="81" t="n">
        <x:v>2</x:v>
      </x:c>
      <x:c r="AM144" s="81" t="inlineStr">
        <x:is>
          <x:t xml:space="preserve">ChatGPT research</x:t>
        </x:is>
      </x:c>
      <x:c r="AN144" s="81" t="inlineStr">
        <x:is>
          <x:t xml:space="preserve">2026-09-18</x:t>
        </x:is>
      </x:c>
      <x:c r="AO144" s="81" t="inlineStr">
        <x:is>
          <x:t xml:space="preserve">Day 2 full-scope audit, chapters 21–50.</x:t>
        </x:is>
      </x:c>
      <x:c r="AP144" s="81" t="n"/>
      <x:c r="AQ144" s="81" t="n"/>
    </x:row>
    <x:row r="145">
      <x:c r="A145" s="81" t="inlineStr">
        <x:is>
          <x:t xml:space="preserve">research.laozi.day2.ch41.081</x:t>
        </x:is>
      </x:c>
      <x:c r="B145" s="81" t="inlineStr">
        <x:is>
          <x:t xml:space="preserve">Collected</x:t>
        </x:is>
      </x:c>
      <x:c r="C145" s="81" t="inlineStr">
        <x:is>
          <x:t xml:space="preserve">Nội tâm &amp; hiểu mình</x:t>
        </x:is>
      </x:c>
      <x:c r="D145" s="81" t="inlineStr">
        <x:is>
          <x:t xml:space="preserve">Day 2 / Laozi 21–50</x:t>
        </x:is>
      </x:c>
      <x:c r="E145" s="81" t="n"/>
      <x:c r="F145" s="81" t="inlineStr">
        <x:is>
          <x:t xml:space="preserve">Bề ngoài không luôn phản ánh chiều sâu</x:t>
        </x:is>
      </x:c>
      <x:c r="G145" s="81" t="inlineStr">
        <x:is>
          <x:t xml:space="preserve">Self-worth</x:t>
        </x:is>
      </x:c>
      <x:c r="H145" s="81" t="n"/>
      <x:c r="I145" s="81" t="n"/>
      <x:c r="J145" s="81" t="n"/>
      <x:c r="K145" s="81" t="inlineStr">
        <x:is>
          <x:t xml:space="preserve">Reframe</x:t>
        </x:is>
      </x:c>
      <x:c r="L145" s="81" t="n"/>
      <x:c r="M145" s="81" t="inlineStr">
        <x:is>
          <x:t xml:space="preserve">Trích đoạn triết học</x:t>
        </x:is>
      </x:c>
      <x:c r="N145" s="81" t="inlineStr">
        <x:is>
          <x:t xml:space="preserve">上德若谷，大白若辱，廣德若不足。</x:t>
        </x:is>
      </x:c>
      <x:c r="O145" s="81" t="inlineStr">
        <x:is>
          <x:t xml:space="preserve">Classical Chinese (文言文)</x:t>
        </x:is>
      </x:c>
      <x:c r="P145" s="81" t="inlineStr">
        <x:is>
          <x:t xml:space="preserve">Đức lớn có thể trông như thung lũng; cái rất sáng có thể trông như bị hạ; cái rộng có thể trông như còn thiếu.</x:t>
        </x:is>
      </x:c>
      <x:c r="Q145" s="81" t="inlineStr">
        <x:is>
          <x:t xml:space="preserve">Laozi / 老子</x:t>
        </x:is>
      </x:c>
      <x:c r="R145" s="81" t="inlineStr">
        <x:is>
          <x:t xml:space="preserve">Taoism</x:t>
        </x:is>
      </x:c>
      <x:c r="S145" s="81" t="inlineStr">
        <x:is>
          <x:t xml:space="preserve">道德經 / Tao Te Ching</x:t>
        </x:is>
      </x:c>
      <x:c r="T145" s="81" t="inlineStr">
        <x:is>
          <x:t xml:space="preserve">Chapter 41</x:t>
        </x:is>
      </x:c>
      <x:c r="U145" s="81" t="inlineStr">
        <x:is>
          <x:t xml:space="preserve">https://zh.wikisource.org/zh-hant/%E9%81%93%E5%BE%B7%E7%B6%93_%28%E7%8E%8B%E5%BC%BC%E6%9C%AC%29</x:t>
        </x:is>
      </x:c>
      <x:c r="V145" s="81" t="inlineStr">
        <x:is>
          <x:t xml:space="preserve">Primary text</x:t>
        </x:is>
      </x:c>
      <x:c r="W145" s="81" t="inlineStr">
        <x:is>
          <x:t xml:space="preserve">Working translation</x:t>
        </x:is>
      </x:c>
      <x:c r="X145" s="81" t="inlineStr">
        <x:is>
          <x:t xml:space="preserve">A - Primary source</x:t>
        </x:is>
      </x:c>
      <x:c r="Y145" s="81" t="inlineStr">
        <x:is>
          <x:t xml:space="preserve">Original Chinese checked against Wang Bi recension; Vietnamese is Selflo working translation, not a published translation.</x:t>
        </x:is>
      </x:c>
      <x:c r="Z145" s="81" t="inlineStr">
        <x:is>
          <x:t xml:space="preserve">Public domain / likely</x:t>
        </x:is>
      </x:c>
      <x:c r="AA145" s="81" t="inlineStr">
        <x:is>
          <x:t xml:space="preserve">Ancient source text. Verify jurisdiction/edition before commercial publication.</x:t>
        </x:is>
      </x:c>
      <x:c r="AB145" s="81" t="inlineStr">
        <x:is>
          <x:t xml:space="preserve">High</x:t>
        </x:is>
      </x:c>
      <x:c r="AC145" s="81" t="inlineStr">
        <x:is>
          <x:t xml:space="preserve">Strong.</x:t>
        </x:is>
      </x:c>
      <x:c r="AD145" s="81" t="inlineStr">
        <x:is>
          <x:t xml:space="preserve">Needs editorial review</x:t>
        </x:is>
      </x:c>
      <x:c r="AE145" s="81" t="inlineStr">
        <x:is>
          <x:t xml:space="preserve">Needs semantic dedupe review</x:t>
        </x:is>
      </x:c>
      <x:c r="AF145" s="81" t="n"/>
      <x:c r="AG145" s="81" t="n"/>
      <x:c r="AH145" s="81" t="inlineStr">
        <x:is>
          <x:t xml:space="preserve">No</x:t>
        </x:is>
      </x:c>
      <x:c r="AI145" s="81" t="inlineStr">
        <x:is>
          <x:t xml:space="preserve">Not reviewed</x:t>
        </x:is>
      </x:c>
      <x:c r="AJ145" s="81" t="inlineStr">
        <x:is>
          <x:t xml:space="preserve">Research only</x:t>
        </x:is>
      </x:c>
      <x:c r="AK145" s="81" t="inlineStr">
        <x:is>
          <x:t xml:space="preserve">Research Pool</x:t>
        </x:is>
      </x:c>
      <x:c r="AL145" s="81" t="n">
        <x:v>2</x:v>
      </x:c>
      <x:c r="AM145" s="81" t="inlineStr">
        <x:is>
          <x:t xml:space="preserve">ChatGPT research</x:t>
        </x:is>
      </x:c>
      <x:c r="AN145" s="81" t="inlineStr">
        <x:is>
          <x:t xml:space="preserve">2026-09-18</x:t>
        </x:is>
      </x:c>
      <x:c r="AO145" s="81" t="inlineStr">
        <x:is>
          <x:t xml:space="preserve">Day 2 full-scope audit, chapters 21–50.</x:t>
        </x:is>
      </x:c>
      <x:c r="AP145" s="81" t="n"/>
      <x:c r="AQ145" s="81" t="n"/>
    </x:row>
    <x:row r="146">
      <x:c r="A146" s="81" t="inlineStr">
        <x:is>
          <x:t xml:space="preserve">research.laozi.day2.ch41.082</x:t>
        </x:is>
      </x:c>
      <x:c r="B146" s="81" t="inlineStr">
        <x:is>
          <x:t xml:space="preserve">Collected</x:t>
        </x:is>
      </x:c>
      <x:c r="C146" s="81" t="inlineStr">
        <x:is>
          <x:t xml:space="preserve">Nội tâm &amp; hiểu mình</x:t>
        </x:is>
      </x:c>
      <x:c r="D146" s="81" t="inlineStr">
        <x:is>
          <x:t xml:space="preserve">Day 2 / Laozi 21–50</x:t>
        </x:is>
      </x:c>
      <x:c r="E146" s="81" t="n"/>
      <x:c r="F146" s="81" t="inlineStr">
        <x:is>
          <x:t xml:space="preserve">Điều lớn có thể cần thời gian và không phô bày rõ</x:t>
        </x:is>
      </x:c>
      <x:c r="G146" s="81" t="inlineStr">
        <x:is>
          <x:t xml:space="preserve">Patience</x:t>
        </x:is>
      </x:c>
      <x:c r="H146" s="81" t="n"/>
      <x:c r="I146" s="81" t="n"/>
      <x:c r="J146" s="81" t="n"/>
      <x:c r="K146" s="81" t="inlineStr">
        <x:is>
          <x:t xml:space="preserve">Permit</x:t>
        </x:is>
      </x:c>
      <x:c r="L146" s="81" t="n"/>
      <x:c r="M146" s="81" t="inlineStr">
        <x:is>
          <x:t xml:space="preserve">Trích đoạn triết học</x:t>
        </x:is>
      </x:c>
      <x:c r="N146" s="81" t="inlineStr">
        <x:is>
          <x:t xml:space="preserve">大方無隅，大器晚成，大音希聲，大象無形。</x:t>
        </x:is>
      </x:c>
      <x:c r="O146" s="81" t="inlineStr">
        <x:is>
          <x:t xml:space="preserve">Classical Chinese (文言文)</x:t>
        </x:is>
      </x:c>
      <x:c r="P146" s="81" t="inlineStr">
        <x:is>
          <x:t xml:space="preserve">Hình lớn không bị giới hạn bởi góc; vật lớn thành muộn; âm lớn nghe như ít tiếng; hình lớn như không hình.</x:t>
        </x:is>
      </x:c>
      <x:c r="Q146" s="81" t="inlineStr">
        <x:is>
          <x:t xml:space="preserve">Laozi / 老子</x:t>
        </x:is>
      </x:c>
      <x:c r="R146" s="81" t="inlineStr">
        <x:is>
          <x:t xml:space="preserve">Taoism</x:t>
        </x:is>
      </x:c>
      <x:c r="S146" s="81" t="inlineStr">
        <x:is>
          <x:t xml:space="preserve">道德經 / Tao Te Ching</x:t>
        </x:is>
      </x:c>
      <x:c r="T146" s="81" t="inlineStr">
        <x:is>
          <x:t xml:space="preserve">Chapter 41</x:t>
        </x:is>
      </x:c>
      <x:c r="U146" s="81" t="inlineStr">
        <x:is>
          <x:t xml:space="preserve">https://zh.wikisource.org/zh-hant/%E9%81%93%E5%BE%B7%E7%B6%93_%28%E7%8E%8B%E5%BC%BC%E6%9C%AC%29</x:t>
        </x:is>
      </x:c>
      <x:c r="V146" s="81" t="inlineStr">
        <x:is>
          <x:t xml:space="preserve">Primary text</x:t>
        </x:is>
      </x:c>
      <x:c r="W146" s="81" t="inlineStr">
        <x:is>
          <x:t xml:space="preserve">Working translation</x:t>
        </x:is>
      </x:c>
      <x:c r="X146" s="81" t="inlineStr">
        <x:is>
          <x:t xml:space="preserve">A - Primary source</x:t>
        </x:is>
      </x:c>
      <x:c r="Y146" s="81" t="inlineStr">
        <x:is>
          <x:t xml:space="preserve">Original Chinese checked against Wang Bi recension; Vietnamese is Selflo working translation, not a published translation.</x:t>
        </x:is>
      </x:c>
      <x:c r="Z146" s="81" t="inlineStr">
        <x:is>
          <x:t xml:space="preserve">Public domain / likely</x:t>
        </x:is>
      </x:c>
      <x:c r="AA146" s="81" t="inlineStr">
        <x:is>
          <x:t xml:space="preserve">Ancient source text. Verify jurisdiction/edition before commercial publication.</x:t>
        </x:is>
      </x:c>
      <x:c r="AB146" s="81" t="inlineStr">
        <x:is>
          <x:t xml:space="preserve">High</x:t>
        </x:is>
      </x:c>
      <x:c r="AC146" s="81" t="inlineStr">
        <x:is>
          <x:t xml:space="preserve">大器晚成 textual variant famous; keep source.</x:t>
        </x:is>
      </x:c>
      <x:c r="AD146" s="81" t="inlineStr">
        <x:is>
          <x:t xml:space="preserve">Needs editorial review</x:t>
        </x:is>
      </x:c>
      <x:c r="AE146" s="81" t="inlineStr">
        <x:is>
          <x:t xml:space="preserve">Needs semantic dedupe review</x:t>
        </x:is>
      </x:c>
      <x:c r="AF146" s="81" t="n"/>
      <x:c r="AG146" s="81" t="n"/>
      <x:c r="AH146" s="81" t="inlineStr">
        <x:is>
          <x:t xml:space="preserve">No</x:t>
        </x:is>
      </x:c>
      <x:c r="AI146" s="81" t="inlineStr">
        <x:is>
          <x:t xml:space="preserve">Not reviewed</x:t>
        </x:is>
      </x:c>
      <x:c r="AJ146" s="81" t="inlineStr">
        <x:is>
          <x:t xml:space="preserve">Research only</x:t>
        </x:is>
      </x:c>
      <x:c r="AK146" s="81" t="inlineStr">
        <x:is>
          <x:t xml:space="preserve">Research Pool</x:t>
        </x:is>
      </x:c>
      <x:c r="AL146" s="81" t="n">
        <x:v>2</x:v>
      </x:c>
      <x:c r="AM146" s="81" t="inlineStr">
        <x:is>
          <x:t xml:space="preserve">ChatGPT research</x:t>
        </x:is>
      </x:c>
      <x:c r="AN146" s="81" t="inlineStr">
        <x:is>
          <x:t xml:space="preserve">2026-09-18</x:t>
        </x:is>
      </x:c>
      <x:c r="AO146" s="81" t="inlineStr">
        <x:is>
          <x:t xml:space="preserve">Day 2 full-scope audit, chapters 21–50.</x:t>
        </x:is>
      </x:c>
      <x:c r="AP146" s="81" t="n"/>
      <x:c r="AQ146" s="81" t="n"/>
    </x:row>
    <x:row r="147">
      <x:c r="A147" s="81" t="inlineStr">
        <x:is>
          <x:t xml:space="preserve">research.laozi.day2.ch41.083</x:t>
        </x:is>
      </x:c>
      <x:c r="B147" s="81" t="inlineStr">
        <x:is>
          <x:t xml:space="preserve">Collected</x:t>
        </x:is>
      </x:c>
      <x:c r="C147" s="81" t="inlineStr">
        <x:is>
          <x:t xml:space="preserve">Nội tâm &amp; hiểu mình</x:t>
        </x:is>
      </x:c>
      <x:c r="D147" s="81" t="inlineStr">
        <x:is>
          <x:t xml:space="preserve">Day 2 / Laozi 21–50</x:t>
        </x:is>
      </x:c>
      <x:c r="E147" s="81" t="n"/>
      <x:c r="F147" s="81" t="inlineStr">
        <x:is>
          <x:t xml:space="preserve">Hỗ trợ không cần chiếm vị trí trung tâm</x:t>
        </x:is>
      </x:c>
      <x:c r="G147" s="81" t="inlineStr">
        <x:is>
          <x:t xml:space="preserve">Agency</x:t>
        </x:is>
      </x:c>
      <x:c r="H147" s="81" t="n"/>
      <x:c r="I147" s="81" t="n"/>
      <x:c r="J147" s="81" t="n"/>
      <x:c r="K147" s="81" t="inlineStr">
        <x:is>
          <x:t xml:space="preserve">Return agency</x:t>
        </x:is>
      </x:c>
      <x:c r="L147" s="81" t="n"/>
      <x:c r="M147" s="81" t="inlineStr">
        <x:is>
          <x:t xml:space="preserve">Trích đoạn triết học</x:t>
        </x:is>
      </x:c>
      <x:c r="N147" s="81" t="inlineStr">
        <x:is>
          <x:t xml:space="preserve">道隱無名。夫唯道，善貸且成。</x:t>
        </x:is>
      </x:c>
      <x:c r="O147" s="81" t="inlineStr">
        <x:is>
          <x:t xml:space="preserve">Classical Chinese (文言文)</x:t>
        </x:is>
      </x:c>
      <x:c r="P147" s="81" t="inlineStr">
        <x:is>
          <x:t xml:space="preserve">Đạo ẩn và không tên; chính vì vậy nó có thể nâng đỡ sự thành hình mà không chiếm tên.</x:t>
        </x:is>
      </x:c>
      <x:c r="Q147" s="81" t="inlineStr">
        <x:is>
          <x:t xml:space="preserve">Laozi / 老子</x:t>
        </x:is>
      </x:c>
      <x:c r="R147" s="81" t="inlineStr">
        <x:is>
          <x:t xml:space="preserve">Taoism</x:t>
        </x:is>
      </x:c>
      <x:c r="S147" s="81" t="inlineStr">
        <x:is>
          <x:t xml:space="preserve">道德經 / Tao Te Ching</x:t>
        </x:is>
      </x:c>
      <x:c r="T147" s="81" t="inlineStr">
        <x:is>
          <x:t xml:space="preserve">Chapter 41</x:t>
        </x:is>
      </x:c>
      <x:c r="U147" s="81" t="inlineStr">
        <x:is>
          <x:t xml:space="preserve">https://zh.wikisource.org/zh-hant/%E9%81%93%E5%BE%B7%E7%B6%93_%28%E7%8E%8B%E5%BC%BC%E6%9C%AC%29</x:t>
        </x:is>
      </x:c>
      <x:c r="V147" s="81" t="inlineStr">
        <x:is>
          <x:t xml:space="preserve">Primary text</x:t>
        </x:is>
      </x:c>
      <x:c r="W147" s="81" t="inlineStr">
        <x:is>
          <x:t xml:space="preserve">Working translation</x:t>
        </x:is>
      </x:c>
      <x:c r="X147" s="81" t="inlineStr">
        <x:is>
          <x:t xml:space="preserve">A - Primary source</x:t>
        </x:is>
      </x:c>
      <x:c r="Y147" s="81" t="inlineStr">
        <x:is>
          <x:t xml:space="preserve">Original Chinese checked against Wang Bi recension; Vietnamese is Selflo working translation, not a published translation.</x:t>
        </x:is>
      </x:c>
      <x:c r="Z147" s="81" t="inlineStr">
        <x:is>
          <x:t xml:space="preserve">Public domain / likely</x:t>
        </x:is>
      </x:c>
      <x:c r="AA147" s="81" t="inlineStr">
        <x:is>
          <x:t xml:space="preserve">Ancient source text. Verify jurisdiction/edition before commercial publication.</x:t>
        </x:is>
      </x:c>
      <x:c r="AB147" s="81" t="inlineStr">
        <x:is>
          <x:t xml:space="preserve">High</x:t>
        </x:is>
      </x:c>
      <x:c r="AC147" s="81" t="inlineStr">
        <x:is>
          <x:t xml:space="preserve">Core Selflo.</x:t>
        </x:is>
      </x:c>
      <x:c r="AD147" s="81" t="inlineStr">
        <x:is>
          <x:t xml:space="preserve">Needs editorial review</x:t>
        </x:is>
      </x:c>
      <x:c r="AE147" s="81" t="inlineStr">
        <x:is>
          <x:t xml:space="preserve">Needs semantic dedupe review</x:t>
        </x:is>
      </x:c>
      <x:c r="AF147" s="81" t="n"/>
      <x:c r="AG147" s="81" t="n"/>
      <x:c r="AH147" s="81" t="inlineStr">
        <x:is>
          <x:t xml:space="preserve">No</x:t>
        </x:is>
      </x:c>
      <x:c r="AI147" s="81" t="inlineStr">
        <x:is>
          <x:t xml:space="preserve">Not reviewed</x:t>
        </x:is>
      </x:c>
      <x:c r="AJ147" s="81" t="inlineStr">
        <x:is>
          <x:t xml:space="preserve">Research only</x:t>
        </x:is>
      </x:c>
      <x:c r="AK147" s="81" t="inlineStr">
        <x:is>
          <x:t xml:space="preserve">Research Pool</x:t>
        </x:is>
      </x:c>
      <x:c r="AL147" s="81" t="n">
        <x:v>2</x:v>
      </x:c>
      <x:c r="AM147" s="81" t="inlineStr">
        <x:is>
          <x:t xml:space="preserve">ChatGPT research</x:t>
        </x:is>
      </x:c>
      <x:c r="AN147" s="81" t="inlineStr">
        <x:is>
          <x:t xml:space="preserve">2026-09-18</x:t>
        </x:is>
      </x:c>
      <x:c r="AO147" s="81" t="inlineStr">
        <x:is>
          <x:t xml:space="preserve">Day 2 full-scope audit, chapters 21–50.</x:t>
        </x:is>
      </x:c>
      <x:c r="AP147" s="81" t="n"/>
      <x:c r="AQ147" s="81" t="n"/>
    </x:row>
    <x:row r="148">
      <x:c r="A148" s="81" t="inlineStr">
        <x:is>
          <x:t xml:space="preserve">research.laozi.day2.ch42.084</x:t>
        </x:is>
      </x:c>
      <x:c r="B148" s="81" t="inlineStr">
        <x:is>
          <x:t xml:space="preserve">Collected</x:t>
        </x:is>
      </x:c>
      <x:c r="C148" s="81" t="inlineStr">
        <x:is>
          <x:t xml:space="preserve">Nội tâm &amp; hiểu mình</x:t>
        </x:is>
      </x:c>
      <x:c r="D148" s="81" t="inlineStr">
        <x:is>
          <x:t xml:space="preserve">Day 2 / Laozi 21–50</x:t>
        </x:is>
      </x:c>
      <x:c r="E148" s="81" t="n"/>
      <x:c r="F148" s="81" t="inlineStr">
        <x:is>
          <x:t xml:space="preserve">Sự đa dạng có thể phát triển từ những nền đơn giản</x:t>
        </x:is>
      </x:c>
      <x:c r="G148" s="81" t="inlineStr">
        <x:is>
          <x:t xml:space="preserve">Complexity</x:t>
        </x:is>
      </x:c>
      <x:c r="H148" s="81" t="n"/>
      <x:c r="I148" s="81" t="n"/>
      <x:c r="J148" s="81" t="n"/>
      <x:c r="K148" s="81" t="inlineStr">
        <x:is>
          <x:t xml:space="preserve">Reframe</x:t>
        </x:is>
      </x:c>
      <x:c r="L148" s="81" t="n"/>
      <x:c r="M148" s="81" t="inlineStr">
        <x:is>
          <x:t xml:space="preserve">Trích đoạn triết học</x:t>
        </x:is>
      </x:c>
      <x:c r="N148" s="81" t="inlineStr">
        <x:is>
          <x:t xml:space="preserve">道生一，一生二，二生三，三生萬物。</x:t>
        </x:is>
      </x:c>
      <x:c r="O148" s="81" t="inlineStr">
        <x:is>
          <x:t xml:space="preserve">Classical Chinese (文言文)</x:t>
        </x:is>
      </x:c>
      <x:c r="P148" s="81" t="inlineStr">
        <x:is>
          <x:t xml:space="preserve">Đạo sinh một; một sinh hai; hai sinh ba; ba sinh muôn vật.</x:t>
        </x:is>
      </x:c>
      <x:c r="Q148" s="81" t="inlineStr">
        <x:is>
          <x:t xml:space="preserve">Laozi / 老子</x:t>
        </x:is>
      </x:c>
      <x:c r="R148" s="81" t="inlineStr">
        <x:is>
          <x:t xml:space="preserve">Taoism</x:t>
        </x:is>
      </x:c>
      <x:c r="S148" s="81" t="inlineStr">
        <x:is>
          <x:t xml:space="preserve">道德經 / Tao Te Ching</x:t>
        </x:is>
      </x:c>
      <x:c r="T148" s="81" t="inlineStr">
        <x:is>
          <x:t xml:space="preserve">Chapter 42</x:t>
        </x:is>
      </x:c>
      <x:c r="U148" s="81" t="inlineStr">
        <x:is>
          <x:t xml:space="preserve">https://zh.wikisource.org/zh-hant/%E9%81%93%E5%BE%B7%E7%B6%93_%28%E7%8E%8B%E5%BC%BC%E6%9C%AC%29</x:t>
        </x:is>
      </x:c>
      <x:c r="V148" s="81" t="inlineStr">
        <x:is>
          <x:t xml:space="preserve">Primary text</x:t>
        </x:is>
      </x:c>
      <x:c r="W148" s="81" t="inlineStr">
        <x:is>
          <x:t xml:space="preserve">Working translation</x:t>
        </x:is>
      </x:c>
      <x:c r="X148" s="81" t="inlineStr">
        <x:is>
          <x:t xml:space="preserve">A - Primary source</x:t>
        </x:is>
      </x:c>
      <x:c r="Y148" s="81" t="inlineStr">
        <x:is>
          <x:t xml:space="preserve">Original Chinese checked against Wang Bi recension; Vietnamese is Selflo working translation, not a published translation.</x:t>
        </x:is>
      </x:c>
      <x:c r="Z148" s="81" t="inlineStr">
        <x:is>
          <x:t xml:space="preserve">Public domain / likely</x:t>
        </x:is>
      </x:c>
      <x:c r="AA148" s="81" t="inlineStr">
        <x:is>
          <x:t xml:space="preserve">Ancient source text. Verify jurisdiction/edition before commercial publication.</x:t>
        </x:is>
      </x:c>
      <x:c r="AB148" s="81" t="inlineStr">
        <x:is>
          <x:t xml:space="preserve">Medium</x:t>
        </x:is>
      </x:c>
      <x:c r="AC148" s="81" t="inlineStr">
        <x:is>
          <x:t xml:space="preserve">Metaphysical.</x:t>
        </x:is>
      </x:c>
      <x:c r="AD148" s="81" t="inlineStr">
        <x:is>
          <x:t xml:space="preserve">Needs editorial review</x:t>
        </x:is>
      </x:c>
      <x:c r="AE148" s="81" t="inlineStr">
        <x:is>
          <x:t xml:space="preserve">Needs semantic dedupe review</x:t>
        </x:is>
      </x:c>
      <x:c r="AF148" s="81" t="n"/>
      <x:c r="AG148" s="81" t="n"/>
      <x:c r="AH148" s="81" t="inlineStr">
        <x:is>
          <x:t xml:space="preserve">No</x:t>
        </x:is>
      </x:c>
      <x:c r="AI148" s="81" t="inlineStr">
        <x:is>
          <x:t xml:space="preserve">Not reviewed</x:t>
        </x:is>
      </x:c>
      <x:c r="AJ148" s="81" t="inlineStr">
        <x:is>
          <x:t xml:space="preserve">Research only</x:t>
        </x:is>
      </x:c>
      <x:c r="AK148" s="81" t="inlineStr">
        <x:is>
          <x:t xml:space="preserve">Research Pool</x:t>
        </x:is>
      </x:c>
      <x:c r="AL148" s="81" t="n">
        <x:v>2</x:v>
      </x:c>
      <x:c r="AM148" s="81" t="inlineStr">
        <x:is>
          <x:t xml:space="preserve">ChatGPT research</x:t>
        </x:is>
      </x:c>
      <x:c r="AN148" s="81" t="inlineStr">
        <x:is>
          <x:t xml:space="preserve">2026-09-18</x:t>
        </x:is>
      </x:c>
      <x:c r="AO148" s="81" t="inlineStr">
        <x:is>
          <x:t xml:space="preserve">Day 2 full-scope audit, chapters 21–50.</x:t>
        </x:is>
      </x:c>
      <x:c r="AP148" s="81" t="n"/>
      <x:c r="AQ148" s="81" t="n"/>
    </x:row>
    <x:row r="149">
      <x:c r="A149" s="81" t="inlineStr">
        <x:is>
          <x:t xml:space="preserve">research.laozi.day2.ch42.085</x:t>
        </x:is>
      </x:c>
      <x:c r="B149" s="81" t="inlineStr">
        <x:is>
          <x:t xml:space="preserve">Collected</x:t>
        </x:is>
      </x:c>
      <x:c r="C149" s="81" t="inlineStr">
        <x:is>
          <x:t xml:space="preserve">Nội tâm &amp; hiểu mình</x:t>
        </x:is>
      </x:c>
      <x:c r="D149" s="81" t="inlineStr">
        <x:is>
          <x:t xml:space="preserve">Day 2 / Laozi 21–50</x:t>
        </x:is>
      </x:c>
      <x:c r="E149" s="81" t="n"/>
      <x:c r="F149" s="81" t="inlineStr">
        <x:is>
          <x:t xml:space="preserve">Hai phía đối lập có thể cùng nằm trong một thể</x:t>
        </x:is>
      </x:c>
      <x:c r="G149" s="81" t="inlineStr">
        <x:is>
          <x:t xml:space="preserve">Acceptance</x:t>
        </x:is>
      </x:c>
      <x:c r="H149" s="81" t="n"/>
      <x:c r="I149" s="81" t="n"/>
      <x:c r="J149" s="81" t="n"/>
      <x:c r="K149" s="81" t="inlineStr">
        <x:is>
          <x:t xml:space="preserve">Distinguish</x:t>
        </x:is>
      </x:c>
      <x:c r="L149" s="81" t="n"/>
      <x:c r="M149" s="81" t="inlineStr">
        <x:is>
          <x:t xml:space="preserve">Trích đoạn triết học</x:t>
        </x:is>
      </x:c>
      <x:c r="N149" s="81" t="inlineStr">
        <x:is>
          <x:t xml:space="preserve">萬物負陰而抱陽，沖氣以為和。</x:t>
        </x:is>
      </x:c>
      <x:c r="O149" s="81" t="inlineStr">
        <x:is>
          <x:t xml:space="preserve">Classical Chinese (文言文)</x:t>
        </x:is>
      </x:c>
      <x:c r="P149" s="81" t="inlineStr">
        <x:is>
          <x:t xml:space="preserve">Muôn vật mang âm và ôm dương; sự hòa được tạo trong quan hệ giữa hai phía.</x:t>
        </x:is>
      </x:c>
      <x:c r="Q149" s="81" t="inlineStr">
        <x:is>
          <x:t xml:space="preserve">Laozi / 老子</x:t>
        </x:is>
      </x:c>
      <x:c r="R149" s="81" t="inlineStr">
        <x:is>
          <x:t xml:space="preserve">Taoism</x:t>
        </x:is>
      </x:c>
      <x:c r="S149" s="81" t="inlineStr">
        <x:is>
          <x:t xml:space="preserve">道德經 / Tao Te Ching</x:t>
        </x:is>
      </x:c>
      <x:c r="T149" s="81" t="inlineStr">
        <x:is>
          <x:t xml:space="preserve">Chapter 42</x:t>
        </x:is>
      </x:c>
      <x:c r="U149" s="81" t="inlineStr">
        <x:is>
          <x:t xml:space="preserve">https://zh.wikisource.org/zh-hant/%E9%81%93%E5%BE%B7%E7%B6%93_%28%E7%8E%8B%E5%BC%BC%E6%9C%AC%29</x:t>
        </x:is>
      </x:c>
      <x:c r="V149" s="81" t="inlineStr">
        <x:is>
          <x:t xml:space="preserve">Primary text</x:t>
        </x:is>
      </x:c>
      <x:c r="W149" s="81" t="inlineStr">
        <x:is>
          <x:t xml:space="preserve">Working translation</x:t>
        </x:is>
      </x:c>
      <x:c r="X149" s="81" t="inlineStr">
        <x:is>
          <x:t xml:space="preserve">A - Primary source</x:t>
        </x:is>
      </x:c>
      <x:c r="Y149" s="81" t="inlineStr">
        <x:is>
          <x:t xml:space="preserve">Original Chinese checked against Wang Bi recension; Vietnamese is Selflo working translation, not a published translation.</x:t>
        </x:is>
      </x:c>
      <x:c r="Z149" s="81" t="inlineStr">
        <x:is>
          <x:t xml:space="preserve">Public domain / likely</x:t>
        </x:is>
      </x:c>
      <x:c r="AA149" s="81" t="inlineStr">
        <x:is>
          <x:t xml:space="preserve">Ancient source text. Verify jurisdiction/edition before commercial publication.</x:t>
        </x:is>
      </x:c>
      <x:c r="AB149" s="81" t="inlineStr">
        <x:is>
          <x:t xml:space="preserve">High</x:t>
        </x:is>
      </x:c>
      <x:c r="AC149" s="81" t="inlineStr">
        <x:is>
          <x:t xml:space="preserve">Directly relevant yin-yang.</x:t>
        </x:is>
      </x:c>
      <x:c r="AD149" s="81" t="inlineStr">
        <x:is>
          <x:t xml:space="preserve">Needs editorial review</x:t>
        </x:is>
      </x:c>
      <x:c r="AE149" s="81" t="inlineStr">
        <x:is>
          <x:t xml:space="preserve">Needs semantic dedupe review</x:t>
        </x:is>
      </x:c>
      <x:c r="AF149" s="81" t="n"/>
      <x:c r="AG149" s="81" t="n"/>
      <x:c r="AH149" s="81" t="inlineStr">
        <x:is>
          <x:t xml:space="preserve">No</x:t>
        </x:is>
      </x:c>
      <x:c r="AI149" s="81" t="inlineStr">
        <x:is>
          <x:t xml:space="preserve">Not reviewed</x:t>
        </x:is>
      </x:c>
      <x:c r="AJ149" s="81" t="inlineStr">
        <x:is>
          <x:t xml:space="preserve">Research only</x:t>
        </x:is>
      </x:c>
      <x:c r="AK149" s="81" t="inlineStr">
        <x:is>
          <x:t xml:space="preserve">Research Pool</x:t>
        </x:is>
      </x:c>
      <x:c r="AL149" s="81" t="n">
        <x:v>2</x:v>
      </x:c>
      <x:c r="AM149" s="81" t="inlineStr">
        <x:is>
          <x:t xml:space="preserve">ChatGPT research</x:t>
        </x:is>
      </x:c>
      <x:c r="AN149" s="81" t="inlineStr">
        <x:is>
          <x:t xml:space="preserve">2026-09-18</x:t>
        </x:is>
      </x:c>
      <x:c r="AO149" s="81" t="inlineStr">
        <x:is>
          <x:t xml:space="preserve">Day 2 full-scope audit, chapters 21–50.</x:t>
        </x:is>
      </x:c>
      <x:c r="AP149" s="81" t="n"/>
      <x:c r="AQ149" s="81" t="n"/>
    </x:row>
    <x:row r="150">
      <x:c r="A150" s="81" t="inlineStr">
        <x:is>
          <x:t xml:space="preserve">research.laozi.day2.ch42.086</x:t>
        </x:is>
      </x:c>
      <x:c r="B150" s="81" t="inlineStr">
        <x:is>
          <x:t xml:space="preserve">Collected</x:t>
        </x:is>
      </x:c>
      <x:c r="C150" s="81" t="inlineStr">
        <x:is>
          <x:t xml:space="preserve">Nội tâm &amp; hiểu mình</x:t>
        </x:is>
      </x:c>
      <x:c r="D150" s="81" t="inlineStr">
        <x:is>
          <x:t xml:space="preserve">Day 2 / Laozi 21–50</x:t>
        </x:is>
      </x:c>
      <x:c r="E150" s="81" t="n"/>
      <x:c r="F150" s="81" t="inlineStr">
        <x:is>
          <x:t xml:space="preserve">Điều bị xem là thấp có thể mang chức năng khác trong bối cảnh khác</x:t>
        </x:is>
      </x:c>
      <x:c r="G150" s="81" t="inlineStr">
        <x:is>
          <x:t xml:space="preserve">Context</x:t>
        </x:is>
      </x:c>
      <x:c r="H150" s="81" t="n"/>
      <x:c r="I150" s="81" t="n"/>
      <x:c r="J150" s="81" t="n"/>
      <x:c r="K150" s="81" t="inlineStr">
        <x:is>
          <x:t xml:space="preserve">Reframe</x:t>
        </x:is>
      </x:c>
      <x:c r="L150" s="81" t="n"/>
      <x:c r="M150" s="81" t="inlineStr">
        <x:is>
          <x:t xml:space="preserve">Trích đoạn triết học</x:t>
        </x:is>
      </x:c>
      <x:c r="N150" s="81" t="inlineStr">
        <x:is>
          <x:t xml:space="preserve">人之所惡，唯孤寡不穀，而王公以為稱。</x:t>
        </x:is>
      </x:c>
      <x:c r="O150" s="81" t="inlineStr">
        <x:is>
          <x:t xml:space="preserve">Classical Chinese (文言文)</x:t>
        </x:is>
      </x:c>
      <x:c r="P150" s="81" t="inlineStr">
        <x:is>
          <x:t xml:space="preserve">Những danh xưng người ta không muốn lại từng được bậc vua chúa dùng để tự gọi mình.</x:t>
        </x:is>
      </x:c>
      <x:c r="Q150" s="81" t="inlineStr">
        <x:is>
          <x:t xml:space="preserve">Laozi / 老子</x:t>
        </x:is>
      </x:c>
      <x:c r="R150" s="81" t="inlineStr">
        <x:is>
          <x:t xml:space="preserve">Taoism</x:t>
        </x:is>
      </x:c>
      <x:c r="S150" s="81" t="inlineStr">
        <x:is>
          <x:t xml:space="preserve">道德經 / Tao Te Ching</x:t>
        </x:is>
      </x:c>
      <x:c r="T150" s="81" t="inlineStr">
        <x:is>
          <x:t xml:space="preserve">Chapter 42</x:t>
        </x:is>
      </x:c>
      <x:c r="U150" s="81" t="inlineStr">
        <x:is>
          <x:t xml:space="preserve">https://zh.wikisource.org/zh-hant/%E9%81%93%E5%BE%B7%E7%B6%93_%28%E7%8E%8B%E5%BC%BC%E6%9C%AC%29</x:t>
        </x:is>
      </x:c>
      <x:c r="V150" s="81" t="inlineStr">
        <x:is>
          <x:t xml:space="preserve">Primary text</x:t>
        </x:is>
      </x:c>
      <x:c r="W150" s="81" t="inlineStr">
        <x:is>
          <x:t xml:space="preserve">Working translation</x:t>
        </x:is>
      </x:c>
      <x:c r="X150" s="81" t="inlineStr">
        <x:is>
          <x:t xml:space="preserve">A - Primary source</x:t>
        </x:is>
      </x:c>
      <x:c r="Y150" s="81" t="inlineStr">
        <x:is>
          <x:t xml:space="preserve">Original Chinese checked against Wang Bi recension; Vietnamese is Selflo working translation, not a published translation.</x:t>
        </x:is>
      </x:c>
      <x:c r="Z150" s="81" t="inlineStr">
        <x:is>
          <x:t xml:space="preserve">Public domain / likely</x:t>
        </x:is>
      </x:c>
      <x:c r="AA150" s="81" t="inlineStr">
        <x:is>
          <x:t xml:space="preserve">Ancient source text. Verify jurisdiction/edition before commercial publication.</x:t>
        </x:is>
      </x:c>
      <x:c r="AB150" s="81" t="inlineStr">
        <x:is>
          <x:t xml:space="preserve">Medium</x:t>
        </x:is>
      </x:c>
      <x:c r="AC150" s="81" t="inlineStr">
        <x:is>
          <x:t xml:space="preserve">Historical context.</x:t>
        </x:is>
      </x:c>
      <x:c r="AD150" s="81" t="inlineStr">
        <x:is>
          <x:t xml:space="preserve">Needs editorial review</x:t>
        </x:is>
      </x:c>
      <x:c r="AE150" s="81" t="inlineStr">
        <x:is>
          <x:t xml:space="preserve">Needs semantic dedupe review</x:t>
        </x:is>
      </x:c>
      <x:c r="AF150" s="81" t="n"/>
      <x:c r="AG150" s="81" t="n"/>
      <x:c r="AH150" s="81" t="inlineStr">
        <x:is>
          <x:t xml:space="preserve">No</x:t>
        </x:is>
      </x:c>
      <x:c r="AI150" s="81" t="inlineStr">
        <x:is>
          <x:t xml:space="preserve">Not reviewed</x:t>
        </x:is>
      </x:c>
      <x:c r="AJ150" s="81" t="inlineStr">
        <x:is>
          <x:t xml:space="preserve">Research only</x:t>
        </x:is>
      </x:c>
      <x:c r="AK150" s="81" t="inlineStr">
        <x:is>
          <x:t xml:space="preserve">Research Pool</x:t>
        </x:is>
      </x:c>
      <x:c r="AL150" s="81" t="n">
        <x:v>2</x:v>
      </x:c>
      <x:c r="AM150" s="81" t="inlineStr">
        <x:is>
          <x:t xml:space="preserve">ChatGPT research</x:t>
        </x:is>
      </x:c>
      <x:c r="AN150" s="81" t="inlineStr">
        <x:is>
          <x:t xml:space="preserve">2026-09-18</x:t>
        </x:is>
      </x:c>
      <x:c r="AO150" s="81" t="inlineStr">
        <x:is>
          <x:t xml:space="preserve">Day 2 full-scope audit, chapters 21–50.</x:t>
        </x:is>
      </x:c>
      <x:c r="AP150" s="81" t="n"/>
      <x:c r="AQ150" s="81" t="n"/>
    </x:row>
    <x:row r="151">
      <x:c r="A151" s="81" t="inlineStr">
        <x:is>
          <x:t xml:space="preserve">research.laozi.day2.ch42.087</x:t>
        </x:is>
      </x:c>
      <x:c r="B151" s="81" t="inlineStr">
        <x:is>
          <x:t xml:space="preserve">Collected</x:t>
        </x:is>
      </x:c>
      <x:c r="C151" s="81" t="inlineStr">
        <x:is>
          <x:t xml:space="preserve">Nội tâm &amp; hiểu mình</x:t>
        </x:is>
      </x:c>
      <x:c r="D151" s="81" t="inlineStr">
        <x:is>
          <x:t xml:space="preserve">Day 2 / Laozi 21–50</x:t>
        </x:is>
      </x:c>
      <x:c r="E151" s="81" t="n"/>
      <x:c r="F151" s="81" t="inlineStr">
        <x:is>
          <x:t xml:space="preserve">Thêm và bớt không đồng nghĩa đơn giản với tốt và xấu</x:t>
        </x:is>
      </x:c>
      <x:c r="G151" s="81" t="inlineStr">
        <x:is>
          <x:t xml:space="preserve">Enoughness</x:t>
        </x:is>
      </x:c>
      <x:c r="H151" s="81" t="n"/>
      <x:c r="I151" s="81" t="n"/>
      <x:c r="J151" s="81" t="n"/>
      <x:c r="K151" s="81" t="inlineStr">
        <x:is>
          <x:t xml:space="preserve">Reframe</x:t>
        </x:is>
      </x:c>
      <x:c r="L151" s="81" t="n"/>
      <x:c r="M151" s="81" t="inlineStr">
        <x:is>
          <x:t xml:space="preserve">Trích đoạn triết học</x:t>
        </x:is>
      </x:c>
      <x:c r="N151" s="81" t="inlineStr">
        <x:is>
          <x:t xml:space="preserve">故物或損之而益，或益之而損。</x:t>
        </x:is>
      </x:c>
      <x:c r="O151" s="81" t="inlineStr">
        <x:is>
          <x:t xml:space="preserve">Classical Chinese (文言文)</x:t>
        </x:is>
      </x:c>
      <x:c r="P151" s="81" t="inlineStr">
        <x:is>
          <x:t xml:space="preserve">Có khi bớt lại thành thêm; có khi thêm lại thành bớt.</x:t>
        </x:is>
      </x:c>
      <x:c r="Q151" s="81" t="inlineStr">
        <x:is>
          <x:t xml:space="preserve">Laozi / 老子</x:t>
        </x:is>
      </x:c>
      <x:c r="R151" s="81" t="inlineStr">
        <x:is>
          <x:t xml:space="preserve">Taoism</x:t>
        </x:is>
      </x:c>
      <x:c r="S151" s="81" t="inlineStr">
        <x:is>
          <x:t xml:space="preserve">道德經 / Tao Te Ching</x:t>
        </x:is>
      </x:c>
      <x:c r="T151" s="81" t="inlineStr">
        <x:is>
          <x:t xml:space="preserve">Chapter 42</x:t>
        </x:is>
      </x:c>
      <x:c r="U151" s="81" t="inlineStr">
        <x:is>
          <x:t xml:space="preserve">https://zh.wikisource.org/zh-hant/%E9%81%93%E5%BE%B7%E7%B6%93_%28%E7%8E%8B%E5%BC%BC%E6%9C%AC%29</x:t>
        </x:is>
      </x:c>
      <x:c r="V151" s="81" t="inlineStr">
        <x:is>
          <x:t xml:space="preserve">Primary text</x:t>
        </x:is>
      </x:c>
      <x:c r="W151" s="81" t="inlineStr">
        <x:is>
          <x:t xml:space="preserve">Working translation</x:t>
        </x:is>
      </x:c>
      <x:c r="X151" s="81" t="inlineStr">
        <x:is>
          <x:t xml:space="preserve">A - Primary source</x:t>
        </x:is>
      </x:c>
      <x:c r="Y151" s="81" t="inlineStr">
        <x:is>
          <x:t xml:space="preserve">Original Chinese checked against Wang Bi recension; Vietnamese is Selflo working translation, not a published translation.</x:t>
        </x:is>
      </x:c>
      <x:c r="Z151" s="81" t="inlineStr">
        <x:is>
          <x:t xml:space="preserve">Public domain / likely</x:t>
        </x:is>
      </x:c>
      <x:c r="AA151" s="81" t="inlineStr">
        <x:is>
          <x:t xml:space="preserve">Ancient source text. Verify jurisdiction/edition before commercial publication.</x:t>
        </x:is>
      </x:c>
      <x:c r="AB151" s="81" t="inlineStr">
        <x:is>
          <x:t xml:space="preserve">High</x:t>
        </x:is>
      </x:c>
      <x:c r="AC151" s="81" t="inlineStr">
        <x:is>
          <x:t xml:space="preserve">Excellent.</x:t>
        </x:is>
      </x:c>
      <x:c r="AD151" s="81" t="inlineStr">
        <x:is>
          <x:t xml:space="preserve">Needs editorial review</x:t>
        </x:is>
      </x:c>
      <x:c r="AE151" s="81" t="inlineStr">
        <x:is>
          <x:t xml:space="preserve">Needs semantic dedupe review</x:t>
        </x:is>
      </x:c>
      <x:c r="AF151" s="81" t="n"/>
      <x:c r="AG151" s="81" t="n"/>
      <x:c r="AH151" s="81" t="inlineStr">
        <x:is>
          <x:t xml:space="preserve">No</x:t>
        </x:is>
      </x:c>
      <x:c r="AI151" s="81" t="inlineStr">
        <x:is>
          <x:t xml:space="preserve">Not reviewed</x:t>
        </x:is>
      </x:c>
      <x:c r="AJ151" s="81" t="inlineStr">
        <x:is>
          <x:t xml:space="preserve">Research only</x:t>
        </x:is>
      </x:c>
      <x:c r="AK151" s="81" t="inlineStr">
        <x:is>
          <x:t xml:space="preserve">Research Pool</x:t>
        </x:is>
      </x:c>
      <x:c r="AL151" s="81" t="n">
        <x:v>2</x:v>
      </x:c>
      <x:c r="AM151" s="81" t="inlineStr">
        <x:is>
          <x:t xml:space="preserve">ChatGPT research</x:t>
        </x:is>
      </x:c>
      <x:c r="AN151" s="81" t="inlineStr">
        <x:is>
          <x:t xml:space="preserve">2026-09-18</x:t>
        </x:is>
      </x:c>
      <x:c r="AO151" s="81" t="inlineStr">
        <x:is>
          <x:t xml:space="preserve">Day 2 full-scope audit, chapters 21–50.</x:t>
        </x:is>
      </x:c>
      <x:c r="AP151" s="81" t="n"/>
      <x:c r="AQ151" s="81" t="n"/>
    </x:row>
    <x:row r="152">
      <x:c r="A152" s="81" t="inlineStr">
        <x:is>
          <x:t xml:space="preserve">research.laozi.day2.ch42.088</x:t>
        </x:is>
      </x:c>
      <x:c r="B152" s="81" t="inlineStr">
        <x:is>
          <x:t xml:space="preserve">Collected</x:t>
        </x:is>
      </x:c>
      <x:c r="C152" s="81" t="inlineStr">
        <x:is>
          <x:t xml:space="preserve">Nội tâm &amp; hiểu mình</x:t>
        </x:is>
      </x:c>
      <x:c r="D152" s="81" t="inlineStr">
        <x:is>
          <x:t xml:space="preserve">Day 2 / Laozi 21–50</x:t>
        </x:is>
      </x:c>
      <x:c r="E152" s="81" t="n"/>
      <x:c r="F152" s="81" t="inlineStr">
        <x:is>
          <x:t xml:space="preserve">Sức ép không phải nền bền vững</x:t>
        </x:is>
      </x:c>
      <x:c r="G152" s="81" t="inlineStr">
        <x:is>
          <x:t xml:space="preserve">Strength</x:t>
        </x:is>
      </x:c>
      <x:c r="H152" s="81" t="n"/>
      <x:c r="I152" s="81" t="n"/>
      <x:c r="J152" s="81" t="n"/>
      <x:c r="K152" s="81" t="inlineStr">
        <x:is>
          <x:t xml:space="preserve">Distinguish</x:t>
        </x:is>
      </x:c>
      <x:c r="L152" s="81" t="n"/>
      <x:c r="M152" s="81" t="inlineStr">
        <x:is>
          <x:t xml:space="preserve">Trích đoạn triết học</x:t>
        </x:is>
      </x:c>
      <x:c r="N152" s="81" t="inlineStr">
        <x:is>
          <x:t xml:space="preserve">強梁者不得其死。</x:t>
        </x:is>
      </x:c>
      <x:c r="O152" s="81" t="inlineStr">
        <x:is>
          <x:t xml:space="preserve">Classical Chinese (文言文)</x:t>
        </x:is>
      </x:c>
      <x:c r="P152" s="81" t="inlineStr">
        <x:is>
          <x:t xml:space="preserve">Kẻ chỉ dựa vào cường bạo khó đi đến kết cục lành.</x:t>
        </x:is>
      </x:c>
      <x:c r="Q152" s="81" t="inlineStr">
        <x:is>
          <x:t xml:space="preserve">Laozi / 老子</x:t>
        </x:is>
      </x:c>
      <x:c r="R152" s="81" t="inlineStr">
        <x:is>
          <x:t xml:space="preserve">Taoism</x:t>
        </x:is>
      </x:c>
      <x:c r="S152" s="81" t="inlineStr">
        <x:is>
          <x:t xml:space="preserve">道德經 / Tao Te Ching</x:t>
        </x:is>
      </x:c>
      <x:c r="T152" s="81" t="inlineStr">
        <x:is>
          <x:t xml:space="preserve">Chapter 42</x:t>
        </x:is>
      </x:c>
      <x:c r="U152" s="81" t="inlineStr">
        <x:is>
          <x:t xml:space="preserve">https://zh.wikisource.org/zh-hant/%E9%81%93%E5%BE%B7%E7%B6%93_%28%E7%8E%8B%E5%BC%BC%E6%9C%AC%29</x:t>
        </x:is>
      </x:c>
      <x:c r="V152" s="81" t="inlineStr">
        <x:is>
          <x:t xml:space="preserve">Primary text</x:t>
        </x:is>
      </x:c>
      <x:c r="W152" s="81" t="inlineStr">
        <x:is>
          <x:t xml:space="preserve">Working translation</x:t>
        </x:is>
      </x:c>
      <x:c r="X152" s="81" t="inlineStr">
        <x:is>
          <x:t xml:space="preserve">A - Primary source</x:t>
        </x:is>
      </x:c>
      <x:c r="Y152" s="81" t="inlineStr">
        <x:is>
          <x:t xml:space="preserve">Original Chinese checked against Wang Bi recension; Vietnamese is Selflo working translation, not a published translation.</x:t>
        </x:is>
      </x:c>
      <x:c r="Z152" s="81" t="inlineStr">
        <x:is>
          <x:t xml:space="preserve">Public domain / likely</x:t>
        </x:is>
      </x:c>
      <x:c r="AA152" s="81" t="inlineStr">
        <x:is>
          <x:t xml:space="preserve">Ancient source text. Verify jurisdiction/edition before commercial publication.</x:t>
        </x:is>
      </x:c>
      <x:c r="AB152" s="81" t="inlineStr">
        <x:is>
          <x:t xml:space="preserve">Medium</x:t>
        </x:is>
      </x:c>
      <x:c r="AC152" s="81" t="inlineStr">
        <x:is>
          <x:t xml:space="preserve">Harsh/moral.</x:t>
        </x:is>
      </x:c>
      <x:c r="AD152" s="81" t="inlineStr">
        <x:is>
          <x:t xml:space="preserve">Needs editorial review</x:t>
        </x:is>
      </x:c>
      <x:c r="AE152" s="81" t="inlineStr">
        <x:is>
          <x:t xml:space="preserve">Needs semantic dedupe review</x:t>
        </x:is>
      </x:c>
      <x:c r="AF152" s="81" t="n"/>
      <x:c r="AG152" s="81" t="n"/>
      <x:c r="AH152" s="81" t="inlineStr">
        <x:is>
          <x:t xml:space="preserve">No</x:t>
        </x:is>
      </x:c>
      <x:c r="AI152" s="81" t="inlineStr">
        <x:is>
          <x:t xml:space="preserve">Not reviewed</x:t>
        </x:is>
      </x:c>
      <x:c r="AJ152" s="81" t="inlineStr">
        <x:is>
          <x:t xml:space="preserve">Research only</x:t>
        </x:is>
      </x:c>
      <x:c r="AK152" s="81" t="inlineStr">
        <x:is>
          <x:t xml:space="preserve">Research Pool</x:t>
        </x:is>
      </x:c>
      <x:c r="AL152" s="81" t="n">
        <x:v>2</x:v>
      </x:c>
      <x:c r="AM152" s="81" t="inlineStr">
        <x:is>
          <x:t xml:space="preserve">ChatGPT research</x:t>
        </x:is>
      </x:c>
      <x:c r="AN152" s="81" t="inlineStr">
        <x:is>
          <x:t xml:space="preserve">2026-09-18</x:t>
        </x:is>
      </x:c>
      <x:c r="AO152" s="81" t="inlineStr">
        <x:is>
          <x:t xml:space="preserve">Day 2 full-scope audit, chapters 21–50.</x:t>
        </x:is>
      </x:c>
      <x:c r="AP152" s="81" t="n"/>
      <x:c r="AQ152" s="81" t="n"/>
    </x:row>
    <x:row r="153">
      <x:c r="A153" s="81" t="inlineStr">
        <x:is>
          <x:t xml:space="preserve">research.laozi.day2.ch43.089</x:t>
        </x:is>
      </x:c>
      <x:c r="B153" s="81" t="inlineStr">
        <x:is>
          <x:t xml:space="preserve">Collected</x:t>
        </x:is>
      </x:c>
      <x:c r="C153" s="81" t="inlineStr">
        <x:is>
          <x:t xml:space="preserve">Nội tâm &amp; hiểu mình</x:t>
        </x:is>
      </x:c>
      <x:c r="D153" s="81" t="inlineStr">
        <x:is>
          <x:t xml:space="preserve">Day 2 / Laozi 21–50</x:t>
        </x:is>
      </x:c>
      <x:c r="E153" s="81" t="n"/>
      <x:c r="F153" s="81" t="inlineStr">
        <x:is>
          <x:t xml:space="preserve">Mềm có thể là một dạng sức mạnh</x:t>
        </x:is>
      </x:c>
      <x:c r="G153" s="81" t="inlineStr">
        <x:is>
          <x:t xml:space="preserve">Strength</x:t>
        </x:is>
      </x:c>
      <x:c r="H153" s="81" t="n"/>
      <x:c r="I153" s="81" t="n"/>
      <x:c r="J153" s="81" t="n"/>
      <x:c r="K153" s="81" t="inlineStr">
        <x:is>
          <x:t xml:space="preserve">Reframe</x:t>
        </x:is>
      </x:c>
      <x:c r="L153" s="81" t="n"/>
      <x:c r="M153" s="81" t="inlineStr">
        <x:is>
          <x:t xml:space="preserve">Trích đoạn triết học</x:t>
        </x:is>
      </x:c>
      <x:c r="N153" s="81" t="inlineStr">
        <x:is>
          <x:t xml:space="preserve">天下之至柔，馳騁天下之至堅。</x:t>
        </x:is>
      </x:c>
      <x:c r="O153" s="81" t="inlineStr">
        <x:is>
          <x:t xml:space="preserve">Classical Chinese (文言文)</x:t>
        </x:is>
      </x:c>
      <x:c r="P153" s="81" t="inlineStr">
        <x:is>
          <x:t xml:space="preserve">Thứ mềm nhất có thể đi xuyên qua thứ cứng nhất.</x:t>
        </x:is>
      </x:c>
      <x:c r="Q153" s="81" t="inlineStr">
        <x:is>
          <x:t xml:space="preserve">Laozi / 老子</x:t>
        </x:is>
      </x:c>
      <x:c r="R153" s="81" t="inlineStr">
        <x:is>
          <x:t xml:space="preserve">Taoism</x:t>
        </x:is>
      </x:c>
      <x:c r="S153" s="81" t="inlineStr">
        <x:is>
          <x:t xml:space="preserve">道德經 / Tao Te Ching</x:t>
        </x:is>
      </x:c>
      <x:c r="T153" s="81" t="inlineStr">
        <x:is>
          <x:t xml:space="preserve">Chapter 43</x:t>
        </x:is>
      </x:c>
      <x:c r="U153" s="81" t="inlineStr">
        <x:is>
          <x:t xml:space="preserve">https://zh.wikisource.org/zh-hant/%E9%81%93%E5%BE%B7%E7%B6%93_%28%E7%8E%8B%E5%BC%BC%E6%9C%AC%29</x:t>
        </x:is>
      </x:c>
      <x:c r="V153" s="81" t="inlineStr">
        <x:is>
          <x:t xml:space="preserve">Primary text</x:t>
        </x:is>
      </x:c>
      <x:c r="W153" s="81" t="inlineStr">
        <x:is>
          <x:t xml:space="preserve">Working translation</x:t>
        </x:is>
      </x:c>
      <x:c r="X153" s="81" t="inlineStr">
        <x:is>
          <x:t xml:space="preserve">A - Primary source</x:t>
        </x:is>
      </x:c>
      <x:c r="Y153" s="81" t="inlineStr">
        <x:is>
          <x:t xml:space="preserve">Original Chinese checked against Wang Bi recension; Vietnamese is Selflo working translation, not a published translation.</x:t>
        </x:is>
      </x:c>
      <x:c r="Z153" s="81" t="inlineStr">
        <x:is>
          <x:t xml:space="preserve">Public domain / likely</x:t>
        </x:is>
      </x:c>
      <x:c r="AA153" s="81" t="inlineStr">
        <x:is>
          <x:t xml:space="preserve">Ancient source text. Verify jurisdiction/edition before commercial publication.</x:t>
        </x:is>
      </x:c>
      <x:c r="AB153" s="81" t="inlineStr">
        <x:is>
          <x:t xml:space="preserve">High</x:t>
        </x:is>
      </x:c>
      <x:c r="AC153" s="81" t="inlineStr">
        <x:is>
          <x:t xml:space="preserve">Strong.</x:t>
        </x:is>
      </x:c>
      <x:c r="AD153" s="81" t="inlineStr">
        <x:is>
          <x:t xml:space="preserve">Needs editorial review</x:t>
        </x:is>
      </x:c>
      <x:c r="AE153" s="81" t="inlineStr">
        <x:is>
          <x:t xml:space="preserve">Needs semantic dedupe review</x:t>
        </x:is>
      </x:c>
      <x:c r="AF153" s="81" t="n"/>
      <x:c r="AG153" s="81" t="n"/>
      <x:c r="AH153" s="81" t="inlineStr">
        <x:is>
          <x:t xml:space="preserve">No</x:t>
        </x:is>
      </x:c>
      <x:c r="AI153" s="81" t="inlineStr">
        <x:is>
          <x:t xml:space="preserve">Not reviewed</x:t>
        </x:is>
      </x:c>
      <x:c r="AJ153" s="81" t="inlineStr">
        <x:is>
          <x:t xml:space="preserve">Research only</x:t>
        </x:is>
      </x:c>
      <x:c r="AK153" s="81" t="inlineStr">
        <x:is>
          <x:t xml:space="preserve">Research Pool</x:t>
        </x:is>
      </x:c>
      <x:c r="AL153" s="81" t="n">
        <x:v>2</x:v>
      </x:c>
      <x:c r="AM153" s="81" t="inlineStr">
        <x:is>
          <x:t xml:space="preserve">ChatGPT research</x:t>
        </x:is>
      </x:c>
      <x:c r="AN153" s="81" t="inlineStr">
        <x:is>
          <x:t xml:space="preserve">2026-09-18</x:t>
        </x:is>
      </x:c>
      <x:c r="AO153" s="81" t="inlineStr">
        <x:is>
          <x:t xml:space="preserve">Day 2 full-scope audit, chapters 21–50.</x:t>
        </x:is>
      </x:c>
      <x:c r="AP153" s="81" t="n"/>
      <x:c r="AQ153" s="81" t="n"/>
    </x:row>
    <x:row r="154">
      <x:c r="A154" s="81" t="inlineStr">
        <x:is>
          <x:t xml:space="preserve">research.laozi.day2.ch43.090</x:t>
        </x:is>
      </x:c>
      <x:c r="B154" s="81" t="inlineStr">
        <x:is>
          <x:t xml:space="preserve">Collected</x:t>
        </x:is>
      </x:c>
      <x:c r="C154" s="81" t="inlineStr">
        <x:is>
          <x:t xml:space="preserve">Nội tâm &amp; hiểu mình</x:t>
        </x:is>
      </x:c>
      <x:c r="D154" s="81" t="inlineStr">
        <x:is>
          <x:t xml:space="preserve">Day 2 / Laozi 21–50</x:t>
        </x:is>
      </x:c>
      <x:c r="E154" s="81" t="n"/>
      <x:c r="F154" s="81" t="inlineStr">
        <x:is>
          <x:t xml:space="preserve">Ảnh hưởng không phải lúc nào cũng đến từ lực trực tiếp</x:t>
        </x:is>
      </x:c>
      <x:c r="G154" s="81" t="inlineStr">
        <x:is>
          <x:t xml:space="preserve">Influence</x:t>
        </x:is>
      </x:c>
      <x:c r="H154" s="81" t="n"/>
      <x:c r="I154" s="81" t="n"/>
      <x:c r="J154" s="81" t="n"/>
      <x:c r="K154" s="81" t="inlineStr">
        <x:is>
          <x:t xml:space="preserve">Reframe</x:t>
        </x:is>
      </x:c>
      <x:c r="L154" s="81" t="n"/>
      <x:c r="M154" s="81" t="inlineStr">
        <x:is>
          <x:t xml:space="preserve">Trích đoạn triết học</x:t>
        </x:is>
      </x:c>
      <x:c r="N154" s="81" t="inlineStr">
        <x:is>
          <x:t xml:space="preserve">無有入無間。</x:t>
        </x:is>
      </x:c>
      <x:c r="O154" s="81" t="inlineStr">
        <x:is>
          <x:t xml:space="preserve">Classical Chinese (文言文)</x:t>
        </x:is>
      </x:c>
      <x:c r="P154" s="81" t="inlineStr">
        <x:is>
          <x:t xml:space="preserve">Cái không hình có thể đi vào nơi tưởng như không có khe.</x:t>
        </x:is>
      </x:c>
      <x:c r="Q154" s="81" t="inlineStr">
        <x:is>
          <x:t xml:space="preserve">Laozi / 老子</x:t>
        </x:is>
      </x:c>
      <x:c r="R154" s="81" t="inlineStr">
        <x:is>
          <x:t xml:space="preserve">Taoism</x:t>
        </x:is>
      </x:c>
      <x:c r="S154" s="81" t="inlineStr">
        <x:is>
          <x:t xml:space="preserve">道德經 / Tao Te Ching</x:t>
        </x:is>
      </x:c>
      <x:c r="T154" s="81" t="inlineStr">
        <x:is>
          <x:t xml:space="preserve">Chapter 43</x:t>
        </x:is>
      </x:c>
      <x:c r="U154" s="81" t="inlineStr">
        <x:is>
          <x:t xml:space="preserve">https://zh.wikisource.org/zh-hant/%E9%81%93%E5%BE%B7%E7%B6%93_%28%E7%8E%8B%E5%BC%BC%E6%9C%AC%29</x:t>
        </x:is>
      </x:c>
      <x:c r="V154" s="81" t="inlineStr">
        <x:is>
          <x:t xml:space="preserve">Primary text</x:t>
        </x:is>
      </x:c>
      <x:c r="W154" s="81" t="inlineStr">
        <x:is>
          <x:t xml:space="preserve">Working translation</x:t>
        </x:is>
      </x:c>
      <x:c r="X154" s="81" t="inlineStr">
        <x:is>
          <x:t xml:space="preserve">A - Primary source</x:t>
        </x:is>
      </x:c>
      <x:c r="Y154" s="81" t="inlineStr">
        <x:is>
          <x:t xml:space="preserve">Original Chinese checked against Wang Bi recension; Vietnamese is Selflo working translation, not a published translation.</x:t>
        </x:is>
      </x:c>
      <x:c r="Z154" s="81" t="inlineStr">
        <x:is>
          <x:t xml:space="preserve">Public domain / likely</x:t>
        </x:is>
      </x:c>
      <x:c r="AA154" s="81" t="inlineStr">
        <x:is>
          <x:t xml:space="preserve">Ancient source text. Verify jurisdiction/edition before commercial publication.</x:t>
        </x:is>
      </x:c>
      <x:c r="AB154" s="81" t="inlineStr">
        <x:is>
          <x:t xml:space="preserve">Medium</x:t>
        </x:is>
      </x:c>
      <x:c r="AC154" s="81" t="inlineStr">
        <x:is>
          <x:t xml:space="preserve">Metaphysical.</x:t>
        </x:is>
      </x:c>
      <x:c r="AD154" s="81" t="inlineStr">
        <x:is>
          <x:t xml:space="preserve">Needs editorial review</x:t>
        </x:is>
      </x:c>
      <x:c r="AE154" s="81" t="inlineStr">
        <x:is>
          <x:t xml:space="preserve">Needs semantic dedupe review</x:t>
        </x:is>
      </x:c>
      <x:c r="AF154" s="81" t="n"/>
      <x:c r="AG154" s="81" t="n"/>
      <x:c r="AH154" s="81" t="inlineStr">
        <x:is>
          <x:t xml:space="preserve">No</x:t>
        </x:is>
      </x:c>
      <x:c r="AI154" s="81" t="inlineStr">
        <x:is>
          <x:t xml:space="preserve">Not reviewed</x:t>
        </x:is>
      </x:c>
      <x:c r="AJ154" s="81" t="inlineStr">
        <x:is>
          <x:t xml:space="preserve">Research only</x:t>
        </x:is>
      </x:c>
      <x:c r="AK154" s="81" t="inlineStr">
        <x:is>
          <x:t xml:space="preserve">Research Pool</x:t>
        </x:is>
      </x:c>
      <x:c r="AL154" s="81" t="n">
        <x:v>2</x:v>
      </x:c>
      <x:c r="AM154" s="81" t="inlineStr">
        <x:is>
          <x:t xml:space="preserve">ChatGPT research</x:t>
        </x:is>
      </x:c>
      <x:c r="AN154" s="81" t="inlineStr">
        <x:is>
          <x:t xml:space="preserve">2026-09-18</x:t>
        </x:is>
      </x:c>
      <x:c r="AO154" s="81" t="inlineStr">
        <x:is>
          <x:t xml:space="preserve">Day 2 full-scope audit, chapters 21–50.</x:t>
        </x:is>
      </x:c>
      <x:c r="AP154" s="81" t="n"/>
      <x:c r="AQ154" s="81" t="n"/>
    </x:row>
    <x:row r="155">
      <x:c r="A155" s="81" t="inlineStr">
        <x:is>
          <x:t xml:space="preserve">research.laozi.day2.ch43.091</x:t>
        </x:is>
      </x:c>
      <x:c r="B155" s="81" t="inlineStr">
        <x:is>
          <x:t xml:space="preserve">Collected</x:t>
        </x:is>
      </x:c>
      <x:c r="C155" s="81" t="inlineStr">
        <x:is>
          <x:t xml:space="preserve">Nội tâm &amp; hiểu mình</x:t>
        </x:is>
      </x:c>
      <x:c r="D155" s="81" t="inlineStr">
        <x:is>
          <x:t xml:space="preserve">Day 2 / Laozi 21–50</x:t>
        </x:is>
      </x:c>
      <x:c r="E155" s="81" t="n"/>
      <x:c r="F155" s="81" t="inlineStr">
        <x:is>
          <x:t xml:space="preserve">Không phải mọi học hỏi đều cần thêm lời hay chỉ dẫn</x:t>
        </x:is>
      </x:c>
      <x:c r="G155" s="81" t="inlineStr">
        <x:is>
          <x:t xml:space="preserve">Learning</x:t>
        </x:is>
      </x:c>
      <x:c r="H155" s="81" t="n"/>
      <x:c r="I155" s="81" t="n"/>
      <x:c r="J155" s="81" t="n"/>
      <x:c r="K155" s="81" t="inlineStr">
        <x:is>
          <x:t xml:space="preserve">Distinguish</x:t>
        </x:is>
      </x:c>
      <x:c r="L155" s="81" t="n"/>
      <x:c r="M155" s="81" t="inlineStr">
        <x:is>
          <x:t xml:space="preserve">Trích đoạn triết học</x:t>
        </x:is>
      </x:c>
      <x:c r="N155" s="81" t="inlineStr">
        <x:is>
          <x:t xml:space="preserve">不言之教，無為之益，天下希及之。</x:t>
        </x:is>
      </x:c>
      <x:c r="O155" s="81" t="inlineStr">
        <x:is>
          <x:t xml:space="preserve">Classical Chinese (文言文)</x:t>
        </x:is>
      </x:c>
      <x:c r="P155" s="81" t="inlineStr">
        <x:is>
          <x:t xml:space="preserve">Có những điều được truyền không bằng lời, và có ích lợi đến từ không cưỡng làm.</x:t>
        </x:is>
      </x:c>
      <x:c r="Q155" s="81" t="inlineStr">
        <x:is>
          <x:t xml:space="preserve">Laozi / 老子</x:t>
        </x:is>
      </x:c>
      <x:c r="R155" s="81" t="inlineStr">
        <x:is>
          <x:t xml:space="preserve">Taoism</x:t>
        </x:is>
      </x:c>
      <x:c r="S155" s="81" t="inlineStr">
        <x:is>
          <x:t xml:space="preserve">道德經 / Tao Te Ching</x:t>
        </x:is>
      </x:c>
      <x:c r="T155" s="81" t="inlineStr">
        <x:is>
          <x:t xml:space="preserve">Chapter 43</x:t>
        </x:is>
      </x:c>
      <x:c r="U155" s="81" t="inlineStr">
        <x:is>
          <x:t xml:space="preserve">https://zh.wikisource.org/zh-hant/%E9%81%93%E5%BE%B7%E7%B6%93_%28%E7%8E%8B%E5%BC%BC%E6%9C%AC%29</x:t>
        </x:is>
      </x:c>
      <x:c r="V155" s="81" t="inlineStr">
        <x:is>
          <x:t xml:space="preserve">Primary text</x:t>
        </x:is>
      </x:c>
      <x:c r="W155" s="81" t="inlineStr">
        <x:is>
          <x:t xml:space="preserve">Working translation</x:t>
        </x:is>
      </x:c>
      <x:c r="X155" s="81" t="inlineStr">
        <x:is>
          <x:t xml:space="preserve">A - Primary source</x:t>
        </x:is>
      </x:c>
      <x:c r="Y155" s="81" t="inlineStr">
        <x:is>
          <x:t xml:space="preserve">Original Chinese checked against Wang Bi recension; Vietnamese is Selflo working translation, not a published translation.</x:t>
        </x:is>
      </x:c>
      <x:c r="Z155" s="81" t="inlineStr">
        <x:is>
          <x:t xml:space="preserve">Public domain / likely</x:t>
        </x:is>
      </x:c>
      <x:c r="AA155" s="81" t="inlineStr">
        <x:is>
          <x:t xml:space="preserve">Ancient source text. Verify jurisdiction/edition before commercial publication.</x:t>
        </x:is>
      </x:c>
      <x:c r="AB155" s="81" t="inlineStr">
        <x:is>
          <x:t xml:space="preserve">High</x:t>
        </x:is>
      </x:c>
      <x:c r="AC155" s="81" t="inlineStr">
        <x:is>
          <x:t xml:space="preserve">Selflo product philosophy.</x:t>
        </x:is>
      </x:c>
      <x:c r="AD155" s="81" t="inlineStr">
        <x:is>
          <x:t xml:space="preserve">Needs editorial review</x:t>
        </x:is>
      </x:c>
      <x:c r="AE155" s="81" t="inlineStr">
        <x:is>
          <x:t xml:space="preserve">Needs semantic dedupe review</x:t>
        </x:is>
      </x:c>
      <x:c r="AF155" s="81" t="n"/>
      <x:c r="AG155" s="81" t="n"/>
      <x:c r="AH155" s="81" t="inlineStr">
        <x:is>
          <x:t xml:space="preserve">No</x:t>
        </x:is>
      </x:c>
      <x:c r="AI155" s="81" t="inlineStr">
        <x:is>
          <x:t xml:space="preserve">Not reviewed</x:t>
        </x:is>
      </x:c>
      <x:c r="AJ155" s="81" t="inlineStr">
        <x:is>
          <x:t xml:space="preserve">Research only</x:t>
        </x:is>
      </x:c>
      <x:c r="AK155" s="81" t="inlineStr">
        <x:is>
          <x:t xml:space="preserve">Research Pool</x:t>
        </x:is>
      </x:c>
      <x:c r="AL155" s="81" t="n">
        <x:v>2</x:v>
      </x:c>
      <x:c r="AM155" s="81" t="inlineStr">
        <x:is>
          <x:t xml:space="preserve">ChatGPT research</x:t>
        </x:is>
      </x:c>
      <x:c r="AN155" s="81" t="inlineStr">
        <x:is>
          <x:t xml:space="preserve">2026-09-18</x:t>
        </x:is>
      </x:c>
      <x:c r="AO155" s="81" t="inlineStr">
        <x:is>
          <x:t xml:space="preserve">Day 2 full-scope audit, chapters 21–50.</x:t>
        </x:is>
      </x:c>
      <x:c r="AP155" s="81" t="n"/>
      <x:c r="AQ155" s="81" t="n"/>
    </x:row>
    <x:row r="156">
      <x:c r="A156" s="81" t="inlineStr">
        <x:is>
          <x:t xml:space="preserve">research.laozi.day2.ch44.092</x:t>
        </x:is>
      </x:c>
      <x:c r="B156" s="81" t="inlineStr">
        <x:is>
          <x:t xml:space="preserve">Collected</x:t>
        </x:is>
      </x:c>
      <x:c r="C156" s="81" t="inlineStr">
        <x:is>
          <x:t xml:space="preserve">Nội tâm &amp; hiểu mình</x:t>
        </x:is>
      </x:c>
      <x:c r="D156" s="81" t="inlineStr">
        <x:is>
          <x:t xml:space="preserve">Day 2 / Laozi 21–50</x:t>
        </x:is>
      </x:c>
      <x:c r="E156" s="81" t="n"/>
      <x:c r="F156" s="81" t="inlineStr">
        <x:is>
          <x:t xml:space="preserve">Đặt lại câu hỏi về thứ mình đang ưu tiên</x:t>
        </x:is>
      </x:c>
      <x:c r="G156" s="81" t="inlineStr">
        <x:is>
          <x:t xml:space="preserve">Values</x:t>
        </x:is>
      </x:c>
      <x:c r="H156" s="81" t="n"/>
      <x:c r="I156" s="81" t="n"/>
      <x:c r="J156" s="81" t="n"/>
      <x:c r="K156" s="81" t="inlineStr">
        <x:is>
          <x:t xml:space="preserve">Return agency</x:t>
        </x:is>
      </x:c>
      <x:c r="L156" s="81" t="n"/>
      <x:c r="M156" s="81" t="inlineStr">
        <x:is>
          <x:t xml:space="preserve">Trích đoạn triết học</x:t>
        </x:is>
      </x:c>
      <x:c r="N156" s="81" t="inlineStr">
        <x:is>
          <x:t xml:space="preserve">名與身孰親？身與貨孰多？得與亡孰病？</x:t>
        </x:is>
      </x:c>
      <x:c r="O156" s="81" t="inlineStr">
        <x:is>
          <x:t xml:space="preserve">Classical Chinese (文言文)</x:t>
        </x:is>
      </x:c>
      <x:c r="P156" s="81" t="inlineStr">
        <x:is>
          <x:t xml:space="preserve">Danh và thân, điều nào gần mình hơn? Thân và của cải, điều nào đáng giữ hơn? Được và mất, phía nào thực sự gây tổn hại?</x:t>
        </x:is>
      </x:c>
      <x:c r="Q156" s="81" t="inlineStr">
        <x:is>
          <x:t xml:space="preserve">Laozi / 老子</x:t>
        </x:is>
      </x:c>
      <x:c r="R156" s="81" t="inlineStr">
        <x:is>
          <x:t xml:space="preserve">Taoism</x:t>
        </x:is>
      </x:c>
      <x:c r="S156" s="81" t="inlineStr">
        <x:is>
          <x:t xml:space="preserve">道德經 / Tao Te Ching</x:t>
        </x:is>
      </x:c>
      <x:c r="T156" s="81" t="inlineStr">
        <x:is>
          <x:t xml:space="preserve">Chapter 44</x:t>
        </x:is>
      </x:c>
      <x:c r="U156" s="81" t="inlineStr">
        <x:is>
          <x:t xml:space="preserve">https://zh.wikisource.org/zh-hant/%E9%81%93%E5%BE%B7%E7%B6%93_%28%E7%8E%8B%E5%BC%BC%E6%9C%AC%29</x:t>
        </x:is>
      </x:c>
      <x:c r="V156" s="81" t="inlineStr">
        <x:is>
          <x:t xml:space="preserve">Primary text</x:t>
        </x:is>
      </x:c>
      <x:c r="W156" s="81" t="inlineStr">
        <x:is>
          <x:t xml:space="preserve">Working translation</x:t>
        </x:is>
      </x:c>
      <x:c r="X156" s="81" t="inlineStr">
        <x:is>
          <x:t xml:space="preserve">A - Primary source</x:t>
        </x:is>
      </x:c>
      <x:c r="Y156" s="81" t="inlineStr">
        <x:is>
          <x:t xml:space="preserve">Original Chinese checked against Wang Bi recension; Vietnamese is Selflo working translation, not a published translation.</x:t>
        </x:is>
      </x:c>
      <x:c r="Z156" s="81" t="inlineStr">
        <x:is>
          <x:t xml:space="preserve">Public domain / likely</x:t>
        </x:is>
      </x:c>
      <x:c r="AA156" s="81" t="inlineStr">
        <x:is>
          <x:t xml:space="preserve">Ancient source text. Verify jurisdiction/edition before commercial publication.</x:t>
        </x:is>
      </x:c>
      <x:c r="AB156" s="81" t="inlineStr">
        <x:is>
          <x:t xml:space="preserve">High</x:t>
        </x:is>
      </x:c>
      <x:c r="AC156" s="81" t="inlineStr">
        <x:is>
          <x:t xml:space="preserve">Excellent reflection prompt.</x:t>
        </x:is>
      </x:c>
      <x:c r="AD156" s="81" t="inlineStr">
        <x:is>
          <x:t xml:space="preserve">Needs editorial review</x:t>
        </x:is>
      </x:c>
      <x:c r="AE156" s="81" t="inlineStr">
        <x:is>
          <x:t xml:space="preserve">Needs semantic dedupe review</x:t>
        </x:is>
      </x:c>
      <x:c r="AF156" s="81" t="n"/>
      <x:c r="AG156" s="81" t="n"/>
      <x:c r="AH156" s="81" t="inlineStr">
        <x:is>
          <x:t xml:space="preserve">No</x:t>
        </x:is>
      </x:c>
      <x:c r="AI156" s="81" t="inlineStr">
        <x:is>
          <x:t xml:space="preserve">Not reviewed</x:t>
        </x:is>
      </x:c>
      <x:c r="AJ156" s="81" t="inlineStr">
        <x:is>
          <x:t xml:space="preserve">Research only</x:t>
        </x:is>
      </x:c>
      <x:c r="AK156" s="81" t="inlineStr">
        <x:is>
          <x:t xml:space="preserve">Research Pool</x:t>
        </x:is>
      </x:c>
      <x:c r="AL156" s="81" t="n">
        <x:v>2</x:v>
      </x:c>
      <x:c r="AM156" s="81" t="inlineStr">
        <x:is>
          <x:t xml:space="preserve">ChatGPT research</x:t>
        </x:is>
      </x:c>
      <x:c r="AN156" s="81" t="inlineStr">
        <x:is>
          <x:t xml:space="preserve">2026-09-18</x:t>
        </x:is>
      </x:c>
      <x:c r="AO156" s="81" t="inlineStr">
        <x:is>
          <x:t xml:space="preserve">Day 2 full-scope audit, chapters 21–50.</x:t>
        </x:is>
      </x:c>
      <x:c r="AP156" s="81" t="n"/>
      <x:c r="AQ156" s="81" t="n"/>
    </x:row>
    <x:row r="157">
      <x:c r="A157" s="81" t="inlineStr">
        <x:is>
          <x:t xml:space="preserve">research.laozi.day2.ch44.093</x:t>
        </x:is>
      </x:c>
      <x:c r="B157" s="81" t="inlineStr">
        <x:is>
          <x:t xml:space="preserve">Collected</x:t>
        </x:is>
      </x:c>
      <x:c r="C157" s="81" t="inlineStr">
        <x:is>
          <x:t xml:space="preserve">Nội tâm &amp; hiểu mình</x:t>
        </x:is>
      </x:c>
      <x:c r="D157" s="81" t="inlineStr">
        <x:is>
          <x:t xml:space="preserve">Day 2 / Laozi 21–50</x:t>
        </x:is>
      </x:c>
      <x:c r="E157" s="81" t="n"/>
      <x:c r="F157" s="81" t="inlineStr">
        <x:is>
          <x:t xml:space="preserve">Nhìn chi phí của việc nắm giữ</x:t>
        </x:is>
      </x:c>
      <x:c r="G157" s="81" t="inlineStr">
        <x:is>
          <x:t xml:space="preserve">Attachment</x:t>
        </x:is>
      </x:c>
      <x:c r="H157" s="81" t="n"/>
      <x:c r="I157" s="81" t="n"/>
      <x:c r="J157" s="81" t="n"/>
      <x:c r="K157" s="81" t="inlineStr">
        <x:is>
          <x:t xml:space="preserve">Recognize</x:t>
        </x:is>
      </x:c>
      <x:c r="L157" s="81" t="n"/>
      <x:c r="M157" s="81" t="inlineStr">
        <x:is>
          <x:t xml:space="preserve">Trích đoạn triết học</x:t>
        </x:is>
      </x:c>
      <x:c r="N157" s="81" t="inlineStr">
        <x:is>
          <x:t xml:space="preserve">甚愛必大費，多藏必厚亡。</x:t>
        </x:is>
      </x:c>
      <x:c r="O157" s="81" t="inlineStr">
        <x:is>
          <x:t xml:space="preserve">Classical Chinese (文言文)</x:t>
        </x:is>
      </x:c>
      <x:c r="P157" s="81" t="inlineStr">
        <x:is>
          <x:t xml:space="preserve">Bám quá chặt có thể phải trả giá lớn; tích quá nhiều có thể làm phần mất mát lớn hơn.</x:t>
        </x:is>
      </x:c>
      <x:c r="Q157" s="81" t="inlineStr">
        <x:is>
          <x:t xml:space="preserve">Laozi / 老子</x:t>
        </x:is>
      </x:c>
      <x:c r="R157" s="81" t="inlineStr">
        <x:is>
          <x:t xml:space="preserve">Taoism</x:t>
        </x:is>
      </x:c>
      <x:c r="S157" s="81" t="inlineStr">
        <x:is>
          <x:t xml:space="preserve">道德經 / Tao Te Ching</x:t>
        </x:is>
      </x:c>
      <x:c r="T157" s="81" t="inlineStr">
        <x:is>
          <x:t xml:space="preserve">Chapter 44</x:t>
        </x:is>
      </x:c>
      <x:c r="U157" s="81" t="inlineStr">
        <x:is>
          <x:t xml:space="preserve">https://zh.wikisource.org/zh-hant/%E9%81%93%E5%BE%B7%E7%B6%93_%28%E7%8E%8B%E5%BC%BC%E6%9C%AC%29</x:t>
        </x:is>
      </x:c>
      <x:c r="V157" s="81" t="inlineStr">
        <x:is>
          <x:t xml:space="preserve">Primary text</x:t>
        </x:is>
      </x:c>
      <x:c r="W157" s="81" t="inlineStr">
        <x:is>
          <x:t xml:space="preserve">Working translation</x:t>
        </x:is>
      </x:c>
      <x:c r="X157" s="81" t="inlineStr">
        <x:is>
          <x:t xml:space="preserve">A - Primary source</x:t>
        </x:is>
      </x:c>
      <x:c r="Y157" s="81" t="inlineStr">
        <x:is>
          <x:t xml:space="preserve">Original Chinese checked against Wang Bi recension; Vietnamese is Selflo working translation, not a published translation.</x:t>
        </x:is>
      </x:c>
      <x:c r="Z157" s="81" t="inlineStr">
        <x:is>
          <x:t xml:space="preserve">Public domain / likely</x:t>
        </x:is>
      </x:c>
      <x:c r="AA157" s="81" t="inlineStr">
        <x:is>
          <x:t xml:space="preserve">Ancient source text. Verify jurisdiction/edition before commercial publication.</x:t>
        </x:is>
      </x:c>
      <x:c r="AB157" s="81" t="inlineStr">
        <x:is>
          <x:t xml:space="preserve">High</x:t>
        </x:is>
      </x:c>
      <x:c r="AC157" s="81" t="inlineStr">
        <x:is>
          <x:t xml:space="preserve">Avoid absolutism.</x:t>
        </x:is>
      </x:c>
      <x:c r="AD157" s="81" t="inlineStr">
        <x:is>
          <x:t xml:space="preserve">Needs editorial review</x:t>
        </x:is>
      </x:c>
      <x:c r="AE157" s="81" t="inlineStr">
        <x:is>
          <x:t xml:space="preserve">Needs semantic dedupe review</x:t>
        </x:is>
      </x:c>
      <x:c r="AF157" s="81" t="n"/>
      <x:c r="AG157" s="81" t="n"/>
      <x:c r="AH157" s="81" t="inlineStr">
        <x:is>
          <x:t xml:space="preserve">No</x:t>
        </x:is>
      </x:c>
      <x:c r="AI157" s="81" t="inlineStr">
        <x:is>
          <x:t xml:space="preserve">Not reviewed</x:t>
        </x:is>
      </x:c>
      <x:c r="AJ157" s="81" t="inlineStr">
        <x:is>
          <x:t xml:space="preserve">Research only</x:t>
        </x:is>
      </x:c>
      <x:c r="AK157" s="81" t="inlineStr">
        <x:is>
          <x:t xml:space="preserve">Research Pool</x:t>
        </x:is>
      </x:c>
      <x:c r="AL157" s="81" t="n">
        <x:v>2</x:v>
      </x:c>
      <x:c r="AM157" s="81" t="inlineStr">
        <x:is>
          <x:t xml:space="preserve">ChatGPT research</x:t>
        </x:is>
      </x:c>
      <x:c r="AN157" s="81" t="inlineStr">
        <x:is>
          <x:t xml:space="preserve">2026-09-18</x:t>
        </x:is>
      </x:c>
      <x:c r="AO157" s="81" t="inlineStr">
        <x:is>
          <x:t xml:space="preserve">Day 2 full-scope audit, chapters 21–50.</x:t>
        </x:is>
      </x:c>
      <x:c r="AP157" s="81" t="n"/>
      <x:c r="AQ157" s="81" t="n"/>
    </x:row>
    <x:row r="158">
      <x:c r="A158" s="81" t="inlineStr">
        <x:is>
          <x:t xml:space="preserve">research.laozi.day2.ch44.094</x:t>
        </x:is>
      </x:c>
      <x:c r="B158" s="81" t="inlineStr">
        <x:is>
          <x:t xml:space="preserve">Collected</x:t>
        </x:is>
      </x:c>
      <x:c r="C158" s="81" t="inlineStr">
        <x:is>
          <x:t xml:space="preserve">Nội tâm &amp; hiểu mình</x:t>
        </x:is>
      </x:c>
      <x:c r="D158" s="81" t="inlineStr">
        <x:is>
          <x:t xml:space="preserve">Day 2 / Laozi 21–50</x:t>
        </x:is>
      </x:c>
      <x:c r="E158" s="81" t="n"/>
      <x:c r="F158" s="81" t="inlineStr">
        <x:is>
          <x:t xml:space="preserve">Biết đủ và biết dừng như điều kiện của bền vững</x:t>
        </x:is>
      </x:c>
      <x:c r="G158" s="81" t="inlineStr">
        <x:is>
          <x:t xml:space="preserve">Enoughness</x:t>
        </x:is>
      </x:c>
      <x:c r="H158" s="81" t="n"/>
      <x:c r="I158" s="81" t="n"/>
      <x:c r="J158" s="81" t="n"/>
      <x:c r="K158" s="81" t="inlineStr">
        <x:is>
          <x:t xml:space="preserve">Distinguish</x:t>
        </x:is>
      </x:c>
      <x:c r="L158" s="81" t="n"/>
      <x:c r="M158" s="81" t="inlineStr">
        <x:is>
          <x:t xml:space="preserve">Trích đoạn triết học</x:t>
        </x:is>
      </x:c>
      <x:c r="N158" s="81" t="inlineStr">
        <x:is>
          <x:t xml:space="preserve">知足不辱，知止不殆，可以長久。</x:t>
        </x:is>
      </x:c>
      <x:c r="O158" s="81" t="inlineStr">
        <x:is>
          <x:t xml:space="preserve">Classical Chinese (文言文)</x:t>
        </x:is>
      </x:c>
      <x:c r="P158" s="81" t="inlineStr">
        <x:is>
          <x:t xml:space="preserve">Biết đủ giúp tránh tự hạ mình; biết dừng giúp tránh nguy; nhờ đó có thể bền lâu.</x:t>
        </x:is>
      </x:c>
      <x:c r="Q158" s="81" t="inlineStr">
        <x:is>
          <x:t xml:space="preserve">Laozi / 老子</x:t>
        </x:is>
      </x:c>
      <x:c r="R158" s="81" t="inlineStr">
        <x:is>
          <x:t xml:space="preserve">Taoism</x:t>
        </x:is>
      </x:c>
      <x:c r="S158" s="81" t="inlineStr">
        <x:is>
          <x:t xml:space="preserve">道德經 / Tao Te Ching</x:t>
        </x:is>
      </x:c>
      <x:c r="T158" s="81" t="inlineStr">
        <x:is>
          <x:t xml:space="preserve">Chapter 44</x:t>
        </x:is>
      </x:c>
      <x:c r="U158" s="81" t="inlineStr">
        <x:is>
          <x:t xml:space="preserve">https://zh.wikisource.org/zh-hant/%E9%81%93%E5%BE%B7%E7%B6%93_%28%E7%8E%8B%E5%BC%BC%E6%9C%AC%29</x:t>
        </x:is>
      </x:c>
      <x:c r="V158" s="81" t="inlineStr">
        <x:is>
          <x:t xml:space="preserve">Primary text</x:t>
        </x:is>
      </x:c>
      <x:c r="W158" s="81" t="inlineStr">
        <x:is>
          <x:t xml:space="preserve">Working translation</x:t>
        </x:is>
      </x:c>
      <x:c r="X158" s="81" t="inlineStr">
        <x:is>
          <x:t xml:space="preserve">A - Primary source</x:t>
        </x:is>
      </x:c>
      <x:c r="Y158" s="81" t="inlineStr">
        <x:is>
          <x:t xml:space="preserve">Original Chinese checked against Wang Bi recension; Vietnamese is Selflo working translation, not a published translation.</x:t>
        </x:is>
      </x:c>
      <x:c r="Z158" s="81" t="inlineStr">
        <x:is>
          <x:t xml:space="preserve">Public domain / likely</x:t>
        </x:is>
      </x:c>
      <x:c r="AA158" s="81" t="inlineStr">
        <x:is>
          <x:t xml:space="preserve">Ancient source text. Verify jurisdiction/edition before commercial publication.</x:t>
        </x:is>
      </x:c>
      <x:c r="AB158" s="81" t="inlineStr">
        <x:is>
          <x:t xml:space="preserve">High</x:t>
        </x:is>
      </x:c>
      <x:c r="AC158" s="81" t="inlineStr">
        <x:is>
          <x:t xml:space="preserve">Very strong.</x:t>
        </x:is>
      </x:c>
      <x:c r="AD158" s="81" t="inlineStr">
        <x:is>
          <x:t xml:space="preserve">Needs editorial review</x:t>
        </x:is>
      </x:c>
      <x:c r="AE158" s="81" t="inlineStr">
        <x:is>
          <x:t xml:space="preserve">Needs semantic dedupe review</x:t>
        </x:is>
      </x:c>
      <x:c r="AF158" s="81" t="n"/>
      <x:c r="AG158" s="81" t="n"/>
      <x:c r="AH158" s="81" t="inlineStr">
        <x:is>
          <x:t xml:space="preserve">No</x:t>
        </x:is>
      </x:c>
      <x:c r="AI158" s="81" t="inlineStr">
        <x:is>
          <x:t xml:space="preserve">Not reviewed</x:t>
        </x:is>
      </x:c>
      <x:c r="AJ158" s="81" t="inlineStr">
        <x:is>
          <x:t xml:space="preserve">Research only</x:t>
        </x:is>
      </x:c>
      <x:c r="AK158" s="81" t="inlineStr">
        <x:is>
          <x:t xml:space="preserve">Research Pool</x:t>
        </x:is>
      </x:c>
      <x:c r="AL158" s="81" t="n">
        <x:v>2</x:v>
      </x:c>
      <x:c r="AM158" s="81" t="inlineStr">
        <x:is>
          <x:t xml:space="preserve">ChatGPT research</x:t>
        </x:is>
      </x:c>
      <x:c r="AN158" s="81" t="inlineStr">
        <x:is>
          <x:t xml:space="preserve">2026-09-18</x:t>
        </x:is>
      </x:c>
      <x:c r="AO158" s="81" t="inlineStr">
        <x:is>
          <x:t xml:space="preserve">Day 2 full-scope audit, chapters 21–50.</x:t>
        </x:is>
      </x:c>
      <x:c r="AP158" s="81" t="n"/>
      <x:c r="AQ158" s="81" t="n"/>
    </x:row>
    <x:row r="159">
      <x:c r="A159" s="81" t="inlineStr">
        <x:is>
          <x:t xml:space="preserve">research.laozi.day2.ch45.095</x:t>
        </x:is>
      </x:c>
      <x:c r="B159" s="81" t="inlineStr">
        <x:is>
          <x:t xml:space="preserve">Collected</x:t>
        </x:is>
      </x:c>
      <x:c r="C159" s="81" t="inlineStr">
        <x:is>
          <x:t xml:space="preserve">Nội tâm &amp; hiểu mình</x:t>
        </x:is>
      </x:c>
      <x:c r="D159" s="81" t="inlineStr">
        <x:is>
          <x:t xml:space="preserve">Day 2 / Laozi 21–50</x:t>
        </x:is>
      </x:c>
      <x:c r="E159" s="81" t="n"/>
      <x:c r="F159" s="81" t="inlineStr">
        <x:is>
          <x:t xml:space="preserve">Không hoàn hảo bề ngoài không đồng nghĩa vô dụng</x:t>
        </x:is>
      </x:c>
      <x:c r="G159" s="81" t="inlineStr">
        <x:is>
          <x:t xml:space="preserve">Self-worth</x:t>
        </x:is>
      </x:c>
      <x:c r="H159" s="81" t="n"/>
      <x:c r="I159" s="81" t="n"/>
      <x:c r="J159" s="81" t="n"/>
      <x:c r="K159" s="81" t="inlineStr">
        <x:is>
          <x:t xml:space="preserve">Reframe</x:t>
        </x:is>
      </x:c>
      <x:c r="L159" s="81" t="n"/>
      <x:c r="M159" s="81" t="inlineStr">
        <x:is>
          <x:t xml:space="preserve">Trích đoạn triết học</x:t>
        </x:is>
      </x:c>
      <x:c r="N159" s="81" t="inlineStr">
        <x:is>
          <x:t xml:space="preserve">大成若缺，其用不弊。</x:t>
        </x:is>
      </x:c>
      <x:c r="O159" s="81" t="inlineStr">
        <x:is>
          <x:t xml:space="preserve">Classical Chinese (文言文)</x:t>
        </x:is>
      </x:c>
      <x:c r="P159" s="81" t="inlineStr">
        <x:is>
          <x:t xml:space="preserve">Điều thành tựu lớn có thể trông như còn thiếu mà công dụng không suy.</x:t>
        </x:is>
      </x:c>
      <x:c r="Q159" s="81" t="inlineStr">
        <x:is>
          <x:t xml:space="preserve">Laozi / 老子</x:t>
        </x:is>
      </x:c>
      <x:c r="R159" s="81" t="inlineStr">
        <x:is>
          <x:t xml:space="preserve">Taoism</x:t>
        </x:is>
      </x:c>
      <x:c r="S159" s="81" t="inlineStr">
        <x:is>
          <x:t xml:space="preserve">道德經 / Tao Te Ching</x:t>
        </x:is>
      </x:c>
      <x:c r="T159" s="81" t="inlineStr">
        <x:is>
          <x:t xml:space="preserve">Chapter 45</x:t>
        </x:is>
      </x:c>
      <x:c r="U159" s="81" t="inlineStr">
        <x:is>
          <x:t xml:space="preserve">https://zh.wikisource.org/zh-hant/%E9%81%93%E5%BE%B7%E7%B6%93_%28%E7%8E%8B%E5%BC%BC%E6%9C%AC%29</x:t>
        </x:is>
      </x:c>
      <x:c r="V159" s="81" t="inlineStr">
        <x:is>
          <x:t xml:space="preserve">Primary text</x:t>
        </x:is>
      </x:c>
      <x:c r="W159" s="81" t="inlineStr">
        <x:is>
          <x:t xml:space="preserve">Working translation</x:t>
        </x:is>
      </x:c>
      <x:c r="X159" s="81" t="inlineStr">
        <x:is>
          <x:t xml:space="preserve">A - Primary source</x:t>
        </x:is>
      </x:c>
      <x:c r="Y159" s="81" t="inlineStr">
        <x:is>
          <x:t xml:space="preserve">Original Chinese checked against Wang Bi recension; Vietnamese is Selflo working translation, not a published translation.</x:t>
        </x:is>
      </x:c>
      <x:c r="Z159" s="81" t="inlineStr">
        <x:is>
          <x:t xml:space="preserve">Public domain / likely</x:t>
        </x:is>
      </x:c>
      <x:c r="AA159" s="81" t="inlineStr">
        <x:is>
          <x:t xml:space="preserve">Ancient source text. Verify jurisdiction/edition before commercial publication.</x:t>
        </x:is>
      </x:c>
      <x:c r="AB159" s="81" t="inlineStr">
        <x:is>
          <x:t xml:space="preserve">High</x:t>
        </x:is>
      </x:c>
      <x:c r="AC159" s="81" t="inlineStr">
        <x:is>
          <x:t xml:space="preserve">Excellent.</x:t>
        </x:is>
      </x:c>
      <x:c r="AD159" s="81" t="inlineStr">
        <x:is>
          <x:t xml:space="preserve">Needs editorial review</x:t>
        </x:is>
      </x:c>
      <x:c r="AE159" s="81" t="inlineStr">
        <x:is>
          <x:t xml:space="preserve">Needs semantic dedupe review</x:t>
        </x:is>
      </x:c>
      <x:c r="AF159" s="81" t="n"/>
      <x:c r="AG159" s="81" t="n"/>
      <x:c r="AH159" s="81" t="inlineStr">
        <x:is>
          <x:t xml:space="preserve">No</x:t>
        </x:is>
      </x:c>
      <x:c r="AI159" s="81" t="inlineStr">
        <x:is>
          <x:t xml:space="preserve">Not reviewed</x:t>
        </x:is>
      </x:c>
      <x:c r="AJ159" s="81" t="inlineStr">
        <x:is>
          <x:t xml:space="preserve">Research only</x:t>
        </x:is>
      </x:c>
      <x:c r="AK159" s="81" t="inlineStr">
        <x:is>
          <x:t xml:space="preserve">Research Pool</x:t>
        </x:is>
      </x:c>
      <x:c r="AL159" s="81" t="n">
        <x:v>2</x:v>
      </x:c>
      <x:c r="AM159" s="81" t="inlineStr">
        <x:is>
          <x:t xml:space="preserve">ChatGPT research</x:t>
        </x:is>
      </x:c>
      <x:c r="AN159" s="81" t="inlineStr">
        <x:is>
          <x:t xml:space="preserve">2026-09-18</x:t>
        </x:is>
      </x:c>
      <x:c r="AO159" s="81" t="inlineStr">
        <x:is>
          <x:t xml:space="preserve">Day 2 full-scope audit, chapters 21–50.</x:t>
        </x:is>
      </x:c>
      <x:c r="AP159" s="81" t="n"/>
      <x:c r="AQ159" s="81" t="n"/>
    </x:row>
    <x:row r="160">
      <x:c r="A160" s="81" t="inlineStr">
        <x:is>
          <x:t xml:space="preserve">research.laozi.day2.ch45.096</x:t>
        </x:is>
      </x:c>
      <x:c r="B160" s="81" t="inlineStr">
        <x:is>
          <x:t xml:space="preserve">Collected</x:t>
        </x:is>
      </x:c>
      <x:c r="C160" s="81" t="inlineStr">
        <x:is>
          <x:t xml:space="preserve">Nội tâm &amp; hiểu mình</x:t>
        </x:is>
      </x:c>
      <x:c r="D160" s="81" t="inlineStr">
        <x:is>
          <x:t xml:space="preserve">Day 2 / Laozi 21–50</x:t>
        </x:is>
      </x:c>
      <x:c r="E160" s="81" t="n"/>
      <x:c r="F160" s="81" t="inlineStr">
        <x:is>
          <x:t xml:space="preserve">Đầy và rỗng không phải lúc nào đối nghịch đơn giản</x:t>
        </x:is>
      </x:c>
      <x:c r="G160" s="81" t="inlineStr">
        <x:is>
          <x:t xml:space="preserve">Enoughness</x:t>
        </x:is>
      </x:c>
      <x:c r="H160" s="81" t="n"/>
      <x:c r="I160" s="81" t="n"/>
      <x:c r="J160" s="81" t="n"/>
      <x:c r="K160" s="81" t="inlineStr">
        <x:is>
          <x:t xml:space="preserve">Reframe</x:t>
        </x:is>
      </x:c>
      <x:c r="L160" s="81" t="n"/>
      <x:c r="M160" s="81" t="inlineStr">
        <x:is>
          <x:t xml:space="preserve">Trích đoạn triết học</x:t>
        </x:is>
      </x:c>
      <x:c r="N160" s="81" t="inlineStr">
        <x:is>
          <x:t xml:space="preserve">大盈若沖，其用不窮。</x:t>
        </x:is>
      </x:c>
      <x:c r="O160" s="81" t="inlineStr">
        <x:is>
          <x:t xml:space="preserve">Classical Chinese (文言文)</x:t>
        </x:is>
      </x:c>
      <x:c r="P160" s="81" t="inlineStr">
        <x:is>
          <x:t xml:space="preserve">Cái đầy lớn có thể trông như rỗng mà dùng không cạn.</x:t>
        </x:is>
      </x:c>
      <x:c r="Q160" s="81" t="inlineStr">
        <x:is>
          <x:t xml:space="preserve">Laozi / 老子</x:t>
        </x:is>
      </x:c>
      <x:c r="R160" s="81" t="inlineStr">
        <x:is>
          <x:t xml:space="preserve">Taoism</x:t>
        </x:is>
      </x:c>
      <x:c r="S160" s="81" t="inlineStr">
        <x:is>
          <x:t xml:space="preserve">道德經 / Tao Te Ching</x:t>
        </x:is>
      </x:c>
      <x:c r="T160" s="81" t="inlineStr">
        <x:is>
          <x:t xml:space="preserve">Chapter 45</x:t>
        </x:is>
      </x:c>
      <x:c r="U160" s="81" t="inlineStr">
        <x:is>
          <x:t xml:space="preserve">https://zh.wikisource.org/zh-hant/%E9%81%93%E5%BE%B7%E7%B6%93_%28%E7%8E%8B%E5%BC%BC%E6%9C%AC%29</x:t>
        </x:is>
      </x:c>
      <x:c r="V160" s="81" t="inlineStr">
        <x:is>
          <x:t xml:space="preserve">Primary text</x:t>
        </x:is>
      </x:c>
      <x:c r="W160" s="81" t="inlineStr">
        <x:is>
          <x:t xml:space="preserve">Working translation</x:t>
        </x:is>
      </x:c>
      <x:c r="X160" s="81" t="inlineStr">
        <x:is>
          <x:t xml:space="preserve">A - Primary source</x:t>
        </x:is>
      </x:c>
      <x:c r="Y160" s="81" t="inlineStr">
        <x:is>
          <x:t xml:space="preserve">Original Chinese checked against Wang Bi recension; Vietnamese is Selflo working translation, not a published translation.</x:t>
        </x:is>
      </x:c>
      <x:c r="Z160" s="81" t="inlineStr">
        <x:is>
          <x:t xml:space="preserve">Public domain / likely</x:t>
        </x:is>
      </x:c>
      <x:c r="AA160" s="81" t="inlineStr">
        <x:is>
          <x:t xml:space="preserve">Ancient source text. Verify jurisdiction/edition before commercial publication.</x:t>
        </x:is>
      </x:c>
      <x:c r="AB160" s="81" t="inlineStr">
        <x:is>
          <x:t xml:space="preserve">High</x:t>
        </x:is>
      </x:c>
      <x:c r="AC160" s="81" t="inlineStr">
        <x:is>
          <x:t xml:space="preserve">Strong.</x:t>
        </x:is>
      </x:c>
      <x:c r="AD160" s="81" t="inlineStr">
        <x:is>
          <x:t xml:space="preserve">Needs editorial review</x:t>
        </x:is>
      </x:c>
      <x:c r="AE160" s="81" t="inlineStr">
        <x:is>
          <x:t xml:space="preserve">Needs semantic dedupe review</x:t>
        </x:is>
      </x:c>
      <x:c r="AF160" s="81" t="n"/>
      <x:c r="AG160" s="81" t="n"/>
      <x:c r="AH160" s="81" t="inlineStr">
        <x:is>
          <x:t xml:space="preserve">No</x:t>
        </x:is>
      </x:c>
      <x:c r="AI160" s="81" t="inlineStr">
        <x:is>
          <x:t xml:space="preserve">Not reviewed</x:t>
        </x:is>
      </x:c>
      <x:c r="AJ160" s="81" t="inlineStr">
        <x:is>
          <x:t xml:space="preserve">Research only</x:t>
        </x:is>
      </x:c>
      <x:c r="AK160" s="81" t="inlineStr">
        <x:is>
          <x:t xml:space="preserve">Research Pool</x:t>
        </x:is>
      </x:c>
      <x:c r="AL160" s="81" t="n">
        <x:v>2</x:v>
      </x:c>
      <x:c r="AM160" s="81" t="inlineStr">
        <x:is>
          <x:t xml:space="preserve">ChatGPT research</x:t>
        </x:is>
      </x:c>
      <x:c r="AN160" s="81" t="inlineStr">
        <x:is>
          <x:t xml:space="preserve">2026-09-18</x:t>
        </x:is>
      </x:c>
      <x:c r="AO160" s="81" t="inlineStr">
        <x:is>
          <x:t xml:space="preserve">Day 2 full-scope audit, chapters 21–50.</x:t>
        </x:is>
      </x:c>
      <x:c r="AP160" s="81" t="n"/>
      <x:c r="AQ160" s="81" t="n"/>
    </x:row>
    <x:row r="161">
      <x:c r="A161" s="81" t="inlineStr">
        <x:is>
          <x:t xml:space="preserve">research.laozi.day2.ch45.097</x:t>
        </x:is>
      </x:c>
      <x:c r="B161" s="81" t="inlineStr">
        <x:is>
          <x:t xml:space="preserve">Collected</x:t>
        </x:is>
      </x:c>
      <x:c r="C161" s="81" t="inlineStr">
        <x:is>
          <x:t xml:space="preserve">Nội tâm &amp; hiểu mình</x:t>
        </x:is>
      </x:c>
      <x:c r="D161" s="81" t="inlineStr">
        <x:is>
          <x:t xml:space="preserve">Day 2 / Laozi 21–50</x:t>
        </x:is>
      </x:c>
      <x:c r="E161" s="81" t="n"/>
      <x:c r="F161" s="81" t="inlineStr">
        <x:is>
          <x:t xml:space="preserve">Bề ngoài vụng hoặc ít lời không quyết định năng lực</x:t>
        </x:is>
      </x:c>
      <x:c r="G161" s="81" t="inlineStr">
        <x:is>
          <x:t xml:space="preserve">Self-worth</x:t>
        </x:is>
      </x:c>
      <x:c r="H161" s="81" t="n"/>
      <x:c r="I161" s="81" t="n"/>
      <x:c r="J161" s="81" t="n"/>
      <x:c r="K161" s="81" t="inlineStr">
        <x:is>
          <x:t xml:space="preserve">Reframe</x:t>
        </x:is>
      </x:c>
      <x:c r="L161" s="81" t="n"/>
      <x:c r="M161" s="81" t="inlineStr">
        <x:is>
          <x:t xml:space="preserve">Trích đoạn triết học</x:t>
        </x:is>
      </x:c>
      <x:c r="N161" s="81" t="inlineStr">
        <x:is>
          <x:t xml:space="preserve">大直若屈，大巧若拙，大辯若訥。</x:t>
        </x:is>
      </x:c>
      <x:c r="O161" s="81" t="inlineStr">
        <x:is>
          <x:t xml:space="preserve">Classical Chinese (文言文)</x:t>
        </x:is>
      </x:c>
      <x:c r="P161" s="81" t="inlineStr">
        <x:is>
          <x:t xml:space="preserve">Cái thẳng lớn có thể trông cong; khéo lớn có thể trông vụng; biện lớn có thể trông ít lời.</x:t>
        </x:is>
      </x:c>
      <x:c r="Q161" s="81" t="inlineStr">
        <x:is>
          <x:t xml:space="preserve">Laozi / 老子</x:t>
        </x:is>
      </x:c>
      <x:c r="R161" s="81" t="inlineStr">
        <x:is>
          <x:t xml:space="preserve">Taoism</x:t>
        </x:is>
      </x:c>
      <x:c r="S161" s="81" t="inlineStr">
        <x:is>
          <x:t xml:space="preserve">道德經 / Tao Te Ching</x:t>
        </x:is>
      </x:c>
      <x:c r="T161" s="81" t="inlineStr">
        <x:is>
          <x:t xml:space="preserve">Chapter 45</x:t>
        </x:is>
      </x:c>
      <x:c r="U161" s="81" t="inlineStr">
        <x:is>
          <x:t xml:space="preserve">https://zh.wikisource.org/zh-hant/%E9%81%93%E5%BE%B7%E7%B6%93_%28%E7%8E%8B%E5%BC%BC%E6%9C%AC%29</x:t>
        </x:is>
      </x:c>
      <x:c r="V161" s="81" t="inlineStr">
        <x:is>
          <x:t xml:space="preserve">Primary text</x:t>
        </x:is>
      </x:c>
      <x:c r="W161" s="81" t="inlineStr">
        <x:is>
          <x:t xml:space="preserve">Working translation</x:t>
        </x:is>
      </x:c>
      <x:c r="X161" s="81" t="inlineStr">
        <x:is>
          <x:t xml:space="preserve">A - Primary source</x:t>
        </x:is>
      </x:c>
      <x:c r="Y161" s="81" t="inlineStr">
        <x:is>
          <x:t xml:space="preserve">Original Chinese checked against Wang Bi recension; Vietnamese is Selflo working translation, not a published translation.</x:t>
        </x:is>
      </x:c>
      <x:c r="Z161" s="81" t="inlineStr">
        <x:is>
          <x:t xml:space="preserve">Public domain / likely</x:t>
        </x:is>
      </x:c>
      <x:c r="AA161" s="81" t="inlineStr">
        <x:is>
          <x:t xml:space="preserve">Ancient source text. Verify jurisdiction/edition before commercial publication.</x:t>
        </x:is>
      </x:c>
      <x:c r="AB161" s="81" t="inlineStr">
        <x:is>
          <x:t xml:space="preserve">High</x:t>
        </x:is>
      </x:c>
      <x:c r="AC161" s="81" t="inlineStr">
        <x:is>
          <x:t xml:space="preserve">Very Selflo.</x:t>
        </x:is>
      </x:c>
      <x:c r="AD161" s="81" t="inlineStr">
        <x:is>
          <x:t xml:space="preserve">Needs editorial review</x:t>
        </x:is>
      </x:c>
      <x:c r="AE161" s="81" t="inlineStr">
        <x:is>
          <x:t xml:space="preserve">Needs semantic dedupe review</x:t>
        </x:is>
      </x:c>
      <x:c r="AF161" s="81" t="n"/>
      <x:c r="AG161" s="81" t="n"/>
      <x:c r="AH161" s="81" t="inlineStr">
        <x:is>
          <x:t xml:space="preserve">No</x:t>
        </x:is>
      </x:c>
      <x:c r="AI161" s="81" t="inlineStr">
        <x:is>
          <x:t xml:space="preserve">Not reviewed</x:t>
        </x:is>
      </x:c>
      <x:c r="AJ161" s="81" t="inlineStr">
        <x:is>
          <x:t xml:space="preserve">Research only</x:t>
        </x:is>
      </x:c>
      <x:c r="AK161" s="81" t="inlineStr">
        <x:is>
          <x:t xml:space="preserve">Research Pool</x:t>
        </x:is>
      </x:c>
      <x:c r="AL161" s="81" t="n">
        <x:v>2</x:v>
      </x:c>
      <x:c r="AM161" s="81" t="inlineStr">
        <x:is>
          <x:t xml:space="preserve">ChatGPT research</x:t>
        </x:is>
      </x:c>
      <x:c r="AN161" s="81" t="inlineStr">
        <x:is>
          <x:t xml:space="preserve">2026-09-18</x:t>
        </x:is>
      </x:c>
      <x:c r="AO161" s="81" t="inlineStr">
        <x:is>
          <x:t xml:space="preserve">Day 2 full-scope audit, chapters 21–50.</x:t>
        </x:is>
      </x:c>
      <x:c r="AP161" s="81" t="n"/>
      <x:c r="AQ161" s="81" t="n"/>
    </x:row>
    <x:row r="162">
      <x:c r="A162" s="81" t="inlineStr">
        <x:is>
          <x:t xml:space="preserve">research.laozi.day2.ch45.098</x:t>
        </x:is>
      </x:c>
      <x:c r="B162" s="81" t="inlineStr">
        <x:is>
          <x:t xml:space="preserve">Collected</x:t>
        </x:is>
      </x:c>
      <x:c r="C162" s="81" t="inlineStr">
        <x:is>
          <x:t xml:space="preserve">Nội tâm &amp; hiểu mình</x:t>
        </x:is>
      </x:c>
      <x:c r="D162" s="81" t="inlineStr">
        <x:is>
          <x:t xml:space="preserve">Day 2 / Laozi 21–50</x:t>
        </x:is>
      </x:c>
      <x:c r="E162" s="81" t="n"/>
      <x:c r="F162" s="81" t="inlineStr">
        <x:is>
          <x:t xml:space="preserve">Trạng thái phù hợp phụ thuộc điều đang cần cân bằng</x:t>
        </x:is>
      </x:c>
      <x:c r="G162" s="81" t="inlineStr">
        <x:is>
          <x:t xml:space="preserve">Context</x:t>
        </x:is>
      </x:c>
      <x:c r="H162" s="81" t="n"/>
      <x:c r="I162" s="81" t="n"/>
      <x:c r="J162" s="81" t="n"/>
      <x:c r="K162" s="81" t="inlineStr">
        <x:is>
          <x:t xml:space="preserve">Distinguish</x:t>
        </x:is>
      </x:c>
      <x:c r="L162" s="81" t="n"/>
      <x:c r="M162" s="81" t="inlineStr">
        <x:is>
          <x:t xml:space="preserve">Trích đoạn triết học</x:t>
        </x:is>
      </x:c>
      <x:c r="N162" s="81" t="inlineStr">
        <x:is>
          <x:t xml:space="preserve">躁勝寒，靜勝熱，清靜為天下正。</x:t>
        </x:is>
      </x:c>
      <x:c r="O162" s="81" t="inlineStr">
        <x:is>
          <x:t xml:space="preserve">Classical Chinese (文言文)</x:t>
        </x:is>
      </x:c>
      <x:c r="P162" s="81" t="inlineStr">
        <x:is>
          <x:t xml:space="preserve">Động có thể thắng lạnh, tĩnh có thể thắng nóng; văn bản đặt sự trong và tĩnh ở vị trí cân bằng.</x:t>
        </x:is>
      </x:c>
      <x:c r="Q162" s="81" t="inlineStr">
        <x:is>
          <x:t xml:space="preserve">Laozi / 老子</x:t>
        </x:is>
      </x:c>
      <x:c r="R162" s="81" t="inlineStr">
        <x:is>
          <x:t xml:space="preserve">Taoism</x:t>
        </x:is>
      </x:c>
      <x:c r="S162" s="81" t="inlineStr">
        <x:is>
          <x:t xml:space="preserve">道德經 / Tao Te Ching</x:t>
        </x:is>
      </x:c>
      <x:c r="T162" s="81" t="inlineStr">
        <x:is>
          <x:t xml:space="preserve">Chapter 45</x:t>
        </x:is>
      </x:c>
      <x:c r="U162" s="81" t="inlineStr">
        <x:is>
          <x:t xml:space="preserve">https://zh.wikisource.org/zh-hant/%E9%81%93%E5%BE%B7%E7%B6%93_%28%E7%8E%8B%E5%BC%BC%E6%9C%AC%29</x:t>
        </x:is>
      </x:c>
      <x:c r="V162" s="81" t="inlineStr">
        <x:is>
          <x:t xml:space="preserve">Primary text</x:t>
        </x:is>
      </x:c>
      <x:c r="W162" s="81" t="inlineStr">
        <x:is>
          <x:t xml:space="preserve">Working translation</x:t>
        </x:is>
      </x:c>
      <x:c r="X162" s="81" t="inlineStr">
        <x:is>
          <x:t xml:space="preserve">A - Primary source</x:t>
        </x:is>
      </x:c>
      <x:c r="Y162" s="81" t="inlineStr">
        <x:is>
          <x:t xml:space="preserve">Original Chinese checked against Wang Bi recension; Vietnamese is Selflo working translation, not a published translation.</x:t>
        </x:is>
      </x:c>
      <x:c r="Z162" s="81" t="inlineStr">
        <x:is>
          <x:t xml:space="preserve">Public domain / likely</x:t>
        </x:is>
      </x:c>
      <x:c r="AA162" s="81" t="inlineStr">
        <x:is>
          <x:t xml:space="preserve">Ancient source text. Verify jurisdiction/edition before commercial publication.</x:t>
        </x:is>
      </x:c>
      <x:c r="AB162" s="81" t="inlineStr">
        <x:is>
          <x:t xml:space="preserve">Medium</x:t>
        </x:is>
      </x:c>
      <x:c r="AC162" s="81" t="inlineStr">
        <x:is>
          <x:t xml:space="preserve">Do not turn into health advice.</x:t>
        </x:is>
      </x:c>
      <x:c r="AD162" s="81" t="inlineStr">
        <x:is>
          <x:t xml:space="preserve">Needs editorial review</x:t>
        </x:is>
      </x:c>
      <x:c r="AE162" s="81" t="inlineStr">
        <x:is>
          <x:t xml:space="preserve">Needs semantic dedupe review</x:t>
        </x:is>
      </x:c>
      <x:c r="AF162" s="81" t="n"/>
      <x:c r="AG162" s="81" t="n"/>
      <x:c r="AH162" s="81" t="inlineStr">
        <x:is>
          <x:t xml:space="preserve">No</x:t>
        </x:is>
      </x:c>
      <x:c r="AI162" s="81" t="inlineStr">
        <x:is>
          <x:t xml:space="preserve">Not reviewed</x:t>
        </x:is>
      </x:c>
      <x:c r="AJ162" s="81" t="inlineStr">
        <x:is>
          <x:t xml:space="preserve">Research only</x:t>
        </x:is>
      </x:c>
      <x:c r="AK162" s="81" t="inlineStr">
        <x:is>
          <x:t xml:space="preserve">Research Pool</x:t>
        </x:is>
      </x:c>
      <x:c r="AL162" s="81" t="n">
        <x:v>2</x:v>
      </x:c>
      <x:c r="AM162" s="81" t="inlineStr">
        <x:is>
          <x:t xml:space="preserve">ChatGPT research</x:t>
        </x:is>
      </x:c>
      <x:c r="AN162" s="81" t="inlineStr">
        <x:is>
          <x:t xml:space="preserve">2026-09-18</x:t>
        </x:is>
      </x:c>
      <x:c r="AO162" s="81" t="inlineStr">
        <x:is>
          <x:t xml:space="preserve">Day 2 full-scope audit, chapters 21–50.</x:t>
        </x:is>
      </x:c>
      <x:c r="AP162" s="81" t="n"/>
      <x:c r="AQ162" s="81" t="n"/>
    </x:row>
    <x:row r="163">
      <x:c r="A163" s="81" t="inlineStr">
        <x:is>
          <x:t xml:space="preserve">research.laozi.day2.ch46.099</x:t>
        </x:is>
      </x:c>
      <x:c r="B163" s="81" t="inlineStr">
        <x:is>
          <x:t xml:space="preserve">Collected</x:t>
        </x:is>
      </x:c>
      <x:c r="C163" s="81" t="inlineStr">
        <x:is>
          <x:t xml:space="preserve">Nội tâm &amp; hiểu mình</x:t>
        </x:is>
      </x:c>
      <x:c r="D163" s="81" t="inlineStr">
        <x:is>
          <x:t xml:space="preserve">Day 2 / Laozi 21–50</x:t>
        </x:is>
      </x:c>
      <x:c r="E163" s="81" t="n"/>
      <x:c r="F163" s="81" t="inlineStr">
        <x:is>
          <x:t xml:space="preserve">Cùng một nguồn lực có thể phục vụ nuôi dưỡng hoặc xung đột</x:t>
        </x:is>
      </x:c>
      <x:c r="G163" s="81" t="inlineStr">
        <x:is>
          <x:t xml:space="preserve">Values</x:t>
        </x:is>
      </x:c>
      <x:c r="H163" s="81" t="n"/>
      <x:c r="I163" s="81" t="n"/>
      <x:c r="J163" s="81" t="n"/>
      <x:c r="K163" s="81" t="inlineStr">
        <x:is>
          <x:t xml:space="preserve">Distinguish</x:t>
        </x:is>
      </x:c>
      <x:c r="L163" s="81" t="n"/>
      <x:c r="M163" s="81" t="inlineStr">
        <x:is>
          <x:t xml:space="preserve">Trích đoạn triết học</x:t>
        </x:is>
      </x:c>
      <x:c r="N163" s="81" t="inlineStr">
        <x:is>
          <x:t xml:space="preserve">天下有道，卻走馬以糞；天下無道，戎馬生於郊。</x:t>
        </x:is>
      </x:c>
      <x:c r="O163" s="81" t="inlineStr">
        <x:is>
          <x:t xml:space="preserve">Classical Chinese (文言文)</x:t>
        </x:is>
      </x:c>
      <x:c r="P163" s="81" t="inlineStr">
        <x:is>
          <x:t xml:space="preserve">Khi trật tự tốt, ngựa được dùng cho ruộng; khi trật tự rối, ngựa chiến xuất hiện ngoài đồng.</x:t>
        </x:is>
      </x:c>
      <x:c r="Q163" s="81" t="inlineStr">
        <x:is>
          <x:t xml:space="preserve">Laozi / 老子</x:t>
        </x:is>
      </x:c>
      <x:c r="R163" s="81" t="inlineStr">
        <x:is>
          <x:t xml:space="preserve">Taoism</x:t>
        </x:is>
      </x:c>
      <x:c r="S163" s="81" t="inlineStr">
        <x:is>
          <x:t xml:space="preserve">道德經 / Tao Te Ching</x:t>
        </x:is>
      </x:c>
      <x:c r="T163" s="81" t="inlineStr">
        <x:is>
          <x:t xml:space="preserve">Chapter 46</x:t>
        </x:is>
      </x:c>
      <x:c r="U163" s="81" t="inlineStr">
        <x:is>
          <x:t xml:space="preserve">https://zh.wikisource.org/zh-hant/%E9%81%93%E5%BE%B7%E7%B6%93_%28%E7%8E%8B%E5%BC%BC%E6%9C%AC%29</x:t>
        </x:is>
      </x:c>
      <x:c r="V163" s="81" t="inlineStr">
        <x:is>
          <x:t xml:space="preserve">Primary text</x:t>
        </x:is>
      </x:c>
      <x:c r="W163" s="81" t="inlineStr">
        <x:is>
          <x:t xml:space="preserve">Working translation</x:t>
        </x:is>
      </x:c>
      <x:c r="X163" s="81" t="inlineStr">
        <x:is>
          <x:t xml:space="preserve">A - Primary source</x:t>
        </x:is>
      </x:c>
      <x:c r="Y163" s="81" t="inlineStr">
        <x:is>
          <x:t xml:space="preserve">Original Chinese checked against Wang Bi recension; Vietnamese is Selflo working translation, not a published translation.</x:t>
        </x:is>
      </x:c>
      <x:c r="Z163" s="81" t="inlineStr">
        <x:is>
          <x:t xml:space="preserve">Public domain / likely</x:t>
        </x:is>
      </x:c>
      <x:c r="AA163" s="81" t="inlineStr">
        <x:is>
          <x:t xml:space="preserve">Ancient source text. Verify jurisdiction/edition before commercial publication.</x:t>
        </x:is>
      </x:c>
      <x:c r="AB163" s="81" t="inlineStr">
        <x:is>
          <x:t xml:space="preserve">Medium</x:t>
        </x:is>
      </x:c>
      <x:c r="AC163" s="81" t="inlineStr">
        <x:is>
          <x:t xml:space="preserve">Societal/political.</x:t>
        </x:is>
      </x:c>
      <x:c r="AD163" s="81" t="inlineStr">
        <x:is>
          <x:t xml:space="preserve">Needs editorial review</x:t>
        </x:is>
      </x:c>
      <x:c r="AE163" s="81" t="inlineStr">
        <x:is>
          <x:t xml:space="preserve">Needs semantic dedupe review</x:t>
        </x:is>
      </x:c>
      <x:c r="AF163" s="81" t="n"/>
      <x:c r="AG163" s="81" t="n"/>
      <x:c r="AH163" s="81" t="inlineStr">
        <x:is>
          <x:t xml:space="preserve">No</x:t>
        </x:is>
      </x:c>
      <x:c r="AI163" s="81" t="inlineStr">
        <x:is>
          <x:t xml:space="preserve">Not reviewed</x:t>
        </x:is>
      </x:c>
      <x:c r="AJ163" s="81" t="inlineStr">
        <x:is>
          <x:t xml:space="preserve">Research only</x:t>
        </x:is>
      </x:c>
      <x:c r="AK163" s="81" t="inlineStr">
        <x:is>
          <x:t xml:space="preserve">Research Pool</x:t>
        </x:is>
      </x:c>
      <x:c r="AL163" s="81" t="n">
        <x:v>2</x:v>
      </x:c>
      <x:c r="AM163" s="81" t="inlineStr">
        <x:is>
          <x:t xml:space="preserve">ChatGPT research</x:t>
        </x:is>
      </x:c>
      <x:c r="AN163" s="81" t="inlineStr">
        <x:is>
          <x:t xml:space="preserve">2026-09-18</x:t>
        </x:is>
      </x:c>
      <x:c r="AO163" s="81" t="inlineStr">
        <x:is>
          <x:t xml:space="preserve">Day 2 full-scope audit, chapters 21–50.</x:t>
        </x:is>
      </x:c>
      <x:c r="AP163" s="81" t="n"/>
      <x:c r="AQ163" s="81" t="n"/>
    </x:row>
    <x:row r="164">
      <x:c r="A164" s="81" t="inlineStr">
        <x:is>
          <x:t xml:space="preserve">research.laozi.day2.ch46.100</x:t>
        </x:is>
      </x:c>
      <x:c r="B164" s="81" t="inlineStr">
        <x:is>
          <x:t xml:space="preserve">Collected</x:t>
        </x:is>
      </x:c>
      <x:c r="C164" s="81" t="inlineStr">
        <x:is>
          <x:t xml:space="preserve">Nội tâm &amp; hiểu mình</x:t>
        </x:is>
      </x:c>
      <x:c r="D164" s="81" t="inlineStr">
        <x:is>
          <x:t xml:space="preserve">Day 2 / Laozi 21–50</x:t>
        </x:is>
      </x:c>
      <x:c r="E164" s="81" t="n"/>
      <x:c r="F164" s="81" t="inlineStr">
        <x:is>
          <x:t xml:space="preserve">Ham muốn không giới hạn có thể tự tạo áp lực</x:t>
        </x:is>
      </x:c>
      <x:c r="G164" s="81" t="inlineStr">
        <x:is>
          <x:t xml:space="preserve">Enoughness</x:t>
        </x:is>
      </x:c>
      <x:c r="H164" s="81" t="n"/>
      <x:c r="I164" s="81" t="n"/>
      <x:c r="J164" s="81" t="n"/>
      <x:c r="K164" s="81" t="inlineStr">
        <x:is>
          <x:t xml:space="preserve">Recognize</x:t>
        </x:is>
      </x:c>
      <x:c r="L164" s="81" t="n"/>
      <x:c r="M164" s="81" t="inlineStr">
        <x:is>
          <x:t xml:space="preserve">Trích đoạn triết học</x:t>
        </x:is>
      </x:c>
      <x:c r="N164" s="81" t="inlineStr">
        <x:is>
          <x:t xml:space="preserve">罪莫大於可欲，禍莫大於不知足，咎莫大於欲得。</x:t>
        </x:is>
      </x:c>
      <x:c r="O164" s="81" t="inlineStr">
        <x:is>
          <x:t xml:space="preserve">Classical Chinese (文言文)</x:t>
        </x:is>
      </x:c>
      <x:c r="P164" s="81" t="inlineStr">
        <x:is>
          <x:t xml:space="preserve">Văn bản cảnh báo mạnh về ham muốn không giới hạn, không biết đủ và luôn muốn có thêm.</x:t>
        </x:is>
      </x:c>
      <x:c r="Q164" s="81" t="inlineStr">
        <x:is>
          <x:t xml:space="preserve">Laozi / 老子</x:t>
        </x:is>
      </x:c>
      <x:c r="R164" s="81" t="inlineStr">
        <x:is>
          <x:t xml:space="preserve">Taoism</x:t>
        </x:is>
      </x:c>
      <x:c r="S164" s="81" t="inlineStr">
        <x:is>
          <x:t xml:space="preserve">道德經 / Tao Te Ching</x:t>
        </x:is>
      </x:c>
      <x:c r="T164" s="81" t="inlineStr">
        <x:is>
          <x:t xml:space="preserve">Chapter 46</x:t>
        </x:is>
      </x:c>
      <x:c r="U164" s="81" t="inlineStr">
        <x:is>
          <x:t xml:space="preserve">https://zh.wikisource.org/zh-hant/%E9%81%93%E5%BE%B7%E7%B6%93_%28%E7%8E%8B%E5%BC%BC%E6%9C%AC%29</x:t>
        </x:is>
      </x:c>
      <x:c r="V164" s="81" t="inlineStr">
        <x:is>
          <x:t xml:space="preserve">Primary text</x:t>
        </x:is>
      </x:c>
      <x:c r="W164" s="81" t="inlineStr">
        <x:is>
          <x:t xml:space="preserve">Working translation</x:t>
        </x:is>
      </x:c>
      <x:c r="X164" s="81" t="inlineStr">
        <x:is>
          <x:t xml:space="preserve">A - Primary source</x:t>
        </x:is>
      </x:c>
      <x:c r="Y164" s="81" t="inlineStr">
        <x:is>
          <x:t xml:space="preserve">Original Chinese checked against Wang Bi recension; Vietnamese is Selflo working translation, not a published translation.</x:t>
        </x:is>
      </x:c>
      <x:c r="Z164" s="81" t="inlineStr">
        <x:is>
          <x:t xml:space="preserve">Public domain / likely</x:t>
        </x:is>
      </x:c>
      <x:c r="AA164" s="81" t="inlineStr">
        <x:is>
          <x:t xml:space="preserve">Ancient source text. Verify jurisdiction/edition before commercial publication.</x:t>
        </x:is>
      </x:c>
      <x:c r="AB164" s="81" t="inlineStr">
        <x:is>
          <x:t xml:space="preserve">Medium</x:t>
        </x:is>
      </x:c>
      <x:c r="AC164" s="81" t="inlineStr">
        <x:is>
          <x:t xml:space="preserve">Moralizing; research.</x:t>
        </x:is>
      </x:c>
      <x:c r="AD164" s="81" t="inlineStr">
        <x:is>
          <x:t xml:space="preserve">Needs editorial review</x:t>
        </x:is>
      </x:c>
      <x:c r="AE164" s="81" t="inlineStr">
        <x:is>
          <x:t xml:space="preserve">Needs semantic dedupe review</x:t>
        </x:is>
      </x:c>
      <x:c r="AF164" s="81" t="n"/>
      <x:c r="AG164" s="81" t="n"/>
      <x:c r="AH164" s="81" t="inlineStr">
        <x:is>
          <x:t xml:space="preserve">No</x:t>
        </x:is>
      </x:c>
      <x:c r="AI164" s="81" t="inlineStr">
        <x:is>
          <x:t xml:space="preserve">Not reviewed</x:t>
        </x:is>
      </x:c>
      <x:c r="AJ164" s="81" t="inlineStr">
        <x:is>
          <x:t xml:space="preserve">Research only</x:t>
        </x:is>
      </x:c>
      <x:c r="AK164" s="81" t="inlineStr">
        <x:is>
          <x:t xml:space="preserve">Research Pool</x:t>
        </x:is>
      </x:c>
      <x:c r="AL164" s="81" t="n">
        <x:v>2</x:v>
      </x:c>
      <x:c r="AM164" s="81" t="inlineStr">
        <x:is>
          <x:t xml:space="preserve">ChatGPT research</x:t>
        </x:is>
      </x:c>
      <x:c r="AN164" s="81" t="inlineStr">
        <x:is>
          <x:t xml:space="preserve">2026-09-18</x:t>
        </x:is>
      </x:c>
      <x:c r="AO164" s="81" t="inlineStr">
        <x:is>
          <x:t xml:space="preserve">Day 2 full-scope audit, chapters 21–50.</x:t>
        </x:is>
      </x:c>
      <x:c r="AP164" s="81" t="n"/>
      <x:c r="AQ164" s="81" t="n"/>
    </x:row>
    <x:row r="165">
      <x:c r="A165" s="81" t="inlineStr">
        <x:is>
          <x:t xml:space="preserve">research.laozi.day2.ch46.101</x:t>
        </x:is>
      </x:c>
      <x:c r="B165" s="81" t="inlineStr">
        <x:is>
          <x:t xml:space="preserve">Collected</x:t>
        </x:is>
      </x:c>
      <x:c r="C165" s="81" t="inlineStr">
        <x:is>
          <x:t xml:space="preserve">Nội tâm &amp; hiểu mình</x:t>
        </x:is>
      </x:c>
      <x:c r="D165" s="81" t="inlineStr">
        <x:is>
          <x:t xml:space="preserve">Day 2 / Laozi 21–50</x:t>
        </x:is>
      </x:c>
      <x:c r="E165" s="81" t="n"/>
      <x:c r="F165" s="81" t="inlineStr">
        <x:is>
          <x:t xml:space="preserve">Cảm giác đủ có thể là một năng lực phân định</x:t>
        </x:is>
      </x:c>
      <x:c r="G165" s="81" t="inlineStr">
        <x:is>
          <x:t xml:space="preserve">Enoughness</x:t>
        </x:is>
      </x:c>
      <x:c r="H165" s="81" t="n"/>
      <x:c r="I165" s="81" t="n"/>
      <x:c r="J165" s="81" t="n"/>
      <x:c r="K165" s="81" t="inlineStr">
        <x:is>
          <x:t xml:space="preserve">Reframe</x:t>
        </x:is>
      </x:c>
      <x:c r="L165" s="81" t="n"/>
      <x:c r="M165" s="81" t="inlineStr">
        <x:is>
          <x:t xml:space="preserve">Trích đoạn triết học</x:t>
        </x:is>
      </x:c>
      <x:c r="N165" s="81" t="inlineStr">
        <x:is>
          <x:t xml:space="preserve">知足之足，常足矣。</x:t>
        </x:is>
      </x:c>
      <x:c r="O165" s="81" t="inlineStr">
        <x:is>
          <x:t xml:space="preserve">Classical Chinese (文言文)</x:t>
        </x:is>
      </x:c>
      <x:c r="P165" s="81" t="inlineStr">
        <x:is>
          <x:t xml:space="preserve">Biết thế nào là đủ có thể tạo một dạng đủ bền hơn việc cứ thêm.</x:t>
        </x:is>
      </x:c>
      <x:c r="Q165" s="81" t="inlineStr">
        <x:is>
          <x:t xml:space="preserve">Laozi / 老子</x:t>
        </x:is>
      </x:c>
      <x:c r="R165" s="81" t="inlineStr">
        <x:is>
          <x:t xml:space="preserve">Taoism</x:t>
        </x:is>
      </x:c>
      <x:c r="S165" s="81" t="inlineStr">
        <x:is>
          <x:t xml:space="preserve">道德經 / Tao Te Ching</x:t>
        </x:is>
      </x:c>
      <x:c r="T165" s="81" t="inlineStr">
        <x:is>
          <x:t xml:space="preserve">Chapter 46</x:t>
        </x:is>
      </x:c>
      <x:c r="U165" s="81" t="inlineStr">
        <x:is>
          <x:t xml:space="preserve">https://zh.wikisource.org/zh-hant/%E9%81%93%E5%BE%B7%E7%B6%93_%28%E7%8E%8B%E5%BC%BC%E6%9C%AC%29</x:t>
        </x:is>
      </x:c>
      <x:c r="V165" s="81" t="inlineStr">
        <x:is>
          <x:t xml:space="preserve">Primary text</x:t>
        </x:is>
      </x:c>
      <x:c r="W165" s="81" t="inlineStr">
        <x:is>
          <x:t xml:space="preserve">Working translation</x:t>
        </x:is>
      </x:c>
      <x:c r="X165" s="81" t="inlineStr">
        <x:is>
          <x:t xml:space="preserve">A - Primary source</x:t>
        </x:is>
      </x:c>
      <x:c r="Y165" s="81" t="inlineStr">
        <x:is>
          <x:t xml:space="preserve">Original Chinese checked against Wang Bi recension; Vietnamese is Selflo working translation, not a published translation.</x:t>
        </x:is>
      </x:c>
      <x:c r="Z165" s="81" t="inlineStr">
        <x:is>
          <x:t xml:space="preserve">Public domain / likely</x:t>
        </x:is>
      </x:c>
      <x:c r="AA165" s="81" t="inlineStr">
        <x:is>
          <x:t xml:space="preserve">Ancient source text. Verify jurisdiction/edition before commercial publication.</x:t>
        </x:is>
      </x:c>
      <x:c r="AB165" s="81" t="inlineStr">
        <x:is>
          <x:t xml:space="preserve">High</x:t>
        </x:is>
      </x:c>
      <x:c r="AC165" s="81" t="inlineStr">
        <x:is>
          <x:t xml:space="preserve">Strong.</x:t>
        </x:is>
      </x:c>
      <x:c r="AD165" s="81" t="inlineStr">
        <x:is>
          <x:t xml:space="preserve">Needs editorial review</x:t>
        </x:is>
      </x:c>
      <x:c r="AE165" s="81" t="inlineStr">
        <x:is>
          <x:t xml:space="preserve">Needs semantic dedupe review</x:t>
        </x:is>
      </x:c>
      <x:c r="AF165" s="81" t="n"/>
      <x:c r="AG165" s="81" t="n"/>
      <x:c r="AH165" s="81" t="inlineStr">
        <x:is>
          <x:t xml:space="preserve">No</x:t>
        </x:is>
      </x:c>
      <x:c r="AI165" s="81" t="inlineStr">
        <x:is>
          <x:t xml:space="preserve">Not reviewed</x:t>
        </x:is>
      </x:c>
      <x:c r="AJ165" s="81" t="inlineStr">
        <x:is>
          <x:t xml:space="preserve">Research only</x:t>
        </x:is>
      </x:c>
      <x:c r="AK165" s="81" t="inlineStr">
        <x:is>
          <x:t xml:space="preserve">Research Pool</x:t>
        </x:is>
      </x:c>
      <x:c r="AL165" s="81" t="n">
        <x:v>2</x:v>
      </x:c>
      <x:c r="AM165" s="81" t="inlineStr">
        <x:is>
          <x:t xml:space="preserve">ChatGPT research</x:t>
        </x:is>
      </x:c>
      <x:c r="AN165" s="81" t="inlineStr">
        <x:is>
          <x:t xml:space="preserve">2026-09-18</x:t>
        </x:is>
      </x:c>
      <x:c r="AO165" s="81" t="inlineStr">
        <x:is>
          <x:t xml:space="preserve">Day 2 full-scope audit, chapters 21–50.</x:t>
        </x:is>
      </x:c>
      <x:c r="AP165" s="81" t="n"/>
      <x:c r="AQ165" s="81" t="n"/>
    </x:row>
    <x:row r="166">
      <x:c r="A166" s="81" t="inlineStr">
        <x:is>
          <x:t xml:space="preserve">research.laozi.day2.ch47.102</x:t>
        </x:is>
      </x:c>
      <x:c r="B166" s="81" t="inlineStr">
        <x:is>
          <x:t xml:space="preserve">Collected</x:t>
        </x:is>
      </x:c>
      <x:c r="C166" s="81" t="inlineStr">
        <x:is>
          <x:t xml:space="preserve">Nội tâm &amp; hiểu mình</x:t>
        </x:is>
      </x:c>
      <x:c r="D166" s="81" t="inlineStr">
        <x:is>
          <x:t xml:space="preserve">Day 2 / Laozi 21–50</x:t>
        </x:is>
      </x:c>
      <x:c r="E166" s="81" t="n"/>
      <x:c r="F166" s="81" t="inlineStr">
        <x:is>
          <x:t xml:space="preserve">Thông tin nhiều hơn không phải điều kiện duy nhất của hiểu biết</x:t>
        </x:is>
      </x:c>
      <x:c r="G166" s="81" t="inlineStr">
        <x:is>
          <x:t xml:space="preserve">Judgment</x:t>
        </x:is>
      </x:c>
      <x:c r="H166" s="81" t="n"/>
      <x:c r="I166" s="81" t="n"/>
      <x:c r="J166" s="81" t="n"/>
      <x:c r="K166" s="81" t="inlineStr">
        <x:is>
          <x:t xml:space="preserve">Distinguish</x:t>
        </x:is>
      </x:c>
      <x:c r="L166" s="81" t="n"/>
      <x:c r="M166" s="81" t="inlineStr">
        <x:is>
          <x:t xml:space="preserve">Trích đoạn triết học</x:t>
        </x:is>
      </x:c>
      <x:c r="N166" s="81" t="inlineStr">
        <x:is>
          <x:t xml:space="preserve">不出戶，知天下；不闚牖，見天道。</x:t>
        </x:is>
      </x:c>
      <x:c r="O166" s="81" t="inlineStr">
        <x:is>
          <x:t xml:space="preserve">Classical Chinese (文言文)</x:t>
        </x:is>
      </x:c>
      <x:c r="P166" s="81" t="inlineStr">
        <x:is>
          <x:t xml:space="preserve">Không bước khỏi cửa vẫn có thể hiểu một phần thế giới; không nhìn qua cửa sổ vẫn có thể nhận ra quy luật.</x:t>
        </x:is>
      </x:c>
      <x:c r="Q166" s="81" t="inlineStr">
        <x:is>
          <x:t xml:space="preserve">Laozi / 老子</x:t>
        </x:is>
      </x:c>
      <x:c r="R166" s="81" t="inlineStr">
        <x:is>
          <x:t xml:space="preserve">Taoism</x:t>
        </x:is>
      </x:c>
      <x:c r="S166" s="81" t="inlineStr">
        <x:is>
          <x:t xml:space="preserve">道德經 / Tao Te Ching</x:t>
        </x:is>
      </x:c>
      <x:c r="T166" s="81" t="inlineStr">
        <x:is>
          <x:t xml:space="preserve">Chapter 47</x:t>
        </x:is>
      </x:c>
      <x:c r="U166" s="81" t="inlineStr">
        <x:is>
          <x:t xml:space="preserve">https://zh.wikisource.org/zh-hant/%E9%81%93%E5%BE%B7%E7%B6%93_%28%E7%8E%8B%E5%BC%BC%E6%9C%AC%29</x:t>
        </x:is>
      </x:c>
      <x:c r="V166" s="81" t="inlineStr">
        <x:is>
          <x:t xml:space="preserve">Primary text</x:t>
        </x:is>
      </x:c>
      <x:c r="W166" s="81" t="inlineStr">
        <x:is>
          <x:t xml:space="preserve">Working translation</x:t>
        </x:is>
      </x:c>
      <x:c r="X166" s="81" t="inlineStr">
        <x:is>
          <x:t xml:space="preserve">A - Primary source</x:t>
        </x:is>
      </x:c>
      <x:c r="Y166" s="81" t="inlineStr">
        <x:is>
          <x:t xml:space="preserve">Original Chinese checked against Wang Bi recension; Vietnamese is Selflo working translation, not a published translation.</x:t>
        </x:is>
      </x:c>
      <x:c r="Z166" s="81" t="inlineStr">
        <x:is>
          <x:t xml:space="preserve">Public domain / likely</x:t>
        </x:is>
      </x:c>
      <x:c r="AA166" s="81" t="inlineStr">
        <x:is>
          <x:t xml:space="preserve">Ancient source text. Verify jurisdiction/edition before commercial publication.</x:t>
        </x:is>
      </x:c>
      <x:c r="AB166" s="81" t="inlineStr">
        <x:is>
          <x:t xml:space="preserve">High</x:t>
        </x:is>
      </x:c>
      <x:c r="AC166" s="81" t="inlineStr">
        <x:is>
          <x:t xml:space="preserve">Very relevant AI/info age; ancient epistemology.</x:t>
        </x:is>
      </x:c>
      <x:c r="AD166" s="81" t="inlineStr">
        <x:is>
          <x:t xml:space="preserve">Needs editorial review</x:t>
        </x:is>
      </x:c>
      <x:c r="AE166" s="81" t="inlineStr">
        <x:is>
          <x:t xml:space="preserve">Needs semantic dedupe review</x:t>
        </x:is>
      </x:c>
      <x:c r="AF166" s="81" t="n"/>
      <x:c r="AG166" s="81" t="n"/>
      <x:c r="AH166" s="81" t="inlineStr">
        <x:is>
          <x:t xml:space="preserve">No</x:t>
        </x:is>
      </x:c>
      <x:c r="AI166" s="81" t="inlineStr">
        <x:is>
          <x:t xml:space="preserve">Not reviewed</x:t>
        </x:is>
      </x:c>
      <x:c r="AJ166" s="81" t="inlineStr">
        <x:is>
          <x:t xml:space="preserve">Research only</x:t>
        </x:is>
      </x:c>
      <x:c r="AK166" s="81" t="inlineStr">
        <x:is>
          <x:t xml:space="preserve">Research Pool</x:t>
        </x:is>
      </x:c>
      <x:c r="AL166" s="81" t="n">
        <x:v>2</x:v>
      </x:c>
      <x:c r="AM166" s="81" t="inlineStr">
        <x:is>
          <x:t xml:space="preserve">ChatGPT research</x:t>
        </x:is>
      </x:c>
      <x:c r="AN166" s="81" t="inlineStr">
        <x:is>
          <x:t xml:space="preserve">2026-09-18</x:t>
        </x:is>
      </x:c>
      <x:c r="AO166" s="81" t="inlineStr">
        <x:is>
          <x:t xml:space="preserve">Day 2 full-scope audit, chapters 21–50.</x:t>
        </x:is>
      </x:c>
      <x:c r="AP166" s="81" t="n"/>
      <x:c r="AQ166" s="81" t="n"/>
    </x:row>
    <x:row r="167">
      <x:c r="A167" s="81" t="inlineStr">
        <x:is>
          <x:t xml:space="preserve">research.laozi.day2.ch47.103</x:t>
        </x:is>
      </x:c>
      <x:c r="B167" s="81" t="inlineStr">
        <x:is>
          <x:t xml:space="preserve">Collected</x:t>
        </x:is>
      </x:c>
      <x:c r="C167" s="81" t="inlineStr">
        <x:is>
          <x:t xml:space="preserve">Nội tâm &amp; hiểu mình</x:t>
        </x:is>
      </x:c>
      <x:c r="D167" s="81" t="inlineStr">
        <x:is>
          <x:t xml:space="preserve">Day 2 / Laozi 21–50</x:t>
        </x:is>
      </x:c>
      <x:c r="E167" s="81" t="n"/>
      <x:c r="F167" s="81" t="inlineStr">
        <x:is>
          <x:t xml:space="preserve">Thu thập thêm không bảo đảm hiểu sâu hơn</x:t>
        </x:is>
      </x:c>
      <x:c r="G167" s="81" t="inlineStr">
        <x:is>
          <x:t xml:space="preserve">Attention</x:t>
        </x:is>
      </x:c>
      <x:c r="H167" s="81" t="n"/>
      <x:c r="I167" s="81" t="n"/>
      <x:c r="J167" s="81" t="n"/>
      <x:c r="K167" s="81" t="inlineStr">
        <x:is>
          <x:t xml:space="preserve">Distinguish</x:t>
        </x:is>
      </x:c>
      <x:c r="L167" s="81" t="n"/>
      <x:c r="M167" s="81" t="inlineStr">
        <x:is>
          <x:t xml:space="preserve">Trích đoạn triết học</x:t>
        </x:is>
      </x:c>
      <x:c r="N167" s="81" t="inlineStr">
        <x:is>
          <x:t xml:space="preserve">其出彌遠，其知彌少。</x:t>
        </x:is>
      </x:c>
      <x:c r="O167" s="81" t="inlineStr">
        <x:is>
          <x:t xml:space="preserve">Classical Chinese (文言文)</x:t>
        </x:is>
      </x:c>
      <x:c r="P167" s="81" t="inlineStr">
        <x:is>
          <x:t xml:space="preserve">Đi càng xa chưa chắc biết càng nhiều; có lúc càng tìm rộng lại càng rời điều cần hiểu.</x:t>
        </x:is>
      </x:c>
      <x:c r="Q167" s="81" t="inlineStr">
        <x:is>
          <x:t xml:space="preserve">Laozi / 老子</x:t>
        </x:is>
      </x:c>
      <x:c r="R167" s="81" t="inlineStr">
        <x:is>
          <x:t xml:space="preserve">Taoism</x:t>
        </x:is>
      </x:c>
      <x:c r="S167" s="81" t="inlineStr">
        <x:is>
          <x:t xml:space="preserve">道德經 / Tao Te Ching</x:t>
        </x:is>
      </x:c>
      <x:c r="T167" s="81" t="inlineStr">
        <x:is>
          <x:t xml:space="preserve">Chapter 47</x:t>
        </x:is>
      </x:c>
      <x:c r="U167" s="81" t="inlineStr">
        <x:is>
          <x:t xml:space="preserve">https://zh.wikisource.org/zh-hant/%E9%81%93%E5%BE%B7%E7%B6%93_%28%E7%8E%8B%E5%BC%BC%E6%9C%AC%29</x:t>
        </x:is>
      </x:c>
      <x:c r="V167" s="81" t="inlineStr">
        <x:is>
          <x:t xml:space="preserve">Primary text</x:t>
        </x:is>
      </x:c>
      <x:c r="W167" s="81" t="inlineStr">
        <x:is>
          <x:t xml:space="preserve">Working translation</x:t>
        </x:is>
      </x:c>
      <x:c r="X167" s="81" t="inlineStr">
        <x:is>
          <x:t xml:space="preserve">A - Primary source</x:t>
        </x:is>
      </x:c>
      <x:c r="Y167" s="81" t="inlineStr">
        <x:is>
          <x:t xml:space="preserve">Original Chinese checked against Wang Bi recension; Vietnamese is Selflo working translation, not a published translation.</x:t>
        </x:is>
      </x:c>
      <x:c r="Z167" s="81" t="inlineStr">
        <x:is>
          <x:t xml:space="preserve">Public domain / likely</x:t>
        </x:is>
      </x:c>
      <x:c r="AA167" s="81" t="inlineStr">
        <x:is>
          <x:t xml:space="preserve">Ancient source text. Verify jurisdiction/edition before commercial publication.</x:t>
        </x:is>
      </x:c>
      <x:c r="AB167" s="81" t="inlineStr">
        <x:is>
          <x:t xml:space="preserve">High</x:t>
        </x:is>
      </x:c>
      <x:c r="AC167" s="81" t="inlineStr">
        <x:is>
          <x:t xml:space="preserve">Excellent for research/AI.</x:t>
        </x:is>
      </x:c>
      <x:c r="AD167" s="81" t="inlineStr">
        <x:is>
          <x:t xml:space="preserve">Needs editorial review</x:t>
        </x:is>
      </x:c>
      <x:c r="AE167" s="81" t="inlineStr">
        <x:is>
          <x:t xml:space="preserve">Needs semantic dedupe review</x:t>
        </x:is>
      </x:c>
      <x:c r="AF167" s="81" t="n"/>
      <x:c r="AG167" s="81" t="n"/>
      <x:c r="AH167" s="81" t="inlineStr">
        <x:is>
          <x:t xml:space="preserve">No</x:t>
        </x:is>
      </x:c>
      <x:c r="AI167" s="81" t="inlineStr">
        <x:is>
          <x:t xml:space="preserve">Not reviewed</x:t>
        </x:is>
      </x:c>
      <x:c r="AJ167" s="81" t="inlineStr">
        <x:is>
          <x:t xml:space="preserve">Research only</x:t>
        </x:is>
      </x:c>
      <x:c r="AK167" s="81" t="inlineStr">
        <x:is>
          <x:t xml:space="preserve">Research Pool</x:t>
        </x:is>
      </x:c>
      <x:c r="AL167" s="81" t="n">
        <x:v>2</x:v>
      </x:c>
      <x:c r="AM167" s="81" t="inlineStr">
        <x:is>
          <x:t xml:space="preserve">ChatGPT research</x:t>
        </x:is>
      </x:c>
      <x:c r="AN167" s="81" t="inlineStr">
        <x:is>
          <x:t xml:space="preserve">2026-09-18</x:t>
        </x:is>
      </x:c>
      <x:c r="AO167" s="81" t="inlineStr">
        <x:is>
          <x:t xml:space="preserve">Day 2 full-scope audit, chapters 21–50.</x:t>
        </x:is>
      </x:c>
      <x:c r="AP167" s="81" t="n"/>
      <x:c r="AQ167" s="81" t="n"/>
    </x:row>
    <x:row r="168">
      <x:c r="A168" s="81" t="inlineStr">
        <x:is>
          <x:t xml:space="preserve">research.laozi.day2.ch47.104</x:t>
        </x:is>
      </x:c>
      <x:c r="B168" s="81" t="inlineStr">
        <x:is>
          <x:t xml:space="preserve">Collected</x:t>
        </x:is>
      </x:c>
      <x:c r="C168" s="81" t="inlineStr">
        <x:is>
          <x:t xml:space="preserve">Nội tâm &amp; hiểu mình</x:t>
        </x:is>
      </x:c>
      <x:c r="D168" s="81" t="inlineStr">
        <x:is>
          <x:t xml:space="preserve">Day 2 / Laozi 21–50</x:t>
        </x:is>
      </x:c>
      <x:c r="E168" s="81" t="n"/>
      <x:c r="F168" s="81" t="inlineStr">
        <x:is>
          <x:t xml:space="preserve">Phân biệt hiểu biết với lượng hoạt động bề ngoài</x:t>
        </x:is>
      </x:c>
      <x:c r="G168" s="81" t="inlineStr">
        <x:is>
          <x:t xml:space="preserve">Judgment</x:t>
        </x:is>
      </x:c>
      <x:c r="H168" s="81" t="n"/>
      <x:c r="I168" s="81" t="n"/>
      <x:c r="J168" s="81" t="n"/>
      <x:c r="K168" s="81" t="inlineStr">
        <x:is>
          <x:t xml:space="preserve">Reframe</x:t>
        </x:is>
      </x:c>
      <x:c r="L168" s="81" t="n"/>
      <x:c r="M168" s="81" t="inlineStr">
        <x:is>
          <x:t xml:space="preserve">Trích đoạn triết học</x:t>
        </x:is>
      </x:c>
      <x:c r="N168" s="81" t="inlineStr">
        <x:is>
          <x:t xml:space="preserve">不行而知，不見而名，不為而成。</x:t>
        </x:is>
      </x:c>
      <x:c r="O168" s="81" t="inlineStr">
        <x:is>
          <x:t xml:space="preserve">Classical Chinese (文言文)</x:t>
        </x:is>
      </x:c>
      <x:c r="P168" s="81" t="inlineStr">
        <x:is>
          <x:t xml:space="preserve">Có thể biết mà không chạy khắp nơi, gọi tên mà không cần thấy mọi thứ, tạo điều kiện cho việc thành mà không cưỡng làm.</x:t>
        </x:is>
      </x:c>
      <x:c r="Q168" s="81" t="inlineStr">
        <x:is>
          <x:t xml:space="preserve">Laozi / 老子</x:t>
        </x:is>
      </x:c>
      <x:c r="R168" s="81" t="inlineStr">
        <x:is>
          <x:t xml:space="preserve">Taoism</x:t>
        </x:is>
      </x:c>
      <x:c r="S168" s="81" t="inlineStr">
        <x:is>
          <x:t xml:space="preserve">道德經 / Tao Te Ching</x:t>
        </x:is>
      </x:c>
      <x:c r="T168" s="81" t="inlineStr">
        <x:is>
          <x:t xml:space="preserve">Chapter 47</x:t>
        </x:is>
      </x:c>
      <x:c r="U168" s="81" t="inlineStr">
        <x:is>
          <x:t xml:space="preserve">https://zh.wikisource.org/zh-hant/%E9%81%93%E5%BE%B7%E7%B6%93_%28%E7%8E%8B%E5%BC%BC%E6%9C%AC%29</x:t>
        </x:is>
      </x:c>
      <x:c r="V168" s="81" t="inlineStr">
        <x:is>
          <x:t xml:space="preserve">Primary text</x:t>
        </x:is>
      </x:c>
      <x:c r="W168" s="81" t="inlineStr">
        <x:is>
          <x:t xml:space="preserve">Working translation</x:t>
        </x:is>
      </x:c>
      <x:c r="X168" s="81" t="inlineStr">
        <x:is>
          <x:t xml:space="preserve">A - Primary source</x:t>
        </x:is>
      </x:c>
      <x:c r="Y168" s="81" t="inlineStr">
        <x:is>
          <x:t xml:space="preserve">Original Chinese checked against Wang Bi recension; Vietnamese is Selflo working translation, not a published translation.</x:t>
        </x:is>
      </x:c>
      <x:c r="Z168" s="81" t="inlineStr">
        <x:is>
          <x:t xml:space="preserve">Public domain / likely</x:t>
        </x:is>
      </x:c>
      <x:c r="AA168" s="81" t="inlineStr">
        <x:is>
          <x:t xml:space="preserve">Ancient source text. Verify jurisdiction/edition before commercial publication.</x:t>
        </x:is>
      </x:c>
      <x:c r="AB168" s="81" t="inlineStr">
        <x:is>
          <x:t xml:space="preserve">High</x:t>
        </x:is>
      </x:c>
      <x:c r="AC168" s="81" t="inlineStr">
        <x:is>
          <x:t xml:space="preserve">Interpretive.</x:t>
        </x:is>
      </x:c>
      <x:c r="AD168" s="81" t="inlineStr">
        <x:is>
          <x:t xml:space="preserve">Needs editorial review</x:t>
        </x:is>
      </x:c>
      <x:c r="AE168" s="81" t="inlineStr">
        <x:is>
          <x:t xml:space="preserve">Needs semantic dedupe review</x:t>
        </x:is>
      </x:c>
      <x:c r="AF168" s="81" t="n"/>
      <x:c r="AG168" s="81" t="n"/>
      <x:c r="AH168" s="81" t="inlineStr">
        <x:is>
          <x:t xml:space="preserve">No</x:t>
        </x:is>
      </x:c>
      <x:c r="AI168" s="81" t="inlineStr">
        <x:is>
          <x:t xml:space="preserve">Not reviewed</x:t>
        </x:is>
      </x:c>
      <x:c r="AJ168" s="81" t="inlineStr">
        <x:is>
          <x:t xml:space="preserve">Research only</x:t>
        </x:is>
      </x:c>
      <x:c r="AK168" s="81" t="inlineStr">
        <x:is>
          <x:t xml:space="preserve">Research Pool</x:t>
        </x:is>
      </x:c>
      <x:c r="AL168" s="81" t="n">
        <x:v>2</x:v>
      </x:c>
      <x:c r="AM168" s="81" t="inlineStr">
        <x:is>
          <x:t xml:space="preserve">ChatGPT research</x:t>
        </x:is>
      </x:c>
      <x:c r="AN168" s="81" t="inlineStr">
        <x:is>
          <x:t xml:space="preserve">2026-09-18</x:t>
        </x:is>
      </x:c>
      <x:c r="AO168" s="81" t="inlineStr">
        <x:is>
          <x:t xml:space="preserve">Day 2 full-scope audit, chapters 21–50.</x:t>
        </x:is>
      </x:c>
      <x:c r="AP168" s="81" t="n"/>
      <x:c r="AQ168" s="81" t="n"/>
    </x:row>
    <x:row r="169">
      <x:c r="A169" s="81" t="inlineStr">
        <x:is>
          <x:t xml:space="preserve">research.laozi.day2.ch48.105</x:t>
        </x:is>
      </x:c>
      <x:c r="B169" s="81" t="inlineStr">
        <x:is>
          <x:t xml:space="preserve">Collected</x:t>
        </x:is>
      </x:c>
      <x:c r="C169" s="81" t="inlineStr">
        <x:is>
          <x:t xml:space="preserve">Nội tâm &amp; hiểu mình</x:t>
        </x:is>
      </x:c>
      <x:c r="D169" s="81" t="inlineStr">
        <x:is>
          <x:t xml:space="preserve">Day 2 / Laozi 21–50</x:t>
        </x:is>
      </x:c>
      <x:c r="E169" s="81" t="n"/>
      <x:c r="F169" s="81" t="inlineStr">
        <x:is>
          <x:t xml:space="preserve">Có lúc phát triển bằng thêm, có lúc bằng bớt</x:t>
        </x:is>
      </x:c>
      <x:c r="G169" s="81" t="inlineStr">
        <x:is>
          <x:t xml:space="preserve">Learning</x:t>
        </x:is>
      </x:c>
      <x:c r="H169" s="81" t="n"/>
      <x:c r="I169" s="81" t="n"/>
      <x:c r="J169" s="81" t="n"/>
      <x:c r="K169" s="81" t="inlineStr">
        <x:is>
          <x:t xml:space="preserve">Distinguish</x:t>
        </x:is>
      </x:c>
      <x:c r="L169" s="81" t="n"/>
      <x:c r="M169" s="81" t="inlineStr">
        <x:is>
          <x:t xml:space="preserve">Trích đoạn triết học</x:t>
        </x:is>
      </x:c>
      <x:c r="N169" s="81" t="inlineStr">
        <x:is>
          <x:t xml:space="preserve">為學日益，為道日損。</x:t>
        </x:is>
      </x:c>
      <x:c r="O169" s="81" t="inlineStr">
        <x:is>
          <x:t xml:space="preserve">Classical Chinese (文言文)</x:t>
        </x:is>
      </x:c>
      <x:c r="P169" s="81" t="inlineStr">
        <x:is>
          <x:t xml:space="preserve">Theo việc học, mỗi ngày có thể thêm; theo Đạo, mỗi ngày lại bớt.</x:t>
        </x:is>
      </x:c>
      <x:c r="Q169" s="81" t="inlineStr">
        <x:is>
          <x:t xml:space="preserve">Laozi / 老子</x:t>
        </x:is>
      </x:c>
      <x:c r="R169" s="81" t="inlineStr">
        <x:is>
          <x:t xml:space="preserve">Taoism</x:t>
        </x:is>
      </x:c>
      <x:c r="S169" s="81" t="inlineStr">
        <x:is>
          <x:t xml:space="preserve">道德經 / Tao Te Ching</x:t>
        </x:is>
      </x:c>
      <x:c r="T169" s="81" t="inlineStr">
        <x:is>
          <x:t xml:space="preserve">Chapter 48</x:t>
        </x:is>
      </x:c>
      <x:c r="U169" s="81" t="inlineStr">
        <x:is>
          <x:t xml:space="preserve">https://zh.wikisource.org/zh-hant/%E9%81%93%E5%BE%B7%E7%B6%93_%28%E7%8E%8B%E5%BC%BC%E6%9C%AC%29</x:t>
        </x:is>
      </x:c>
      <x:c r="V169" s="81" t="inlineStr">
        <x:is>
          <x:t xml:space="preserve">Primary text</x:t>
        </x:is>
      </x:c>
      <x:c r="W169" s="81" t="inlineStr">
        <x:is>
          <x:t xml:space="preserve">Working translation</x:t>
        </x:is>
      </x:c>
      <x:c r="X169" s="81" t="inlineStr">
        <x:is>
          <x:t xml:space="preserve">A - Primary source</x:t>
        </x:is>
      </x:c>
      <x:c r="Y169" s="81" t="inlineStr">
        <x:is>
          <x:t xml:space="preserve">Original Chinese checked against Wang Bi recension; Vietnamese is Selflo working translation, not a published translation.</x:t>
        </x:is>
      </x:c>
      <x:c r="Z169" s="81" t="inlineStr">
        <x:is>
          <x:t xml:space="preserve">Public domain / likely</x:t>
        </x:is>
      </x:c>
      <x:c r="AA169" s="81" t="inlineStr">
        <x:is>
          <x:t xml:space="preserve">Ancient source text. Verify jurisdiction/edition before commercial publication.</x:t>
        </x:is>
      </x:c>
      <x:c r="AB169" s="81" t="inlineStr">
        <x:is>
          <x:t xml:space="preserve">High</x:t>
        </x:is>
      </x:c>
      <x:c r="AC169" s="81" t="inlineStr">
        <x:is>
          <x:t xml:space="preserve">Core AI-age principle.</x:t>
        </x:is>
      </x:c>
      <x:c r="AD169" s="81" t="inlineStr">
        <x:is>
          <x:t xml:space="preserve">Needs editorial review</x:t>
        </x:is>
      </x:c>
      <x:c r="AE169" s="81" t="inlineStr">
        <x:is>
          <x:t xml:space="preserve">Needs semantic dedupe review</x:t>
        </x:is>
      </x:c>
      <x:c r="AF169" s="81" t="n"/>
      <x:c r="AG169" s="81" t="n"/>
      <x:c r="AH169" s="81" t="inlineStr">
        <x:is>
          <x:t xml:space="preserve">No</x:t>
        </x:is>
      </x:c>
      <x:c r="AI169" s="81" t="inlineStr">
        <x:is>
          <x:t xml:space="preserve">Not reviewed</x:t>
        </x:is>
      </x:c>
      <x:c r="AJ169" s="81" t="inlineStr">
        <x:is>
          <x:t xml:space="preserve">Research only</x:t>
        </x:is>
      </x:c>
      <x:c r="AK169" s="81" t="inlineStr">
        <x:is>
          <x:t xml:space="preserve">Research Pool</x:t>
        </x:is>
      </x:c>
      <x:c r="AL169" s="81" t="n">
        <x:v>2</x:v>
      </x:c>
      <x:c r="AM169" s="81" t="inlineStr">
        <x:is>
          <x:t xml:space="preserve">ChatGPT research</x:t>
        </x:is>
      </x:c>
      <x:c r="AN169" s="81" t="inlineStr">
        <x:is>
          <x:t xml:space="preserve">2026-09-18</x:t>
        </x:is>
      </x:c>
      <x:c r="AO169" s="81" t="inlineStr">
        <x:is>
          <x:t xml:space="preserve">Day 2 full-scope audit, chapters 21–50.</x:t>
        </x:is>
      </x:c>
      <x:c r="AP169" s="81" t="n"/>
      <x:c r="AQ169" s="81" t="n"/>
    </x:row>
    <x:row r="170">
      <x:c r="A170" s="81" t="inlineStr">
        <x:is>
          <x:t xml:space="preserve">research.laozi.day2.ch48.106</x:t>
        </x:is>
      </x:c>
      <x:c r="B170" s="81" t="inlineStr">
        <x:is>
          <x:t xml:space="preserve">Collected</x:t>
        </x:is>
      </x:c>
      <x:c r="C170" s="81" t="inlineStr">
        <x:is>
          <x:t xml:space="preserve">Nội tâm &amp; hiểu mình</x:t>
        </x:is>
      </x:c>
      <x:c r="D170" s="81" t="inlineStr">
        <x:is>
          <x:t xml:space="preserve">Day 2 / Laozi 21–50</x:t>
        </x:is>
      </x:c>
      <x:c r="E170" s="81" t="n"/>
      <x:c r="F170" s="81" t="inlineStr">
        <x:is>
          <x:t xml:space="preserve">Loại bớt nhiễu và can thiệp thừa</x:t>
        </x:is>
      </x:c>
      <x:c r="G170" s="81" t="inlineStr">
        <x:is>
          <x:t xml:space="preserve">Simplicity</x:t>
        </x:is>
      </x:c>
      <x:c r="H170" s="81" t="n"/>
      <x:c r="I170" s="81" t="n"/>
      <x:c r="J170" s="81" t="n"/>
      <x:c r="K170" s="81" t="inlineStr">
        <x:is>
          <x:t xml:space="preserve">Reframe</x:t>
        </x:is>
      </x:c>
      <x:c r="L170" s="81" t="n"/>
      <x:c r="M170" s="81" t="inlineStr">
        <x:is>
          <x:t xml:space="preserve">Trích đoạn triết học</x:t>
        </x:is>
      </x:c>
      <x:c r="N170" s="81" t="inlineStr">
        <x:is>
          <x:t xml:space="preserve">損之又損，以至於無為。</x:t>
        </x:is>
      </x:c>
      <x:c r="O170" s="81" t="inlineStr">
        <x:is>
          <x:t xml:space="preserve">Classical Chinese (文言文)</x:t>
        </x:is>
      </x:c>
      <x:c r="P170" s="81" t="inlineStr">
        <x:is>
          <x:t xml:space="preserve">Bớt rồi lại bớt, cho đến khi không còn phải cưỡng làm.</x:t>
        </x:is>
      </x:c>
      <x:c r="Q170" s="81" t="inlineStr">
        <x:is>
          <x:t xml:space="preserve">Laozi / 老子</x:t>
        </x:is>
      </x:c>
      <x:c r="R170" s="81" t="inlineStr">
        <x:is>
          <x:t xml:space="preserve">Taoism</x:t>
        </x:is>
      </x:c>
      <x:c r="S170" s="81" t="inlineStr">
        <x:is>
          <x:t xml:space="preserve">道德經 / Tao Te Ching</x:t>
        </x:is>
      </x:c>
      <x:c r="T170" s="81" t="inlineStr">
        <x:is>
          <x:t xml:space="preserve">Chapter 48</x:t>
        </x:is>
      </x:c>
      <x:c r="U170" s="81" t="inlineStr">
        <x:is>
          <x:t xml:space="preserve">https://zh.wikisource.org/zh-hant/%E9%81%93%E5%BE%B7%E7%B6%93_%28%E7%8E%8B%E5%BC%BC%E6%9C%AC%29</x:t>
        </x:is>
      </x:c>
      <x:c r="V170" s="81" t="inlineStr">
        <x:is>
          <x:t xml:space="preserve">Primary text</x:t>
        </x:is>
      </x:c>
      <x:c r="W170" s="81" t="inlineStr">
        <x:is>
          <x:t xml:space="preserve">Working translation</x:t>
        </x:is>
      </x:c>
      <x:c r="X170" s="81" t="inlineStr">
        <x:is>
          <x:t xml:space="preserve">A - Primary source</x:t>
        </x:is>
      </x:c>
      <x:c r="Y170" s="81" t="inlineStr">
        <x:is>
          <x:t xml:space="preserve">Original Chinese checked against Wang Bi recension; Vietnamese is Selflo working translation, not a published translation.</x:t>
        </x:is>
      </x:c>
      <x:c r="Z170" s="81" t="inlineStr">
        <x:is>
          <x:t xml:space="preserve">Public domain / likely</x:t>
        </x:is>
      </x:c>
      <x:c r="AA170" s="81" t="inlineStr">
        <x:is>
          <x:t xml:space="preserve">Ancient source text. Verify jurisdiction/edition before commercial publication.</x:t>
        </x:is>
      </x:c>
      <x:c r="AB170" s="81" t="inlineStr">
        <x:is>
          <x:t xml:space="preserve">High</x:t>
        </x:is>
      </x:c>
      <x:c r="AC170" s="81" t="inlineStr">
        <x:is>
          <x:t xml:space="preserve">Strong.</x:t>
        </x:is>
      </x:c>
      <x:c r="AD170" s="81" t="inlineStr">
        <x:is>
          <x:t xml:space="preserve">Needs editorial review</x:t>
        </x:is>
      </x:c>
      <x:c r="AE170" s="81" t="inlineStr">
        <x:is>
          <x:t xml:space="preserve">Needs semantic dedupe review</x:t>
        </x:is>
      </x:c>
      <x:c r="AF170" s="81" t="n"/>
      <x:c r="AG170" s="81" t="n"/>
      <x:c r="AH170" s="81" t="inlineStr">
        <x:is>
          <x:t xml:space="preserve">No</x:t>
        </x:is>
      </x:c>
      <x:c r="AI170" s="81" t="inlineStr">
        <x:is>
          <x:t xml:space="preserve">Not reviewed</x:t>
        </x:is>
      </x:c>
      <x:c r="AJ170" s="81" t="inlineStr">
        <x:is>
          <x:t xml:space="preserve">Research only</x:t>
        </x:is>
      </x:c>
      <x:c r="AK170" s="81" t="inlineStr">
        <x:is>
          <x:t xml:space="preserve">Research Pool</x:t>
        </x:is>
      </x:c>
      <x:c r="AL170" s="81" t="n">
        <x:v>2</x:v>
      </x:c>
      <x:c r="AM170" s="81" t="inlineStr">
        <x:is>
          <x:t xml:space="preserve">ChatGPT research</x:t>
        </x:is>
      </x:c>
      <x:c r="AN170" s="81" t="inlineStr">
        <x:is>
          <x:t xml:space="preserve">2026-09-18</x:t>
        </x:is>
      </x:c>
      <x:c r="AO170" s="81" t="inlineStr">
        <x:is>
          <x:t xml:space="preserve">Day 2 full-scope audit, chapters 21–50.</x:t>
        </x:is>
      </x:c>
      <x:c r="AP170" s="81" t="n"/>
      <x:c r="AQ170" s="81" t="n"/>
    </x:row>
    <x:row r="171">
      <x:c r="A171" s="81" t="inlineStr">
        <x:is>
          <x:t xml:space="preserve">research.laozi.day2.ch48.107</x:t>
        </x:is>
      </x:c>
      <x:c r="B171" s="81" t="inlineStr">
        <x:is>
          <x:t xml:space="preserve">Collected</x:t>
        </x:is>
      </x:c>
      <x:c r="C171" s="81" t="inlineStr">
        <x:is>
          <x:t xml:space="preserve">Nội tâm &amp; hiểu mình</x:t>
        </x:is>
      </x:c>
      <x:c r="D171" s="81" t="inlineStr">
        <x:is>
          <x:t xml:space="preserve">Day 2 / Laozi 21–50</x:t>
        </x:is>
      </x:c>
      <x:c r="E171" s="81" t="n"/>
      <x:c r="F171" s="81" t="inlineStr">
        <x:is>
          <x:t xml:space="preserve">Không hành động cưỡng ép vẫn có thể tạo tác động</x:t>
        </x:is>
      </x:c>
      <x:c r="G171" s="81" t="inlineStr">
        <x:is>
          <x:t xml:space="preserve">Agency</x:t>
        </x:is>
      </x:c>
      <x:c r="H171" s="81" t="n"/>
      <x:c r="I171" s="81" t="n"/>
      <x:c r="J171" s="81" t="n"/>
      <x:c r="K171" s="81" t="inlineStr">
        <x:is>
          <x:t xml:space="preserve">Distinguish</x:t>
        </x:is>
      </x:c>
      <x:c r="L171" s="81" t="n"/>
      <x:c r="M171" s="81" t="inlineStr">
        <x:is>
          <x:t xml:space="preserve">Trích đoạn triết học</x:t>
        </x:is>
      </x:c>
      <x:c r="N171" s="81" t="inlineStr">
        <x:is>
          <x:t xml:space="preserve">無為而無不為。</x:t>
        </x:is>
      </x:c>
      <x:c r="O171" s="81" t="inlineStr">
        <x:is>
          <x:t xml:space="preserve">Classical Chinese (文言文)</x:t>
        </x:is>
      </x:c>
      <x:c r="P171" s="81" t="inlineStr">
        <x:is>
          <x:t xml:space="preserve">Không cưỡng làm không đồng nghĩa không có gì được thực hiện.</x:t>
        </x:is>
      </x:c>
      <x:c r="Q171" s="81" t="inlineStr">
        <x:is>
          <x:t xml:space="preserve">Laozi / 老子</x:t>
        </x:is>
      </x:c>
      <x:c r="R171" s="81" t="inlineStr">
        <x:is>
          <x:t xml:space="preserve">Taoism</x:t>
        </x:is>
      </x:c>
      <x:c r="S171" s="81" t="inlineStr">
        <x:is>
          <x:t xml:space="preserve">道德經 / Tao Te Ching</x:t>
        </x:is>
      </x:c>
      <x:c r="T171" s="81" t="inlineStr">
        <x:is>
          <x:t xml:space="preserve">Chapter 48</x:t>
        </x:is>
      </x:c>
      <x:c r="U171" s="81" t="inlineStr">
        <x:is>
          <x:t xml:space="preserve">https://zh.wikisource.org/zh-hant/%E9%81%93%E5%BE%B7%E7%B6%93_%28%E7%8E%8B%E5%BC%BC%E6%9C%AC%29</x:t>
        </x:is>
      </x:c>
      <x:c r="V171" s="81" t="inlineStr">
        <x:is>
          <x:t xml:space="preserve">Primary text</x:t>
        </x:is>
      </x:c>
      <x:c r="W171" s="81" t="inlineStr">
        <x:is>
          <x:t xml:space="preserve">Working translation</x:t>
        </x:is>
      </x:c>
      <x:c r="X171" s="81" t="inlineStr">
        <x:is>
          <x:t xml:space="preserve">A - Primary source</x:t>
        </x:is>
      </x:c>
      <x:c r="Y171" s="81" t="inlineStr">
        <x:is>
          <x:t xml:space="preserve">Original Chinese checked against Wang Bi recension; Vietnamese is Selflo working translation, not a published translation.</x:t>
        </x:is>
      </x:c>
      <x:c r="Z171" s="81" t="inlineStr">
        <x:is>
          <x:t xml:space="preserve">Public domain / likely</x:t>
        </x:is>
      </x:c>
      <x:c r="AA171" s="81" t="inlineStr">
        <x:is>
          <x:t xml:space="preserve">Ancient source text. Verify jurisdiction/edition before commercial publication.</x:t>
        </x:is>
      </x:c>
      <x:c r="AB171" s="81" t="inlineStr">
        <x:is>
          <x:t xml:space="preserve">High</x:t>
        </x:is>
      </x:c>
      <x:c r="AC171" s="81" t="inlineStr">
        <x:is>
          <x:t xml:space="preserve">Core.</x:t>
        </x:is>
      </x:c>
      <x:c r="AD171" s="81" t="inlineStr">
        <x:is>
          <x:t xml:space="preserve">Needs editorial review</x:t>
        </x:is>
      </x:c>
      <x:c r="AE171" s="81" t="inlineStr">
        <x:is>
          <x:t xml:space="preserve">Needs semantic dedupe review</x:t>
        </x:is>
      </x:c>
      <x:c r="AF171" s="81" t="n"/>
      <x:c r="AG171" s="81" t="n"/>
      <x:c r="AH171" s="81" t="inlineStr">
        <x:is>
          <x:t xml:space="preserve">No</x:t>
        </x:is>
      </x:c>
      <x:c r="AI171" s="81" t="inlineStr">
        <x:is>
          <x:t xml:space="preserve">Not reviewed</x:t>
        </x:is>
      </x:c>
      <x:c r="AJ171" s="81" t="inlineStr">
        <x:is>
          <x:t xml:space="preserve">Research only</x:t>
        </x:is>
      </x:c>
      <x:c r="AK171" s="81" t="inlineStr">
        <x:is>
          <x:t xml:space="preserve">Research Pool</x:t>
        </x:is>
      </x:c>
      <x:c r="AL171" s="81" t="n">
        <x:v>2</x:v>
      </x:c>
      <x:c r="AM171" s="81" t="inlineStr">
        <x:is>
          <x:t xml:space="preserve">ChatGPT research</x:t>
        </x:is>
      </x:c>
      <x:c r="AN171" s="81" t="inlineStr">
        <x:is>
          <x:t xml:space="preserve">2026-09-18</x:t>
        </x:is>
      </x:c>
      <x:c r="AO171" s="81" t="inlineStr">
        <x:is>
          <x:t xml:space="preserve">Day 2 full-scope audit, chapters 21–50.</x:t>
        </x:is>
      </x:c>
      <x:c r="AP171" s="81" t="n"/>
      <x:c r="AQ171" s="81" t="n"/>
    </x:row>
    <x:row r="172">
      <x:c r="A172" s="81" t="inlineStr">
        <x:is>
          <x:t xml:space="preserve">research.laozi.day2.ch48.108</x:t>
        </x:is>
      </x:c>
      <x:c r="B172" s="81" t="inlineStr">
        <x:is>
          <x:t xml:space="preserve">Collected</x:t>
        </x:is>
      </x:c>
      <x:c r="C172" s="81" t="inlineStr">
        <x:is>
          <x:t xml:space="preserve">Nội tâm &amp; hiểu mình</x:t>
        </x:is>
      </x:c>
      <x:c r="D172" s="81" t="inlineStr">
        <x:is>
          <x:t xml:space="preserve">Day 2 / Laozi 21–50</x:t>
        </x:is>
      </x:c>
      <x:c r="E172" s="81" t="n"/>
      <x:c r="F172" s="81" t="inlineStr">
        <x:is>
          <x:t xml:space="preserve">Can thiệp nhiều không luôn tạo kiểm soát tốt hơn</x:t>
        </x:is>
      </x:c>
      <x:c r="G172" s="81" t="inlineStr">
        <x:is>
          <x:t xml:space="preserve">Control</x:t>
        </x:is>
      </x:c>
      <x:c r="H172" s="81" t="n"/>
      <x:c r="I172" s="81" t="n"/>
      <x:c r="J172" s="81" t="n"/>
      <x:c r="K172" s="81" t="inlineStr">
        <x:is>
          <x:t xml:space="preserve">Distinguish</x:t>
        </x:is>
      </x:c>
      <x:c r="L172" s="81" t="n"/>
      <x:c r="M172" s="81" t="inlineStr">
        <x:is>
          <x:t xml:space="preserve">Trích đoạn triết học</x:t>
        </x:is>
      </x:c>
      <x:c r="N172" s="81" t="inlineStr">
        <x:is>
          <x:t xml:space="preserve">取天下常以無事；及其有事，不足以取天下。</x:t>
        </x:is>
      </x:c>
      <x:c r="O172" s="81" t="inlineStr">
        <x:is>
          <x:t xml:space="preserve">Classical Chinese (文言文)</x:t>
        </x:is>
      </x:c>
      <x:c r="P172" s="81" t="inlineStr">
        <x:is>
          <x:t xml:space="preserve">Muốn giữ một hệ lớn không thể mặc định càng can thiệp càng tốt.</x:t>
        </x:is>
      </x:c>
      <x:c r="Q172" s="81" t="inlineStr">
        <x:is>
          <x:t xml:space="preserve">Laozi / 老子</x:t>
        </x:is>
      </x:c>
      <x:c r="R172" s="81" t="inlineStr">
        <x:is>
          <x:t xml:space="preserve">Taoism</x:t>
        </x:is>
      </x:c>
      <x:c r="S172" s="81" t="inlineStr">
        <x:is>
          <x:t xml:space="preserve">道德經 / Tao Te Ching</x:t>
        </x:is>
      </x:c>
      <x:c r="T172" s="81" t="inlineStr">
        <x:is>
          <x:t xml:space="preserve">Chapter 48</x:t>
        </x:is>
      </x:c>
      <x:c r="U172" s="81" t="inlineStr">
        <x:is>
          <x:t xml:space="preserve">https://zh.wikisource.org/zh-hant/%E9%81%93%E5%BE%B7%E7%B6%93_%28%E7%8E%8B%E5%BC%BC%E6%9C%AC%29</x:t>
        </x:is>
      </x:c>
      <x:c r="V172" s="81" t="inlineStr">
        <x:is>
          <x:t xml:space="preserve">Primary text</x:t>
        </x:is>
      </x:c>
      <x:c r="W172" s="81" t="inlineStr">
        <x:is>
          <x:t xml:space="preserve">Working translation</x:t>
        </x:is>
      </x:c>
      <x:c r="X172" s="81" t="inlineStr">
        <x:is>
          <x:t xml:space="preserve">A - Primary source</x:t>
        </x:is>
      </x:c>
      <x:c r="Y172" s="81" t="inlineStr">
        <x:is>
          <x:t xml:space="preserve">Original Chinese checked against Wang Bi recension; Vietnamese is Selflo working translation, not a published translation.</x:t>
        </x:is>
      </x:c>
      <x:c r="Z172" s="81" t="inlineStr">
        <x:is>
          <x:t xml:space="preserve">Public domain / likely</x:t>
        </x:is>
      </x:c>
      <x:c r="AA172" s="81" t="inlineStr">
        <x:is>
          <x:t xml:space="preserve">Ancient source text. Verify jurisdiction/edition before commercial publication.</x:t>
        </x:is>
      </x:c>
      <x:c r="AB172" s="81" t="inlineStr">
        <x:is>
          <x:t xml:space="preserve">High</x:t>
        </x:is>
      </x:c>
      <x:c r="AC172" s="81" t="inlineStr">
        <x:is>
          <x:t xml:space="preserve">Political origin; useful systems principle.</x:t>
        </x:is>
      </x:c>
      <x:c r="AD172" s="81" t="inlineStr">
        <x:is>
          <x:t xml:space="preserve">Needs editorial review</x:t>
        </x:is>
      </x:c>
      <x:c r="AE172" s="81" t="inlineStr">
        <x:is>
          <x:t xml:space="preserve">Needs semantic dedupe review</x:t>
        </x:is>
      </x:c>
      <x:c r="AF172" s="81" t="n"/>
      <x:c r="AG172" s="81" t="n"/>
      <x:c r="AH172" s="81" t="inlineStr">
        <x:is>
          <x:t xml:space="preserve">No</x:t>
        </x:is>
      </x:c>
      <x:c r="AI172" s="81" t="inlineStr">
        <x:is>
          <x:t xml:space="preserve">Not reviewed</x:t>
        </x:is>
      </x:c>
      <x:c r="AJ172" s="81" t="inlineStr">
        <x:is>
          <x:t xml:space="preserve">Research only</x:t>
        </x:is>
      </x:c>
      <x:c r="AK172" s="81" t="inlineStr">
        <x:is>
          <x:t xml:space="preserve">Research Pool</x:t>
        </x:is>
      </x:c>
      <x:c r="AL172" s="81" t="n">
        <x:v>2</x:v>
      </x:c>
      <x:c r="AM172" s="81" t="inlineStr">
        <x:is>
          <x:t xml:space="preserve">ChatGPT research</x:t>
        </x:is>
      </x:c>
      <x:c r="AN172" s="81" t="inlineStr">
        <x:is>
          <x:t xml:space="preserve">2026-09-18</x:t>
        </x:is>
      </x:c>
      <x:c r="AO172" s="81" t="inlineStr">
        <x:is>
          <x:t xml:space="preserve">Day 2 full-scope audit, chapters 21–50.</x:t>
        </x:is>
      </x:c>
      <x:c r="AP172" s="81" t="n"/>
      <x:c r="AQ172" s="81" t="n"/>
    </x:row>
    <x:row r="173">
      <x:c r="A173" s="81" t="inlineStr">
        <x:is>
          <x:t xml:space="preserve">research.laozi.day2.ch49.109</x:t>
        </x:is>
      </x:c>
      <x:c r="B173" s="81" t="inlineStr">
        <x:is>
          <x:t xml:space="preserve">Collected</x:t>
        </x:is>
      </x:c>
      <x:c r="C173" s="81" t="inlineStr">
        <x:is>
          <x:t xml:space="preserve">Nội tâm &amp; hiểu mình</x:t>
        </x:is>
      </x:c>
      <x:c r="D173" s="81" t="inlineStr">
        <x:is>
          <x:t xml:space="preserve">Day 2 / Laozi 21–50</x:t>
        </x:is>
      </x:c>
      <x:c r="E173" s="81" t="n"/>
      <x:c r="F173" s="81" t="inlineStr">
        <x:is>
          <x:t xml:space="preserve">Không áp một khuôn cố định lên mọi người</x:t>
        </x:is>
      </x:c>
      <x:c r="G173" s="81" t="inlineStr">
        <x:is>
          <x:t xml:space="preserve">Empathy</x:t>
        </x:is>
      </x:c>
      <x:c r="H173" s="81" t="n"/>
      <x:c r="I173" s="81" t="n"/>
      <x:c r="J173" s="81" t="n"/>
      <x:c r="K173" s="81" t="inlineStr">
        <x:is>
          <x:t xml:space="preserve">Return agency</x:t>
        </x:is>
      </x:c>
      <x:c r="L173" s="81" t="n"/>
      <x:c r="M173" s="81" t="inlineStr">
        <x:is>
          <x:t xml:space="preserve">Trích đoạn triết học</x:t>
        </x:is>
      </x:c>
      <x:c r="N173" s="81" t="inlineStr">
        <x:is>
          <x:t xml:space="preserve">聖人無常心，以百姓心為心。</x:t>
        </x:is>
      </x:c>
      <x:c r="O173" s="81" t="inlineStr">
        <x:is>
          <x:t xml:space="preserve">Classical Chinese (文言文)</x:t>
        </x:is>
      </x:c>
      <x:c r="P173" s="81" t="inlineStr">
        <x:is>
          <x:t xml:space="preserve">Người theo Đạo không cố giữ một tâm thế cố định; lấy lòng của người khác làm điều mình lắng nghe.</x:t>
        </x:is>
      </x:c>
      <x:c r="Q173" s="81" t="inlineStr">
        <x:is>
          <x:t xml:space="preserve">Laozi / 老子</x:t>
        </x:is>
      </x:c>
      <x:c r="R173" s="81" t="inlineStr">
        <x:is>
          <x:t xml:space="preserve">Taoism</x:t>
        </x:is>
      </x:c>
      <x:c r="S173" s="81" t="inlineStr">
        <x:is>
          <x:t xml:space="preserve">道德經 / Tao Te Ching</x:t>
        </x:is>
      </x:c>
      <x:c r="T173" s="81" t="inlineStr">
        <x:is>
          <x:t xml:space="preserve">Chapter 49</x:t>
        </x:is>
      </x:c>
      <x:c r="U173" s="81" t="inlineStr">
        <x:is>
          <x:t xml:space="preserve">https://zh.wikisource.org/zh-hant/%E9%81%93%E5%BE%B7%E7%B6%93_%28%E7%8E%8B%E5%BC%BC%E6%9C%AC%29</x:t>
        </x:is>
      </x:c>
      <x:c r="V173" s="81" t="inlineStr">
        <x:is>
          <x:t xml:space="preserve">Primary text</x:t>
        </x:is>
      </x:c>
      <x:c r="W173" s="81" t="inlineStr">
        <x:is>
          <x:t xml:space="preserve">Working translation</x:t>
        </x:is>
      </x:c>
      <x:c r="X173" s="81" t="inlineStr">
        <x:is>
          <x:t xml:space="preserve">A - Primary source</x:t>
        </x:is>
      </x:c>
      <x:c r="Y173" s="81" t="inlineStr">
        <x:is>
          <x:t xml:space="preserve">Original Chinese checked against Wang Bi recension; Vietnamese is Selflo working translation, not a published translation.</x:t>
        </x:is>
      </x:c>
      <x:c r="Z173" s="81" t="inlineStr">
        <x:is>
          <x:t xml:space="preserve">Public domain / likely</x:t>
        </x:is>
      </x:c>
      <x:c r="AA173" s="81" t="inlineStr">
        <x:is>
          <x:t xml:space="preserve">Ancient source text. Verify jurisdiction/edition before commercial publication.</x:t>
        </x:is>
      </x:c>
      <x:c r="AB173" s="81" t="inlineStr">
        <x:is>
          <x:t xml:space="preserve">High</x:t>
        </x:is>
      </x:c>
      <x:c r="AC173" s="81" t="inlineStr">
        <x:is>
          <x:t xml:space="preserve">Excellent Selflo personalization.</x:t>
        </x:is>
      </x:c>
      <x:c r="AD173" s="81" t="inlineStr">
        <x:is>
          <x:t xml:space="preserve">Needs editorial review</x:t>
        </x:is>
      </x:c>
      <x:c r="AE173" s="81" t="inlineStr">
        <x:is>
          <x:t xml:space="preserve">Needs semantic dedupe review</x:t>
        </x:is>
      </x:c>
      <x:c r="AF173" s="81" t="n"/>
      <x:c r="AG173" s="81" t="n"/>
      <x:c r="AH173" s="81" t="inlineStr">
        <x:is>
          <x:t xml:space="preserve">No</x:t>
        </x:is>
      </x:c>
      <x:c r="AI173" s="81" t="inlineStr">
        <x:is>
          <x:t xml:space="preserve">Not reviewed</x:t>
        </x:is>
      </x:c>
      <x:c r="AJ173" s="81" t="inlineStr">
        <x:is>
          <x:t xml:space="preserve">Research only</x:t>
        </x:is>
      </x:c>
      <x:c r="AK173" s="81" t="inlineStr">
        <x:is>
          <x:t xml:space="preserve">Research Pool</x:t>
        </x:is>
      </x:c>
      <x:c r="AL173" s="81" t="n">
        <x:v>2</x:v>
      </x:c>
      <x:c r="AM173" s="81" t="inlineStr">
        <x:is>
          <x:t xml:space="preserve">ChatGPT research</x:t>
        </x:is>
      </x:c>
      <x:c r="AN173" s="81" t="inlineStr">
        <x:is>
          <x:t xml:space="preserve">2026-09-18</x:t>
        </x:is>
      </x:c>
      <x:c r="AO173" s="81" t="inlineStr">
        <x:is>
          <x:t xml:space="preserve">Day 2 full-scope audit, chapters 21–50.</x:t>
        </x:is>
      </x:c>
      <x:c r="AP173" s="81" t="n"/>
      <x:c r="AQ173" s="81" t="n"/>
    </x:row>
    <x:row r="174">
      <x:c r="A174" s="81" t="inlineStr">
        <x:is>
          <x:t xml:space="preserve">research.laozi.day2.ch49.110</x:t>
        </x:is>
      </x:c>
      <x:c r="B174" s="81" t="inlineStr">
        <x:is>
          <x:t xml:space="preserve">Collected</x:t>
        </x:is>
      </x:c>
      <x:c r="C174" s="81" t="inlineStr">
        <x:is>
          <x:t xml:space="preserve">Nội tâm &amp; hiểu mình</x:t>
        </x:is>
      </x:c>
      <x:c r="D174" s="81" t="inlineStr">
        <x:is>
          <x:t xml:space="preserve">Day 2 / Laozi 21–50</x:t>
        </x:is>
      </x:c>
      <x:c r="E174" s="81" t="n"/>
      <x:c r="F174" s="81" t="inlineStr">
        <x:is>
          <x:t xml:space="preserve">Không rút phẩm giá chỉ vì một người chưa làm tốt</x:t>
        </x:is>
      </x:c>
      <x:c r="G174" s="81" t="inlineStr">
        <x:is>
          <x:t xml:space="preserve">Compassion</x:t>
        </x:is>
      </x:c>
      <x:c r="H174" s="81" t="n"/>
      <x:c r="I174" s="81" t="n"/>
      <x:c r="J174" s="81" t="n"/>
      <x:c r="K174" s="81" t="inlineStr">
        <x:is>
          <x:t xml:space="preserve">Permit</x:t>
        </x:is>
      </x:c>
      <x:c r="L174" s="81" t="n"/>
      <x:c r="M174" s="81" t="inlineStr">
        <x:is>
          <x:t xml:space="preserve">Trích đoạn triết học</x:t>
        </x:is>
      </x:c>
      <x:c r="N174" s="81" t="inlineStr">
        <x:is>
          <x:t xml:space="preserve">善者吾善之，不善者吾亦善之，德善。</x:t>
        </x:is>
      </x:c>
      <x:c r="O174" s="81" t="inlineStr">
        <x:is>
          <x:t xml:space="preserve">Classical Chinese (文言文)</x:t>
        </x:is>
      </x:c>
      <x:c r="P174" s="81" t="inlineStr">
        <x:is>
          <x:t xml:space="preserve">Với người được xem là tốt thì đối xử tốt; với người chưa được xem là tốt cũng không vội bỏ sự thiện.</x:t>
        </x:is>
      </x:c>
      <x:c r="Q174" s="81" t="inlineStr">
        <x:is>
          <x:t xml:space="preserve">Laozi / 老子</x:t>
        </x:is>
      </x:c>
      <x:c r="R174" s="81" t="inlineStr">
        <x:is>
          <x:t xml:space="preserve">Taoism</x:t>
        </x:is>
      </x:c>
      <x:c r="S174" s="81" t="inlineStr">
        <x:is>
          <x:t xml:space="preserve">道德經 / Tao Te Ching</x:t>
        </x:is>
      </x:c>
      <x:c r="T174" s="81" t="inlineStr">
        <x:is>
          <x:t xml:space="preserve">Chapter 49</x:t>
        </x:is>
      </x:c>
      <x:c r="U174" s="81" t="inlineStr">
        <x:is>
          <x:t xml:space="preserve">https://zh.wikisource.org/zh-hant/%E9%81%93%E5%BE%B7%E7%B6%93_%28%E7%8E%8B%E5%BC%BC%E6%9C%AC%29</x:t>
        </x:is>
      </x:c>
      <x:c r="V174" s="81" t="inlineStr">
        <x:is>
          <x:t xml:space="preserve">Primary text</x:t>
        </x:is>
      </x:c>
      <x:c r="W174" s="81" t="inlineStr">
        <x:is>
          <x:t xml:space="preserve">Working translation</x:t>
        </x:is>
      </x:c>
      <x:c r="X174" s="81" t="inlineStr">
        <x:is>
          <x:t xml:space="preserve">A - Primary source</x:t>
        </x:is>
      </x:c>
      <x:c r="Y174" s="81" t="inlineStr">
        <x:is>
          <x:t xml:space="preserve">Original Chinese checked against Wang Bi recension; Vietnamese is Selflo working translation, not a published translation.</x:t>
        </x:is>
      </x:c>
      <x:c r="Z174" s="81" t="inlineStr">
        <x:is>
          <x:t xml:space="preserve">Public domain / likely</x:t>
        </x:is>
      </x:c>
      <x:c r="AA174" s="81" t="inlineStr">
        <x:is>
          <x:t xml:space="preserve">Ancient source text. Verify jurisdiction/edition before commercial publication.</x:t>
        </x:is>
      </x:c>
      <x:c r="AB174" s="81" t="inlineStr">
        <x:is>
          <x:t xml:space="preserve">High</x:t>
        </x:is>
      </x:c>
      <x:c r="AC174" s="81" t="inlineStr">
        <x:is>
          <x:t xml:space="preserve">Strong self-compassion/relationships.</x:t>
        </x:is>
      </x:c>
      <x:c r="AD174" s="81" t="inlineStr">
        <x:is>
          <x:t xml:space="preserve">Needs editorial review</x:t>
        </x:is>
      </x:c>
      <x:c r="AE174" s="81" t="inlineStr">
        <x:is>
          <x:t xml:space="preserve">Needs semantic dedupe review</x:t>
        </x:is>
      </x:c>
      <x:c r="AF174" s="81" t="n"/>
      <x:c r="AG174" s="81" t="n"/>
      <x:c r="AH174" s="81" t="inlineStr">
        <x:is>
          <x:t xml:space="preserve">No</x:t>
        </x:is>
      </x:c>
      <x:c r="AI174" s="81" t="inlineStr">
        <x:is>
          <x:t xml:space="preserve">Not reviewed</x:t>
        </x:is>
      </x:c>
      <x:c r="AJ174" s="81" t="inlineStr">
        <x:is>
          <x:t xml:space="preserve">Research only</x:t>
        </x:is>
      </x:c>
      <x:c r="AK174" s="81" t="inlineStr">
        <x:is>
          <x:t xml:space="preserve">Research Pool</x:t>
        </x:is>
      </x:c>
      <x:c r="AL174" s="81" t="n">
        <x:v>2</x:v>
      </x:c>
      <x:c r="AM174" s="81" t="inlineStr">
        <x:is>
          <x:t xml:space="preserve">ChatGPT research</x:t>
        </x:is>
      </x:c>
      <x:c r="AN174" s="81" t="inlineStr">
        <x:is>
          <x:t xml:space="preserve">2026-09-18</x:t>
        </x:is>
      </x:c>
      <x:c r="AO174" s="81" t="inlineStr">
        <x:is>
          <x:t xml:space="preserve">Day 2 full-scope audit, chapters 21–50.</x:t>
        </x:is>
      </x:c>
      <x:c r="AP174" s="81" t="n"/>
      <x:c r="AQ174" s="81" t="n"/>
    </x:row>
    <x:row r="175">
      <x:c r="A175" s="81" t="inlineStr">
        <x:is>
          <x:t xml:space="preserve">research.laozi.day2.ch49.111</x:t>
        </x:is>
      </x:c>
      <x:c r="B175" s="81" t="inlineStr">
        <x:is>
          <x:t xml:space="preserve">Collected</x:t>
        </x:is>
      </x:c>
      <x:c r="C175" s="81" t="inlineStr">
        <x:is>
          <x:t xml:space="preserve">Nội tâm &amp; hiểu mình</x:t>
        </x:is>
      </x:c>
      <x:c r="D175" s="81" t="inlineStr">
        <x:is>
          <x:t xml:space="preserve">Day 2 / Laozi 21–50</x:t>
        </x:is>
      </x:c>
      <x:c r="E175" s="81" t="n"/>
      <x:c r="F175" s="81" t="inlineStr">
        <x:is>
          <x:t xml:space="preserve">Không đóng một con người vào một nhãn cố định</x:t>
        </x:is>
      </x:c>
      <x:c r="G175" s="81" t="inlineStr">
        <x:is>
          <x:t xml:space="preserve">Trust</x:t>
        </x:is>
      </x:c>
      <x:c r="H175" s="81" t="n"/>
      <x:c r="I175" s="81" t="n"/>
      <x:c r="J175" s="81" t="n"/>
      <x:c r="K175" s="81" t="inlineStr">
        <x:is>
          <x:t xml:space="preserve">Reframe</x:t>
        </x:is>
      </x:c>
      <x:c r="L175" s="81" t="n"/>
      <x:c r="M175" s="81" t="inlineStr">
        <x:is>
          <x:t xml:space="preserve">Trích đoạn triết học</x:t>
        </x:is>
      </x:c>
      <x:c r="N175" s="81" t="inlineStr">
        <x:is>
          <x:t xml:space="preserve">信者吾信之，不信者吾亦信之，德信。</x:t>
        </x:is>
      </x:c>
      <x:c r="O175" s="81" t="inlineStr">
        <x:is>
          <x:t xml:space="preserve">Classical Chinese (文言文)</x:t>
        </x:is>
      </x:c>
      <x:c r="P175" s="81" t="inlineStr">
        <x:is>
          <x:t xml:space="preserve">Với người đáng tin thì giữ lòng tin; với người chưa đáng tin, văn bản vẫn hướng đến một cách đối xử không đóng kín hoàn toàn.</x:t>
        </x:is>
      </x:c>
      <x:c r="Q175" s="81" t="inlineStr">
        <x:is>
          <x:t xml:space="preserve">Laozi / 老子</x:t>
        </x:is>
      </x:c>
      <x:c r="R175" s="81" t="inlineStr">
        <x:is>
          <x:t xml:space="preserve">Taoism</x:t>
        </x:is>
      </x:c>
      <x:c r="S175" s="81" t="inlineStr">
        <x:is>
          <x:t xml:space="preserve">道德經 / Tao Te Ching</x:t>
        </x:is>
      </x:c>
      <x:c r="T175" s="81" t="inlineStr">
        <x:is>
          <x:t xml:space="preserve">Chapter 49</x:t>
        </x:is>
      </x:c>
      <x:c r="U175" s="81" t="inlineStr">
        <x:is>
          <x:t xml:space="preserve">https://zh.wikisource.org/zh-hant/%E9%81%93%E5%BE%B7%E7%B6%93_%28%E7%8E%8B%E5%BC%BC%E6%9C%AC%29</x:t>
        </x:is>
      </x:c>
      <x:c r="V175" s="81" t="inlineStr">
        <x:is>
          <x:t xml:space="preserve">Primary text</x:t>
        </x:is>
      </x:c>
      <x:c r="W175" s="81" t="inlineStr">
        <x:is>
          <x:t xml:space="preserve">Working translation</x:t>
        </x:is>
      </x:c>
      <x:c r="X175" s="81" t="inlineStr">
        <x:is>
          <x:t xml:space="preserve">A - Primary source</x:t>
        </x:is>
      </x:c>
      <x:c r="Y175" s="81" t="inlineStr">
        <x:is>
          <x:t xml:space="preserve">Original Chinese checked against Wang Bi recension; Vietnamese is Selflo working translation, not a published translation.</x:t>
        </x:is>
      </x:c>
      <x:c r="Z175" s="81" t="inlineStr">
        <x:is>
          <x:t xml:space="preserve">Public domain / likely</x:t>
        </x:is>
      </x:c>
      <x:c r="AA175" s="81" t="inlineStr">
        <x:is>
          <x:t xml:space="preserve">Ancient source text. Verify jurisdiction/edition before commercial publication.</x:t>
        </x:is>
      </x:c>
      <x:c r="AB175" s="81" t="inlineStr">
        <x:is>
          <x:t xml:space="preserve">Medium</x:t>
        </x:is>
      </x:c>
      <x:c r="AC175" s="81" t="inlineStr">
        <x:is>
          <x:t xml:space="preserve">Translation contested; needs scholarly review.</x:t>
        </x:is>
      </x:c>
      <x:c r="AD175" s="81" t="inlineStr">
        <x:is>
          <x:t xml:space="preserve">Needs editorial review</x:t>
        </x:is>
      </x:c>
      <x:c r="AE175" s="81" t="inlineStr">
        <x:is>
          <x:t xml:space="preserve">Needs semantic dedupe review</x:t>
        </x:is>
      </x:c>
      <x:c r="AF175" s="81" t="n"/>
      <x:c r="AG175" s="81" t="n"/>
      <x:c r="AH175" s="81" t="inlineStr">
        <x:is>
          <x:t xml:space="preserve">No</x:t>
        </x:is>
      </x:c>
      <x:c r="AI175" s="81" t="inlineStr">
        <x:is>
          <x:t xml:space="preserve">Not reviewed</x:t>
        </x:is>
      </x:c>
      <x:c r="AJ175" s="81" t="inlineStr">
        <x:is>
          <x:t xml:space="preserve">Research only</x:t>
        </x:is>
      </x:c>
      <x:c r="AK175" s="81" t="inlineStr">
        <x:is>
          <x:t xml:space="preserve">Research Pool</x:t>
        </x:is>
      </x:c>
      <x:c r="AL175" s="81" t="n">
        <x:v>2</x:v>
      </x:c>
      <x:c r="AM175" s="81" t="inlineStr">
        <x:is>
          <x:t xml:space="preserve">ChatGPT research</x:t>
        </x:is>
      </x:c>
      <x:c r="AN175" s="81" t="inlineStr">
        <x:is>
          <x:t xml:space="preserve">2026-09-18</x:t>
        </x:is>
      </x:c>
      <x:c r="AO175" s="81" t="inlineStr">
        <x:is>
          <x:t xml:space="preserve">Day 2 full-scope audit, chapters 21–50.</x:t>
        </x:is>
      </x:c>
      <x:c r="AP175" s="81" t="n"/>
      <x:c r="AQ175" s="81" t="n"/>
    </x:row>
    <x:row r="176">
      <x:c r="A176" s="81" t="inlineStr">
        <x:is>
          <x:t xml:space="preserve">research.laozi.day2.ch49.112</x:t>
        </x:is>
      </x:c>
      <x:c r="B176" s="81" t="inlineStr">
        <x:is>
          <x:t xml:space="preserve">Collected</x:t>
        </x:is>
      </x:c>
      <x:c r="C176" s="81" t="inlineStr">
        <x:is>
          <x:t xml:space="preserve">Nội tâm &amp; hiểu mình</x:t>
        </x:is>
      </x:c>
      <x:c r="D176" s="81" t="inlineStr">
        <x:is>
          <x:t xml:space="preserve">Day 2 / Laozi 21–50</x:t>
        </x:is>
      </x:c>
      <x:c r="E176" s="81" t="n"/>
      <x:c r="F176" s="81" t="inlineStr">
        <x:is>
          <x:t xml:space="preserve">Giữ không gian trước khi phán xét</x:t>
        </x:is>
      </x:c>
      <x:c r="G176" s="81" t="inlineStr">
        <x:is>
          <x:t xml:space="preserve">Judgment</x:t>
        </x:is>
      </x:c>
      <x:c r="H176" s="81" t="n"/>
      <x:c r="I176" s="81" t="n"/>
      <x:c r="J176" s="81" t="n"/>
      <x:c r="K176" s="81" t="inlineStr">
        <x:is>
          <x:t xml:space="preserve">Permit</x:t>
        </x:is>
      </x:c>
      <x:c r="L176" s="81" t="n"/>
      <x:c r="M176" s="81" t="inlineStr">
        <x:is>
          <x:t xml:space="preserve">Trích đoạn triết học</x:t>
        </x:is>
      </x:c>
      <x:c r="N176" s="81" t="inlineStr">
        <x:is>
          <x:t xml:space="preserve">聖人在天下歙歙焉，為天下渾其心。</x:t>
        </x:is>
      </x:c>
      <x:c r="O176" s="81" t="inlineStr">
        <x:is>
          <x:t xml:space="preserve">Classical Chinese (文言文)</x:t>
        </x:is>
      </x:c>
      <x:c r="P176" s="81" t="inlineStr">
        <x:is>
          <x:t xml:space="preserve">Người theo Đạo làm mềm các phân chia cứng và giữ một tâm không vội đóng khung.</x:t>
        </x:is>
      </x:c>
      <x:c r="Q176" s="81" t="inlineStr">
        <x:is>
          <x:t xml:space="preserve">Laozi / 老子</x:t>
        </x:is>
      </x:c>
      <x:c r="R176" s="81" t="inlineStr">
        <x:is>
          <x:t xml:space="preserve">Taoism</x:t>
        </x:is>
      </x:c>
      <x:c r="S176" s="81" t="inlineStr">
        <x:is>
          <x:t xml:space="preserve">道德經 / Tao Te Ching</x:t>
        </x:is>
      </x:c>
      <x:c r="T176" s="81" t="inlineStr">
        <x:is>
          <x:t xml:space="preserve">Chapter 49</x:t>
        </x:is>
      </x:c>
      <x:c r="U176" s="81" t="inlineStr">
        <x:is>
          <x:t xml:space="preserve">https://zh.wikisource.org/zh-hant/%E9%81%93%E5%BE%B7%E7%B6%93_%28%E7%8E%8B%E5%BC%BC%E6%9C%AC%29</x:t>
        </x:is>
      </x:c>
      <x:c r="V176" s="81" t="inlineStr">
        <x:is>
          <x:t xml:space="preserve">Primary text</x:t>
        </x:is>
      </x:c>
      <x:c r="W176" s="81" t="inlineStr">
        <x:is>
          <x:t xml:space="preserve">Working translation</x:t>
        </x:is>
      </x:c>
      <x:c r="X176" s="81" t="inlineStr">
        <x:is>
          <x:t xml:space="preserve">A - Primary source</x:t>
        </x:is>
      </x:c>
      <x:c r="Y176" s="81" t="inlineStr">
        <x:is>
          <x:t xml:space="preserve">Original Chinese checked against Wang Bi recension; Vietnamese is Selflo working translation, not a published translation.</x:t>
        </x:is>
      </x:c>
      <x:c r="Z176" s="81" t="inlineStr">
        <x:is>
          <x:t xml:space="preserve">Public domain / likely</x:t>
        </x:is>
      </x:c>
      <x:c r="AA176" s="81" t="inlineStr">
        <x:is>
          <x:t xml:space="preserve">Ancient source text. Verify jurisdiction/edition before commercial publication.</x:t>
        </x:is>
      </x:c>
      <x:c r="AB176" s="81" t="inlineStr">
        <x:is>
          <x:t xml:space="preserve">High</x:t>
        </x:is>
      </x:c>
      <x:c r="AC176" s="81" t="inlineStr">
        <x:is>
          <x:t xml:space="preserve">Interpretive.</x:t>
        </x:is>
      </x:c>
      <x:c r="AD176" s="81" t="inlineStr">
        <x:is>
          <x:t xml:space="preserve">Needs editorial review</x:t>
        </x:is>
      </x:c>
      <x:c r="AE176" s="81" t="inlineStr">
        <x:is>
          <x:t xml:space="preserve">Needs semantic dedupe review</x:t>
        </x:is>
      </x:c>
      <x:c r="AF176" s="81" t="n"/>
      <x:c r="AG176" s="81" t="n"/>
      <x:c r="AH176" s="81" t="inlineStr">
        <x:is>
          <x:t xml:space="preserve">No</x:t>
        </x:is>
      </x:c>
      <x:c r="AI176" s="81" t="inlineStr">
        <x:is>
          <x:t xml:space="preserve">Not reviewed</x:t>
        </x:is>
      </x:c>
      <x:c r="AJ176" s="81" t="inlineStr">
        <x:is>
          <x:t xml:space="preserve">Research only</x:t>
        </x:is>
      </x:c>
      <x:c r="AK176" s="81" t="inlineStr">
        <x:is>
          <x:t xml:space="preserve">Research Pool</x:t>
        </x:is>
      </x:c>
      <x:c r="AL176" s="81" t="n">
        <x:v>2</x:v>
      </x:c>
      <x:c r="AM176" s="81" t="inlineStr">
        <x:is>
          <x:t xml:space="preserve">ChatGPT research</x:t>
        </x:is>
      </x:c>
      <x:c r="AN176" s="81" t="inlineStr">
        <x:is>
          <x:t xml:space="preserve">2026-09-18</x:t>
        </x:is>
      </x:c>
      <x:c r="AO176" s="81" t="inlineStr">
        <x:is>
          <x:t xml:space="preserve">Day 2 full-scope audit, chapters 21–50.</x:t>
        </x:is>
      </x:c>
      <x:c r="AP176" s="81" t="n"/>
      <x:c r="AQ176" s="81" t="n"/>
    </x:row>
    <x:row r="177">
      <x:c r="A177" s="81" t="inlineStr">
        <x:is>
          <x:t xml:space="preserve">research.laozi.day2.ch49.113</x:t>
        </x:is>
      </x:c>
      <x:c r="B177" s="81" t="inlineStr">
        <x:is>
          <x:t xml:space="preserve">Collected</x:t>
        </x:is>
      </x:c>
      <x:c r="C177" s="81" t="inlineStr">
        <x:is>
          <x:t xml:space="preserve">Nội tâm &amp; hiểu mình</x:t>
        </x:is>
      </x:c>
      <x:c r="D177" s="81" t="inlineStr">
        <x:is>
          <x:t xml:space="preserve">Day 2 / Laozi 21–50</x:t>
        </x:is>
      </x:c>
      <x:c r="E177" s="81" t="n"/>
      <x:c r="F177" s="81" t="inlineStr">
        <x:is>
          <x:t xml:space="preserve">Giữ sự mềm với con người giữa nhiều phán xét</x:t>
        </x:is>
      </x:c>
      <x:c r="G177" s="81" t="inlineStr">
        <x:is>
          <x:t xml:space="preserve">Compassion</x:t>
        </x:is>
      </x:c>
      <x:c r="H177" s="81" t="n"/>
      <x:c r="I177" s="81" t="n"/>
      <x:c r="J177" s="81" t="n"/>
      <x:c r="K177" s="81" t="inlineStr">
        <x:is>
          <x:t xml:space="preserve">Permit</x:t>
        </x:is>
      </x:c>
      <x:c r="L177" s="81" t="n"/>
      <x:c r="M177" s="81" t="inlineStr">
        <x:is>
          <x:t xml:space="preserve">Trích đoạn triết học</x:t>
        </x:is>
      </x:c>
      <x:c r="N177" s="81" t="inlineStr">
        <x:is>
          <x:t xml:space="preserve">百姓皆注其耳目，聖人皆孩之。</x:t>
        </x:is>
      </x:c>
      <x:c r="O177" s="81" t="inlineStr">
        <x:is>
          <x:t xml:space="preserve">Classical Chinese (文言文)</x:t>
        </x:is>
      </x:c>
      <x:c r="P177" s="81" t="inlineStr">
        <x:is>
          <x:t xml:space="preserve">Khi mọi người dồn mắt tai vào phân biệt, người theo Đạo nhìn họ với sự mềm như nhìn trẻ nhỏ.</x:t>
        </x:is>
      </x:c>
      <x:c r="Q177" s="81" t="inlineStr">
        <x:is>
          <x:t xml:space="preserve">Laozi / 老子</x:t>
        </x:is>
      </x:c>
      <x:c r="R177" s="81" t="inlineStr">
        <x:is>
          <x:t xml:space="preserve">Taoism</x:t>
        </x:is>
      </x:c>
      <x:c r="S177" s="81" t="inlineStr">
        <x:is>
          <x:t xml:space="preserve">道德經 / Tao Te Ching</x:t>
        </x:is>
      </x:c>
      <x:c r="T177" s="81" t="inlineStr">
        <x:is>
          <x:t xml:space="preserve">Chapter 49</x:t>
        </x:is>
      </x:c>
      <x:c r="U177" s="81" t="inlineStr">
        <x:is>
          <x:t xml:space="preserve">https://zh.wikisource.org/zh-hant/%E9%81%93%E5%BE%B7%E7%B6%93_%28%E7%8E%8B%E5%BC%BC%E6%9C%AC%29</x:t>
        </x:is>
      </x:c>
      <x:c r="V177" s="81" t="inlineStr">
        <x:is>
          <x:t xml:space="preserve">Primary text</x:t>
        </x:is>
      </x:c>
      <x:c r="W177" s="81" t="inlineStr">
        <x:is>
          <x:t xml:space="preserve">Working translation</x:t>
        </x:is>
      </x:c>
      <x:c r="X177" s="81" t="inlineStr">
        <x:is>
          <x:t xml:space="preserve">A - Primary source</x:t>
        </x:is>
      </x:c>
      <x:c r="Y177" s="81" t="inlineStr">
        <x:is>
          <x:t xml:space="preserve">Original Chinese checked against Wang Bi recension; Vietnamese is Selflo working translation, not a published translation.</x:t>
        </x:is>
      </x:c>
      <x:c r="Z177" s="81" t="inlineStr">
        <x:is>
          <x:t xml:space="preserve">Public domain / likely</x:t>
        </x:is>
      </x:c>
      <x:c r="AA177" s="81" t="inlineStr">
        <x:is>
          <x:t xml:space="preserve">Ancient source text. Verify jurisdiction/edition before commercial publication.</x:t>
        </x:is>
      </x:c>
      <x:c r="AB177" s="81" t="inlineStr">
        <x:is>
          <x:t xml:space="preserve">Medium</x:t>
        </x:is>
      </x:c>
      <x:c r="AC177" s="81" t="inlineStr">
        <x:is>
          <x:t xml:space="preserve">Paternalism risk; research only.</x:t>
        </x:is>
      </x:c>
      <x:c r="AD177" s="81" t="inlineStr">
        <x:is>
          <x:t xml:space="preserve">Needs editorial review</x:t>
        </x:is>
      </x:c>
      <x:c r="AE177" s="81" t="inlineStr">
        <x:is>
          <x:t xml:space="preserve">Needs semantic dedupe review</x:t>
        </x:is>
      </x:c>
      <x:c r="AF177" s="81" t="n"/>
      <x:c r="AG177" s="81" t="n"/>
      <x:c r="AH177" s="81" t="inlineStr">
        <x:is>
          <x:t xml:space="preserve">No</x:t>
        </x:is>
      </x:c>
      <x:c r="AI177" s="81" t="inlineStr">
        <x:is>
          <x:t xml:space="preserve">Not reviewed</x:t>
        </x:is>
      </x:c>
      <x:c r="AJ177" s="81" t="inlineStr">
        <x:is>
          <x:t xml:space="preserve">Research only</x:t>
        </x:is>
      </x:c>
      <x:c r="AK177" s="81" t="inlineStr">
        <x:is>
          <x:t xml:space="preserve">Research Pool</x:t>
        </x:is>
      </x:c>
      <x:c r="AL177" s="81" t="n">
        <x:v>2</x:v>
      </x:c>
      <x:c r="AM177" s="81" t="inlineStr">
        <x:is>
          <x:t xml:space="preserve">ChatGPT research</x:t>
        </x:is>
      </x:c>
      <x:c r="AN177" s="81" t="inlineStr">
        <x:is>
          <x:t xml:space="preserve">2026-09-18</x:t>
        </x:is>
      </x:c>
      <x:c r="AO177" s="81" t="inlineStr">
        <x:is>
          <x:t xml:space="preserve">Day 2 full-scope audit, chapters 21–50.</x:t>
        </x:is>
      </x:c>
      <x:c r="AP177" s="81" t="n"/>
      <x:c r="AQ177" s="81" t="n"/>
    </x:row>
    <x:row r="178">
      <x:c r="A178" s="81" t="inlineStr">
        <x:is>
          <x:t xml:space="preserve">research.laozi.day2.ch50.114</x:t>
        </x:is>
      </x:c>
      <x:c r="B178" s="81" t="inlineStr">
        <x:is>
          <x:t xml:space="preserve">Collected</x:t>
        </x:is>
      </x:c>
      <x:c r="C178" s="81" t="inlineStr">
        <x:is>
          <x:t xml:space="preserve">Nội tâm &amp; hiểu mình</x:t>
        </x:is>
      </x:c>
      <x:c r="D178" s="81" t="inlineStr">
        <x:is>
          <x:t xml:space="preserve">Day 2 / Laozi 21–50</x:t>
        </x:is>
      </x:c>
      <x:c r="E178" s="81" t="n"/>
      <x:c r="F178" s="81" t="inlineStr">
        <x:is>
          <x:t xml:space="preserve">Sống luôn đi cùng tính hữu hạn</x:t>
        </x:is>
      </x:c>
      <x:c r="G178" s="81" t="inlineStr">
        <x:is>
          <x:t xml:space="preserve">Mortality</x:t>
        </x:is>
      </x:c>
      <x:c r="H178" s="81" t="n"/>
      <x:c r="I178" s="81" t="n"/>
      <x:c r="J178" s="81" t="n"/>
      <x:c r="K178" s="81" t="inlineStr">
        <x:is>
          <x:t xml:space="preserve">Recognize</x:t>
        </x:is>
      </x:c>
      <x:c r="L178" s="81" t="n"/>
      <x:c r="M178" s="81" t="inlineStr">
        <x:is>
          <x:t xml:space="preserve">Trích đoạn triết học</x:t>
        </x:is>
      </x:c>
      <x:c r="N178" s="81" t="inlineStr">
        <x:is>
          <x:t xml:space="preserve">出生入死。</x:t>
        </x:is>
      </x:c>
      <x:c r="O178" s="81" t="inlineStr">
        <x:is>
          <x:t xml:space="preserve">Classical Chinese (文言文)</x:t>
        </x:is>
      </x:c>
      <x:c r="P178" s="81" t="inlineStr">
        <x:is>
          <x:t xml:space="preserve">Đi ra với sự sống và đi vào với cái chết.</x:t>
        </x:is>
      </x:c>
      <x:c r="Q178" s="81" t="inlineStr">
        <x:is>
          <x:t xml:space="preserve">Laozi / 老子</x:t>
        </x:is>
      </x:c>
      <x:c r="R178" s="81" t="inlineStr">
        <x:is>
          <x:t xml:space="preserve">Taoism</x:t>
        </x:is>
      </x:c>
      <x:c r="S178" s="81" t="inlineStr">
        <x:is>
          <x:t xml:space="preserve">道德經 / Tao Te Ching</x:t>
        </x:is>
      </x:c>
      <x:c r="T178" s="81" t="inlineStr">
        <x:is>
          <x:t xml:space="preserve">Chapter 50</x:t>
        </x:is>
      </x:c>
      <x:c r="U178" s="81" t="inlineStr">
        <x:is>
          <x:t xml:space="preserve">https://zh.wikisource.org/zh-hant/%E9%81%93%E5%BE%B7%E7%B6%93_%28%E7%8E%8B%E5%BC%BC%E6%9C%AC%29</x:t>
        </x:is>
      </x:c>
      <x:c r="V178" s="81" t="inlineStr">
        <x:is>
          <x:t xml:space="preserve">Primary text</x:t>
        </x:is>
      </x:c>
      <x:c r="W178" s="81" t="inlineStr">
        <x:is>
          <x:t xml:space="preserve">Working translation</x:t>
        </x:is>
      </x:c>
      <x:c r="X178" s="81" t="inlineStr">
        <x:is>
          <x:t xml:space="preserve">A - Primary source</x:t>
        </x:is>
      </x:c>
      <x:c r="Y178" s="81" t="inlineStr">
        <x:is>
          <x:t xml:space="preserve">Original Chinese checked against Wang Bi recension; Vietnamese is Selflo working translation, not a published translation.</x:t>
        </x:is>
      </x:c>
      <x:c r="Z178" s="81" t="inlineStr">
        <x:is>
          <x:t xml:space="preserve">Public domain / likely</x:t>
        </x:is>
      </x:c>
      <x:c r="AA178" s="81" t="inlineStr">
        <x:is>
          <x:t xml:space="preserve">Ancient source text. Verify jurisdiction/edition before commercial publication.</x:t>
        </x:is>
      </x:c>
      <x:c r="AB178" s="81" t="inlineStr">
        <x:is>
          <x:t xml:space="preserve">Medium</x:t>
        </x:is>
      </x:c>
      <x:c r="AC178" s="81" t="inlineStr">
        <x:is>
          <x:t xml:space="preserve">Existential.</x:t>
        </x:is>
      </x:c>
      <x:c r="AD178" s="81" t="inlineStr">
        <x:is>
          <x:t xml:space="preserve">Needs editorial review</x:t>
        </x:is>
      </x:c>
      <x:c r="AE178" s="81" t="inlineStr">
        <x:is>
          <x:t xml:space="preserve">Needs semantic dedupe review</x:t>
        </x:is>
      </x:c>
      <x:c r="AF178" s="81" t="n"/>
      <x:c r="AG178" s="81" t="n"/>
      <x:c r="AH178" s="81" t="inlineStr">
        <x:is>
          <x:t xml:space="preserve">No</x:t>
        </x:is>
      </x:c>
      <x:c r="AI178" s="81" t="inlineStr">
        <x:is>
          <x:t xml:space="preserve">Not reviewed</x:t>
        </x:is>
      </x:c>
      <x:c r="AJ178" s="81" t="inlineStr">
        <x:is>
          <x:t xml:space="preserve">Research only</x:t>
        </x:is>
      </x:c>
      <x:c r="AK178" s="81" t="inlineStr">
        <x:is>
          <x:t xml:space="preserve">Research Pool</x:t>
        </x:is>
      </x:c>
      <x:c r="AL178" s="81" t="n">
        <x:v>2</x:v>
      </x:c>
      <x:c r="AM178" s="81" t="inlineStr">
        <x:is>
          <x:t xml:space="preserve">ChatGPT research</x:t>
        </x:is>
      </x:c>
      <x:c r="AN178" s="81" t="inlineStr">
        <x:is>
          <x:t xml:space="preserve">2026-09-18</x:t>
        </x:is>
      </x:c>
      <x:c r="AO178" s="81" t="inlineStr">
        <x:is>
          <x:t xml:space="preserve">Day 2 full-scope audit, chapters 21–50.</x:t>
        </x:is>
      </x:c>
      <x:c r="AP178" s="81" t="n"/>
      <x:c r="AQ178" s="81" t="n"/>
    </x:row>
    <x:row r="179">
      <x:c r="A179" s="81" t="inlineStr">
        <x:is>
          <x:t xml:space="preserve">research.laozi.day2.ch50.115</x:t>
        </x:is>
      </x:c>
      <x:c r="B179" s="81" t="inlineStr">
        <x:is>
          <x:t xml:space="preserve">Collected</x:t>
        </x:is>
      </x:c>
      <x:c r="C179" s="81" t="inlineStr">
        <x:is>
          <x:t xml:space="preserve">Nội tâm &amp; hiểu mình</x:t>
        </x:is>
      </x:c>
      <x:c r="D179" s="81" t="inlineStr">
        <x:is>
          <x:t xml:space="preserve">Day 2 / Laozi 21–50</x:t>
        </x:is>
      </x:c>
      <x:c r="E179" s="81" t="n"/>
      <x:c r="F179" s="81" t="inlineStr">
        <x:is>
          <x:t xml:space="preserve">Nhìn tính hữu hạn và cách mình sống với nó</x:t>
        </x:is>
      </x:c>
      <x:c r="G179" s="81" t="inlineStr">
        <x:is>
          <x:t xml:space="preserve">Mortality</x:t>
        </x:is>
      </x:c>
      <x:c r="H179" s="81" t="n"/>
      <x:c r="I179" s="81" t="n"/>
      <x:c r="J179" s="81" t="n"/>
      <x:c r="K179" s="81" t="inlineStr">
        <x:is>
          <x:t xml:space="preserve">Recognize</x:t>
        </x:is>
      </x:c>
      <x:c r="L179" s="81" t="n"/>
      <x:c r="M179" s="81" t="inlineStr">
        <x:is>
          <x:t xml:space="preserve">Trích đoạn triết học</x:t>
        </x:is>
      </x:c>
      <x:c r="N179" s="81" t="inlineStr">
        <x:is>
          <x:t xml:space="preserve">生之徒，十有三；死之徒，十有三；人之生，動之死地，亦十有三。</x:t>
        </x:is>
      </x:c>
      <x:c r="O179" s="81" t="inlineStr">
        <x:is>
          <x:t xml:space="preserve">Classical Chinese (文言文)</x:t>
        </x:is>
      </x:c>
      <x:c r="P179" s="81" t="inlineStr">
        <x:is>
          <x:t xml:space="preserve">Văn bản đặt sự sống, cái chết và những cách tự đưa mình vào nguy hiểm cạnh nhau.</x:t>
        </x:is>
      </x:c>
      <x:c r="Q179" s="81" t="inlineStr">
        <x:is>
          <x:t xml:space="preserve">Laozi / 老子</x:t>
        </x:is>
      </x:c>
      <x:c r="R179" s="81" t="inlineStr">
        <x:is>
          <x:t xml:space="preserve">Taoism</x:t>
        </x:is>
      </x:c>
      <x:c r="S179" s="81" t="inlineStr">
        <x:is>
          <x:t xml:space="preserve">道德經 / Tao Te Ching</x:t>
        </x:is>
      </x:c>
      <x:c r="T179" s="81" t="inlineStr">
        <x:is>
          <x:t xml:space="preserve">Chapter 50</x:t>
        </x:is>
      </x:c>
      <x:c r="U179" s="81" t="inlineStr">
        <x:is>
          <x:t xml:space="preserve">https://zh.wikisource.org/zh-hant/%E9%81%93%E5%BE%B7%E7%B6%93_%28%E7%8E%8B%E5%BC%BC%E6%9C%AC%29</x:t>
        </x:is>
      </x:c>
      <x:c r="V179" s="81" t="inlineStr">
        <x:is>
          <x:t xml:space="preserve">Primary text</x:t>
        </x:is>
      </x:c>
      <x:c r="W179" s="81" t="inlineStr">
        <x:is>
          <x:t xml:space="preserve">Working translation</x:t>
        </x:is>
      </x:c>
      <x:c r="X179" s="81" t="inlineStr">
        <x:is>
          <x:t xml:space="preserve">A - Primary source</x:t>
        </x:is>
      </x:c>
      <x:c r="Y179" s="81" t="inlineStr">
        <x:is>
          <x:t xml:space="preserve">Original Chinese checked against Wang Bi recension; Vietnamese is Selflo working translation, not a published translation.</x:t>
        </x:is>
      </x:c>
      <x:c r="Z179" s="81" t="inlineStr">
        <x:is>
          <x:t xml:space="preserve">Public domain / likely</x:t>
        </x:is>
      </x:c>
      <x:c r="AA179" s="81" t="inlineStr">
        <x:is>
          <x:t xml:space="preserve">Ancient source text. Verify jurisdiction/edition before commercial publication.</x:t>
        </x:is>
      </x:c>
      <x:c r="AB179" s="81" t="inlineStr">
        <x:is>
          <x:t xml:space="preserve">Low</x:t>
        </x:is>
      </x:c>
      <x:c r="AC179" s="81" t="inlineStr">
        <x:is>
          <x:t xml:space="preserve">Textual interpretation disputed.</x:t>
        </x:is>
      </x:c>
      <x:c r="AD179" s="81" t="inlineStr">
        <x:is>
          <x:t xml:space="preserve">Needs editorial review</x:t>
        </x:is>
      </x:c>
      <x:c r="AE179" s="81" t="inlineStr">
        <x:is>
          <x:t xml:space="preserve">Needs semantic dedupe review</x:t>
        </x:is>
      </x:c>
      <x:c r="AF179" s="81" t="n"/>
      <x:c r="AG179" s="81" t="n"/>
      <x:c r="AH179" s="81" t="inlineStr">
        <x:is>
          <x:t xml:space="preserve">No</x:t>
        </x:is>
      </x:c>
      <x:c r="AI179" s="81" t="inlineStr">
        <x:is>
          <x:t xml:space="preserve">Not reviewed</x:t>
        </x:is>
      </x:c>
      <x:c r="AJ179" s="81" t="inlineStr">
        <x:is>
          <x:t xml:space="preserve">Research only</x:t>
        </x:is>
      </x:c>
      <x:c r="AK179" s="81" t="inlineStr">
        <x:is>
          <x:t xml:space="preserve">Research Pool</x:t>
        </x:is>
      </x:c>
      <x:c r="AL179" s="81" t="n">
        <x:v>2</x:v>
      </x:c>
      <x:c r="AM179" s="81" t="inlineStr">
        <x:is>
          <x:t xml:space="preserve">ChatGPT research</x:t>
        </x:is>
      </x:c>
      <x:c r="AN179" s="81" t="inlineStr">
        <x:is>
          <x:t xml:space="preserve">2026-09-18</x:t>
        </x:is>
      </x:c>
      <x:c r="AO179" s="81" t="inlineStr">
        <x:is>
          <x:t xml:space="preserve">Day 2 full-scope audit, chapters 21–50.</x:t>
        </x:is>
      </x:c>
      <x:c r="AP179" s="81" t="n"/>
      <x:c r="AQ179" s="81" t="n"/>
    </x:row>
    <x:row r="180">
      <x:c r="A180" s="81" t="inlineStr">
        <x:is>
          <x:t xml:space="preserve">research.laozi.day2.ch50.116</x:t>
        </x:is>
      </x:c>
      <x:c r="B180" s="81" t="inlineStr">
        <x:is>
          <x:t xml:space="preserve">Collected</x:t>
        </x:is>
      </x:c>
      <x:c r="C180" s="81" t="inlineStr">
        <x:is>
          <x:t xml:space="preserve">Nội tâm &amp; hiểu mình</x:t>
        </x:is>
      </x:c>
      <x:c r="D180" s="81" t="inlineStr">
        <x:is>
          <x:t xml:space="preserve">Day 2 / Laozi 21–50</x:t>
        </x:is>
      </x:c>
      <x:c r="E180" s="81" t="n"/>
      <x:c r="F180" s="81" t="inlineStr">
        <x:is>
          <x:t xml:space="preserve">Nắm quá chặt điều muốn bảo vệ có thể tạo rủi ro khác</x:t>
        </x:is>
      </x:c>
      <x:c r="G180" s="81" t="inlineStr">
        <x:is>
          <x:t xml:space="preserve">Attachment</x:t>
        </x:is>
      </x:c>
      <x:c r="H180" s="81" t="n"/>
      <x:c r="I180" s="81" t="n"/>
      <x:c r="J180" s="81" t="n"/>
      <x:c r="K180" s="81" t="inlineStr">
        <x:is>
          <x:t xml:space="preserve">Reframe</x:t>
        </x:is>
      </x:c>
      <x:c r="L180" s="81" t="n"/>
      <x:c r="M180" s="81" t="inlineStr">
        <x:is>
          <x:t xml:space="preserve">Trích đoạn triết học</x:t>
        </x:is>
      </x:c>
      <x:c r="N180" s="81" t="inlineStr">
        <x:is>
          <x:t xml:space="preserve">夫何故？以其生生之厚。</x:t>
        </x:is>
      </x:c>
      <x:c r="O180" s="81" t="inlineStr">
        <x:is>
          <x:t xml:space="preserve">Classical Chinese (文言文)</x:t>
        </x:is>
      </x:c>
      <x:c r="P180" s="81" t="inlineStr">
        <x:is>
          <x:t xml:space="preserve">Vì sao? Văn bản gợi rằng có khi chính sự bám quá dày vào việc giữ sự sống lại đưa người ta vào chỗ nguy.</x:t>
        </x:is>
      </x:c>
      <x:c r="Q180" s="81" t="inlineStr">
        <x:is>
          <x:t xml:space="preserve">Laozi / 老子</x:t>
        </x:is>
      </x:c>
      <x:c r="R180" s="81" t="inlineStr">
        <x:is>
          <x:t xml:space="preserve">Taoism</x:t>
        </x:is>
      </x:c>
      <x:c r="S180" s="81" t="inlineStr">
        <x:is>
          <x:t xml:space="preserve">道德經 / Tao Te Ching</x:t>
        </x:is>
      </x:c>
      <x:c r="T180" s="81" t="inlineStr">
        <x:is>
          <x:t xml:space="preserve">Chapter 50</x:t>
        </x:is>
      </x:c>
      <x:c r="U180" s="81" t="inlineStr">
        <x:is>
          <x:t xml:space="preserve">https://zh.wikisource.org/zh-hant/%E9%81%93%E5%BE%B7%E7%B6%93_%28%E7%8E%8B%E5%BC%BC%E6%9C%AC%29</x:t>
        </x:is>
      </x:c>
      <x:c r="V180" s="81" t="inlineStr">
        <x:is>
          <x:t xml:space="preserve">Primary text</x:t>
        </x:is>
      </x:c>
      <x:c r="W180" s="81" t="inlineStr">
        <x:is>
          <x:t xml:space="preserve">Working translation</x:t>
        </x:is>
      </x:c>
      <x:c r="X180" s="81" t="inlineStr">
        <x:is>
          <x:t xml:space="preserve">A - Primary source</x:t>
        </x:is>
      </x:c>
      <x:c r="Y180" s="81" t="inlineStr">
        <x:is>
          <x:t xml:space="preserve">Original Chinese checked against Wang Bi recension; Vietnamese is Selflo working translation, not a published translation.</x:t>
        </x:is>
      </x:c>
      <x:c r="Z180" s="81" t="inlineStr">
        <x:is>
          <x:t xml:space="preserve">Public domain / likely</x:t>
        </x:is>
      </x:c>
      <x:c r="AA180" s="81" t="inlineStr">
        <x:is>
          <x:t xml:space="preserve">Ancient source text. Verify jurisdiction/edition before commercial publication.</x:t>
        </x:is>
      </x:c>
      <x:c r="AB180" s="81" t="inlineStr">
        <x:is>
          <x:t xml:space="preserve">Medium</x:t>
        </x:is>
      </x:c>
      <x:c r="AC180" s="81" t="inlineStr">
        <x:is>
          <x:t xml:space="preserve">Difficult ancient passage.</x:t>
        </x:is>
      </x:c>
      <x:c r="AD180" s="81" t="inlineStr">
        <x:is>
          <x:t xml:space="preserve">Needs editorial review</x:t>
        </x:is>
      </x:c>
      <x:c r="AE180" s="81" t="inlineStr">
        <x:is>
          <x:t xml:space="preserve">Needs semantic dedupe review</x:t>
        </x:is>
      </x:c>
      <x:c r="AF180" s="81" t="n"/>
      <x:c r="AG180" s="81" t="n"/>
      <x:c r="AH180" s="81" t="inlineStr">
        <x:is>
          <x:t xml:space="preserve">No</x:t>
        </x:is>
      </x:c>
      <x:c r="AI180" s="81" t="inlineStr">
        <x:is>
          <x:t xml:space="preserve">Not reviewed</x:t>
        </x:is>
      </x:c>
      <x:c r="AJ180" s="81" t="inlineStr">
        <x:is>
          <x:t xml:space="preserve">Research only</x:t>
        </x:is>
      </x:c>
      <x:c r="AK180" s="81" t="inlineStr">
        <x:is>
          <x:t xml:space="preserve">Research Pool</x:t>
        </x:is>
      </x:c>
      <x:c r="AL180" s="81" t="n">
        <x:v>2</x:v>
      </x:c>
      <x:c r="AM180" s="81" t="inlineStr">
        <x:is>
          <x:t xml:space="preserve">ChatGPT research</x:t>
        </x:is>
      </x:c>
      <x:c r="AN180" s="81" t="inlineStr">
        <x:is>
          <x:t xml:space="preserve">2026-09-18</x:t>
        </x:is>
      </x:c>
      <x:c r="AO180" s="81" t="inlineStr">
        <x:is>
          <x:t xml:space="preserve">Day 2 full-scope audit, chapters 21–50.</x:t>
        </x:is>
      </x:c>
      <x:c r="AP180" s="81" t="n"/>
      <x:c r="AQ180" s="81" t="n"/>
    </x:row>
    <x:row r="181">
      <x:c r="A181" s="81" t="inlineStr">
        <x:is>
          <x:t xml:space="preserve">research.laozi.day2.ch50.117</x:t>
        </x:is>
      </x:c>
      <x:c r="B181" s="81" t="inlineStr">
        <x:is>
          <x:t xml:space="preserve">Collected</x:t>
        </x:is>
      </x:c>
      <x:c r="C181" s="81" t="inlineStr">
        <x:is>
          <x:t xml:space="preserve">Nội tâm &amp; hiểu mình</x:t>
        </x:is>
      </x:c>
      <x:c r="D181" s="81" t="inlineStr">
        <x:is>
          <x:t xml:space="preserve">Day 2 / Laozi 21–50</x:t>
        </x:is>
      </x:c>
      <x:c r="E181" s="81" t="n"/>
      <x:c r="F181" s="81" t="inlineStr">
        <x:is>
          <x:t xml:space="preserve">Sống khéo không đồng nghĩa kiểm soát mọi nguy cơ</x:t>
        </x:is>
      </x:c>
      <x:c r="G181" s="81" t="inlineStr">
        <x:is>
          <x:t xml:space="preserve">Mortality</x:t>
        </x:is>
      </x:c>
      <x:c r="H181" s="81" t="n"/>
      <x:c r="I181" s="81" t="n"/>
      <x:c r="J181" s="81" t="n"/>
      <x:c r="K181" s="81" t="inlineStr">
        <x:is>
          <x:t xml:space="preserve">Reframe</x:t>
        </x:is>
      </x:c>
      <x:c r="L181" s="81" t="n"/>
      <x:c r="M181" s="81" t="inlineStr">
        <x:is>
          <x:t xml:space="preserve">Trích đoạn triết học</x:t>
        </x:is>
      </x:c>
      <x:c r="N181" s="81" t="inlineStr">
        <x:is>
          <x:t xml:space="preserve">蓋聞善攝生者，陸行不遇兕虎，入軍不被甲兵。</x:t>
        </x:is>
      </x:c>
      <x:c r="O181" s="81" t="inlineStr">
        <x:is>
          <x:t xml:space="preserve">Classical Chinese (文言文)</x:t>
        </x:is>
      </x:c>
      <x:c r="P181" s="81" t="inlineStr">
        <x:is>
          <x:t xml:space="preserve">Văn bản dùng hình ảnh người biết giữ đời sống đi giữa hiểm nguy mà không bị hiểm nguy chiếm lấy.</x:t>
        </x:is>
      </x:c>
      <x:c r="Q181" s="81" t="inlineStr">
        <x:is>
          <x:t xml:space="preserve">Laozi / 老子</x:t>
        </x:is>
      </x:c>
      <x:c r="R181" s="81" t="inlineStr">
        <x:is>
          <x:t xml:space="preserve">Taoism</x:t>
        </x:is>
      </x:c>
      <x:c r="S181" s="81" t="inlineStr">
        <x:is>
          <x:t xml:space="preserve">道德經 / Tao Te Ching</x:t>
        </x:is>
      </x:c>
      <x:c r="T181" s="81" t="inlineStr">
        <x:is>
          <x:t xml:space="preserve">Chapter 50</x:t>
        </x:is>
      </x:c>
      <x:c r="U181" s="81" t="inlineStr">
        <x:is>
          <x:t xml:space="preserve">https://zh.wikisource.org/zh-hant/%E9%81%93%E5%BE%B7%E7%B6%93_%28%E7%8E%8B%E5%BC%BC%E6%9C%AC%29</x:t>
        </x:is>
      </x:c>
      <x:c r="V181" s="81" t="inlineStr">
        <x:is>
          <x:t xml:space="preserve">Primary text</x:t>
        </x:is>
      </x:c>
      <x:c r="W181" s="81" t="inlineStr">
        <x:is>
          <x:t xml:space="preserve">Working translation</x:t>
        </x:is>
      </x:c>
      <x:c r="X181" s="81" t="inlineStr">
        <x:is>
          <x:t xml:space="preserve">A - Primary source</x:t>
        </x:is>
      </x:c>
      <x:c r="Y181" s="81" t="inlineStr">
        <x:is>
          <x:t xml:space="preserve">Original Chinese checked against Wang Bi recension; Vietnamese is Selflo working translation, not a published translation.</x:t>
        </x:is>
      </x:c>
      <x:c r="Z181" s="81" t="inlineStr">
        <x:is>
          <x:t xml:space="preserve">Public domain / likely</x:t>
        </x:is>
      </x:c>
      <x:c r="AA181" s="81" t="inlineStr">
        <x:is>
          <x:t xml:space="preserve">Ancient source text. Verify jurisdiction/edition before commercial publication.</x:t>
        </x:is>
      </x:c>
      <x:c r="AB181" s="81" t="inlineStr">
        <x:is>
          <x:t xml:space="preserve">Low</x:t>
        </x:is>
      </x:c>
      <x:c r="AC181" s="81" t="inlineStr">
        <x:is>
          <x:t xml:space="preserve">Mythic/metaphorical; not factual safety advice.</x:t>
        </x:is>
      </x:c>
      <x:c r="AD181" s="81" t="inlineStr">
        <x:is>
          <x:t xml:space="preserve">Needs editorial review</x:t>
        </x:is>
      </x:c>
      <x:c r="AE181" s="81" t="inlineStr">
        <x:is>
          <x:t xml:space="preserve">Needs semantic dedupe review</x:t>
        </x:is>
      </x:c>
      <x:c r="AF181" s="81" t="n"/>
      <x:c r="AG181" s="81" t="n"/>
      <x:c r="AH181" s="81" t="inlineStr">
        <x:is>
          <x:t xml:space="preserve">No</x:t>
        </x:is>
      </x:c>
      <x:c r="AI181" s="81" t="inlineStr">
        <x:is>
          <x:t xml:space="preserve">Not reviewed</x:t>
        </x:is>
      </x:c>
      <x:c r="AJ181" s="81" t="inlineStr">
        <x:is>
          <x:t xml:space="preserve">Research only</x:t>
        </x:is>
      </x:c>
      <x:c r="AK181" s="81" t="inlineStr">
        <x:is>
          <x:t xml:space="preserve">Research Pool</x:t>
        </x:is>
      </x:c>
      <x:c r="AL181" s="81" t="n">
        <x:v>2</x:v>
      </x:c>
      <x:c r="AM181" s="81" t="inlineStr">
        <x:is>
          <x:t xml:space="preserve">ChatGPT research</x:t>
        </x:is>
      </x:c>
      <x:c r="AN181" s="81" t="inlineStr">
        <x:is>
          <x:t xml:space="preserve">2026-09-18</x:t>
        </x:is>
      </x:c>
      <x:c r="AO181" s="81" t="inlineStr">
        <x:is>
          <x:t xml:space="preserve">Day 2 full-scope audit, chapters 21–50.</x:t>
        </x:is>
      </x:c>
      <x:c r="AP181" s="81" t="n"/>
      <x:c r="AQ181" s="81" t="n"/>
    </x:row>
    <x:row r="182">
      <x:c r="A182" s="81" t="inlineStr">
        <x:is>
          <x:t xml:space="preserve">research.laozi.day2.ch50.118</x:t>
        </x:is>
      </x:c>
      <x:c r="B182" s="81" t="inlineStr">
        <x:is>
          <x:t xml:space="preserve">Collected</x:t>
        </x:is>
      </x:c>
      <x:c r="C182" s="81" t="inlineStr">
        <x:is>
          <x:t xml:space="preserve">Nội tâm &amp; hiểu mình</x:t>
        </x:is>
      </x:c>
      <x:c r="D182" s="81" t="inlineStr">
        <x:is>
          <x:t xml:space="preserve">Day 2 / Laozi 21–50</x:t>
        </x:is>
      </x:c>
      <x:c r="E182" s="81" t="n"/>
      <x:c r="F182" s="81" t="inlineStr">
        <x:is>
          <x:t xml:space="preserve">Không tự tạo thêm nơi mắc kẹt bằng bám chấp</x:t>
        </x:is>
      </x:c>
      <x:c r="G182" s="81" t="inlineStr">
        <x:is>
          <x:t xml:space="preserve">Attachment</x:t>
        </x:is>
      </x:c>
      <x:c r="H182" s="81" t="n"/>
      <x:c r="I182" s="81" t="n"/>
      <x:c r="J182" s="81" t="n"/>
      <x:c r="K182" s="81" t="inlineStr">
        <x:is>
          <x:t xml:space="preserve">Reframe</x:t>
        </x:is>
      </x:c>
      <x:c r="L182" s="81" t="n"/>
      <x:c r="M182" s="81" t="inlineStr">
        <x:is>
          <x:t xml:space="preserve">Trích đoạn triết học</x:t>
        </x:is>
      </x:c>
      <x:c r="N182" s="81" t="inlineStr">
        <x:is>
          <x:t xml:space="preserve">夫何故？以其無死地。</x:t>
        </x:is>
      </x:c>
      <x:c r="O182" s="81" t="inlineStr">
        <x:is>
          <x:t xml:space="preserve">Classical Chinese (文言文)</x:t>
        </x:is>
      </x:c>
      <x:c r="P182" s="81" t="inlineStr">
        <x:is>
          <x:t xml:space="preserve">Vì sao? Vì không tự đặt mình vào 'đất chết' của sự bám chấp ấy.</x:t>
        </x:is>
      </x:c>
      <x:c r="Q182" s="81" t="inlineStr">
        <x:is>
          <x:t xml:space="preserve">Laozi / 老子</x:t>
        </x:is>
      </x:c>
      <x:c r="R182" s="81" t="inlineStr">
        <x:is>
          <x:t xml:space="preserve">Taoism</x:t>
        </x:is>
      </x:c>
      <x:c r="S182" s="81" t="inlineStr">
        <x:is>
          <x:t xml:space="preserve">道德經 / Tao Te Ching</x:t>
        </x:is>
      </x:c>
      <x:c r="T182" s="81" t="inlineStr">
        <x:is>
          <x:t xml:space="preserve">Chapter 50</x:t>
        </x:is>
      </x:c>
      <x:c r="U182" s="81" t="inlineStr">
        <x:is>
          <x:t xml:space="preserve">https://zh.wikisource.org/zh-hant/%E9%81%93%E5%BE%B7%E7%B6%93_%28%E7%8E%8B%E5%BC%BC%E6%9C%AC%29</x:t>
        </x:is>
      </x:c>
      <x:c r="V182" s="81" t="inlineStr">
        <x:is>
          <x:t xml:space="preserve">Primary text</x:t>
        </x:is>
      </x:c>
      <x:c r="W182" s="81" t="inlineStr">
        <x:is>
          <x:t xml:space="preserve">Working translation</x:t>
        </x:is>
      </x:c>
      <x:c r="X182" s="81" t="inlineStr">
        <x:is>
          <x:t xml:space="preserve">A - Primary source</x:t>
        </x:is>
      </x:c>
      <x:c r="Y182" s="81" t="inlineStr">
        <x:is>
          <x:t xml:space="preserve">Original Chinese checked against Wang Bi recension; Vietnamese is Selflo working translation, not a published translation.</x:t>
        </x:is>
      </x:c>
      <x:c r="Z182" s="81" t="inlineStr">
        <x:is>
          <x:t xml:space="preserve">Public domain / likely</x:t>
        </x:is>
      </x:c>
      <x:c r="AA182" s="81" t="inlineStr">
        <x:is>
          <x:t xml:space="preserve">Ancient source text. Verify jurisdiction/edition before commercial publication.</x:t>
        </x:is>
      </x:c>
      <x:c r="AB182" s="81" t="inlineStr">
        <x:is>
          <x:t xml:space="preserve">Medium</x:t>
        </x:is>
      </x:c>
      <x:c r="AC182" s="81" t="inlineStr">
        <x:is>
          <x:t xml:space="preserve">Metaphorical; not safety guidance.</x:t>
        </x:is>
      </x:c>
      <x:c r="AD182" s="81" t="inlineStr">
        <x:is>
          <x:t xml:space="preserve">Needs editorial review</x:t>
        </x:is>
      </x:c>
      <x:c r="AE182" s="81" t="inlineStr">
        <x:is>
          <x:t xml:space="preserve">Needs semantic dedupe review</x:t>
        </x:is>
      </x:c>
      <x:c r="AF182" s="81" t="n"/>
      <x:c r="AG182" s="81" t="n"/>
      <x:c r="AH182" s="81" t="inlineStr">
        <x:is>
          <x:t xml:space="preserve">No</x:t>
        </x:is>
      </x:c>
      <x:c r="AI182" s="81" t="inlineStr">
        <x:is>
          <x:t xml:space="preserve">Not reviewed</x:t>
        </x:is>
      </x:c>
      <x:c r="AJ182" s="81" t="inlineStr">
        <x:is>
          <x:t xml:space="preserve">Research only</x:t>
        </x:is>
      </x:c>
      <x:c r="AK182" s="81" t="inlineStr">
        <x:is>
          <x:t xml:space="preserve">Research Pool</x:t>
        </x:is>
      </x:c>
      <x:c r="AL182" s="81" t="n">
        <x:v>2</x:v>
      </x:c>
      <x:c r="AM182" s="81" t="inlineStr">
        <x:is>
          <x:t xml:space="preserve">ChatGPT research</x:t>
        </x:is>
      </x:c>
      <x:c r="AN182" s="81" t="inlineStr">
        <x:is>
          <x:t xml:space="preserve">2026-09-18</x:t>
        </x:is>
      </x:c>
      <x:c r="AO182" s="81" t="inlineStr">
        <x:is>
          <x:t xml:space="preserve">Day 2 full-scope audit, chapters 21–50.</x:t>
        </x:is>
      </x:c>
      <x:c r="AP182" s="81" t="n"/>
      <x:c r="AQ182" s="81" t="n"/>
    </x:row>
    <x:row r="183">
      <x:c r="A183" s="81" t="inlineStr">
        <x:is>
          <x:t xml:space="preserve">research.laozi.day3.ch51.001</x:t>
        </x:is>
      </x:c>
      <x:c r="B183" s="81" t="inlineStr">
        <x:is>
          <x:t xml:space="preserve">Collected</x:t>
        </x:is>
      </x:c>
      <x:c r="C183" s="81" t="inlineStr">
        <x:is>
          <x:t xml:space="preserve">Nội tâm &amp; hiểu mình</x:t>
        </x:is>
      </x:c>
      <x:c r="D183" s="81" t="inlineStr">
        <x:is>
          <x:t xml:space="preserve">Day 3 / Laozi 51–81</x:t>
        </x:is>
      </x:c>
      <x:c r="E183" s="81" t="str"/>
      <x:c r="F183" s="81" t="inlineStr">
        <x:is>
          <x:t xml:space="preserve">Một kết quả được tạo bởi nhiều tầng điều kiện</x:t>
        </x:is>
      </x:c>
      <x:c r="G183" s="81" t="inlineStr">
        <x:is>
          <x:t xml:space="preserve">Context</x:t>
        </x:is>
      </x:c>
      <x:c r="H183" s="81" t="str"/>
      <x:c r="I183" s="81" t="str"/>
      <x:c r="J183" s="81" t="str"/>
      <x:c r="K183" s="81" t="inlineStr">
        <x:is>
          <x:t xml:space="preserve">Distinguish</x:t>
        </x:is>
      </x:c>
      <x:c r="L183" s="81" t="inlineStr">
        <x:is>
          <x:t xml:space="preserve">Recognize</x:t>
        </x:is>
      </x:c>
      <x:c r="M183" s="81" t="inlineStr">
        <x:is>
          <x:t xml:space="preserve">Trích đoạn triết học</x:t>
        </x:is>
      </x:c>
      <x:c r="N183" s="81" t="inlineStr">
        <x:is>
          <x:t xml:space="preserve">道生之，德畜之，物形之，勢成之。</x:t>
        </x:is>
      </x:c>
      <x:c r="O183" s="81" t="inlineStr">
        <x:is>
          <x:t xml:space="preserve">Classical Chinese (文言文)</x:t>
        </x:is>
      </x:c>
      <x:c r="P183" s="81" t="inlineStr">
        <x:is>
          <x:t xml:space="preserve">Đạo sinh ra; đức nuôi dưỡng; sự vật cho hình; hoàn cảnh làm nên sự thành hình.</x:t>
        </x:is>
      </x:c>
      <x:c r="Q183" s="81" t="inlineStr">
        <x:is>
          <x:t xml:space="preserve">Laozi / 老子</x:t>
        </x:is>
      </x:c>
      <x:c r="R183" s="81" t="inlineStr">
        <x:is>
          <x:t xml:space="preserve">Taoism</x:t>
        </x:is>
      </x:c>
      <x:c r="S183" s="81" t="inlineStr">
        <x:is>
          <x:t xml:space="preserve">道德經 / Tao Te Ching</x:t>
        </x:is>
      </x:c>
      <x:c r="T183" s="81" t="inlineStr">
        <x:is>
          <x:t xml:space="preserve">Chapter 51</x:t>
        </x:is>
      </x:c>
      <x:c r="U183" s="81" t="inlineStr">
        <x:is>
          <x:t xml:space="preserve">https://zh.wikisource.org/zh-hant/%E9%81%93%E5%BE%B7%E7%B6%93_(%E7%8E%8B%E5%BC%BC%E6%9C%AC)</x:t>
        </x:is>
      </x:c>
      <x:c r="V183" s="81" t="inlineStr">
        <x:is>
          <x:t xml:space="preserve">Primary text</x:t>
        </x:is>
      </x:c>
      <x:c r="W183" s="81" t="inlineStr">
        <x:is>
          <x:t xml:space="preserve">Working translation</x:t>
        </x:is>
      </x:c>
      <x:c r="X183" s="81" t="inlineStr">
        <x:is>
          <x:t xml:space="preserve">A - Primary source</x:t>
        </x:is>
      </x:c>
      <x:c r="Y183" s="81" t="inlineStr">
        <x:is>
          <x:t xml:space="preserve">Original Chinese checked against Wang Bi recension on Chinese Wikisource. Vietnamese is Selflo working translation, not a published translation.</x:t>
        </x:is>
      </x:c>
      <x:c r="Z183" s="81" t="inlineStr">
        <x:is>
          <x:t xml:space="preserve">Public domain / likely</x:t>
        </x:is>
      </x:c>
      <x:c r="AA183" s="81" t="inlineStr">
        <x:is>
          <x:t xml:space="preserve">Ancient source text; verify edition/jurisdiction before commercial publication.</x:t>
        </x:is>
      </x:c>
      <x:c r="AB183" s="81" t="inlineStr">
        <x:is>
          <x:t xml:space="preserve">High</x:t>
        </x:is>
      </x:c>
      <x:c r="AC183" s="81" t="inlineStr">
        <x:is>
          <x:t xml:space="preserve">Mạnh cho systems/context; không quy mọi kết quả về cá nhân.</x:t>
        </x:is>
      </x:c>
      <x:c r="AD183" s="81" t="inlineStr">
        <x:is>
          <x:t xml:space="preserve">Needs editorial review</x:t>
        </x:is>
      </x:c>
      <x:c r="AE183" s="81" t="inlineStr">
        <x:is>
          <x:t xml:space="preserve">Needs semantic dedupe review</x:t>
        </x:is>
      </x:c>
      <x:c r="AF183" s="81" t="str"/>
      <x:c r="AG183" s="81" t="str"/>
      <x:c r="AH183" s="81" t="inlineStr">
        <x:is>
          <x:t xml:space="preserve">No</x:t>
        </x:is>
      </x:c>
      <x:c r="AI183" s="81" t="inlineStr">
        <x:is>
          <x:t xml:space="preserve">Not reviewed</x:t>
        </x:is>
      </x:c>
      <x:c r="AJ183" s="81" t="inlineStr">
        <x:is>
          <x:t xml:space="preserve">Research only</x:t>
        </x:is>
      </x:c>
      <x:c r="AK183" s="81" t="inlineStr">
        <x:is>
          <x:t xml:space="preserve">Research Pool</x:t>
        </x:is>
      </x:c>
      <x:c r="AL183" s="81" t="n">
        <x:v>3</x:v>
      </x:c>
      <x:c r="AM183" s="81" t="inlineStr">
        <x:is>
          <x:t xml:space="preserve">ChatGPT research</x:t>
        </x:is>
      </x:c>
      <x:c r="AN183" s="81" t="inlineStr">
        <x:is>
          <x:t xml:space="preserve">2026-09-18</x:t>
        </x:is>
      </x:c>
      <x:c r="AO183" s="81" t="inlineStr">
        <x:is>
          <x:t xml:space="preserve">Day 3 full-scope audit, chapters 51–81.</x:t>
        </x:is>
      </x:c>
    </x:row>
    <x:row r="184">
      <x:c r="A184" s="81" t="inlineStr">
        <x:is>
          <x:t xml:space="preserve">research.laozi.day3.ch51.002</x:t>
        </x:is>
      </x:c>
      <x:c r="B184" s="81" t="inlineStr">
        <x:is>
          <x:t xml:space="preserve">Collected</x:t>
        </x:is>
      </x:c>
      <x:c r="C184" s="81" t="inlineStr">
        <x:is>
          <x:t xml:space="preserve">Nội tâm &amp; hiểu mình</x:t>
        </x:is>
      </x:c>
      <x:c r="D184" s="81" t="inlineStr">
        <x:is>
          <x:t xml:space="preserve">Day 3 / Laozi 51–81</x:t>
        </x:is>
      </x:c>
      <x:c r="E184" s="81" t="str"/>
      <x:c r="F184" s="81" t="inlineStr">
        <x:is>
          <x:t xml:space="preserve">Giá trị không nhất thiết cần được áp đặt</x:t>
        </x:is>
      </x:c>
      <x:c r="G184" s="81" t="inlineStr">
        <x:is>
          <x:t xml:space="preserve">Values</x:t>
        </x:is>
      </x:c>
      <x:c r="H184" s="81" t="str"/>
      <x:c r="I184" s="81" t="str"/>
      <x:c r="J184" s="81" t="str"/>
      <x:c r="K184" s="81" t="inlineStr">
        <x:is>
          <x:t xml:space="preserve">Reframe</x:t>
        </x:is>
      </x:c>
      <x:c r="L184" s="81" t="inlineStr">
        <x:is>
          <x:t xml:space="preserve">Distinguish</x:t>
        </x:is>
      </x:c>
      <x:c r="M184" s="81" t="inlineStr">
        <x:is>
          <x:t xml:space="preserve">Trích đoạn triết học</x:t>
        </x:is>
      </x:c>
      <x:c r="N184" s="81" t="inlineStr">
        <x:is>
          <x:t xml:space="preserve">道之尊，德之貴，夫莫之命而常自然。</x:t>
        </x:is>
      </x:c>
      <x:c r="O184" s="81" t="inlineStr">
        <x:is>
          <x:t xml:space="preserve">Classical Chinese (文言文)</x:t>
        </x:is>
      </x:c>
      <x:c r="P184" s="81" t="inlineStr">
        <x:is>
          <x:t xml:space="preserve">Đạo được tôn, đức được quý, không do ai ra lệnh mà vẫn tự nhiên như vậy.</x:t>
        </x:is>
      </x:c>
      <x:c r="Q184" s="81" t="inlineStr">
        <x:is>
          <x:t xml:space="preserve">Laozi / 老子</x:t>
        </x:is>
      </x:c>
      <x:c r="R184" s="81" t="inlineStr">
        <x:is>
          <x:t xml:space="preserve">Taoism</x:t>
        </x:is>
      </x:c>
      <x:c r="S184" s="81" t="inlineStr">
        <x:is>
          <x:t xml:space="preserve">道德經 / Tao Te Ching</x:t>
        </x:is>
      </x:c>
      <x:c r="T184" s="81" t="inlineStr">
        <x:is>
          <x:t xml:space="preserve">Chapter 51</x:t>
        </x:is>
      </x:c>
      <x:c r="U184" s="81" t="inlineStr">
        <x:is>
          <x:t xml:space="preserve">https://zh.wikisource.org/zh-hant/%E9%81%93%E5%BE%B7%E7%B6%93_(%E7%8E%8B%E5%BC%BC%E6%9C%AC)</x:t>
        </x:is>
      </x:c>
      <x:c r="V184" s="81" t="inlineStr">
        <x:is>
          <x:t xml:space="preserve">Primary text</x:t>
        </x:is>
      </x:c>
      <x:c r="W184" s="81" t="inlineStr">
        <x:is>
          <x:t xml:space="preserve">Working translation</x:t>
        </x:is>
      </x:c>
      <x:c r="X184" s="81" t="inlineStr">
        <x:is>
          <x:t xml:space="preserve">A - Primary source</x:t>
        </x:is>
      </x:c>
      <x:c r="Y184" s="81" t="inlineStr">
        <x:is>
          <x:t xml:space="preserve">Original Chinese checked against Wang Bi recension on Chinese Wikisource. Vietnamese is Selflo working translation, not a published translation.</x:t>
        </x:is>
      </x:c>
      <x:c r="Z184" s="81" t="inlineStr">
        <x:is>
          <x:t xml:space="preserve">Public domain / likely</x:t>
        </x:is>
      </x:c>
      <x:c r="AA184" s="81" t="inlineStr">
        <x:is>
          <x:t xml:space="preserve">Ancient source text; verify edition/jurisdiction before commercial publication.</x:t>
        </x:is>
      </x:c>
      <x:c r="AB184" s="81" t="inlineStr">
        <x:is>
          <x:t xml:space="preserve">Medium</x:t>
        </x:is>
      </x:c>
      <x:c r="AC184" s="81" t="inlineStr">
        <x:is>
          <x:t xml:space="preserve">Metaphysical.</x:t>
        </x:is>
      </x:c>
      <x:c r="AD184" s="81" t="inlineStr">
        <x:is>
          <x:t xml:space="preserve">Needs editorial review</x:t>
        </x:is>
      </x:c>
      <x:c r="AE184" s="81" t="inlineStr">
        <x:is>
          <x:t xml:space="preserve">Needs semantic dedupe review</x:t>
        </x:is>
      </x:c>
      <x:c r="AF184" s="81" t="str"/>
      <x:c r="AG184" s="81" t="str"/>
      <x:c r="AH184" s="81" t="inlineStr">
        <x:is>
          <x:t xml:space="preserve">No</x:t>
        </x:is>
      </x:c>
      <x:c r="AI184" s="81" t="inlineStr">
        <x:is>
          <x:t xml:space="preserve">Not reviewed</x:t>
        </x:is>
      </x:c>
      <x:c r="AJ184" s="81" t="inlineStr">
        <x:is>
          <x:t xml:space="preserve">Research only</x:t>
        </x:is>
      </x:c>
      <x:c r="AK184" s="81" t="inlineStr">
        <x:is>
          <x:t xml:space="preserve">Research Pool</x:t>
        </x:is>
      </x:c>
      <x:c r="AL184" s="81" t="n">
        <x:v>3</x:v>
      </x:c>
      <x:c r="AM184" s="81" t="inlineStr">
        <x:is>
          <x:t xml:space="preserve">ChatGPT research</x:t>
        </x:is>
      </x:c>
      <x:c r="AN184" s="81" t="inlineStr">
        <x:is>
          <x:t xml:space="preserve">2026-09-18</x:t>
        </x:is>
      </x:c>
      <x:c r="AO184" s="81" t="inlineStr">
        <x:is>
          <x:t xml:space="preserve">Day 3 full-scope audit, chapters 51–81.</x:t>
        </x:is>
      </x:c>
    </x:row>
    <x:row r="185">
      <x:c r="A185" s="81" t="inlineStr">
        <x:is>
          <x:t xml:space="preserve">research.laozi.day3.ch51.003</x:t>
        </x:is>
      </x:c>
      <x:c r="B185" s="81" t="inlineStr">
        <x:is>
          <x:t xml:space="preserve">Collected</x:t>
        </x:is>
      </x:c>
      <x:c r="C185" s="81" t="inlineStr">
        <x:is>
          <x:t xml:space="preserve">Nội tâm &amp; hiểu mình</x:t>
        </x:is>
      </x:c>
      <x:c r="D185" s="81" t="inlineStr">
        <x:is>
          <x:t xml:space="preserve">Day 3 / Laozi 51–81</x:t>
        </x:is>
      </x:c>
      <x:c r="E185" s="81" t="str"/>
      <x:c r="F185" s="81" t="inlineStr">
        <x:is>
          <x:t xml:space="preserve">Sự phát triển cần nhiều dạng nâng đỡ</x:t>
        </x:is>
      </x:c>
      <x:c r="G185" s="81" t="inlineStr">
        <x:is>
          <x:t xml:space="preserve">Growth</x:t>
        </x:is>
      </x:c>
      <x:c r="H185" s="81" t="str"/>
      <x:c r="I185" s="81" t="str"/>
      <x:c r="J185" s="81" t="str"/>
      <x:c r="K185" s="81" t="inlineStr">
        <x:is>
          <x:t xml:space="preserve">Recognize</x:t>
        </x:is>
      </x:c>
      <x:c r="L185" s="81" t="inlineStr">
        <x:is>
          <x:t xml:space="preserve">Distinguish</x:t>
        </x:is>
      </x:c>
      <x:c r="M185" s="81" t="inlineStr">
        <x:is>
          <x:t xml:space="preserve">Trích đoạn triết học</x:t>
        </x:is>
      </x:c>
      <x:c r="N185" s="81" t="inlineStr">
        <x:is>
          <x:t xml:space="preserve">長之育之，亭之毒之，養之覆之。</x:t>
        </x:is>
      </x:c>
      <x:c r="O185" s="81" t="inlineStr">
        <x:is>
          <x:t xml:space="preserve">Classical Chinese (文言文)</x:t>
        </x:is>
      </x:c>
      <x:c r="P185" s="81" t="inlineStr">
        <x:is>
          <x:t xml:space="preserve">Làm lớn lên, nuôi dưỡng, giúp thành hình, chăm và che chở.</x:t>
        </x:is>
      </x:c>
      <x:c r="Q185" s="81" t="inlineStr">
        <x:is>
          <x:t xml:space="preserve">Laozi / 老子</x:t>
        </x:is>
      </x:c>
      <x:c r="R185" s="81" t="inlineStr">
        <x:is>
          <x:t xml:space="preserve">Taoism</x:t>
        </x:is>
      </x:c>
      <x:c r="S185" s="81" t="inlineStr">
        <x:is>
          <x:t xml:space="preserve">道德經 / Tao Te Ching</x:t>
        </x:is>
      </x:c>
      <x:c r="T185" s="81" t="inlineStr">
        <x:is>
          <x:t xml:space="preserve">Chapter 51</x:t>
        </x:is>
      </x:c>
      <x:c r="U185" s="81" t="inlineStr">
        <x:is>
          <x:t xml:space="preserve">https://zh.wikisource.org/zh-hant/%E9%81%93%E5%BE%B7%E7%B6%93_(%E7%8E%8B%E5%BC%BC%E6%9C%AC)</x:t>
        </x:is>
      </x:c>
      <x:c r="V185" s="81" t="inlineStr">
        <x:is>
          <x:t xml:space="preserve">Primary text</x:t>
        </x:is>
      </x:c>
      <x:c r="W185" s="81" t="inlineStr">
        <x:is>
          <x:t xml:space="preserve">Working translation</x:t>
        </x:is>
      </x:c>
      <x:c r="X185" s="81" t="inlineStr">
        <x:is>
          <x:t xml:space="preserve">A - Primary source</x:t>
        </x:is>
      </x:c>
      <x:c r="Y185" s="81" t="inlineStr">
        <x:is>
          <x:t xml:space="preserve">Original Chinese checked against Wang Bi recension on Chinese Wikisource. Vietnamese is Selflo working translation, not a published translation.</x:t>
        </x:is>
      </x:c>
      <x:c r="Z185" s="81" t="inlineStr">
        <x:is>
          <x:t xml:space="preserve">Public domain / likely</x:t>
        </x:is>
      </x:c>
      <x:c r="AA185" s="81" t="inlineStr">
        <x:is>
          <x:t xml:space="preserve">Ancient source text; verify edition/jurisdiction before commercial publication.</x:t>
        </x:is>
      </x:c>
      <x:c r="AB185" s="81" t="inlineStr">
        <x:is>
          <x:t xml:space="preserve">High</x:t>
        </x:is>
      </x:c>
      <x:c r="AC185" s="81" t="inlineStr">
        <x:is>
          <x:t xml:space="preserve">Có variant chữ; scholarly review trước public.</x:t>
        </x:is>
      </x:c>
      <x:c r="AD185" s="81" t="inlineStr">
        <x:is>
          <x:t xml:space="preserve">Needs editorial review</x:t>
        </x:is>
      </x:c>
      <x:c r="AE185" s="81" t="inlineStr">
        <x:is>
          <x:t xml:space="preserve">Needs semantic dedupe review</x:t>
        </x:is>
      </x:c>
      <x:c r="AF185" s="81" t="str"/>
      <x:c r="AG185" s="81" t="str"/>
      <x:c r="AH185" s="81" t="inlineStr">
        <x:is>
          <x:t xml:space="preserve">No</x:t>
        </x:is>
      </x:c>
      <x:c r="AI185" s="81" t="inlineStr">
        <x:is>
          <x:t xml:space="preserve">Not reviewed</x:t>
        </x:is>
      </x:c>
      <x:c r="AJ185" s="81" t="inlineStr">
        <x:is>
          <x:t xml:space="preserve">Research only</x:t>
        </x:is>
      </x:c>
      <x:c r="AK185" s="81" t="inlineStr">
        <x:is>
          <x:t xml:space="preserve">Research Pool</x:t>
        </x:is>
      </x:c>
      <x:c r="AL185" s="81" t="n">
        <x:v>3</x:v>
      </x:c>
      <x:c r="AM185" s="81" t="inlineStr">
        <x:is>
          <x:t xml:space="preserve">ChatGPT research</x:t>
        </x:is>
      </x:c>
      <x:c r="AN185" s="81" t="inlineStr">
        <x:is>
          <x:t xml:space="preserve">2026-09-18</x:t>
        </x:is>
      </x:c>
      <x:c r="AO185" s="81" t="inlineStr">
        <x:is>
          <x:t xml:space="preserve">Day 3 full-scope audit, chapters 51–81.</x:t>
        </x:is>
      </x:c>
    </x:row>
    <x:row r="186">
      <x:c r="A186" s="81" t="inlineStr">
        <x:is>
          <x:t xml:space="preserve">research.laozi.day3.ch51.004</x:t>
        </x:is>
      </x:c>
      <x:c r="B186" s="81" t="inlineStr">
        <x:is>
          <x:t xml:space="preserve">Collected</x:t>
        </x:is>
      </x:c>
      <x:c r="C186" s="81" t="inlineStr">
        <x:is>
          <x:t xml:space="preserve">Nội tâm &amp; hiểu mình</x:t>
        </x:is>
      </x:c>
      <x:c r="D186" s="81" t="inlineStr">
        <x:is>
          <x:t xml:space="preserve">Day 3 / Laozi 51–81</x:t>
        </x:is>
      </x:c>
      <x:c r="E186" s="81" t="str"/>
      <x:c r="F186" s="81" t="inlineStr">
        <x:is>
          <x:t xml:space="preserve">Hỗ trợ mà không chiếm quyền chủ thể</x:t>
        </x:is>
      </x:c>
      <x:c r="G186" s="81" t="inlineStr">
        <x:is>
          <x:t xml:space="preserve">Agency</x:t>
        </x:is>
      </x:c>
      <x:c r="H186" s="81" t="str"/>
      <x:c r="I186" s="81" t="str"/>
      <x:c r="J186" s="81" t="str"/>
      <x:c r="K186" s="81" t="inlineStr">
        <x:is>
          <x:t xml:space="preserve">Return agency</x:t>
        </x:is>
      </x:c>
      <x:c r="L186" s="81" t="inlineStr">
        <x:is>
          <x:t xml:space="preserve">Distinguish</x:t>
        </x:is>
      </x:c>
      <x:c r="M186" s="81" t="inlineStr">
        <x:is>
          <x:t xml:space="preserve">Trích đoạn triết học</x:t>
        </x:is>
      </x:c>
      <x:c r="N186" s="81" t="inlineStr">
        <x:is>
          <x:t xml:space="preserve">生而不有，為而不恃，長而不宰。</x:t>
        </x:is>
      </x:c>
      <x:c r="O186" s="81" t="inlineStr">
        <x:is>
          <x:t xml:space="preserve">Classical Chinese (文言文)</x:t>
        </x:is>
      </x:c>
      <x:c r="P186" s="81" t="inlineStr">
        <x:is>
          <x:t xml:space="preserve">Sinh dưỡng mà không sở hữu; làm mà không cậy công; giúp lớn mà không cai quản.</x:t>
        </x:is>
      </x:c>
      <x:c r="Q186" s="81" t="inlineStr">
        <x:is>
          <x:t xml:space="preserve">Laozi / 老子</x:t>
        </x:is>
      </x:c>
      <x:c r="R186" s="81" t="inlineStr">
        <x:is>
          <x:t xml:space="preserve">Taoism</x:t>
        </x:is>
      </x:c>
      <x:c r="S186" s="81" t="inlineStr">
        <x:is>
          <x:t xml:space="preserve">道德經 / Tao Te Ching</x:t>
        </x:is>
      </x:c>
      <x:c r="T186" s="81" t="inlineStr">
        <x:is>
          <x:t xml:space="preserve">Chapter 51</x:t>
        </x:is>
      </x:c>
      <x:c r="U186" s="81" t="inlineStr">
        <x:is>
          <x:t xml:space="preserve">https://zh.wikisource.org/zh-hant/%E9%81%93%E5%BE%B7%E7%B6%93_(%E7%8E%8B%E5%BC%BC%E6%9C%AC)</x:t>
        </x:is>
      </x:c>
      <x:c r="V186" s="81" t="inlineStr">
        <x:is>
          <x:t xml:space="preserve">Primary text</x:t>
        </x:is>
      </x:c>
      <x:c r="W186" s="81" t="inlineStr">
        <x:is>
          <x:t xml:space="preserve">Working translation</x:t>
        </x:is>
      </x:c>
      <x:c r="X186" s="81" t="inlineStr">
        <x:is>
          <x:t xml:space="preserve">A - Primary source</x:t>
        </x:is>
      </x:c>
      <x:c r="Y186" s="81" t="inlineStr">
        <x:is>
          <x:t xml:space="preserve">Original Chinese checked against Wang Bi recension on Chinese Wikisource. Vietnamese is Selflo working translation, not a published translation.</x:t>
        </x:is>
      </x:c>
      <x:c r="Z186" s="81" t="inlineStr">
        <x:is>
          <x:t xml:space="preserve">Public domain / likely</x:t>
        </x:is>
      </x:c>
      <x:c r="AA186" s="81" t="inlineStr">
        <x:is>
          <x:t xml:space="preserve">Ancient source text; verify edition/jurisdiction before commercial publication.</x:t>
        </x:is>
      </x:c>
      <x:c r="AB186" s="81" t="inlineStr">
        <x:is>
          <x:t xml:space="preserve">High</x:t>
        </x:is>
      </x:c>
      <x:c r="AC186" s="81" t="inlineStr">
        <x:is>
          <x:t xml:space="preserve">Core Selflo; trùng motif ch10, dedupe later.</x:t>
        </x:is>
      </x:c>
      <x:c r="AD186" s="81" t="inlineStr">
        <x:is>
          <x:t xml:space="preserve">Needs editorial review</x:t>
        </x:is>
      </x:c>
      <x:c r="AE186" s="81" t="inlineStr">
        <x:is>
          <x:t xml:space="preserve">Needs semantic dedupe review</x:t>
        </x:is>
      </x:c>
      <x:c r="AF186" s="81" t="str"/>
      <x:c r="AG186" s="81" t="str"/>
      <x:c r="AH186" s="81" t="inlineStr">
        <x:is>
          <x:t xml:space="preserve">No</x:t>
        </x:is>
      </x:c>
      <x:c r="AI186" s="81" t="inlineStr">
        <x:is>
          <x:t xml:space="preserve">Not reviewed</x:t>
        </x:is>
      </x:c>
      <x:c r="AJ186" s="81" t="inlineStr">
        <x:is>
          <x:t xml:space="preserve">Research only</x:t>
        </x:is>
      </x:c>
      <x:c r="AK186" s="81" t="inlineStr">
        <x:is>
          <x:t xml:space="preserve">Research Pool</x:t>
        </x:is>
      </x:c>
      <x:c r="AL186" s="81" t="n">
        <x:v>3</x:v>
      </x:c>
      <x:c r="AM186" s="81" t="inlineStr">
        <x:is>
          <x:t xml:space="preserve">ChatGPT research</x:t>
        </x:is>
      </x:c>
      <x:c r="AN186" s="81" t="inlineStr">
        <x:is>
          <x:t xml:space="preserve">2026-09-18</x:t>
        </x:is>
      </x:c>
      <x:c r="AO186" s="81" t="inlineStr">
        <x:is>
          <x:t xml:space="preserve">Day 3 full-scope audit, chapters 51–81.</x:t>
        </x:is>
      </x:c>
    </x:row>
    <x:row r="187">
      <x:c r="A187" s="81" t="inlineStr">
        <x:is>
          <x:t xml:space="preserve">research.laozi.day3.ch52.005</x:t>
        </x:is>
      </x:c>
      <x:c r="B187" s="81" t="inlineStr">
        <x:is>
          <x:t xml:space="preserve">Collected</x:t>
        </x:is>
      </x:c>
      <x:c r="C187" s="81" t="inlineStr">
        <x:is>
          <x:t xml:space="preserve">Công việc &amp; mục đích</x:t>
        </x:is>
      </x:c>
      <x:c r="D187" s="81" t="inlineStr">
        <x:is>
          <x:t xml:space="preserve">Day 3 / Laozi 51–81</x:t>
        </x:is>
      </x:c>
      <x:c r="E187" s="81" t="str"/>
      <x:c r="F187" s="81" t="inlineStr">
        <x:is>
          <x:t xml:space="preserve">Giữ nền tảng khi đi vào chi tiết</x:t>
        </x:is>
      </x:c>
      <x:c r="G187" s="81" t="inlineStr">
        <x:is>
          <x:t xml:space="preserve">Systems</x:t>
        </x:is>
      </x:c>
      <x:c r="H187" s="81" t="str"/>
      <x:c r="I187" s="81" t="str"/>
      <x:c r="J187" s="81" t="str"/>
      <x:c r="K187" s="81" t="inlineStr">
        <x:is>
          <x:t xml:space="preserve">Reframe</x:t>
        </x:is>
      </x:c>
      <x:c r="L187" s="81" t="inlineStr">
        <x:is>
          <x:t xml:space="preserve">Distinguish</x:t>
        </x:is>
      </x:c>
      <x:c r="M187" s="81" t="inlineStr">
        <x:is>
          <x:t xml:space="preserve">Trích đoạn triết học</x:t>
        </x:is>
      </x:c>
      <x:c r="N187" s="81" t="inlineStr">
        <x:is>
          <x:t xml:space="preserve">既得其母，以知其子；既知其子，復守其母。</x:t>
        </x:is>
      </x:c>
      <x:c r="O187" s="81" t="inlineStr">
        <x:is>
          <x:t xml:space="preserve">Classical Chinese (文言文)</x:t>
        </x:is>
      </x:c>
      <x:c r="P187" s="81" t="inlineStr">
        <x:is>
          <x:t xml:space="preserve">Biết được gốc để hiểu phần ngọn; hiểu phần ngọn rồi vẫn trở về giữ gốc.</x:t>
        </x:is>
      </x:c>
      <x:c r="Q187" s="81" t="inlineStr">
        <x:is>
          <x:t xml:space="preserve">Laozi / 老子</x:t>
        </x:is>
      </x:c>
      <x:c r="R187" s="81" t="inlineStr">
        <x:is>
          <x:t xml:space="preserve">Taoism</x:t>
        </x:is>
      </x:c>
      <x:c r="S187" s="81" t="inlineStr">
        <x:is>
          <x:t xml:space="preserve">道德經 / Tao Te Ching</x:t>
        </x:is>
      </x:c>
      <x:c r="T187" s="81" t="inlineStr">
        <x:is>
          <x:t xml:space="preserve">Chapter 52</x:t>
        </x:is>
      </x:c>
      <x:c r="U187" s="81" t="inlineStr">
        <x:is>
          <x:t xml:space="preserve">https://zh.wikisource.org/zh-hant/%E9%81%93%E5%BE%B7%E7%B6%93_(%E7%8E%8B%E5%BC%BC%E6%9C%AC)</x:t>
        </x:is>
      </x:c>
      <x:c r="V187" s="81" t="inlineStr">
        <x:is>
          <x:t xml:space="preserve">Primary text</x:t>
        </x:is>
      </x:c>
      <x:c r="W187" s="81" t="inlineStr">
        <x:is>
          <x:t xml:space="preserve">Working translation</x:t>
        </x:is>
      </x:c>
      <x:c r="X187" s="81" t="inlineStr">
        <x:is>
          <x:t xml:space="preserve">A - Primary source</x:t>
        </x:is>
      </x:c>
      <x:c r="Y187" s="81" t="inlineStr">
        <x:is>
          <x:t xml:space="preserve">Original Chinese checked against Wang Bi recension on Chinese Wikisource. Vietnamese is Selflo working translation, not a published translation.</x:t>
        </x:is>
      </x:c>
      <x:c r="Z187" s="81" t="inlineStr">
        <x:is>
          <x:t xml:space="preserve">Public domain / likely</x:t>
        </x:is>
      </x:c>
      <x:c r="AA187" s="81" t="inlineStr">
        <x:is>
          <x:t xml:space="preserve">Ancient source text; verify edition/jurisdiction before commercial publication.</x:t>
        </x:is>
      </x:c>
      <x:c r="AB187" s="81" t="inlineStr">
        <x:is>
          <x:t xml:space="preserve">High</x:t>
        </x:is>
      </x:c>
      <x:c r="AC187" s="81" t="inlineStr">
        <x:is>
          <x:t xml:space="preserve">Gần enduring principles.</x:t>
        </x:is>
      </x:c>
      <x:c r="AD187" s="81" t="inlineStr">
        <x:is>
          <x:t xml:space="preserve">Needs editorial review</x:t>
        </x:is>
      </x:c>
      <x:c r="AE187" s="81" t="inlineStr">
        <x:is>
          <x:t xml:space="preserve">Needs semantic dedupe review</x:t>
        </x:is>
      </x:c>
      <x:c r="AF187" s="81" t="str"/>
      <x:c r="AG187" s="81" t="str"/>
      <x:c r="AH187" s="81" t="inlineStr">
        <x:is>
          <x:t xml:space="preserve">No</x:t>
        </x:is>
      </x:c>
      <x:c r="AI187" s="81" t="inlineStr">
        <x:is>
          <x:t xml:space="preserve">Not reviewed</x:t>
        </x:is>
      </x:c>
      <x:c r="AJ187" s="81" t="inlineStr">
        <x:is>
          <x:t xml:space="preserve">Research only</x:t>
        </x:is>
      </x:c>
      <x:c r="AK187" s="81" t="inlineStr">
        <x:is>
          <x:t xml:space="preserve">Research Pool</x:t>
        </x:is>
      </x:c>
      <x:c r="AL187" s="81" t="n">
        <x:v>3</x:v>
      </x:c>
      <x:c r="AM187" s="81" t="inlineStr">
        <x:is>
          <x:t xml:space="preserve">ChatGPT research</x:t>
        </x:is>
      </x:c>
      <x:c r="AN187" s="81" t="inlineStr">
        <x:is>
          <x:t xml:space="preserve">2026-09-18</x:t>
        </x:is>
      </x:c>
      <x:c r="AO187" s="81" t="inlineStr">
        <x:is>
          <x:t xml:space="preserve">Day 3 full-scope audit, chapters 51–81.</x:t>
        </x:is>
      </x:c>
    </x:row>
    <x:row r="188">
      <x:c r="A188" s="81" t="inlineStr">
        <x:is>
          <x:t xml:space="preserve">research.laozi.day3.ch52.006</x:t>
        </x:is>
      </x:c>
      <x:c r="B188" s="81" t="inlineStr">
        <x:is>
          <x:t xml:space="preserve">Collected</x:t>
        </x:is>
      </x:c>
      <x:c r="C188" s="81" t="inlineStr">
        <x:is>
          <x:t xml:space="preserve">AI &amp; tương lai</x:t>
        </x:is>
      </x:c>
      <x:c r="D188" s="81" t="inlineStr">
        <x:is>
          <x:t xml:space="preserve">Day 3 / Laozi 51–81</x:t>
        </x:is>
      </x:c>
      <x:c r="E188" s="81" t="str"/>
      <x:c r="F188" s="81" t="inlineStr">
        <x:is>
          <x:t xml:space="preserve">Giảm đầu vào gây tiêu hao</x:t>
        </x:is>
      </x:c>
      <x:c r="G188" s="81" t="inlineStr">
        <x:is>
          <x:t xml:space="preserve">Attention</x:t>
        </x:is>
      </x:c>
      <x:c r="H188" s="81" t="str"/>
      <x:c r="I188" s="81" t="str"/>
      <x:c r="J188" s="81" t="str"/>
      <x:c r="K188" s="81" t="inlineStr">
        <x:is>
          <x:t xml:space="preserve">Reframe</x:t>
        </x:is>
      </x:c>
      <x:c r="L188" s="81" t="inlineStr">
        <x:is>
          <x:t xml:space="preserve">Distinguish</x:t>
        </x:is>
      </x:c>
      <x:c r="M188" s="81" t="inlineStr">
        <x:is>
          <x:t xml:space="preserve">Trích đoạn triết học</x:t>
        </x:is>
      </x:c>
      <x:c r="N188" s="81" t="inlineStr">
        <x:is>
          <x:t xml:space="preserve">塞其兌，閉其門，終身不勤。</x:t>
        </x:is>
      </x:c>
      <x:c r="O188" s="81" t="inlineStr">
        <x:is>
          <x:t xml:space="preserve">Classical Chinese (文言文)</x:t>
        </x:is>
      </x:c>
      <x:c r="P188" s="81" t="inlineStr">
        <x:is>
          <x:t xml:space="preserve">Bớt những cửa khiến mình liên tục bị kéo ra ngoài, có thể bớt sự tiêu hao.</x:t>
        </x:is>
      </x:c>
      <x:c r="Q188" s="81" t="inlineStr">
        <x:is>
          <x:t xml:space="preserve">Laozi / 老子</x:t>
        </x:is>
      </x:c>
      <x:c r="R188" s="81" t="inlineStr">
        <x:is>
          <x:t xml:space="preserve">Taoism</x:t>
        </x:is>
      </x:c>
      <x:c r="S188" s="81" t="inlineStr">
        <x:is>
          <x:t xml:space="preserve">道德經 / Tao Te Ching</x:t>
        </x:is>
      </x:c>
      <x:c r="T188" s="81" t="inlineStr">
        <x:is>
          <x:t xml:space="preserve">Chapter 52</x:t>
        </x:is>
      </x:c>
      <x:c r="U188" s="81" t="inlineStr">
        <x:is>
          <x:t xml:space="preserve">https://zh.wikisource.org/zh-hant/%E9%81%93%E5%BE%B7%E7%B6%93_(%E7%8E%8B%E5%BC%BC%E6%9C%AC)</x:t>
        </x:is>
      </x:c>
      <x:c r="V188" s="81" t="inlineStr">
        <x:is>
          <x:t xml:space="preserve">Primary text</x:t>
        </x:is>
      </x:c>
      <x:c r="W188" s="81" t="inlineStr">
        <x:is>
          <x:t xml:space="preserve">Working translation</x:t>
        </x:is>
      </x:c>
      <x:c r="X188" s="81" t="inlineStr">
        <x:is>
          <x:t xml:space="preserve">A - Primary source</x:t>
        </x:is>
      </x:c>
      <x:c r="Y188" s="81" t="inlineStr">
        <x:is>
          <x:t xml:space="preserve">Original Chinese checked against Wang Bi recension on Chinese Wikisource. Vietnamese is Selflo working translation, not a published translation.</x:t>
        </x:is>
      </x:c>
      <x:c r="Z188" s="81" t="inlineStr">
        <x:is>
          <x:t xml:space="preserve">Public domain / likely</x:t>
        </x:is>
      </x:c>
      <x:c r="AA188" s="81" t="inlineStr">
        <x:is>
          <x:t xml:space="preserve">Ancient source text; verify edition/jurisdiction before commercial publication.</x:t>
        </x:is>
      </x:c>
      <x:c r="AB188" s="81" t="inlineStr">
        <x:is>
          <x:t xml:space="preserve">High</x:t>
        </x:is>
      </x:c>
      <x:c r="AC188" s="81" t="inlineStr">
        <x:is>
          <x:t xml:space="preserve">Working VI diễn giải; không khuyên cô lập.</x:t>
        </x:is>
      </x:c>
      <x:c r="AD188" s="81" t="inlineStr">
        <x:is>
          <x:t xml:space="preserve">Needs editorial review</x:t>
        </x:is>
      </x:c>
      <x:c r="AE188" s="81" t="inlineStr">
        <x:is>
          <x:t xml:space="preserve">Needs semantic dedupe review</x:t>
        </x:is>
      </x:c>
      <x:c r="AF188" s="81" t="str"/>
      <x:c r="AG188" s="81" t="str"/>
      <x:c r="AH188" s="81" t="inlineStr">
        <x:is>
          <x:t xml:space="preserve">No</x:t>
        </x:is>
      </x:c>
      <x:c r="AI188" s="81" t="inlineStr">
        <x:is>
          <x:t xml:space="preserve">Not reviewed</x:t>
        </x:is>
      </x:c>
      <x:c r="AJ188" s="81" t="inlineStr">
        <x:is>
          <x:t xml:space="preserve">Research only</x:t>
        </x:is>
      </x:c>
      <x:c r="AK188" s="81" t="inlineStr">
        <x:is>
          <x:t xml:space="preserve">Research Pool</x:t>
        </x:is>
      </x:c>
      <x:c r="AL188" s="81" t="n">
        <x:v>3</x:v>
      </x:c>
      <x:c r="AM188" s="81" t="inlineStr">
        <x:is>
          <x:t xml:space="preserve">ChatGPT research</x:t>
        </x:is>
      </x:c>
      <x:c r="AN188" s="81" t="inlineStr">
        <x:is>
          <x:t xml:space="preserve">2026-09-18</x:t>
        </x:is>
      </x:c>
      <x:c r="AO188" s="81" t="inlineStr">
        <x:is>
          <x:t xml:space="preserve">Day 3 full-scope audit, chapters 51–81.</x:t>
        </x:is>
      </x:c>
    </x:row>
    <x:row r="189">
      <x:c r="A189" s="81" t="inlineStr">
        <x:is>
          <x:t xml:space="preserve">research.laozi.day3.ch52.007</x:t>
        </x:is>
      </x:c>
      <x:c r="B189" s="81" t="inlineStr">
        <x:is>
          <x:t xml:space="preserve">Collected</x:t>
        </x:is>
      </x:c>
      <x:c r="C189" s="81" t="inlineStr">
        <x:is>
          <x:t xml:space="preserve">Nghỉ ngơi &amp; sức khỏe tinh thần</x:t>
        </x:is>
      </x:c>
      <x:c r="D189" s="81" t="inlineStr">
        <x:is>
          <x:t xml:space="preserve">Day 3 / Laozi 51–81</x:t>
        </x:is>
      </x:c>
      <x:c r="E189" s="81" t="str"/>
      <x:c r="F189" s="81" t="inlineStr">
        <x:is>
          <x:t xml:space="preserve">Quá nhiều đầu vào tạo vòng bận rộn</x:t>
        </x:is>
      </x:c>
      <x:c r="G189" s="81" t="inlineStr">
        <x:is>
          <x:t xml:space="preserve">Overload</x:t>
        </x:is>
      </x:c>
      <x:c r="H189" s="81" t="str"/>
      <x:c r="I189" s="81" t="str"/>
      <x:c r="J189" s="81" t="str"/>
      <x:c r="K189" s="81" t="inlineStr">
        <x:is>
          <x:t xml:space="preserve">Recognize</x:t>
        </x:is>
      </x:c>
      <x:c r="L189" s="81" t="inlineStr">
        <x:is>
          <x:t xml:space="preserve">Distinguish</x:t>
        </x:is>
      </x:c>
      <x:c r="M189" s="81" t="inlineStr">
        <x:is>
          <x:t xml:space="preserve">Trích đoạn triết học</x:t>
        </x:is>
      </x:c>
      <x:c r="N189" s="81" t="inlineStr">
        <x:is>
          <x:t xml:space="preserve">開其兌，濟其事，終身不救。</x:t>
        </x:is>
      </x:c>
      <x:c r="O189" s="81" t="inlineStr">
        <x:is>
          <x:t xml:space="preserve">Classical Chinese (文言文)</x:t>
        </x:is>
      </x:c>
      <x:c r="P189" s="81" t="inlineStr">
        <x:is>
          <x:t xml:space="preserve">Nếu cứ mở mọi cửa và chạy theo mọi việc, sự bận rộn có thể không có điểm dừng.</x:t>
        </x:is>
      </x:c>
      <x:c r="Q189" s="81" t="inlineStr">
        <x:is>
          <x:t xml:space="preserve">Laozi / 老子</x:t>
        </x:is>
      </x:c>
      <x:c r="R189" s="81" t="inlineStr">
        <x:is>
          <x:t xml:space="preserve">Taoism</x:t>
        </x:is>
      </x:c>
      <x:c r="S189" s="81" t="inlineStr">
        <x:is>
          <x:t xml:space="preserve">道德經 / Tao Te Ching</x:t>
        </x:is>
      </x:c>
      <x:c r="T189" s="81" t="inlineStr">
        <x:is>
          <x:t xml:space="preserve">Chapter 52</x:t>
        </x:is>
      </x:c>
      <x:c r="U189" s="81" t="inlineStr">
        <x:is>
          <x:t xml:space="preserve">https://zh.wikisource.org/zh-hant/%E9%81%93%E5%BE%B7%E7%B6%93_(%E7%8E%8B%E5%BC%BC%E6%9C%AC)</x:t>
        </x:is>
      </x:c>
      <x:c r="V189" s="81" t="inlineStr">
        <x:is>
          <x:t xml:space="preserve">Primary text</x:t>
        </x:is>
      </x:c>
      <x:c r="W189" s="81" t="inlineStr">
        <x:is>
          <x:t xml:space="preserve">Working translation</x:t>
        </x:is>
      </x:c>
      <x:c r="X189" s="81" t="inlineStr">
        <x:is>
          <x:t xml:space="preserve">A - Primary source</x:t>
        </x:is>
      </x:c>
      <x:c r="Y189" s="81" t="inlineStr">
        <x:is>
          <x:t xml:space="preserve">Original Chinese checked against Wang Bi recension on Chinese Wikisource. Vietnamese is Selflo working translation, not a published translation.</x:t>
        </x:is>
      </x:c>
      <x:c r="Z189" s="81" t="inlineStr">
        <x:is>
          <x:t xml:space="preserve">Public domain / likely</x:t>
        </x:is>
      </x:c>
      <x:c r="AA189" s="81" t="inlineStr">
        <x:is>
          <x:t xml:space="preserve">Ancient source text; verify edition/jurisdiction before commercial publication.</x:t>
        </x:is>
      </x:c>
      <x:c r="AB189" s="81" t="inlineStr">
        <x:is>
          <x:t xml:space="preserve">High</x:t>
        </x:is>
      </x:c>
      <x:c r="AC189" s="81" t="inlineStr">
        <x:is>
          <x:t xml:space="preserve">AI/info overload.</x:t>
        </x:is>
      </x:c>
      <x:c r="AD189" s="81" t="inlineStr">
        <x:is>
          <x:t xml:space="preserve">Needs editorial review</x:t>
        </x:is>
      </x:c>
      <x:c r="AE189" s="81" t="inlineStr">
        <x:is>
          <x:t xml:space="preserve">Needs semantic dedupe review</x:t>
        </x:is>
      </x:c>
      <x:c r="AF189" s="81" t="str"/>
      <x:c r="AG189" s="81" t="str"/>
      <x:c r="AH189" s="81" t="inlineStr">
        <x:is>
          <x:t xml:space="preserve">No</x:t>
        </x:is>
      </x:c>
      <x:c r="AI189" s="81" t="inlineStr">
        <x:is>
          <x:t xml:space="preserve">Not reviewed</x:t>
        </x:is>
      </x:c>
      <x:c r="AJ189" s="81" t="inlineStr">
        <x:is>
          <x:t xml:space="preserve">Research only</x:t>
        </x:is>
      </x:c>
      <x:c r="AK189" s="81" t="inlineStr">
        <x:is>
          <x:t xml:space="preserve">Research Pool</x:t>
        </x:is>
      </x:c>
      <x:c r="AL189" s="81" t="n">
        <x:v>3</x:v>
      </x:c>
      <x:c r="AM189" s="81" t="inlineStr">
        <x:is>
          <x:t xml:space="preserve">ChatGPT research</x:t>
        </x:is>
      </x:c>
      <x:c r="AN189" s="81" t="inlineStr">
        <x:is>
          <x:t xml:space="preserve">2026-09-18</x:t>
        </x:is>
      </x:c>
      <x:c r="AO189" s="81" t="inlineStr">
        <x:is>
          <x:t xml:space="preserve">Day 3 full-scope audit, chapters 51–81.</x:t>
        </x:is>
      </x:c>
    </x:row>
    <x:row r="190">
      <x:c r="A190" s="81" t="inlineStr">
        <x:is>
          <x:t xml:space="preserve">research.laozi.day3.ch52.008</x:t>
        </x:is>
      </x:c>
      <x:c r="B190" s="81" t="inlineStr">
        <x:is>
          <x:t xml:space="preserve">Collected</x:t>
        </x:is>
      </x:c>
      <x:c r="C190" s="81" t="inlineStr">
        <x:is>
          <x:t xml:space="preserve">AI &amp; tương lai</x:t>
        </x:is>
      </x:c>
      <x:c r="D190" s="81" t="inlineStr">
        <x:is>
          <x:t xml:space="preserve">Day 3 / Laozi 51–81</x:t>
        </x:is>
      </x:c>
      <x:c r="E190" s="81" t="str"/>
      <x:c r="F190" s="81" t="inlineStr">
        <x:is>
          <x:t xml:space="preserve">Nhìn chi tiết và giữ mềm là năng lực</x:t>
        </x:is>
      </x:c>
      <x:c r="G190" s="81" t="inlineStr">
        <x:is>
          <x:t xml:space="preserve">Judgment</x:t>
        </x:is>
      </x:c>
      <x:c r="H190" s="81" t="str"/>
      <x:c r="I190" s="81" t="str"/>
      <x:c r="J190" s="81" t="str"/>
      <x:c r="K190" s="81" t="inlineStr">
        <x:is>
          <x:t xml:space="preserve">Reframe</x:t>
        </x:is>
      </x:c>
      <x:c r="L190" s="81" t="inlineStr">
        <x:is>
          <x:t xml:space="preserve">Distinguish</x:t>
        </x:is>
      </x:c>
      <x:c r="M190" s="81" t="inlineStr">
        <x:is>
          <x:t xml:space="preserve">Trích đoạn triết học</x:t>
        </x:is>
      </x:c>
      <x:c r="N190" s="81" t="inlineStr">
        <x:is>
          <x:t xml:space="preserve">見小曰明，守柔曰強。</x:t>
        </x:is>
      </x:c>
      <x:c r="O190" s="81" t="inlineStr">
        <x:is>
          <x:t xml:space="preserve">Classical Chinese (文言文)</x:t>
        </x:is>
      </x:c>
      <x:c r="P190" s="81" t="inlineStr">
        <x:is>
          <x:t xml:space="preserve">Thấy được điều nhỏ gọi là sáng; giữ được sự mềm gọi là mạnh.</x:t>
        </x:is>
      </x:c>
      <x:c r="Q190" s="81" t="inlineStr">
        <x:is>
          <x:t xml:space="preserve">Laozi / 老子</x:t>
        </x:is>
      </x:c>
      <x:c r="R190" s="81" t="inlineStr">
        <x:is>
          <x:t xml:space="preserve">Taoism</x:t>
        </x:is>
      </x:c>
      <x:c r="S190" s="81" t="inlineStr">
        <x:is>
          <x:t xml:space="preserve">道德經 / Tao Te Ching</x:t>
        </x:is>
      </x:c>
      <x:c r="T190" s="81" t="inlineStr">
        <x:is>
          <x:t xml:space="preserve">Chapter 52</x:t>
        </x:is>
      </x:c>
      <x:c r="U190" s="81" t="inlineStr">
        <x:is>
          <x:t xml:space="preserve">https://zh.wikisource.org/zh-hant/%E9%81%93%E5%BE%B7%E7%B6%93_(%E7%8E%8B%E5%BC%BC%E6%9C%AC)</x:t>
        </x:is>
      </x:c>
      <x:c r="V190" s="81" t="inlineStr">
        <x:is>
          <x:t xml:space="preserve">Primary text</x:t>
        </x:is>
      </x:c>
      <x:c r="W190" s="81" t="inlineStr">
        <x:is>
          <x:t xml:space="preserve">Working translation</x:t>
        </x:is>
      </x:c>
      <x:c r="X190" s="81" t="inlineStr">
        <x:is>
          <x:t xml:space="preserve">A - Primary source</x:t>
        </x:is>
      </x:c>
      <x:c r="Y190" s="81" t="inlineStr">
        <x:is>
          <x:t xml:space="preserve">Original Chinese checked against Wang Bi recension on Chinese Wikisource. Vietnamese is Selflo working translation, not a published translation.</x:t>
        </x:is>
      </x:c>
      <x:c r="Z190" s="81" t="inlineStr">
        <x:is>
          <x:t xml:space="preserve">Public domain / likely</x:t>
        </x:is>
      </x:c>
      <x:c r="AA190" s="81" t="inlineStr">
        <x:is>
          <x:t xml:space="preserve">Ancient source text; verify edition/jurisdiction before commercial publication.</x:t>
        </x:is>
      </x:c>
      <x:c r="AB190" s="81" t="inlineStr">
        <x:is>
          <x:t xml:space="preserve">High</x:t>
        </x:is>
      </x:c>
      <x:c r="AC190" s="81" t="inlineStr">
        <x:is>
          <x:t xml:space="preserve">Strong.</x:t>
        </x:is>
      </x:c>
      <x:c r="AD190" s="81" t="inlineStr">
        <x:is>
          <x:t xml:space="preserve">Needs editorial review</x:t>
        </x:is>
      </x:c>
      <x:c r="AE190" s="81" t="inlineStr">
        <x:is>
          <x:t xml:space="preserve">Needs semantic dedupe review</x:t>
        </x:is>
      </x:c>
      <x:c r="AF190" s="81" t="str"/>
      <x:c r="AG190" s="81" t="str"/>
      <x:c r="AH190" s="81" t="inlineStr">
        <x:is>
          <x:t xml:space="preserve">No</x:t>
        </x:is>
      </x:c>
      <x:c r="AI190" s="81" t="inlineStr">
        <x:is>
          <x:t xml:space="preserve">Not reviewed</x:t>
        </x:is>
      </x:c>
      <x:c r="AJ190" s="81" t="inlineStr">
        <x:is>
          <x:t xml:space="preserve">Research only</x:t>
        </x:is>
      </x:c>
      <x:c r="AK190" s="81" t="inlineStr">
        <x:is>
          <x:t xml:space="preserve">Research Pool</x:t>
        </x:is>
      </x:c>
      <x:c r="AL190" s="81" t="n">
        <x:v>3</x:v>
      </x:c>
      <x:c r="AM190" s="81" t="inlineStr">
        <x:is>
          <x:t xml:space="preserve">ChatGPT research</x:t>
        </x:is>
      </x:c>
      <x:c r="AN190" s="81" t="inlineStr">
        <x:is>
          <x:t xml:space="preserve">2026-09-18</x:t>
        </x:is>
      </x:c>
      <x:c r="AO190" s="81" t="inlineStr">
        <x:is>
          <x:t xml:space="preserve">Day 3 full-scope audit, chapters 51–81.</x:t>
        </x:is>
      </x:c>
    </x:row>
    <x:row r="191">
      <x:c r="A191" s="81" t="inlineStr">
        <x:is>
          <x:t xml:space="preserve">research.laozi.day3.ch52.009</x:t>
        </x:is>
      </x:c>
      <x:c r="B191" s="81" t="inlineStr">
        <x:is>
          <x:t xml:space="preserve">Collected</x:t>
        </x:is>
      </x:c>
      <x:c r="C191" s="81" t="inlineStr">
        <x:is>
          <x:t xml:space="preserve">AI &amp; tương lai</x:t>
        </x:is>
      </x:c>
      <x:c r="D191" s="81" t="inlineStr">
        <x:is>
          <x:t xml:space="preserve">Day 3 / Laozi 51–81</x:t>
        </x:is>
      </x:c>
      <x:c r="E191" s="81" t="str"/>
      <x:c r="F191" s="81" t="inlineStr">
        <x:is>
          <x:t xml:space="preserve">Dùng hiểu biết mà không bị phô sáng cuốn đi</x:t>
        </x:is>
      </x:c>
      <x:c r="G191" s="81" t="inlineStr">
        <x:is>
          <x:t xml:space="preserve">Judgment</x:t>
        </x:is>
      </x:c>
      <x:c r="H191" s="81" t="str"/>
      <x:c r="I191" s="81" t="str"/>
      <x:c r="J191" s="81" t="str"/>
      <x:c r="K191" s="81" t="inlineStr">
        <x:is>
          <x:t xml:space="preserve">Reframe</x:t>
        </x:is>
      </x:c>
      <x:c r="L191" s="81" t="inlineStr">
        <x:is>
          <x:t xml:space="preserve">Distinguish</x:t>
        </x:is>
      </x:c>
      <x:c r="M191" s="81" t="inlineStr">
        <x:is>
          <x:t xml:space="preserve">Trích đoạn triết học</x:t>
        </x:is>
      </x:c>
      <x:c r="N191" s="81" t="inlineStr">
        <x:is>
          <x:t xml:space="preserve">用其光，復歸其明。</x:t>
        </x:is>
      </x:c>
      <x:c r="O191" s="81" t="inlineStr">
        <x:is>
          <x:t xml:space="preserve">Classical Chinese (文言文)</x:t>
        </x:is>
      </x:c>
      <x:c r="P191" s="81" t="inlineStr">
        <x:is>
          <x:t xml:space="preserve">Dùng ánh sáng mình có rồi trở về sự sáng rõ bên trong.</x:t>
        </x:is>
      </x:c>
      <x:c r="Q191" s="81" t="inlineStr">
        <x:is>
          <x:t xml:space="preserve">Laozi / 老子</x:t>
        </x:is>
      </x:c>
      <x:c r="R191" s="81" t="inlineStr">
        <x:is>
          <x:t xml:space="preserve">Taoism</x:t>
        </x:is>
      </x:c>
      <x:c r="S191" s="81" t="inlineStr">
        <x:is>
          <x:t xml:space="preserve">道德經 / Tao Te Ching</x:t>
        </x:is>
      </x:c>
      <x:c r="T191" s="81" t="inlineStr">
        <x:is>
          <x:t xml:space="preserve">Chapter 52</x:t>
        </x:is>
      </x:c>
      <x:c r="U191" s="81" t="inlineStr">
        <x:is>
          <x:t xml:space="preserve">https://zh.wikisource.org/zh-hant/%E9%81%93%E5%BE%B7%E7%B6%93_(%E7%8E%8B%E5%BC%BC%E6%9C%AC)</x:t>
        </x:is>
      </x:c>
      <x:c r="V191" s="81" t="inlineStr">
        <x:is>
          <x:t xml:space="preserve">Primary text</x:t>
        </x:is>
      </x:c>
      <x:c r="W191" s="81" t="inlineStr">
        <x:is>
          <x:t xml:space="preserve">Working translation</x:t>
        </x:is>
      </x:c>
      <x:c r="X191" s="81" t="inlineStr">
        <x:is>
          <x:t xml:space="preserve">A - Primary source</x:t>
        </x:is>
      </x:c>
      <x:c r="Y191" s="81" t="inlineStr">
        <x:is>
          <x:t xml:space="preserve">Original Chinese checked against Wang Bi recension on Chinese Wikisource. Vietnamese is Selflo working translation, not a published translation.</x:t>
        </x:is>
      </x:c>
      <x:c r="Z191" s="81" t="inlineStr">
        <x:is>
          <x:t xml:space="preserve">Public domain / likely</x:t>
        </x:is>
      </x:c>
      <x:c r="AA191" s="81" t="inlineStr">
        <x:is>
          <x:t xml:space="preserve">Ancient source text; verify edition/jurisdiction before commercial publication.</x:t>
        </x:is>
      </x:c>
      <x:c r="AB191" s="81" t="inlineStr">
        <x:is>
          <x:t xml:space="preserve">Medium</x:t>
        </x:is>
      </x:c>
      <x:c r="AC191" s="81" t="inlineStr">
        <x:is>
          <x:t xml:space="preserve">Cổ nghĩa khó.</x:t>
        </x:is>
      </x:c>
      <x:c r="AD191" s="81" t="inlineStr">
        <x:is>
          <x:t xml:space="preserve">Needs editorial review</x:t>
        </x:is>
      </x:c>
      <x:c r="AE191" s="81" t="inlineStr">
        <x:is>
          <x:t xml:space="preserve">Needs semantic dedupe review</x:t>
        </x:is>
      </x:c>
      <x:c r="AF191" s="81" t="str"/>
      <x:c r="AG191" s="81" t="str"/>
      <x:c r="AH191" s="81" t="inlineStr">
        <x:is>
          <x:t xml:space="preserve">No</x:t>
        </x:is>
      </x:c>
      <x:c r="AI191" s="81" t="inlineStr">
        <x:is>
          <x:t xml:space="preserve">Not reviewed</x:t>
        </x:is>
      </x:c>
      <x:c r="AJ191" s="81" t="inlineStr">
        <x:is>
          <x:t xml:space="preserve">Research only</x:t>
        </x:is>
      </x:c>
      <x:c r="AK191" s="81" t="inlineStr">
        <x:is>
          <x:t xml:space="preserve">Research Pool</x:t>
        </x:is>
      </x:c>
      <x:c r="AL191" s="81" t="n">
        <x:v>3</x:v>
      </x:c>
      <x:c r="AM191" s="81" t="inlineStr">
        <x:is>
          <x:t xml:space="preserve">ChatGPT research</x:t>
        </x:is>
      </x:c>
      <x:c r="AN191" s="81" t="inlineStr">
        <x:is>
          <x:t xml:space="preserve">2026-09-18</x:t>
        </x:is>
      </x:c>
      <x:c r="AO191" s="81" t="inlineStr">
        <x:is>
          <x:t xml:space="preserve">Day 3 full-scope audit, chapters 51–81.</x:t>
        </x:is>
      </x:c>
    </x:row>
    <x:row r="192">
      <x:c r="A192" s="81" t="inlineStr">
        <x:is>
          <x:t xml:space="preserve">research.laozi.day3.ch53.010</x:t>
        </x:is>
      </x:c>
      <x:c r="B192" s="81" t="inlineStr">
        <x:is>
          <x:t xml:space="preserve">Collected</x:t>
        </x:is>
      </x:c>
      <x:c r="C192" s="81" t="inlineStr">
        <x:is>
          <x:t xml:space="preserve">AI &amp; tương lai</x:t>
        </x:is>
      </x:c>
      <x:c r="D192" s="81" t="inlineStr">
        <x:is>
          <x:t xml:space="preserve">Day 3 / Laozi 51–81</x:t>
        </x:is>
      </x:c>
      <x:c r="E192" s="81" t="str"/>
      <x:c r="F192" s="81" t="inlineStr">
        <x:is>
          <x:t xml:space="preserve">Sự hấp dẫn của shortcut</x:t>
        </x:is>
      </x:c>
      <x:c r="G192" s="81" t="inlineStr">
        <x:is>
          <x:t xml:space="preserve">Judgment</x:t>
        </x:is>
      </x:c>
      <x:c r="H192" s="81" t="str"/>
      <x:c r="I192" s="81" t="str"/>
      <x:c r="J192" s="81" t="str"/>
      <x:c r="K192" s="81" t="inlineStr">
        <x:is>
          <x:t xml:space="preserve">Recognize</x:t>
        </x:is>
      </x:c>
      <x:c r="L192" s="81" t="inlineStr">
        <x:is>
          <x:t xml:space="preserve">Distinguish</x:t>
        </x:is>
      </x:c>
      <x:c r="M192" s="81" t="inlineStr">
        <x:is>
          <x:t xml:space="preserve">Trích đoạn triết học</x:t>
        </x:is>
      </x:c>
      <x:c r="N192" s="81" t="inlineStr">
        <x:is>
          <x:t xml:space="preserve">大道甚夷，而民好徑。</x:t>
        </x:is>
      </x:c>
      <x:c r="O192" s="81" t="inlineStr">
        <x:is>
          <x:t xml:space="preserve">Classical Chinese (文言文)</x:t>
        </x:is>
      </x:c>
      <x:c r="P192" s="81" t="inlineStr">
        <x:is>
          <x:t xml:space="preserve">Con đường lớn vốn bằng phẳng, nhưng người ta thường thích lối tắt.</x:t>
        </x:is>
      </x:c>
      <x:c r="Q192" s="81" t="inlineStr">
        <x:is>
          <x:t xml:space="preserve">Laozi / 老子</x:t>
        </x:is>
      </x:c>
      <x:c r="R192" s="81" t="inlineStr">
        <x:is>
          <x:t xml:space="preserve">Taoism</x:t>
        </x:is>
      </x:c>
      <x:c r="S192" s="81" t="inlineStr">
        <x:is>
          <x:t xml:space="preserve">道德經 / Tao Te Ching</x:t>
        </x:is>
      </x:c>
      <x:c r="T192" s="81" t="inlineStr">
        <x:is>
          <x:t xml:space="preserve">Chapter 53</x:t>
        </x:is>
      </x:c>
      <x:c r="U192" s="81" t="inlineStr">
        <x:is>
          <x:t xml:space="preserve">https://zh.wikisource.org/zh-hant/%E9%81%93%E5%BE%B7%E7%B6%93_(%E7%8E%8B%E5%BC%BC%E6%9C%AC)</x:t>
        </x:is>
      </x:c>
      <x:c r="V192" s="81" t="inlineStr">
        <x:is>
          <x:t xml:space="preserve">Primary text</x:t>
        </x:is>
      </x:c>
      <x:c r="W192" s="81" t="inlineStr">
        <x:is>
          <x:t xml:space="preserve">Working translation</x:t>
        </x:is>
      </x:c>
      <x:c r="X192" s="81" t="inlineStr">
        <x:is>
          <x:t xml:space="preserve">A - Primary source</x:t>
        </x:is>
      </x:c>
      <x:c r="Y192" s="81" t="inlineStr">
        <x:is>
          <x:t xml:space="preserve">Original Chinese checked against Wang Bi recension on Chinese Wikisource. Vietnamese is Selflo working translation, not a published translation.</x:t>
        </x:is>
      </x:c>
      <x:c r="Z192" s="81" t="inlineStr">
        <x:is>
          <x:t xml:space="preserve">Public domain / likely</x:t>
        </x:is>
      </x:c>
      <x:c r="AA192" s="81" t="inlineStr">
        <x:is>
          <x:t xml:space="preserve">Ancient source text; verify edition/jurisdiction before commercial publication.</x:t>
        </x:is>
      </x:c>
      <x:c r="AB192" s="81" t="inlineStr">
        <x:is>
          <x:t xml:space="preserve">High</x:t>
        </x:is>
      </x:c>
      <x:c r="AC192" s="81" t="inlineStr">
        <x:is>
          <x:t xml:space="preserve">Rất hợp AI shortcut/cognition.</x:t>
        </x:is>
      </x:c>
      <x:c r="AD192" s="81" t="inlineStr">
        <x:is>
          <x:t xml:space="preserve">Needs editorial review</x:t>
        </x:is>
      </x:c>
      <x:c r="AE192" s="81" t="inlineStr">
        <x:is>
          <x:t xml:space="preserve">Needs semantic dedupe review</x:t>
        </x:is>
      </x:c>
      <x:c r="AF192" s="81" t="str"/>
      <x:c r="AG192" s="81" t="str"/>
      <x:c r="AH192" s="81" t="inlineStr">
        <x:is>
          <x:t xml:space="preserve">No</x:t>
        </x:is>
      </x:c>
      <x:c r="AI192" s="81" t="inlineStr">
        <x:is>
          <x:t xml:space="preserve">Not reviewed</x:t>
        </x:is>
      </x:c>
      <x:c r="AJ192" s="81" t="inlineStr">
        <x:is>
          <x:t xml:space="preserve">Research only</x:t>
        </x:is>
      </x:c>
      <x:c r="AK192" s="81" t="inlineStr">
        <x:is>
          <x:t xml:space="preserve">Research Pool</x:t>
        </x:is>
      </x:c>
      <x:c r="AL192" s="81" t="n">
        <x:v>3</x:v>
      </x:c>
      <x:c r="AM192" s="81" t="inlineStr">
        <x:is>
          <x:t xml:space="preserve">ChatGPT research</x:t>
        </x:is>
      </x:c>
      <x:c r="AN192" s="81" t="inlineStr">
        <x:is>
          <x:t xml:space="preserve">2026-09-18</x:t>
        </x:is>
      </x:c>
      <x:c r="AO192" s="81" t="inlineStr">
        <x:is>
          <x:t xml:space="preserve">Day 3 full-scope audit, chapters 51–81.</x:t>
        </x:is>
      </x:c>
    </x:row>
    <x:row r="193">
      <x:c r="A193" s="81" t="inlineStr">
        <x:is>
          <x:t xml:space="preserve">research.laozi.day3.ch53.011</x:t>
        </x:is>
      </x:c>
      <x:c r="B193" s="81" t="inlineStr">
        <x:is>
          <x:t xml:space="preserve">Collected</x:t>
        </x:is>
      </x:c>
      <x:c r="C193" s="81" t="inlineStr">
        <x:is>
          <x:t xml:space="preserve">Nội tâm &amp; hiểu mình</x:t>
        </x:is>
      </x:c>
      <x:c r="D193" s="81" t="inlineStr">
        <x:is>
          <x:t xml:space="preserve">Day 3 / Laozi 51–81</x:t>
        </x:is>
      </x:c>
      <x:c r="E193" s="81" t="str"/>
      <x:c r="F193" s="81" t="inlineStr">
        <x:is>
          <x:t xml:space="preserve">Bề ngoài đẹp có thể che phần nền đang thiếu</x:t>
        </x:is>
      </x:c>
      <x:c r="G193" s="81" t="inlineStr">
        <x:is>
          <x:t xml:space="preserve">Values</x:t>
        </x:is>
      </x:c>
      <x:c r="H193" s="81" t="str"/>
      <x:c r="I193" s="81" t="str"/>
      <x:c r="J193" s="81" t="str"/>
      <x:c r="K193" s="81" t="inlineStr">
        <x:is>
          <x:t xml:space="preserve">Distinguish</x:t>
        </x:is>
      </x:c>
      <x:c r="L193" s="81" t="inlineStr">
        <x:is>
          <x:t xml:space="preserve">Recognize</x:t>
        </x:is>
      </x:c>
      <x:c r="M193" s="81" t="inlineStr">
        <x:is>
          <x:t xml:space="preserve">Trích đoạn triết học</x:t>
        </x:is>
      </x:c>
      <x:c r="N193" s="81" t="inlineStr">
        <x:is>
          <x:t xml:space="preserve">朝甚除，田甚蕪，倉甚虛。</x:t>
        </x:is>
      </x:c>
      <x:c r="O193" s="81" t="inlineStr">
        <x:is>
          <x:t xml:space="preserve">Classical Chinese (文言文)</x:t>
        </x:is>
      </x:c>
      <x:c r="P193" s="81" t="inlineStr">
        <x:is>
          <x:t xml:space="preserve">Cung điện quá chăm chút trong khi ruộng hoang và kho trống.</x:t>
        </x:is>
      </x:c>
      <x:c r="Q193" s="81" t="inlineStr">
        <x:is>
          <x:t xml:space="preserve">Laozi / 老子</x:t>
        </x:is>
      </x:c>
      <x:c r="R193" s="81" t="inlineStr">
        <x:is>
          <x:t xml:space="preserve">Taoism</x:t>
        </x:is>
      </x:c>
      <x:c r="S193" s="81" t="inlineStr">
        <x:is>
          <x:t xml:space="preserve">道德經 / Tao Te Ching</x:t>
        </x:is>
      </x:c>
      <x:c r="T193" s="81" t="inlineStr">
        <x:is>
          <x:t xml:space="preserve">Chapter 53</x:t>
        </x:is>
      </x:c>
      <x:c r="U193" s="81" t="inlineStr">
        <x:is>
          <x:t xml:space="preserve">https://zh.wikisource.org/zh-hant/%E9%81%93%E5%BE%B7%E7%B6%93_(%E7%8E%8B%E5%BC%BC%E6%9C%AC)</x:t>
        </x:is>
      </x:c>
      <x:c r="V193" s="81" t="inlineStr">
        <x:is>
          <x:t xml:space="preserve">Primary text</x:t>
        </x:is>
      </x:c>
      <x:c r="W193" s="81" t="inlineStr">
        <x:is>
          <x:t xml:space="preserve">Working translation</x:t>
        </x:is>
      </x:c>
      <x:c r="X193" s="81" t="inlineStr">
        <x:is>
          <x:t xml:space="preserve">A - Primary source</x:t>
        </x:is>
      </x:c>
      <x:c r="Y193" s="81" t="inlineStr">
        <x:is>
          <x:t xml:space="preserve">Original Chinese checked against Wang Bi recension on Chinese Wikisource. Vietnamese is Selflo working translation, not a published translation.</x:t>
        </x:is>
      </x:c>
      <x:c r="Z193" s="81" t="inlineStr">
        <x:is>
          <x:t xml:space="preserve">Public domain / likely</x:t>
        </x:is>
      </x:c>
      <x:c r="AA193" s="81" t="inlineStr">
        <x:is>
          <x:t xml:space="preserve">Ancient source text; verify edition/jurisdiction before commercial publication.</x:t>
        </x:is>
      </x:c>
      <x:c r="AB193" s="81" t="inlineStr">
        <x:is>
          <x:t xml:space="preserve">High</x:t>
        </x:is>
      </x:c>
      <x:c r="AC193" s="81" t="inlineStr">
        <x:is>
          <x:t xml:space="preserve">System/organization.</x:t>
        </x:is>
      </x:c>
      <x:c r="AD193" s="81" t="inlineStr">
        <x:is>
          <x:t xml:space="preserve">Needs editorial review</x:t>
        </x:is>
      </x:c>
      <x:c r="AE193" s="81" t="inlineStr">
        <x:is>
          <x:t xml:space="preserve">Needs semantic dedupe review</x:t>
        </x:is>
      </x:c>
      <x:c r="AF193" s="81" t="str"/>
      <x:c r="AG193" s="81" t="str"/>
      <x:c r="AH193" s="81" t="inlineStr">
        <x:is>
          <x:t xml:space="preserve">No</x:t>
        </x:is>
      </x:c>
      <x:c r="AI193" s="81" t="inlineStr">
        <x:is>
          <x:t xml:space="preserve">Not reviewed</x:t>
        </x:is>
      </x:c>
      <x:c r="AJ193" s="81" t="inlineStr">
        <x:is>
          <x:t xml:space="preserve">Research only</x:t>
        </x:is>
      </x:c>
      <x:c r="AK193" s="81" t="inlineStr">
        <x:is>
          <x:t xml:space="preserve">Research Pool</x:t>
        </x:is>
      </x:c>
      <x:c r="AL193" s="81" t="n">
        <x:v>3</x:v>
      </x:c>
      <x:c r="AM193" s="81" t="inlineStr">
        <x:is>
          <x:t xml:space="preserve">ChatGPT research</x:t>
        </x:is>
      </x:c>
      <x:c r="AN193" s="81" t="inlineStr">
        <x:is>
          <x:t xml:space="preserve">2026-09-18</x:t>
        </x:is>
      </x:c>
      <x:c r="AO193" s="81" t="inlineStr">
        <x:is>
          <x:t xml:space="preserve">Day 3 full-scope audit, chapters 51–81.</x:t>
        </x:is>
      </x:c>
    </x:row>
    <x:row r="194">
      <x:c r="A194" s="81" t="inlineStr">
        <x:is>
          <x:t xml:space="preserve">research.laozi.day3.ch53.012</x:t>
        </x:is>
      </x:c>
      <x:c r="B194" s="81" t="inlineStr">
        <x:is>
          <x:t xml:space="preserve">Collected</x:t>
        </x:is>
      </x:c>
      <x:c r="C194" s="81" t="inlineStr">
        <x:is>
          <x:t xml:space="preserve">Nội tâm &amp; hiểu mình</x:t>
        </x:is>
      </x:c>
      <x:c r="D194" s="81" t="inlineStr">
        <x:is>
          <x:t xml:space="preserve">Day 3 / Laozi 51–81</x:t>
        </x:is>
      </x:c>
      <x:c r="E194" s="81" t="str"/>
      <x:c r="F194" s="81" t="inlineStr">
        <x:is>
          <x:t xml:space="preserve">Dư thừa bề ngoài và thiếu hụt nền tảng có thể cùng tồn tại</x:t>
        </x:is>
      </x:c>
      <x:c r="G194" s="81" t="inlineStr">
        <x:is>
          <x:t xml:space="preserve">Enoughness</x:t>
        </x:is>
      </x:c>
      <x:c r="H194" s="81" t="str"/>
      <x:c r="I194" s="81" t="str"/>
      <x:c r="J194" s="81" t="str"/>
      <x:c r="K194" s="81" t="inlineStr">
        <x:is>
          <x:t xml:space="preserve">Distinguish</x:t>
        </x:is>
      </x:c>
      <x:c r="L194" s="81" t="inlineStr">
        <x:is>
          <x:t xml:space="preserve">Recognize</x:t>
        </x:is>
      </x:c>
      <x:c r="M194" s="81" t="inlineStr">
        <x:is>
          <x:t xml:space="preserve">Trích đoạn triết học</x:t>
        </x:is>
      </x:c>
      <x:c r="N194" s="81" t="inlineStr">
        <x:is>
          <x:t xml:space="preserve">服文綵，帶利劍，厭飲食，財貨有餘。</x:t>
        </x:is>
      </x:c>
      <x:c r="O194" s="81" t="inlineStr">
        <x:is>
          <x:t xml:space="preserve">Classical Chinese (文言文)</x:t>
        </x:is>
      </x:c>
      <x:c r="P194" s="81" t="inlineStr">
        <x:is>
          <x:t xml:space="preserve">Áo đẹp, kiếm sắc, ăn uống dư thừa, của cải quá nhiều — văn bản đặt chúng cạnh sự thiếu hụt ở phần nền.</x:t>
        </x:is>
      </x:c>
      <x:c r="Q194" s="81" t="inlineStr">
        <x:is>
          <x:t xml:space="preserve">Laozi / 老子</x:t>
        </x:is>
      </x:c>
      <x:c r="R194" s="81" t="inlineStr">
        <x:is>
          <x:t xml:space="preserve">Taoism</x:t>
        </x:is>
      </x:c>
      <x:c r="S194" s="81" t="inlineStr">
        <x:is>
          <x:t xml:space="preserve">道德經 / Tao Te Ching</x:t>
        </x:is>
      </x:c>
      <x:c r="T194" s="81" t="inlineStr">
        <x:is>
          <x:t xml:space="preserve">Chapter 53</x:t>
        </x:is>
      </x:c>
      <x:c r="U194" s="81" t="inlineStr">
        <x:is>
          <x:t xml:space="preserve">https://zh.wikisource.org/zh-hant/%E9%81%93%E5%BE%B7%E7%B6%93_(%E7%8E%8B%E5%BC%BC%E6%9C%AC)</x:t>
        </x:is>
      </x:c>
      <x:c r="V194" s="81" t="inlineStr">
        <x:is>
          <x:t xml:space="preserve">Primary text</x:t>
        </x:is>
      </x:c>
      <x:c r="W194" s="81" t="inlineStr">
        <x:is>
          <x:t xml:space="preserve">Working translation</x:t>
        </x:is>
      </x:c>
      <x:c r="X194" s="81" t="inlineStr">
        <x:is>
          <x:t xml:space="preserve">A - Primary source</x:t>
        </x:is>
      </x:c>
      <x:c r="Y194" s="81" t="inlineStr">
        <x:is>
          <x:t xml:space="preserve">Original Chinese checked against Wang Bi recension on Chinese Wikisource. Vietnamese is Selflo working translation, not a published translation.</x:t>
        </x:is>
      </x:c>
      <x:c r="Z194" s="81" t="inlineStr">
        <x:is>
          <x:t xml:space="preserve">Public domain / likely</x:t>
        </x:is>
      </x:c>
      <x:c r="AA194" s="81" t="inlineStr">
        <x:is>
          <x:t xml:space="preserve">Ancient source text; verify edition/jurisdiction before commercial publication.</x:t>
        </x:is>
      </x:c>
      <x:c r="AB194" s="81" t="inlineStr">
        <x:is>
          <x:t xml:space="preserve">Medium</x:t>
        </x:is>
      </x:c>
      <x:c r="AC194" s="81" t="inlineStr">
        <x:is>
          <x:t xml:space="preserve">Political critique.</x:t>
        </x:is>
      </x:c>
      <x:c r="AD194" s="81" t="inlineStr">
        <x:is>
          <x:t xml:space="preserve">Needs editorial review</x:t>
        </x:is>
      </x:c>
      <x:c r="AE194" s="81" t="inlineStr">
        <x:is>
          <x:t xml:space="preserve">Needs semantic dedupe review</x:t>
        </x:is>
      </x:c>
      <x:c r="AF194" s="81" t="str"/>
      <x:c r="AG194" s="81" t="str"/>
      <x:c r="AH194" s="81" t="inlineStr">
        <x:is>
          <x:t xml:space="preserve">No</x:t>
        </x:is>
      </x:c>
      <x:c r="AI194" s="81" t="inlineStr">
        <x:is>
          <x:t xml:space="preserve">Not reviewed</x:t>
        </x:is>
      </x:c>
      <x:c r="AJ194" s="81" t="inlineStr">
        <x:is>
          <x:t xml:space="preserve">Research only</x:t>
        </x:is>
      </x:c>
      <x:c r="AK194" s="81" t="inlineStr">
        <x:is>
          <x:t xml:space="preserve">Research Pool</x:t>
        </x:is>
      </x:c>
      <x:c r="AL194" s="81" t="n">
        <x:v>3</x:v>
      </x:c>
      <x:c r="AM194" s="81" t="inlineStr">
        <x:is>
          <x:t xml:space="preserve">ChatGPT research</x:t>
        </x:is>
      </x:c>
      <x:c r="AN194" s="81" t="inlineStr">
        <x:is>
          <x:t xml:space="preserve">2026-09-18</x:t>
        </x:is>
      </x:c>
      <x:c r="AO194" s="81" t="inlineStr">
        <x:is>
          <x:t xml:space="preserve">Day 3 full-scope audit, chapters 51–81.</x:t>
        </x:is>
      </x:c>
    </x:row>
    <x:row r="195">
      <x:c r="A195" s="81" t="inlineStr">
        <x:is>
          <x:t xml:space="preserve">research.laozi.day3.ch54.013</x:t>
        </x:is>
      </x:c>
      <x:c r="B195" s="81" t="inlineStr">
        <x:is>
          <x:t xml:space="preserve">Collected</x:t>
        </x:is>
      </x:c>
      <x:c r="C195" s="81" t="inlineStr">
        <x:is>
          <x:t xml:space="preserve">Công việc &amp; mục đích</x:t>
        </x:is>
      </x:c>
      <x:c r="D195" s="81" t="inlineStr">
        <x:is>
          <x:t xml:space="preserve">Day 3 / Laozi 51–81</x:t>
        </x:is>
      </x:c>
      <x:c r="E195" s="81" t="str"/>
      <x:c r="F195" s="81" t="inlineStr">
        <x:is>
          <x:t xml:space="preserve">Nền tảng tốt hỗ trợ tính bền</x:t>
        </x:is>
      </x:c>
      <x:c r="G195" s="81" t="inlineStr">
        <x:is>
          <x:t xml:space="preserve">Foundations</x:t>
        </x:is>
      </x:c>
      <x:c r="H195" s="81" t="str"/>
      <x:c r="I195" s="81" t="str"/>
      <x:c r="J195" s="81" t="str"/>
      <x:c r="K195" s="81" t="inlineStr">
        <x:is>
          <x:t xml:space="preserve">Reframe</x:t>
        </x:is>
      </x:c>
      <x:c r="L195" s="81" t="inlineStr">
        <x:is>
          <x:t xml:space="preserve">Distinguish</x:t>
        </x:is>
      </x:c>
      <x:c r="M195" s="81" t="inlineStr">
        <x:is>
          <x:t xml:space="preserve">Trích đoạn triết học</x:t>
        </x:is>
      </x:c>
      <x:c r="N195" s="81" t="inlineStr">
        <x:is>
          <x:t xml:space="preserve">善建者不拔，善抱者不脫。</x:t>
        </x:is>
      </x:c>
      <x:c r="O195" s="81" t="inlineStr">
        <x:is>
          <x:t xml:space="preserve">Classical Chinese (文言文)</x:t>
        </x:is>
      </x:c>
      <x:c r="P195" s="81" t="inlineStr">
        <x:is>
          <x:t xml:space="preserve">Điều được xây trên nền tốt khó bị nhổ; điều được giữ đúng cách khó tuột mất.</x:t>
        </x:is>
      </x:c>
      <x:c r="Q195" s="81" t="inlineStr">
        <x:is>
          <x:t xml:space="preserve">Laozi / 老子</x:t>
        </x:is>
      </x:c>
      <x:c r="R195" s="81" t="inlineStr">
        <x:is>
          <x:t xml:space="preserve">Taoism</x:t>
        </x:is>
      </x:c>
      <x:c r="S195" s="81" t="inlineStr">
        <x:is>
          <x:t xml:space="preserve">道德經 / Tao Te Ching</x:t>
        </x:is>
      </x:c>
      <x:c r="T195" s="81" t="inlineStr">
        <x:is>
          <x:t xml:space="preserve">Chapter 54</x:t>
        </x:is>
      </x:c>
      <x:c r="U195" s="81" t="inlineStr">
        <x:is>
          <x:t xml:space="preserve">https://zh.wikisource.org/zh-hant/%E9%81%93%E5%BE%B7%E7%B6%93_(%E7%8E%8B%E5%BC%BC%E6%9C%AC)</x:t>
        </x:is>
      </x:c>
      <x:c r="V195" s="81" t="inlineStr">
        <x:is>
          <x:t xml:space="preserve">Primary text</x:t>
        </x:is>
      </x:c>
      <x:c r="W195" s="81" t="inlineStr">
        <x:is>
          <x:t xml:space="preserve">Working translation</x:t>
        </x:is>
      </x:c>
      <x:c r="X195" s="81" t="inlineStr">
        <x:is>
          <x:t xml:space="preserve">A - Primary source</x:t>
        </x:is>
      </x:c>
      <x:c r="Y195" s="81" t="inlineStr">
        <x:is>
          <x:t xml:space="preserve">Original Chinese checked against Wang Bi recension on Chinese Wikisource. Vietnamese is Selflo working translation, not a published translation.</x:t>
        </x:is>
      </x:c>
      <x:c r="Z195" s="81" t="inlineStr">
        <x:is>
          <x:t xml:space="preserve">Public domain / likely</x:t>
        </x:is>
      </x:c>
      <x:c r="AA195" s="81" t="inlineStr">
        <x:is>
          <x:t xml:space="preserve">Ancient source text; verify edition/jurisdiction before commercial publication.</x:t>
        </x:is>
      </x:c>
      <x:c r="AB195" s="81" t="inlineStr">
        <x:is>
          <x:t xml:space="preserve">High</x:t>
        </x:is>
      </x:c>
      <x:c r="AC195" s="81" t="inlineStr">
        <x:is>
          <x:t xml:space="preserve">Strong.</x:t>
        </x:is>
      </x:c>
      <x:c r="AD195" s="81" t="inlineStr">
        <x:is>
          <x:t xml:space="preserve">Needs editorial review</x:t>
        </x:is>
      </x:c>
      <x:c r="AE195" s="81" t="inlineStr">
        <x:is>
          <x:t xml:space="preserve">Needs semantic dedupe review</x:t>
        </x:is>
      </x:c>
      <x:c r="AF195" s="81" t="str"/>
      <x:c r="AG195" s="81" t="str"/>
      <x:c r="AH195" s="81" t="inlineStr">
        <x:is>
          <x:t xml:space="preserve">No</x:t>
        </x:is>
      </x:c>
      <x:c r="AI195" s="81" t="inlineStr">
        <x:is>
          <x:t xml:space="preserve">Not reviewed</x:t>
        </x:is>
      </x:c>
      <x:c r="AJ195" s="81" t="inlineStr">
        <x:is>
          <x:t xml:space="preserve">Research only</x:t>
        </x:is>
      </x:c>
      <x:c r="AK195" s="81" t="inlineStr">
        <x:is>
          <x:t xml:space="preserve">Research Pool</x:t>
        </x:is>
      </x:c>
      <x:c r="AL195" s="81" t="n">
        <x:v>3</x:v>
      </x:c>
      <x:c r="AM195" s="81" t="inlineStr">
        <x:is>
          <x:t xml:space="preserve">ChatGPT research</x:t>
        </x:is>
      </x:c>
      <x:c r="AN195" s="81" t="inlineStr">
        <x:is>
          <x:t xml:space="preserve">2026-09-18</x:t>
        </x:is>
      </x:c>
      <x:c r="AO195" s="81" t="inlineStr">
        <x:is>
          <x:t xml:space="preserve">Day 3 full-scope audit, chapters 51–81.</x:t>
        </x:is>
      </x:c>
    </x:row>
    <x:row r="196">
      <x:c r="A196" s="81" t="inlineStr">
        <x:is>
          <x:t xml:space="preserve">research.laozi.day3.ch54.014</x:t>
        </x:is>
      </x:c>
      <x:c r="B196" s="81" t="inlineStr">
        <x:is>
          <x:t xml:space="preserve">Collected</x:t>
        </x:is>
      </x:c>
      <x:c r="C196" s="81" t="inlineStr">
        <x:is>
          <x:t xml:space="preserve">Nội tâm &amp; hiểu mình</x:t>
        </x:is>
      </x:c>
      <x:c r="D196" s="81" t="inlineStr">
        <x:is>
          <x:t xml:space="preserve">Day 3 / Laozi 51–81</x:t>
        </x:is>
      </x:c>
      <x:c r="E196" s="81" t="str"/>
      <x:c r="F196" s="81" t="inlineStr">
        <x:is>
          <x:t xml:space="preserve">Giá trị được sống chứ không chỉ được nói</x:t>
        </x:is>
      </x:c>
      <x:c r="G196" s="81" t="inlineStr">
        <x:is>
          <x:t xml:space="preserve">Values</x:t>
        </x:is>
      </x:c>
      <x:c r="H196" s="81" t="str"/>
      <x:c r="I196" s="81" t="str"/>
      <x:c r="J196" s="81" t="str"/>
      <x:c r="K196" s="81" t="inlineStr">
        <x:is>
          <x:t xml:space="preserve">Recognize</x:t>
        </x:is>
      </x:c>
      <x:c r="L196" s="81" t="inlineStr">
        <x:is>
          <x:t xml:space="preserve">Distinguish</x:t>
        </x:is>
      </x:c>
      <x:c r="M196" s="81" t="inlineStr">
        <x:is>
          <x:t xml:space="preserve">Trích đoạn triết học</x:t>
        </x:is>
      </x:c>
      <x:c r="N196" s="81" t="inlineStr">
        <x:is>
          <x:t xml:space="preserve">修之於身，其德乃真。</x:t>
        </x:is>
      </x:c>
      <x:c r="O196" s="81" t="inlineStr">
        <x:is>
          <x:t xml:space="preserve">Classical Chinese (文言文)</x:t>
        </x:is>
      </x:c>
      <x:c r="P196" s="81" t="inlineStr">
        <x:is>
          <x:t xml:space="preserve">Điều được thực hành nơi chính mình mới trở thành phần thật của mình.</x:t>
        </x:is>
      </x:c>
      <x:c r="Q196" s="81" t="inlineStr">
        <x:is>
          <x:t xml:space="preserve">Laozi / 老子</x:t>
        </x:is>
      </x:c>
      <x:c r="R196" s="81" t="inlineStr">
        <x:is>
          <x:t xml:space="preserve">Taoism</x:t>
        </x:is>
      </x:c>
      <x:c r="S196" s="81" t="inlineStr">
        <x:is>
          <x:t xml:space="preserve">道德經 / Tao Te Ching</x:t>
        </x:is>
      </x:c>
      <x:c r="T196" s="81" t="inlineStr">
        <x:is>
          <x:t xml:space="preserve">Chapter 54</x:t>
        </x:is>
      </x:c>
      <x:c r="U196" s="81" t="inlineStr">
        <x:is>
          <x:t xml:space="preserve">https://zh.wikisource.org/zh-hant/%E9%81%93%E5%BE%B7%E7%B6%93_(%E7%8E%8B%E5%BC%BC%E6%9C%AC)</x:t>
        </x:is>
      </x:c>
      <x:c r="V196" s="81" t="inlineStr">
        <x:is>
          <x:t xml:space="preserve">Primary text</x:t>
        </x:is>
      </x:c>
      <x:c r="W196" s="81" t="inlineStr">
        <x:is>
          <x:t xml:space="preserve">Working translation</x:t>
        </x:is>
      </x:c>
      <x:c r="X196" s="81" t="inlineStr">
        <x:is>
          <x:t xml:space="preserve">A - Primary source</x:t>
        </x:is>
      </x:c>
      <x:c r="Y196" s="81" t="inlineStr">
        <x:is>
          <x:t xml:space="preserve">Original Chinese checked against Wang Bi recension on Chinese Wikisource. Vietnamese is Selflo working translation, not a published translation.</x:t>
        </x:is>
      </x:c>
      <x:c r="Z196" s="81" t="inlineStr">
        <x:is>
          <x:t xml:space="preserve">Public domain / likely</x:t>
        </x:is>
      </x:c>
      <x:c r="AA196" s="81" t="inlineStr">
        <x:is>
          <x:t xml:space="preserve">Ancient source text; verify edition/jurisdiction before commercial publication.</x:t>
        </x:is>
      </x:c>
      <x:c r="AB196" s="81" t="inlineStr">
        <x:is>
          <x:t xml:space="preserve">High</x:t>
        </x:is>
      </x:c>
      <x:c r="AC196" s="81" t="inlineStr">
        <x:is>
          <x:t xml:space="preserve">Có directive tone nhẹ.</x:t>
        </x:is>
      </x:c>
      <x:c r="AD196" s="81" t="inlineStr">
        <x:is>
          <x:t xml:space="preserve">Needs editorial review</x:t>
        </x:is>
      </x:c>
      <x:c r="AE196" s="81" t="inlineStr">
        <x:is>
          <x:t xml:space="preserve">Needs semantic dedupe review</x:t>
        </x:is>
      </x:c>
      <x:c r="AF196" s="81" t="str"/>
      <x:c r="AG196" s="81" t="str"/>
      <x:c r="AH196" s="81" t="inlineStr">
        <x:is>
          <x:t xml:space="preserve">No</x:t>
        </x:is>
      </x:c>
      <x:c r="AI196" s="81" t="inlineStr">
        <x:is>
          <x:t xml:space="preserve">Not reviewed</x:t>
        </x:is>
      </x:c>
      <x:c r="AJ196" s="81" t="inlineStr">
        <x:is>
          <x:t xml:space="preserve">Research only</x:t>
        </x:is>
      </x:c>
      <x:c r="AK196" s="81" t="inlineStr">
        <x:is>
          <x:t xml:space="preserve">Research Pool</x:t>
        </x:is>
      </x:c>
      <x:c r="AL196" s="81" t="n">
        <x:v>3</x:v>
      </x:c>
      <x:c r="AM196" s="81" t="inlineStr">
        <x:is>
          <x:t xml:space="preserve">ChatGPT research</x:t>
        </x:is>
      </x:c>
      <x:c r="AN196" s="81" t="inlineStr">
        <x:is>
          <x:t xml:space="preserve">2026-09-18</x:t>
        </x:is>
      </x:c>
      <x:c r="AO196" s="81" t="inlineStr">
        <x:is>
          <x:t xml:space="preserve">Day 3 full-scope audit, chapters 51–81.</x:t>
        </x:is>
      </x:c>
    </x:row>
    <x:row r="197">
      <x:c r="A197" s="81" t="inlineStr">
        <x:is>
          <x:t xml:space="preserve">research.laozi.day3.ch54.015</x:t>
        </x:is>
      </x:c>
      <x:c r="B197" s="81" t="inlineStr">
        <x:is>
          <x:t xml:space="preserve">Collected</x:t>
        </x:is>
      </x:c>
      <x:c r="C197" s="81" t="inlineStr">
        <x:is>
          <x:t xml:space="preserve">Nội tâm &amp; hiểu mình</x:t>
        </x:is>
      </x:c>
      <x:c r="D197" s="81" t="inlineStr">
        <x:is>
          <x:t xml:space="preserve">Day 3 / Laozi 51–81</x:t>
        </x:is>
      </x:c>
      <x:c r="E197" s="81" t="str"/>
      <x:c r="F197" s="81" t="inlineStr">
        <x:is>
          <x:t xml:space="preserve">Ảnh hưởng lan qua hệ gần</x:t>
        </x:is>
      </x:c>
      <x:c r="G197" s="81" t="inlineStr">
        <x:is>
          <x:t xml:space="preserve">Connection</x:t>
        </x:is>
      </x:c>
      <x:c r="H197" s="81" t="str"/>
      <x:c r="I197" s="81" t="str"/>
      <x:c r="J197" s="81" t="str"/>
      <x:c r="K197" s="81" t="inlineStr">
        <x:is>
          <x:t xml:space="preserve">Reframe</x:t>
        </x:is>
      </x:c>
      <x:c r="L197" s="81" t="inlineStr">
        <x:is>
          <x:t xml:space="preserve">Distinguish</x:t>
        </x:is>
      </x:c>
      <x:c r="M197" s="81" t="inlineStr">
        <x:is>
          <x:t xml:space="preserve">Trích đoạn triết học</x:t>
        </x:is>
      </x:c>
      <x:c r="N197" s="81" t="inlineStr">
        <x:is>
          <x:t xml:space="preserve">修之於家，其德乃餘；修之於鄉，其德乃長。</x:t>
        </x:is>
      </x:c>
      <x:c r="O197" s="81" t="inlineStr">
        <x:is>
          <x:t xml:space="preserve">Classical Chinese (文言文)</x:t>
        </x:is>
      </x:c>
      <x:c r="P197" s="81" t="inlineStr">
        <x:is>
          <x:t xml:space="preserve">Một nguyên lý sống có thể lan từ bản thân sang gia đình và cộng đồng.</x:t>
        </x:is>
      </x:c>
      <x:c r="Q197" s="81" t="inlineStr">
        <x:is>
          <x:t xml:space="preserve">Laozi / 老子</x:t>
        </x:is>
      </x:c>
      <x:c r="R197" s="81" t="inlineStr">
        <x:is>
          <x:t xml:space="preserve">Taoism</x:t>
        </x:is>
      </x:c>
      <x:c r="S197" s="81" t="inlineStr">
        <x:is>
          <x:t xml:space="preserve">道德經 / Tao Te Ching</x:t>
        </x:is>
      </x:c>
      <x:c r="T197" s="81" t="inlineStr">
        <x:is>
          <x:t xml:space="preserve">Chapter 54</x:t>
        </x:is>
      </x:c>
      <x:c r="U197" s="81" t="inlineStr">
        <x:is>
          <x:t xml:space="preserve">https://zh.wikisource.org/zh-hant/%E9%81%93%E5%BE%B7%E7%B6%93_(%E7%8E%8B%E5%BC%BC%E6%9C%AC)</x:t>
        </x:is>
      </x:c>
      <x:c r="V197" s="81" t="inlineStr">
        <x:is>
          <x:t xml:space="preserve">Primary text</x:t>
        </x:is>
      </x:c>
      <x:c r="W197" s="81" t="inlineStr">
        <x:is>
          <x:t xml:space="preserve">Working translation</x:t>
        </x:is>
      </x:c>
      <x:c r="X197" s="81" t="inlineStr">
        <x:is>
          <x:t xml:space="preserve">A - Primary source</x:t>
        </x:is>
      </x:c>
      <x:c r="Y197" s="81" t="inlineStr">
        <x:is>
          <x:t xml:space="preserve">Original Chinese checked against Wang Bi recension on Chinese Wikisource. Vietnamese is Selflo working translation, not a published translation.</x:t>
        </x:is>
      </x:c>
      <x:c r="Z197" s="81" t="inlineStr">
        <x:is>
          <x:t xml:space="preserve">Public domain / likely</x:t>
        </x:is>
      </x:c>
      <x:c r="AA197" s="81" t="inlineStr">
        <x:is>
          <x:t xml:space="preserve">Ancient source text; verify edition/jurisdiction before commercial publication.</x:t>
        </x:is>
      </x:c>
      <x:c r="AB197" s="81" t="inlineStr">
        <x:is>
          <x:t xml:space="preserve">Medium</x:t>
        </x:is>
      </x:c>
      <x:c r="AC197" s="81" t="inlineStr">
        <x:is>
          <x:t xml:space="preserve">Collective context.</x:t>
        </x:is>
      </x:c>
      <x:c r="AD197" s="81" t="inlineStr">
        <x:is>
          <x:t xml:space="preserve">Needs editorial review</x:t>
        </x:is>
      </x:c>
      <x:c r="AE197" s="81" t="inlineStr">
        <x:is>
          <x:t xml:space="preserve">Needs semantic dedupe review</x:t>
        </x:is>
      </x:c>
      <x:c r="AF197" s="81" t="str"/>
      <x:c r="AG197" s="81" t="str"/>
      <x:c r="AH197" s="81" t="inlineStr">
        <x:is>
          <x:t xml:space="preserve">No</x:t>
        </x:is>
      </x:c>
      <x:c r="AI197" s="81" t="inlineStr">
        <x:is>
          <x:t xml:space="preserve">Not reviewed</x:t>
        </x:is>
      </x:c>
      <x:c r="AJ197" s="81" t="inlineStr">
        <x:is>
          <x:t xml:space="preserve">Research only</x:t>
        </x:is>
      </x:c>
      <x:c r="AK197" s="81" t="inlineStr">
        <x:is>
          <x:t xml:space="preserve">Research Pool</x:t>
        </x:is>
      </x:c>
      <x:c r="AL197" s="81" t="n">
        <x:v>3</x:v>
      </x:c>
      <x:c r="AM197" s="81" t="inlineStr">
        <x:is>
          <x:t xml:space="preserve">ChatGPT research</x:t>
        </x:is>
      </x:c>
      <x:c r="AN197" s="81" t="inlineStr">
        <x:is>
          <x:t xml:space="preserve">2026-09-18</x:t>
        </x:is>
      </x:c>
      <x:c r="AO197" s="81" t="inlineStr">
        <x:is>
          <x:t xml:space="preserve">Day 3 full-scope audit, chapters 51–81.</x:t>
        </x:is>
      </x:c>
    </x:row>
    <x:row r="198">
      <x:c r="A198" s="81" t="inlineStr">
        <x:is>
          <x:t xml:space="preserve">research.laozi.day3.ch54.016</x:t>
        </x:is>
      </x:c>
      <x:c r="B198" s="81" t="inlineStr">
        <x:is>
          <x:t xml:space="preserve">Collected</x:t>
        </x:is>
      </x:c>
      <x:c r="C198" s="81" t="inlineStr">
        <x:is>
          <x:t xml:space="preserve">Nội tâm &amp; hiểu mình</x:t>
        </x:is>
      </x:c>
      <x:c r="D198" s="81" t="inlineStr">
        <x:is>
          <x:t xml:space="preserve">Day 3 / Laozi 51–81</x:t>
        </x:is>
      </x:c>
      <x:c r="E198" s="81" t="str"/>
      <x:c r="F198" s="81" t="inlineStr">
        <x:is>
          <x:t xml:space="preserve">Đánh giá một hệ trong đúng bối cảnh của nó</x:t>
        </x:is>
      </x:c>
      <x:c r="G198" s="81" t="inlineStr">
        <x:is>
          <x:t xml:space="preserve">Context</x:t>
        </x:is>
      </x:c>
      <x:c r="H198" s="81" t="str"/>
      <x:c r="I198" s="81" t="str"/>
      <x:c r="J198" s="81" t="str"/>
      <x:c r="K198" s="81" t="inlineStr">
        <x:is>
          <x:t xml:space="preserve">Distinguish</x:t>
        </x:is>
      </x:c>
      <x:c r="L198" s="81" t="inlineStr">
        <x:is>
          <x:t xml:space="preserve">Recognize</x:t>
        </x:is>
      </x:c>
      <x:c r="M198" s="81" t="inlineStr">
        <x:is>
          <x:t xml:space="preserve">Trích đoạn triết học</x:t>
        </x:is>
      </x:c>
      <x:c r="N198" s="81" t="inlineStr">
        <x:is>
          <x:t xml:space="preserve">以身觀身，以家觀家，以鄉觀鄉，以邦觀邦，以天下觀天下。</x:t>
        </x:is>
      </x:c>
      <x:c r="O198" s="81" t="inlineStr">
        <x:is>
          <x:t xml:space="preserve">Classical Chinese (文言文)</x:t>
        </x:is>
      </x:c>
      <x:c r="P198" s="81" t="inlineStr">
        <x:is>
          <x:t xml:space="preserve">Dùng chính cấp độ ấy để nhìn cấp độ ấy: nhìn người từ người, nhà từ nhà, cộng đồng từ cộng đồng.</x:t>
        </x:is>
      </x:c>
      <x:c r="Q198" s="81" t="inlineStr">
        <x:is>
          <x:t xml:space="preserve">Laozi / 老子</x:t>
        </x:is>
      </x:c>
      <x:c r="R198" s="81" t="inlineStr">
        <x:is>
          <x:t xml:space="preserve">Taoism</x:t>
        </x:is>
      </x:c>
      <x:c r="S198" s="81" t="inlineStr">
        <x:is>
          <x:t xml:space="preserve">道德經 / Tao Te Ching</x:t>
        </x:is>
      </x:c>
      <x:c r="T198" s="81" t="inlineStr">
        <x:is>
          <x:t xml:space="preserve">Chapter 54</x:t>
        </x:is>
      </x:c>
      <x:c r="U198" s="81" t="inlineStr">
        <x:is>
          <x:t xml:space="preserve">https://zh.wikisource.org/zh-hant/%E9%81%93%E5%BE%B7%E7%B6%93_(%E7%8E%8B%E5%BC%BC%E6%9C%AC)</x:t>
        </x:is>
      </x:c>
      <x:c r="V198" s="81" t="inlineStr">
        <x:is>
          <x:t xml:space="preserve">Primary text</x:t>
        </x:is>
      </x:c>
      <x:c r="W198" s="81" t="inlineStr">
        <x:is>
          <x:t xml:space="preserve">Working translation</x:t>
        </x:is>
      </x:c>
      <x:c r="X198" s="81" t="inlineStr">
        <x:is>
          <x:t xml:space="preserve">A - Primary source</x:t>
        </x:is>
      </x:c>
      <x:c r="Y198" s="81" t="inlineStr">
        <x:is>
          <x:t xml:space="preserve">Original Chinese checked against Wang Bi recension on Chinese Wikisource. Vietnamese is Selflo working translation, not a published translation.</x:t>
        </x:is>
      </x:c>
      <x:c r="Z198" s="81" t="inlineStr">
        <x:is>
          <x:t xml:space="preserve">Public domain / likely</x:t>
        </x:is>
      </x:c>
      <x:c r="AA198" s="81" t="inlineStr">
        <x:is>
          <x:t xml:space="preserve">Ancient source text; verify edition/jurisdiction before commercial publication.</x:t>
        </x:is>
      </x:c>
      <x:c r="AB198" s="81" t="inlineStr">
        <x:is>
          <x:t xml:space="preserve">High</x:t>
        </x:is>
      </x:c>
      <x:c r="AC198" s="81" t="inlineStr">
        <x:is>
          <x:t xml:space="preserve">Excellent anti-overgeneralization.</x:t>
        </x:is>
      </x:c>
      <x:c r="AD198" s="81" t="inlineStr">
        <x:is>
          <x:t xml:space="preserve">Needs editorial review</x:t>
        </x:is>
      </x:c>
      <x:c r="AE198" s="81" t="inlineStr">
        <x:is>
          <x:t xml:space="preserve">Needs semantic dedupe review</x:t>
        </x:is>
      </x:c>
      <x:c r="AF198" s="81" t="str"/>
      <x:c r="AG198" s="81" t="str"/>
      <x:c r="AH198" s="81" t="inlineStr">
        <x:is>
          <x:t xml:space="preserve">No</x:t>
        </x:is>
      </x:c>
      <x:c r="AI198" s="81" t="inlineStr">
        <x:is>
          <x:t xml:space="preserve">Not reviewed</x:t>
        </x:is>
      </x:c>
      <x:c r="AJ198" s="81" t="inlineStr">
        <x:is>
          <x:t xml:space="preserve">Research only</x:t>
        </x:is>
      </x:c>
      <x:c r="AK198" s="81" t="inlineStr">
        <x:is>
          <x:t xml:space="preserve">Research Pool</x:t>
        </x:is>
      </x:c>
      <x:c r="AL198" s="81" t="n">
        <x:v>3</x:v>
      </x:c>
      <x:c r="AM198" s="81" t="inlineStr">
        <x:is>
          <x:t xml:space="preserve">ChatGPT research</x:t>
        </x:is>
      </x:c>
      <x:c r="AN198" s="81" t="inlineStr">
        <x:is>
          <x:t xml:space="preserve">2026-09-18</x:t>
        </x:is>
      </x:c>
      <x:c r="AO198" s="81" t="inlineStr">
        <x:is>
          <x:t xml:space="preserve">Day 3 full-scope audit, chapters 51–81.</x:t>
        </x:is>
      </x:c>
    </x:row>
    <x:row r="199">
      <x:c r="A199" s="81" t="inlineStr">
        <x:is>
          <x:t xml:space="preserve">research.laozi.day3.ch54.017</x:t>
        </x:is>
      </x:c>
      <x:c r="B199" s="81" t="inlineStr">
        <x:is>
          <x:t xml:space="preserve">Collected</x:t>
        </x:is>
      </x:c>
      <x:c r="C199" s="81" t="inlineStr">
        <x:is>
          <x:t xml:space="preserve">AI &amp; tương lai</x:t>
        </x:is>
      </x:c>
      <x:c r="D199" s="81" t="inlineStr">
        <x:is>
          <x:t xml:space="preserve">Day 3 / Laozi 51–81</x:t>
        </x:is>
      </x:c>
      <x:c r="E199" s="81" t="str"/>
      <x:c r="F199" s="81" t="inlineStr">
        <x:is>
          <x:t xml:space="preserve">Đi từ quan sát cụ thể tới hiểu biết</x:t>
        </x:is>
      </x:c>
      <x:c r="G199" s="81" t="inlineStr">
        <x:is>
          <x:t xml:space="preserve">Judgment</x:t>
        </x:is>
      </x:c>
      <x:c r="H199" s="81" t="str"/>
      <x:c r="I199" s="81" t="str"/>
      <x:c r="J199" s="81" t="str"/>
      <x:c r="K199" s="81" t="inlineStr">
        <x:is>
          <x:t xml:space="preserve">Recognize</x:t>
        </x:is>
      </x:c>
      <x:c r="L199" s="81" t="inlineStr">
        <x:is>
          <x:t xml:space="preserve">Distinguish</x:t>
        </x:is>
      </x:c>
      <x:c r="M199" s="81" t="inlineStr">
        <x:is>
          <x:t xml:space="preserve">Trích đoạn triết học</x:t>
        </x:is>
      </x:c>
      <x:c r="N199" s="81" t="inlineStr">
        <x:is>
          <x:t xml:space="preserve">吾何以知天下然哉？以此。</x:t>
        </x:is>
      </x:c>
      <x:c r="O199" s="81" t="inlineStr">
        <x:is>
          <x:t xml:space="preserve">Classical Chinese (文言文)</x:t>
        </x:is>
      </x:c>
      <x:c r="P199" s="81" t="inlineStr">
        <x:is>
          <x:t xml:space="preserve">Ta biết điều rộng lớn ấy bằng cách nào? Bằng việc quan sát theo cách này.</x:t>
        </x:is>
      </x:c>
      <x:c r="Q199" s="81" t="inlineStr">
        <x:is>
          <x:t xml:space="preserve">Laozi / 老子</x:t>
        </x:is>
      </x:c>
      <x:c r="R199" s="81" t="inlineStr">
        <x:is>
          <x:t xml:space="preserve">Taoism</x:t>
        </x:is>
      </x:c>
      <x:c r="S199" s="81" t="inlineStr">
        <x:is>
          <x:t xml:space="preserve">道德經 / Tao Te Ching</x:t>
        </x:is>
      </x:c>
      <x:c r="T199" s="81" t="inlineStr">
        <x:is>
          <x:t xml:space="preserve">Chapter 54</x:t>
        </x:is>
      </x:c>
      <x:c r="U199" s="81" t="inlineStr">
        <x:is>
          <x:t xml:space="preserve">https://zh.wikisource.org/zh-hant/%E9%81%93%E5%BE%B7%E7%B6%93_(%E7%8E%8B%E5%BC%BC%E6%9C%AC)</x:t>
        </x:is>
      </x:c>
      <x:c r="V199" s="81" t="inlineStr">
        <x:is>
          <x:t xml:space="preserve">Primary text</x:t>
        </x:is>
      </x:c>
      <x:c r="W199" s="81" t="inlineStr">
        <x:is>
          <x:t xml:space="preserve">Working translation</x:t>
        </x:is>
      </x:c>
      <x:c r="X199" s="81" t="inlineStr">
        <x:is>
          <x:t xml:space="preserve">A - Primary source</x:t>
        </x:is>
      </x:c>
      <x:c r="Y199" s="81" t="inlineStr">
        <x:is>
          <x:t xml:space="preserve">Original Chinese checked against Wang Bi recension on Chinese Wikisource. Vietnamese is Selflo working translation, not a published translation.</x:t>
        </x:is>
      </x:c>
      <x:c r="Z199" s="81" t="inlineStr">
        <x:is>
          <x:t xml:space="preserve">Public domain / likely</x:t>
        </x:is>
      </x:c>
      <x:c r="AA199" s="81" t="inlineStr">
        <x:is>
          <x:t xml:space="preserve">Ancient source text; verify edition/jurisdiction before commercial publication.</x:t>
        </x:is>
      </x:c>
      <x:c r="AB199" s="81" t="inlineStr">
        <x:is>
          <x:t xml:space="preserve">Medium</x:t>
        </x:is>
      </x:c>
      <x:c r="AC199" s="81" t="inlineStr">
        <x:is>
          <x:t xml:space="preserve">Research epistemology.</x:t>
        </x:is>
      </x:c>
      <x:c r="AD199" s="81" t="inlineStr">
        <x:is>
          <x:t xml:space="preserve">Needs editorial review</x:t>
        </x:is>
      </x:c>
      <x:c r="AE199" s="81" t="inlineStr">
        <x:is>
          <x:t xml:space="preserve">Needs semantic dedupe review</x:t>
        </x:is>
      </x:c>
      <x:c r="AF199" s="81" t="str"/>
      <x:c r="AG199" s="81" t="str"/>
      <x:c r="AH199" s="81" t="inlineStr">
        <x:is>
          <x:t xml:space="preserve">No</x:t>
        </x:is>
      </x:c>
      <x:c r="AI199" s="81" t="inlineStr">
        <x:is>
          <x:t xml:space="preserve">Not reviewed</x:t>
        </x:is>
      </x:c>
      <x:c r="AJ199" s="81" t="inlineStr">
        <x:is>
          <x:t xml:space="preserve">Research only</x:t>
        </x:is>
      </x:c>
      <x:c r="AK199" s="81" t="inlineStr">
        <x:is>
          <x:t xml:space="preserve">Research Pool</x:t>
        </x:is>
      </x:c>
      <x:c r="AL199" s="81" t="n">
        <x:v>3</x:v>
      </x:c>
      <x:c r="AM199" s="81" t="inlineStr">
        <x:is>
          <x:t xml:space="preserve">ChatGPT research</x:t>
        </x:is>
      </x:c>
      <x:c r="AN199" s="81" t="inlineStr">
        <x:is>
          <x:t xml:space="preserve">2026-09-18</x:t>
        </x:is>
      </x:c>
      <x:c r="AO199" s="81" t="inlineStr">
        <x:is>
          <x:t xml:space="preserve">Day 3 full-scope audit, chapters 51–81.</x:t>
        </x:is>
      </x:c>
    </x:row>
    <x:row r="200">
      <x:c r="A200" s="81" t="inlineStr">
        <x:is>
          <x:t xml:space="preserve">research.laozi.day3.ch55.018</x:t>
        </x:is>
      </x:c>
      <x:c r="B200" s="81" t="inlineStr">
        <x:is>
          <x:t xml:space="preserve">Collected</x:t>
        </x:is>
      </x:c>
      <x:c r="C200" s="81" t="inlineStr">
        <x:is>
          <x:t xml:space="preserve">Nội tâm &amp; hiểu mình</x:t>
        </x:is>
      </x:c>
      <x:c r="D200" s="81" t="inlineStr">
        <x:is>
          <x:t xml:space="preserve">Day 3 / Laozi 51–81</x:t>
        </x:is>
      </x:c>
      <x:c r="E200" s="81" t="str"/>
      <x:c r="F200" s="81" t="inlineStr">
        <x:is>
          <x:t xml:space="preserve">Sự mềm và nguyên sơ như một hình ảnh của sức sống</x:t>
        </x:is>
      </x:c>
      <x:c r="G200" s="81" t="inlineStr">
        <x:is>
          <x:t xml:space="preserve">Strength</x:t>
        </x:is>
      </x:c>
      <x:c r="H200" s="81" t="str"/>
      <x:c r="I200" s="81" t="str"/>
      <x:c r="J200" s="81" t="str"/>
      <x:c r="K200" s="81" t="inlineStr">
        <x:is>
          <x:t xml:space="preserve">Reframe</x:t>
        </x:is>
      </x:c>
      <x:c r="L200" s="81" t="inlineStr">
        <x:is>
          <x:t xml:space="preserve">Distinguish</x:t>
        </x:is>
      </x:c>
      <x:c r="M200" s="81" t="inlineStr">
        <x:is>
          <x:t xml:space="preserve">Trích đoạn triết học</x:t>
        </x:is>
      </x:c>
      <x:c r="N200" s="81" t="inlineStr">
        <x:is>
          <x:t xml:space="preserve">含德之厚，比於赤子。</x:t>
        </x:is>
      </x:c>
      <x:c r="O200" s="81" t="inlineStr">
        <x:is>
          <x:t xml:space="preserve">Classical Chinese (文言文)</x:t>
        </x:is>
      </x:c>
      <x:c r="P200" s="81" t="inlineStr">
        <x:is>
          <x:t xml:space="preserve">Người giữ đức dày được ví với trẻ sơ sinh.</x:t>
        </x:is>
      </x:c>
      <x:c r="Q200" s="81" t="inlineStr">
        <x:is>
          <x:t xml:space="preserve">Laozi / 老子</x:t>
        </x:is>
      </x:c>
      <x:c r="R200" s="81" t="inlineStr">
        <x:is>
          <x:t xml:space="preserve">Taoism</x:t>
        </x:is>
      </x:c>
      <x:c r="S200" s="81" t="inlineStr">
        <x:is>
          <x:t xml:space="preserve">道德經 / Tao Te Ching</x:t>
        </x:is>
      </x:c>
      <x:c r="T200" s="81" t="inlineStr">
        <x:is>
          <x:t xml:space="preserve">Chapter 55</x:t>
        </x:is>
      </x:c>
      <x:c r="U200" s="81" t="inlineStr">
        <x:is>
          <x:t xml:space="preserve">https://zh.wikisource.org/zh-hant/%E9%81%93%E5%BE%B7%E7%B6%93_(%E7%8E%8B%E5%BC%BC%E6%9C%AC)</x:t>
        </x:is>
      </x:c>
      <x:c r="V200" s="81" t="inlineStr">
        <x:is>
          <x:t xml:space="preserve">Primary text</x:t>
        </x:is>
      </x:c>
      <x:c r="W200" s="81" t="inlineStr">
        <x:is>
          <x:t xml:space="preserve">Working translation</x:t>
        </x:is>
      </x:c>
      <x:c r="X200" s="81" t="inlineStr">
        <x:is>
          <x:t xml:space="preserve">A - Primary source</x:t>
        </x:is>
      </x:c>
      <x:c r="Y200" s="81" t="inlineStr">
        <x:is>
          <x:t xml:space="preserve">Original Chinese checked against Wang Bi recension on Chinese Wikisource. Vietnamese is Selflo working translation, not a published translation.</x:t>
        </x:is>
      </x:c>
      <x:c r="Z200" s="81" t="inlineStr">
        <x:is>
          <x:t xml:space="preserve">Public domain / likely</x:t>
        </x:is>
      </x:c>
      <x:c r="AA200" s="81" t="inlineStr">
        <x:is>
          <x:t xml:space="preserve">Ancient source text; verify edition/jurisdiction before commercial publication.</x:t>
        </x:is>
      </x:c>
      <x:c r="AB200" s="81" t="inlineStr">
        <x:is>
          <x:t xml:space="preserve">Medium</x:t>
        </x:is>
      </x:c>
      <x:c r="AC200" s="81" t="inlineStr">
        <x:is>
          <x:t xml:space="preserve">Không infantilize.</x:t>
        </x:is>
      </x:c>
      <x:c r="AD200" s="81" t="inlineStr">
        <x:is>
          <x:t xml:space="preserve">Needs editorial review</x:t>
        </x:is>
      </x:c>
      <x:c r="AE200" s="81" t="inlineStr">
        <x:is>
          <x:t xml:space="preserve">Needs semantic dedupe review</x:t>
        </x:is>
      </x:c>
      <x:c r="AF200" s="81" t="str"/>
      <x:c r="AG200" s="81" t="str"/>
      <x:c r="AH200" s="81" t="inlineStr">
        <x:is>
          <x:t xml:space="preserve">No</x:t>
        </x:is>
      </x:c>
      <x:c r="AI200" s="81" t="inlineStr">
        <x:is>
          <x:t xml:space="preserve">Not reviewed</x:t>
        </x:is>
      </x:c>
      <x:c r="AJ200" s="81" t="inlineStr">
        <x:is>
          <x:t xml:space="preserve">Research only</x:t>
        </x:is>
      </x:c>
      <x:c r="AK200" s="81" t="inlineStr">
        <x:is>
          <x:t xml:space="preserve">Research Pool</x:t>
        </x:is>
      </x:c>
      <x:c r="AL200" s="81" t="n">
        <x:v>3</x:v>
      </x:c>
      <x:c r="AM200" s="81" t="inlineStr">
        <x:is>
          <x:t xml:space="preserve">ChatGPT research</x:t>
        </x:is>
      </x:c>
      <x:c r="AN200" s="81" t="inlineStr">
        <x:is>
          <x:t xml:space="preserve">2026-09-18</x:t>
        </x:is>
      </x:c>
      <x:c r="AO200" s="81" t="inlineStr">
        <x:is>
          <x:t xml:space="preserve">Day 3 full-scope audit, chapters 51–81.</x:t>
        </x:is>
      </x:c>
    </x:row>
    <x:row r="201">
      <x:c r="A201" s="81" t="inlineStr">
        <x:is>
          <x:t xml:space="preserve">research.laozi.day3.ch55.019</x:t>
        </x:is>
      </x:c>
      <x:c r="B201" s="81" t="inlineStr">
        <x:is>
          <x:t xml:space="preserve">Collected</x:t>
        </x:is>
      </x:c>
      <x:c r="C201" s="81" t="inlineStr">
        <x:is>
          <x:t xml:space="preserve">Nội tâm &amp; hiểu mình</x:t>
        </x:is>
      </x:c>
      <x:c r="D201" s="81" t="inlineStr">
        <x:is>
          <x:t xml:space="preserve">Day 3 / Laozi 51–81</x:t>
        </x:is>
      </x:c>
      <x:c r="E201" s="81" t="str"/>
      <x:c r="F201" s="81" t="inlineStr">
        <x:is>
          <x:t xml:space="preserve">Mềm và chắc có thể cùng tồn tại</x:t>
        </x:is>
      </x:c>
      <x:c r="G201" s="81" t="inlineStr">
        <x:is>
          <x:t xml:space="preserve">Strength</x:t>
        </x:is>
      </x:c>
      <x:c r="H201" s="81" t="str"/>
      <x:c r="I201" s="81" t="str"/>
      <x:c r="J201" s="81" t="str"/>
      <x:c r="K201" s="81" t="inlineStr">
        <x:is>
          <x:t xml:space="preserve">Distinguish</x:t>
        </x:is>
      </x:c>
      <x:c r="L201" s="81" t="inlineStr">
        <x:is>
          <x:t xml:space="preserve">Recognize</x:t>
        </x:is>
      </x:c>
      <x:c r="M201" s="81" t="inlineStr">
        <x:is>
          <x:t xml:space="preserve">Trích đoạn triết học</x:t>
        </x:is>
      </x:c>
      <x:c r="N201" s="81" t="inlineStr">
        <x:is>
          <x:t xml:space="preserve">骨弱筋柔而握固。</x:t>
        </x:is>
      </x:c>
      <x:c r="O201" s="81" t="inlineStr">
        <x:is>
          <x:t xml:space="preserve">Classical Chinese (文言文)</x:t>
        </x:is>
      </x:c>
      <x:c r="P201" s="81" t="inlineStr">
        <x:is>
          <x:t xml:space="preserve">Xương còn yếu, gân còn mềm mà bàn tay vẫn nắm chắc.</x:t>
        </x:is>
      </x:c>
      <x:c r="Q201" s="81" t="inlineStr">
        <x:is>
          <x:t xml:space="preserve">Laozi / 老子</x:t>
        </x:is>
      </x:c>
      <x:c r="R201" s="81" t="inlineStr">
        <x:is>
          <x:t xml:space="preserve">Taoism</x:t>
        </x:is>
      </x:c>
      <x:c r="S201" s="81" t="inlineStr">
        <x:is>
          <x:t xml:space="preserve">道德經 / Tao Te Ching</x:t>
        </x:is>
      </x:c>
      <x:c r="T201" s="81" t="inlineStr">
        <x:is>
          <x:t xml:space="preserve">Chapter 55</x:t>
        </x:is>
      </x:c>
      <x:c r="U201" s="81" t="inlineStr">
        <x:is>
          <x:t xml:space="preserve">https://zh.wikisource.org/zh-hant/%E9%81%93%E5%BE%B7%E7%B6%93_(%E7%8E%8B%E5%BC%BC%E6%9C%AC)</x:t>
        </x:is>
      </x:c>
      <x:c r="V201" s="81" t="inlineStr">
        <x:is>
          <x:t xml:space="preserve">Primary text</x:t>
        </x:is>
      </x:c>
      <x:c r="W201" s="81" t="inlineStr">
        <x:is>
          <x:t xml:space="preserve">Working translation</x:t>
        </x:is>
      </x:c>
      <x:c r="X201" s="81" t="inlineStr">
        <x:is>
          <x:t xml:space="preserve">A - Primary source</x:t>
        </x:is>
      </x:c>
      <x:c r="Y201" s="81" t="inlineStr">
        <x:is>
          <x:t xml:space="preserve">Original Chinese checked against Wang Bi recension on Chinese Wikisource. Vietnamese is Selflo working translation, not a published translation.</x:t>
        </x:is>
      </x:c>
      <x:c r="Z201" s="81" t="inlineStr">
        <x:is>
          <x:t xml:space="preserve">Public domain / likely</x:t>
        </x:is>
      </x:c>
      <x:c r="AA201" s="81" t="inlineStr">
        <x:is>
          <x:t xml:space="preserve">Ancient source text; verify edition/jurisdiction before commercial publication.</x:t>
        </x:is>
      </x:c>
      <x:c r="AB201" s="81" t="inlineStr">
        <x:is>
          <x:t xml:space="preserve">High</x:t>
        </x:is>
      </x:c>
      <x:c r="AC201" s="81" t="inlineStr">
        <x:is>
          <x:t xml:space="preserve">Strong metaphor.</x:t>
        </x:is>
      </x:c>
      <x:c r="AD201" s="81" t="inlineStr">
        <x:is>
          <x:t xml:space="preserve">Needs editorial review</x:t>
        </x:is>
      </x:c>
      <x:c r="AE201" s="81" t="inlineStr">
        <x:is>
          <x:t xml:space="preserve">Needs semantic dedupe review</x:t>
        </x:is>
      </x:c>
      <x:c r="AF201" s="81" t="str"/>
      <x:c r="AG201" s="81" t="str"/>
      <x:c r="AH201" s="81" t="inlineStr">
        <x:is>
          <x:t xml:space="preserve">No</x:t>
        </x:is>
      </x:c>
      <x:c r="AI201" s="81" t="inlineStr">
        <x:is>
          <x:t xml:space="preserve">Not reviewed</x:t>
        </x:is>
      </x:c>
      <x:c r="AJ201" s="81" t="inlineStr">
        <x:is>
          <x:t xml:space="preserve">Research only</x:t>
        </x:is>
      </x:c>
      <x:c r="AK201" s="81" t="inlineStr">
        <x:is>
          <x:t xml:space="preserve">Research Pool</x:t>
        </x:is>
      </x:c>
      <x:c r="AL201" s="81" t="n">
        <x:v>3</x:v>
      </x:c>
      <x:c r="AM201" s="81" t="inlineStr">
        <x:is>
          <x:t xml:space="preserve">ChatGPT research</x:t>
        </x:is>
      </x:c>
      <x:c r="AN201" s="81" t="inlineStr">
        <x:is>
          <x:t xml:space="preserve">2026-09-18</x:t>
        </x:is>
      </x:c>
      <x:c r="AO201" s="81" t="inlineStr">
        <x:is>
          <x:t xml:space="preserve">Day 3 full-scope audit, chapters 51–81.</x:t>
        </x:is>
      </x:c>
    </x:row>
    <x:row r="202">
      <x:c r="A202" s="81" t="inlineStr">
        <x:is>
          <x:t xml:space="preserve">research.laozi.day3.ch55.020</x:t>
        </x:is>
      </x:c>
      <x:c r="B202" s="81" t="inlineStr">
        <x:is>
          <x:t xml:space="preserve">Collected</x:t>
        </x:is>
      </x:c>
      <x:c r="C202" s="81" t="inlineStr">
        <x:is>
          <x:t xml:space="preserve">Nghỉ ngơi &amp; sức khỏe tinh thần</x:t>
        </x:is>
      </x:c>
      <x:c r="D202" s="81" t="inlineStr">
        <x:is>
          <x:t xml:space="preserve">Day 3 / Laozi 51–81</x:t>
        </x:is>
      </x:c>
      <x:c r="E202" s="81" t="str"/>
      <x:c r="F202" s="81" t="inlineStr">
        <x:is>
          <x:t xml:space="preserve">Sức bền có thể đến từ ít cưỡng ép</x:t>
        </x:is>
      </x:c>
      <x:c r="G202" s="81" t="inlineStr">
        <x:is>
          <x:t xml:space="preserve">Sustainability</x:t>
        </x:is>
      </x:c>
      <x:c r="H202" s="81" t="str"/>
      <x:c r="I202" s="81" t="str"/>
      <x:c r="J202" s="81" t="str"/>
      <x:c r="K202" s="81" t="inlineStr">
        <x:is>
          <x:t xml:space="preserve">Reframe</x:t>
        </x:is>
      </x:c>
      <x:c r="L202" s="81" t="inlineStr">
        <x:is>
          <x:t xml:space="preserve">Distinguish</x:t>
        </x:is>
      </x:c>
      <x:c r="M202" s="81" t="inlineStr">
        <x:is>
          <x:t xml:space="preserve">Trích đoạn triết học</x:t>
        </x:is>
      </x:c>
      <x:c r="N202" s="81" t="inlineStr">
        <x:is>
          <x:t xml:space="preserve">終日號而不嗄，和之至也。</x:t>
        </x:is>
      </x:c>
      <x:c r="O202" s="81" t="inlineStr">
        <x:is>
          <x:t xml:space="preserve">Classical Chinese (文言文)</x:t>
        </x:is>
      </x:c>
      <x:c r="P202" s="81" t="inlineStr">
        <x:is>
          <x:t xml:space="preserve">Khóc cả ngày mà tiếng không khản — văn bản dùng như hình ảnh của một sự hòa hợp tự nhiên.</x:t>
        </x:is>
      </x:c>
      <x:c r="Q202" s="81" t="inlineStr">
        <x:is>
          <x:t xml:space="preserve">Laozi / 老子</x:t>
        </x:is>
      </x:c>
      <x:c r="R202" s="81" t="inlineStr">
        <x:is>
          <x:t xml:space="preserve">Taoism</x:t>
        </x:is>
      </x:c>
      <x:c r="S202" s="81" t="inlineStr">
        <x:is>
          <x:t xml:space="preserve">道德經 / Tao Te Ching</x:t>
        </x:is>
      </x:c>
      <x:c r="T202" s="81" t="inlineStr">
        <x:is>
          <x:t xml:space="preserve">Chapter 55</x:t>
        </x:is>
      </x:c>
      <x:c r="U202" s="81" t="inlineStr">
        <x:is>
          <x:t xml:space="preserve">https://zh.wikisource.org/zh-hant/%E9%81%93%E5%BE%B7%E7%B6%93_(%E7%8E%8B%E5%BC%BC%E6%9C%AC)</x:t>
        </x:is>
      </x:c>
      <x:c r="V202" s="81" t="inlineStr">
        <x:is>
          <x:t xml:space="preserve">Primary text</x:t>
        </x:is>
      </x:c>
      <x:c r="W202" s="81" t="inlineStr">
        <x:is>
          <x:t xml:space="preserve">Working translation</x:t>
        </x:is>
      </x:c>
      <x:c r="X202" s="81" t="inlineStr">
        <x:is>
          <x:t xml:space="preserve">A - Primary source</x:t>
        </x:is>
      </x:c>
      <x:c r="Y202" s="81" t="inlineStr">
        <x:is>
          <x:t xml:space="preserve">Original Chinese checked against Wang Bi recension on Chinese Wikisource. Vietnamese is Selflo working translation, not a published translation.</x:t>
        </x:is>
      </x:c>
      <x:c r="Z202" s="81" t="inlineStr">
        <x:is>
          <x:t xml:space="preserve">Public domain / likely</x:t>
        </x:is>
      </x:c>
      <x:c r="AA202" s="81" t="inlineStr">
        <x:is>
          <x:t xml:space="preserve">Ancient source text; verify edition/jurisdiction before commercial publication.</x:t>
        </x:is>
      </x:c>
      <x:c r="AB202" s="81" t="inlineStr">
        <x:is>
          <x:t xml:space="preserve">Medium</x:t>
        </x:is>
      </x:c>
      <x:c r="AC202" s="81" t="inlineStr">
        <x:is>
          <x:t xml:space="preserve">Ancient physiology; không dùng làm health claim.</x:t>
        </x:is>
      </x:c>
      <x:c r="AD202" s="81" t="inlineStr">
        <x:is>
          <x:t xml:space="preserve">Needs editorial review</x:t>
        </x:is>
      </x:c>
      <x:c r="AE202" s="81" t="inlineStr">
        <x:is>
          <x:t xml:space="preserve">Needs semantic dedupe review</x:t>
        </x:is>
      </x:c>
      <x:c r="AF202" s="81" t="str"/>
      <x:c r="AG202" s="81" t="str"/>
      <x:c r="AH202" s="81" t="inlineStr">
        <x:is>
          <x:t xml:space="preserve">No</x:t>
        </x:is>
      </x:c>
      <x:c r="AI202" s="81" t="inlineStr">
        <x:is>
          <x:t xml:space="preserve">Not reviewed</x:t>
        </x:is>
      </x:c>
      <x:c r="AJ202" s="81" t="inlineStr">
        <x:is>
          <x:t xml:space="preserve">Research only</x:t>
        </x:is>
      </x:c>
      <x:c r="AK202" s="81" t="inlineStr">
        <x:is>
          <x:t xml:space="preserve">Research Pool</x:t>
        </x:is>
      </x:c>
      <x:c r="AL202" s="81" t="n">
        <x:v>3</x:v>
      </x:c>
      <x:c r="AM202" s="81" t="inlineStr">
        <x:is>
          <x:t xml:space="preserve">ChatGPT research</x:t>
        </x:is>
      </x:c>
      <x:c r="AN202" s="81" t="inlineStr">
        <x:is>
          <x:t xml:space="preserve">2026-09-18</x:t>
        </x:is>
      </x:c>
      <x:c r="AO202" s="81" t="inlineStr">
        <x:is>
          <x:t xml:space="preserve">Day 3 full-scope audit, chapters 51–81.</x:t>
        </x:is>
      </x:c>
    </x:row>
    <x:row r="203">
      <x:c r="A203" s="81" t="inlineStr">
        <x:is>
          <x:t xml:space="preserve">research.laozi.day3.ch55.021</x:t>
        </x:is>
      </x:c>
      <x:c r="B203" s="81" t="inlineStr">
        <x:is>
          <x:t xml:space="preserve">Collected</x:t>
        </x:is>
      </x:c>
      <x:c r="C203" s="81" t="inlineStr">
        <x:is>
          <x:t xml:space="preserve">AI &amp; tương lai</x:t>
        </x:is>
      </x:c>
      <x:c r="D203" s="81" t="inlineStr">
        <x:is>
          <x:t xml:space="preserve">Day 3 / Laozi 51–81</x:t>
        </x:is>
      </x:c>
      <x:c r="E203" s="81" t="str"/>
      <x:c r="F203" s="81" t="inlineStr">
        <x:is>
          <x:t xml:space="preserve">Nhận ra điều bền trong sự cân bằng</x:t>
        </x:is>
      </x:c>
      <x:c r="G203" s="81" t="inlineStr">
        <x:is>
          <x:t xml:space="preserve">Judgment</x:t>
        </x:is>
      </x:c>
      <x:c r="H203" s="81" t="str"/>
      <x:c r="I203" s="81" t="str"/>
      <x:c r="J203" s="81" t="str"/>
      <x:c r="K203" s="81" t="inlineStr">
        <x:is>
          <x:t xml:space="preserve">Recognize</x:t>
        </x:is>
      </x:c>
      <x:c r="L203" s="81" t="inlineStr">
        <x:is>
          <x:t xml:space="preserve">Distinguish</x:t>
        </x:is>
      </x:c>
      <x:c r="M203" s="81" t="inlineStr">
        <x:is>
          <x:t xml:space="preserve">Trích đoạn triết học</x:t>
        </x:is>
      </x:c>
      <x:c r="N203" s="81" t="inlineStr">
        <x:is>
          <x:t xml:space="preserve">知和曰常，知常曰明。</x:t>
        </x:is>
      </x:c>
      <x:c r="O203" s="81" t="inlineStr">
        <x:is>
          <x:t xml:space="preserve">Classical Chinese (文言文)</x:t>
        </x:is>
      </x:c>
      <x:c r="P203" s="81" t="inlineStr">
        <x:is>
          <x:t xml:space="preserve">Biết sự hòa hợp gọi là biết điều bền; biết điều bền gọi là sáng.</x:t>
        </x:is>
      </x:c>
      <x:c r="Q203" s="81" t="inlineStr">
        <x:is>
          <x:t xml:space="preserve">Laozi / 老子</x:t>
        </x:is>
      </x:c>
      <x:c r="R203" s="81" t="inlineStr">
        <x:is>
          <x:t xml:space="preserve">Taoism</x:t>
        </x:is>
      </x:c>
      <x:c r="S203" s="81" t="inlineStr">
        <x:is>
          <x:t xml:space="preserve">道德經 / Tao Te Ching</x:t>
        </x:is>
      </x:c>
      <x:c r="T203" s="81" t="inlineStr">
        <x:is>
          <x:t xml:space="preserve">Chapter 55</x:t>
        </x:is>
      </x:c>
      <x:c r="U203" s="81" t="inlineStr">
        <x:is>
          <x:t xml:space="preserve">https://zh.wikisource.org/zh-hant/%E9%81%93%E5%BE%B7%E7%B6%93_(%E7%8E%8B%E5%BC%BC%E6%9C%AC)</x:t>
        </x:is>
      </x:c>
      <x:c r="V203" s="81" t="inlineStr">
        <x:is>
          <x:t xml:space="preserve">Primary text</x:t>
        </x:is>
      </x:c>
      <x:c r="W203" s="81" t="inlineStr">
        <x:is>
          <x:t xml:space="preserve">Working translation</x:t>
        </x:is>
      </x:c>
      <x:c r="X203" s="81" t="inlineStr">
        <x:is>
          <x:t xml:space="preserve">A - Primary source</x:t>
        </x:is>
      </x:c>
      <x:c r="Y203" s="81" t="inlineStr">
        <x:is>
          <x:t xml:space="preserve">Original Chinese checked against Wang Bi recension on Chinese Wikisource. Vietnamese is Selflo working translation, not a published translation.</x:t>
        </x:is>
      </x:c>
      <x:c r="Z203" s="81" t="inlineStr">
        <x:is>
          <x:t xml:space="preserve">Public domain / likely</x:t>
        </x:is>
      </x:c>
      <x:c r="AA203" s="81" t="inlineStr">
        <x:is>
          <x:t xml:space="preserve">Ancient source text; verify edition/jurisdiction before commercial publication.</x:t>
        </x:is>
      </x:c>
      <x:c r="AB203" s="81" t="inlineStr">
        <x:is>
          <x:t xml:space="preserve">High</x:t>
        </x:is>
      </x:c>
      <x:c r="AC203" s="81" t="inlineStr">
        <x:is>
          <x:t xml:space="preserve">Gần docs nguyên lý bền.</x:t>
        </x:is>
      </x:c>
      <x:c r="AD203" s="81" t="inlineStr">
        <x:is>
          <x:t xml:space="preserve">Needs editorial review</x:t>
        </x:is>
      </x:c>
      <x:c r="AE203" s="81" t="inlineStr">
        <x:is>
          <x:t xml:space="preserve">Needs semantic dedupe review</x:t>
        </x:is>
      </x:c>
      <x:c r="AF203" s="81" t="str"/>
      <x:c r="AG203" s="81" t="str"/>
      <x:c r="AH203" s="81" t="inlineStr">
        <x:is>
          <x:t xml:space="preserve">No</x:t>
        </x:is>
      </x:c>
      <x:c r="AI203" s="81" t="inlineStr">
        <x:is>
          <x:t xml:space="preserve">Not reviewed</x:t>
        </x:is>
      </x:c>
      <x:c r="AJ203" s="81" t="inlineStr">
        <x:is>
          <x:t xml:space="preserve">Research only</x:t>
        </x:is>
      </x:c>
      <x:c r="AK203" s="81" t="inlineStr">
        <x:is>
          <x:t xml:space="preserve">Research Pool</x:t>
        </x:is>
      </x:c>
      <x:c r="AL203" s="81" t="n">
        <x:v>3</x:v>
      </x:c>
      <x:c r="AM203" s="81" t="inlineStr">
        <x:is>
          <x:t xml:space="preserve">ChatGPT research</x:t>
        </x:is>
      </x:c>
      <x:c r="AN203" s="81" t="inlineStr">
        <x:is>
          <x:t xml:space="preserve">2026-09-18</x:t>
        </x:is>
      </x:c>
      <x:c r="AO203" s="81" t="inlineStr">
        <x:is>
          <x:t xml:space="preserve">Day 3 full-scope audit, chapters 51–81.</x:t>
        </x:is>
      </x:c>
    </x:row>
    <x:row r="204">
      <x:c r="A204" s="81" t="inlineStr">
        <x:is>
          <x:t xml:space="preserve">research.laozi.day3.ch55.022</x:t>
        </x:is>
      </x:c>
      <x:c r="B204" s="81" t="inlineStr">
        <x:is>
          <x:t xml:space="preserve">Collected</x:t>
        </x:is>
      </x:c>
      <x:c r="C204" s="81" t="inlineStr">
        <x:is>
          <x:t xml:space="preserve">Nghỉ ngơi &amp; sức khỏe tinh thần</x:t>
        </x:is>
      </x:c>
      <x:c r="D204" s="81" t="inlineStr">
        <x:is>
          <x:t xml:space="preserve">Day 3 / Laozi 51–81</x:t>
        </x:is>
      </x:c>
      <x:c r="E204" s="81" t="str"/>
      <x:c r="F204" s="81" t="inlineStr">
        <x:is>
          <x:t xml:space="preserve">Cưỡng tăng cường có thể phản tác dụng</x:t>
        </x:is>
      </x:c>
      <x:c r="G204" s="81" t="inlineStr">
        <x:is>
          <x:t xml:space="preserve">Limits</x:t>
        </x:is>
      </x:c>
      <x:c r="H204" s="81" t="str"/>
      <x:c r="I204" s="81" t="str"/>
      <x:c r="J204" s="81" t="str"/>
      <x:c r="K204" s="81" t="inlineStr">
        <x:is>
          <x:t xml:space="preserve">Reframe</x:t>
        </x:is>
      </x:c>
      <x:c r="L204" s="81" t="inlineStr">
        <x:is>
          <x:t xml:space="preserve">Distinguish</x:t>
        </x:is>
      </x:c>
      <x:c r="M204" s="81" t="inlineStr">
        <x:is>
          <x:t xml:space="preserve">Trích đoạn triết học</x:t>
        </x:is>
      </x:c>
      <x:c r="N204" s="81" t="inlineStr">
        <x:is>
          <x:t xml:space="preserve">益生曰祥，心使氣曰強。</x:t>
        </x:is>
      </x:c>
      <x:c r="O204" s="81" t="inlineStr">
        <x:is>
          <x:t xml:space="preserve">Classical Chinese (文言文)</x:t>
        </x:is>
      </x:c>
      <x:c r="P204" s="81" t="inlineStr">
        <x:is>
          <x:t xml:space="preserve">Cố làm sự sống 'nhiều hơn' và dùng ý chí cưỡng khí được văn bản cảnh báo như một dạng quá sức.</x:t>
        </x:is>
      </x:c>
      <x:c r="Q204" s="81" t="inlineStr">
        <x:is>
          <x:t xml:space="preserve">Laozi / 老子</x:t>
        </x:is>
      </x:c>
      <x:c r="R204" s="81" t="inlineStr">
        <x:is>
          <x:t xml:space="preserve">Taoism</x:t>
        </x:is>
      </x:c>
      <x:c r="S204" s="81" t="inlineStr">
        <x:is>
          <x:t xml:space="preserve">道德經 / Tao Te Ching</x:t>
        </x:is>
      </x:c>
      <x:c r="T204" s="81" t="inlineStr">
        <x:is>
          <x:t xml:space="preserve">Chapter 55</x:t>
        </x:is>
      </x:c>
      <x:c r="U204" s="81" t="inlineStr">
        <x:is>
          <x:t xml:space="preserve">https://zh.wikisource.org/zh-hant/%E9%81%93%E5%BE%B7%E7%B6%93_(%E7%8E%8B%E5%BC%BC%E6%9C%AC)</x:t>
        </x:is>
      </x:c>
      <x:c r="V204" s="81" t="inlineStr">
        <x:is>
          <x:t xml:space="preserve">Primary text</x:t>
        </x:is>
      </x:c>
      <x:c r="W204" s="81" t="inlineStr">
        <x:is>
          <x:t xml:space="preserve">Working translation</x:t>
        </x:is>
      </x:c>
      <x:c r="X204" s="81" t="inlineStr">
        <x:is>
          <x:t xml:space="preserve">A - Primary source</x:t>
        </x:is>
      </x:c>
      <x:c r="Y204" s="81" t="inlineStr">
        <x:is>
          <x:t xml:space="preserve">Original Chinese checked against Wang Bi recension on Chinese Wikisource. Vietnamese is Selflo working translation, not a published translation.</x:t>
        </x:is>
      </x:c>
      <x:c r="Z204" s="81" t="inlineStr">
        <x:is>
          <x:t xml:space="preserve">Public domain / likely</x:t>
        </x:is>
      </x:c>
      <x:c r="AA204" s="81" t="inlineStr">
        <x:is>
          <x:t xml:space="preserve">Ancient source text; verify edition/jurisdiction before commercial publication.</x:t>
        </x:is>
      </x:c>
      <x:c r="AB204" s="81" t="inlineStr">
        <x:is>
          <x:t xml:space="preserve">Medium</x:t>
        </x:is>
      </x:c>
      <x:c r="AC204" s="81" t="inlineStr">
        <x:is>
          <x:t xml:space="preserve">Cổ nghĩa/health; research only.</x:t>
        </x:is>
      </x:c>
      <x:c r="AD204" s="81" t="inlineStr">
        <x:is>
          <x:t xml:space="preserve">Needs editorial review</x:t>
        </x:is>
      </x:c>
      <x:c r="AE204" s="81" t="inlineStr">
        <x:is>
          <x:t xml:space="preserve">Needs semantic dedupe review</x:t>
        </x:is>
      </x:c>
      <x:c r="AF204" s="81" t="str"/>
      <x:c r="AG204" s="81" t="str"/>
      <x:c r="AH204" s="81" t="inlineStr">
        <x:is>
          <x:t xml:space="preserve">No</x:t>
        </x:is>
      </x:c>
      <x:c r="AI204" s="81" t="inlineStr">
        <x:is>
          <x:t xml:space="preserve">Not reviewed</x:t>
        </x:is>
      </x:c>
      <x:c r="AJ204" s="81" t="inlineStr">
        <x:is>
          <x:t xml:space="preserve">Research only</x:t>
        </x:is>
      </x:c>
      <x:c r="AK204" s="81" t="inlineStr">
        <x:is>
          <x:t xml:space="preserve">Research Pool</x:t>
        </x:is>
      </x:c>
      <x:c r="AL204" s="81" t="n">
        <x:v>3</x:v>
      </x:c>
      <x:c r="AM204" s="81" t="inlineStr">
        <x:is>
          <x:t xml:space="preserve">ChatGPT research</x:t>
        </x:is>
      </x:c>
      <x:c r="AN204" s="81" t="inlineStr">
        <x:is>
          <x:t xml:space="preserve">2026-09-18</x:t>
        </x:is>
      </x:c>
      <x:c r="AO204" s="81" t="inlineStr">
        <x:is>
          <x:t xml:space="preserve">Day 3 full-scope audit, chapters 51–81.</x:t>
        </x:is>
      </x:c>
    </x:row>
    <x:row r="205">
      <x:c r="A205" s="81" t="inlineStr">
        <x:is>
          <x:t xml:space="preserve">research.laozi.day3.ch55.023</x:t>
        </x:is>
      </x:c>
      <x:c r="B205" s="81" t="inlineStr">
        <x:is>
          <x:t xml:space="preserve">Collected</x:t>
        </x:is>
      </x:c>
      <x:c r="C205" s="81" t="inlineStr">
        <x:is>
          <x:t xml:space="preserve">Nội tâm &amp; hiểu mình</x:t>
        </x:is>
      </x:c>
      <x:c r="D205" s="81" t="inlineStr">
        <x:is>
          <x:t xml:space="preserve">Day 3 / Laozi 51–81</x:t>
        </x:is>
      </x:c>
      <x:c r="E205" s="81" t="str"/>
      <x:c r="F205" s="81" t="inlineStr">
        <x:is>
          <x:t xml:space="preserve">Cường độ không thể tăng mãi</x:t>
        </x:is>
      </x:c>
      <x:c r="G205" s="81" t="inlineStr">
        <x:is>
          <x:t xml:space="preserve">Impermanence</x:t>
        </x:is>
      </x:c>
      <x:c r="H205" s="81" t="str"/>
      <x:c r="I205" s="81" t="str"/>
      <x:c r="J205" s="81" t="str"/>
      <x:c r="K205" s="81" t="inlineStr">
        <x:is>
          <x:t xml:space="preserve">Recognize</x:t>
        </x:is>
      </x:c>
      <x:c r="L205" s="81" t="inlineStr">
        <x:is>
          <x:t xml:space="preserve">Distinguish</x:t>
        </x:is>
      </x:c>
      <x:c r="M205" s="81" t="inlineStr">
        <x:is>
          <x:t xml:space="preserve">Trích đoạn triết học</x:t>
        </x:is>
      </x:c>
      <x:c r="N205" s="81" t="inlineStr">
        <x:is>
          <x:t xml:space="preserve">物壯則老。</x:t>
        </x:is>
      </x:c>
      <x:c r="O205" s="81" t="inlineStr">
        <x:is>
          <x:t xml:space="preserve">Classical Chinese (文言文)</x:t>
        </x:is>
      </x:c>
      <x:c r="P205" s="81" t="inlineStr">
        <x:is>
          <x:t xml:space="preserve">Điều bị đẩy đến cực mạnh rồi cũng đi về suy.</x:t>
        </x:is>
      </x:c>
      <x:c r="Q205" s="81" t="inlineStr">
        <x:is>
          <x:t xml:space="preserve">Laozi / 老子</x:t>
        </x:is>
      </x:c>
      <x:c r="R205" s="81" t="inlineStr">
        <x:is>
          <x:t xml:space="preserve">Taoism</x:t>
        </x:is>
      </x:c>
      <x:c r="S205" s="81" t="inlineStr">
        <x:is>
          <x:t xml:space="preserve">道德經 / Tao Te Ching</x:t>
        </x:is>
      </x:c>
      <x:c r="T205" s="81" t="inlineStr">
        <x:is>
          <x:t xml:space="preserve">Chapter 55</x:t>
        </x:is>
      </x:c>
      <x:c r="U205" s="81" t="inlineStr">
        <x:is>
          <x:t xml:space="preserve">https://zh.wikisource.org/zh-hant/%E9%81%93%E5%BE%B7%E7%B6%93_(%E7%8E%8B%E5%BC%BC%E6%9C%AC)</x:t>
        </x:is>
      </x:c>
      <x:c r="V205" s="81" t="inlineStr">
        <x:is>
          <x:t xml:space="preserve">Primary text</x:t>
        </x:is>
      </x:c>
      <x:c r="W205" s="81" t="inlineStr">
        <x:is>
          <x:t xml:space="preserve">Working translation</x:t>
        </x:is>
      </x:c>
      <x:c r="X205" s="81" t="inlineStr">
        <x:is>
          <x:t xml:space="preserve">A - Primary source</x:t>
        </x:is>
      </x:c>
      <x:c r="Y205" s="81" t="inlineStr">
        <x:is>
          <x:t xml:space="preserve">Original Chinese checked against Wang Bi recension on Chinese Wikisource. Vietnamese is Selflo working translation, not a published translation.</x:t>
        </x:is>
      </x:c>
      <x:c r="Z205" s="81" t="inlineStr">
        <x:is>
          <x:t xml:space="preserve">Public domain / likely</x:t>
        </x:is>
      </x:c>
      <x:c r="AA205" s="81" t="inlineStr">
        <x:is>
          <x:t xml:space="preserve">Ancient source text; verify edition/jurisdiction before commercial publication.</x:t>
        </x:is>
      </x:c>
      <x:c r="AB205" s="81" t="inlineStr">
        <x:is>
          <x:t xml:space="preserve">High</x:t>
        </x:is>
      </x:c>
      <x:c r="AC205" s="81" t="inlineStr">
        <x:is>
          <x:t xml:space="preserve">Dedupe ch30.</x:t>
        </x:is>
      </x:c>
      <x:c r="AD205" s="81" t="inlineStr">
        <x:is>
          <x:t xml:space="preserve">Needs editorial review</x:t>
        </x:is>
      </x:c>
      <x:c r="AE205" s="81" t="inlineStr">
        <x:is>
          <x:t xml:space="preserve">Needs semantic dedupe review</x:t>
        </x:is>
      </x:c>
      <x:c r="AF205" s="81" t="str"/>
      <x:c r="AG205" s="81" t="str"/>
      <x:c r="AH205" s="81" t="inlineStr">
        <x:is>
          <x:t xml:space="preserve">No</x:t>
        </x:is>
      </x:c>
      <x:c r="AI205" s="81" t="inlineStr">
        <x:is>
          <x:t xml:space="preserve">Not reviewed</x:t>
        </x:is>
      </x:c>
      <x:c r="AJ205" s="81" t="inlineStr">
        <x:is>
          <x:t xml:space="preserve">Research only</x:t>
        </x:is>
      </x:c>
      <x:c r="AK205" s="81" t="inlineStr">
        <x:is>
          <x:t xml:space="preserve">Research Pool</x:t>
        </x:is>
      </x:c>
      <x:c r="AL205" s="81" t="n">
        <x:v>3</x:v>
      </x:c>
      <x:c r="AM205" s="81" t="inlineStr">
        <x:is>
          <x:t xml:space="preserve">ChatGPT research</x:t>
        </x:is>
      </x:c>
      <x:c r="AN205" s="81" t="inlineStr">
        <x:is>
          <x:t xml:space="preserve">2026-09-18</x:t>
        </x:is>
      </x:c>
      <x:c r="AO205" s="81" t="inlineStr">
        <x:is>
          <x:t xml:space="preserve">Day 3 full-scope audit, chapters 51–81.</x:t>
        </x:is>
      </x:c>
    </x:row>
    <x:row r="206">
      <x:c r="A206" s="81" t="inlineStr">
        <x:is>
          <x:t xml:space="preserve">research.laozi.day3.ch56.024</x:t>
        </x:is>
      </x:c>
      <x:c r="B206" s="81" t="inlineStr">
        <x:is>
          <x:t xml:space="preserve">Collected</x:t>
        </x:is>
      </x:c>
      <x:c r="C206" s="81" t="inlineStr">
        <x:is>
          <x:t xml:space="preserve">AI &amp; tương lai</x:t>
        </x:is>
      </x:c>
      <x:c r="D206" s="81" t="inlineStr">
        <x:is>
          <x:t xml:space="preserve">Day 3 / Laozi 51–81</x:t>
        </x:is>
      </x:c>
      <x:c r="E206" s="81" t="str"/>
      <x:c r="F206" s="81" t="inlineStr">
        <x:is>
          <x:t xml:space="preserve">Lượng lời không đồng nghĩa chiều sâu hiểu biết</x:t>
        </x:is>
      </x:c>
      <x:c r="G206" s="81" t="inlineStr">
        <x:is>
          <x:t xml:space="preserve">Judgment</x:t>
        </x:is>
      </x:c>
      <x:c r="H206" s="81" t="str"/>
      <x:c r="I206" s="81" t="str"/>
      <x:c r="J206" s="81" t="str"/>
      <x:c r="K206" s="81" t="inlineStr">
        <x:is>
          <x:t xml:space="preserve">Distinguish</x:t>
        </x:is>
      </x:c>
      <x:c r="L206" s="81" t="inlineStr">
        <x:is>
          <x:t xml:space="preserve">Recognize</x:t>
        </x:is>
      </x:c>
      <x:c r="M206" s="81" t="inlineStr">
        <x:is>
          <x:t xml:space="preserve">Trích đoạn triết học</x:t>
        </x:is>
      </x:c>
      <x:c r="N206" s="81" t="inlineStr">
        <x:is>
          <x:t xml:space="preserve">知者不言，言者不知。</x:t>
        </x:is>
      </x:c>
      <x:c r="O206" s="81" t="inlineStr">
        <x:is>
          <x:t xml:space="preserve">Classical Chinese (文言文)</x:t>
        </x:is>
      </x:c>
      <x:c r="P206" s="81" t="inlineStr">
        <x:is>
          <x:t xml:space="preserve">Người biết không nhất thiết nói nhiều; người nói nhiều không vì thế mà biết.</x:t>
        </x:is>
      </x:c>
      <x:c r="Q206" s="81" t="inlineStr">
        <x:is>
          <x:t xml:space="preserve">Laozi / 老子</x:t>
        </x:is>
      </x:c>
      <x:c r="R206" s="81" t="inlineStr">
        <x:is>
          <x:t xml:space="preserve">Taoism</x:t>
        </x:is>
      </x:c>
      <x:c r="S206" s="81" t="inlineStr">
        <x:is>
          <x:t xml:space="preserve">道德經 / Tao Te Ching</x:t>
        </x:is>
      </x:c>
      <x:c r="T206" s="81" t="inlineStr">
        <x:is>
          <x:t xml:space="preserve">Chapter 56</x:t>
        </x:is>
      </x:c>
      <x:c r="U206" s="81" t="inlineStr">
        <x:is>
          <x:t xml:space="preserve">https://zh.wikisource.org/zh-hant/%E9%81%93%E5%BE%B7%E7%B6%93_(%E7%8E%8B%E5%BC%BC%E6%9C%AC)</x:t>
        </x:is>
      </x:c>
      <x:c r="V206" s="81" t="inlineStr">
        <x:is>
          <x:t xml:space="preserve">Primary text</x:t>
        </x:is>
      </x:c>
      <x:c r="W206" s="81" t="inlineStr">
        <x:is>
          <x:t xml:space="preserve">Working translation</x:t>
        </x:is>
      </x:c>
      <x:c r="X206" s="81" t="inlineStr">
        <x:is>
          <x:t xml:space="preserve">A - Primary source</x:t>
        </x:is>
      </x:c>
      <x:c r="Y206" s="81" t="inlineStr">
        <x:is>
          <x:t xml:space="preserve">Original Chinese checked against Wang Bi recension on Chinese Wikisource. Vietnamese is Selflo working translation, not a published translation.</x:t>
        </x:is>
      </x:c>
      <x:c r="Z206" s="81" t="inlineStr">
        <x:is>
          <x:t xml:space="preserve">Public domain / likely</x:t>
        </x:is>
      </x:c>
      <x:c r="AA206" s="81" t="inlineStr">
        <x:is>
          <x:t xml:space="preserve">Ancient source text; verify edition/jurisdiction before commercial publication.</x:t>
        </x:is>
      </x:c>
      <x:c r="AB206" s="81" t="inlineStr">
        <x:is>
          <x:t xml:space="preserve">High</x:t>
        </x:is>
      </x:c>
      <x:c r="AC206" s="81" t="inlineStr">
        <x:is>
          <x:t xml:space="preserve">AI answer abundance.</x:t>
        </x:is>
      </x:c>
      <x:c r="AD206" s="81" t="inlineStr">
        <x:is>
          <x:t xml:space="preserve">Needs editorial review</x:t>
        </x:is>
      </x:c>
      <x:c r="AE206" s="81" t="inlineStr">
        <x:is>
          <x:t xml:space="preserve">Needs semantic dedupe review</x:t>
        </x:is>
      </x:c>
      <x:c r="AF206" s="81" t="str"/>
      <x:c r="AG206" s="81" t="str"/>
      <x:c r="AH206" s="81" t="inlineStr">
        <x:is>
          <x:t xml:space="preserve">No</x:t>
        </x:is>
      </x:c>
      <x:c r="AI206" s="81" t="inlineStr">
        <x:is>
          <x:t xml:space="preserve">Not reviewed</x:t>
        </x:is>
      </x:c>
      <x:c r="AJ206" s="81" t="inlineStr">
        <x:is>
          <x:t xml:space="preserve">Research only</x:t>
        </x:is>
      </x:c>
      <x:c r="AK206" s="81" t="inlineStr">
        <x:is>
          <x:t xml:space="preserve">Research Pool</x:t>
        </x:is>
      </x:c>
      <x:c r="AL206" s="81" t="n">
        <x:v>3</x:v>
      </x:c>
      <x:c r="AM206" s="81" t="inlineStr">
        <x:is>
          <x:t xml:space="preserve">ChatGPT research</x:t>
        </x:is>
      </x:c>
      <x:c r="AN206" s="81" t="inlineStr">
        <x:is>
          <x:t xml:space="preserve">2026-09-18</x:t>
        </x:is>
      </x:c>
      <x:c r="AO206" s="81" t="inlineStr">
        <x:is>
          <x:t xml:space="preserve">Day 3 full-scope audit, chapters 51–81.</x:t>
        </x:is>
      </x:c>
    </x:row>
    <x:row r="207">
      <x:c r="A207" s="81" t="inlineStr">
        <x:is>
          <x:t xml:space="preserve">research.laozi.day3.ch56.025</x:t>
        </x:is>
      </x:c>
      <x:c r="B207" s="81" t="inlineStr">
        <x:is>
          <x:t xml:space="preserve">Collected</x:t>
        </x:is>
      </x:c>
      <x:c r="C207" s="81" t="inlineStr">
        <x:is>
          <x:t xml:space="preserve">AI &amp; tương lai</x:t>
        </x:is>
      </x:c>
      <x:c r="D207" s="81" t="inlineStr">
        <x:is>
          <x:t xml:space="preserve">Day 3 / Laozi 51–81</x:t>
        </x:is>
      </x:c>
      <x:c r="E207" s="81" t="str"/>
      <x:c r="F207" s="81" t="inlineStr">
        <x:is>
          <x:t xml:space="preserve">Giảm nhiễu và bớt nhu cầu luôn sắc bén</x:t>
        </x:is>
      </x:c>
      <x:c r="G207" s="81" t="inlineStr">
        <x:is>
          <x:t xml:space="preserve">Attention</x:t>
        </x:is>
      </x:c>
      <x:c r="H207" s="81" t="str"/>
      <x:c r="I207" s="81" t="str"/>
      <x:c r="J207" s="81" t="str"/>
      <x:c r="K207" s="81" t="inlineStr">
        <x:is>
          <x:t xml:space="preserve">Reframe</x:t>
        </x:is>
      </x:c>
      <x:c r="L207" s="81" t="inlineStr">
        <x:is>
          <x:t xml:space="preserve">Distinguish</x:t>
        </x:is>
      </x:c>
      <x:c r="M207" s="81" t="inlineStr">
        <x:is>
          <x:t xml:space="preserve">Trích đoạn triết học</x:t>
        </x:is>
      </x:c>
      <x:c r="N207" s="81" t="inlineStr">
        <x:is>
          <x:t xml:space="preserve">塞其兌，閉其門，挫其銳，解其紛，和其光，同其塵。</x:t>
        </x:is>
      </x:c>
      <x:c r="O207" s="81" t="inlineStr">
        <x:is>
          <x:t xml:space="preserve">Classical Chinese (文言文)</x:t>
        </x:is>
      </x:c>
      <x:c r="P207" s="81" t="inlineStr">
        <x:is>
          <x:t xml:space="preserve">Bớt cửa vào, làm dịu sắc nhọn, gỡ rối, hòa ánh sáng và ở cùng bụi đời.</x:t>
        </x:is>
      </x:c>
      <x:c r="Q207" s="81" t="inlineStr">
        <x:is>
          <x:t xml:space="preserve">Laozi / 老子</x:t>
        </x:is>
      </x:c>
      <x:c r="R207" s="81" t="inlineStr">
        <x:is>
          <x:t xml:space="preserve">Taoism</x:t>
        </x:is>
      </x:c>
      <x:c r="S207" s="81" t="inlineStr">
        <x:is>
          <x:t xml:space="preserve">道德經 / Tao Te Ching</x:t>
        </x:is>
      </x:c>
      <x:c r="T207" s="81" t="inlineStr">
        <x:is>
          <x:t xml:space="preserve">Chapter 56</x:t>
        </x:is>
      </x:c>
      <x:c r="U207" s="81" t="inlineStr">
        <x:is>
          <x:t xml:space="preserve">https://zh.wikisource.org/zh-hant/%E9%81%93%E5%BE%B7%E7%B6%93_(%E7%8E%8B%E5%BC%BC%E6%9C%AC)</x:t>
        </x:is>
      </x:c>
      <x:c r="V207" s="81" t="inlineStr">
        <x:is>
          <x:t xml:space="preserve">Primary text</x:t>
        </x:is>
      </x:c>
      <x:c r="W207" s="81" t="inlineStr">
        <x:is>
          <x:t xml:space="preserve">Working translation</x:t>
        </x:is>
      </x:c>
      <x:c r="X207" s="81" t="inlineStr">
        <x:is>
          <x:t xml:space="preserve">A - Primary source</x:t>
        </x:is>
      </x:c>
      <x:c r="Y207" s="81" t="inlineStr">
        <x:is>
          <x:t xml:space="preserve">Original Chinese checked against Wang Bi recension on Chinese Wikisource. Vietnamese is Selflo working translation, not a published translation.</x:t>
        </x:is>
      </x:c>
      <x:c r="Z207" s="81" t="inlineStr">
        <x:is>
          <x:t xml:space="preserve">Public domain / likely</x:t>
        </x:is>
      </x:c>
      <x:c r="AA207" s="81" t="inlineStr">
        <x:is>
          <x:t xml:space="preserve">Ancient source text; verify edition/jurisdiction before commercial publication.</x:t>
        </x:is>
      </x:c>
      <x:c r="AB207" s="81" t="inlineStr">
        <x:is>
          <x:t xml:space="preserve">High</x:t>
        </x:is>
      </x:c>
      <x:c r="AC207" s="81" t="inlineStr">
        <x:is>
          <x:t xml:space="preserve">Strong but ancient imagery.</x:t>
        </x:is>
      </x:c>
      <x:c r="AD207" s="81" t="inlineStr">
        <x:is>
          <x:t xml:space="preserve">Needs editorial review</x:t>
        </x:is>
      </x:c>
      <x:c r="AE207" s="81" t="inlineStr">
        <x:is>
          <x:t xml:space="preserve">Needs semantic dedupe review</x:t>
        </x:is>
      </x:c>
      <x:c r="AF207" s="81" t="str"/>
      <x:c r="AG207" s="81" t="str"/>
      <x:c r="AH207" s="81" t="inlineStr">
        <x:is>
          <x:t xml:space="preserve">No</x:t>
        </x:is>
      </x:c>
      <x:c r="AI207" s="81" t="inlineStr">
        <x:is>
          <x:t xml:space="preserve">Not reviewed</x:t>
        </x:is>
      </x:c>
      <x:c r="AJ207" s="81" t="inlineStr">
        <x:is>
          <x:t xml:space="preserve">Research only</x:t>
        </x:is>
      </x:c>
      <x:c r="AK207" s="81" t="inlineStr">
        <x:is>
          <x:t xml:space="preserve">Research Pool</x:t>
        </x:is>
      </x:c>
      <x:c r="AL207" s="81" t="n">
        <x:v>3</x:v>
      </x:c>
      <x:c r="AM207" s="81" t="inlineStr">
        <x:is>
          <x:t xml:space="preserve">ChatGPT research</x:t>
        </x:is>
      </x:c>
      <x:c r="AN207" s="81" t="inlineStr">
        <x:is>
          <x:t xml:space="preserve">2026-09-18</x:t>
        </x:is>
      </x:c>
      <x:c r="AO207" s="81" t="inlineStr">
        <x:is>
          <x:t xml:space="preserve">Day 3 full-scope audit, chapters 51–81.</x:t>
        </x:is>
      </x:c>
    </x:row>
    <x:row r="208">
      <x:c r="A208" s="81" t="inlineStr">
        <x:is>
          <x:t xml:space="preserve">research.laozi.day3.ch56.026</x:t>
        </x:is>
      </x:c>
      <x:c r="B208" s="81" t="inlineStr">
        <x:is>
          <x:t xml:space="preserve">Collected</x:t>
        </x:is>
      </x:c>
      <x:c r="C208" s="81" t="inlineStr">
        <x:is>
          <x:t xml:space="preserve">Nội tâm &amp; hiểu mình</x:t>
        </x:is>
      </x:c>
      <x:c r="D208" s="81" t="inlineStr">
        <x:is>
          <x:t xml:space="preserve">Day 3 / Laozi 51–81</x:t>
        </x:is>
      </x:c>
      <x:c r="E208" s="81" t="str"/>
      <x:c r="F208" s="81" t="inlineStr">
        <x:is>
          <x:t xml:space="preserve">Không cần liên tục chứng minh khác biệt</x:t>
        </x:is>
      </x:c>
      <x:c r="G208" s="81" t="inlineStr">
        <x:is>
          <x:t xml:space="preserve">Identity</x:t>
        </x:is>
      </x:c>
      <x:c r="H208" s="81" t="str"/>
      <x:c r="I208" s="81" t="str"/>
      <x:c r="J208" s="81" t="str"/>
      <x:c r="K208" s="81" t="inlineStr">
        <x:is>
          <x:t xml:space="preserve">Reframe</x:t>
        </x:is>
      </x:c>
      <x:c r="L208" s="81" t="inlineStr">
        <x:is>
          <x:t xml:space="preserve">Distinguish</x:t>
        </x:is>
      </x:c>
      <x:c r="M208" s="81" t="inlineStr">
        <x:is>
          <x:t xml:space="preserve">Trích đoạn triết học</x:t>
        </x:is>
      </x:c>
      <x:c r="N208" s="81" t="inlineStr">
        <x:is>
          <x:t xml:space="preserve">是謂玄同。</x:t>
        </x:is>
      </x:c>
      <x:c r="O208" s="81" t="inlineStr">
        <x:is>
          <x:t xml:space="preserve">Classical Chinese (文言文)</x:t>
        </x:is>
      </x:c>
      <x:c r="P208" s="81" t="inlineStr">
        <x:is>
          <x:t xml:space="preserve">Văn bản gọi trạng thái ấy là 'huyền đồng' — một sự hòa cùng mà không cần phô khác biệt.</x:t>
        </x:is>
      </x:c>
      <x:c r="Q208" s="81" t="inlineStr">
        <x:is>
          <x:t xml:space="preserve">Laozi / 老子</x:t>
        </x:is>
      </x:c>
      <x:c r="R208" s="81" t="inlineStr">
        <x:is>
          <x:t xml:space="preserve">Taoism</x:t>
        </x:is>
      </x:c>
      <x:c r="S208" s="81" t="inlineStr">
        <x:is>
          <x:t xml:space="preserve">道德經 / Tao Te Ching</x:t>
        </x:is>
      </x:c>
      <x:c r="T208" s="81" t="inlineStr">
        <x:is>
          <x:t xml:space="preserve">Chapter 56</x:t>
        </x:is>
      </x:c>
      <x:c r="U208" s="81" t="inlineStr">
        <x:is>
          <x:t xml:space="preserve">https://zh.wikisource.org/zh-hant/%E9%81%93%E5%BE%B7%E7%B6%93_(%E7%8E%8B%E5%BC%BC%E6%9C%AC)</x:t>
        </x:is>
      </x:c>
      <x:c r="V208" s="81" t="inlineStr">
        <x:is>
          <x:t xml:space="preserve">Primary text</x:t>
        </x:is>
      </x:c>
      <x:c r="W208" s="81" t="inlineStr">
        <x:is>
          <x:t xml:space="preserve">Working translation</x:t>
        </x:is>
      </x:c>
      <x:c r="X208" s="81" t="inlineStr">
        <x:is>
          <x:t xml:space="preserve">A - Primary source</x:t>
        </x:is>
      </x:c>
      <x:c r="Y208" s="81" t="inlineStr">
        <x:is>
          <x:t xml:space="preserve">Original Chinese checked against Wang Bi recension on Chinese Wikisource. Vietnamese is Selflo working translation, not a published translation.</x:t>
        </x:is>
      </x:c>
      <x:c r="Z208" s="81" t="inlineStr">
        <x:is>
          <x:t xml:space="preserve">Public domain / likely</x:t>
        </x:is>
      </x:c>
      <x:c r="AA208" s="81" t="inlineStr">
        <x:is>
          <x:t xml:space="preserve">Ancient source text; verify edition/jurisdiction before commercial publication.</x:t>
        </x:is>
      </x:c>
      <x:c r="AB208" s="81" t="inlineStr">
        <x:is>
          <x:t xml:space="preserve">Medium</x:t>
        </x:is>
      </x:c>
      <x:c r="AC208" s="81" t="inlineStr">
        <x:is>
          <x:t xml:space="preserve">Metaphysical.</x:t>
        </x:is>
      </x:c>
      <x:c r="AD208" s="81" t="inlineStr">
        <x:is>
          <x:t xml:space="preserve">Needs editorial review</x:t>
        </x:is>
      </x:c>
      <x:c r="AE208" s="81" t="inlineStr">
        <x:is>
          <x:t xml:space="preserve">Needs semantic dedupe review</x:t>
        </x:is>
      </x:c>
      <x:c r="AF208" s="81" t="str"/>
      <x:c r="AG208" s="81" t="str"/>
      <x:c r="AH208" s="81" t="inlineStr">
        <x:is>
          <x:t xml:space="preserve">No</x:t>
        </x:is>
      </x:c>
      <x:c r="AI208" s="81" t="inlineStr">
        <x:is>
          <x:t xml:space="preserve">Not reviewed</x:t>
        </x:is>
      </x:c>
      <x:c r="AJ208" s="81" t="inlineStr">
        <x:is>
          <x:t xml:space="preserve">Research only</x:t>
        </x:is>
      </x:c>
      <x:c r="AK208" s="81" t="inlineStr">
        <x:is>
          <x:t xml:space="preserve">Research Pool</x:t>
        </x:is>
      </x:c>
      <x:c r="AL208" s="81" t="n">
        <x:v>3</x:v>
      </x:c>
      <x:c r="AM208" s="81" t="inlineStr">
        <x:is>
          <x:t xml:space="preserve">ChatGPT research</x:t>
        </x:is>
      </x:c>
      <x:c r="AN208" s="81" t="inlineStr">
        <x:is>
          <x:t xml:space="preserve">2026-09-18</x:t>
        </x:is>
      </x:c>
      <x:c r="AO208" s="81" t="inlineStr">
        <x:is>
          <x:t xml:space="preserve">Day 3 full-scope audit, chapters 51–81.</x:t>
        </x:is>
      </x:c>
    </x:row>
    <x:row r="209">
      <x:c r="A209" s="81" t="inlineStr">
        <x:is>
          <x:t xml:space="preserve">research.laozi.day3.ch56.027</x:t>
        </x:is>
      </x:c>
      <x:c r="B209" s="81" t="inlineStr">
        <x:is>
          <x:t xml:space="preserve">Collected</x:t>
        </x:is>
      </x:c>
      <x:c r="C209" s="81" t="inlineStr">
        <x:is>
          <x:t xml:space="preserve">AI &amp; tương lai</x:t>
        </x:is>
      </x:c>
      <x:c r="D209" s="81" t="inlineStr">
        <x:is>
          <x:t xml:space="preserve">Day 3 / Laozi 51–81</x:t>
        </x:is>
      </x:c>
      <x:c r="E209" s="81" t="str"/>
      <x:c r="F209" s="81" t="inlineStr">
        <x:is>
          <x:t xml:space="preserve">Không để một trục đánh giá duy nhất chi phối phán đoán</x:t>
        </x:is>
      </x:c>
      <x:c r="G209" s="81" t="inlineStr">
        <x:is>
          <x:t xml:space="preserve">Judgment</x:t>
        </x:is>
      </x:c>
      <x:c r="H209" s="81" t="str"/>
      <x:c r="I209" s="81" t="str"/>
      <x:c r="J209" s="81" t="str"/>
      <x:c r="K209" s="81" t="inlineStr">
        <x:is>
          <x:t xml:space="preserve">Distinguish</x:t>
        </x:is>
      </x:c>
      <x:c r="L209" s="81" t="inlineStr">
        <x:is>
          <x:t xml:space="preserve">Recognize</x:t>
        </x:is>
      </x:c>
      <x:c r="M209" s="81" t="inlineStr">
        <x:is>
          <x:t xml:space="preserve">Trích đoạn triết học</x:t>
        </x:is>
      </x:c>
      <x:c r="N209" s="81" t="inlineStr">
        <x:is>
          <x:t xml:space="preserve">不可得而親，不可得而疏；不可得而利，不可得而害。</x:t>
        </x:is>
      </x:c>
      <x:c r="O209" s="81" t="inlineStr">
        <x:is>
          <x:t xml:space="preserve">Classical Chinese (文言文)</x:t>
        </x:is>
      </x:c>
      <x:c r="P209" s="81" t="inlineStr">
        <x:is>
          <x:t xml:space="preserve">Không dễ bị kéo chỉ bởi thân–sơ, lợi–hại.</x:t>
        </x:is>
      </x:c>
      <x:c r="Q209" s="81" t="inlineStr">
        <x:is>
          <x:t xml:space="preserve">Laozi / 老子</x:t>
        </x:is>
      </x:c>
      <x:c r="R209" s="81" t="inlineStr">
        <x:is>
          <x:t xml:space="preserve">Taoism</x:t>
        </x:is>
      </x:c>
      <x:c r="S209" s="81" t="inlineStr">
        <x:is>
          <x:t xml:space="preserve">道德經 / Tao Te Ching</x:t>
        </x:is>
      </x:c>
      <x:c r="T209" s="81" t="inlineStr">
        <x:is>
          <x:t xml:space="preserve">Chapter 56</x:t>
        </x:is>
      </x:c>
      <x:c r="U209" s="81" t="inlineStr">
        <x:is>
          <x:t xml:space="preserve">https://zh.wikisource.org/zh-hant/%E9%81%93%E5%BE%B7%E7%B6%93_(%E7%8E%8B%E5%BC%BC%E6%9C%AC)</x:t>
        </x:is>
      </x:c>
      <x:c r="V209" s="81" t="inlineStr">
        <x:is>
          <x:t xml:space="preserve">Primary text</x:t>
        </x:is>
      </x:c>
      <x:c r="W209" s="81" t="inlineStr">
        <x:is>
          <x:t xml:space="preserve">Working translation</x:t>
        </x:is>
      </x:c>
      <x:c r="X209" s="81" t="inlineStr">
        <x:is>
          <x:t xml:space="preserve">A - Primary source</x:t>
        </x:is>
      </x:c>
      <x:c r="Y209" s="81" t="inlineStr">
        <x:is>
          <x:t xml:space="preserve">Original Chinese checked against Wang Bi recension on Chinese Wikisource. Vietnamese is Selflo working translation, not a published translation.</x:t>
        </x:is>
      </x:c>
      <x:c r="Z209" s="81" t="inlineStr">
        <x:is>
          <x:t xml:space="preserve">Public domain / likely</x:t>
        </x:is>
      </x:c>
      <x:c r="AA209" s="81" t="inlineStr">
        <x:is>
          <x:t xml:space="preserve">Ancient source text; verify edition/jurisdiction before commercial publication.</x:t>
        </x:is>
      </x:c>
      <x:c r="AB209" s="81" t="inlineStr">
        <x:is>
          <x:t xml:space="preserve">High</x:t>
        </x:is>
      </x:c>
      <x:c r="AC209" s="81" t="inlineStr">
        <x:is>
          <x:t xml:space="preserve">Useful agency.</x:t>
        </x:is>
      </x:c>
      <x:c r="AD209" s="81" t="inlineStr">
        <x:is>
          <x:t xml:space="preserve">Needs editorial review</x:t>
        </x:is>
      </x:c>
      <x:c r="AE209" s="81" t="inlineStr">
        <x:is>
          <x:t xml:space="preserve">Needs semantic dedupe review</x:t>
        </x:is>
      </x:c>
      <x:c r="AF209" s="81" t="str"/>
      <x:c r="AG209" s="81" t="str"/>
      <x:c r="AH209" s="81" t="inlineStr">
        <x:is>
          <x:t xml:space="preserve">No</x:t>
        </x:is>
      </x:c>
      <x:c r="AI209" s="81" t="inlineStr">
        <x:is>
          <x:t xml:space="preserve">Not reviewed</x:t>
        </x:is>
      </x:c>
      <x:c r="AJ209" s="81" t="inlineStr">
        <x:is>
          <x:t xml:space="preserve">Research only</x:t>
        </x:is>
      </x:c>
      <x:c r="AK209" s="81" t="inlineStr">
        <x:is>
          <x:t xml:space="preserve">Research Pool</x:t>
        </x:is>
      </x:c>
      <x:c r="AL209" s="81" t="n">
        <x:v>3</x:v>
      </x:c>
      <x:c r="AM209" s="81" t="inlineStr">
        <x:is>
          <x:t xml:space="preserve">ChatGPT research</x:t>
        </x:is>
      </x:c>
      <x:c r="AN209" s="81" t="inlineStr">
        <x:is>
          <x:t xml:space="preserve">2026-09-18</x:t>
        </x:is>
      </x:c>
      <x:c r="AO209" s="81" t="inlineStr">
        <x:is>
          <x:t xml:space="preserve">Day 3 full-scope audit, chapters 51–81.</x:t>
        </x:is>
      </x:c>
    </x:row>
    <x:row r="210">
      <x:c r="A210" s="81" t="inlineStr">
        <x:is>
          <x:t xml:space="preserve">research.laozi.day3.ch57.028</x:t>
        </x:is>
      </x:c>
      <x:c r="B210" s="81" t="inlineStr">
        <x:is>
          <x:t xml:space="preserve">Collected</x:t>
        </x:is>
      </x:c>
      <x:c r="C210" s="81" t="inlineStr">
        <x:is>
          <x:t xml:space="preserve">Nội tâm &amp; hiểu mình</x:t>
        </x:is>
      </x:c>
      <x:c r="D210" s="81" t="inlineStr">
        <x:is>
          <x:t xml:space="preserve">Day 3 / Laozi 51–81</x:t>
        </x:is>
      </x:c>
      <x:c r="E210" s="81" t="str"/>
      <x:c r="F210" s="81" t="inlineStr">
        <x:is>
          <x:t xml:space="preserve">Mỗi loại vấn đề có thể cần cách xử lý khác nhau</x:t>
        </x:is>
      </x:c>
      <x:c r="G210" s="81" t="inlineStr">
        <x:is>
          <x:t xml:space="preserve">Context</x:t>
        </x:is>
      </x:c>
      <x:c r="H210" s="81" t="str"/>
      <x:c r="I210" s="81" t="str"/>
      <x:c r="J210" s="81" t="str"/>
      <x:c r="K210" s="81" t="inlineStr">
        <x:is>
          <x:t xml:space="preserve">Distinguish</x:t>
        </x:is>
      </x:c>
      <x:c r="L210" s="81" t="inlineStr">
        <x:is>
          <x:t xml:space="preserve">Recognize</x:t>
        </x:is>
      </x:c>
      <x:c r="M210" s="81" t="inlineStr">
        <x:is>
          <x:t xml:space="preserve">Trích đoạn triết học</x:t>
        </x:is>
      </x:c>
      <x:c r="N210" s="81" t="inlineStr">
        <x:is>
          <x:t xml:space="preserve">以正治國，以奇用兵，以無事取天下。</x:t>
        </x:is>
      </x:c>
      <x:c r="O210" s="81" t="inlineStr">
        <x:is>
          <x:t xml:space="preserve">Classical Chinese (文言文)</x:t>
        </x:is>
      </x:c>
      <x:c r="P210" s="81" t="inlineStr">
        <x:is>
          <x:t xml:space="preserve">Văn bản phân biệt quản trị bằng chính, chiến thuật bằng biến, và việc giữ hệ lớn bằng ít can thiệp.</x:t>
        </x:is>
      </x:c>
      <x:c r="Q210" s="81" t="inlineStr">
        <x:is>
          <x:t xml:space="preserve">Laozi / 老子</x:t>
        </x:is>
      </x:c>
      <x:c r="R210" s="81" t="inlineStr">
        <x:is>
          <x:t xml:space="preserve">Taoism</x:t>
        </x:is>
      </x:c>
      <x:c r="S210" s="81" t="inlineStr">
        <x:is>
          <x:t xml:space="preserve">道德經 / Tao Te Ching</x:t>
        </x:is>
      </x:c>
      <x:c r="T210" s="81" t="inlineStr">
        <x:is>
          <x:t xml:space="preserve">Chapter 57</x:t>
        </x:is>
      </x:c>
      <x:c r="U210" s="81" t="inlineStr">
        <x:is>
          <x:t xml:space="preserve">https://zh.wikisource.org/zh-hant/%E9%81%93%E5%BE%B7%E7%B6%93_(%E7%8E%8B%E5%BC%BC%E6%9C%AC)</x:t>
        </x:is>
      </x:c>
      <x:c r="V210" s="81" t="inlineStr">
        <x:is>
          <x:t xml:space="preserve">Primary text</x:t>
        </x:is>
      </x:c>
      <x:c r="W210" s="81" t="inlineStr">
        <x:is>
          <x:t xml:space="preserve">Working translation</x:t>
        </x:is>
      </x:c>
      <x:c r="X210" s="81" t="inlineStr">
        <x:is>
          <x:t xml:space="preserve">A - Primary source</x:t>
        </x:is>
      </x:c>
      <x:c r="Y210" s="81" t="inlineStr">
        <x:is>
          <x:t xml:space="preserve">Original Chinese checked against Wang Bi recension on Chinese Wikisource. Vietnamese is Selflo working translation, not a published translation.</x:t>
        </x:is>
      </x:c>
      <x:c r="Z210" s="81" t="inlineStr">
        <x:is>
          <x:t xml:space="preserve">Public domain / likely</x:t>
        </x:is>
      </x:c>
      <x:c r="AA210" s="81" t="inlineStr">
        <x:is>
          <x:t xml:space="preserve">Ancient source text; verify edition/jurisdiction before commercial publication.</x:t>
        </x:is>
      </x:c>
      <x:c r="AB210" s="81" t="inlineStr">
        <x:is>
          <x:t xml:space="preserve">Medium</x:t>
        </x:is>
      </x:c>
      <x:c r="AC210" s="81" t="inlineStr">
        <x:is>
          <x:t xml:space="preserve">Political origin.</x:t>
        </x:is>
      </x:c>
      <x:c r="AD210" s="81" t="inlineStr">
        <x:is>
          <x:t xml:space="preserve">Needs editorial review</x:t>
        </x:is>
      </x:c>
      <x:c r="AE210" s="81" t="inlineStr">
        <x:is>
          <x:t xml:space="preserve">Needs semantic dedupe review</x:t>
        </x:is>
      </x:c>
      <x:c r="AF210" s="81" t="str"/>
      <x:c r="AG210" s="81" t="str"/>
      <x:c r="AH210" s="81" t="inlineStr">
        <x:is>
          <x:t xml:space="preserve">No</x:t>
        </x:is>
      </x:c>
      <x:c r="AI210" s="81" t="inlineStr">
        <x:is>
          <x:t xml:space="preserve">Not reviewed</x:t>
        </x:is>
      </x:c>
      <x:c r="AJ210" s="81" t="inlineStr">
        <x:is>
          <x:t xml:space="preserve">Research only</x:t>
        </x:is>
      </x:c>
      <x:c r="AK210" s="81" t="inlineStr">
        <x:is>
          <x:t xml:space="preserve">Research Pool</x:t>
        </x:is>
      </x:c>
      <x:c r="AL210" s="81" t="n">
        <x:v>3</x:v>
      </x:c>
      <x:c r="AM210" s="81" t="inlineStr">
        <x:is>
          <x:t xml:space="preserve">ChatGPT research</x:t>
        </x:is>
      </x:c>
      <x:c r="AN210" s="81" t="inlineStr">
        <x:is>
          <x:t xml:space="preserve">2026-09-18</x:t>
        </x:is>
      </x:c>
      <x:c r="AO210" s="81" t="inlineStr">
        <x:is>
          <x:t xml:space="preserve">Day 3 full-scope audit, chapters 51–81.</x:t>
        </x:is>
      </x:c>
    </x:row>
    <x:row r="211">
      <x:c r="A211" s="81" t="inlineStr">
        <x:is>
          <x:t xml:space="preserve">research.laozi.day3.ch57.029</x:t>
        </x:is>
      </x:c>
      <x:c r="B211" s="81" t="inlineStr">
        <x:is>
          <x:t xml:space="preserve">Collected</x:t>
        </x:is>
      </x:c>
      <x:c r="C211" s="81" t="inlineStr">
        <x:is>
          <x:t xml:space="preserve">Nội tâm &amp; hiểu mình</x:t>
        </x:is>
      </x:c>
      <x:c r="D211" s="81" t="inlineStr">
        <x:is>
          <x:t xml:space="preserve">Day 3 / Laozi 51–81</x:t>
        </x:is>
      </x:c>
      <x:c r="E211" s="81" t="str"/>
      <x:c r="F211" s="81" t="inlineStr">
        <x:is>
          <x:t xml:space="preserve">Thêm kiểm soát/công cụ không đảm bảo kết quả</x:t>
        </x:is>
      </x:c>
      <x:c r="G211" s="81" t="inlineStr">
        <x:is>
          <x:t xml:space="preserve">Control</x:t>
        </x:is>
      </x:c>
      <x:c r="H211" s="81" t="str"/>
      <x:c r="I211" s="81" t="str"/>
      <x:c r="J211" s="81" t="str"/>
      <x:c r="K211" s="81" t="inlineStr">
        <x:is>
          <x:t xml:space="preserve">Distinguish</x:t>
        </x:is>
      </x:c>
      <x:c r="L211" s="81" t="inlineStr">
        <x:is>
          <x:t xml:space="preserve">Recognize</x:t>
        </x:is>
      </x:c>
      <x:c r="M211" s="81" t="inlineStr">
        <x:is>
          <x:t xml:space="preserve">Trích đoạn triết học</x:t>
        </x:is>
      </x:c>
      <x:c r="N211" s="81" t="inlineStr">
        <x:is>
          <x:t xml:space="preserve">天下多忌諱，而民彌貧；民多利器，國家滋昏。</x:t>
        </x:is>
      </x:c>
      <x:c r="O211" s="81" t="inlineStr">
        <x:is>
          <x:t xml:space="preserve">Classical Chinese (文言文)</x:t>
        </x:is>
      </x:c>
      <x:c r="P211" s="81" t="inlineStr">
        <x:is>
          <x:t xml:space="preserve">Càng nhiều cấm đoán và công cụ sắc bén, hệ thống chưa chắc càng tốt.</x:t>
        </x:is>
      </x:c>
      <x:c r="Q211" s="81" t="inlineStr">
        <x:is>
          <x:t xml:space="preserve">Laozi / 老子</x:t>
        </x:is>
      </x:c>
      <x:c r="R211" s="81" t="inlineStr">
        <x:is>
          <x:t xml:space="preserve">Taoism</x:t>
        </x:is>
      </x:c>
      <x:c r="S211" s="81" t="inlineStr">
        <x:is>
          <x:t xml:space="preserve">道德經 / Tao Te Ching</x:t>
        </x:is>
      </x:c>
      <x:c r="T211" s="81" t="inlineStr">
        <x:is>
          <x:t xml:space="preserve">Chapter 57</x:t>
        </x:is>
      </x:c>
      <x:c r="U211" s="81" t="inlineStr">
        <x:is>
          <x:t xml:space="preserve">https://zh.wikisource.org/zh-hant/%E9%81%93%E5%BE%B7%E7%B6%93_(%E7%8E%8B%E5%BC%BC%E6%9C%AC)</x:t>
        </x:is>
      </x:c>
      <x:c r="V211" s="81" t="inlineStr">
        <x:is>
          <x:t xml:space="preserve">Primary text</x:t>
        </x:is>
      </x:c>
      <x:c r="W211" s="81" t="inlineStr">
        <x:is>
          <x:t xml:space="preserve">Working translation</x:t>
        </x:is>
      </x:c>
      <x:c r="X211" s="81" t="inlineStr">
        <x:is>
          <x:t xml:space="preserve">A - Primary source</x:t>
        </x:is>
      </x:c>
      <x:c r="Y211" s="81" t="inlineStr">
        <x:is>
          <x:t xml:space="preserve">Original Chinese checked against Wang Bi recension on Chinese Wikisource. Vietnamese is Selflo working translation, not a published translation.</x:t>
        </x:is>
      </x:c>
      <x:c r="Z211" s="81" t="inlineStr">
        <x:is>
          <x:t xml:space="preserve">Public domain / likely</x:t>
        </x:is>
      </x:c>
      <x:c r="AA211" s="81" t="inlineStr">
        <x:is>
          <x:t xml:space="preserve">Ancient source text; verify edition/jurisdiction before commercial publication.</x:t>
        </x:is>
      </x:c>
      <x:c r="AB211" s="81" t="inlineStr">
        <x:is>
          <x:t xml:space="preserve">High</x:t>
        </x:is>
      </x:c>
      <x:c r="AC211" s="81" t="inlineStr">
        <x:is>
          <x:t xml:space="preserve">Systems.</x:t>
        </x:is>
      </x:c>
      <x:c r="AD211" s="81" t="inlineStr">
        <x:is>
          <x:t xml:space="preserve">Needs editorial review</x:t>
        </x:is>
      </x:c>
      <x:c r="AE211" s="81" t="inlineStr">
        <x:is>
          <x:t xml:space="preserve">Needs semantic dedupe review</x:t>
        </x:is>
      </x:c>
      <x:c r="AF211" s="81" t="str"/>
      <x:c r="AG211" s="81" t="str"/>
      <x:c r="AH211" s="81" t="inlineStr">
        <x:is>
          <x:t xml:space="preserve">No</x:t>
        </x:is>
      </x:c>
      <x:c r="AI211" s="81" t="inlineStr">
        <x:is>
          <x:t xml:space="preserve">Not reviewed</x:t>
        </x:is>
      </x:c>
      <x:c r="AJ211" s="81" t="inlineStr">
        <x:is>
          <x:t xml:space="preserve">Research only</x:t>
        </x:is>
      </x:c>
      <x:c r="AK211" s="81" t="inlineStr">
        <x:is>
          <x:t xml:space="preserve">Research Pool</x:t>
        </x:is>
      </x:c>
      <x:c r="AL211" s="81" t="n">
        <x:v>3</x:v>
      </x:c>
      <x:c r="AM211" s="81" t="inlineStr">
        <x:is>
          <x:t xml:space="preserve">ChatGPT research</x:t>
        </x:is>
      </x:c>
      <x:c r="AN211" s="81" t="inlineStr">
        <x:is>
          <x:t xml:space="preserve">2026-09-18</x:t>
        </x:is>
      </x:c>
      <x:c r="AO211" s="81" t="inlineStr">
        <x:is>
          <x:t xml:space="preserve">Day 3 full-scope audit, chapters 51–81.</x:t>
        </x:is>
      </x:c>
    </x:row>
    <x:row r="212">
      <x:c r="A212" s="81" t="inlineStr">
        <x:is>
          <x:t xml:space="preserve">research.laozi.day3.ch57.030</x:t>
        </x:is>
      </x:c>
      <x:c r="B212" s="81" t="inlineStr">
        <x:is>
          <x:t xml:space="preserve">Collected</x:t>
        </x:is>
      </x:c>
      <x:c r="C212" s="81" t="inlineStr">
        <x:is>
          <x:t xml:space="preserve">Công việc &amp; mục đích</x:t>
        </x:is>
      </x:c>
      <x:c r="D212" s="81" t="inlineStr">
        <x:is>
          <x:t xml:space="preserve">Day 3 / Laozi 51–81</x:t>
        </x:is>
      </x:c>
      <x:c r="E212" s="81" t="str"/>
      <x:c r="F212" s="81" t="inlineStr">
        <x:is>
          <x:t xml:space="preserve">Quy tắc nhiều không thay thế nền tảng tốt</x:t>
        </x:is>
      </x:c>
      <x:c r="G212" s="81" t="inlineStr">
        <x:is>
          <x:t xml:space="preserve">Systems</x:t>
        </x:is>
      </x:c>
      <x:c r="H212" s="81" t="str"/>
      <x:c r="I212" s="81" t="str"/>
      <x:c r="J212" s="81" t="str"/>
      <x:c r="K212" s="81" t="inlineStr">
        <x:is>
          <x:t xml:space="preserve">Distinguish</x:t>
        </x:is>
      </x:c>
      <x:c r="L212" s="81" t="inlineStr">
        <x:is>
          <x:t xml:space="preserve">Recognize</x:t>
        </x:is>
      </x:c>
      <x:c r="M212" s="81" t="inlineStr">
        <x:is>
          <x:t xml:space="preserve">Trích đoạn triết học</x:t>
        </x:is>
      </x:c>
      <x:c r="N212" s="81" t="inlineStr">
        <x:is>
          <x:t xml:space="preserve">法令滋彰，盜賊多有。</x:t>
        </x:is>
      </x:c>
      <x:c r="O212" s="81" t="inlineStr">
        <x:is>
          <x:t xml:space="preserve">Classical Chinese (文言文)</x:t>
        </x:is>
      </x:c>
      <x:c r="P212" s="81" t="inlineStr">
        <x:is>
          <x:t xml:space="preserve">Quy định càng phô dày, văn bản quan sát rằng vấn đề vẫn có thể tăng.</x:t>
        </x:is>
      </x:c>
      <x:c r="Q212" s="81" t="inlineStr">
        <x:is>
          <x:t xml:space="preserve">Laozi / 老子</x:t>
        </x:is>
      </x:c>
      <x:c r="R212" s="81" t="inlineStr">
        <x:is>
          <x:t xml:space="preserve">Taoism</x:t>
        </x:is>
      </x:c>
      <x:c r="S212" s="81" t="inlineStr">
        <x:is>
          <x:t xml:space="preserve">道德經 / Tao Te Ching</x:t>
        </x:is>
      </x:c>
      <x:c r="T212" s="81" t="inlineStr">
        <x:is>
          <x:t xml:space="preserve">Chapter 57</x:t>
        </x:is>
      </x:c>
      <x:c r="U212" s="81" t="inlineStr">
        <x:is>
          <x:t xml:space="preserve">https://zh.wikisource.org/zh-hant/%E9%81%93%E5%BE%B7%E7%B6%93_(%E7%8E%8B%E5%BC%BC%E6%9C%AC)</x:t>
        </x:is>
      </x:c>
      <x:c r="V212" s="81" t="inlineStr">
        <x:is>
          <x:t xml:space="preserve">Primary text</x:t>
        </x:is>
      </x:c>
      <x:c r="W212" s="81" t="inlineStr">
        <x:is>
          <x:t xml:space="preserve">Working translation</x:t>
        </x:is>
      </x:c>
      <x:c r="X212" s="81" t="inlineStr">
        <x:is>
          <x:t xml:space="preserve">A - Primary source</x:t>
        </x:is>
      </x:c>
      <x:c r="Y212" s="81" t="inlineStr">
        <x:is>
          <x:t xml:space="preserve">Original Chinese checked against Wang Bi recension on Chinese Wikisource. Vietnamese is Selflo working translation, not a published translation.</x:t>
        </x:is>
      </x:c>
      <x:c r="Z212" s="81" t="inlineStr">
        <x:is>
          <x:t xml:space="preserve">Public domain / likely</x:t>
        </x:is>
      </x:c>
      <x:c r="AA212" s="81" t="inlineStr">
        <x:is>
          <x:t xml:space="preserve">Ancient source text; verify edition/jurisdiction before commercial publication.</x:t>
        </x:is>
      </x:c>
      <x:c r="AB212" s="81" t="inlineStr">
        <x:is>
          <x:t xml:space="preserve">Medium</x:t>
        </x:is>
      </x:c>
      <x:c r="AC212" s="81" t="inlineStr">
        <x:is>
          <x:t xml:space="preserve">Political claim; don't universalize.</x:t>
        </x:is>
      </x:c>
      <x:c r="AD212" s="81" t="inlineStr">
        <x:is>
          <x:t xml:space="preserve">Needs editorial review</x:t>
        </x:is>
      </x:c>
      <x:c r="AE212" s="81" t="inlineStr">
        <x:is>
          <x:t xml:space="preserve">Needs semantic dedupe review</x:t>
        </x:is>
      </x:c>
      <x:c r="AF212" s="81" t="str"/>
      <x:c r="AG212" s="81" t="str"/>
      <x:c r="AH212" s="81" t="inlineStr">
        <x:is>
          <x:t xml:space="preserve">No</x:t>
        </x:is>
      </x:c>
      <x:c r="AI212" s="81" t="inlineStr">
        <x:is>
          <x:t xml:space="preserve">Not reviewed</x:t>
        </x:is>
      </x:c>
      <x:c r="AJ212" s="81" t="inlineStr">
        <x:is>
          <x:t xml:space="preserve">Research only</x:t>
        </x:is>
      </x:c>
      <x:c r="AK212" s="81" t="inlineStr">
        <x:is>
          <x:t xml:space="preserve">Research Pool</x:t>
        </x:is>
      </x:c>
      <x:c r="AL212" s="81" t="n">
        <x:v>3</x:v>
      </x:c>
      <x:c r="AM212" s="81" t="inlineStr">
        <x:is>
          <x:t xml:space="preserve">ChatGPT research</x:t>
        </x:is>
      </x:c>
      <x:c r="AN212" s="81" t="inlineStr">
        <x:is>
          <x:t xml:space="preserve">2026-09-18</x:t>
        </x:is>
      </x:c>
      <x:c r="AO212" s="81" t="inlineStr">
        <x:is>
          <x:t xml:space="preserve">Day 3 full-scope audit, chapters 51–81.</x:t>
        </x:is>
      </x:c>
    </x:row>
    <x:row r="213">
      <x:c r="A213" s="81" t="inlineStr">
        <x:is>
          <x:t xml:space="preserve">research.laozi.day3.ch57.031</x:t>
        </x:is>
      </x:c>
      <x:c r="B213" s="81" t="inlineStr">
        <x:is>
          <x:t xml:space="preserve">Collected</x:t>
        </x:is>
      </x:c>
      <x:c r="C213" s="81" t="inlineStr">
        <x:is>
          <x:t xml:space="preserve">Nội tâm &amp; hiểu mình</x:t>
        </x:is>
      </x:c>
      <x:c r="D213" s="81" t="inlineStr">
        <x:is>
          <x:t xml:space="preserve">Day 3 / Laozi 51–81</x:t>
        </x:is>
      </x:c>
      <x:c r="E213" s="81" t="str"/>
      <x:c r="F213" s="81" t="inlineStr">
        <x:is>
          <x:t xml:space="preserve">Tạo điều kiện để người khác tự điều chỉnh</x:t>
        </x:is>
      </x:c>
      <x:c r="G213" s="81" t="inlineStr">
        <x:is>
          <x:t xml:space="preserve">Agency</x:t>
        </x:is>
      </x:c>
      <x:c r="H213" s="81" t="str"/>
      <x:c r="I213" s="81" t="str"/>
      <x:c r="J213" s="81" t="str"/>
      <x:c r="K213" s="81" t="inlineStr">
        <x:is>
          <x:t xml:space="preserve">Return agency</x:t>
        </x:is>
      </x:c>
      <x:c r="L213" s="81" t="inlineStr">
        <x:is>
          <x:t xml:space="preserve">Distinguish</x:t>
        </x:is>
      </x:c>
      <x:c r="M213" s="81" t="inlineStr">
        <x:is>
          <x:t xml:space="preserve">Trích đoạn triết học</x:t>
        </x:is>
      </x:c>
      <x:c r="N213" s="81" t="inlineStr">
        <x:is>
          <x:t xml:space="preserve">我無為而民自化，我好靜而民自正。</x:t>
        </x:is>
      </x:c>
      <x:c r="O213" s="81" t="inlineStr">
        <x:is>
          <x:t xml:space="preserve">Classical Chinese (文言文)</x:t>
        </x:is>
      </x:c>
      <x:c r="P213" s="81" t="inlineStr">
        <x:is>
          <x:t xml:space="preserve">Ta bớt cưỡng làm thì người tự chuyển; ta giữ tĩnh thì người tự điều chỉnh.</x:t>
        </x:is>
      </x:c>
      <x:c r="Q213" s="81" t="inlineStr">
        <x:is>
          <x:t xml:space="preserve">Laozi / 老子</x:t>
        </x:is>
      </x:c>
      <x:c r="R213" s="81" t="inlineStr">
        <x:is>
          <x:t xml:space="preserve">Taoism</x:t>
        </x:is>
      </x:c>
      <x:c r="S213" s="81" t="inlineStr">
        <x:is>
          <x:t xml:space="preserve">道德經 / Tao Te Ching</x:t>
        </x:is>
      </x:c>
      <x:c r="T213" s="81" t="inlineStr">
        <x:is>
          <x:t xml:space="preserve">Chapter 57</x:t>
        </x:is>
      </x:c>
      <x:c r="U213" s="81" t="inlineStr">
        <x:is>
          <x:t xml:space="preserve">https://zh.wikisource.org/zh-hant/%E9%81%93%E5%BE%B7%E7%B6%93_(%E7%8E%8B%E5%BC%BC%E6%9C%AC)</x:t>
        </x:is>
      </x:c>
      <x:c r="V213" s="81" t="inlineStr">
        <x:is>
          <x:t xml:space="preserve">Primary text</x:t>
        </x:is>
      </x:c>
      <x:c r="W213" s="81" t="inlineStr">
        <x:is>
          <x:t xml:space="preserve">Working translation</x:t>
        </x:is>
      </x:c>
      <x:c r="X213" s="81" t="inlineStr">
        <x:is>
          <x:t xml:space="preserve">A - Primary source</x:t>
        </x:is>
      </x:c>
      <x:c r="Y213" s="81" t="inlineStr">
        <x:is>
          <x:t xml:space="preserve">Original Chinese checked against Wang Bi recension on Chinese Wikisource. Vietnamese is Selflo working translation, not a published translation.</x:t>
        </x:is>
      </x:c>
      <x:c r="Z213" s="81" t="inlineStr">
        <x:is>
          <x:t xml:space="preserve">Public domain / likely</x:t>
        </x:is>
      </x:c>
      <x:c r="AA213" s="81" t="inlineStr">
        <x:is>
          <x:t xml:space="preserve">Ancient source text; verify edition/jurisdiction before commercial publication.</x:t>
        </x:is>
      </x:c>
      <x:c r="AB213" s="81" t="inlineStr">
        <x:is>
          <x:t xml:space="preserve">High</x:t>
        </x:is>
      </x:c>
      <x:c r="AC213" s="81" t="inlineStr">
        <x:is>
          <x:t xml:space="preserve">Core Selflo.</x:t>
        </x:is>
      </x:c>
      <x:c r="AD213" s="81" t="inlineStr">
        <x:is>
          <x:t xml:space="preserve">Needs editorial review</x:t>
        </x:is>
      </x:c>
      <x:c r="AE213" s="81" t="inlineStr">
        <x:is>
          <x:t xml:space="preserve">Needs semantic dedupe review</x:t>
        </x:is>
      </x:c>
      <x:c r="AF213" s="81" t="str"/>
      <x:c r="AG213" s="81" t="str"/>
      <x:c r="AH213" s="81" t="inlineStr">
        <x:is>
          <x:t xml:space="preserve">No</x:t>
        </x:is>
      </x:c>
      <x:c r="AI213" s="81" t="inlineStr">
        <x:is>
          <x:t xml:space="preserve">Not reviewed</x:t>
        </x:is>
      </x:c>
      <x:c r="AJ213" s="81" t="inlineStr">
        <x:is>
          <x:t xml:space="preserve">Research only</x:t>
        </x:is>
      </x:c>
      <x:c r="AK213" s="81" t="inlineStr">
        <x:is>
          <x:t xml:space="preserve">Research Pool</x:t>
        </x:is>
      </x:c>
      <x:c r="AL213" s="81" t="n">
        <x:v>3</x:v>
      </x:c>
      <x:c r="AM213" s="81" t="inlineStr">
        <x:is>
          <x:t xml:space="preserve">ChatGPT research</x:t>
        </x:is>
      </x:c>
      <x:c r="AN213" s="81" t="inlineStr">
        <x:is>
          <x:t xml:space="preserve">2026-09-18</x:t>
        </x:is>
      </x:c>
      <x:c r="AO213" s="81" t="inlineStr">
        <x:is>
          <x:t xml:space="preserve">Day 3 full-scope audit, chapters 51–81.</x:t>
        </x:is>
      </x:c>
    </x:row>
    <x:row r="214">
      <x:c r="A214" s="81" t="inlineStr">
        <x:is>
          <x:t xml:space="preserve">research.laozi.day3.ch57.032</x:t>
        </x:is>
      </x:c>
      <x:c r="B214" s="81" t="inlineStr">
        <x:is>
          <x:t xml:space="preserve">Collected</x:t>
        </x:is>
      </x:c>
      <x:c r="C214" s="81" t="inlineStr">
        <x:is>
          <x:t xml:space="preserve">Nội tâm &amp; hiểu mình</x:t>
        </x:is>
      </x:c>
      <x:c r="D214" s="81" t="inlineStr">
        <x:is>
          <x:t xml:space="preserve">Day 3 / Laozi 51–81</x:t>
        </x:is>
      </x:c>
      <x:c r="E214" s="81" t="str"/>
      <x:c r="F214" s="81" t="inlineStr">
        <x:is>
          <x:t xml:space="preserve">Không áp mong muốn của mình lên người khác</x:t>
        </x:is>
      </x:c>
      <x:c r="G214" s="81" t="inlineStr">
        <x:is>
          <x:t xml:space="preserve">Agency</x:t>
        </x:is>
      </x:c>
      <x:c r="H214" s="81" t="str"/>
      <x:c r="I214" s="81" t="str"/>
      <x:c r="J214" s="81" t="str"/>
      <x:c r="K214" s="81" t="inlineStr">
        <x:is>
          <x:t xml:space="preserve">Return agency</x:t>
        </x:is>
      </x:c>
      <x:c r="L214" s="81" t="inlineStr">
        <x:is>
          <x:t xml:space="preserve">Distinguish</x:t>
        </x:is>
      </x:c>
      <x:c r="M214" s="81" t="inlineStr">
        <x:is>
          <x:t xml:space="preserve">Trích đoạn triết học</x:t>
        </x:is>
      </x:c>
      <x:c r="N214" s="81" t="inlineStr">
        <x:is>
          <x:t xml:space="preserve">我無欲而民自樸。</x:t>
        </x:is>
      </x:c>
      <x:c r="O214" s="81" t="inlineStr">
        <x:is>
          <x:t xml:space="preserve">Classical Chinese (文言文)</x:t>
        </x:is>
      </x:c>
      <x:c r="P214" s="81" t="inlineStr">
        <x:is>
          <x:t xml:space="preserve">Khi người dẫn dắt bớt áp ham muốn của mình, người khác có thể giữ phần mộc của họ.</x:t>
        </x:is>
      </x:c>
      <x:c r="Q214" s="81" t="inlineStr">
        <x:is>
          <x:t xml:space="preserve">Laozi / 老子</x:t>
        </x:is>
      </x:c>
      <x:c r="R214" s="81" t="inlineStr">
        <x:is>
          <x:t xml:space="preserve">Taoism</x:t>
        </x:is>
      </x:c>
      <x:c r="S214" s="81" t="inlineStr">
        <x:is>
          <x:t xml:space="preserve">道德經 / Tao Te Ching</x:t>
        </x:is>
      </x:c>
      <x:c r="T214" s="81" t="inlineStr">
        <x:is>
          <x:t xml:space="preserve">Chapter 57</x:t>
        </x:is>
      </x:c>
      <x:c r="U214" s="81" t="inlineStr">
        <x:is>
          <x:t xml:space="preserve">https://zh.wikisource.org/zh-hant/%E9%81%93%E5%BE%B7%E7%B6%93_(%E7%8E%8B%E5%BC%BC%E6%9C%AC)</x:t>
        </x:is>
      </x:c>
      <x:c r="V214" s="81" t="inlineStr">
        <x:is>
          <x:t xml:space="preserve">Primary text</x:t>
        </x:is>
      </x:c>
      <x:c r="W214" s="81" t="inlineStr">
        <x:is>
          <x:t xml:space="preserve">Working translation</x:t>
        </x:is>
      </x:c>
      <x:c r="X214" s="81" t="inlineStr">
        <x:is>
          <x:t xml:space="preserve">A - Primary source</x:t>
        </x:is>
      </x:c>
      <x:c r="Y214" s="81" t="inlineStr">
        <x:is>
          <x:t xml:space="preserve">Original Chinese checked against Wang Bi recension on Chinese Wikisource. Vietnamese is Selflo working translation, not a published translation.</x:t>
        </x:is>
      </x:c>
      <x:c r="Z214" s="81" t="inlineStr">
        <x:is>
          <x:t xml:space="preserve">Public domain / likely</x:t>
        </x:is>
      </x:c>
      <x:c r="AA214" s="81" t="inlineStr">
        <x:is>
          <x:t xml:space="preserve">Ancient source text; verify edition/jurisdiction before commercial publication.</x:t>
        </x:is>
      </x:c>
      <x:c r="AB214" s="81" t="inlineStr">
        <x:is>
          <x:t xml:space="preserve">High</x:t>
        </x:is>
      </x:c>
      <x:c r="AC214" s="81" t="inlineStr">
        <x:is>
          <x:t xml:space="preserve">Interpretive.</x:t>
        </x:is>
      </x:c>
      <x:c r="AD214" s="81" t="inlineStr">
        <x:is>
          <x:t xml:space="preserve">Needs editorial review</x:t>
        </x:is>
      </x:c>
      <x:c r="AE214" s="81" t="inlineStr">
        <x:is>
          <x:t xml:space="preserve">Needs semantic dedupe review</x:t>
        </x:is>
      </x:c>
      <x:c r="AF214" s="81" t="str"/>
      <x:c r="AG214" s="81" t="str"/>
      <x:c r="AH214" s="81" t="inlineStr">
        <x:is>
          <x:t xml:space="preserve">No</x:t>
        </x:is>
      </x:c>
      <x:c r="AI214" s="81" t="inlineStr">
        <x:is>
          <x:t xml:space="preserve">Not reviewed</x:t>
        </x:is>
      </x:c>
      <x:c r="AJ214" s="81" t="inlineStr">
        <x:is>
          <x:t xml:space="preserve">Research only</x:t>
        </x:is>
      </x:c>
      <x:c r="AK214" s="81" t="inlineStr">
        <x:is>
          <x:t xml:space="preserve">Research Pool</x:t>
        </x:is>
      </x:c>
      <x:c r="AL214" s="81" t="n">
        <x:v>3</x:v>
      </x:c>
      <x:c r="AM214" s="81" t="inlineStr">
        <x:is>
          <x:t xml:space="preserve">ChatGPT research</x:t>
        </x:is>
      </x:c>
      <x:c r="AN214" s="81" t="inlineStr">
        <x:is>
          <x:t xml:space="preserve">2026-09-18</x:t>
        </x:is>
      </x:c>
      <x:c r="AO214" s="81" t="inlineStr">
        <x:is>
          <x:t xml:space="preserve">Day 3 full-scope audit, chapters 51–81.</x:t>
        </x:is>
      </x:c>
    </x:row>
    <x:row r="215">
      <x:c r="A215" s="81" t="inlineStr">
        <x:is>
          <x:t xml:space="preserve">research.laozi.day3.ch58.033</x:t>
        </x:is>
      </x:c>
      <x:c r="B215" s="81" t="inlineStr">
        <x:is>
          <x:t xml:space="preserve">Collected</x:t>
        </x:is>
      </x:c>
      <x:c r="C215" s="81" t="inlineStr">
        <x:is>
          <x:t xml:space="preserve">Nội tâm &amp; hiểu mình</x:t>
        </x:is>
      </x:c>
      <x:c r="D215" s="81" t="inlineStr">
        <x:is>
          <x:t xml:space="preserve">Day 3 / Laozi 51–81</x:t>
        </x:is>
      </x:c>
      <x:c r="E215" s="81" t="str"/>
      <x:c r="F215" s="81" t="inlineStr">
        <x:is>
          <x:t xml:space="preserve">Giám sát quá mức có thể thay đổi hành vi</x:t>
        </x:is>
      </x:c>
      <x:c r="G215" s="81" t="inlineStr">
        <x:is>
          <x:t xml:space="preserve">Control</x:t>
        </x:is>
      </x:c>
      <x:c r="H215" s="81" t="str"/>
      <x:c r="I215" s="81" t="str"/>
      <x:c r="J215" s="81" t="str"/>
      <x:c r="K215" s="81" t="inlineStr">
        <x:is>
          <x:t xml:space="preserve">Recognize</x:t>
        </x:is>
      </x:c>
      <x:c r="L215" s="81" t="inlineStr">
        <x:is>
          <x:t xml:space="preserve">Distinguish</x:t>
        </x:is>
      </x:c>
      <x:c r="M215" s="81" t="inlineStr">
        <x:is>
          <x:t xml:space="preserve">Trích đoạn triết học</x:t>
        </x:is>
      </x:c>
      <x:c r="N215" s="81" t="inlineStr">
        <x:is>
          <x:t xml:space="preserve">其政悶悶，其民淳淳；其政察察，其民缺缺。</x:t>
        </x:is>
      </x:c>
      <x:c r="O215" s="81" t="inlineStr">
        <x:is>
          <x:t xml:space="preserve">Classical Chinese (文言文)</x:t>
        </x:is>
      </x:c>
      <x:c r="P215" s="81" t="inlineStr">
        <x:is>
          <x:t xml:space="preserve">Quản trị quá soi xét có thể làm con người trở nên vụn vỡ; ít xâm lấn hơn có thể để họ tự nhiên hơn.</x:t>
        </x:is>
      </x:c>
      <x:c r="Q215" s="81" t="inlineStr">
        <x:is>
          <x:t xml:space="preserve">Laozi / 老子</x:t>
        </x:is>
      </x:c>
      <x:c r="R215" s="81" t="inlineStr">
        <x:is>
          <x:t xml:space="preserve">Taoism</x:t>
        </x:is>
      </x:c>
      <x:c r="S215" s="81" t="inlineStr">
        <x:is>
          <x:t xml:space="preserve">道德經 / Tao Te Ching</x:t>
        </x:is>
      </x:c>
      <x:c r="T215" s="81" t="inlineStr">
        <x:is>
          <x:t xml:space="preserve">Chapter 58</x:t>
        </x:is>
      </x:c>
      <x:c r="U215" s="81" t="inlineStr">
        <x:is>
          <x:t xml:space="preserve">https://zh.wikisource.org/zh-hant/%E9%81%93%E5%BE%B7%E7%B6%93_(%E7%8E%8B%E5%BC%BC%E6%9C%AC)</x:t>
        </x:is>
      </x:c>
      <x:c r="V215" s="81" t="inlineStr">
        <x:is>
          <x:t xml:space="preserve">Primary text</x:t>
        </x:is>
      </x:c>
      <x:c r="W215" s="81" t="inlineStr">
        <x:is>
          <x:t xml:space="preserve">Working translation</x:t>
        </x:is>
      </x:c>
      <x:c r="X215" s="81" t="inlineStr">
        <x:is>
          <x:t xml:space="preserve">A - Primary source</x:t>
        </x:is>
      </x:c>
      <x:c r="Y215" s="81" t="inlineStr">
        <x:is>
          <x:t xml:space="preserve">Original Chinese checked against Wang Bi recension on Chinese Wikisource. Vietnamese is Selflo working translation, not a published translation.</x:t>
        </x:is>
      </x:c>
      <x:c r="Z215" s="81" t="inlineStr">
        <x:is>
          <x:t xml:space="preserve">Public domain / likely</x:t>
        </x:is>
      </x:c>
      <x:c r="AA215" s="81" t="inlineStr">
        <x:is>
          <x:t xml:space="preserve">Ancient source text; verify edition/jurisdiction before commercial publication.</x:t>
        </x:is>
      </x:c>
      <x:c r="AB215" s="81" t="inlineStr">
        <x:is>
          <x:t xml:space="preserve">Medium</x:t>
        </x:is>
      </x:c>
      <x:c r="AC215" s="81" t="inlineStr">
        <x:is>
          <x:t xml:space="preserve">Political; modern inference.</x:t>
        </x:is>
      </x:c>
      <x:c r="AD215" s="81" t="inlineStr">
        <x:is>
          <x:t xml:space="preserve">Needs editorial review</x:t>
        </x:is>
      </x:c>
      <x:c r="AE215" s="81" t="inlineStr">
        <x:is>
          <x:t xml:space="preserve">Needs semantic dedupe review</x:t>
        </x:is>
      </x:c>
      <x:c r="AF215" s="81" t="str"/>
      <x:c r="AG215" s="81" t="str"/>
      <x:c r="AH215" s="81" t="inlineStr">
        <x:is>
          <x:t xml:space="preserve">No</x:t>
        </x:is>
      </x:c>
      <x:c r="AI215" s="81" t="inlineStr">
        <x:is>
          <x:t xml:space="preserve">Not reviewed</x:t>
        </x:is>
      </x:c>
      <x:c r="AJ215" s="81" t="inlineStr">
        <x:is>
          <x:t xml:space="preserve">Research only</x:t>
        </x:is>
      </x:c>
      <x:c r="AK215" s="81" t="inlineStr">
        <x:is>
          <x:t xml:space="preserve">Research Pool</x:t>
        </x:is>
      </x:c>
      <x:c r="AL215" s="81" t="n">
        <x:v>3</x:v>
      </x:c>
      <x:c r="AM215" s="81" t="inlineStr">
        <x:is>
          <x:t xml:space="preserve">ChatGPT research</x:t>
        </x:is>
      </x:c>
      <x:c r="AN215" s="81" t="inlineStr">
        <x:is>
          <x:t xml:space="preserve">2026-09-18</x:t>
        </x:is>
      </x:c>
      <x:c r="AO215" s="81" t="inlineStr">
        <x:is>
          <x:t xml:space="preserve">Day 3 full-scope audit, chapters 51–81.</x:t>
        </x:is>
      </x:c>
    </x:row>
    <x:row r="216">
      <x:c r="A216" s="81" t="inlineStr">
        <x:is>
          <x:t xml:space="preserve">research.laozi.day3.ch58.034</x:t>
        </x:is>
      </x:c>
      <x:c r="B216" s="81" t="inlineStr">
        <x:is>
          <x:t xml:space="preserve">Collected</x:t>
        </x:is>
      </x:c>
      <x:c r="C216" s="81" t="inlineStr">
        <x:is>
          <x:t xml:space="preserve">Nội tâm &amp; hiểu mình</x:t>
        </x:is>
      </x:c>
      <x:c r="D216" s="81" t="inlineStr">
        <x:is>
          <x:t xml:space="preserve">Day 3 / Laozi 51–81</x:t>
        </x:is>
      </x:c>
      <x:c r="E216" s="81" t="str"/>
      <x:c r="F216" s="81" t="inlineStr">
        <x:is>
          <x:t xml:space="preserve">Kết quả hiện tại không chứa trọn ý nghĩa cuối cùng</x:t>
        </x:is>
      </x:c>
      <x:c r="G216" s="81" t="inlineStr">
        <x:is>
          <x:t xml:space="preserve">Uncertainty</x:t>
        </x:is>
      </x:c>
      <x:c r="H216" s="81" t="str"/>
      <x:c r="I216" s="81" t="str"/>
      <x:c r="J216" s="81" t="str"/>
      <x:c r="K216" s="81" t="inlineStr">
        <x:is>
          <x:t xml:space="preserve">Reframe</x:t>
        </x:is>
      </x:c>
      <x:c r="L216" s="81" t="inlineStr">
        <x:is>
          <x:t xml:space="preserve">Distinguish</x:t>
        </x:is>
      </x:c>
      <x:c r="M216" s="81" t="inlineStr">
        <x:is>
          <x:t xml:space="preserve">Trích đoạn triết học</x:t>
        </x:is>
      </x:c>
      <x:c r="N216" s="81" t="inlineStr">
        <x:is>
          <x:t xml:space="preserve">禍兮福之所倚，福兮禍之所伏。</x:t>
        </x:is>
      </x:c>
      <x:c r="O216" s="81" t="inlineStr">
        <x:is>
          <x:t xml:space="preserve">Classical Chinese (文言文)</x:t>
        </x:is>
      </x:c>
      <x:c r="P216" s="81" t="inlineStr">
        <x:is>
          <x:t xml:space="preserve">Trong họa có thể có mầm của phúc; trong phúc có thể ẩn mầm của họa.</x:t>
        </x:is>
      </x:c>
      <x:c r="Q216" s="81" t="inlineStr">
        <x:is>
          <x:t xml:space="preserve">Laozi / 老子</x:t>
        </x:is>
      </x:c>
      <x:c r="R216" s="81" t="inlineStr">
        <x:is>
          <x:t xml:space="preserve">Taoism</x:t>
        </x:is>
      </x:c>
      <x:c r="S216" s="81" t="inlineStr">
        <x:is>
          <x:t xml:space="preserve">道德經 / Tao Te Ching</x:t>
        </x:is>
      </x:c>
      <x:c r="T216" s="81" t="inlineStr">
        <x:is>
          <x:t xml:space="preserve">Chapter 58</x:t>
        </x:is>
      </x:c>
      <x:c r="U216" s="81" t="inlineStr">
        <x:is>
          <x:t xml:space="preserve">https://zh.wikisource.org/zh-hant/%E9%81%93%E5%BE%B7%E7%B6%93_(%E7%8E%8B%E5%BC%BC%E6%9C%AC)</x:t>
        </x:is>
      </x:c>
      <x:c r="V216" s="81" t="inlineStr">
        <x:is>
          <x:t xml:space="preserve">Primary text</x:t>
        </x:is>
      </x:c>
      <x:c r="W216" s="81" t="inlineStr">
        <x:is>
          <x:t xml:space="preserve">Working translation</x:t>
        </x:is>
      </x:c>
      <x:c r="X216" s="81" t="inlineStr">
        <x:is>
          <x:t xml:space="preserve">A - Primary source</x:t>
        </x:is>
      </x:c>
      <x:c r="Y216" s="81" t="inlineStr">
        <x:is>
          <x:t xml:space="preserve">Original Chinese checked against Wang Bi recension on Chinese Wikisource. Vietnamese is Selflo working translation, not a published translation.</x:t>
        </x:is>
      </x:c>
      <x:c r="Z216" s="81" t="inlineStr">
        <x:is>
          <x:t xml:space="preserve">Public domain / likely</x:t>
        </x:is>
      </x:c>
      <x:c r="AA216" s="81" t="inlineStr">
        <x:is>
          <x:t xml:space="preserve">Ancient source text; verify edition/jurisdiction before commercial publication.</x:t>
        </x:is>
      </x:c>
      <x:c r="AB216" s="81" t="inlineStr">
        <x:is>
          <x:t xml:space="preserve">High</x:t>
        </x:is>
      </x:c>
      <x:c r="AC216" s="81" t="inlineStr">
        <x:is>
          <x:t xml:space="preserve">Very strong; avoid toxic positivity.</x:t>
        </x:is>
      </x:c>
      <x:c r="AD216" s="81" t="inlineStr">
        <x:is>
          <x:t xml:space="preserve">Needs editorial review</x:t>
        </x:is>
      </x:c>
      <x:c r="AE216" s="81" t="inlineStr">
        <x:is>
          <x:t xml:space="preserve">Needs semantic dedupe review</x:t>
        </x:is>
      </x:c>
      <x:c r="AF216" s="81" t="str"/>
      <x:c r="AG216" s="81" t="str"/>
      <x:c r="AH216" s="81" t="inlineStr">
        <x:is>
          <x:t xml:space="preserve">No</x:t>
        </x:is>
      </x:c>
      <x:c r="AI216" s="81" t="inlineStr">
        <x:is>
          <x:t xml:space="preserve">Not reviewed</x:t>
        </x:is>
      </x:c>
      <x:c r="AJ216" s="81" t="inlineStr">
        <x:is>
          <x:t xml:space="preserve">Research only</x:t>
        </x:is>
      </x:c>
      <x:c r="AK216" s="81" t="inlineStr">
        <x:is>
          <x:t xml:space="preserve">Research Pool</x:t>
        </x:is>
      </x:c>
      <x:c r="AL216" s="81" t="n">
        <x:v>3</x:v>
      </x:c>
      <x:c r="AM216" s="81" t="inlineStr">
        <x:is>
          <x:t xml:space="preserve">ChatGPT research</x:t>
        </x:is>
      </x:c>
      <x:c r="AN216" s="81" t="inlineStr">
        <x:is>
          <x:t xml:space="preserve">2026-09-18</x:t>
        </x:is>
      </x:c>
      <x:c r="AO216" s="81" t="inlineStr">
        <x:is>
          <x:t xml:space="preserve">Day 3 full-scope audit, chapters 51–81.</x:t>
        </x:is>
      </x:c>
    </x:row>
    <x:row r="217">
      <x:c r="A217" s="81" t="inlineStr">
        <x:is>
          <x:t xml:space="preserve">research.laozi.day3.ch58.035</x:t>
        </x:is>
      </x:c>
      <x:c r="B217" s="81" t="inlineStr">
        <x:is>
          <x:t xml:space="preserve">Collected</x:t>
        </x:is>
      </x:c>
      <x:c r="C217" s="81" t="inlineStr">
        <x:is>
          <x:t xml:space="preserve">Nội tâm &amp; hiểu mình</x:t>
        </x:is>
      </x:c>
      <x:c r="D217" s="81" t="inlineStr">
        <x:is>
          <x:t xml:space="preserve">Day 3 / Laozi 51–81</x:t>
        </x:is>
      </x:c>
      <x:c r="E217" s="81" t="str"/>
      <x:c r="F217" s="81" t="inlineStr">
        <x:is>
          <x:t xml:space="preserve">Chưa biết kết quả cuối không phải là lỗi</x:t>
        </x:is>
      </x:c>
      <x:c r="G217" s="81" t="inlineStr">
        <x:is>
          <x:t xml:space="preserve">Uncertainty</x:t>
        </x:is>
      </x:c>
      <x:c r="H217" s="81" t="str"/>
      <x:c r="I217" s="81" t="str"/>
      <x:c r="J217" s="81" t="str"/>
      <x:c r="K217" s="81" t="inlineStr">
        <x:is>
          <x:t xml:space="preserve">Permit</x:t>
        </x:is>
      </x:c>
      <x:c r="L217" s="81" t="inlineStr">
        <x:is>
          <x:t xml:space="preserve">Distinguish</x:t>
        </x:is>
      </x:c>
      <x:c r="M217" s="81" t="inlineStr">
        <x:is>
          <x:t xml:space="preserve">Trích đoạn triết học</x:t>
        </x:is>
      </x:c>
      <x:c r="N217" s="81" t="inlineStr">
        <x:is>
          <x:t xml:space="preserve">孰知其極？其無正。</x:t>
        </x:is>
      </x:c>
      <x:c r="O217" s="81" t="inlineStr">
        <x:is>
          <x:t xml:space="preserve">Classical Chinese (文言文)</x:t>
        </x:is>
      </x:c>
      <x:c r="P217" s="81" t="inlineStr">
        <x:is>
          <x:t xml:space="preserve">Ai biết được điểm cuối? Không dễ có một đường phân định cố định.</x:t>
        </x:is>
      </x:c>
      <x:c r="Q217" s="81" t="inlineStr">
        <x:is>
          <x:t xml:space="preserve">Laozi / 老子</x:t>
        </x:is>
      </x:c>
      <x:c r="R217" s="81" t="inlineStr">
        <x:is>
          <x:t xml:space="preserve">Taoism</x:t>
        </x:is>
      </x:c>
      <x:c r="S217" s="81" t="inlineStr">
        <x:is>
          <x:t xml:space="preserve">道德經 / Tao Te Ching</x:t>
        </x:is>
      </x:c>
      <x:c r="T217" s="81" t="inlineStr">
        <x:is>
          <x:t xml:space="preserve">Chapter 58</x:t>
        </x:is>
      </x:c>
      <x:c r="U217" s="81" t="inlineStr">
        <x:is>
          <x:t xml:space="preserve">https://zh.wikisource.org/zh-hant/%E9%81%93%E5%BE%B7%E7%B6%93_(%E7%8E%8B%E5%BC%BC%E6%9C%AC)</x:t>
        </x:is>
      </x:c>
      <x:c r="V217" s="81" t="inlineStr">
        <x:is>
          <x:t xml:space="preserve">Primary text</x:t>
        </x:is>
      </x:c>
      <x:c r="W217" s="81" t="inlineStr">
        <x:is>
          <x:t xml:space="preserve">Working translation</x:t>
        </x:is>
      </x:c>
      <x:c r="X217" s="81" t="inlineStr">
        <x:is>
          <x:t xml:space="preserve">A - Primary source</x:t>
        </x:is>
      </x:c>
      <x:c r="Y217" s="81" t="inlineStr">
        <x:is>
          <x:t xml:space="preserve">Original Chinese checked against Wang Bi recension on Chinese Wikisource. Vietnamese is Selflo working translation, not a published translation.</x:t>
        </x:is>
      </x:c>
      <x:c r="Z217" s="81" t="inlineStr">
        <x:is>
          <x:t xml:space="preserve">Public domain / likely</x:t>
        </x:is>
      </x:c>
      <x:c r="AA217" s="81" t="inlineStr">
        <x:is>
          <x:t xml:space="preserve">Ancient source text; verify edition/jurisdiction before commercial publication.</x:t>
        </x:is>
      </x:c>
      <x:c r="AB217" s="81" t="inlineStr">
        <x:is>
          <x:t xml:space="preserve">High</x:t>
        </x:is>
      </x:c>
      <x:c r="AC217" s="81" t="inlineStr">
        <x:is>
          <x:t xml:space="preserve">Strong.</x:t>
        </x:is>
      </x:c>
      <x:c r="AD217" s="81" t="inlineStr">
        <x:is>
          <x:t xml:space="preserve">Needs editorial review</x:t>
        </x:is>
      </x:c>
      <x:c r="AE217" s="81" t="inlineStr">
        <x:is>
          <x:t xml:space="preserve">Needs semantic dedupe review</x:t>
        </x:is>
      </x:c>
      <x:c r="AF217" s="81" t="str"/>
      <x:c r="AG217" s="81" t="str"/>
      <x:c r="AH217" s="81" t="inlineStr">
        <x:is>
          <x:t xml:space="preserve">No</x:t>
        </x:is>
      </x:c>
      <x:c r="AI217" s="81" t="inlineStr">
        <x:is>
          <x:t xml:space="preserve">Not reviewed</x:t>
        </x:is>
      </x:c>
      <x:c r="AJ217" s="81" t="inlineStr">
        <x:is>
          <x:t xml:space="preserve">Research only</x:t>
        </x:is>
      </x:c>
      <x:c r="AK217" s="81" t="inlineStr">
        <x:is>
          <x:t xml:space="preserve">Research Pool</x:t>
        </x:is>
      </x:c>
      <x:c r="AL217" s="81" t="n">
        <x:v>3</x:v>
      </x:c>
      <x:c r="AM217" s="81" t="inlineStr">
        <x:is>
          <x:t xml:space="preserve">ChatGPT research</x:t>
        </x:is>
      </x:c>
      <x:c r="AN217" s="81" t="inlineStr">
        <x:is>
          <x:t xml:space="preserve">2026-09-18</x:t>
        </x:is>
      </x:c>
      <x:c r="AO217" s="81" t="inlineStr">
        <x:is>
          <x:t xml:space="preserve">Day 3 full-scope audit, chapters 51–81.</x:t>
        </x:is>
      </x:c>
    </x:row>
    <x:row r="218">
      <x:c r="A218" s="81" t="inlineStr">
        <x:is>
          <x:t xml:space="preserve">research.laozi.day3.ch58.036</x:t>
        </x:is>
      </x:c>
      <x:c r="B218" s="81" t="inlineStr">
        <x:is>
          <x:t xml:space="preserve">Collected</x:t>
        </x:is>
      </x:c>
      <x:c r="C218" s="81" t="inlineStr">
        <x:is>
          <x:t xml:space="preserve">AI &amp; tương lai</x:t>
        </x:is>
      </x:c>
      <x:c r="D218" s="81" t="inlineStr">
        <x:is>
          <x:t xml:space="preserve">Day 3 / Laozi 51–81</x:t>
        </x:is>
      </x:c>
      <x:c r="E218" s="81" t="str"/>
      <x:c r="F218" s="81" t="inlineStr">
        <x:is>
          <x:t xml:space="preserve">Nhãn đánh giá có thể thay đổi theo hoàn cảnh</x:t>
        </x:is>
      </x:c>
      <x:c r="G218" s="81" t="inlineStr">
        <x:is>
          <x:t xml:space="preserve">Judgment</x:t>
        </x:is>
      </x:c>
      <x:c r="H218" s="81" t="str"/>
      <x:c r="I218" s="81" t="str"/>
      <x:c r="J218" s="81" t="str"/>
      <x:c r="K218" s="81" t="inlineStr">
        <x:is>
          <x:t xml:space="preserve">Distinguish</x:t>
        </x:is>
      </x:c>
      <x:c r="L218" s="81" t="inlineStr">
        <x:is>
          <x:t xml:space="preserve">Recognize</x:t>
        </x:is>
      </x:c>
      <x:c r="M218" s="81" t="inlineStr">
        <x:is>
          <x:t xml:space="preserve">Trích đoạn triết học</x:t>
        </x:is>
      </x:c>
      <x:c r="N218" s="81" t="inlineStr">
        <x:is>
          <x:t xml:space="preserve">正復為奇，善復為妖。</x:t>
        </x:is>
      </x:c>
      <x:c r="O218" s="81" t="inlineStr">
        <x:is>
          <x:t xml:space="preserve">Classical Chinese (文言文)</x:t>
        </x:is>
      </x:c>
      <x:c r="P218" s="81" t="inlineStr">
        <x:is>
          <x:t xml:space="preserve">Điều đang được xem là đúng có thể đổi hình trong bối cảnh khác; điều tốt cũng có thể bị biến dạng.</x:t>
        </x:is>
      </x:c>
      <x:c r="Q218" s="81" t="inlineStr">
        <x:is>
          <x:t xml:space="preserve">Laozi / 老子</x:t>
        </x:is>
      </x:c>
      <x:c r="R218" s="81" t="inlineStr">
        <x:is>
          <x:t xml:space="preserve">Taoism</x:t>
        </x:is>
      </x:c>
      <x:c r="S218" s="81" t="inlineStr">
        <x:is>
          <x:t xml:space="preserve">道德經 / Tao Te Ching</x:t>
        </x:is>
      </x:c>
      <x:c r="T218" s="81" t="inlineStr">
        <x:is>
          <x:t xml:space="preserve">Chapter 58</x:t>
        </x:is>
      </x:c>
      <x:c r="U218" s="81" t="inlineStr">
        <x:is>
          <x:t xml:space="preserve">https://zh.wikisource.org/zh-hant/%E9%81%93%E5%BE%B7%E7%B6%93_(%E7%8E%8B%E5%BC%BC%E6%9C%AC)</x:t>
        </x:is>
      </x:c>
      <x:c r="V218" s="81" t="inlineStr">
        <x:is>
          <x:t xml:space="preserve">Primary text</x:t>
        </x:is>
      </x:c>
      <x:c r="W218" s="81" t="inlineStr">
        <x:is>
          <x:t xml:space="preserve">Working translation</x:t>
        </x:is>
      </x:c>
      <x:c r="X218" s="81" t="inlineStr">
        <x:is>
          <x:t xml:space="preserve">A - Primary source</x:t>
        </x:is>
      </x:c>
      <x:c r="Y218" s="81" t="inlineStr">
        <x:is>
          <x:t xml:space="preserve">Original Chinese checked against Wang Bi recension on Chinese Wikisource. Vietnamese is Selflo working translation, not a published translation.</x:t>
        </x:is>
      </x:c>
      <x:c r="Z218" s="81" t="inlineStr">
        <x:is>
          <x:t xml:space="preserve">Public domain / likely</x:t>
        </x:is>
      </x:c>
      <x:c r="AA218" s="81" t="inlineStr">
        <x:is>
          <x:t xml:space="preserve">Ancient source text; verify edition/jurisdiction before commercial publication.</x:t>
        </x:is>
      </x:c>
      <x:c r="AB218" s="81" t="inlineStr">
        <x:is>
          <x:t xml:space="preserve">Medium</x:t>
        </x:is>
      </x:c>
      <x:c r="AC218" s="81" t="inlineStr">
        <x:is>
          <x:t xml:space="preserve">Needs context.</x:t>
        </x:is>
      </x:c>
      <x:c r="AD218" s="81" t="inlineStr">
        <x:is>
          <x:t xml:space="preserve">Needs editorial review</x:t>
        </x:is>
      </x:c>
      <x:c r="AE218" s="81" t="inlineStr">
        <x:is>
          <x:t xml:space="preserve">Needs semantic dedupe review</x:t>
        </x:is>
      </x:c>
      <x:c r="AF218" s="81" t="str"/>
      <x:c r="AG218" s="81" t="str"/>
      <x:c r="AH218" s="81" t="inlineStr">
        <x:is>
          <x:t xml:space="preserve">No</x:t>
        </x:is>
      </x:c>
      <x:c r="AI218" s="81" t="inlineStr">
        <x:is>
          <x:t xml:space="preserve">Not reviewed</x:t>
        </x:is>
      </x:c>
      <x:c r="AJ218" s="81" t="inlineStr">
        <x:is>
          <x:t xml:space="preserve">Research only</x:t>
        </x:is>
      </x:c>
      <x:c r="AK218" s="81" t="inlineStr">
        <x:is>
          <x:t xml:space="preserve">Research Pool</x:t>
        </x:is>
      </x:c>
      <x:c r="AL218" s="81" t="n">
        <x:v>3</x:v>
      </x:c>
      <x:c r="AM218" s="81" t="inlineStr">
        <x:is>
          <x:t xml:space="preserve">ChatGPT research</x:t>
        </x:is>
      </x:c>
      <x:c r="AN218" s="81" t="inlineStr">
        <x:is>
          <x:t xml:space="preserve">2026-09-18</x:t>
        </x:is>
      </x:c>
      <x:c r="AO218" s="81" t="inlineStr">
        <x:is>
          <x:t xml:space="preserve">Day 3 full-scope audit, chapters 51–81.</x:t>
        </x:is>
      </x:c>
    </x:row>
    <x:row r="219">
      <x:c r="A219" s="81" t="inlineStr">
        <x:is>
          <x:t xml:space="preserve">research.laozi.day3.ch58.037</x:t>
        </x:is>
      </x:c>
      <x:c r="B219" s="81" t="inlineStr">
        <x:is>
          <x:t xml:space="preserve">Collected</x:t>
        </x:is>
      </x:c>
      <x:c r="C219" s="81" t="inlineStr">
        <x:is>
          <x:t xml:space="preserve">Quan hệ</x:t>
        </x:is>
      </x:c>
      <x:c r="D219" s="81" t="inlineStr">
        <x:is>
          <x:t xml:space="preserve">Day 3 / Laozi 51–81</x:t>
        </x:is>
      </x:c>
      <x:c r="E219" s="81" t="str"/>
      <x:c r="F219" s="81" t="inlineStr">
        <x:is>
          <x:t xml:space="preserve">Giữ phẩm chất mà không biến nó thành áp lực lên người khác</x:t>
        </x:is>
      </x:c>
      <x:c r="G219" s="81" t="inlineStr">
        <x:is>
          <x:t xml:space="preserve">Relationships</x:t>
        </x:is>
      </x:c>
      <x:c r="H219" s="81" t="str"/>
      <x:c r="I219" s="81" t="str"/>
      <x:c r="J219" s="81" t="str"/>
      <x:c r="K219" s="81" t="inlineStr">
        <x:is>
          <x:t xml:space="preserve">Reframe</x:t>
        </x:is>
      </x:c>
      <x:c r="L219" s="81" t="inlineStr">
        <x:is>
          <x:t xml:space="preserve">Distinguish</x:t>
        </x:is>
      </x:c>
      <x:c r="M219" s="81" t="inlineStr">
        <x:is>
          <x:t xml:space="preserve">Trích đoạn triết học</x:t>
        </x:is>
      </x:c>
      <x:c r="N219" s="81" t="inlineStr">
        <x:is>
          <x:t xml:space="preserve">方而不割，廉而不劌，直而不肆，光而不耀。</x:t>
        </x:is>
      </x:c>
      <x:c r="O219" s="81" t="inlineStr">
        <x:is>
          <x:t xml:space="preserve">Classical Chinese (文言文)</x:t>
        </x:is>
      </x:c>
      <x:c r="P219" s="81" t="inlineStr">
        <x:is>
          <x:t xml:space="preserve">Có nguyên tắc mà không cắt người khác; sắc sảo mà không làm tổn thương; thẳng mà không áp; sáng mà không chói.</x:t>
        </x:is>
      </x:c>
      <x:c r="Q219" s="81" t="inlineStr">
        <x:is>
          <x:t xml:space="preserve">Laozi / 老子</x:t>
        </x:is>
      </x:c>
      <x:c r="R219" s="81" t="inlineStr">
        <x:is>
          <x:t xml:space="preserve">Taoism</x:t>
        </x:is>
      </x:c>
      <x:c r="S219" s="81" t="inlineStr">
        <x:is>
          <x:t xml:space="preserve">道德經 / Tao Te Ching</x:t>
        </x:is>
      </x:c>
      <x:c r="T219" s="81" t="inlineStr">
        <x:is>
          <x:t xml:space="preserve">Chapter 58</x:t>
        </x:is>
      </x:c>
      <x:c r="U219" s="81" t="inlineStr">
        <x:is>
          <x:t xml:space="preserve">https://zh.wikisource.org/zh-hant/%E9%81%93%E5%BE%B7%E7%B6%93_(%E7%8E%8B%E5%BC%BC%E6%9C%AC)</x:t>
        </x:is>
      </x:c>
      <x:c r="V219" s="81" t="inlineStr">
        <x:is>
          <x:t xml:space="preserve">Primary text</x:t>
        </x:is>
      </x:c>
      <x:c r="W219" s="81" t="inlineStr">
        <x:is>
          <x:t xml:space="preserve">Working translation</x:t>
        </x:is>
      </x:c>
      <x:c r="X219" s="81" t="inlineStr">
        <x:is>
          <x:t xml:space="preserve">A - Primary source</x:t>
        </x:is>
      </x:c>
      <x:c r="Y219" s="81" t="inlineStr">
        <x:is>
          <x:t xml:space="preserve">Original Chinese checked against Wang Bi recension on Chinese Wikisource. Vietnamese is Selflo working translation, not a published translation.</x:t>
        </x:is>
      </x:c>
      <x:c r="Z219" s="81" t="inlineStr">
        <x:is>
          <x:t xml:space="preserve">Public domain / likely</x:t>
        </x:is>
      </x:c>
      <x:c r="AA219" s="81" t="inlineStr">
        <x:is>
          <x:t xml:space="preserve">Ancient source text; verify edition/jurisdiction before commercial publication.</x:t>
        </x:is>
      </x:c>
      <x:c r="AB219" s="81" t="inlineStr">
        <x:is>
          <x:t xml:space="preserve">High</x:t>
        </x:is>
      </x:c>
      <x:c r="AC219" s="81" t="inlineStr">
        <x:is>
          <x:t xml:space="preserve">Excellent relational ethic.</x:t>
        </x:is>
      </x:c>
      <x:c r="AD219" s="81" t="inlineStr">
        <x:is>
          <x:t xml:space="preserve">Needs editorial review</x:t>
        </x:is>
      </x:c>
      <x:c r="AE219" s="81" t="inlineStr">
        <x:is>
          <x:t xml:space="preserve">Needs semantic dedupe review</x:t>
        </x:is>
      </x:c>
      <x:c r="AF219" s="81" t="str"/>
      <x:c r="AG219" s="81" t="str"/>
      <x:c r="AH219" s="81" t="inlineStr">
        <x:is>
          <x:t xml:space="preserve">No</x:t>
        </x:is>
      </x:c>
      <x:c r="AI219" s="81" t="inlineStr">
        <x:is>
          <x:t xml:space="preserve">Not reviewed</x:t>
        </x:is>
      </x:c>
      <x:c r="AJ219" s="81" t="inlineStr">
        <x:is>
          <x:t xml:space="preserve">Research only</x:t>
        </x:is>
      </x:c>
      <x:c r="AK219" s="81" t="inlineStr">
        <x:is>
          <x:t xml:space="preserve">Research Pool</x:t>
        </x:is>
      </x:c>
      <x:c r="AL219" s="81" t="n">
        <x:v>3</x:v>
      </x:c>
      <x:c r="AM219" s="81" t="inlineStr">
        <x:is>
          <x:t xml:space="preserve">ChatGPT research</x:t>
        </x:is>
      </x:c>
      <x:c r="AN219" s="81" t="inlineStr">
        <x:is>
          <x:t xml:space="preserve">2026-09-18</x:t>
        </x:is>
      </x:c>
      <x:c r="AO219" s="81" t="inlineStr">
        <x:is>
          <x:t xml:space="preserve">Day 3 full-scope audit, chapters 51–81.</x:t>
        </x:is>
      </x:c>
    </x:row>
    <x:row r="220">
      <x:c r="A220" s="81" t="inlineStr">
        <x:is>
          <x:t xml:space="preserve">research.laozi.day3.ch59.038</x:t>
        </x:is>
      </x:c>
      <x:c r="B220" s="81" t="inlineStr">
        <x:is>
          <x:t xml:space="preserve">Collected</x:t>
        </x:is>
      </x:c>
      <x:c r="C220" s="81" t="inlineStr">
        <x:is>
          <x:t xml:space="preserve">Nghỉ ngơi &amp; sức khỏe tinh thần</x:t>
        </x:is>
      </x:c>
      <x:c r="D220" s="81" t="inlineStr">
        <x:is>
          <x:t xml:space="preserve">Day 3 / Laozi 51–81</x:t>
        </x:is>
      </x:c>
      <x:c r="E220" s="81" t="str"/>
      <x:c r="F220" s="81" t="inlineStr">
        <x:is>
          <x:t xml:space="preserve">Tiết chế như điều kiện của bền vững</x:t>
        </x:is>
      </x:c>
      <x:c r="G220" s="81" t="inlineStr">
        <x:is>
          <x:t xml:space="preserve">Sustainability</x:t>
        </x:is>
      </x:c>
      <x:c r="H220" s="81" t="str"/>
      <x:c r="I220" s="81" t="str"/>
      <x:c r="J220" s="81" t="str"/>
      <x:c r="K220" s="81" t="inlineStr">
        <x:is>
          <x:t xml:space="preserve">Recognize</x:t>
        </x:is>
      </x:c>
      <x:c r="L220" s="81" t="inlineStr">
        <x:is>
          <x:t xml:space="preserve">Distinguish</x:t>
        </x:is>
      </x:c>
      <x:c r="M220" s="81" t="inlineStr">
        <x:is>
          <x:t xml:space="preserve">Trích đoạn triết học</x:t>
        </x:is>
      </x:c>
      <x:c r="N220" s="81" t="inlineStr">
        <x:is>
          <x:t xml:space="preserve">治人事天，莫若嗇。</x:t>
        </x:is>
      </x:c>
      <x:c r="O220" s="81" t="inlineStr">
        <x:is>
          <x:t xml:space="preserve">Classical Chinese (文言文)</x:t>
        </x:is>
      </x:c>
      <x:c r="P220" s="81" t="inlineStr">
        <x:is>
          <x:t xml:space="preserve">Trong việc giữ người và giữ hệ, văn bản đề cao sự tiết chế.</x:t>
        </x:is>
      </x:c>
      <x:c r="Q220" s="81" t="inlineStr">
        <x:is>
          <x:t xml:space="preserve">Laozi / 老子</x:t>
        </x:is>
      </x:c>
      <x:c r="R220" s="81" t="inlineStr">
        <x:is>
          <x:t xml:space="preserve">Taoism</x:t>
        </x:is>
      </x:c>
      <x:c r="S220" s="81" t="inlineStr">
        <x:is>
          <x:t xml:space="preserve">道德經 / Tao Te Ching</x:t>
        </x:is>
      </x:c>
      <x:c r="T220" s="81" t="inlineStr">
        <x:is>
          <x:t xml:space="preserve">Chapter 59</x:t>
        </x:is>
      </x:c>
      <x:c r="U220" s="81" t="inlineStr">
        <x:is>
          <x:t xml:space="preserve">https://zh.wikisource.org/zh-hant/%E9%81%93%E5%BE%B7%E7%B6%93_(%E7%8E%8B%E5%BC%BC%E6%9C%AC)</x:t>
        </x:is>
      </x:c>
      <x:c r="V220" s="81" t="inlineStr">
        <x:is>
          <x:t xml:space="preserve">Primary text</x:t>
        </x:is>
      </x:c>
      <x:c r="W220" s="81" t="inlineStr">
        <x:is>
          <x:t xml:space="preserve">Working translation</x:t>
        </x:is>
      </x:c>
      <x:c r="X220" s="81" t="inlineStr">
        <x:is>
          <x:t xml:space="preserve">A - Primary source</x:t>
        </x:is>
      </x:c>
      <x:c r="Y220" s="81" t="inlineStr">
        <x:is>
          <x:t xml:space="preserve">Original Chinese checked against Wang Bi recension on Chinese Wikisource. Vietnamese is Selflo working translation, not a published translation.</x:t>
        </x:is>
      </x:c>
      <x:c r="Z220" s="81" t="inlineStr">
        <x:is>
          <x:t xml:space="preserve">Public domain / likely</x:t>
        </x:is>
      </x:c>
      <x:c r="AA220" s="81" t="inlineStr">
        <x:is>
          <x:t xml:space="preserve">Ancient source text; verify edition/jurisdiction before commercial publication.</x:t>
        </x:is>
      </x:c>
      <x:c r="AB220" s="81" t="inlineStr">
        <x:is>
          <x:t xml:space="preserve">High</x:t>
        </x:is>
      </x:c>
      <x:c r="AC220" s="81" t="inlineStr">
        <x:is>
          <x:t xml:space="preserve">嗇 nuanced.</x:t>
        </x:is>
      </x:c>
      <x:c r="AD220" s="81" t="inlineStr">
        <x:is>
          <x:t xml:space="preserve">Needs editorial review</x:t>
        </x:is>
      </x:c>
      <x:c r="AE220" s="81" t="inlineStr">
        <x:is>
          <x:t xml:space="preserve">Needs semantic dedupe review</x:t>
        </x:is>
      </x:c>
      <x:c r="AF220" s="81" t="str"/>
      <x:c r="AG220" s="81" t="str"/>
      <x:c r="AH220" s="81" t="inlineStr">
        <x:is>
          <x:t xml:space="preserve">No</x:t>
        </x:is>
      </x:c>
      <x:c r="AI220" s="81" t="inlineStr">
        <x:is>
          <x:t xml:space="preserve">Not reviewed</x:t>
        </x:is>
      </x:c>
      <x:c r="AJ220" s="81" t="inlineStr">
        <x:is>
          <x:t xml:space="preserve">Research only</x:t>
        </x:is>
      </x:c>
      <x:c r="AK220" s="81" t="inlineStr">
        <x:is>
          <x:t xml:space="preserve">Research Pool</x:t>
        </x:is>
      </x:c>
      <x:c r="AL220" s="81" t="n">
        <x:v>3</x:v>
      </x:c>
      <x:c r="AM220" s="81" t="inlineStr">
        <x:is>
          <x:t xml:space="preserve">ChatGPT research</x:t>
        </x:is>
      </x:c>
      <x:c r="AN220" s="81" t="inlineStr">
        <x:is>
          <x:t xml:space="preserve">2026-09-18</x:t>
        </x:is>
      </x:c>
      <x:c r="AO220" s="81" t="inlineStr">
        <x:is>
          <x:t xml:space="preserve">Day 3 full-scope audit, chapters 51–81.</x:t>
        </x:is>
      </x:c>
    </x:row>
    <x:row r="221">
      <x:c r="A221" s="81" t="inlineStr">
        <x:is>
          <x:t xml:space="preserve">research.laozi.day3.ch59.039</x:t>
        </x:is>
      </x:c>
      <x:c r="B221" s="81" t="inlineStr">
        <x:is>
          <x:t xml:space="preserve">Collected</x:t>
        </x:is>
      </x:c>
      <x:c r="C221" s="81" t="inlineStr">
        <x:is>
          <x:t xml:space="preserve">Nghỉ ngơi &amp; sức khỏe tinh thần</x:t>
        </x:is>
      </x:c>
      <x:c r="D221" s="81" t="inlineStr">
        <x:is>
          <x:t xml:space="preserve">Day 3 / Laozi 51–81</x:t>
        </x:is>
      </x:c>
      <x:c r="E221" s="81" t="str"/>
      <x:c r="F221" s="81" t="inlineStr">
        <x:is>
          <x:t xml:space="preserve">Phòng ngừa trước khi quá tải</x:t>
        </x:is>
      </x:c>
      <x:c r="G221" s="81" t="inlineStr">
        <x:is>
          <x:t xml:space="preserve">Limits</x:t>
        </x:is>
      </x:c>
      <x:c r="H221" s="81" t="str"/>
      <x:c r="I221" s="81" t="str"/>
      <x:c r="J221" s="81" t="str"/>
      <x:c r="K221" s="81" t="inlineStr">
        <x:is>
          <x:t xml:space="preserve">Recognize</x:t>
        </x:is>
      </x:c>
      <x:c r="L221" s="81" t="inlineStr">
        <x:is>
          <x:t xml:space="preserve">Distinguish</x:t>
        </x:is>
      </x:c>
      <x:c r="M221" s="81" t="inlineStr">
        <x:is>
          <x:t xml:space="preserve">Trích đoạn triết học</x:t>
        </x:is>
      </x:c>
      <x:c r="N221" s="81" t="inlineStr">
        <x:is>
          <x:t xml:space="preserve">夫唯嗇，是謂早服。</x:t>
        </x:is>
      </x:c>
      <x:c r="O221" s="81" t="inlineStr">
        <x:is>
          <x:t xml:space="preserve">Classical Chinese (文言文)</x:t>
        </x:is>
      </x:c>
      <x:c r="P221" s="81" t="inlineStr">
        <x:is>
          <x:t xml:space="preserve">Biết tiết chế sớm giúp chuẩn bị trước khi cạn.</x:t>
        </x:is>
      </x:c>
      <x:c r="Q221" s="81" t="inlineStr">
        <x:is>
          <x:t xml:space="preserve">Laozi / 老子</x:t>
        </x:is>
      </x:c>
      <x:c r="R221" s="81" t="inlineStr">
        <x:is>
          <x:t xml:space="preserve">Taoism</x:t>
        </x:is>
      </x:c>
      <x:c r="S221" s="81" t="inlineStr">
        <x:is>
          <x:t xml:space="preserve">道德經 / Tao Te Ching</x:t>
        </x:is>
      </x:c>
      <x:c r="T221" s="81" t="inlineStr">
        <x:is>
          <x:t xml:space="preserve">Chapter 59</x:t>
        </x:is>
      </x:c>
      <x:c r="U221" s="81" t="inlineStr">
        <x:is>
          <x:t xml:space="preserve">https://zh.wikisource.org/zh-hant/%E9%81%93%E5%BE%B7%E7%B6%93_(%E7%8E%8B%E5%BC%BC%E6%9C%AC)</x:t>
        </x:is>
      </x:c>
      <x:c r="V221" s="81" t="inlineStr">
        <x:is>
          <x:t xml:space="preserve">Primary text</x:t>
        </x:is>
      </x:c>
      <x:c r="W221" s="81" t="inlineStr">
        <x:is>
          <x:t xml:space="preserve">Working translation</x:t>
        </x:is>
      </x:c>
      <x:c r="X221" s="81" t="inlineStr">
        <x:is>
          <x:t xml:space="preserve">A - Primary source</x:t>
        </x:is>
      </x:c>
      <x:c r="Y221" s="81" t="inlineStr">
        <x:is>
          <x:t xml:space="preserve">Original Chinese checked against Wang Bi recension on Chinese Wikisource. Vietnamese is Selflo working translation, not a published translation.</x:t>
        </x:is>
      </x:c>
      <x:c r="Z221" s="81" t="inlineStr">
        <x:is>
          <x:t xml:space="preserve">Public domain / likely</x:t>
        </x:is>
      </x:c>
      <x:c r="AA221" s="81" t="inlineStr">
        <x:is>
          <x:t xml:space="preserve">Ancient source text; verify edition/jurisdiction before commercial publication.</x:t>
        </x:is>
      </x:c>
      <x:c r="AB221" s="81" t="inlineStr">
        <x:is>
          <x:t xml:space="preserve">High</x:t>
        </x:is>
      </x:c>
      <x:c r="AC221" s="81" t="inlineStr">
        <x:is>
          <x:t xml:space="preserve">Recovery.</x:t>
        </x:is>
      </x:c>
      <x:c r="AD221" s="81" t="inlineStr">
        <x:is>
          <x:t xml:space="preserve">Needs editorial review</x:t>
        </x:is>
      </x:c>
      <x:c r="AE221" s="81" t="inlineStr">
        <x:is>
          <x:t xml:space="preserve">Needs semantic dedupe review</x:t>
        </x:is>
      </x:c>
      <x:c r="AF221" s="81" t="str"/>
      <x:c r="AG221" s="81" t="str"/>
      <x:c r="AH221" s="81" t="inlineStr">
        <x:is>
          <x:t xml:space="preserve">No</x:t>
        </x:is>
      </x:c>
      <x:c r="AI221" s="81" t="inlineStr">
        <x:is>
          <x:t xml:space="preserve">Not reviewed</x:t>
        </x:is>
      </x:c>
      <x:c r="AJ221" s="81" t="inlineStr">
        <x:is>
          <x:t xml:space="preserve">Research only</x:t>
        </x:is>
      </x:c>
      <x:c r="AK221" s="81" t="inlineStr">
        <x:is>
          <x:t xml:space="preserve">Research Pool</x:t>
        </x:is>
      </x:c>
      <x:c r="AL221" s="81" t="n">
        <x:v>3</x:v>
      </x:c>
      <x:c r="AM221" s="81" t="inlineStr">
        <x:is>
          <x:t xml:space="preserve">ChatGPT research</x:t>
        </x:is>
      </x:c>
      <x:c r="AN221" s="81" t="inlineStr">
        <x:is>
          <x:t xml:space="preserve">2026-09-18</x:t>
        </x:is>
      </x:c>
      <x:c r="AO221" s="81" t="inlineStr">
        <x:is>
          <x:t xml:space="preserve">Day 3 full-scope audit, chapters 51–81.</x:t>
        </x:is>
      </x:c>
    </x:row>
    <x:row r="222">
      <x:c r="A222" s="81" t="inlineStr">
        <x:is>
          <x:t xml:space="preserve">research.laozi.day3.ch59.040</x:t>
        </x:is>
      </x:c>
      <x:c r="B222" s="81" t="inlineStr">
        <x:is>
          <x:t xml:space="preserve">Collected</x:t>
        </x:is>
      </x:c>
      <x:c r="C222" s="81" t="inlineStr">
        <x:is>
          <x:t xml:space="preserve">Công việc &amp; mục đích</x:t>
        </x:is>
      </x:c>
      <x:c r="D222" s="81" t="inlineStr">
        <x:is>
          <x:t xml:space="preserve">Day 3 / Laozi 51–81</x:t>
        </x:is>
      </x:c>
      <x:c r="E222" s="81" t="str"/>
      <x:c r="F222" s="81" t="inlineStr">
        <x:is>
          <x:t xml:space="preserve">Tính bền đến từ tích lũy trước khủng hoảng</x:t>
        </x:is>
      </x:c>
      <x:c r="G222" s="81" t="inlineStr">
        <x:is>
          <x:t xml:space="preserve">Foundations</x:t>
        </x:is>
      </x:c>
      <x:c r="H222" s="81" t="str"/>
      <x:c r="I222" s="81" t="str"/>
      <x:c r="J222" s="81" t="str"/>
      <x:c r="K222" s="81" t="inlineStr">
        <x:is>
          <x:t xml:space="preserve">Reframe</x:t>
        </x:is>
      </x:c>
      <x:c r="L222" s="81" t="inlineStr">
        <x:is>
          <x:t xml:space="preserve">Distinguish</x:t>
        </x:is>
      </x:c>
      <x:c r="M222" s="81" t="inlineStr">
        <x:is>
          <x:t xml:space="preserve">Trích đoạn triết học</x:t>
        </x:is>
      </x:c>
      <x:c r="N222" s="81" t="inlineStr">
        <x:is>
          <x:t xml:space="preserve">早服謂之重積德。</x:t>
        </x:is>
      </x:c>
      <x:c r="O222" s="81" t="inlineStr">
        <x:is>
          <x:t xml:space="preserve">Classical Chinese (文言文)</x:t>
        </x:is>
      </x:c>
      <x:c r="P222" s="81" t="inlineStr">
        <x:is>
          <x:t xml:space="preserve">Chuẩn bị sớm được ví như tích lũy nền tảng từng lớp.</x:t>
        </x:is>
      </x:c>
      <x:c r="Q222" s="81" t="inlineStr">
        <x:is>
          <x:t xml:space="preserve">Laozi / 老子</x:t>
        </x:is>
      </x:c>
      <x:c r="R222" s="81" t="inlineStr">
        <x:is>
          <x:t xml:space="preserve">Taoism</x:t>
        </x:is>
      </x:c>
      <x:c r="S222" s="81" t="inlineStr">
        <x:is>
          <x:t xml:space="preserve">道德經 / Tao Te Ching</x:t>
        </x:is>
      </x:c>
      <x:c r="T222" s="81" t="inlineStr">
        <x:is>
          <x:t xml:space="preserve">Chapter 59</x:t>
        </x:is>
      </x:c>
      <x:c r="U222" s="81" t="inlineStr">
        <x:is>
          <x:t xml:space="preserve">https://zh.wikisource.org/zh-hant/%E9%81%93%E5%BE%B7%E7%B6%93_(%E7%8E%8B%E5%BC%BC%E6%9C%AC)</x:t>
        </x:is>
      </x:c>
      <x:c r="V222" s="81" t="inlineStr">
        <x:is>
          <x:t xml:space="preserve">Primary text</x:t>
        </x:is>
      </x:c>
      <x:c r="W222" s="81" t="inlineStr">
        <x:is>
          <x:t xml:space="preserve">Working translation</x:t>
        </x:is>
      </x:c>
      <x:c r="X222" s="81" t="inlineStr">
        <x:is>
          <x:t xml:space="preserve">A - Primary source</x:t>
        </x:is>
      </x:c>
      <x:c r="Y222" s="81" t="inlineStr">
        <x:is>
          <x:t xml:space="preserve">Original Chinese checked against Wang Bi recension on Chinese Wikisource. Vietnamese is Selflo working translation, not a published translation.</x:t>
        </x:is>
      </x:c>
      <x:c r="Z222" s="81" t="inlineStr">
        <x:is>
          <x:t xml:space="preserve">Public domain / likely</x:t>
        </x:is>
      </x:c>
      <x:c r="AA222" s="81" t="inlineStr">
        <x:is>
          <x:t xml:space="preserve">Ancient source text; verify edition/jurisdiction before commercial publication.</x:t>
        </x:is>
      </x:c>
      <x:c r="AB222" s="81" t="inlineStr">
        <x:is>
          <x:t xml:space="preserve">High</x:t>
        </x:is>
      </x:c>
      <x:c r="AC222" s="81" t="inlineStr">
        <x:is>
          <x:t xml:space="preserve">Strong.</x:t>
        </x:is>
      </x:c>
      <x:c r="AD222" s="81" t="inlineStr">
        <x:is>
          <x:t xml:space="preserve">Needs editorial review</x:t>
        </x:is>
      </x:c>
      <x:c r="AE222" s="81" t="inlineStr">
        <x:is>
          <x:t xml:space="preserve">Needs semantic dedupe review</x:t>
        </x:is>
      </x:c>
      <x:c r="AF222" s="81" t="str"/>
      <x:c r="AG222" s="81" t="str"/>
      <x:c r="AH222" s="81" t="inlineStr">
        <x:is>
          <x:t xml:space="preserve">No</x:t>
        </x:is>
      </x:c>
      <x:c r="AI222" s="81" t="inlineStr">
        <x:is>
          <x:t xml:space="preserve">Not reviewed</x:t>
        </x:is>
      </x:c>
      <x:c r="AJ222" s="81" t="inlineStr">
        <x:is>
          <x:t xml:space="preserve">Research only</x:t>
        </x:is>
      </x:c>
      <x:c r="AK222" s="81" t="inlineStr">
        <x:is>
          <x:t xml:space="preserve">Research Pool</x:t>
        </x:is>
      </x:c>
      <x:c r="AL222" s="81" t="n">
        <x:v>3</x:v>
      </x:c>
      <x:c r="AM222" s="81" t="inlineStr">
        <x:is>
          <x:t xml:space="preserve">ChatGPT research</x:t>
        </x:is>
      </x:c>
      <x:c r="AN222" s="81" t="inlineStr">
        <x:is>
          <x:t xml:space="preserve">2026-09-18</x:t>
        </x:is>
      </x:c>
      <x:c r="AO222" s="81" t="inlineStr">
        <x:is>
          <x:t xml:space="preserve">Day 3 full-scope audit, chapters 51–81.</x:t>
        </x:is>
      </x:c>
    </x:row>
    <x:row r="223">
      <x:c r="A223" s="81" t="inlineStr">
        <x:is>
          <x:t xml:space="preserve">research.laozi.day3.ch59.041</x:t>
        </x:is>
      </x:c>
      <x:c r="B223" s="81" t="inlineStr">
        <x:is>
          <x:t xml:space="preserve">Collected</x:t>
        </x:is>
      </x:c>
      <x:c r="C223" s="81" t="inlineStr">
        <x:is>
          <x:t xml:space="preserve">Công việc &amp; mục đích</x:t>
        </x:is>
      </x:c>
      <x:c r="D223" s="81" t="inlineStr">
        <x:is>
          <x:t xml:space="preserve">Day 3 / Laozi 51–81</x:t>
        </x:is>
      </x:c>
      <x:c r="E223" s="81" t="str"/>
      <x:c r="F223" s="81" t="inlineStr">
        <x:is>
          <x:t xml:space="preserve">Nền sâu quan trọng hơn tăng trưởng bề mặt</x:t>
        </x:is>
      </x:c>
      <x:c r="G223" s="81" t="inlineStr">
        <x:is>
          <x:t xml:space="preserve">Foundations</x:t>
        </x:is>
      </x:c>
      <x:c r="H223" s="81" t="str"/>
      <x:c r="I223" s="81" t="str"/>
      <x:c r="J223" s="81" t="str"/>
      <x:c r="K223" s="81" t="inlineStr">
        <x:is>
          <x:t xml:space="preserve">Reframe</x:t>
        </x:is>
      </x:c>
      <x:c r="L223" s="81" t="inlineStr">
        <x:is>
          <x:t xml:space="preserve">Distinguish</x:t>
        </x:is>
      </x:c>
      <x:c r="M223" s="81" t="inlineStr">
        <x:is>
          <x:t xml:space="preserve">Trích đoạn triết học</x:t>
        </x:is>
      </x:c>
      <x:c r="N223" s="81" t="inlineStr">
        <x:is>
          <x:t xml:space="preserve">深根固柢，長生久視之道。</x:t>
        </x:is>
      </x:c>
      <x:c r="O223" s="81" t="inlineStr">
        <x:is>
          <x:t xml:space="preserve">Classical Chinese (文言文)</x:t>
        </x:is>
      </x:c>
      <x:c r="P223" s="81" t="inlineStr">
        <x:is>
          <x:t xml:space="preserve">Rễ sâu, gốc chắc được dùng như hình ảnh của sự bền lâu.</x:t>
        </x:is>
      </x:c>
      <x:c r="Q223" s="81" t="inlineStr">
        <x:is>
          <x:t xml:space="preserve">Laozi / 老子</x:t>
        </x:is>
      </x:c>
      <x:c r="R223" s="81" t="inlineStr">
        <x:is>
          <x:t xml:space="preserve">Taoism</x:t>
        </x:is>
      </x:c>
      <x:c r="S223" s="81" t="inlineStr">
        <x:is>
          <x:t xml:space="preserve">道德經 / Tao Te Ching</x:t>
        </x:is>
      </x:c>
      <x:c r="T223" s="81" t="inlineStr">
        <x:is>
          <x:t xml:space="preserve">Chapter 59</x:t>
        </x:is>
      </x:c>
      <x:c r="U223" s="81" t="inlineStr">
        <x:is>
          <x:t xml:space="preserve">https://zh.wikisource.org/zh-hant/%E9%81%93%E5%BE%B7%E7%B6%93_(%E7%8E%8B%E5%BC%BC%E6%9C%AC)</x:t>
        </x:is>
      </x:c>
      <x:c r="V223" s="81" t="inlineStr">
        <x:is>
          <x:t xml:space="preserve">Primary text</x:t>
        </x:is>
      </x:c>
      <x:c r="W223" s="81" t="inlineStr">
        <x:is>
          <x:t xml:space="preserve">Working translation</x:t>
        </x:is>
      </x:c>
      <x:c r="X223" s="81" t="inlineStr">
        <x:is>
          <x:t xml:space="preserve">A - Primary source</x:t>
        </x:is>
      </x:c>
      <x:c r="Y223" s="81" t="inlineStr">
        <x:is>
          <x:t xml:space="preserve">Original Chinese checked against Wang Bi recension on Chinese Wikisource. Vietnamese is Selflo working translation, not a published translation.</x:t>
        </x:is>
      </x:c>
      <x:c r="Z223" s="81" t="inlineStr">
        <x:is>
          <x:t xml:space="preserve">Public domain / likely</x:t>
        </x:is>
      </x:c>
      <x:c r="AA223" s="81" t="inlineStr">
        <x:is>
          <x:t xml:space="preserve">Ancient source text; verify edition/jurisdiction before commercial publication.</x:t>
        </x:is>
      </x:c>
      <x:c r="AB223" s="81" t="inlineStr">
        <x:is>
          <x:t xml:space="preserve">High</x:t>
        </x:is>
      </x:c>
      <x:c r="AC223" s="81" t="inlineStr">
        <x:is>
          <x:t xml:space="preserve">Metaphor.</x:t>
        </x:is>
      </x:c>
      <x:c r="AD223" s="81" t="inlineStr">
        <x:is>
          <x:t xml:space="preserve">Needs editorial review</x:t>
        </x:is>
      </x:c>
      <x:c r="AE223" s="81" t="inlineStr">
        <x:is>
          <x:t xml:space="preserve">Needs semantic dedupe review</x:t>
        </x:is>
      </x:c>
      <x:c r="AF223" s="81" t="str"/>
      <x:c r="AG223" s="81" t="str"/>
      <x:c r="AH223" s="81" t="inlineStr">
        <x:is>
          <x:t xml:space="preserve">No</x:t>
        </x:is>
      </x:c>
      <x:c r="AI223" s="81" t="inlineStr">
        <x:is>
          <x:t xml:space="preserve">Not reviewed</x:t>
        </x:is>
      </x:c>
      <x:c r="AJ223" s="81" t="inlineStr">
        <x:is>
          <x:t xml:space="preserve">Research only</x:t>
        </x:is>
      </x:c>
      <x:c r="AK223" s="81" t="inlineStr">
        <x:is>
          <x:t xml:space="preserve">Research Pool</x:t>
        </x:is>
      </x:c>
      <x:c r="AL223" s="81" t="n">
        <x:v>3</x:v>
      </x:c>
      <x:c r="AM223" s="81" t="inlineStr">
        <x:is>
          <x:t xml:space="preserve">ChatGPT research</x:t>
        </x:is>
      </x:c>
      <x:c r="AN223" s="81" t="inlineStr">
        <x:is>
          <x:t xml:space="preserve">2026-09-18</x:t>
        </x:is>
      </x:c>
      <x:c r="AO223" s="81" t="inlineStr">
        <x:is>
          <x:t xml:space="preserve">Day 3 full-scope audit, chapters 51–81.</x:t>
        </x:is>
      </x:c>
    </x:row>
    <x:row r="224">
      <x:c r="A224" s="81" t="inlineStr">
        <x:is>
          <x:t xml:space="preserve">research.laozi.day3.ch60.042</x:t>
        </x:is>
      </x:c>
      <x:c r="B224" s="81" t="inlineStr">
        <x:is>
          <x:t xml:space="preserve">Collected</x:t>
        </x:is>
      </x:c>
      <x:c r="C224" s="81" t="inlineStr">
        <x:is>
          <x:t xml:space="preserve">Nội tâm &amp; hiểu mình</x:t>
        </x:is>
      </x:c>
      <x:c r="D224" s="81" t="inlineStr">
        <x:is>
          <x:t xml:space="preserve">Day 3 / Laozi 51–81</x:t>
        </x:is>
      </x:c>
      <x:c r="E224" s="81" t="str"/>
      <x:c r="F224" s="81" t="inlineStr">
        <x:is>
          <x:t xml:space="preserve">Can thiệp quá nhiều có thể làm hỏng hệ đang vận hành</x:t>
        </x:is>
      </x:c>
      <x:c r="G224" s="81" t="inlineStr">
        <x:is>
          <x:t xml:space="preserve">Control</x:t>
        </x:is>
      </x:c>
      <x:c r="H224" s="81" t="str"/>
      <x:c r="I224" s="81" t="str"/>
      <x:c r="J224" s="81" t="str"/>
      <x:c r="K224" s="81" t="inlineStr">
        <x:is>
          <x:t xml:space="preserve">Reframe</x:t>
        </x:is>
      </x:c>
      <x:c r="L224" s="81" t="inlineStr">
        <x:is>
          <x:t xml:space="preserve">Distinguish</x:t>
        </x:is>
      </x:c>
      <x:c r="M224" s="81" t="inlineStr">
        <x:is>
          <x:t xml:space="preserve">Trích đoạn triết học</x:t>
        </x:is>
      </x:c>
      <x:c r="N224" s="81" t="inlineStr">
        <x:is>
          <x:t xml:space="preserve">治大國若烹小鮮。</x:t>
        </x:is>
      </x:c>
      <x:c r="O224" s="81" t="inlineStr">
        <x:is>
          <x:t xml:space="preserve">Classical Chinese (文言文)</x:t>
        </x:is>
      </x:c>
      <x:c r="P224" s="81" t="inlineStr">
        <x:is>
          <x:t xml:space="preserve">Quản trị một hệ lớn giống nấu cá nhỏ: đảo quá nhiều dễ làm nát.</x:t>
        </x:is>
      </x:c>
      <x:c r="Q224" s="81" t="inlineStr">
        <x:is>
          <x:t xml:space="preserve">Laozi / 老子</x:t>
        </x:is>
      </x:c>
      <x:c r="R224" s="81" t="inlineStr">
        <x:is>
          <x:t xml:space="preserve">Taoism</x:t>
        </x:is>
      </x:c>
      <x:c r="S224" s="81" t="inlineStr">
        <x:is>
          <x:t xml:space="preserve">道德經 / Tao Te Ching</x:t>
        </x:is>
      </x:c>
      <x:c r="T224" s="81" t="inlineStr">
        <x:is>
          <x:t xml:space="preserve">Chapter 60</x:t>
        </x:is>
      </x:c>
      <x:c r="U224" s="81" t="inlineStr">
        <x:is>
          <x:t xml:space="preserve">https://zh.wikisource.org/zh-hant/%E9%81%93%E5%BE%B7%E7%B6%93_(%E7%8E%8B%E5%BC%BC%E6%9C%AC)</x:t>
        </x:is>
      </x:c>
      <x:c r="V224" s="81" t="inlineStr">
        <x:is>
          <x:t xml:space="preserve">Primary text</x:t>
        </x:is>
      </x:c>
      <x:c r="W224" s="81" t="inlineStr">
        <x:is>
          <x:t xml:space="preserve">Working translation</x:t>
        </x:is>
      </x:c>
      <x:c r="X224" s="81" t="inlineStr">
        <x:is>
          <x:t xml:space="preserve">A - Primary source</x:t>
        </x:is>
      </x:c>
      <x:c r="Y224" s="81" t="inlineStr">
        <x:is>
          <x:t xml:space="preserve">Original Chinese checked against Wang Bi recension on Chinese Wikisource. Vietnamese is Selflo working translation, not a published translation.</x:t>
        </x:is>
      </x:c>
      <x:c r="Z224" s="81" t="inlineStr">
        <x:is>
          <x:t xml:space="preserve">Public domain / likely</x:t>
        </x:is>
      </x:c>
      <x:c r="AA224" s="81" t="inlineStr">
        <x:is>
          <x:t xml:space="preserve">Ancient source text; verify edition/jurisdiction before commercial publication.</x:t>
        </x:is>
      </x:c>
      <x:c r="AB224" s="81" t="inlineStr">
        <x:is>
          <x:t xml:space="preserve">High</x:t>
        </x:is>
      </x:c>
      <x:c r="AC224" s="81" t="inlineStr">
        <x:is>
          <x:t xml:space="preserve">Excellent systems metaphor.</x:t>
        </x:is>
      </x:c>
      <x:c r="AD224" s="81" t="inlineStr">
        <x:is>
          <x:t xml:space="preserve">Needs editorial review</x:t>
        </x:is>
      </x:c>
      <x:c r="AE224" s="81" t="inlineStr">
        <x:is>
          <x:t xml:space="preserve">Needs semantic dedupe review</x:t>
        </x:is>
      </x:c>
      <x:c r="AF224" s="81" t="str"/>
      <x:c r="AG224" s="81" t="str"/>
      <x:c r="AH224" s="81" t="inlineStr">
        <x:is>
          <x:t xml:space="preserve">No</x:t>
        </x:is>
      </x:c>
      <x:c r="AI224" s="81" t="inlineStr">
        <x:is>
          <x:t xml:space="preserve">Not reviewed</x:t>
        </x:is>
      </x:c>
      <x:c r="AJ224" s="81" t="inlineStr">
        <x:is>
          <x:t xml:space="preserve">Research only</x:t>
        </x:is>
      </x:c>
      <x:c r="AK224" s="81" t="inlineStr">
        <x:is>
          <x:t xml:space="preserve">Research Pool</x:t>
        </x:is>
      </x:c>
      <x:c r="AL224" s="81" t="n">
        <x:v>3</x:v>
      </x:c>
      <x:c r="AM224" s="81" t="inlineStr">
        <x:is>
          <x:t xml:space="preserve">ChatGPT research</x:t>
        </x:is>
      </x:c>
      <x:c r="AN224" s="81" t="inlineStr">
        <x:is>
          <x:t xml:space="preserve">2026-09-18</x:t>
        </x:is>
      </x:c>
      <x:c r="AO224" s="81" t="inlineStr">
        <x:is>
          <x:t xml:space="preserve">Day 3 full-scope audit, chapters 51–81.</x:t>
        </x:is>
      </x:c>
    </x:row>
    <x:row r="225">
      <x:c r="A225" s="81" t="inlineStr">
        <x:is>
          <x:t xml:space="preserve">research.laozi.day3.ch60.043</x:t>
        </x:is>
      </x:c>
      <x:c r="B225" s="81" t="inlineStr">
        <x:is>
          <x:t xml:space="preserve">Collected</x:t>
        </x:is>
      </x:c>
      <x:c r="C225" s="81" t="inlineStr">
        <x:is>
          <x:t xml:space="preserve">Nội tâm &amp; hiểu mình</x:t>
        </x:is>
      </x:c>
      <x:c r="D225" s="81" t="inlineStr">
        <x:is>
          <x:t xml:space="preserve">Day 3 / Laozi 51–81</x:t>
        </x:is>
      </x:c>
      <x:c r="E225" s="81" t="str"/>
      <x:c r="F225" s="81" t="inlineStr">
        <x:is>
          <x:t xml:space="preserve">Nền tốt có thể giảm sức mạnh của nỗi sợ</x:t>
        </x:is>
      </x:c>
      <x:c r="G225" s="81" t="inlineStr">
        <x:is>
          <x:t xml:space="preserve">Fear</x:t>
        </x:is>
      </x:c>
      <x:c r="H225" s="81" t="str"/>
      <x:c r="I225" s="81" t="str"/>
      <x:c r="J225" s="81" t="str"/>
      <x:c r="K225" s="81" t="inlineStr">
        <x:is>
          <x:t xml:space="preserve">Reframe</x:t>
        </x:is>
      </x:c>
      <x:c r="L225" s="81" t="inlineStr">
        <x:is>
          <x:t xml:space="preserve">Distinguish</x:t>
        </x:is>
      </x:c>
      <x:c r="M225" s="81" t="inlineStr">
        <x:is>
          <x:t xml:space="preserve">Trích đoạn triết học</x:t>
        </x:is>
      </x:c>
      <x:c r="N225" s="81" t="inlineStr">
        <x:is>
          <x:t xml:space="preserve">以道蒞天下，其鬼不神。</x:t>
        </x:is>
      </x:c>
      <x:c r="O225" s="81" t="inlineStr">
        <x:is>
          <x:t xml:space="preserve">Classical Chinese (文言文)</x:t>
        </x:is>
      </x:c>
      <x:c r="P225" s="81" t="inlineStr">
        <x:is>
          <x:t xml:space="preserve">Khi hệ được giữ đúng nguyên lý, những lực gây sợ hãi không còn chi phối theo cách cũ.</x:t>
        </x:is>
      </x:c>
      <x:c r="Q225" s="81" t="inlineStr">
        <x:is>
          <x:t xml:space="preserve">Laozi / 老子</x:t>
        </x:is>
      </x:c>
      <x:c r="R225" s="81" t="inlineStr">
        <x:is>
          <x:t xml:space="preserve">Taoism</x:t>
        </x:is>
      </x:c>
      <x:c r="S225" s="81" t="inlineStr">
        <x:is>
          <x:t xml:space="preserve">道德經 / Tao Te Ching</x:t>
        </x:is>
      </x:c>
      <x:c r="T225" s="81" t="inlineStr">
        <x:is>
          <x:t xml:space="preserve">Chapter 60</x:t>
        </x:is>
      </x:c>
      <x:c r="U225" s="81" t="inlineStr">
        <x:is>
          <x:t xml:space="preserve">https://zh.wikisource.org/zh-hant/%E9%81%93%E5%BE%B7%E7%B6%93_(%E7%8E%8B%E5%BC%BC%E6%9C%AC)</x:t>
        </x:is>
      </x:c>
      <x:c r="V225" s="81" t="inlineStr">
        <x:is>
          <x:t xml:space="preserve">Primary text</x:t>
        </x:is>
      </x:c>
      <x:c r="W225" s="81" t="inlineStr">
        <x:is>
          <x:t xml:space="preserve">Working translation</x:t>
        </x:is>
      </x:c>
      <x:c r="X225" s="81" t="inlineStr">
        <x:is>
          <x:t xml:space="preserve">A - Primary source</x:t>
        </x:is>
      </x:c>
      <x:c r="Y225" s="81" t="inlineStr">
        <x:is>
          <x:t xml:space="preserve">Original Chinese checked against Wang Bi recension on Chinese Wikisource. Vietnamese is Selflo working translation, not a published translation.</x:t>
        </x:is>
      </x:c>
      <x:c r="Z225" s="81" t="inlineStr">
        <x:is>
          <x:t xml:space="preserve">Public domain / likely</x:t>
        </x:is>
      </x:c>
      <x:c r="AA225" s="81" t="inlineStr">
        <x:is>
          <x:t xml:space="preserve">Ancient source text; verify edition/jurisdiction before commercial publication.</x:t>
        </x:is>
      </x:c>
      <x:c r="AB225" s="81" t="inlineStr">
        <x:is>
          <x:t xml:space="preserve">Low</x:t>
        </x:is>
      </x:c>
      <x:c r="AC225" s="81" t="inlineStr">
        <x:is>
          <x:t xml:space="preserve">Supernatural language; research only.</x:t>
        </x:is>
      </x:c>
      <x:c r="AD225" s="81" t="inlineStr">
        <x:is>
          <x:t xml:space="preserve">Needs editorial review</x:t>
        </x:is>
      </x:c>
      <x:c r="AE225" s="81" t="inlineStr">
        <x:is>
          <x:t xml:space="preserve">Needs semantic dedupe review</x:t>
        </x:is>
      </x:c>
      <x:c r="AF225" s="81" t="str"/>
      <x:c r="AG225" s="81" t="str"/>
      <x:c r="AH225" s="81" t="inlineStr">
        <x:is>
          <x:t xml:space="preserve">No</x:t>
        </x:is>
      </x:c>
      <x:c r="AI225" s="81" t="inlineStr">
        <x:is>
          <x:t xml:space="preserve">Not reviewed</x:t>
        </x:is>
      </x:c>
      <x:c r="AJ225" s="81" t="inlineStr">
        <x:is>
          <x:t xml:space="preserve">Research only</x:t>
        </x:is>
      </x:c>
      <x:c r="AK225" s="81" t="inlineStr">
        <x:is>
          <x:t xml:space="preserve">Research Pool</x:t>
        </x:is>
      </x:c>
      <x:c r="AL225" s="81" t="n">
        <x:v>3</x:v>
      </x:c>
      <x:c r="AM225" s="81" t="inlineStr">
        <x:is>
          <x:t xml:space="preserve">ChatGPT research</x:t>
        </x:is>
      </x:c>
      <x:c r="AN225" s="81" t="inlineStr">
        <x:is>
          <x:t xml:space="preserve">2026-09-18</x:t>
        </x:is>
      </x:c>
      <x:c r="AO225" s="81" t="inlineStr">
        <x:is>
          <x:t xml:space="preserve">Day 3 full-scope audit, chapters 51–81.</x:t>
        </x:is>
      </x:c>
    </x:row>
    <x:row r="226">
      <x:c r="A226" s="81" t="inlineStr">
        <x:is>
          <x:t xml:space="preserve">research.laozi.day3.ch60.044</x:t>
        </x:is>
      </x:c>
      <x:c r="B226" s="81" t="inlineStr">
        <x:is>
          <x:t xml:space="preserve">Collected</x:t>
        </x:is>
      </x:c>
      <x:c r="C226" s="81" t="inlineStr">
        <x:is>
          <x:t xml:space="preserve">Nội tâm &amp; hiểu mình</x:t>
        </x:is>
      </x:c>
      <x:c r="D226" s="81" t="inlineStr">
        <x:is>
          <x:t xml:space="preserve">Day 3 / Laozi 51–81</x:t>
        </x:is>
      </x:c>
      <x:c r="E226" s="81" t="str"/>
      <x:c r="F226" s="81" t="inlineStr">
        <x:is>
          <x:t xml:space="preserve">Một hệ tốt giảm tổn hại thay vì chỉ tăng kiểm soát</x:t>
        </x:is>
      </x:c>
      <x:c r="G226" s="81" t="inlineStr">
        <x:is>
          <x:t xml:space="preserve">Safety</x:t>
        </x:is>
      </x:c>
      <x:c r="H226" s="81" t="str"/>
      <x:c r="I226" s="81" t="str"/>
      <x:c r="J226" s="81" t="str"/>
      <x:c r="K226" s="81" t="inlineStr">
        <x:is>
          <x:t xml:space="preserve">Reframe</x:t>
        </x:is>
      </x:c>
      <x:c r="L226" s="81" t="inlineStr">
        <x:is>
          <x:t xml:space="preserve">Distinguish</x:t>
        </x:is>
      </x:c>
      <x:c r="M226" s="81" t="inlineStr">
        <x:is>
          <x:t xml:space="preserve">Trích đoạn triết học</x:t>
        </x:is>
      </x:c>
      <x:c r="N226" s="81" t="inlineStr">
        <x:is>
          <x:t xml:space="preserve">非其神不傷人，聖人亦不傷人。</x:t>
        </x:is>
      </x:c>
      <x:c r="O226" s="81" t="inlineStr">
        <x:is>
          <x:t xml:space="preserve">Classical Chinese (文言文)</x:t>
        </x:is>
      </x:c>
      <x:c r="P226" s="81" t="inlineStr">
        <x:is>
          <x:t xml:space="preserve">Văn bản hướng đến trạng thái các phía không làm tổn hại lẫn nhau.</x:t>
        </x:is>
      </x:c>
      <x:c r="Q226" s="81" t="inlineStr">
        <x:is>
          <x:t xml:space="preserve">Laozi / 老子</x:t>
        </x:is>
      </x:c>
      <x:c r="R226" s="81" t="inlineStr">
        <x:is>
          <x:t xml:space="preserve">Taoism</x:t>
        </x:is>
      </x:c>
      <x:c r="S226" s="81" t="inlineStr">
        <x:is>
          <x:t xml:space="preserve">道德經 / Tao Te Ching</x:t>
        </x:is>
      </x:c>
      <x:c r="T226" s="81" t="inlineStr">
        <x:is>
          <x:t xml:space="preserve">Chapter 60</x:t>
        </x:is>
      </x:c>
      <x:c r="U226" s="81" t="inlineStr">
        <x:is>
          <x:t xml:space="preserve">https://zh.wikisource.org/zh-hant/%E9%81%93%E5%BE%B7%E7%B6%93_(%E7%8E%8B%E5%BC%BC%E6%9C%AC)</x:t>
        </x:is>
      </x:c>
      <x:c r="V226" s="81" t="inlineStr">
        <x:is>
          <x:t xml:space="preserve">Primary text</x:t>
        </x:is>
      </x:c>
      <x:c r="W226" s="81" t="inlineStr">
        <x:is>
          <x:t xml:space="preserve">Working translation</x:t>
        </x:is>
      </x:c>
      <x:c r="X226" s="81" t="inlineStr">
        <x:is>
          <x:t xml:space="preserve">A - Primary source</x:t>
        </x:is>
      </x:c>
      <x:c r="Y226" s="81" t="inlineStr">
        <x:is>
          <x:t xml:space="preserve">Original Chinese checked against Wang Bi recension on Chinese Wikisource. Vietnamese is Selflo working translation, not a published translation.</x:t>
        </x:is>
      </x:c>
      <x:c r="Z226" s="81" t="inlineStr">
        <x:is>
          <x:t xml:space="preserve">Public domain / likely</x:t>
        </x:is>
      </x:c>
      <x:c r="AA226" s="81" t="inlineStr">
        <x:is>
          <x:t xml:space="preserve">Ancient source text; verify edition/jurisdiction before commercial publication.</x:t>
        </x:is>
      </x:c>
      <x:c r="AB226" s="81" t="inlineStr">
        <x:is>
          <x:t xml:space="preserve">Medium</x:t>
        </x:is>
      </x:c>
      <x:c r="AC226" s="81" t="inlineStr">
        <x:is>
          <x:t xml:space="preserve">Metaphysical context.</x:t>
        </x:is>
      </x:c>
      <x:c r="AD226" s="81" t="inlineStr">
        <x:is>
          <x:t xml:space="preserve">Needs editorial review</x:t>
        </x:is>
      </x:c>
      <x:c r="AE226" s="81" t="inlineStr">
        <x:is>
          <x:t xml:space="preserve">Needs semantic dedupe review</x:t>
        </x:is>
      </x:c>
      <x:c r="AF226" s="81" t="str"/>
      <x:c r="AG226" s="81" t="str"/>
      <x:c r="AH226" s="81" t="inlineStr">
        <x:is>
          <x:t xml:space="preserve">No</x:t>
        </x:is>
      </x:c>
      <x:c r="AI226" s="81" t="inlineStr">
        <x:is>
          <x:t xml:space="preserve">Not reviewed</x:t>
        </x:is>
      </x:c>
      <x:c r="AJ226" s="81" t="inlineStr">
        <x:is>
          <x:t xml:space="preserve">Research only</x:t>
        </x:is>
      </x:c>
      <x:c r="AK226" s="81" t="inlineStr">
        <x:is>
          <x:t xml:space="preserve">Research Pool</x:t>
        </x:is>
      </x:c>
      <x:c r="AL226" s="81" t="n">
        <x:v>3</x:v>
      </x:c>
      <x:c r="AM226" s="81" t="inlineStr">
        <x:is>
          <x:t xml:space="preserve">ChatGPT research</x:t>
        </x:is>
      </x:c>
      <x:c r="AN226" s="81" t="inlineStr">
        <x:is>
          <x:t xml:space="preserve">2026-09-18</x:t>
        </x:is>
      </x:c>
      <x:c r="AO226" s="81" t="inlineStr">
        <x:is>
          <x:t xml:space="preserve">Day 3 full-scope audit, chapters 51–81.</x:t>
        </x:is>
      </x:c>
    </x:row>
    <x:row r="227">
      <x:c r="A227" s="81" t="inlineStr">
        <x:is>
          <x:t xml:space="preserve">research.laozi.day3.ch61.045</x:t>
        </x:is>
      </x:c>
      <x:c r="B227" s="81" t="inlineStr">
        <x:is>
          <x:t xml:space="preserve">Collected</x:t>
        </x:is>
      </x:c>
      <x:c r="C227" s="81" t="inlineStr">
        <x:is>
          <x:t xml:space="preserve">Nội tâm &amp; hiểu mình</x:t>
        </x:is>
      </x:c>
      <x:c r="D227" s="81" t="inlineStr">
        <x:is>
          <x:t xml:space="preserve">Day 3 / Laozi 51–81</x:t>
        </x:is>
      </x:c>
      <x:c r="E227" s="81" t="str"/>
      <x:c r="F227" s="81" t="inlineStr">
        <x:is>
          <x:t xml:space="preserve">Ở vị trí thấp có thể tạo khả năng tiếp nhận</x:t>
        </x:is>
      </x:c>
      <x:c r="G227" s="81" t="inlineStr">
        <x:is>
          <x:t xml:space="preserve">Humility</x:t>
        </x:is>
      </x:c>
      <x:c r="H227" s="81" t="str"/>
      <x:c r="I227" s="81" t="str"/>
      <x:c r="J227" s="81" t="str"/>
      <x:c r="K227" s="81" t="inlineStr">
        <x:is>
          <x:t xml:space="preserve">Reframe</x:t>
        </x:is>
      </x:c>
      <x:c r="L227" s="81" t="inlineStr">
        <x:is>
          <x:t xml:space="preserve">Distinguish</x:t>
        </x:is>
      </x:c>
      <x:c r="M227" s="81" t="inlineStr">
        <x:is>
          <x:t xml:space="preserve">Trích đoạn triết học</x:t>
        </x:is>
      </x:c>
      <x:c r="N227" s="81" t="inlineStr">
        <x:is>
          <x:t xml:space="preserve">大國者下流，天下之交。</x:t>
        </x:is>
      </x:c>
      <x:c r="O227" s="81" t="inlineStr">
        <x:is>
          <x:t xml:space="preserve">Classical Chinese (文言文)</x:t>
        </x:is>
      </x:c>
      <x:c r="P227" s="81" t="inlineStr">
        <x:is>
          <x:t xml:space="preserve">Biển lớn ở chỗ thấp nên các dòng chảy hội về.</x:t>
        </x:is>
      </x:c>
      <x:c r="Q227" s="81" t="inlineStr">
        <x:is>
          <x:t xml:space="preserve">Laozi / 老子</x:t>
        </x:is>
      </x:c>
      <x:c r="R227" s="81" t="inlineStr">
        <x:is>
          <x:t xml:space="preserve">Taoism</x:t>
        </x:is>
      </x:c>
      <x:c r="S227" s="81" t="inlineStr">
        <x:is>
          <x:t xml:space="preserve">道德經 / Tao Te Ching</x:t>
        </x:is>
      </x:c>
      <x:c r="T227" s="81" t="inlineStr">
        <x:is>
          <x:t xml:space="preserve">Chapter 61</x:t>
        </x:is>
      </x:c>
      <x:c r="U227" s="81" t="inlineStr">
        <x:is>
          <x:t xml:space="preserve">https://zh.wikisource.org/zh-hant/%E9%81%93%E5%BE%B7%E7%B6%93_(%E7%8E%8B%E5%BC%BC%E6%9C%AC)</x:t>
        </x:is>
      </x:c>
      <x:c r="V227" s="81" t="inlineStr">
        <x:is>
          <x:t xml:space="preserve">Primary text</x:t>
        </x:is>
      </x:c>
      <x:c r="W227" s="81" t="inlineStr">
        <x:is>
          <x:t xml:space="preserve">Working translation</x:t>
        </x:is>
      </x:c>
      <x:c r="X227" s="81" t="inlineStr">
        <x:is>
          <x:t xml:space="preserve">A - Primary source</x:t>
        </x:is>
      </x:c>
      <x:c r="Y227" s="81" t="inlineStr">
        <x:is>
          <x:t xml:space="preserve">Original Chinese checked against Wang Bi recension on Chinese Wikisource. Vietnamese is Selflo working translation, not a published translation.</x:t>
        </x:is>
      </x:c>
      <x:c r="Z227" s="81" t="inlineStr">
        <x:is>
          <x:t xml:space="preserve">Public domain / likely</x:t>
        </x:is>
      </x:c>
      <x:c r="AA227" s="81" t="inlineStr">
        <x:is>
          <x:t xml:space="preserve">Ancient source text; verify edition/jurisdiction before commercial publication.</x:t>
        </x:is>
      </x:c>
      <x:c r="AB227" s="81" t="inlineStr">
        <x:is>
          <x:t xml:space="preserve">High</x:t>
        </x:is>
      </x:c>
      <x:c r="AC227" s="81" t="inlineStr">
        <x:is>
          <x:t xml:space="preserve">Metaphor.</x:t>
        </x:is>
      </x:c>
      <x:c r="AD227" s="81" t="inlineStr">
        <x:is>
          <x:t xml:space="preserve">Needs editorial review</x:t>
        </x:is>
      </x:c>
      <x:c r="AE227" s="81" t="inlineStr">
        <x:is>
          <x:t xml:space="preserve">Needs semantic dedupe review</x:t>
        </x:is>
      </x:c>
      <x:c r="AF227" s="81" t="str"/>
      <x:c r="AG227" s="81" t="str"/>
      <x:c r="AH227" s="81" t="inlineStr">
        <x:is>
          <x:t xml:space="preserve">No</x:t>
        </x:is>
      </x:c>
      <x:c r="AI227" s="81" t="inlineStr">
        <x:is>
          <x:t xml:space="preserve">Not reviewed</x:t>
        </x:is>
      </x:c>
      <x:c r="AJ227" s="81" t="inlineStr">
        <x:is>
          <x:t xml:space="preserve">Research only</x:t>
        </x:is>
      </x:c>
      <x:c r="AK227" s="81" t="inlineStr">
        <x:is>
          <x:t xml:space="preserve">Research Pool</x:t>
        </x:is>
      </x:c>
      <x:c r="AL227" s="81" t="n">
        <x:v>3</x:v>
      </x:c>
      <x:c r="AM227" s="81" t="inlineStr">
        <x:is>
          <x:t xml:space="preserve">ChatGPT research</x:t>
        </x:is>
      </x:c>
      <x:c r="AN227" s="81" t="inlineStr">
        <x:is>
          <x:t xml:space="preserve">2026-09-18</x:t>
        </x:is>
      </x:c>
      <x:c r="AO227" s="81" t="inlineStr">
        <x:is>
          <x:t xml:space="preserve">Day 3 full-scope audit, chapters 51–81.</x:t>
        </x:is>
      </x:c>
    </x:row>
    <x:row r="228">
      <x:c r="A228" s="81" t="inlineStr">
        <x:is>
          <x:t xml:space="preserve">research.laozi.day3.ch61.046</x:t>
        </x:is>
      </x:c>
      <x:c r="B228" s="81" t="inlineStr">
        <x:is>
          <x:t xml:space="preserve">Collected</x:t>
        </x:is>
      </x:c>
      <x:c r="C228" s="81" t="inlineStr">
        <x:is>
          <x:t xml:space="preserve">Nội tâm &amp; hiểu mình</x:t>
        </x:is>
      </x:c>
      <x:c r="D228" s="81" t="inlineStr">
        <x:is>
          <x:t xml:space="preserve">Day 3 / Laozi 51–81</x:t>
        </x:is>
      </x:c>
      <x:c r="E228" s="81" t="str"/>
      <x:c r="F228" s="81" t="inlineStr">
        <x:is>
          <x:t xml:space="preserve">Tĩnh và mềm có thể tạo sức hút khác với áp lực</x:t>
        </x:is>
      </x:c>
      <x:c r="G228" s="81" t="inlineStr">
        <x:is>
          <x:t xml:space="preserve">Strength</x:t>
        </x:is>
      </x:c>
      <x:c r="H228" s="81" t="str"/>
      <x:c r="I228" s="81" t="str"/>
      <x:c r="J228" s="81" t="str"/>
      <x:c r="K228" s="81" t="inlineStr">
        <x:is>
          <x:t xml:space="preserve">Reframe</x:t>
        </x:is>
      </x:c>
      <x:c r="L228" s="81" t="inlineStr">
        <x:is>
          <x:t xml:space="preserve">Distinguish</x:t>
        </x:is>
      </x:c>
      <x:c r="M228" s="81" t="inlineStr">
        <x:is>
          <x:t xml:space="preserve">Trích đoạn triết học</x:t>
        </x:is>
      </x:c>
      <x:c r="N228" s="81" t="inlineStr">
        <x:is>
          <x:t xml:space="preserve">牝常以靜勝牡，以靜為下。</x:t>
        </x:is>
      </x:c>
      <x:c r="O228" s="81" t="inlineStr">
        <x:is>
          <x:t xml:space="preserve">Classical Chinese (文言文)</x:t>
        </x:is>
      </x:c>
      <x:c r="P228" s="81" t="inlineStr">
        <x:is>
          <x:t xml:space="preserve">Văn bản dùng hình ảnh phía mềm và tĩnh thắng phía mạnh bằng việc ở thấp.</x:t>
        </x:is>
      </x:c>
      <x:c r="Q228" s="81" t="inlineStr">
        <x:is>
          <x:t xml:space="preserve">Laozi / 老子</x:t>
        </x:is>
      </x:c>
      <x:c r="R228" s="81" t="inlineStr">
        <x:is>
          <x:t xml:space="preserve">Taoism</x:t>
        </x:is>
      </x:c>
      <x:c r="S228" s="81" t="inlineStr">
        <x:is>
          <x:t xml:space="preserve">道德經 / Tao Te Ching</x:t>
        </x:is>
      </x:c>
      <x:c r="T228" s="81" t="inlineStr">
        <x:is>
          <x:t xml:space="preserve">Chapter 61</x:t>
        </x:is>
      </x:c>
      <x:c r="U228" s="81" t="inlineStr">
        <x:is>
          <x:t xml:space="preserve">https://zh.wikisource.org/zh-hant/%E9%81%93%E5%BE%B7%E7%B6%93_(%E7%8E%8B%E5%BC%BC%E6%9C%AC)</x:t>
        </x:is>
      </x:c>
      <x:c r="V228" s="81" t="inlineStr">
        <x:is>
          <x:t xml:space="preserve">Primary text</x:t>
        </x:is>
      </x:c>
      <x:c r="W228" s="81" t="inlineStr">
        <x:is>
          <x:t xml:space="preserve">Working translation</x:t>
        </x:is>
      </x:c>
      <x:c r="X228" s="81" t="inlineStr">
        <x:is>
          <x:t xml:space="preserve">A - Primary source</x:t>
        </x:is>
      </x:c>
      <x:c r="Y228" s="81" t="inlineStr">
        <x:is>
          <x:t xml:space="preserve">Original Chinese checked against Wang Bi recension on Chinese Wikisource. Vietnamese is Selflo working translation, not a published translation.</x:t>
        </x:is>
      </x:c>
      <x:c r="Z228" s="81" t="inlineStr">
        <x:is>
          <x:t xml:space="preserve">Public domain / likely</x:t>
        </x:is>
      </x:c>
      <x:c r="AA228" s="81" t="inlineStr">
        <x:is>
          <x:t xml:space="preserve">Ancient source text; verify edition/jurisdiction before commercial publication.</x:t>
        </x:is>
      </x:c>
      <x:c r="AB228" s="81" t="inlineStr">
        <x:is>
          <x:t xml:space="preserve">Medium</x:t>
        </x:is>
      </x:c>
      <x:c r="AC228" s="81" t="inlineStr">
        <x:is>
          <x:t xml:space="preserve">Gender metaphor cổ.</x:t>
        </x:is>
      </x:c>
      <x:c r="AD228" s="81" t="inlineStr">
        <x:is>
          <x:t xml:space="preserve">Needs editorial review</x:t>
        </x:is>
      </x:c>
      <x:c r="AE228" s="81" t="inlineStr">
        <x:is>
          <x:t xml:space="preserve">Needs semantic dedupe review</x:t>
        </x:is>
      </x:c>
      <x:c r="AF228" s="81" t="str"/>
      <x:c r="AG228" s="81" t="str"/>
      <x:c r="AH228" s="81" t="inlineStr">
        <x:is>
          <x:t xml:space="preserve">No</x:t>
        </x:is>
      </x:c>
      <x:c r="AI228" s="81" t="inlineStr">
        <x:is>
          <x:t xml:space="preserve">Not reviewed</x:t>
        </x:is>
      </x:c>
      <x:c r="AJ228" s="81" t="inlineStr">
        <x:is>
          <x:t xml:space="preserve">Research only</x:t>
        </x:is>
      </x:c>
      <x:c r="AK228" s="81" t="inlineStr">
        <x:is>
          <x:t xml:space="preserve">Research Pool</x:t>
        </x:is>
      </x:c>
      <x:c r="AL228" s="81" t="n">
        <x:v>3</x:v>
      </x:c>
      <x:c r="AM228" s="81" t="inlineStr">
        <x:is>
          <x:t xml:space="preserve">ChatGPT research</x:t>
        </x:is>
      </x:c>
      <x:c r="AN228" s="81" t="inlineStr">
        <x:is>
          <x:t xml:space="preserve">2026-09-18</x:t>
        </x:is>
      </x:c>
      <x:c r="AO228" s="81" t="inlineStr">
        <x:is>
          <x:t xml:space="preserve">Day 3 full-scope audit, chapters 51–81.</x:t>
        </x:is>
      </x:c>
    </x:row>
    <x:row r="229">
      <x:c r="A229" s="81" t="inlineStr">
        <x:is>
          <x:t xml:space="preserve">research.laozi.day3.ch61.047</x:t>
        </x:is>
      </x:c>
      <x:c r="B229" s="81" t="inlineStr">
        <x:is>
          <x:t xml:space="preserve">Collected</x:t>
        </x:is>
      </x:c>
      <x:c r="C229" s="81" t="inlineStr">
        <x:is>
          <x:t xml:space="preserve">Công việc &amp; mục đích</x:t>
        </x:is>
      </x:c>
      <x:c r="D229" s="81" t="inlineStr">
        <x:is>
          <x:t xml:space="preserve">Day 3 / Laozi 51–81</x:t>
        </x:is>
      </x:c>
      <x:c r="E229" s="81" t="str"/>
      <x:c r="F229" s="81" t="inlineStr">
        <x:is>
          <x:t xml:space="preserve">Không phải ảnh hưởng nào cũng đến từ đứng trên</x:t>
        </x:is>
      </x:c>
      <x:c r="G229" s="81" t="inlineStr">
        <x:is>
          <x:t xml:space="preserve">Leadership</x:t>
        </x:is>
      </x:c>
      <x:c r="H229" s="81" t="str"/>
      <x:c r="I229" s="81" t="str"/>
      <x:c r="J229" s="81" t="str"/>
      <x:c r="K229" s="81" t="inlineStr">
        <x:is>
          <x:t xml:space="preserve">Reframe</x:t>
        </x:is>
      </x:c>
      <x:c r="L229" s="81" t="inlineStr">
        <x:is>
          <x:t xml:space="preserve">Distinguish</x:t>
        </x:is>
      </x:c>
      <x:c r="M229" s="81" t="inlineStr">
        <x:is>
          <x:t xml:space="preserve">Trích đoạn triết học</x:t>
        </x:is>
      </x:c>
      <x:c r="N229" s="81" t="inlineStr">
        <x:is>
          <x:t xml:space="preserve">故或下以取，或下而取。</x:t>
        </x:is>
      </x:c>
      <x:c r="O229" s="81" t="inlineStr">
        <x:is>
          <x:t xml:space="preserve">Classical Chinese (文言文)</x:t>
        </x:is>
      </x:c>
      <x:c r="P229" s="81" t="inlineStr">
        <x:is>
          <x:t xml:space="preserve">Có khi hạ mình để nhận; có khi chính vì ở thấp mà được đón nhận.</x:t>
        </x:is>
      </x:c>
      <x:c r="Q229" s="81" t="inlineStr">
        <x:is>
          <x:t xml:space="preserve">Laozi / 老子</x:t>
        </x:is>
      </x:c>
      <x:c r="R229" s="81" t="inlineStr">
        <x:is>
          <x:t xml:space="preserve">Taoism</x:t>
        </x:is>
      </x:c>
      <x:c r="S229" s="81" t="inlineStr">
        <x:is>
          <x:t xml:space="preserve">道德經 / Tao Te Ching</x:t>
        </x:is>
      </x:c>
      <x:c r="T229" s="81" t="inlineStr">
        <x:is>
          <x:t xml:space="preserve">Chapter 61</x:t>
        </x:is>
      </x:c>
      <x:c r="U229" s="81" t="inlineStr">
        <x:is>
          <x:t xml:space="preserve">https://zh.wikisource.org/zh-hant/%E9%81%93%E5%BE%B7%E7%B6%93_(%E7%8E%8B%E5%BC%BC%E6%9C%AC)</x:t>
        </x:is>
      </x:c>
      <x:c r="V229" s="81" t="inlineStr">
        <x:is>
          <x:t xml:space="preserve">Primary text</x:t>
        </x:is>
      </x:c>
      <x:c r="W229" s="81" t="inlineStr">
        <x:is>
          <x:t xml:space="preserve">Working translation</x:t>
        </x:is>
      </x:c>
      <x:c r="X229" s="81" t="inlineStr">
        <x:is>
          <x:t xml:space="preserve">A - Primary source</x:t>
        </x:is>
      </x:c>
      <x:c r="Y229" s="81" t="inlineStr">
        <x:is>
          <x:t xml:space="preserve">Original Chinese checked against Wang Bi recension on Chinese Wikisource. Vietnamese is Selflo working translation, not a published translation.</x:t>
        </x:is>
      </x:c>
      <x:c r="Z229" s="81" t="inlineStr">
        <x:is>
          <x:t xml:space="preserve">Public domain / likely</x:t>
        </x:is>
      </x:c>
      <x:c r="AA229" s="81" t="inlineStr">
        <x:is>
          <x:t xml:space="preserve">Ancient source text; verify edition/jurisdiction before commercial publication.</x:t>
        </x:is>
      </x:c>
      <x:c r="AB229" s="81" t="inlineStr">
        <x:is>
          <x:t xml:space="preserve">High</x:t>
        </x:is>
      </x:c>
      <x:c r="AC229" s="81" t="inlineStr">
        <x:is>
          <x:t xml:space="preserve">Strong.</x:t>
        </x:is>
      </x:c>
      <x:c r="AD229" s="81" t="inlineStr">
        <x:is>
          <x:t xml:space="preserve">Needs editorial review</x:t>
        </x:is>
      </x:c>
      <x:c r="AE229" s="81" t="inlineStr">
        <x:is>
          <x:t xml:space="preserve">Needs semantic dedupe review</x:t>
        </x:is>
      </x:c>
      <x:c r="AF229" s="81" t="str"/>
      <x:c r="AG229" s="81" t="str"/>
      <x:c r="AH229" s="81" t="inlineStr">
        <x:is>
          <x:t xml:space="preserve">No</x:t>
        </x:is>
      </x:c>
      <x:c r="AI229" s="81" t="inlineStr">
        <x:is>
          <x:t xml:space="preserve">Not reviewed</x:t>
        </x:is>
      </x:c>
      <x:c r="AJ229" s="81" t="inlineStr">
        <x:is>
          <x:t xml:space="preserve">Research only</x:t>
        </x:is>
      </x:c>
      <x:c r="AK229" s="81" t="inlineStr">
        <x:is>
          <x:t xml:space="preserve">Research Pool</x:t>
        </x:is>
      </x:c>
      <x:c r="AL229" s="81" t="n">
        <x:v>3</x:v>
      </x:c>
      <x:c r="AM229" s="81" t="inlineStr">
        <x:is>
          <x:t xml:space="preserve">ChatGPT research</x:t>
        </x:is>
      </x:c>
      <x:c r="AN229" s="81" t="inlineStr">
        <x:is>
          <x:t xml:space="preserve">2026-09-18</x:t>
        </x:is>
      </x:c>
      <x:c r="AO229" s="81" t="inlineStr">
        <x:is>
          <x:t xml:space="preserve">Day 3 full-scope audit, chapters 51–81.</x:t>
        </x:is>
      </x:c>
    </x:row>
    <x:row r="230">
      <x:c r="A230" s="81" t="inlineStr">
        <x:is>
          <x:t xml:space="preserve">research.laozi.day3.ch61.048</x:t>
        </x:is>
      </x:c>
      <x:c r="B230" s="81" t="inlineStr">
        <x:is>
          <x:t xml:space="preserve">Collected</x:t>
        </x:is>
      </x:c>
      <x:c r="C230" s="81" t="inlineStr">
        <x:is>
          <x:t xml:space="preserve">Quan hệ</x:t>
        </x:is>
      </x:c>
      <x:c r="D230" s="81" t="inlineStr">
        <x:is>
          <x:t xml:space="preserve">Day 3 / Laozi 51–81</x:t>
        </x:is>
      </x:c>
      <x:c r="E230" s="81" t="str"/>
      <x:c r="F230" s="81" t="inlineStr">
        <x:is>
          <x:t xml:space="preserve">Bên có nhiều quyền lực hơn có thể tạo không gian cho bên kia</x:t>
        </x:is>
      </x:c>
      <x:c r="G230" s="81" t="inlineStr">
        <x:is>
          <x:t xml:space="preserve">Power</x:t>
        </x:is>
      </x:c>
      <x:c r="H230" s="81" t="str"/>
      <x:c r="I230" s="81" t="str"/>
      <x:c r="J230" s="81" t="str"/>
      <x:c r="K230" s="81" t="inlineStr">
        <x:is>
          <x:t xml:space="preserve">Return agency</x:t>
        </x:is>
      </x:c>
      <x:c r="L230" s="81" t="inlineStr">
        <x:is>
          <x:t xml:space="preserve">Distinguish</x:t>
        </x:is>
      </x:c>
      <x:c r="M230" s="81" t="inlineStr">
        <x:is>
          <x:t xml:space="preserve">Trích đoạn triết học</x:t>
        </x:is>
      </x:c>
      <x:c r="N230" s="81" t="inlineStr">
        <x:is>
          <x:t xml:space="preserve">夫兩者各得其所欲，大者宜為下。</x:t>
        </x:is>
      </x:c>
      <x:c r="O230" s="81" t="inlineStr">
        <x:is>
          <x:t xml:space="preserve">Classical Chinese (文言文)</x:t>
        </x:is>
      </x:c>
      <x:c r="P230" s="81" t="inlineStr">
        <x:is>
          <x:t xml:space="preserve">Để hai phía cùng có chỗ đạt điều cần, phía lớn hơn càng cần biết hạ xuống.</x:t>
        </x:is>
      </x:c>
      <x:c r="Q230" s="81" t="inlineStr">
        <x:is>
          <x:t xml:space="preserve">Laozi / 老子</x:t>
        </x:is>
      </x:c>
      <x:c r="R230" s="81" t="inlineStr">
        <x:is>
          <x:t xml:space="preserve">Taoism</x:t>
        </x:is>
      </x:c>
      <x:c r="S230" s="81" t="inlineStr">
        <x:is>
          <x:t xml:space="preserve">道德經 / Tao Te Ching</x:t>
        </x:is>
      </x:c>
      <x:c r="T230" s="81" t="inlineStr">
        <x:is>
          <x:t xml:space="preserve">Chapter 61</x:t>
        </x:is>
      </x:c>
      <x:c r="U230" s="81" t="inlineStr">
        <x:is>
          <x:t xml:space="preserve">https://zh.wikisource.org/zh-hant/%E9%81%93%E5%BE%B7%E7%B6%93_(%E7%8E%8B%E5%BC%BC%E6%9C%AC)</x:t>
        </x:is>
      </x:c>
      <x:c r="V230" s="81" t="inlineStr">
        <x:is>
          <x:t xml:space="preserve">Primary text</x:t>
        </x:is>
      </x:c>
      <x:c r="W230" s="81" t="inlineStr">
        <x:is>
          <x:t xml:space="preserve">Working translation</x:t>
        </x:is>
      </x:c>
      <x:c r="X230" s="81" t="inlineStr">
        <x:is>
          <x:t xml:space="preserve">A - Primary source</x:t>
        </x:is>
      </x:c>
      <x:c r="Y230" s="81" t="inlineStr">
        <x:is>
          <x:t xml:space="preserve">Original Chinese checked against Wang Bi recension on Chinese Wikisource. Vietnamese is Selflo working translation, not a published translation.</x:t>
        </x:is>
      </x:c>
      <x:c r="Z230" s="81" t="inlineStr">
        <x:is>
          <x:t xml:space="preserve">Public domain / likely</x:t>
        </x:is>
      </x:c>
      <x:c r="AA230" s="81" t="inlineStr">
        <x:is>
          <x:t xml:space="preserve">Ancient source text; verify edition/jurisdiction before commercial publication.</x:t>
        </x:is>
      </x:c>
      <x:c r="AB230" s="81" t="inlineStr">
        <x:is>
          <x:t xml:space="preserve">High</x:t>
        </x:is>
      </x:c>
      <x:c r="AC230" s="81" t="inlineStr">
        <x:is>
          <x:t xml:space="preserve">Useful relationships/leadership.</x:t>
        </x:is>
      </x:c>
      <x:c r="AD230" s="81" t="inlineStr">
        <x:is>
          <x:t xml:space="preserve">Needs editorial review</x:t>
        </x:is>
      </x:c>
      <x:c r="AE230" s="81" t="inlineStr">
        <x:is>
          <x:t xml:space="preserve">Needs semantic dedupe review</x:t>
        </x:is>
      </x:c>
      <x:c r="AF230" s="81" t="str"/>
      <x:c r="AG230" s="81" t="str"/>
      <x:c r="AH230" s="81" t="inlineStr">
        <x:is>
          <x:t xml:space="preserve">No</x:t>
        </x:is>
      </x:c>
      <x:c r="AI230" s="81" t="inlineStr">
        <x:is>
          <x:t xml:space="preserve">Not reviewed</x:t>
        </x:is>
      </x:c>
      <x:c r="AJ230" s="81" t="inlineStr">
        <x:is>
          <x:t xml:space="preserve">Research only</x:t>
        </x:is>
      </x:c>
      <x:c r="AK230" s="81" t="inlineStr">
        <x:is>
          <x:t xml:space="preserve">Research Pool</x:t>
        </x:is>
      </x:c>
      <x:c r="AL230" s="81" t="n">
        <x:v>3</x:v>
      </x:c>
      <x:c r="AM230" s="81" t="inlineStr">
        <x:is>
          <x:t xml:space="preserve">ChatGPT research</x:t>
        </x:is>
      </x:c>
      <x:c r="AN230" s="81" t="inlineStr">
        <x:is>
          <x:t xml:space="preserve">2026-09-18</x:t>
        </x:is>
      </x:c>
      <x:c r="AO230" s="81" t="inlineStr">
        <x:is>
          <x:t xml:space="preserve">Day 3 full-scope audit, chapters 51–81.</x:t>
        </x:is>
      </x:c>
    </x:row>
    <x:row r="231">
      <x:c r="A231" s="81" t="inlineStr">
        <x:is>
          <x:t xml:space="preserve">research.laozi.day3.ch62.049</x:t>
        </x:is>
      </x:c>
      <x:c r="B231" s="81" t="inlineStr">
        <x:is>
          <x:t xml:space="preserve">Collected</x:t>
        </x:is>
      </x:c>
      <x:c r="C231" s="81" t="inlineStr">
        <x:is>
          <x:t xml:space="preserve">Nội tâm &amp; hiểu mình</x:t>
        </x:is>
      </x:c>
      <x:c r="D231" s="81" t="inlineStr">
        <x:is>
          <x:t xml:space="preserve">Day 3 / Laozi 51–81</x:t>
        </x:is>
      </x:c>
      <x:c r="E231" s="81" t="str"/>
      <x:c r="F231" s="81" t="inlineStr">
        <x:is>
          <x:t xml:space="preserve">Có một nền chứa được nhiều khác biệt</x:t>
        </x:is>
      </x:c>
      <x:c r="G231" s="81" t="inlineStr">
        <x:is>
          <x:t xml:space="preserve">Acceptance</x:t>
        </x:is>
      </x:c>
      <x:c r="H231" s="81" t="str"/>
      <x:c r="I231" s="81" t="str"/>
      <x:c r="J231" s="81" t="str"/>
      <x:c r="K231" s="81" t="inlineStr">
        <x:is>
          <x:t xml:space="preserve">Reframe</x:t>
        </x:is>
      </x:c>
      <x:c r="L231" s="81" t="inlineStr">
        <x:is>
          <x:t xml:space="preserve">Distinguish</x:t>
        </x:is>
      </x:c>
      <x:c r="M231" s="81" t="inlineStr">
        <x:is>
          <x:t xml:space="preserve">Trích đoạn triết học</x:t>
        </x:is>
      </x:c>
      <x:c r="N231" s="81" t="inlineStr">
        <x:is>
          <x:t xml:space="preserve">道者萬物之奧。</x:t>
        </x:is>
      </x:c>
      <x:c r="O231" s="81" t="inlineStr">
        <x:is>
          <x:t xml:space="preserve">Classical Chinese (文言文)</x:t>
        </x:is>
      </x:c>
      <x:c r="P231" s="81" t="inlineStr">
        <x:is>
          <x:t xml:space="preserve">Đạo được ví như nơi sâu kín che chở muôn vật.</x:t>
        </x:is>
      </x:c>
      <x:c r="Q231" s="81" t="inlineStr">
        <x:is>
          <x:t xml:space="preserve">Laozi / 老子</x:t>
        </x:is>
      </x:c>
      <x:c r="R231" s="81" t="inlineStr">
        <x:is>
          <x:t xml:space="preserve">Taoism</x:t>
        </x:is>
      </x:c>
      <x:c r="S231" s="81" t="inlineStr">
        <x:is>
          <x:t xml:space="preserve">道德經 / Tao Te Ching</x:t>
        </x:is>
      </x:c>
      <x:c r="T231" s="81" t="inlineStr">
        <x:is>
          <x:t xml:space="preserve">Chapter 62</x:t>
        </x:is>
      </x:c>
      <x:c r="U231" s="81" t="inlineStr">
        <x:is>
          <x:t xml:space="preserve">https://zh.wikisource.org/zh-hant/%E9%81%93%E5%BE%B7%E7%B6%93_(%E7%8E%8B%E5%BC%BC%E6%9C%AC)</x:t>
        </x:is>
      </x:c>
      <x:c r="V231" s="81" t="inlineStr">
        <x:is>
          <x:t xml:space="preserve">Primary text</x:t>
        </x:is>
      </x:c>
      <x:c r="W231" s="81" t="inlineStr">
        <x:is>
          <x:t xml:space="preserve">Working translation</x:t>
        </x:is>
      </x:c>
      <x:c r="X231" s="81" t="inlineStr">
        <x:is>
          <x:t xml:space="preserve">A - Primary source</x:t>
        </x:is>
      </x:c>
      <x:c r="Y231" s="81" t="inlineStr">
        <x:is>
          <x:t xml:space="preserve">Original Chinese checked against Wang Bi recension on Chinese Wikisource. Vietnamese is Selflo working translation, not a published translation.</x:t>
        </x:is>
      </x:c>
      <x:c r="Z231" s="81" t="inlineStr">
        <x:is>
          <x:t xml:space="preserve">Public domain / likely</x:t>
        </x:is>
      </x:c>
      <x:c r="AA231" s="81" t="inlineStr">
        <x:is>
          <x:t xml:space="preserve">Ancient source text; verify edition/jurisdiction before commercial publication.</x:t>
        </x:is>
      </x:c>
      <x:c r="AB231" s="81" t="inlineStr">
        <x:is>
          <x:t xml:space="preserve">Medium</x:t>
        </x:is>
      </x:c>
      <x:c r="AC231" s="81" t="inlineStr">
        <x:is>
          <x:t xml:space="preserve">Metaphysical.</x:t>
        </x:is>
      </x:c>
      <x:c r="AD231" s="81" t="inlineStr">
        <x:is>
          <x:t xml:space="preserve">Needs editorial review</x:t>
        </x:is>
      </x:c>
      <x:c r="AE231" s="81" t="inlineStr">
        <x:is>
          <x:t xml:space="preserve">Needs semantic dedupe review</x:t>
        </x:is>
      </x:c>
      <x:c r="AF231" s="81" t="str"/>
      <x:c r="AG231" s="81" t="str"/>
      <x:c r="AH231" s="81" t="inlineStr">
        <x:is>
          <x:t xml:space="preserve">No</x:t>
        </x:is>
      </x:c>
      <x:c r="AI231" s="81" t="inlineStr">
        <x:is>
          <x:t xml:space="preserve">Not reviewed</x:t>
        </x:is>
      </x:c>
      <x:c r="AJ231" s="81" t="inlineStr">
        <x:is>
          <x:t xml:space="preserve">Research only</x:t>
        </x:is>
      </x:c>
      <x:c r="AK231" s="81" t="inlineStr">
        <x:is>
          <x:t xml:space="preserve">Research Pool</x:t>
        </x:is>
      </x:c>
      <x:c r="AL231" s="81" t="n">
        <x:v>3</x:v>
      </x:c>
      <x:c r="AM231" s="81" t="inlineStr">
        <x:is>
          <x:t xml:space="preserve">ChatGPT research</x:t>
        </x:is>
      </x:c>
      <x:c r="AN231" s="81" t="inlineStr">
        <x:is>
          <x:t xml:space="preserve">2026-09-18</x:t>
        </x:is>
      </x:c>
      <x:c r="AO231" s="81" t="inlineStr">
        <x:is>
          <x:t xml:space="preserve">Day 3 full-scope audit, chapters 51–81.</x:t>
        </x:is>
      </x:c>
    </x:row>
    <x:row r="232">
      <x:c r="A232" s="81" t="inlineStr">
        <x:is>
          <x:t xml:space="preserve">research.laozi.day3.ch62.050</x:t>
        </x:is>
      </x:c>
      <x:c r="B232" s="81" t="inlineStr">
        <x:is>
          <x:t xml:space="preserve">Collected</x:t>
        </x:is>
      </x:c>
      <x:c r="C232" s="81" t="inlineStr">
        <x:is>
          <x:t xml:space="preserve">Quan hệ</x:t>
        </x:is>
      </x:c>
      <x:c r="D232" s="81" t="inlineStr">
        <x:is>
          <x:t xml:space="preserve">Day 3 / Laozi 51–81</x:t>
        </x:is>
      </x:c>
      <x:c r="E232" s="81" t="str"/>
      <x:c r="F232" s="81" t="inlineStr">
        <x:is>
          <x:t xml:space="preserve">Phẩm giá không chỉ dành cho người đang làm tốt</x:t>
        </x:is>
      </x:c>
      <x:c r="G232" s="81" t="inlineStr">
        <x:is>
          <x:t xml:space="preserve">Compassion</x:t>
        </x:is>
      </x:c>
      <x:c r="H232" s="81" t="str"/>
      <x:c r="I232" s="81" t="str"/>
      <x:c r="J232" s="81" t="str"/>
      <x:c r="K232" s="81" t="inlineStr">
        <x:is>
          <x:t xml:space="preserve">Permit</x:t>
        </x:is>
      </x:c>
      <x:c r="L232" s="81" t="inlineStr">
        <x:is>
          <x:t xml:space="preserve">Distinguish</x:t>
        </x:is>
      </x:c>
      <x:c r="M232" s="81" t="inlineStr">
        <x:is>
          <x:t xml:space="preserve">Trích đoạn triết học</x:t>
        </x:is>
      </x:c>
      <x:c r="N232" s="81" t="inlineStr">
        <x:is>
          <x:t xml:space="preserve">善人之寶，不善人之所保。</x:t>
        </x:is>
      </x:c>
      <x:c r="O232" s="81" t="inlineStr">
        <x:is>
          <x:t xml:space="preserve">Classical Chinese (文言文)</x:t>
        </x:is>
      </x:c>
      <x:c r="P232" s="81" t="inlineStr">
        <x:is>
          <x:t xml:space="preserve">Nó là báu vật của người tốt và cũng là nơi nương của người chưa tốt.</x:t>
        </x:is>
      </x:c>
      <x:c r="Q232" s="81" t="inlineStr">
        <x:is>
          <x:t xml:space="preserve">Laozi / 老子</x:t>
        </x:is>
      </x:c>
      <x:c r="R232" s="81" t="inlineStr">
        <x:is>
          <x:t xml:space="preserve">Taoism</x:t>
        </x:is>
      </x:c>
      <x:c r="S232" s="81" t="inlineStr">
        <x:is>
          <x:t xml:space="preserve">道德經 / Tao Te Ching</x:t>
        </x:is>
      </x:c>
      <x:c r="T232" s="81" t="inlineStr">
        <x:is>
          <x:t xml:space="preserve">Chapter 62</x:t>
        </x:is>
      </x:c>
      <x:c r="U232" s="81" t="inlineStr">
        <x:is>
          <x:t xml:space="preserve">https://zh.wikisource.org/zh-hant/%E9%81%93%E5%BE%B7%E7%B6%93_(%E7%8E%8B%E5%BC%BC%E6%9C%AC)</x:t>
        </x:is>
      </x:c>
      <x:c r="V232" s="81" t="inlineStr">
        <x:is>
          <x:t xml:space="preserve">Primary text</x:t>
        </x:is>
      </x:c>
      <x:c r="W232" s="81" t="inlineStr">
        <x:is>
          <x:t xml:space="preserve">Working translation</x:t>
        </x:is>
      </x:c>
      <x:c r="X232" s="81" t="inlineStr">
        <x:is>
          <x:t xml:space="preserve">A - Primary source</x:t>
        </x:is>
      </x:c>
      <x:c r="Y232" s="81" t="inlineStr">
        <x:is>
          <x:t xml:space="preserve">Original Chinese checked against Wang Bi recension on Chinese Wikisource. Vietnamese is Selflo working translation, not a published translation.</x:t>
        </x:is>
      </x:c>
      <x:c r="Z232" s="81" t="inlineStr">
        <x:is>
          <x:t xml:space="preserve">Public domain / likely</x:t>
        </x:is>
      </x:c>
      <x:c r="AA232" s="81" t="inlineStr">
        <x:is>
          <x:t xml:space="preserve">Ancient source text; verify edition/jurisdiction before commercial publication.</x:t>
        </x:is>
      </x:c>
      <x:c r="AB232" s="81" t="inlineStr">
        <x:is>
          <x:t xml:space="preserve">High</x:t>
        </x:is>
      </x:c>
      <x:c r="AC232" s="81" t="inlineStr">
        <x:is>
          <x:t xml:space="preserve">Strong.</x:t>
        </x:is>
      </x:c>
      <x:c r="AD232" s="81" t="inlineStr">
        <x:is>
          <x:t xml:space="preserve">Needs editorial review</x:t>
        </x:is>
      </x:c>
      <x:c r="AE232" s="81" t="inlineStr">
        <x:is>
          <x:t xml:space="preserve">Needs semantic dedupe review</x:t>
        </x:is>
      </x:c>
      <x:c r="AF232" s="81" t="str"/>
      <x:c r="AG232" s="81" t="str"/>
      <x:c r="AH232" s="81" t="inlineStr">
        <x:is>
          <x:t xml:space="preserve">No</x:t>
        </x:is>
      </x:c>
      <x:c r="AI232" s="81" t="inlineStr">
        <x:is>
          <x:t xml:space="preserve">Not reviewed</x:t>
        </x:is>
      </x:c>
      <x:c r="AJ232" s="81" t="inlineStr">
        <x:is>
          <x:t xml:space="preserve">Research only</x:t>
        </x:is>
      </x:c>
      <x:c r="AK232" s="81" t="inlineStr">
        <x:is>
          <x:t xml:space="preserve">Research Pool</x:t>
        </x:is>
      </x:c>
      <x:c r="AL232" s="81" t="n">
        <x:v>3</x:v>
      </x:c>
      <x:c r="AM232" s="81" t="inlineStr">
        <x:is>
          <x:t xml:space="preserve">ChatGPT research</x:t>
        </x:is>
      </x:c>
      <x:c r="AN232" s="81" t="inlineStr">
        <x:is>
          <x:t xml:space="preserve">2026-09-18</x:t>
        </x:is>
      </x:c>
      <x:c r="AO232" s="81" t="inlineStr">
        <x:is>
          <x:t xml:space="preserve">Day 3 full-scope audit, chapters 51–81.</x:t>
        </x:is>
      </x:c>
    </x:row>
    <x:row r="233">
      <x:c r="A233" s="81" t="inlineStr">
        <x:is>
          <x:t xml:space="preserve">research.laozi.day3.ch62.051</x:t>
        </x:is>
      </x:c>
      <x:c r="B233" s="81" t="inlineStr">
        <x:is>
          <x:t xml:space="preserve">Collected</x:t>
        </x:is>
      </x:c>
      <x:c r="C233" s="81" t="inlineStr">
        <x:is>
          <x:t xml:space="preserve">Nội tâm &amp; hiểu mình</x:t>
        </x:is>
      </x:c>
      <x:c r="D233" s="81" t="inlineStr">
        <x:is>
          <x:t xml:space="preserve">Day 3 / Laozi 51–81</x:t>
        </x:is>
      </x:c>
      <x:c r="E233" s="81" t="str"/>
      <x:c r="F233" s="81" t="inlineStr">
        <x:is>
          <x:t xml:space="preserve">Không biến sai lầm thành lý do loại bỏ con người</x:t>
        </x:is>
      </x:c>
      <x:c r="G233" s="81" t="inlineStr">
        <x:is>
          <x:t xml:space="preserve">Self-compassion</x:t>
        </x:is>
      </x:c>
      <x:c r="H233" s="81" t="str"/>
      <x:c r="I233" s="81" t="str"/>
      <x:c r="J233" s="81" t="str"/>
      <x:c r="K233" s="81" t="inlineStr">
        <x:is>
          <x:t xml:space="preserve">Permit</x:t>
        </x:is>
      </x:c>
      <x:c r="L233" s="81" t="inlineStr">
        <x:is>
          <x:t xml:space="preserve">Distinguish</x:t>
        </x:is>
      </x:c>
      <x:c r="M233" s="81" t="inlineStr">
        <x:is>
          <x:t xml:space="preserve">Trích đoạn triết học</x:t>
        </x:is>
      </x:c>
      <x:c r="N233" s="81" t="inlineStr">
        <x:is>
          <x:t xml:space="preserve">人之不善，何棄之有？</x:t>
        </x:is>
      </x:c>
      <x:c r="O233" s="81" t="inlineStr">
        <x:is>
          <x:t xml:space="preserve">Classical Chinese (文言文)</x:t>
        </x:is>
      </x:c>
      <x:c r="P233" s="81" t="inlineStr">
        <x:is>
          <x:t xml:space="preserve">Một người chưa tốt — vì sao phải vội bỏ họ?</x:t>
        </x:is>
      </x:c>
      <x:c r="Q233" s="81" t="inlineStr">
        <x:is>
          <x:t xml:space="preserve">Laozi / 老子</x:t>
        </x:is>
      </x:c>
      <x:c r="R233" s="81" t="inlineStr">
        <x:is>
          <x:t xml:space="preserve">Taoism</x:t>
        </x:is>
      </x:c>
      <x:c r="S233" s="81" t="inlineStr">
        <x:is>
          <x:t xml:space="preserve">道德經 / Tao Te Ching</x:t>
        </x:is>
      </x:c>
      <x:c r="T233" s="81" t="inlineStr">
        <x:is>
          <x:t xml:space="preserve">Chapter 62</x:t>
        </x:is>
      </x:c>
      <x:c r="U233" s="81" t="inlineStr">
        <x:is>
          <x:t xml:space="preserve">https://zh.wikisource.org/zh-hant/%E9%81%93%E5%BE%B7%E7%B6%93_(%E7%8E%8B%E5%BC%BC%E6%9C%AC)</x:t>
        </x:is>
      </x:c>
      <x:c r="V233" s="81" t="inlineStr">
        <x:is>
          <x:t xml:space="preserve">Primary text</x:t>
        </x:is>
      </x:c>
      <x:c r="W233" s="81" t="inlineStr">
        <x:is>
          <x:t xml:space="preserve">Working translation</x:t>
        </x:is>
      </x:c>
      <x:c r="X233" s="81" t="inlineStr">
        <x:is>
          <x:t xml:space="preserve">A - Primary source</x:t>
        </x:is>
      </x:c>
      <x:c r="Y233" s="81" t="inlineStr">
        <x:is>
          <x:t xml:space="preserve">Original Chinese checked against Wang Bi recension on Chinese Wikisource. Vietnamese is Selflo working translation, not a published translation.</x:t>
        </x:is>
      </x:c>
      <x:c r="Z233" s="81" t="inlineStr">
        <x:is>
          <x:t xml:space="preserve">Public domain / likely</x:t>
        </x:is>
      </x:c>
      <x:c r="AA233" s="81" t="inlineStr">
        <x:is>
          <x:t xml:space="preserve">Ancient source text; verify edition/jurisdiction before commercial publication.</x:t>
        </x:is>
      </x:c>
      <x:c r="AB233" s="81" t="inlineStr">
        <x:is>
          <x:t xml:space="preserve">High</x:t>
        </x:is>
      </x:c>
      <x:c r="AC233" s="81" t="inlineStr">
        <x:is>
          <x:t xml:space="preserve">Excellent.</x:t>
        </x:is>
      </x:c>
      <x:c r="AD233" s="81" t="inlineStr">
        <x:is>
          <x:t xml:space="preserve">Needs editorial review</x:t>
        </x:is>
      </x:c>
      <x:c r="AE233" s="81" t="inlineStr">
        <x:is>
          <x:t xml:space="preserve">Needs semantic dedupe review</x:t>
        </x:is>
      </x:c>
      <x:c r="AF233" s="81" t="str"/>
      <x:c r="AG233" s="81" t="str"/>
      <x:c r="AH233" s="81" t="inlineStr">
        <x:is>
          <x:t xml:space="preserve">No</x:t>
        </x:is>
      </x:c>
      <x:c r="AI233" s="81" t="inlineStr">
        <x:is>
          <x:t xml:space="preserve">Not reviewed</x:t>
        </x:is>
      </x:c>
      <x:c r="AJ233" s="81" t="inlineStr">
        <x:is>
          <x:t xml:space="preserve">Research only</x:t>
        </x:is>
      </x:c>
      <x:c r="AK233" s="81" t="inlineStr">
        <x:is>
          <x:t xml:space="preserve">Research Pool</x:t>
        </x:is>
      </x:c>
      <x:c r="AL233" s="81" t="n">
        <x:v>3</x:v>
      </x:c>
      <x:c r="AM233" s="81" t="inlineStr">
        <x:is>
          <x:t xml:space="preserve">ChatGPT research</x:t>
        </x:is>
      </x:c>
      <x:c r="AN233" s="81" t="inlineStr">
        <x:is>
          <x:t xml:space="preserve">2026-09-18</x:t>
        </x:is>
      </x:c>
      <x:c r="AO233" s="81" t="inlineStr">
        <x:is>
          <x:t xml:space="preserve">Day 3 full-scope audit, chapters 51–81.</x:t>
        </x:is>
      </x:c>
    </x:row>
    <x:row r="234">
      <x:c r="A234" s="81" t="inlineStr">
        <x:is>
          <x:t xml:space="preserve">research.laozi.day3.ch62.052</x:t>
        </x:is>
      </x:c>
      <x:c r="B234" s="81" t="inlineStr">
        <x:is>
          <x:t xml:space="preserve">Collected</x:t>
        </x:is>
      </x:c>
      <x:c r="C234" s="81" t="inlineStr">
        <x:is>
          <x:t xml:space="preserve">Quan hệ</x:t>
        </x:is>
      </x:c>
      <x:c r="D234" s="81" t="inlineStr">
        <x:is>
          <x:t xml:space="preserve">Day 3 / Laozi 51–81</x:t>
        </x:is>
      </x:c>
      <x:c r="E234" s="81" t="str"/>
      <x:c r="F234" s="81" t="inlineStr">
        <x:is>
          <x:t xml:space="preserve">Phân biệt lời hấp dẫn và hành vi thực</x:t>
        </x:is>
      </x:c>
      <x:c r="G234" s="81" t="inlineStr">
        <x:is>
          <x:t xml:space="preserve">Trust</x:t>
        </x:is>
      </x:c>
      <x:c r="H234" s="81" t="str"/>
      <x:c r="I234" s="81" t="str"/>
      <x:c r="J234" s="81" t="str"/>
      <x:c r="K234" s="81" t="inlineStr">
        <x:is>
          <x:t xml:space="preserve">Distinguish</x:t>
        </x:is>
      </x:c>
      <x:c r="L234" s="81" t="inlineStr">
        <x:is>
          <x:t xml:space="preserve">Recognize</x:t>
        </x:is>
      </x:c>
      <x:c r="M234" s="81" t="inlineStr">
        <x:is>
          <x:t xml:space="preserve">Trích đoạn triết học</x:t>
        </x:is>
      </x:c>
      <x:c r="N234" s="81" t="inlineStr">
        <x:is>
          <x:t xml:space="preserve">美言可以市，尊行可以加人。</x:t>
        </x:is>
      </x:c>
      <x:c r="O234" s="81" t="inlineStr">
        <x:is>
          <x:t xml:space="preserve">Classical Chinese (文言文)</x:t>
        </x:is>
      </x:c>
      <x:c r="P234" s="81" t="inlineStr">
        <x:is>
          <x:t xml:space="preserve">Lời đẹp có thể mua được sự chú ý; hành vi đáng trọng có thể tạo ảnh hưởng.</x:t>
        </x:is>
      </x:c>
      <x:c r="Q234" s="81" t="inlineStr">
        <x:is>
          <x:t xml:space="preserve">Laozi / 老子</x:t>
        </x:is>
      </x:c>
      <x:c r="R234" s="81" t="inlineStr">
        <x:is>
          <x:t xml:space="preserve">Taoism</x:t>
        </x:is>
      </x:c>
      <x:c r="S234" s="81" t="inlineStr">
        <x:is>
          <x:t xml:space="preserve">道德經 / Tao Te Ching</x:t>
        </x:is>
      </x:c>
      <x:c r="T234" s="81" t="inlineStr">
        <x:is>
          <x:t xml:space="preserve">Chapter 62</x:t>
        </x:is>
      </x:c>
      <x:c r="U234" s="81" t="inlineStr">
        <x:is>
          <x:t xml:space="preserve">https://zh.wikisource.org/zh-hant/%E9%81%93%E5%BE%B7%E7%B6%93_(%E7%8E%8B%E5%BC%BC%E6%9C%AC)</x:t>
        </x:is>
      </x:c>
      <x:c r="V234" s="81" t="inlineStr">
        <x:is>
          <x:t xml:space="preserve">Primary text</x:t>
        </x:is>
      </x:c>
      <x:c r="W234" s="81" t="inlineStr">
        <x:is>
          <x:t xml:space="preserve">Working translation</x:t>
        </x:is>
      </x:c>
      <x:c r="X234" s="81" t="inlineStr">
        <x:is>
          <x:t xml:space="preserve">A - Primary source</x:t>
        </x:is>
      </x:c>
      <x:c r="Y234" s="81" t="inlineStr">
        <x:is>
          <x:t xml:space="preserve">Original Chinese checked against Wang Bi recension on Chinese Wikisource. Vietnamese is Selflo working translation, not a published translation.</x:t>
        </x:is>
      </x:c>
      <x:c r="Z234" s="81" t="inlineStr">
        <x:is>
          <x:t xml:space="preserve">Public domain / likely</x:t>
        </x:is>
      </x:c>
      <x:c r="AA234" s="81" t="inlineStr">
        <x:is>
          <x:t xml:space="preserve">Ancient source text; verify edition/jurisdiction before commercial publication.</x:t>
        </x:is>
      </x:c>
      <x:c r="AB234" s="81" t="inlineStr">
        <x:is>
          <x:t xml:space="preserve">High</x:t>
        </x:is>
      </x:c>
      <x:c r="AC234" s="81" t="inlineStr">
        <x:is>
          <x:t xml:space="preserve">Good for AI/content.</x:t>
        </x:is>
      </x:c>
      <x:c r="AD234" s="81" t="inlineStr">
        <x:is>
          <x:t xml:space="preserve">Needs editorial review</x:t>
        </x:is>
      </x:c>
      <x:c r="AE234" s="81" t="inlineStr">
        <x:is>
          <x:t xml:space="preserve">Needs semantic dedupe review</x:t>
        </x:is>
      </x:c>
      <x:c r="AF234" s="81" t="str"/>
      <x:c r="AG234" s="81" t="str"/>
      <x:c r="AH234" s="81" t="inlineStr">
        <x:is>
          <x:t xml:space="preserve">No</x:t>
        </x:is>
      </x:c>
      <x:c r="AI234" s="81" t="inlineStr">
        <x:is>
          <x:t xml:space="preserve">Not reviewed</x:t>
        </x:is>
      </x:c>
      <x:c r="AJ234" s="81" t="inlineStr">
        <x:is>
          <x:t xml:space="preserve">Research only</x:t>
        </x:is>
      </x:c>
      <x:c r="AK234" s="81" t="inlineStr">
        <x:is>
          <x:t xml:space="preserve">Research Pool</x:t>
        </x:is>
      </x:c>
      <x:c r="AL234" s="81" t="n">
        <x:v>3</x:v>
      </x:c>
      <x:c r="AM234" s="81" t="inlineStr">
        <x:is>
          <x:t xml:space="preserve">ChatGPT research</x:t>
        </x:is>
      </x:c>
      <x:c r="AN234" s="81" t="inlineStr">
        <x:is>
          <x:t xml:space="preserve">2026-09-18</x:t>
        </x:is>
      </x:c>
      <x:c r="AO234" s="81" t="inlineStr">
        <x:is>
          <x:t xml:space="preserve">Day 3 full-scope audit, chapters 51–81.</x:t>
        </x:is>
      </x:c>
    </x:row>
    <x:row r="235">
      <x:c r="A235" s="81" t="inlineStr">
        <x:is>
          <x:t xml:space="preserve">research.laozi.day3.ch62.053</x:t>
        </x:is>
      </x:c>
      <x:c r="B235" s="81" t="inlineStr">
        <x:is>
          <x:t xml:space="preserve">Collected</x:t>
        </x:is>
      </x:c>
      <x:c r="C235" s="81" t="inlineStr">
        <x:is>
          <x:t xml:space="preserve">Nội tâm &amp; hiểu mình</x:t>
        </x:is>
      </x:c>
      <x:c r="D235" s="81" t="inlineStr">
        <x:is>
          <x:t xml:space="preserve">Day 3 / Laozi 51–81</x:t>
        </x:is>
      </x:c>
      <x:c r="E235" s="81" t="str"/>
      <x:c r="F235" s="81" t="inlineStr">
        <x:is>
          <x:t xml:space="preserve">Giá trị sử dụng có thể hơn biểu tượng hào nhoáng</x:t>
        </x:is>
      </x:c>
      <x:c r="G235" s="81" t="inlineStr">
        <x:is>
          <x:t xml:space="preserve">Values</x:t>
        </x:is>
      </x:c>
      <x:c r="H235" s="81" t="str"/>
      <x:c r="I235" s="81" t="str"/>
      <x:c r="J235" s="81" t="str"/>
      <x:c r="K235" s="81" t="inlineStr">
        <x:is>
          <x:t xml:space="preserve">Distinguish</x:t>
        </x:is>
      </x:c>
      <x:c r="L235" s="81" t="inlineStr">
        <x:is>
          <x:t xml:space="preserve">Recognize</x:t>
        </x:is>
      </x:c>
      <x:c r="M235" s="81" t="inlineStr">
        <x:is>
          <x:t xml:space="preserve">Trích đoạn triết học</x:t>
        </x:is>
      </x:c>
      <x:c r="N235" s="81" t="inlineStr">
        <x:is>
          <x:t xml:space="preserve">雖有拱璧以先駟馬，不如坐進此道。</x:t>
        </x:is>
      </x:c>
      <x:c r="O235" s="81" t="inlineStr">
        <x:is>
          <x:t xml:space="preserve">Classical Chinese (文言文)</x:t>
        </x:is>
      </x:c>
      <x:c r="P235" s="81" t="inlineStr">
        <x:is>
          <x:t xml:space="preserve">Ngay vật quý và nghi lễ lớn cũng không bằng trao một nguyên lý có thể dùng được.</x:t>
        </x:is>
      </x:c>
      <x:c r="Q235" s="81" t="inlineStr">
        <x:is>
          <x:t xml:space="preserve">Laozi / 老子</x:t>
        </x:is>
      </x:c>
      <x:c r="R235" s="81" t="inlineStr">
        <x:is>
          <x:t xml:space="preserve">Taoism</x:t>
        </x:is>
      </x:c>
      <x:c r="S235" s="81" t="inlineStr">
        <x:is>
          <x:t xml:space="preserve">道德經 / Tao Te Ching</x:t>
        </x:is>
      </x:c>
      <x:c r="T235" s="81" t="inlineStr">
        <x:is>
          <x:t xml:space="preserve">Chapter 62</x:t>
        </x:is>
      </x:c>
      <x:c r="U235" s="81" t="inlineStr">
        <x:is>
          <x:t xml:space="preserve">https://zh.wikisource.org/zh-hant/%E9%81%93%E5%BE%B7%E7%B6%93_(%E7%8E%8B%E5%BC%BC%E6%9C%AC)</x:t>
        </x:is>
      </x:c>
      <x:c r="V235" s="81" t="inlineStr">
        <x:is>
          <x:t xml:space="preserve">Primary text</x:t>
        </x:is>
      </x:c>
      <x:c r="W235" s="81" t="inlineStr">
        <x:is>
          <x:t xml:space="preserve">Working translation</x:t>
        </x:is>
      </x:c>
      <x:c r="X235" s="81" t="inlineStr">
        <x:is>
          <x:t xml:space="preserve">A - Primary source</x:t>
        </x:is>
      </x:c>
      <x:c r="Y235" s="81" t="inlineStr">
        <x:is>
          <x:t xml:space="preserve">Original Chinese checked against Wang Bi recension on Chinese Wikisource. Vietnamese is Selflo working translation, not a published translation.</x:t>
        </x:is>
      </x:c>
      <x:c r="Z235" s="81" t="inlineStr">
        <x:is>
          <x:t xml:space="preserve">Public domain / likely</x:t>
        </x:is>
      </x:c>
      <x:c r="AA235" s="81" t="inlineStr">
        <x:is>
          <x:t xml:space="preserve">Ancient source text; verify edition/jurisdiction before commercial publication.</x:t>
        </x:is>
      </x:c>
      <x:c r="AB235" s="81" t="inlineStr">
        <x:is>
          <x:t xml:space="preserve">Medium</x:t>
        </x:is>
      </x:c>
      <x:c r="AC235" s="81" t="inlineStr">
        <x:is>
          <x:t xml:space="preserve">Ancient political setting.</x:t>
        </x:is>
      </x:c>
      <x:c r="AD235" s="81" t="inlineStr">
        <x:is>
          <x:t xml:space="preserve">Needs editorial review</x:t>
        </x:is>
      </x:c>
      <x:c r="AE235" s="81" t="inlineStr">
        <x:is>
          <x:t xml:space="preserve">Needs semantic dedupe review</x:t>
        </x:is>
      </x:c>
      <x:c r="AF235" s="81" t="str"/>
      <x:c r="AG235" s="81" t="str"/>
      <x:c r="AH235" s="81" t="inlineStr">
        <x:is>
          <x:t xml:space="preserve">No</x:t>
        </x:is>
      </x:c>
      <x:c r="AI235" s="81" t="inlineStr">
        <x:is>
          <x:t xml:space="preserve">Not reviewed</x:t>
        </x:is>
      </x:c>
      <x:c r="AJ235" s="81" t="inlineStr">
        <x:is>
          <x:t xml:space="preserve">Research only</x:t>
        </x:is>
      </x:c>
      <x:c r="AK235" s="81" t="inlineStr">
        <x:is>
          <x:t xml:space="preserve">Research Pool</x:t>
        </x:is>
      </x:c>
      <x:c r="AL235" s="81" t="n">
        <x:v>3</x:v>
      </x:c>
      <x:c r="AM235" s="81" t="inlineStr">
        <x:is>
          <x:t xml:space="preserve">ChatGPT research</x:t>
        </x:is>
      </x:c>
      <x:c r="AN235" s="81" t="inlineStr">
        <x:is>
          <x:t xml:space="preserve">2026-09-18</x:t>
        </x:is>
      </x:c>
      <x:c r="AO235" s="81" t="inlineStr">
        <x:is>
          <x:t xml:space="preserve">Day 3 full-scope audit, chapters 51–81.</x:t>
        </x:is>
      </x:c>
    </x:row>
    <x:row r="236">
      <x:c r="A236" s="81" t="inlineStr">
        <x:is>
          <x:t xml:space="preserve">research.laozi.day3.ch63.054</x:t>
        </x:is>
      </x:c>
      <x:c r="B236" s="81" t="inlineStr">
        <x:is>
          <x:t xml:space="preserve">Collected</x:t>
        </x:is>
      </x:c>
      <x:c r="C236" s="81" t="inlineStr">
        <x:is>
          <x:t xml:space="preserve">AI &amp; tương lai</x:t>
        </x:is>
      </x:c>
      <x:c r="D236" s="81" t="inlineStr">
        <x:is>
          <x:t xml:space="preserve">Day 3 / Laozi 51–81</x:t>
        </x:is>
      </x:c>
      <x:c r="E236" s="81" t="str"/>
      <x:c r="F236" s="81" t="inlineStr">
        <x:is>
          <x:t xml:space="preserve">Không chờ vấn đề lớn mới chú ý</x:t>
        </x:is>
      </x:c>
      <x:c r="G236" s="81" t="inlineStr">
        <x:is>
          <x:t xml:space="preserve">Attention</x:t>
        </x:is>
      </x:c>
      <x:c r="H236" s="81" t="str"/>
      <x:c r="I236" s="81" t="str"/>
      <x:c r="J236" s="81" t="str"/>
      <x:c r="K236" s="81" t="inlineStr">
        <x:is>
          <x:t xml:space="preserve">Recognize</x:t>
        </x:is>
      </x:c>
      <x:c r="L236" s="81" t="inlineStr">
        <x:is>
          <x:t xml:space="preserve">Distinguish</x:t>
        </x:is>
      </x:c>
      <x:c r="M236" s="81" t="inlineStr">
        <x:is>
          <x:t xml:space="preserve">Trích đoạn triết học</x:t>
        </x:is>
      </x:c>
      <x:c r="N236" s="81" t="inlineStr">
        <x:is>
          <x:t xml:space="preserve">為無為，事無事，味無味。</x:t>
        </x:is>
      </x:c>
      <x:c r="O236" s="81" t="inlineStr">
        <x:is>
          <x:t xml:space="preserve">Classical Chinese (文言文)</x:t>
        </x:is>
      </x:c>
      <x:c r="P236" s="81" t="inlineStr">
        <x:is>
          <x:t xml:space="preserve">Làm mà không cưỡng làm; xử lý việc từ khi còn chưa thành việc lớn; cảm được cả điều ít vị.</x:t>
        </x:is>
      </x:c>
      <x:c r="Q236" s="81" t="inlineStr">
        <x:is>
          <x:t xml:space="preserve">Laozi / 老子</x:t>
        </x:is>
      </x:c>
      <x:c r="R236" s="81" t="inlineStr">
        <x:is>
          <x:t xml:space="preserve">Taoism</x:t>
        </x:is>
      </x:c>
      <x:c r="S236" s="81" t="inlineStr">
        <x:is>
          <x:t xml:space="preserve">道德經 / Tao Te Ching</x:t>
        </x:is>
      </x:c>
      <x:c r="T236" s="81" t="inlineStr">
        <x:is>
          <x:t xml:space="preserve">Chapter 63</x:t>
        </x:is>
      </x:c>
      <x:c r="U236" s="81" t="inlineStr">
        <x:is>
          <x:t xml:space="preserve">https://zh.wikisource.org/zh-hant/%E9%81%93%E5%BE%B7%E7%B6%93_(%E7%8E%8B%E5%BC%BC%E6%9C%AC)</x:t>
        </x:is>
      </x:c>
      <x:c r="V236" s="81" t="inlineStr">
        <x:is>
          <x:t xml:space="preserve">Primary text</x:t>
        </x:is>
      </x:c>
      <x:c r="W236" s="81" t="inlineStr">
        <x:is>
          <x:t xml:space="preserve">Working translation</x:t>
        </x:is>
      </x:c>
      <x:c r="X236" s="81" t="inlineStr">
        <x:is>
          <x:t xml:space="preserve">A - Primary source</x:t>
        </x:is>
      </x:c>
      <x:c r="Y236" s="81" t="inlineStr">
        <x:is>
          <x:t xml:space="preserve">Original Chinese checked against Wang Bi recension on Chinese Wikisource. Vietnamese is Selflo working translation, not a published translation.</x:t>
        </x:is>
      </x:c>
      <x:c r="Z236" s="81" t="inlineStr">
        <x:is>
          <x:t xml:space="preserve">Public domain / likely</x:t>
        </x:is>
      </x:c>
      <x:c r="AA236" s="81" t="inlineStr">
        <x:is>
          <x:t xml:space="preserve">Ancient source text; verify edition/jurisdiction before commercial publication.</x:t>
        </x:is>
      </x:c>
      <x:c r="AB236" s="81" t="inlineStr">
        <x:is>
          <x:t xml:space="preserve">High</x:t>
        </x:is>
      </x:c>
      <x:c r="AC236" s="81" t="inlineStr">
        <x:is>
          <x:t xml:space="preserve">Strong.</x:t>
        </x:is>
      </x:c>
      <x:c r="AD236" s="81" t="inlineStr">
        <x:is>
          <x:t xml:space="preserve">Needs editorial review</x:t>
        </x:is>
      </x:c>
      <x:c r="AE236" s="81" t="inlineStr">
        <x:is>
          <x:t xml:space="preserve">Needs semantic dedupe review</x:t>
        </x:is>
      </x:c>
      <x:c r="AF236" s="81" t="str"/>
      <x:c r="AG236" s="81" t="str"/>
      <x:c r="AH236" s="81" t="inlineStr">
        <x:is>
          <x:t xml:space="preserve">No</x:t>
        </x:is>
      </x:c>
      <x:c r="AI236" s="81" t="inlineStr">
        <x:is>
          <x:t xml:space="preserve">Not reviewed</x:t>
        </x:is>
      </x:c>
      <x:c r="AJ236" s="81" t="inlineStr">
        <x:is>
          <x:t xml:space="preserve">Research only</x:t>
        </x:is>
      </x:c>
      <x:c r="AK236" s="81" t="inlineStr">
        <x:is>
          <x:t xml:space="preserve">Research Pool</x:t>
        </x:is>
      </x:c>
      <x:c r="AL236" s="81" t="n">
        <x:v>3</x:v>
      </x:c>
      <x:c r="AM236" s="81" t="inlineStr">
        <x:is>
          <x:t xml:space="preserve">ChatGPT research</x:t>
        </x:is>
      </x:c>
      <x:c r="AN236" s="81" t="inlineStr">
        <x:is>
          <x:t xml:space="preserve">2026-09-18</x:t>
        </x:is>
      </x:c>
      <x:c r="AO236" s="81" t="inlineStr">
        <x:is>
          <x:t xml:space="preserve">Day 3 full-scope audit, chapters 51–81.</x:t>
        </x:is>
      </x:c>
    </x:row>
    <x:row r="237">
      <x:c r="A237" s="81" t="inlineStr">
        <x:is>
          <x:t xml:space="preserve">research.laozi.day3.ch63.055</x:t>
        </x:is>
      </x:c>
      <x:c r="B237" s="81" t="inlineStr">
        <x:is>
          <x:t xml:space="preserve">Collected</x:t>
        </x:is>
      </x:c>
      <x:c r="C237" s="81" t="inlineStr">
        <x:is>
          <x:t xml:space="preserve">Quan hệ</x:t>
        </x:is>
      </x:c>
      <x:c r="D237" s="81" t="inlineStr">
        <x:is>
          <x:t xml:space="preserve">Day 3 / Laozi 51–81</x:t>
        </x:is>
      </x:c>
      <x:c r="E237" s="81" t="str"/>
      <x:c r="F237" s="81" t="inlineStr">
        <x:is>
          <x:t xml:space="preserve">Một điều nhỏ vẫn có thể chứa hệ quả lớn</x:t>
        </x:is>
      </x:c>
      <x:c r="G237" s="81" t="inlineStr">
        <x:is>
          <x:t xml:space="preserve">Relationships</x:t>
        </x:is>
      </x:c>
      <x:c r="H237" s="81" t="str"/>
      <x:c r="I237" s="81" t="str"/>
      <x:c r="J237" s="81" t="str"/>
      <x:c r="K237" s="81" t="inlineStr">
        <x:is>
          <x:t xml:space="preserve">Reframe</x:t>
        </x:is>
      </x:c>
      <x:c r="L237" s="81" t="inlineStr">
        <x:is>
          <x:t xml:space="preserve">Distinguish</x:t>
        </x:is>
      </x:c>
      <x:c r="M237" s="81" t="inlineStr">
        <x:is>
          <x:t xml:space="preserve">Trích đoạn triết học</x:t>
        </x:is>
      </x:c>
      <x:c r="N237" s="81" t="inlineStr">
        <x:is>
          <x:t xml:space="preserve">大小多少，報怨以德。</x:t>
        </x:is>
      </x:c>
      <x:c r="O237" s="81" t="inlineStr">
        <x:is>
          <x:t xml:space="preserve">Classical Chinese (文言文)</x:t>
        </x:is>
      </x:c>
      <x:c r="P237" s="81" t="inlineStr">
        <x:is>
          <x:t xml:space="preserve">Nhìn lớn trong nhỏ, nhiều trong ít; đáp oán bằng đức.</x:t>
        </x:is>
      </x:c>
      <x:c r="Q237" s="81" t="inlineStr">
        <x:is>
          <x:t xml:space="preserve">Laozi / 老子</x:t>
        </x:is>
      </x:c>
      <x:c r="R237" s="81" t="inlineStr">
        <x:is>
          <x:t xml:space="preserve">Taoism</x:t>
        </x:is>
      </x:c>
      <x:c r="S237" s="81" t="inlineStr">
        <x:is>
          <x:t xml:space="preserve">道德經 / Tao Te Ching</x:t>
        </x:is>
      </x:c>
      <x:c r="T237" s="81" t="inlineStr">
        <x:is>
          <x:t xml:space="preserve">Chapter 63</x:t>
        </x:is>
      </x:c>
      <x:c r="U237" s="81" t="inlineStr">
        <x:is>
          <x:t xml:space="preserve">https://zh.wikisource.org/zh-hant/%E9%81%93%E5%BE%B7%E7%B6%93_(%E7%8E%8B%E5%BC%BC%E6%9C%AC)</x:t>
        </x:is>
      </x:c>
      <x:c r="V237" s="81" t="inlineStr">
        <x:is>
          <x:t xml:space="preserve">Primary text</x:t>
        </x:is>
      </x:c>
      <x:c r="W237" s="81" t="inlineStr">
        <x:is>
          <x:t xml:space="preserve">Working translation</x:t>
        </x:is>
      </x:c>
      <x:c r="X237" s="81" t="inlineStr">
        <x:is>
          <x:t xml:space="preserve">A - Primary source</x:t>
        </x:is>
      </x:c>
      <x:c r="Y237" s="81" t="inlineStr">
        <x:is>
          <x:t xml:space="preserve">Original Chinese checked against Wang Bi recension on Chinese Wikisource. Vietnamese is Selflo working translation, not a published translation.</x:t>
        </x:is>
      </x:c>
      <x:c r="Z237" s="81" t="inlineStr">
        <x:is>
          <x:t xml:space="preserve">Public domain / likely</x:t>
        </x:is>
      </x:c>
      <x:c r="AA237" s="81" t="inlineStr">
        <x:is>
          <x:t xml:space="preserve">Ancient source text; verify edition/jurisdiction before commercial publication.</x:t>
        </x:is>
      </x:c>
      <x:c r="AB237" s="81" t="inlineStr">
        <x:is>
          <x:t xml:space="preserve">Medium</x:t>
        </x:is>
      </x:c>
      <x:c r="AC237" s="81" t="inlineStr">
        <x:is>
          <x:t xml:space="preserve">報怨以德 contested/ethical.</x:t>
        </x:is>
      </x:c>
      <x:c r="AD237" s="81" t="inlineStr">
        <x:is>
          <x:t xml:space="preserve">Needs editorial review</x:t>
        </x:is>
      </x:c>
      <x:c r="AE237" s="81" t="inlineStr">
        <x:is>
          <x:t xml:space="preserve">Needs semantic dedupe review</x:t>
        </x:is>
      </x:c>
      <x:c r="AF237" s="81" t="str"/>
      <x:c r="AG237" s="81" t="str"/>
      <x:c r="AH237" s="81" t="inlineStr">
        <x:is>
          <x:t xml:space="preserve">No</x:t>
        </x:is>
      </x:c>
      <x:c r="AI237" s="81" t="inlineStr">
        <x:is>
          <x:t xml:space="preserve">Not reviewed</x:t>
        </x:is>
      </x:c>
      <x:c r="AJ237" s="81" t="inlineStr">
        <x:is>
          <x:t xml:space="preserve">Research only</x:t>
        </x:is>
      </x:c>
      <x:c r="AK237" s="81" t="inlineStr">
        <x:is>
          <x:t xml:space="preserve">Research Pool</x:t>
        </x:is>
      </x:c>
      <x:c r="AL237" s="81" t="n">
        <x:v>3</x:v>
      </x:c>
      <x:c r="AM237" s="81" t="inlineStr">
        <x:is>
          <x:t xml:space="preserve">ChatGPT research</x:t>
        </x:is>
      </x:c>
      <x:c r="AN237" s="81" t="inlineStr">
        <x:is>
          <x:t xml:space="preserve">2026-09-18</x:t>
        </x:is>
      </x:c>
      <x:c r="AO237" s="81" t="inlineStr">
        <x:is>
          <x:t xml:space="preserve">Day 3 full-scope audit, chapters 51–81.</x:t>
        </x:is>
      </x:c>
    </x:row>
    <x:row r="238">
      <x:c r="A238" s="81" t="inlineStr">
        <x:is>
          <x:t xml:space="preserve">research.laozi.day3.ch63.056</x:t>
        </x:is>
      </x:c>
      <x:c r="B238" s="81" t="inlineStr">
        <x:is>
          <x:t xml:space="preserve">Collected</x:t>
        </x:is>
      </x:c>
      <x:c r="C238" s="81" t="inlineStr">
        <x:is>
          <x:t xml:space="preserve">Nội tâm &amp; hiểu mình</x:t>
        </x:is>
      </x:c>
      <x:c r="D238" s="81" t="inlineStr">
        <x:is>
          <x:t xml:space="preserve">Day 3 / Laozi 51–81</x:t>
        </x:is>
      </x:c>
      <x:c r="E238" s="81" t="str"/>
      <x:c r="F238" s="81" t="inlineStr">
        <x:is>
          <x:t xml:space="preserve">Bắt đầu ở tín hiệu nhỏ trước khi quá tải</x:t>
        </x:is>
      </x:c>
      <x:c r="G238" s="81" t="inlineStr">
        <x:is>
          <x:t xml:space="preserve">Prevention</x:t>
        </x:is>
      </x:c>
      <x:c r="H238" s="81" t="str"/>
      <x:c r="I238" s="81" t="str"/>
      <x:c r="J238" s="81" t="str"/>
      <x:c r="K238" s="81" t="inlineStr">
        <x:is>
          <x:t xml:space="preserve">Recognize</x:t>
        </x:is>
      </x:c>
      <x:c r="L238" s="81" t="inlineStr">
        <x:is>
          <x:t xml:space="preserve">Distinguish</x:t>
        </x:is>
      </x:c>
      <x:c r="M238" s="81" t="inlineStr">
        <x:is>
          <x:t xml:space="preserve">Trích đoạn triết học</x:t>
        </x:is>
      </x:c>
      <x:c r="N238" s="81" t="inlineStr">
        <x:is>
          <x:t xml:space="preserve">圖難於其易，為大於其細。</x:t>
        </x:is>
      </x:c>
      <x:c r="O238" s="81" t="inlineStr">
        <x:is>
          <x:t xml:space="preserve">Classical Chinese (文言文)</x:t>
        </x:is>
      </x:c>
      <x:c r="P238" s="81" t="inlineStr">
        <x:is>
          <x:t xml:space="preserve">Tính việc khó khi nó còn dễ; làm việc lớn từ phần nhỏ.</x:t>
        </x:is>
      </x:c>
      <x:c r="Q238" s="81" t="inlineStr">
        <x:is>
          <x:t xml:space="preserve">Laozi / 老子</x:t>
        </x:is>
      </x:c>
      <x:c r="R238" s="81" t="inlineStr">
        <x:is>
          <x:t xml:space="preserve">Taoism</x:t>
        </x:is>
      </x:c>
      <x:c r="S238" s="81" t="inlineStr">
        <x:is>
          <x:t xml:space="preserve">道德經 / Tao Te Ching</x:t>
        </x:is>
      </x:c>
      <x:c r="T238" s="81" t="inlineStr">
        <x:is>
          <x:t xml:space="preserve">Chapter 63</x:t>
        </x:is>
      </x:c>
      <x:c r="U238" s="81" t="inlineStr">
        <x:is>
          <x:t xml:space="preserve">https://zh.wikisource.org/zh-hant/%E9%81%93%E5%BE%B7%E7%B6%93_(%E7%8E%8B%E5%BC%BC%E6%9C%AC)</x:t>
        </x:is>
      </x:c>
      <x:c r="V238" s="81" t="inlineStr">
        <x:is>
          <x:t xml:space="preserve">Primary text</x:t>
        </x:is>
      </x:c>
      <x:c r="W238" s="81" t="inlineStr">
        <x:is>
          <x:t xml:space="preserve">Working translation</x:t>
        </x:is>
      </x:c>
      <x:c r="X238" s="81" t="inlineStr">
        <x:is>
          <x:t xml:space="preserve">A - Primary source</x:t>
        </x:is>
      </x:c>
      <x:c r="Y238" s="81" t="inlineStr">
        <x:is>
          <x:t xml:space="preserve">Original Chinese checked against Wang Bi recension on Chinese Wikisource. Vietnamese is Selflo working translation, not a published translation.</x:t>
        </x:is>
      </x:c>
      <x:c r="Z238" s="81" t="inlineStr">
        <x:is>
          <x:t xml:space="preserve">Public domain / likely</x:t>
        </x:is>
      </x:c>
      <x:c r="AA238" s="81" t="inlineStr">
        <x:is>
          <x:t xml:space="preserve">Ancient source text; verify edition/jurisdiction before commercial publication.</x:t>
        </x:is>
      </x:c>
      <x:c r="AB238" s="81" t="inlineStr">
        <x:is>
          <x:t xml:space="preserve">High</x:t>
        </x:is>
      </x:c>
      <x:c r="AC238" s="81" t="inlineStr">
        <x:is>
          <x:t xml:space="preserve">Strong.</x:t>
        </x:is>
      </x:c>
      <x:c r="AD238" s="81" t="inlineStr">
        <x:is>
          <x:t xml:space="preserve">Needs editorial review</x:t>
        </x:is>
      </x:c>
      <x:c r="AE238" s="81" t="inlineStr">
        <x:is>
          <x:t xml:space="preserve">Needs semantic dedupe review</x:t>
        </x:is>
      </x:c>
      <x:c r="AF238" s="81" t="str"/>
      <x:c r="AG238" s="81" t="str"/>
      <x:c r="AH238" s="81" t="inlineStr">
        <x:is>
          <x:t xml:space="preserve">No</x:t>
        </x:is>
      </x:c>
      <x:c r="AI238" s="81" t="inlineStr">
        <x:is>
          <x:t xml:space="preserve">Not reviewed</x:t>
        </x:is>
      </x:c>
      <x:c r="AJ238" s="81" t="inlineStr">
        <x:is>
          <x:t xml:space="preserve">Research only</x:t>
        </x:is>
      </x:c>
      <x:c r="AK238" s="81" t="inlineStr">
        <x:is>
          <x:t xml:space="preserve">Research Pool</x:t>
        </x:is>
      </x:c>
      <x:c r="AL238" s="81" t="n">
        <x:v>3</x:v>
      </x:c>
      <x:c r="AM238" s="81" t="inlineStr">
        <x:is>
          <x:t xml:space="preserve">ChatGPT research</x:t>
        </x:is>
      </x:c>
      <x:c r="AN238" s="81" t="inlineStr">
        <x:is>
          <x:t xml:space="preserve">2026-09-18</x:t>
        </x:is>
      </x:c>
      <x:c r="AO238" s="81" t="inlineStr">
        <x:is>
          <x:t xml:space="preserve">Day 3 full-scope audit, chapters 51–81.</x:t>
        </x:is>
      </x:c>
    </x:row>
    <x:row r="239">
      <x:c r="A239" s="81" t="inlineStr">
        <x:is>
          <x:t xml:space="preserve">research.laozi.day3.ch63.057</x:t>
        </x:is>
      </x:c>
      <x:c r="B239" s="81" t="inlineStr">
        <x:is>
          <x:t xml:space="preserve">Collected</x:t>
        </x:is>
      </x:c>
      <x:c r="C239" s="81" t="inlineStr">
        <x:is>
          <x:t xml:space="preserve">Nội tâm &amp; hiểu mình</x:t>
        </x:is>
      </x:c>
      <x:c r="D239" s="81" t="inlineStr">
        <x:is>
          <x:t xml:space="preserve">Day 3 / Laozi 51–81</x:t>
        </x:is>
      </x:c>
      <x:c r="E239" s="81" t="str"/>
      <x:c r="F239" s="81" t="inlineStr">
        <x:is>
          <x:t xml:space="preserve">Những thay đổi lớn thường có dấu hiệu nhỏ</x:t>
        </x:is>
      </x:c>
      <x:c r="G239" s="81" t="inlineStr">
        <x:is>
          <x:t xml:space="preserve">Change</x:t>
        </x:is>
      </x:c>
      <x:c r="H239" s="81" t="str"/>
      <x:c r="I239" s="81" t="str"/>
      <x:c r="J239" s="81" t="str"/>
      <x:c r="K239" s="81" t="inlineStr">
        <x:is>
          <x:t xml:space="preserve">Recognize</x:t>
        </x:is>
      </x:c>
      <x:c r="L239" s="81" t="inlineStr">
        <x:is>
          <x:t xml:space="preserve">Distinguish</x:t>
        </x:is>
      </x:c>
      <x:c r="M239" s="81" t="inlineStr">
        <x:is>
          <x:t xml:space="preserve">Trích đoạn triết học</x:t>
        </x:is>
      </x:c>
      <x:c r="N239" s="81" t="inlineStr">
        <x:is>
          <x:t xml:space="preserve">天下難事必作於易，天下大事必作於細。</x:t>
        </x:is>
      </x:c>
      <x:c r="O239" s="81" t="inlineStr">
        <x:is>
          <x:t xml:space="preserve">Classical Chinese (文言文)</x:t>
        </x:is>
      </x:c>
      <x:c r="P239" s="81" t="inlineStr">
        <x:is>
          <x:t xml:space="preserve">Việc khó bắt đầu từ lúc còn dễ; việc lớn bắt đầu từ điều nhỏ.</x:t>
        </x:is>
      </x:c>
      <x:c r="Q239" s="81" t="inlineStr">
        <x:is>
          <x:t xml:space="preserve">Laozi / 老子</x:t>
        </x:is>
      </x:c>
      <x:c r="R239" s="81" t="inlineStr">
        <x:is>
          <x:t xml:space="preserve">Taoism</x:t>
        </x:is>
      </x:c>
      <x:c r="S239" s="81" t="inlineStr">
        <x:is>
          <x:t xml:space="preserve">道德經 / Tao Te Ching</x:t>
        </x:is>
      </x:c>
      <x:c r="T239" s="81" t="inlineStr">
        <x:is>
          <x:t xml:space="preserve">Chapter 63</x:t>
        </x:is>
      </x:c>
      <x:c r="U239" s="81" t="inlineStr">
        <x:is>
          <x:t xml:space="preserve">https://zh.wikisource.org/zh-hant/%E9%81%93%E5%BE%B7%E7%B6%93_(%E7%8E%8B%E5%BC%BC%E6%9C%AC)</x:t>
        </x:is>
      </x:c>
      <x:c r="V239" s="81" t="inlineStr">
        <x:is>
          <x:t xml:space="preserve">Primary text</x:t>
        </x:is>
      </x:c>
      <x:c r="W239" s="81" t="inlineStr">
        <x:is>
          <x:t xml:space="preserve">Working translation</x:t>
        </x:is>
      </x:c>
      <x:c r="X239" s="81" t="inlineStr">
        <x:is>
          <x:t xml:space="preserve">A - Primary source</x:t>
        </x:is>
      </x:c>
      <x:c r="Y239" s="81" t="inlineStr">
        <x:is>
          <x:t xml:space="preserve">Original Chinese checked against Wang Bi recension on Chinese Wikisource. Vietnamese is Selflo working translation, not a published translation.</x:t>
        </x:is>
      </x:c>
      <x:c r="Z239" s="81" t="inlineStr">
        <x:is>
          <x:t xml:space="preserve">Public domain / likely</x:t>
        </x:is>
      </x:c>
      <x:c r="AA239" s="81" t="inlineStr">
        <x:is>
          <x:t xml:space="preserve">Ancient source text; verify edition/jurisdiction before commercial publication.</x:t>
        </x:is>
      </x:c>
      <x:c r="AB239" s="81" t="inlineStr">
        <x:is>
          <x:t xml:space="preserve">High</x:t>
        </x:is>
      </x:c>
      <x:c r="AC239" s="81" t="inlineStr">
        <x:is>
          <x:t xml:space="preserve">Strong.</x:t>
        </x:is>
      </x:c>
      <x:c r="AD239" s="81" t="inlineStr">
        <x:is>
          <x:t xml:space="preserve">Needs editorial review</x:t>
        </x:is>
      </x:c>
      <x:c r="AE239" s="81" t="inlineStr">
        <x:is>
          <x:t xml:space="preserve">Needs semantic dedupe review</x:t>
        </x:is>
      </x:c>
      <x:c r="AF239" s="81" t="str"/>
      <x:c r="AG239" s="81" t="str"/>
      <x:c r="AH239" s="81" t="inlineStr">
        <x:is>
          <x:t xml:space="preserve">No</x:t>
        </x:is>
      </x:c>
      <x:c r="AI239" s="81" t="inlineStr">
        <x:is>
          <x:t xml:space="preserve">Not reviewed</x:t>
        </x:is>
      </x:c>
      <x:c r="AJ239" s="81" t="inlineStr">
        <x:is>
          <x:t xml:space="preserve">Research only</x:t>
        </x:is>
      </x:c>
      <x:c r="AK239" s="81" t="inlineStr">
        <x:is>
          <x:t xml:space="preserve">Research Pool</x:t>
        </x:is>
      </x:c>
      <x:c r="AL239" s="81" t="n">
        <x:v>3</x:v>
      </x:c>
      <x:c r="AM239" s="81" t="inlineStr">
        <x:is>
          <x:t xml:space="preserve">ChatGPT research</x:t>
        </x:is>
      </x:c>
      <x:c r="AN239" s="81" t="inlineStr">
        <x:is>
          <x:t xml:space="preserve">2026-09-18</x:t>
        </x:is>
      </x:c>
      <x:c r="AO239" s="81" t="inlineStr">
        <x:is>
          <x:t xml:space="preserve">Day 3 full-scope audit, chapters 51–81.</x:t>
        </x:is>
      </x:c>
    </x:row>
    <x:row r="240">
      <x:c r="A240" s="81" t="inlineStr">
        <x:is>
          <x:t xml:space="preserve">research.laozi.day3.ch63.058</x:t>
        </x:is>
      </x:c>
      <x:c r="B240" s="81" t="inlineStr">
        <x:is>
          <x:t xml:space="preserve">Collected</x:t>
        </x:is>
      </x:c>
      <x:c r="C240" s="81" t="inlineStr">
        <x:is>
          <x:t xml:space="preserve">AI &amp; tương lai</x:t>
        </x:is>
      </x:c>
      <x:c r="D240" s="81" t="inlineStr">
        <x:is>
          <x:t xml:space="preserve">Day 3 / Laozi 51–81</x:t>
        </x:is>
      </x:c>
      <x:c r="E240" s="81" t="str"/>
      <x:c r="F240" s="81" t="inlineStr">
        <x:is>
          <x:t xml:space="preserve">Đừng đánh giá thấp độ khó và cam kết</x:t>
        </x:is>
      </x:c>
      <x:c r="G240" s="81" t="inlineStr">
        <x:is>
          <x:t xml:space="preserve">Judgment</x:t>
        </x:is>
      </x:c>
      <x:c r="H240" s="81" t="str"/>
      <x:c r="I240" s="81" t="str"/>
      <x:c r="J240" s="81" t="str"/>
      <x:c r="K240" s="81" t="inlineStr">
        <x:is>
          <x:t xml:space="preserve">Distinguish</x:t>
        </x:is>
      </x:c>
      <x:c r="L240" s="81" t="inlineStr">
        <x:is>
          <x:t xml:space="preserve">Recognize</x:t>
        </x:is>
      </x:c>
      <x:c r="M240" s="81" t="inlineStr">
        <x:is>
          <x:t xml:space="preserve">Trích đoạn triết học</x:t>
        </x:is>
      </x:c>
      <x:c r="N240" s="81" t="inlineStr">
        <x:is>
          <x:t xml:space="preserve">輕諾必寡信，多易必多難。</x:t>
        </x:is>
      </x:c>
      <x:c r="O240" s="81" t="inlineStr">
        <x:is>
          <x:t xml:space="preserve">Classical Chinese (文言文)</x:t>
        </x:is>
      </x:c>
      <x:c r="P240" s="81" t="inlineStr">
        <x:is>
          <x:t xml:space="preserve">Hứa quá dễ thường làm niềm tin mỏng; xem quá nhiều việc là dễ thường gặp nhiều khó khăn.</x:t>
        </x:is>
      </x:c>
      <x:c r="Q240" s="81" t="inlineStr">
        <x:is>
          <x:t xml:space="preserve">Laozi / 老子</x:t>
        </x:is>
      </x:c>
      <x:c r="R240" s="81" t="inlineStr">
        <x:is>
          <x:t xml:space="preserve">Taoism</x:t>
        </x:is>
      </x:c>
      <x:c r="S240" s="81" t="inlineStr">
        <x:is>
          <x:t xml:space="preserve">道德經 / Tao Te Ching</x:t>
        </x:is>
      </x:c>
      <x:c r="T240" s="81" t="inlineStr">
        <x:is>
          <x:t xml:space="preserve">Chapter 63</x:t>
        </x:is>
      </x:c>
      <x:c r="U240" s="81" t="inlineStr">
        <x:is>
          <x:t xml:space="preserve">https://zh.wikisource.org/zh-hant/%E9%81%93%E5%BE%B7%E7%B6%93_(%E7%8E%8B%E5%BC%BC%E6%9C%AC)</x:t>
        </x:is>
      </x:c>
      <x:c r="V240" s="81" t="inlineStr">
        <x:is>
          <x:t xml:space="preserve">Primary text</x:t>
        </x:is>
      </x:c>
      <x:c r="W240" s="81" t="inlineStr">
        <x:is>
          <x:t xml:space="preserve">Working translation</x:t>
        </x:is>
      </x:c>
      <x:c r="X240" s="81" t="inlineStr">
        <x:is>
          <x:t xml:space="preserve">A - Primary source</x:t>
        </x:is>
      </x:c>
      <x:c r="Y240" s="81" t="inlineStr">
        <x:is>
          <x:t xml:space="preserve">Original Chinese checked against Wang Bi recension on Chinese Wikisource. Vietnamese is Selflo working translation, not a published translation.</x:t>
        </x:is>
      </x:c>
      <x:c r="Z240" s="81" t="inlineStr">
        <x:is>
          <x:t xml:space="preserve">Public domain / likely</x:t>
        </x:is>
      </x:c>
      <x:c r="AA240" s="81" t="inlineStr">
        <x:is>
          <x:t xml:space="preserve">Ancient source text; verify edition/jurisdiction before commercial publication.</x:t>
        </x:is>
      </x:c>
      <x:c r="AB240" s="81" t="inlineStr">
        <x:is>
          <x:t xml:space="preserve">High</x:t>
        </x:is>
      </x:c>
      <x:c r="AC240" s="81" t="inlineStr">
        <x:is>
          <x:t xml:space="preserve">Excellent work.</x:t>
        </x:is>
      </x:c>
      <x:c r="AD240" s="81" t="inlineStr">
        <x:is>
          <x:t xml:space="preserve">Needs editorial review</x:t>
        </x:is>
      </x:c>
      <x:c r="AE240" s="81" t="inlineStr">
        <x:is>
          <x:t xml:space="preserve">Needs semantic dedupe review</x:t>
        </x:is>
      </x:c>
      <x:c r="AF240" s="81" t="str"/>
      <x:c r="AG240" s="81" t="str"/>
      <x:c r="AH240" s="81" t="inlineStr">
        <x:is>
          <x:t xml:space="preserve">No</x:t>
        </x:is>
      </x:c>
      <x:c r="AI240" s="81" t="inlineStr">
        <x:is>
          <x:t xml:space="preserve">Not reviewed</x:t>
        </x:is>
      </x:c>
      <x:c r="AJ240" s="81" t="inlineStr">
        <x:is>
          <x:t xml:space="preserve">Research only</x:t>
        </x:is>
      </x:c>
      <x:c r="AK240" s="81" t="inlineStr">
        <x:is>
          <x:t xml:space="preserve">Research Pool</x:t>
        </x:is>
      </x:c>
      <x:c r="AL240" s="81" t="n">
        <x:v>3</x:v>
      </x:c>
      <x:c r="AM240" s="81" t="inlineStr">
        <x:is>
          <x:t xml:space="preserve">ChatGPT research</x:t>
        </x:is>
      </x:c>
      <x:c r="AN240" s="81" t="inlineStr">
        <x:is>
          <x:t xml:space="preserve">2026-09-18</x:t>
        </x:is>
      </x:c>
      <x:c r="AO240" s="81" t="inlineStr">
        <x:is>
          <x:t xml:space="preserve">Day 3 full-scope audit, chapters 51–81.</x:t>
        </x:is>
      </x:c>
    </x:row>
    <x:row r="241">
      <x:c r="A241" s="81" t="inlineStr">
        <x:is>
          <x:t xml:space="preserve">research.laozi.day3.ch63.059</x:t>
        </x:is>
      </x:c>
      <x:c r="B241" s="81" t="inlineStr">
        <x:is>
          <x:t xml:space="preserve">Collected</x:t>
        </x:is>
      </x:c>
      <x:c r="C241" s="81" t="inlineStr">
        <x:is>
          <x:t xml:space="preserve">Nội tâm &amp; hiểu mình</x:t>
        </x:is>
      </x:c>
      <x:c r="D241" s="81" t="inlineStr">
        <x:is>
          <x:t xml:space="preserve">Day 3 / Laozi 51–81</x:t>
        </x:is>
      </x:c>
      <x:c r="E241" s="81" t="str"/>
      <x:c r="F241" s="81" t="inlineStr">
        <x:is>
          <x:t xml:space="preserve">Thừa nhận độ khó có thể là một dạng sáng rõ</x:t>
        </x:is>
      </x:c>
      <x:c r="G241" s="81" t="inlineStr">
        <x:is>
          <x:t xml:space="preserve">Self-compassion</x:t>
        </x:is>
      </x:c>
      <x:c r="H241" s="81" t="str"/>
      <x:c r="I241" s="81" t="str"/>
      <x:c r="J241" s="81" t="str"/>
      <x:c r="K241" s="81" t="inlineStr">
        <x:is>
          <x:t xml:space="preserve">Reframe</x:t>
        </x:is>
      </x:c>
      <x:c r="L241" s="81" t="inlineStr">
        <x:is>
          <x:t xml:space="preserve">Distinguish</x:t>
        </x:is>
      </x:c>
      <x:c r="M241" s="81" t="inlineStr">
        <x:is>
          <x:t xml:space="preserve">Trích đoạn triết học</x:t>
        </x:is>
      </x:c>
      <x:c r="N241" s="81" t="inlineStr">
        <x:is>
          <x:t xml:space="preserve">聖人猶難之，故終無難矣。</x:t>
        </x:is>
      </x:c>
      <x:c r="O241" s="81" t="inlineStr">
        <x:is>
          <x:t xml:space="preserve">Classical Chinese (文言文)</x:t>
        </x:is>
      </x:c>
      <x:c r="P241" s="81" t="inlineStr">
        <x:is>
          <x:t xml:space="preserve">Người sáng vẫn coi việc là khó, nhờ vậy không xem nhẹ điều cần chuẩn bị.</x:t>
        </x:is>
      </x:c>
      <x:c r="Q241" s="81" t="inlineStr">
        <x:is>
          <x:t xml:space="preserve">Laozi / 老子</x:t>
        </x:is>
      </x:c>
      <x:c r="R241" s="81" t="inlineStr">
        <x:is>
          <x:t xml:space="preserve">Taoism</x:t>
        </x:is>
      </x:c>
      <x:c r="S241" s="81" t="inlineStr">
        <x:is>
          <x:t xml:space="preserve">道德經 / Tao Te Ching</x:t>
        </x:is>
      </x:c>
      <x:c r="T241" s="81" t="inlineStr">
        <x:is>
          <x:t xml:space="preserve">Chapter 63</x:t>
        </x:is>
      </x:c>
      <x:c r="U241" s="81" t="inlineStr">
        <x:is>
          <x:t xml:space="preserve">https://zh.wikisource.org/zh-hant/%E9%81%93%E5%BE%B7%E7%B6%93_(%E7%8E%8B%E5%BC%BC%E6%9C%AC)</x:t>
        </x:is>
      </x:c>
      <x:c r="V241" s="81" t="inlineStr">
        <x:is>
          <x:t xml:space="preserve">Primary text</x:t>
        </x:is>
      </x:c>
      <x:c r="W241" s="81" t="inlineStr">
        <x:is>
          <x:t xml:space="preserve">Working translation</x:t>
        </x:is>
      </x:c>
      <x:c r="X241" s="81" t="inlineStr">
        <x:is>
          <x:t xml:space="preserve">A - Primary source</x:t>
        </x:is>
      </x:c>
      <x:c r="Y241" s="81" t="inlineStr">
        <x:is>
          <x:t xml:space="preserve">Original Chinese checked against Wang Bi recension on Chinese Wikisource. Vietnamese is Selflo working translation, not a published translation.</x:t>
        </x:is>
      </x:c>
      <x:c r="Z241" s="81" t="inlineStr">
        <x:is>
          <x:t xml:space="preserve">Public domain / likely</x:t>
        </x:is>
      </x:c>
      <x:c r="AA241" s="81" t="inlineStr">
        <x:is>
          <x:t xml:space="preserve">Ancient source text; verify edition/jurisdiction before commercial publication.</x:t>
        </x:is>
      </x:c>
      <x:c r="AB241" s="81" t="inlineStr">
        <x:is>
          <x:t xml:space="preserve">High</x:t>
        </x:is>
      </x:c>
      <x:c r="AC241" s="81" t="inlineStr">
        <x:is>
          <x:t xml:space="preserve">Strong.</x:t>
        </x:is>
      </x:c>
      <x:c r="AD241" s="81" t="inlineStr">
        <x:is>
          <x:t xml:space="preserve">Needs editorial review</x:t>
        </x:is>
      </x:c>
      <x:c r="AE241" s="81" t="inlineStr">
        <x:is>
          <x:t xml:space="preserve">Needs semantic dedupe review</x:t>
        </x:is>
      </x:c>
      <x:c r="AF241" s="81" t="str"/>
      <x:c r="AG241" s="81" t="str"/>
      <x:c r="AH241" s="81" t="inlineStr">
        <x:is>
          <x:t xml:space="preserve">No</x:t>
        </x:is>
      </x:c>
      <x:c r="AI241" s="81" t="inlineStr">
        <x:is>
          <x:t xml:space="preserve">Not reviewed</x:t>
        </x:is>
      </x:c>
      <x:c r="AJ241" s="81" t="inlineStr">
        <x:is>
          <x:t xml:space="preserve">Research only</x:t>
        </x:is>
      </x:c>
      <x:c r="AK241" s="81" t="inlineStr">
        <x:is>
          <x:t xml:space="preserve">Research Pool</x:t>
        </x:is>
      </x:c>
      <x:c r="AL241" s="81" t="n">
        <x:v>3</x:v>
      </x:c>
      <x:c r="AM241" s="81" t="inlineStr">
        <x:is>
          <x:t xml:space="preserve">ChatGPT research</x:t>
        </x:is>
      </x:c>
      <x:c r="AN241" s="81" t="inlineStr">
        <x:is>
          <x:t xml:space="preserve">2026-09-18</x:t>
        </x:is>
      </x:c>
      <x:c r="AO241" s="81" t="inlineStr">
        <x:is>
          <x:t xml:space="preserve">Day 3 full-scope audit, chapters 51–81.</x:t>
        </x:is>
      </x:c>
    </x:row>
    <x:row r="242">
      <x:c r="A242" s="81" t="inlineStr">
        <x:is>
          <x:t xml:space="preserve">research.laozi.day3.ch64.060</x:t>
        </x:is>
      </x:c>
      <x:c r="B242" s="81" t="inlineStr">
        <x:is>
          <x:t xml:space="preserve">Collected</x:t>
        </x:is>
      </x:c>
      <x:c r="C242" s="81" t="inlineStr">
        <x:is>
          <x:t xml:space="preserve">Nội tâm &amp; hiểu mình</x:t>
        </x:is>
      </x:c>
      <x:c r="D242" s="81" t="inlineStr">
        <x:is>
          <x:t xml:space="preserve">Day 3 / Laozi 51–81</x:t>
        </x:is>
      </x:c>
      <x:c r="E242" s="81" t="str"/>
      <x:c r="F242" s="81" t="inlineStr">
        <x:is>
          <x:t xml:space="preserve">Tín hiệu sớm dễ xử lý hơn khủng hoảng muộn</x:t>
        </x:is>
      </x:c>
      <x:c r="G242" s="81" t="inlineStr">
        <x:is>
          <x:t xml:space="preserve">Prevention</x:t>
        </x:is>
      </x:c>
      <x:c r="H242" s="81" t="str"/>
      <x:c r="I242" s="81" t="str"/>
      <x:c r="J242" s="81" t="str"/>
      <x:c r="K242" s="81" t="inlineStr">
        <x:is>
          <x:t xml:space="preserve">Recognize</x:t>
        </x:is>
      </x:c>
      <x:c r="L242" s="81" t="inlineStr">
        <x:is>
          <x:t xml:space="preserve">Distinguish</x:t>
        </x:is>
      </x:c>
      <x:c r="M242" s="81" t="inlineStr">
        <x:is>
          <x:t xml:space="preserve">Trích đoạn triết học</x:t>
        </x:is>
      </x:c>
      <x:c r="N242" s="81" t="inlineStr">
        <x:is>
          <x:t xml:space="preserve">其安易持，其未兆易謀，其脆易泮，其微易散。</x:t>
        </x:is>
      </x:c>
      <x:c r="O242" s="81" t="inlineStr">
        <x:is>
          <x:t xml:space="preserve">Classical Chinese (文言文)</x:t>
        </x:is>
      </x:c>
      <x:c r="P242" s="81" t="inlineStr">
        <x:is>
          <x:t xml:space="preserve">Khi còn ổn thì dễ giữ; khi chưa thành dấu lớn thì dễ tính; cái mong manh dễ tách; cái nhỏ dễ phân tán.</x:t>
        </x:is>
      </x:c>
      <x:c r="Q242" s="81" t="inlineStr">
        <x:is>
          <x:t xml:space="preserve">Laozi / 老子</x:t>
        </x:is>
      </x:c>
      <x:c r="R242" s="81" t="inlineStr">
        <x:is>
          <x:t xml:space="preserve">Taoism</x:t>
        </x:is>
      </x:c>
      <x:c r="S242" s="81" t="inlineStr">
        <x:is>
          <x:t xml:space="preserve">道德經 / Tao Te Ching</x:t>
        </x:is>
      </x:c>
      <x:c r="T242" s="81" t="inlineStr">
        <x:is>
          <x:t xml:space="preserve">Chapter 64</x:t>
        </x:is>
      </x:c>
      <x:c r="U242" s="81" t="inlineStr">
        <x:is>
          <x:t xml:space="preserve">https://zh.wikisource.org/zh-hant/%E9%81%93%E5%BE%B7%E7%B6%93_(%E7%8E%8B%E5%BC%BC%E6%9C%AC)</x:t>
        </x:is>
      </x:c>
      <x:c r="V242" s="81" t="inlineStr">
        <x:is>
          <x:t xml:space="preserve">Primary text</x:t>
        </x:is>
      </x:c>
      <x:c r="W242" s="81" t="inlineStr">
        <x:is>
          <x:t xml:space="preserve">Working translation</x:t>
        </x:is>
      </x:c>
      <x:c r="X242" s="81" t="inlineStr">
        <x:is>
          <x:t xml:space="preserve">A - Primary source</x:t>
        </x:is>
      </x:c>
      <x:c r="Y242" s="81" t="inlineStr">
        <x:is>
          <x:t xml:space="preserve">Original Chinese checked against Wang Bi recension on Chinese Wikisource. Vietnamese is Selflo working translation, not a published translation.</x:t>
        </x:is>
      </x:c>
      <x:c r="Z242" s="81" t="inlineStr">
        <x:is>
          <x:t xml:space="preserve">Public domain / likely</x:t>
        </x:is>
      </x:c>
      <x:c r="AA242" s="81" t="inlineStr">
        <x:is>
          <x:t xml:space="preserve">Ancient source text; verify edition/jurisdiction before commercial publication.</x:t>
        </x:is>
      </x:c>
      <x:c r="AB242" s="81" t="inlineStr">
        <x:is>
          <x:t xml:space="preserve">High</x:t>
        </x:is>
      </x:c>
      <x:c r="AC242" s="81" t="inlineStr">
        <x:is>
          <x:t xml:space="preserve">Strong.</x:t>
        </x:is>
      </x:c>
      <x:c r="AD242" s="81" t="inlineStr">
        <x:is>
          <x:t xml:space="preserve">Needs editorial review</x:t>
        </x:is>
      </x:c>
      <x:c r="AE242" s="81" t="inlineStr">
        <x:is>
          <x:t xml:space="preserve">Needs semantic dedupe review</x:t>
        </x:is>
      </x:c>
      <x:c r="AF242" s="81" t="str"/>
      <x:c r="AG242" s="81" t="str"/>
      <x:c r="AH242" s="81" t="inlineStr">
        <x:is>
          <x:t xml:space="preserve">No</x:t>
        </x:is>
      </x:c>
      <x:c r="AI242" s="81" t="inlineStr">
        <x:is>
          <x:t xml:space="preserve">Not reviewed</x:t>
        </x:is>
      </x:c>
      <x:c r="AJ242" s="81" t="inlineStr">
        <x:is>
          <x:t xml:space="preserve">Research only</x:t>
        </x:is>
      </x:c>
      <x:c r="AK242" s="81" t="inlineStr">
        <x:is>
          <x:t xml:space="preserve">Research Pool</x:t>
        </x:is>
      </x:c>
      <x:c r="AL242" s="81" t="n">
        <x:v>3</x:v>
      </x:c>
      <x:c r="AM242" s="81" t="inlineStr">
        <x:is>
          <x:t xml:space="preserve">ChatGPT research</x:t>
        </x:is>
      </x:c>
      <x:c r="AN242" s="81" t="inlineStr">
        <x:is>
          <x:t xml:space="preserve">2026-09-18</x:t>
        </x:is>
      </x:c>
      <x:c r="AO242" s="81" t="inlineStr">
        <x:is>
          <x:t xml:space="preserve">Day 3 full-scope audit, chapters 51–81.</x:t>
        </x:is>
      </x:c>
    </x:row>
    <x:row r="243">
      <x:c r="A243" s="81" t="inlineStr">
        <x:is>
          <x:t xml:space="preserve">research.laozi.day3.ch64.061</x:t>
        </x:is>
      </x:c>
      <x:c r="B243" s="81" t="inlineStr">
        <x:is>
          <x:t xml:space="preserve">Collected</x:t>
        </x:is>
      </x:c>
      <x:c r="C243" s="81" t="inlineStr">
        <x:is>
          <x:t xml:space="preserve">Nội tâm &amp; hiểu mình</x:t>
        </x:is>
      </x:c>
      <x:c r="D243" s="81" t="inlineStr">
        <x:is>
          <x:t xml:space="preserve">Day 3 / Laozi 51–81</x:t>
        </x:is>
      </x:c>
      <x:c r="E243" s="81" t="str"/>
      <x:c r="F243" s="81" t="inlineStr">
        <x:is>
          <x:t xml:space="preserve">Chăm phần nhỏ trước khi thành quá tải</x:t>
        </x:is>
      </x:c>
      <x:c r="G243" s="81" t="inlineStr">
        <x:is>
          <x:t xml:space="preserve">Prevention</x:t>
        </x:is>
      </x:c>
      <x:c r="H243" s="81" t="str"/>
      <x:c r="I243" s="81" t="str"/>
      <x:c r="J243" s="81" t="str"/>
      <x:c r="K243" s="81" t="inlineStr">
        <x:is>
          <x:t xml:space="preserve">Recognize</x:t>
        </x:is>
      </x:c>
      <x:c r="L243" s="81" t="inlineStr">
        <x:is>
          <x:t xml:space="preserve">Distinguish</x:t>
        </x:is>
      </x:c>
      <x:c r="M243" s="81" t="inlineStr">
        <x:is>
          <x:t xml:space="preserve">Trích đoạn triết học</x:t>
        </x:is>
      </x:c>
      <x:c r="N243" s="81" t="inlineStr">
        <x:is>
          <x:t xml:space="preserve">為之於未有，治之於未亂。</x:t>
        </x:is>
      </x:c>
      <x:c r="O243" s="81" t="inlineStr">
        <x:is>
          <x:t xml:space="preserve">Classical Chinese (文言文)</x:t>
        </x:is>
      </x:c>
      <x:c r="P243" s="81" t="inlineStr">
        <x:is>
          <x:t xml:space="preserve">Làm từ khi vấn đề chưa thành hình; xử lý trước khi rối loạn.</x:t>
        </x:is>
      </x:c>
      <x:c r="Q243" s="81" t="inlineStr">
        <x:is>
          <x:t xml:space="preserve">Laozi / 老子</x:t>
        </x:is>
      </x:c>
      <x:c r="R243" s="81" t="inlineStr">
        <x:is>
          <x:t xml:space="preserve">Taoism</x:t>
        </x:is>
      </x:c>
      <x:c r="S243" s="81" t="inlineStr">
        <x:is>
          <x:t xml:space="preserve">道德經 / Tao Te Ching</x:t>
        </x:is>
      </x:c>
      <x:c r="T243" s="81" t="inlineStr">
        <x:is>
          <x:t xml:space="preserve">Chapter 64</x:t>
        </x:is>
      </x:c>
      <x:c r="U243" s="81" t="inlineStr">
        <x:is>
          <x:t xml:space="preserve">https://zh.wikisource.org/zh-hant/%E9%81%93%E5%BE%B7%E7%B6%93_(%E7%8E%8B%E5%BC%BC%E6%9C%AC)</x:t>
        </x:is>
      </x:c>
      <x:c r="V243" s="81" t="inlineStr">
        <x:is>
          <x:t xml:space="preserve">Primary text</x:t>
        </x:is>
      </x:c>
      <x:c r="W243" s="81" t="inlineStr">
        <x:is>
          <x:t xml:space="preserve">Working translation</x:t>
        </x:is>
      </x:c>
      <x:c r="X243" s="81" t="inlineStr">
        <x:is>
          <x:t xml:space="preserve">A - Primary source</x:t>
        </x:is>
      </x:c>
      <x:c r="Y243" s="81" t="inlineStr">
        <x:is>
          <x:t xml:space="preserve">Original Chinese checked against Wang Bi recension on Chinese Wikisource. Vietnamese is Selflo working translation, not a published translation.</x:t>
        </x:is>
      </x:c>
      <x:c r="Z243" s="81" t="inlineStr">
        <x:is>
          <x:t xml:space="preserve">Public domain / likely</x:t>
        </x:is>
      </x:c>
      <x:c r="AA243" s="81" t="inlineStr">
        <x:is>
          <x:t xml:space="preserve">Ancient source text; verify edition/jurisdiction before commercial publication.</x:t>
        </x:is>
      </x:c>
      <x:c r="AB243" s="81" t="inlineStr">
        <x:is>
          <x:t xml:space="preserve">High</x:t>
        </x:is>
      </x:c>
      <x:c r="AC243" s="81" t="inlineStr">
        <x:is>
          <x:t xml:space="preserve">Strong.</x:t>
        </x:is>
      </x:c>
      <x:c r="AD243" s="81" t="inlineStr">
        <x:is>
          <x:t xml:space="preserve">Needs editorial review</x:t>
        </x:is>
      </x:c>
      <x:c r="AE243" s="81" t="inlineStr">
        <x:is>
          <x:t xml:space="preserve">Needs semantic dedupe review</x:t>
        </x:is>
      </x:c>
      <x:c r="AF243" s="81" t="str"/>
      <x:c r="AG243" s="81" t="str"/>
      <x:c r="AH243" s="81" t="inlineStr">
        <x:is>
          <x:t xml:space="preserve">No</x:t>
        </x:is>
      </x:c>
      <x:c r="AI243" s="81" t="inlineStr">
        <x:is>
          <x:t xml:space="preserve">Not reviewed</x:t>
        </x:is>
      </x:c>
      <x:c r="AJ243" s="81" t="inlineStr">
        <x:is>
          <x:t xml:space="preserve">Research only</x:t>
        </x:is>
      </x:c>
      <x:c r="AK243" s="81" t="inlineStr">
        <x:is>
          <x:t xml:space="preserve">Research Pool</x:t>
        </x:is>
      </x:c>
      <x:c r="AL243" s="81" t="n">
        <x:v>3</x:v>
      </x:c>
      <x:c r="AM243" s="81" t="inlineStr">
        <x:is>
          <x:t xml:space="preserve">ChatGPT research</x:t>
        </x:is>
      </x:c>
      <x:c r="AN243" s="81" t="inlineStr">
        <x:is>
          <x:t xml:space="preserve">2026-09-18</x:t>
        </x:is>
      </x:c>
      <x:c r="AO243" s="81" t="inlineStr">
        <x:is>
          <x:t xml:space="preserve">Day 3 full-scope audit, chapters 51–81.</x:t>
        </x:is>
      </x:c>
    </x:row>
    <x:row r="244">
      <x:c r="A244" s="81" t="inlineStr">
        <x:is>
          <x:t xml:space="preserve">research.laozi.day3.ch64.062</x:t>
        </x:is>
      </x:c>
      <x:c r="B244" s="81" t="inlineStr">
        <x:is>
          <x:t xml:space="preserve">Collected</x:t>
        </x:is>
      </x:c>
      <x:c r="C244" s="81" t="inlineStr">
        <x:is>
          <x:t xml:space="preserve">Nội tâm &amp; hiểu mình</x:t>
        </x:is>
      </x:c>
      <x:c r="D244" s="81" t="inlineStr">
        <x:is>
          <x:t xml:space="preserve">Day 3 / Laozi 51–81</x:t>
        </x:is>
      </x:c>
      <x:c r="E244" s="81" t="str"/>
      <x:c r="F244" s="81" t="inlineStr">
        <x:is>
          <x:t xml:space="preserve">Điều lớn hình thành từ phần nhỏ</x:t>
        </x:is>
      </x:c>
      <x:c r="G244" s="81" t="inlineStr">
        <x:is>
          <x:t xml:space="preserve">Growth</x:t>
        </x:is>
      </x:c>
      <x:c r="H244" s="81" t="str"/>
      <x:c r="I244" s="81" t="str"/>
      <x:c r="J244" s="81" t="str"/>
      <x:c r="K244" s="81" t="inlineStr">
        <x:is>
          <x:t xml:space="preserve">Reframe</x:t>
        </x:is>
      </x:c>
      <x:c r="L244" s="81" t="inlineStr">
        <x:is>
          <x:t xml:space="preserve">Distinguish</x:t>
        </x:is>
      </x:c>
      <x:c r="M244" s="81" t="inlineStr">
        <x:is>
          <x:t xml:space="preserve">Trích đoạn triết học</x:t>
        </x:is>
      </x:c>
      <x:c r="N244" s="81" t="inlineStr">
        <x:is>
          <x:t xml:space="preserve">合抱之木，生於毫末；九層之臺，起於累土；千里之行，始於足下。</x:t>
        </x:is>
      </x:c>
      <x:c r="O244" s="81" t="inlineStr">
        <x:is>
          <x:t xml:space="preserve">Classical Chinese (文言文)</x:t>
        </x:is>
      </x:c>
      <x:c r="P244" s="81" t="inlineStr">
        <x:is>
          <x:t xml:space="preserve">Cây lớn bắt đầu từ mầm nhỏ; đài cao từ từng lớp đất; hành trình xa từ bước dưới chân.</x:t>
        </x:is>
      </x:c>
      <x:c r="Q244" s="81" t="inlineStr">
        <x:is>
          <x:t xml:space="preserve">Laozi / 老子</x:t>
        </x:is>
      </x:c>
      <x:c r="R244" s="81" t="inlineStr">
        <x:is>
          <x:t xml:space="preserve">Taoism</x:t>
        </x:is>
      </x:c>
      <x:c r="S244" s="81" t="inlineStr">
        <x:is>
          <x:t xml:space="preserve">道德經 / Tao Te Ching</x:t>
        </x:is>
      </x:c>
      <x:c r="T244" s="81" t="inlineStr">
        <x:is>
          <x:t xml:space="preserve">Chapter 64</x:t>
        </x:is>
      </x:c>
      <x:c r="U244" s="81" t="inlineStr">
        <x:is>
          <x:t xml:space="preserve">https://zh.wikisource.org/zh-hant/%E9%81%93%E5%BE%B7%E7%B6%93_(%E7%8E%8B%E5%BC%BC%E6%9C%AC)</x:t>
        </x:is>
      </x:c>
      <x:c r="V244" s="81" t="inlineStr">
        <x:is>
          <x:t xml:space="preserve">Primary text</x:t>
        </x:is>
      </x:c>
      <x:c r="W244" s="81" t="inlineStr">
        <x:is>
          <x:t xml:space="preserve">Working translation</x:t>
        </x:is>
      </x:c>
      <x:c r="X244" s="81" t="inlineStr">
        <x:is>
          <x:t xml:space="preserve">A - Primary source</x:t>
        </x:is>
      </x:c>
      <x:c r="Y244" s="81" t="inlineStr">
        <x:is>
          <x:t xml:space="preserve">Original Chinese checked against Wang Bi recension on Chinese Wikisource. Vietnamese is Selflo working translation, not a published translation.</x:t>
        </x:is>
      </x:c>
      <x:c r="Z244" s="81" t="inlineStr">
        <x:is>
          <x:t xml:space="preserve">Public domain / likely</x:t>
        </x:is>
      </x:c>
      <x:c r="AA244" s="81" t="inlineStr">
        <x:is>
          <x:t xml:space="preserve">Ancient source text; verify edition/jurisdiction before commercial publication.</x:t>
        </x:is>
      </x:c>
      <x:c r="AB244" s="81" t="inlineStr">
        <x:is>
          <x:t xml:space="preserve">High</x:t>
        </x:is>
      </x:c>
      <x:c r="AC244" s="81" t="inlineStr">
        <x:is>
          <x:t xml:space="preserve">Famous; wording verify edition.</x:t>
        </x:is>
      </x:c>
      <x:c r="AD244" s="81" t="inlineStr">
        <x:is>
          <x:t xml:space="preserve">Needs editorial review</x:t>
        </x:is>
      </x:c>
      <x:c r="AE244" s="81" t="inlineStr">
        <x:is>
          <x:t xml:space="preserve">Needs semantic dedupe review</x:t>
        </x:is>
      </x:c>
      <x:c r="AF244" s="81" t="str"/>
      <x:c r="AG244" s="81" t="str"/>
      <x:c r="AH244" s="81" t="inlineStr">
        <x:is>
          <x:t xml:space="preserve">No</x:t>
        </x:is>
      </x:c>
      <x:c r="AI244" s="81" t="inlineStr">
        <x:is>
          <x:t xml:space="preserve">Not reviewed</x:t>
        </x:is>
      </x:c>
      <x:c r="AJ244" s="81" t="inlineStr">
        <x:is>
          <x:t xml:space="preserve">Research only</x:t>
        </x:is>
      </x:c>
      <x:c r="AK244" s="81" t="inlineStr">
        <x:is>
          <x:t xml:space="preserve">Research Pool</x:t>
        </x:is>
      </x:c>
      <x:c r="AL244" s="81" t="n">
        <x:v>3</x:v>
      </x:c>
      <x:c r="AM244" s="81" t="inlineStr">
        <x:is>
          <x:t xml:space="preserve">ChatGPT research</x:t>
        </x:is>
      </x:c>
      <x:c r="AN244" s="81" t="inlineStr">
        <x:is>
          <x:t xml:space="preserve">2026-09-18</x:t>
        </x:is>
      </x:c>
      <x:c r="AO244" s="81" t="inlineStr">
        <x:is>
          <x:t xml:space="preserve">Day 3 full-scope audit, chapters 51–81.</x:t>
        </x:is>
      </x:c>
    </x:row>
    <x:row r="245">
      <x:c r="A245" s="81" t="inlineStr">
        <x:is>
          <x:t xml:space="preserve">research.laozi.day3.ch64.063</x:t>
        </x:is>
      </x:c>
      <x:c r="B245" s="81" t="inlineStr">
        <x:is>
          <x:t xml:space="preserve">Collected</x:t>
        </x:is>
      </x:c>
      <x:c r="C245" s="81" t="inlineStr">
        <x:is>
          <x:t xml:space="preserve">Nội tâm &amp; hiểu mình</x:t>
        </x:is>
      </x:c>
      <x:c r="D245" s="81" t="inlineStr">
        <x:is>
          <x:t xml:space="preserve">Day 3 / Laozi 51–81</x:t>
        </x:is>
      </x:c>
      <x:c r="E245" s="81" t="str"/>
      <x:c r="F245" s="81" t="inlineStr">
        <x:is>
          <x:t xml:space="preserve">Kiểm soát quá mức có thể phản tác dụng</x:t>
        </x:is>
      </x:c>
      <x:c r="G245" s="81" t="inlineStr">
        <x:is>
          <x:t xml:space="preserve">Control</x:t>
        </x:is>
      </x:c>
      <x:c r="H245" s="81" t="str"/>
      <x:c r="I245" s="81" t="str"/>
      <x:c r="J245" s="81" t="str"/>
      <x:c r="K245" s="81" t="inlineStr">
        <x:is>
          <x:t xml:space="preserve">Reframe</x:t>
        </x:is>
      </x:c>
      <x:c r="L245" s="81" t="inlineStr">
        <x:is>
          <x:t xml:space="preserve">Distinguish</x:t>
        </x:is>
      </x:c>
      <x:c r="M245" s="81" t="inlineStr">
        <x:is>
          <x:t xml:space="preserve">Trích đoạn triết học</x:t>
        </x:is>
      </x:c>
      <x:c r="N245" s="81" t="inlineStr">
        <x:is>
          <x:t xml:space="preserve">為者敗之，執者失之。</x:t>
        </x:is>
      </x:c>
      <x:c r="O245" s="81" t="inlineStr">
        <x:is>
          <x:t xml:space="preserve">Classical Chinese (文言文)</x:t>
        </x:is>
      </x:c>
      <x:c r="P245" s="81" t="inlineStr">
        <x:is>
          <x:t xml:space="preserve">Cưỡng làm có thể làm hỏng; nắm quá chặt có thể làm mất.</x:t>
        </x:is>
      </x:c>
      <x:c r="Q245" s="81" t="inlineStr">
        <x:is>
          <x:t xml:space="preserve">Laozi / 老子</x:t>
        </x:is>
      </x:c>
      <x:c r="R245" s="81" t="inlineStr">
        <x:is>
          <x:t xml:space="preserve">Taoism</x:t>
        </x:is>
      </x:c>
      <x:c r="S245" s="81" t="inlineStr">
        <x:is>
          <x:t xml:space="preserve">道德經 / Tao Te Ching</x:t>
        </x:is>
      </x:c>
      <x:c r="T245" s="81" t="inlineStr">
        <x:is>
          <x:t xml:space="preserve">Chapter 64</x:t>
        </x:is>
      </x:c>
      <x:c r="U245" s="81" t="inlineStr">
        <x:is>
          <x:t xml:space="preserve">https://zh.wikisource.org/zh-hant/%E9%81%93%E5%BE%B7%E7%B6%93_(%E7%8E%8B%E5%BC%BC%E6%9C%AC)</x:t>
        </x:is>
      </x:c>
      <x:c r="V245" s="81" t="inlineStr">
        <x:is>
          <x:t xml:space="preserve">Primary text</x:t>
        </x:is>
      </x:c>
      <x:c r="W245" s="81" t="inlineStr">
        <x:is>
          <x:t xml:space="preserve">Working translation</x:t>
        </x:is>
      </x:c>
      <x:c r="X245" s="81" t="inlineStr">
        <x:is>
          <x:t xml:space="preserve">A - Primary source</x:t>
        </x:is>
      </x:c>
      <x:c r="Y245" s="81" t="inlineStr">
        <x:is>
          <x:t xml:space="preserve">Original Chinese checked against Wang Bi recension on Chinese Wikisource. Vietnamese is Selflo working translation, not a published translation.</x:t>
        </x:is>
      </x:c>
      <x:c r="Z245" s="81" t="inlineStr">
        <x:is>
          <x:t xml:space="preserve">Public domain / likely</x:t>
        </x:is>
      </x:c>
      <x:c r="AA245" s="81" t="inlineStr">
        <x:is>
          <x:t xml:space="preserve">Ancient source text; verify edition/jurisdiction before commercial publication.</x:t>
        </x:is>
      </x:c>
      <x:c r="AB245" s="81" t="inlineStr">
        <x:is>
          <x:t xml:space="preserve">High</x:t>
        </x:is>
      </x:c>
      <x:c r="AC245" s="81" t="inlineStr">
        <x:is>
          <x:t xml:space="preserve">Dedupe ch29.</x:t>
        </x:is>
      </x:c>
      <x:c r="AD245" s="81" t="inlineStr">
        <x:is>
          <x:t xml:space="preserve">Needs editorial review</x:t>
        </x:is>
      </x:c>
      <x:c r="AE245" s="81" t="inlineStr">
        <x:is>
          <x:t xml:space="preserve">Needs semantic dedupe review</x:t>
        </x:is>
      </x:c>
      <x:c r="AF245" s="81" t="str"/>
      <x:c r="AG245" s="81" t="str"/>
      <x:c r="AH245" s="81" t="inlineStr">
        <x:is>
          <x:t xml:space="preserve">No</x:t>
        </x:is>
      </x:c>
      <x:c r="AI245" s="81" t="inlineStr">
        <x:is>
          <x:t xml:space="preserve">Not reviewed</x:t>
        </x:is>
      </x:c>
      <x:c r="AJ245" s="81" t="inlineStr">
        <x:is>
          <x:t xml:space="preserve">Research only</x:t>
        </x:is>
      </x:c>
      <x:c r="AK245" s="81" t="inlineStr">
        <x:is>
          <x:t xml:space="preserve">Research Pool</x:t>
        </x:is>
      </x:c>
      <x:c r="AL245" s="81" t="n">
        <x:v>3</x:v>
      </x:c>
      <x:c r="AM245" s="81" t="inlineStr">
        <x:is>
          <x:t xml:space="preserve">ChatGPT research</x:t>
        </x:is>
      </x:c>
      <x:c r="AN245" s="81" t="inlineStr">
        <x:is>
          <x:t xml:space="preserve">2026-09-18</x:t>
        </x:is>
      </x:c>
      <x:c r="AO245" s="81" t="inlineStr">
        <x:is>
          <x:t xml:space="preserve">Day 3 full-scope audit, chapters 51–81.</x:t>
        </x:is>
      </x:c>
    </x:row>
    <x:row r="246">
      <x:c r="A246" s="81" t="inlineStr">
        <x:is>
          <x:t xml:space="preserve">research.laozi.day3.ch64.064</x:t>
        </x:is>
      </x:c>
      <x:c r="B246" s="81" t="inlineStr">
        <x:is>
          <x:t xml:space="preserve">Collected</x:t>
        </x:is>
      </x:c>
      <x:c r="C246" s="81" t="inlineStr">
        <x:is>
          <x:t xml:space="preserve">AI &amp; tương lai</x:t>
        </x:is>
      </x:c>
      <x:c r="D246" s="81" t="inlineStr">
        <x:is>
          <x:t xml:space="preserve">Day 3 / Laozi 51–81</x:t>
        </x:is>
      </x:c>
      <x:c r="E246" s="81" t="str"/>
      <x:c r="F246" s="81" t="inlineStr">
        <x:is>
          <x:t xml:space="preserve">Sự chú ý cần cả lúc gần hoàn thành</x:t>
        </x:is>
      </x:c>
      <x:c r="G246" s="81" t="inlineStr">
        <x:is>
          <x:t xml:space="preserve">Attention</x:t>
        </x:is>
      </x:c>
      <x:c r="H246" s="81" t="str"/>
      <x:c r="I246" s="81" t="str"/>
      <x:c r="J246" s="81" t="str"/>
      <x:c r="K246" s="81" t="inlineStr">
        <x:is>
          <x:t xml:space="preserve">Recognize</x:t>
        </x:is>
      </x:c>
      <x:c r="L246" s="81" t="inlineStr">
        <x:is>
          <x:t xml:space="preserve">Distinguish</x:t>
        </x:is>
      </x:c>
      <x:c r="M246" s="81" t="inlineStr">
        <x:is>
          <x:t xml:space="preserve">Trích đoạn triết học</x:t>
        </x:is>
      </x:c>
      <x:c r="N246" s="81" t="inlineStr">
        <x:is>
          <x:t xml:space="preserve">慎終如始，則無敗事。</x:t>
        </x:is>
      </x:c>
      <x:c r="O246" s="81" t="inlineStr">
        <x:is>
          <x:t xml:space="preserve">Classical Chinese (文言文)</x:t>
        </x:is>
      </x:c>
      <x:c r="P246" s="81" t="inlineStr">
        <x:is>
          <x:t xml:space="preserve">Cẩn trọng ở cuối như lúc bắt đầu thì ít làm hỏng việc.</x:t>
        </x:is>
      </x:c>
      <x:c r="Q246" s="81" t="inlineStr">
        <x:is>
          <x:t xml:space="preserve">Laozi / 老子</x:t>
        </x:is>
      </x:c>
      <x:c r="R246" s="81" t="inlineStr">
        <x:is>
          <x:t xml:space="preserve">Taoism</x:t>
        </x:is>
      </x:c>
      <x:c r="S246" s="81" t="inlineStr">
        <x:is>
          <x:t xml:space="preserve">道德經 / Tao Te Ching</x:t>
        </x:is>
      </x:c>
      <x:c r="T246" s="81" t="inlineStr">
        <x:is>
          <x:t xml:space="preserve">Chapter 64</x:t>
        </x:is>
      </x:c>
      <x:c r="U246" s="81" t="inlineStr">
        <x:is>
          <x:t xml:space="preserve">https://zh.wikisource.org/zh-hant/%E9%81%93%E5%BE%B7%E7%B6%93_(%E7%8E%8B%E5%BC%BC%E6%9C%AC)</x:t>
        </x:is>
      </x:c>
      <x:c r="V246" s="81" t="inlineStr">
        <x:is>
          <x:t xml:space="preserve">Primary text</x:t>
        </x:is>
      </x:c>
      <x:c r="W246" s="81" t="inlineStr">
        <x:is>
          <x:t xml:space="preserve">Working translation</x:t>
        </x:is>
      </x:c>
      <x:c r="X246" s="81" t="inlineStr">
        <x:is>
          <x:t xml:space="preserve">A - Primary source</x:t>
        </x:is>
      </x:c>
      <x:c r="Y246" s="81" t="inlineStr">
        <x:is>
          <x:t xml:space="preserve">Original Chinese checked against Wang Bi recension on Chinese Wikisource. Vietnamese is Selflo working translation, not a published translation.</x:t>
        </x:is>
      </x:c>
      <x:c r="Z246" s="81" t="inlineStr">
        <x:is>
          <x:t xml:space="preserve">Public domain / likely</x:t>
        </x:is>
      </x:c>
      <x:c r="AA246" s="81" t="inlineStr">
        <x:is>
          <x:t xml:space="preserve">Ancient source text; verify edition/jurisdiction before commercial publication.</x:t>
        </x:is>
      </x:c>
      <x:c r="AB246" s="81" t="inlineStr">
        <x:is>
          <x:t xml:space="preserve">High</x:t>
        </x:is>
      </x:c>
      <x:c r="AC246" s="81" t="inlineStr">
        <x:is>
          <x:t xml:space="preserve">Work/project.</x:t>
        </x:is>
      </x:c>
      <x:c r="AD246" s="81" t="inlineStr">
        <x:is>
          <x:t xml:space="preserve">Needs editorial review</x:t>
        </x:is>
      </x:c>
      <x:c r="AE246" s="81" t="inlineStr">
        <x:is>
          <x:t xml:space="preserve">Needs semantic dedupe review</x:t>
        </x:is>
      </x:c>
      <x:c r="AF246" s="81" t="str"/>
      <x:c r="AG246" s="81" t="str"/>
      <x:c r="AH246" s="81" t="inlineStr">
        <x:is>
          <x:t xml:space="preserve">No</x:t>
        </x:is>
      </x:c>
      <x:c r="AI246" s="81" t="inlineStr">
        <x:is>
          <x:t xml:space="preserve">Not reviewed</x:t>
        </x:is>
      </x:c>
      <x:c r="AJ246" s="81" t="inlineStr">
        <x:is>
          <x:t xml:space="preserve">Research only</x:t>
        </x:is>
      </x:c>
      <x:c r="AK246" s="81" t="inlineStr">
        <x:is>
          <x:t xml:space="preserve">Research Pool</x:t>
        </x:is>
      </x:c>
      <x:c r="AL246" s="81" t="n">
        <x:v>3</x:v>
      </x:c>
      <x:c r="AM246" s="81" t="inlineStr">
        <x:is>
          <x:t xml:space="preserve">ChatGPT research</x:t>
        </x:is>
      </x:c>
      <x:c r="AN246" s="81" t="inlineStr">
        <x:is>
          <x:t xml:space="preserve">2026-09-18</x:t>
        </x:is>
      </x:c>
      <x:c r="AO246" s="81" t="inlineStr">
        <x:is>
          <x:t xml:space="preserve">Day 3 full-scope audit, chapters 51–81.</x:t>
        </x:is>
      </x:c>
    </x:row>
    <x:row r="247">
      <x:c r="A247" s="81" t="inlineStr">
        <x:is>
          <x:t xml:space="preserve">research.laozi.day3.ch64.065</x:t>
        </x:is>
      </x:c>
      <x:c r="B247" s="81" t="inlineStr">
        <x:is>
          <x:t xml:space="preserve">Collected</x:t>
        </x:is>
      </x:c>
      <x:c r="C247" s="81" t="inlineStr">
        <x:is>
          <x:t xml:space="preserve">Nội tâm &amp; hiểu mình</x:t>
        </x:is>
      </x:c>
      <x:c r="D247" s="81" t="inlineStr">
        <x:is>
          <x:t xml:space="preserve">Day 3 / Laozi 51–81</x:t>
        </x:is>
      </x:c>
      <x:c r="E247" s="81" t="str"/>
      <x:c r="F247" s="81" t="inlineStr">
        <x:is>
          <x:t xml:space="preserve">Giữ lựa chọn khỏi bị sự hiếm có dẫn dắt</x:t>
        </x:is>
      </x:c>
      <x:c r="G247" s="81" t="inlineStr">
        <x:is>
          <x:t xml:space="preserve">Values</x:t>
        </x:is>
      </x:c>
      <x:c r="H247" s="81" t="str"/>
      <x:c r="I247" s="81" t="str"/>
      <x:c r="J247" s="81" t="str"/>
      <x:c r="K247" s="81" t="inlineStr">
        <x:is>
          <x:t xml:space="preserve">Return agency</x:t>
        </x:is>
      </x:c>
      <x:c r="L247" s="81" t="inlineStr">
        <x:is>
          <x:t xml:space="preserve">Distinguish</x:t>
        </x:is>
      </x:c>
      <x:c r="M247" s="81" t="inlineStr">
        <x:is>
          <x:t xml:space="preserve">Trích đoạn triết học</x:t>
        </x:is>
      </x:c>
      <x:c r="N247" s="81" t="inlineStr">
        <x:is>
          <x:t xml:space="preserve">欲不欲，不貴難得之貨。</x:t>
        </x:is>
      </x:c>
      <x:c r="O247" s="81" t="inlineStr">
        <x:is>
          <x:t xml:space="preserve">Classical Chinese (文言文)</x:t>
        </x:is>
      </x:c>
      <x:c r="P247" s="81" t="inlineStr">
        <x:is>
          <x:t xml:space="preserve">Không để mình bị dẫn chỉ bởi thứ được người khác coi là đáng khao khát.</x:t>
        </x:is>
      </x:c>
      <x:c r="Q247" s="81" t="inlineStr">
        <x:is>
          <x:t xml:space="preserve">Laozi / 老子</x:t>
        </x:is>
      </x:c>
      <x:c r="R247" s="81" t="inlineStr">
        <x:is>
          <x:t xml:space="preserve">Taoism</x:t>
        </x:is>
      </x:c>
      <x:c r="S247" s="81" t="inlineStr">
        <x:is>
          <x:t xml:space="preserve">道德經 / Tao Te Ching</x:t>
        </x:is>
      </x:c>
      <x:c r="T247" s="81" t="inlineStr">
        <x:is>
          <x:t xml:space="preserve">Chapter 64</x:t>
        </x:is>
      </x:c>
      <x:c r="U247" s="81" t="inlineStr">
        <x:is>
          <x:t xml:space="preserve">https://zh.wikisource.org/zh-hant/%E9%81%93%E5%BE%B7%E7%B6%93_(%E7%8E%8B%E5%BC%BC%E6%9C%AC)</x:t>
        </x:is>
      </x:c>
      <x:c r="V247" s="81" t="inlineStr">
        <x:is>
          <x:t xml:space="preserve">Primary text</x:t>
        </x:is>
      </x:c>
      <x:c r="W247" s="81" t="inlineStr">
        <x:is>
          <x:t xml:space="preserve">Working translation</x:t>
        </x:is>
      </x:c>
      <x:c r="X247" s="81" t="inlineStr">
        <x:is>
          <x:t xml:space="preserve">A - Primary source</x:t>
        </x:is>
      </x:c>
      <x:c r="Y247" s="81" t="inlineStr">
        <x:is>
          <x:t xml:space="preserve">Original Chinese checked against Wang Bi recension on Chinese Wikisource. Vietnamese is Selflo working translation, not a published translation.</x:t>
        </x:is>
      </x:c>
      <x:c r="Z247" s="81" t="inlineStr">
        <x:is>
          <x:t xml:space="preserve">Public domain / likely</x:t>
        </x:is>
      </x:c>
      <x:c r="AA247" s="81" t="inlineStr">
        <x:is>
          <x:t xml:space="preserve">Ancient source text; verify edition/jurisdiction before commercial publication.</x:t>
        </x:is>
      </x:c>
      <x:c r="AB247" s="81" t="inlineStr">
        <x:is>
          <x:t xml:space="preserve">High</x:t>
        </x:is>
      </x:c>
      <x:c r="AC247" s="81" t="inlineStr">
        <x:is>
          <x:t xml:space="preserve">Strong.</x:t>
        </x:is>
      </x:c>
      <x:c r="AD247" s="81" t="inlineStr">
        <x:is>
          <x:t xml:space="preserve">Needs editorial review</x:t>
        </x:is>
      </x:c>
      <x:c r="AE247" s="81" t="inlineStr">
        <x:is>
          <x:t xml:space="preserve">Needs semantic dedupe review</x:t>
        </x:is>
      </x:c>
      <x:c r="AF247" s="81" t="str"/>
      <x:c r="AG247" s="81" t="str"/>
      <x:c r="AH247" s="81" t="inlineStr">
        <x:is>
          <x:t xml:space="preserve">No</x:t>
        </x:is>
      </x:c>
      <x:c r="AI247" s="81" t="inlineStr">
        <x:is>
          <x:t xml:space="preserve">Not reviewed</x:t>
        </x:is>
      </x:c>
      <x:c r="AJ247" s="81" t="inlineStr">
        <x:is>
          <x:t xml:space="preserve">Research only</x:t>
        </x:is>
      </x:c>
      <x:c r="AK247" s="81" t="inlineStr">
        <x:is>
          <x:t xml:space="preserve">Research Pool</x:t>
        </x:is>
      </x:c>
      <x:c r="AL247" s="81" t="n">
        <x:v>3</x:v>
      </x:c>
      <x:c r="AM247" s="81" t="inlineStr">
        <x:is>
          <x:t xml:space="preserve">ChatGPT research</x:t>
        </x:is>
      </x:c>
      <x:c r="AN247" s="81" t="inlineStr">
        <x:is>
          <x:t xml:space="preserve">2026-09-18</x:t>
        </x:is>
      </x:c>
      <x:c r="AO247" s="81" t="inlineStr">
        <x:is>
          <x:t xml:space="preserve">Day 3 full-scope audit, chapters 51–81.</x:t>
        </x:is>
      </x:c>
    </x:row>
    <x:row r="248">
      <x:c r="A248" s="81" t="inlineStr">
        <x:is>
          <x:t xml:space="preserve">research.laozi.day3.ch64.066</x:t>
        </x:is>
      </x:c>
      <x:c r="B248" s="81" t="inlineStr">
        <x:is>
          <x:t xml:space="preserve">Collected</x:t>
        </x:is>
      </x:c>
      <x:c r="C248" s="81" t="inlineStr">
        <x:is>
          <x:t xml:space="preserve">Nội tâm &amp; hiểu mình</x:t>
        </x:is>
      </x:c>
      <x:c r="D248" s="81" t="inlineStr">
        <x:is>
          <x:t xml:space="preserve">Day 3 / Laozi 51–81</x:t>
        </x:is>
      </x:c>
      <x:c r="E248" s="81" t="str"/>
      <x:c r="F248" s="81" t="inlineStr">
        <x:is>
          <x:t xml:space="preserve">Học có thể gồm việc xem lại giả định chung</x:t>
        </x:is>
      </x:c>
      <x:c r="G248" s="81" t="inlineStr">
        <x:is>
          <x:t xml:space="preserve">Learning</x:t>
        </x:is>
      </x:c>
      <x:c r="H248" s="81" t="str"/>
      <x:c r="I248" s="81" t="str"/>
      <x:c r="J248" s="81" t="str"/>
      <x:c r="K248" s="81" t="inlineStr">
        <x:is>
          <x:t xml:space="preserve">Reframe</x:t>
        </x:is>
      </x:c>
      <x:c r="L248" s="81" t="inlineStr">
        <x:is>
          <x:t xml:space="preserve">Distinguish</x:t>
        </x:is>
      </x:c>
      <x:c r="M248" s="81" t="inlineStr">
        <x:is>
          <x:t xml:space="preserve">Trích đoạn triết học</x:t>
        </x:is>
      </x:c>
      <x:c r="N248" s="81" t="inlineStr">
        <x:is>
          <x:t xml:space="preserve">學不學，復眾人之所過。</x:t>
        </x:is>
      </x:c>
      <x:c r="O248" s="81" t="inlineStr">
        <x:is>
          <x:t xml:space="preserve">Classical Chinese (文言文)</x:t>
        </x:is>
      </x:c>
      <x:c r="P248" s="81" t="inlineStr">
        <x:is>
          <x:t xml:space="preserve">Học cả điều người khác không coi là học, và quay lại nơi số đông thường bỏ qua.</x:t>
        </x:is>
      </x:c>
      <x:c r="Q248" s="81" t="inlineStr">
        <x:is>
          <x:t xml:space="preserve">Laozi / 老子</x:t>
        </x:is>
      </x:c>
      <x:c r="R248" s="81" t="inlineStr">
        <x:is>
          <x:t xml:space="preserve">Taoism</x:t>
        </x:is>
      </x:c>
      <x:c r="S248" s="81" t="inlineStr">
        <x:is>
          <x:t xml:space="preserve">道德經 / Tao Te Ching</x:t>
        </x:is>
      </x:c>
      <x:c r="T248" s="81" t="inlineStr">
        <x:is>
          <x:t xml:space="preserve">Chapter 64</x:t>
        </x:is>
      </x:c>
      <x:c r="U248" s="81" t="inlineStr">
        <x:is>
          <x:t xml:space="preserve">https://zh.wikisource.org/zh-hant/%E9%81%93%E5%BE%B7%E7%B6%93_(%E7%8E%8B%E5%BC%BC%E6%9C%AC)</x:t>
        </x:is>
      </x:c>
      <x:c r="V248" s="81" t="inlineStr">
        <x:is>
          <x:t xml:space="preserve">Primary text</x:t>
        </x:is>
      </x:c>
      <x:c r="W248" s="81" t="inlineStr">
        <x:is>
          <x:t xml:space="preserve">Working translation</x:t>
        </x:is>
      </x:c>
      <x:c r="X248" s="81" t="inlineStr">
        <x:is>
          <x:t xml:space="preserve">A - Primary source</x:t>
        </x:is>
      </x:c>
      <x:c r="Y248" s="81" t="inlineStr">
        <x:is>
          <x:t xml:space="preserve">Original Chinese checked against Wang Bi recension on Chinese Wikisource. Vietnamese is Selflo working translation, not a published translation.</x:t>
        </x:is>
      </x:c>
      <x:c r="Z248" s="81" t="inlineStr">
        <x:is>
          <x:t xml:space="preserve">Public domain / likely</x:t>
        </x:is>
      </x:c>
      <x:c r="AA248" s="81" t="inlineStr">
        <x:is>
          <x:t xml:space="preserve">Ancient source text; verify edition/jurisdiction before commercial publication.</x:t>
        </x:is>
      </x:c>
      <x:c r="AB248" s="81" t="inlineStr">
        <x:is>
          <x:t xml:space="preserve">High</x:t>
        </x:is>
      </x:c>
      <x:c r="AC248" s="81" t="inlineStr">
        <x:is>
          <x:t xml:space="preserve">AI-age.</x:t>
        </x:is>
      </x:c>
      <x:c r="AD248" s="81" t="inlineStr">
        <x:is>
          <x:t xml:space="preserve">Needs editorial review</x:t>
        </x:is>
      </x:c>
      <x:c r="AE248" s="81" t="inlineStr">
        <x:is>
          <x:t xml:space="preserve">Needs semantic dedupe review</x:t>
        </x:is>
      </x:c>
      <x:c r="AF248" s="81" t="str"/>
      <x:c r="AG248" s="81" t="str"/>
      <x:c r="AH248" s="81" t="inlineStr">
        <x:is>
          <x:t xml:space="preserve">No</x:t>
        </x:is>
      </x:c>
      <x:c r="AI248" s="81" t="inlineStr">
        <x:is>
          <x:t xml:space="preserve">Not reviewed</x:t>
        </x:is>
      </x:c>
      <x:c r="AJ248" s="81" t="inlineStr">
        <x:is>
          <x:t xml:space="preserve">Research only</x:t>
        </x:is>
      </x:c>
      <x:c r="AK248" s="81" t="inlineStr">
        <x:is>
          <x:t xml:space="preserve">Research Pool</x:t>
        </x:is>
      </x:c>
      <x:c r="AL248" s="81" t="n">
        <x:v>3</x:v>
      </x:c>
      <x:c r="AM248" s="81" t="inlineStr">
        <x:is>
          <x:t xml:space="preserve">ChatGPT research</x:t>
        </x:is>
      </x:c>
      <x:c r="AN248" s="81" t="inlineStr">
        <x:is>
          <x:t xml:space="preserve">2026-09-18</x:t>
        </x:is>
      </x:c>
      <x:c r="AO248" s="81" t="inlineStr">
        <x:is>
          <x:t xml:space="preserve">Day 3 full-scope audit, chapters 51–81.</x:t>
        </x:is>
      </x:c>
    </x:row>
    <x:row r="249">
      <x:c r="A249" s="81" t="inlineStr">
        <x:is>
          <x:t xml:space="preserve">research.laozi.day3.ch64.067</x:t>
        </x:is>
      </x:c>
      <x:c r="B249" s="81" t="inlineStr">
        <x:is>
          <x:t xml:space="preserve">Collected</x:t>
        </x:is>
      </x:c>
      <x:c r="C249" s="81" t="inlineStr">
        <x:is>
          <x:t xml:space="preserve">Nội tâm &amp; hiểu mình</x:t>
        </x:is>
      </x:c>
      <x:c r="D249" s="81" t="inlineStr">
        <x:is>
          <x:t xml:space="preserve">Day 3 / Laozi 51–81</x:t>
        </x:is>
      </x:c>
      <x:c r="E249" s="81" t="str"/>
      <x:c r="F249" s="81" t="inlineStr">
        <x:is>
          <x:t xml:space="preserve">Hỗ trợ mà không làm thay</x:t>
        </x:is>
      </x:c>
      <x:c r="G249" s="81" t="inlineStr">
        <x:is>
          <x:t xml:space="preserve">Agency</x:t>
        </x:is>
      </x:c>
      <x:c r="H249" s="81" t="str"/>
      <x:c r="I249" s="81" t="str"/>
      <x:c r="J249" s="81" t="str"/>
      <x:c r="K249" s="81" t="inlineStr">
        <x:is>
          <x:t xml:space="preserve">Return agency</x:t>
        </x:is>
      </x:c>
      <x:c r="L249" s="81" t="inlineStr">
        <x:is>
          <x:t xml:space="preserve">Distinguish</x:t>
        </x:is>
      </x:c>
      <x:c r="M249" s="81" t="inlineStr">
        <x:is>
          <x:t xml:space="preserve">Trích đoạn triết học</x:t>
        </x:is>
      </x:c>
      <x:c r="N249" s="81" t="inlineStr">
        <x:is>
          <x:t xml:space="preserve">輔萬物之自然，而不敢為。</x:t>
        </x:is>
      </x:c>
      <x:c r="O249" s="81" t="inlineStr">
        <x:is>
          <x:t xml:space="preserve">Classical Chinese (文言文)</x:t>
        </x:is>
      </x:c>
      <x:c r="P249" s="81" t="inlineStr">
        <x:is>
          <x:t xml:space="preserve">Hỗ trợ sự vật phát triển theo tính của nó mà không cưỡng làm thay.</x:t>
        </x:is>
      </x:c>
      <x:c r="Q249" s="81" t="inlineStr">
        <x:is>
          <x:t xml:space="preserve">Laozi / 老子</x:t>
        </x:is>
      </x:c>
      <x:c r="R249" s="81" t="inlineStr">
        <x:is>
          <x:t xml:space="preserve">Taoism</x:t>
        </x:is>
      </x:c>
      <x:c r="S249" s="81" t="inlineStr">
        <x:is>
          <x:t xml:space="preserve">道德經 / Tao Te Ching</x:t>
        </x:is>
      </x:c>
      <x:c r="T249" s="81" t="inlineStr">
        <x:is>
          <x:t xml:space="preserve">Chapter 64</x:t>
        </x:is>
      </x:c>
      <x:c r="U249" s="81" t="inlineStr">
        <x:is>
          <x:t xml:space="preserve">https://zh.wikisource.org/zh-hant/%E9%81%93%E5%BE%B7%E7%B6%93_(%E7%8E%8B%E5%BC%BC%E6%9C%AC)</x:t>
        </x:is>
      </x:c>
      <x:c r="V249" s="81" t="inlineStr">
        <x:is>
          <x:t xml:space="preserve">Primary text</x:t>
        </x:is>
      </x:c>
      <x:c r="W249" s="81" t="inlineStr">
        <x:is>
          <x:t xml:space="preserve">Working translation</x:t>
        </x:is>
      </x:c>
      <x:c r="X249" s="81" t="inlineStr">
        <x:is>
          <x:t xml:space="preserve">A - Primary source</x:t>
        </x:is>
      </x:c>
      <x:c r="Y249" s="81" t="inlineStr">
        <x:is>
          <x:t xml:space="preserve">Original Chinese checked against Wang Bi recension on Chinese Wikisource. Vietnamese is Selflo working translation, not a published translation.</x:t>
        </x:is>
      </x:c>
      <x:c r="Z249" s="81" t="inlineStr">
        <x:is>
          <x:t xml:space="preserve">Public domain / likely</x:t>
        </x:is>
      </x:c>
      <x:c r="AA249" s="81" t="inlineStr">
        <x:is>
          <x:t xml:space="preserve">Ancient source text; verify edition/jurisdiction before commercial publication.</x:t>
        </x:is>
      </x:c>
      <x:c r="AB249" s="81" t="inlineStr">
        <x:is>
          <x:t xml:space="preserve">High</x:t>
        </x:is>
      </x:c>
      <x:c r="AC249" s="81" t="inlineStr">
        <x:is>
          <x:t xml:space="preserve">Core Selflo.</x:t>
        </x:is>
      </x:c>
      <x:c r="AD249" s="81" t="inlineStr">
        <x:is>
          <x:t xml:space="preserve">Needs editorial review</x:t>
        </x:is>
      </x:c>
      <x:c r="AE249" s="81" t="inlineStr">
        <x:is>
          <x:t xml:space="preserve">Needs semantic dedupe review</x:t>
        </x:is>
      </x:c>
      <x:c r="AF249" s="81" t="str"/>
      <x:c r="AG249" s="81" t="str"/>
      <x:c r="AH249" s="81" t="inlineStr">
        <x:is>
          <x:t xml:space="preserve">No</x:t>
        </x:is>
      </x:c>
      <x:c r="AI249" s="81" t="inlineStr">
        <x:is>
          <x:t xml:space="preserve">Not reviewed</x:t>
        </x:is>
      </x:c>
      <x:c r="AJ249" s="81" t="inlineStr">
        <x:is>
          <x:t xml:space="preserve">Research only</x:t>
        </x:is>
      </x:c>
      <x:c r="AK249" s="81" t="inlineStr">
        <x:is>
          <x:t xml:space="preserve">Research Pool</x:t>
        </x:is>
      </x:c>
      <x:c r="AL249" s="81" t="n">
        <x:v>3</x:v>
      </x:c>
      <x:c r="AM249" s="81" t="inlineStr">
        <x:is>
          <x:t xml:space="preserve">ChatGPT research</x:t>
        </x:is>
      </x:c>
      <x:c r="AN249" s="81" t="inlineStr">
        <x:is>
          <x:t xml:space="preserve">2026-09-18</x:t>
        </x:is>
      </x:c>
      <x:c r="AO249" s="81" t="inlineStr">
        <x:is>
          <x:t xml:space="preserve">Day 3 full-scope audit, chapters 51–81.</x:t>
        </x:is>
      </x:c>
    </x:row>
    <x:row r="250">
      <x:c r="A250" s="81" t="inlineStr">
        <x:is>
          <x:t xml:space="preserve">research.laozi.day3.ch65.068</x:t>
        </x:is>
      </x:c>
      <x:c r="B250" s="81" t="inlineStr">
        <x:is>
          <x:t xml:space="preserve">Collected</x:t>
        </x:is>
      </x:c>
      <x:c r="C250" s="81" t="inlineStr">
        <x:is>
          <x:t xml:space="preserve">Quan hệ</x:t>
        </x:is>
      </x:c>
      <x:c r="D250" s="81" t="inlineStr">
        <x:is>
          <x:t xml:space="preserve">Day 3 / Laozi 51–81</x:t>
        </x:is>
      </x:c>
      <x:c r="E250" s="81" t="str"/>
      <x:c r="F250" s="81" t="inlineStr">
        <x:is>
          <x:t xml:space="preserve">Tri thức có thể bị dùng để kiểm soát</x:t>
        </x:is>
      </x:c>
      <x:c r="G250" s="81" t="inlineStr">
        <x:is>
          <x:t xml:space="preserve">Power</x:t>
        </x:is>
      </x:c>
      <x:c r="H250" s="81" t="str"/>
      <x:c r="I250" s="81" t="str"/>
      <x:c r="J250" s="81" t="str"/>
      <x:c r="K250" s="81" t="inlineStr">
        <x:is>
          <x:t xml:space="preserve">Distinguish</x:t>
        </x:is>
      </x:c>
      <x:c r="L250" s="81" t="inlineStr">
        <x:is>
          <x:t xml:space="preserve">Recognize</x:t>
        </x:is>
      </x:c>
      <x:c r="M250" s="81" t="inlineStr">
        <x:is>
          <x:t xml:space="preserve">Trích đoạn triết học</x:t>
        </x:is>
      </x:c>
      <x:c r="N250" s="81" t="inlineStr">
        <x:is>
          <x:t xml:space="preserve">古之善為道者，非以明民，將以愚之。</x:t>
        </x:is>
      </x:c>
      <x:c r="O250" s="81" t="inlineStr">
        <x:is>
          <x:t xml:space="preserve">Classical Chinese (文言文)</x:t>
        </x:is>
      </x:c>
      <x:c r="P250" s="81" t="inlineStr">
        <x:is>
          <x:t xml:space="preserve">Đoạn cổ này cảnh báo việc dùng sự 'thông minh' kiểu mưu thuật để điều khiển người khác.</x:t>
        </x:is>
      </x:c>
      <x:c r="Q250" s="81" t="inlineStr">
        <x:is>
          <x:t xml:space="preserve">Laozi / 老子</x:t>
        </x:is>
      </x:c>
      <x:c r="R250" s="81" t="inlineStr">
        <x:is>
          <x:t xml:space="preserve">Taoism</x:t>
        </x:is>
      </x:c>
      <x:c r="S250" s="81" t="inlineStr">
        <x:is>
          <x:t xml:space="preserve">道德經 / Tao Te Ching</x:t>
        </x:is>
      </x:c>
      <x:c r="T250" s="81" t="inlineStr">
        <x:is>
          <x:t xml:space="preserve">Chapter 65</x:t>
        </x:is>
      </x:c>
      <x:c r="U250" s="81" t="inlineStr">
        <x:is>
          <x:t xml:space="preserve">https://zh.wikisource.org/zh-hant/%E9%81%93%E5%BE%B7%E7%B6%93_(%E7%8E%8B%E5%BC%BC%E6%9C%AC)</x:t>
        </x:is>
      </x:c>
      <x:c r="V250" s="81" t="inlineStr">
        <x:is>
          <x:t xml:space="preserve">Primary text</x:t>
        </x:is>
      </x:c>
      <x:c r="W250" s="81" t="inlineStr">
        <x:is>
          <x:t xml:space="preserve">Working translation</x:t>
        </x:is>
      </x:c>
      <x:c r="X250" s="81" t="inlineStr">
        <x:is>
          <x:t xml:space="preserve">A - Primary source</x:t>
        </x:is>
      </x:c>
      <x:c r="Y250" s="81" t="inlineStr">
        <x:is>
          <x:t xml:space="preserve">Original Chinese checked against Wang Bi recension on Chinese Wikisource. Vietnamese is Selflo working translation, not a published translation.</x:t>
        </x:is>
      </x:c>
      <x:c r="Z250" s="81" t="inlineStr">
        <x:is>
          <x:t xml:space="preserve">Public domain / likely</x:t>
        </x:is>
      </x:c>
      <x:c r="AA250" s="81" t="inlineStr">
        <x:is>
          <x:t xml:space="preserve">Ancient source text; verify edition/jurisdiction before commercial publication.</x:t>
        </x:is>
      </x:c>
      <x:c r="AB250" s="81" t="inlineStr">
        <x:is>
          <x:t xml:space="preserve">Low</x:t>
        </x:is>
      </x:c>
      <x:c r="AC250" s="81" t="inlineStr">
        <x:is>
          <x:t xml:space="preserve">Literal text politically problematic; VI intentionally contextualized.</x:t>
        </x:is>
      </x:c>
      <x:c r="AD250" s="81" t="inlineStr">
        <x:is>
          <x:t xml:space="preserve">Needs editorial review</x:t>
        </x:is>
      </x:c>
      <x:c r="AE250" s="81" t="inlineStr">
        <x:is>
          <x:t xml:space="preserve">Needs semantic dedupe review</x:t>
        </x:is>
      </x:c>
      <x:c r="AF250" s="81" t="str"/>
      <x:c r="AG250" s="81" t="str"/>
      <x:c r="AH250" s="81" t="inlineStr">
        <x:is>
          <x:t xml:space="preserve">No</x:t>
        </x:is>
      </x:c>
      <x:c r="AI250" s="81" t="inlineStr">
        <x:is>
          <x:t xml:space="preserve">Not reviewed</x:t>
        </x:is>
      </x:c>
      <x:c r="AJ250" s="81" t="inlineStr">
        <x:is>
          <x:t xml:space="preserve">Research only</x:t>
        </x:is>
      </x:c>
      <x:c r="AK250" s="81" t="inlineStr">
        <x:is>
          <x:t xml:space="preserve">Research Pool</x:t>
        </x:is>
      </x:c>
      <x:c r="AL250" s="81" t="n">
        <x:v>3</x:v>
      </x:c>
      <x:c r="AM250" s="81" t="inlineStr">
        <x:is>
          <x:t xml:space="preserve">ChatGPT research</x:t>
        </x:is>
      </x:c>
      <x:c r="AN250" s="81" t="inlineStr">
        <x:is>
          <x:t xml:space="preserve">2026-09-18</x:t>
        </x:is>
      </x:c>
      <x:c r="AO250" s="81" t="inlineStr">
        <x:is>
          <x:t xml:space="preserve">Day 3 full-scope audit, chapters 51–81.</x:t>
        </x:is>
      </x:c>
    </x:row>
    <x:row r="251">
      <x:c r="A251" s="81" t="inlineStr">
        <x:is>
          <x:t xml:space="preserve">research.laozi.day3.ch65.069</x:t>
        </x:is>
      </x:c>
      <x:c r="B251" s="81" t="inlineStr">
        <x:is>
          <x:t xml:space="preserve">Collected</x:t>
        </x:is>
      </x:c>
      <x:c r="C251" s="81" t="inlineStr">
        <x:is>
          <x:t xml:space="preserve">Công việc &amp; mục đích</x:t>
        </x:is>
      </x:c>
      <x:c r="D251" s="81" t="inlineStr">
        <x:is>
          <x:t xml:space="preserve">Day 3 / Laozi 51–81</x:t>
        </x:is>
      </x:c>
      <x:c r="E251" s="81" t="str"/>
      <x:c r="F251" s="81" t="inlineStr">
        <x:is>
          <x:t xml:space="preserve">Tối ưu cục bộ có thể làm hệ phức tạp hơn</x:t>
        </x:is>
      </x:c>
      <x:c r="G251" s="81" t="inlineStr">
        <x:is>
          <x:t xml:space="preserve">Systems</x:t>
        </x:is>
      </x:c>
      <x:c r="H251" s="81" t="str"/>
      <x:c r="I251" s="81" t="str"/>
      <x:c r="J251" s="81" t="str"/>
      <x:c r="K251" s="81" t="inlineStr">
        <x:is>
          <x:t xml:space="preserve">Recognize</x:t>
        </x:is>
      </x:c>
      <x:c r="L251" s="81" t="inlineStr">
        <x:is>
          <x:t xml:space="preserve">Distinguish</x:t>
        </x:is>
      </x:c>
      <x:c r="M251" s="81" t="inlineStr">
        <x:is>
          <x:t xml:space="preserve">Trích đoạn triết học</x:t>
        </x:is>
      </x:c>
      <x:c r="N251" s="81" t="inlineStr">
        <x:is>
          <x:t xml:space="preserve">民之難治，以其智多。</x:t>
        </x:is>
      </x:c>
      <x:c r="O251" s="81" t="inlineStr">
        <x:is>
          <x:t xml:space="preserve">Classical Chinese (文言文)</x:t>
        </x:is>
      </x:c>
      <x:c r="P251" s="81" t="inlineStr">
        <x:is>
          <x:t xml:space="preserve">Văn bản cho rằng khi mưu trí cạnh tranh quá nhiều, hệ trở nên khó điều phối.</x:t>
        </x:is>
      </x:c>
      <x:c r="Q251" s="81" t="inlineStr">
        <x:is>
          <x:t xml:space="preserve">Laozi / 老子</x:t>
        </x:is>
      </x:c>
      <x:c r="R251" s="81" t="inlineStr">
        <x:is>
          <x:t xml:space="preserve">Taoism</x:t>
        </x:is>
      </x:c>
      <x:c r="S251" s="81" t="inlineStr">
        <x:is>
          <x:t xml:space="preserve">道德經 / Tao Te Ching</x:t>
        </x:is>
      </x:c>
      <x:c r="T251" s="81" t="inlineStr">
        <x:is>
          <x:t xml:space="preserve">Chapter 65</x:t>
        </x:is>
      </x:c>
      <x:c r="U251" s="81" t="inlineStr">
        <x:is>
          <x:t xml:space="preserve">https://zh.wikisource.org/zh-hant/%E9%81%93%E5%BE%B7%E7%B6%93_(%E7%8E%8B%E5%BC%BC%E6%9C%AC)</x:t>
        </x:is>
      </x:c>
      <x:c r="V251" s="81" t="inlineStr">
        <x:is>
          <x:t xml:space="preserve">Primary text</x:t>
        </x:is>
      </x:c>
      <x:c r="W251" s="81" t="inlineStr">
        <x:is>
          <x:t xml:space="preserve">Working translation</x:t>
        </x:is>
      </x:c>
      <x:c r="X251" s="81" t="inlineStr">
        <x:is>
          <x:t xml:space="preserve">A - Primary source</x:t>
        </x:is>
      </x:c>
      <x:c r="Y251" s="81" t="inlineStr">
        <x:is>
          <x:t xml:space="preserve">Original Chinese checked against Wang Bi recension on Chinese Wikisource. Vietnamese is Selflo working translation, not a published translation.</x:t>
        </x:is>
      </x:c>
      <x:c r="Z251" s="81" t="inlineStr">
        <x:is>
          <x:t xml:space="preserve">Public domain / likely</x:t>
        </x:is>
      </x:c>
      <x:c r="AA251" s="81" t="inlineStr">
        <x:is>
          <x:t xml:space="preserve">Ancient source text; verify edition/jurisdiction before commercial publication.</x:t>
        </x:is>
      </x:c>
      <x:c r="AB251" s="81" t="inlineStr">
        <x:is>
          <x:t xml:space="preserve">Medium</x:t>
        </x:is>
      </x:c>
      <x:c r="AC251" s="81" t="inlineStr">
        <x:is>
          <x:t xml:space="preserve">Ancient governance.</x:t>
        </x:is>
      </x:c>
      <x:c r="AD251" s="81" t="inlineStr">
        <x:is>
          <x:t xml:space="preserve">Needs editorial review</x:t>
        </x:is>
      </x:c>
      <x:c r="AE251" s="81" t="inlineStr">
        <x:is>
          <x:t xml:space="preserve">Needs semantic dedupe review</x:t>
        </x:is>
      </x:c>
      <x:c r="AF251" s="81" t="str"/>
      <x:c r="AG251" s="81" t="str"/>
      <x:c r="AH251" s="81" t="inlineStr">
        <x:is>
          <x:t xml:space="preserve">No</x:t>
        </x:is>
      </x:c>
      <x:c r="AI251" s="81" t="inlineStr">
        <x:is>
          <x:t xml:space="preserve">Not reviewed</x:t>
        </x:is>
      </x:c>
      <x:c r="AJ251" s="81" t="inlineStr">
        <x:is>
          <x:t xml:space="preserve">Research only</x:t>
        </x:is>
      </x:c>
      <x:c r="AK251" s="81" t="inlineStr">
        <x:is>
          <x:t xml:space="preserve">Research Pool</x:t>
        </x:is>
      </x:c>
      <x:c r="AL251" s="81" t="n">
        <x:v>3</x:v>
      </x:c>
      <x:c r="AM251" s="81" t="inlineStr">
        <x:is>
          <x:t xml:space="preserve">ChatGPT research</x:t>
        </x:is>
      </x:c>
      <x:c r="AN251" s="81" t="inlineStr">
        <x:is>
          <x:t xml:space="preserve">2026-09-18</x:t>
        </x:is>
      </x:c>
      <x:c r="AO251" s="81" t="inlineStr">
        <x:is>
          <x:t xml:space="preserve">Day 3 full-scope audit, chapters 51–81.</x:t>
        </x:is>
      </x:c>
    </x:row>
    <x:row r="252">
      <x:c r="A252" s="81" t="inlineStr">
        <x:is>
          <x:t xml:space="preserve">research.laozi.day3.ch65.070</x:t>
        </x:is>
      </x:c>
      <x:c r="B252" s="81" t="inlineStr">
        <x:is>
          <x:t xml:space="preserve">Collected</x:t>
        </x:is>
      </x:c>
      <x:c r="C252" s="81" t="inlineStr">
        <x:is>
          <x:t xml:space="preserve">AI &amp; tương lai</x:t>
        </x:is>
      </x:c>
      <x:c r="D252" s="81" t="inlineStr">
        <x:is>
          <x:t xml:space="preserve">Day 3 / Laozi 51–81</x:t>
        </x:is>
      </x:c>
      <x:c r="E252" s="81" t="str"/>
      <x:c r="F252" s="81" t="inlineStr">
        <x:is>
          <x:t xml:space="preserve">Phân biệt trí tuệ với thao túng</x:t>
        </x:is>
      </x:c>
      <x:c r="G252" s="81" t="inlineStr">
        <x:is>
          <x:t xml:space="preserve">Judgment</x:t>
        </x:is>
      </x:c>
      <x:c r="H252" s="81" t="str"/>
      <x:c r="I252" s="81" t="str"/>
      <x:c r="J252" s="81" t="str"/>
      <x:c r="K252" s="81" t="inlineStr">
        <x:is>
          <x:t xml:space="preserve">Distinguish</x:t>
        </x:is>
      </x:c>
      <x:c r="L252" s="81" t="inlineStr">
        <x:is>
          <x:t xml:space="preserve">Recognize</x:t>
        </x:is>
      </x:c>
      <x:c r="M252" s="81" t="inlineStr">
        <x:is>
          <x:t xml:space="preserve">Trích đoạn triết học</x:t>
        </x:is>
      </x:c>
      <x:c r="N252" s="81" t="inlineStr">
        <x:is>
          <x:t xml:space="preserve">以智治國，國之賊；不以智治國，國之福。</x:t>
        </x:is>
      </x:c>
      <x:c r="O252" s="81" t="inlineStr">
        <x:is>
          <x:t xml:space="preserve">Classical Chinese (文言文)</x:t>
        </x:is>
      </x:c>
      <x:c r="P252" s="81" t="inlineStr">
        <x:is>
          <x:t xml:space="preserve">Dùng mưu trí để thao túng hệ được văn bản xem là có hại; không dựa vào thao túng được xem là có lợi.</x:t>
        </x:is>
      </x:c>
      <x:c r="Q252" s="81" t="inlineStr">
        <x:is>
          <x:t xml:space="preserve">Laozi / 老子</x:t>
        </x:is>
      </x:c>
      <x:c r="R252" s="81" t="inlineStr">
        <x:is>
          <x:t xml:space="preserve">Taoism</x:t>
        </x:is>
      </x:c>
      <x:c r="S252" s="81" t="inlineStr">
        <x:is>
          <x:t xml:space="preserve">道德經 / Tao Te Ching</x:t>
        </x:is>
      </x:c>
      <x:c r="T252" s="81" t="inlineStr">
        <x:is>
          <x:t xml:space="preserve">Chapter 65</x:t>
        </x:is>
      </x:c>
      <x:c r="U252" s="81" t="inlineStr">
        <x:is>
          <x:t xml:space="preserve">https://zh.wikisource.org/zh-hant/%E9%81%93%E5%BE%B7%E7%B6%93_(%E7%8E%8B%E5%BC%BC%E6%9C%AC)</x:t>
        </x:is>
      </x:c>
      <x:c r="V252" s="81" t="inlineStr">
        <x:is>
          <x:t xml:space="preserve">Primary text</x:t>
        </x:is>
      </x:c>
      <x:c r="W252" s="81" t="inlineStr">
        <x:is>
          <x:t xml:space="preserve">Working translation</x:t>
        </x:is>
      </x:c>
      <x:c r="X252" s="81" t="inlineStr">
        <x:is>
          <x:t xml:space="preserve">A - Primary source</x:t>
        </x:is>
      </x:c>
      <x:c r="Y252" s="81" t="inlineStr">
        <x:is>
          <x:t xml:space="preserve">Original Chinese checked against Wang Bi recension on Chinese Wikisource. Vietnamese is Selflo working translation, not a published translation.</x:t>
        </x:is>
      </x:c>
      <x:c r="Z252" s="81" t="inlineStr">
        <x:is>
          <x:t xml:space="preserve">Public domain / likely</x:t>
        </x:is>
      </x:c>
      <x:c r="AA252" s="81" t="inlineStr">
        <x:is>
          <x:t xml:space="preserve">Ancient source text; verify edition/jurisdiction before commercial publication.</x:t>
        </x:is>
      </x:c>
      <x:c r="AB252" s="81" t="inlineStr">
        <x:is>
          <x:t xml:space="preserve">Medium</x:t>
        </x:is>
      </x:c>
      <x:c r="AC252" s="81" t="inlineStr">
        <x:is>
          <x:t xml:space="preserve">Needs strong context.</x:t>
        </x:is>
      </x:c>
      <x:c r="AD252" s="81" t="inlineStr">
        <x:is>
          <x:t xml:space="preserve">Needs editorial review</x:t>
        </x:is>
      </x:c>
      <x:c r="AE252" s="81" t="inlineStr">
        <x:is>
          <x:t xml:space="preserve">Needs semantic dedupe review</x:t>
        </x:is>
      </x:c>
      <x:c r="AF252" s="81" t="str"/>
      <x:c r="AG252" s="81" t="str"/>
      <x:c r="AH252" s="81" t="inlineStr">
        <x:is>
          <x:t xml:space="preserve">No</x:t>
        </x:is>
      </x:c>
      <x:c r="AI252" s="81" t="inlineStr">
        <x:is>
          <x:t xml:space="preserve">Not reviewed</x:t>
        </x:is>
      </x:c>
      <x:c r="AJ252" s="81" t="inlineStr">
        <x:is>
          <x:t xml:space="preserve">Research only</x:t>
        </x:is>
      </x:c>
      <x:c r="AK252" s="81" t="inlineStr">
        <x:is>
          <x:t xml:space="preserve">Research Pool</x:t>
        </x:is>
      </x:c>
      <x:c r="AL252" s="81" t="n">
        <x:v>3</x:v>
      </x:c>
      <x:c r="AM252" s="81" t="inlineStr">
        <x:is>
          <x:t xml:space="preserve">ChatGPT research</x:t>
        </x:is>
      </x:c>
      <x:c r="AN252" s="81" t="inlineStr">
        <x:is>
          <x:t xml:space="preserve">2026-09-18</x:t>
        </x:is>
      </x:c>
      <x:c r="AO252" s="81" t="inlineStr">
        <x:is>
          <x:t xml:space="preserve">Day 3 full-scope audit, chapters 51–81.</x:t>
        </x:is>
      </x:c>
    </x:row>
    <x:row r="253">
      <x:c r="A253" s="81" t="inlineStr">
        <x:is>
          <x:t xml:space="preserve">research.laozi.day3.ch65.071</x:t>
        </x:is>
      </x:c>
      <x:c r="B253" s="81" t="inlineStr">
        <x:is>
          <x:t xml:space="preserve">Collected</x:t>
        </x:is>
      </x:c>
      <x:c r="C253" s="81" t="inlineStr">
        <x:is>
          <x:t xml:space="preserve">AI &amp; tương lai</x:t>
        </x:is>
      </x:c>
      <x:c r="D253" s="81" t="inlineStr">
        <x:is>
          <x:t xml:space="preserve">Day 3 / Laozi 51–81</x:t>
        </x:is>
      </x:c>
      <x:c r="E253" s="81" t="str"/>
      <x:c r="F253" s="81" t="inlineStr">
        <x:is>
          <x:t xml:space="preserve">Giữ distinction làm nguyên tắc kiểm tra</x:t>
        </x:is>
      </x:c>
      <x:c r="G253" s="81" t="inlineStr">
        <x:is>
          <x:t xml:space="preserve">Judgment</x:t>
        </x:is>
      </x:c>
      <x:c r="H253" s="81" t="str"/>
      <x:c r="I253" s="81" t="str"/>
      <x:c r="J253" s="81" t="str"/>
      <x:c r="K253" s="81" t="inlineStr">
        <x:is>
          <x:t xml:space="preserve">Distinguish</x:t>
        </x:is>
      </x:c>
      <x:c r="L253" s="81" t="inlineStr">
        <x:is>
          <x:t xml:space="preserve">Recognize</x:t>
        </x:is>
      </x:c>
      <x:c r="M253" s="81" t="inlineStr">
        <x:is>
          <x:t xml:space="preserve">Trích đoạn triết học</x:t>
        </x:is>
      </x:c>
      <x:c r="N253" s="81" t="inlineStr">
        <x:is>
          <x:t xml:space="preserve">知此兩者亦稽式。</x:t>
        </x:is>
      </x:c>
      <x:c r="O253" s="81" t="inlineStr">
        <x:is>
          <x:t xml:space="preserve">Classical Chinese (文言文)</x:t>
        </x:is>
      </x:c>
      <x:c r="P253" s="81" t="inlineStr">
        <x:is>
          <x:t xml:space="preserve">Biết phân biệt hai cách ấy được xem như một nguyên tắc để soi lại.</x:t>
        </x:is>
      </x:c>
      <x:c r="Q253" s="81" t="inlineStr">
        <x:is>
          <x:t xml:space="preserve">Laozi / 老子</x:t>
        </x:is>
      </x:c>
      <x:c r="R253" s="81" t="inlineStr">
        <x:is>
          <x:t xml:space="preserve">Taoism</x:t>
        </x:is>
      </x:c>
      <x:c r="S253" s="81" t="inlineStr">
        <x:is>
          <x:t xml:space="preserve">道德經 / Tao Te Ching</x:t>
        </x:is>
      </x:c>
      <x:c r="T253" s="81" t="inlineStr">
        <x:is>
          <x:t xml:space="preserve">Chapter 65</x:t>
        </x:is>
      </x:c>
      <x:c r="U253" s="81" t="inlineStr">
        <x:is>
          <x:t xml:space="preserve">https://zh.wikisource.org/zh-hant/%E9%81%93%E5%BE%B7%E7%B6%93_(%E7%8E%8B%E5%BC%BC%E6%9C%AC)</x:t>
        </x:is>
      </x:c>
      <x:c r="V253" s="81" t="inlineStr">
        <x:is>
          <x:t xml:space="preserve">Primary text</x:t>
        </x:is>
      </x:c>
      <x:c r="W253" s="81" t="inlineStr">
        <x:is>
          <x:t xml:space="preserve">Working translation</x:t>
        </x:is>
      </x:c>
      <x:c r="X253" s="81" t="inlineStr">
        <x:is>
          <x:t xml:space="preserve">A - Primary source</x:t>
        </x:is>
      </x:c>
      <x:c r="Y253" s="81" t="inlineStr">
        <x:is>
          <x:t xml:space="preserve">Original Chinese checked against Wang Bi recension on Chinese Wikisource. Vietnamese is Selflo working translation, not a published translation.</x:t>
        </x:is>
      </x:c>
      <x:c r="Z253" s="81" t="inlineStr">
        <x:is>
          <x:t xml:space="preserve">Public domain / likely</x:t>
        </x:is>
      </x:c>
      <x:c r="AA253" s="81" t="inlineStr">
        <x:is>
          <x:t xml:space="preserve">Ancient source text; verify edition/jurisdiction before commercial publication.</x:t>
        </x:is>
      </x:c>
      <x:c r="AB253" s="81" t="inlineStr">
        <x:is>
          <x:t xml:space="preserve">High</x:t>
        </x:is>
      </x:c>
      <x:c r="AC253" s="81" t="inlineStr">
        <x:is>
          <x:t xml:space="preserve">Enduring principles.</x:t>
        </x:is>
      </x:c>
      <x:c r="AD253" s="81" t="inlineStr">
        <x:is>
          <x:t xml:space="preserve">Needs editorial review</x:t>
        </x:is>
      </x:c>
      <x:c r="AE253" s="81" t="inlineStr">
        <x:is>
          <x:t xml:space="preserve">Needs semantic dedupe review</x:t>
        </x:is>
      </x:c>
      <x:c r="AF253" s="81" t="str"/>
      <x:c r="AG253" s="81" t="str"/>
      <x:c r="AH253" s="81" t="inlineStr">
        <x:is>
          <x:t xml:space="preserve">No</x:t>
        </x:is>
      </x:c>
      <x:c r="AI253" s="81" t="inlineStr">
        <x:is>
          <x:t xml:space="preserve">Not reviewed</x:t>
        </x:is>
      </x:c>
      <x:c r="AJ253" s="81" t="inlineStr">
        <x:is>
          <x:t xml:space="preserve">Research only</x:t>
        </x:is>
      </x:c>
      <x:c r="AK253" s="81" t="inlineStr">
        <x:is>
          <x:t xml:space="preserve">Research Pool</x:t>
        </x:is>
      </x:c>
      <x:c r="AL253" s="81" t="n">
        <x:v>3</x:v>
      </x:c>
      <x:c r="AM253" s="81" t="inlineStr">
        <x:is>
          <x:t xml:space="preserve">ChatGPT research</x:t>
        </x:is>
      </x:c>
      <x:c r="AN253" s="81" t="inlineStr">
        <x:is>
          <x:t xml:space="preserve">2026-09-18</x:t>
        </x:is>
      </x:c>
      <x:c r="AO253" s="81" t="inlineStr">
        <x:is>
          <x:t xml:space="preserve">Day 3 full-scope audit, chapters 51–81.</x:t>
        </x:is>
      </x:c>
    </x:row>
    <x:row r="254">
      <x:c r="A254" s="81" t="inlineStr">
        <x:is>
          <x:t xml:space="preserve">research.laozi.day3.ch65.072</x:t>
        </x:is>
      </x:c>
      <x:c r="B254" s="81" t="inlineStr">
        <x:is>
          <x:t xml:space="preserve">Collected</x:t>
        </x:is>
      </x:c>
      <x:c r="C254" s="81" t="inlineStr">
        <x:is>
          <x:t xml:space="preserve">Nội tâm &amp; hiểu mình</x:t>
        </x:is>
      </x:c>
      <x:c r="D254" s="81" t="inlineStr">
        <x:is>
          <x:t xml:space="preserve">Day 3 / Laozi 51–81</x:t>
        </x:is>
      </x:c>
      <x:c r="E254" s="81" t="str"/>
      <x:c r="F254" s="81" t="inlineStr">
        <x:is>
          <x:t xml:space="preserve">Điều đúng với nền tảng có thể không giống xu hướng trước mắt</x:t>
        </x:is>
      </x:c>
      <x:c r="G254" s="81" t="inlineStr">
        <x:is>
          <x:t xml:space="preserve">Values</x:t>
        </x:is>
      </x:c>
      <x:c r="H254" s="81" t="str"/>
      <x:c r="I254" s="81" t="str"/>
      <x:c r="J254" s="81" t="str"/>
      <x:c r="K254" s="81" t="inlineStr">
        <x:is>
          <x:t xml:space="preserve">Reframe</x:t>
        </x:is>
      </x:c>
      <x:c r="L254" s="81" t="inlineStr">
        <x:is>
          <x:t xml:space="preserve">Distinguish</x:t>
        </x:is>
      </x:c>
      <x:c r="M254" s="81" t="inlineStr">
        <x:is>
          <x:t xml:space="preserve">Trích đoạn triết học</x:t>
        </x:is>
      </x:c>
      <x:c r="N254" s="81" t="inlineStr">
        <x:is>
          <x:t xml:space="preserve">玄德深矣，遠矣，與物反矣，然後乃至大順。</x:t>
        </x:is>
      </x:c>
      <x:c r="O254" s="81" t="inlineStr">
        <x:is>
          <x:t xml:space="preserve">Classical Chinese (文言文)</x:t>
        </x:is>
      </x:c>
      <x:c r="P254" s="81" t="inlineStr">
        <x:is>
          <x:t xml:space="preserve">Đức sâu có thể đi ngược thói quen bề mặt trước khi tạo được sự hòa hợp rộng hơn.</x:t>
        </x:is>
      </x:c>
      <x:c r="Q254" s="81" t="inlineStr">
        <x:is>
          <x:t xml:space="preserve">Laozi / 老子</x:t>
        </x:is>
      </x:c>
      <x:c r="R254" s="81" t="inlineStr">
        <x:is>
          <x:t xml:space="preserve">Taoism</x:t>
        </x:is>
      </x:c>
      <x:c r="S254" s="81" t="inlineStr">
        <x:is>
          <x:t xml:space="preserve">道德經 / Tao Te Ching</x:t>
        </x:is>
      </x:c>
      <x:c r="T254" s="81" t="inlineStr">
        <x:is>
          <x:t xml:space="preserve">Chapter 65</x:t>
        </x:is>
      </x:c>
      <x:c r="U254" s="81" t="inlineStr">
        <x:is>
          <x:t xml:space="preserve">https://zh.wikisource.org/zh-hant/%E9%81%93%E5%BE%B7%E7%B6%93_(%E7%8E%8B%E5%BC%BC%E6%9C%AC)</x:t>
        </x:is>
      </x:c>
      <x:c r="V254" s="81" t="inlineStr">
        <x:is>
          <x:t xml:space="preserve">Primary text</x:t>
        </x:is>
      </x:c>
      <x:c r="W254" s="81" t="inlineStr">
        <x:is>
          <x:t xml:space="preserve">Working translation</x:t>
        </x:is>
      </x:c>
      <x:c r="X254" s="81" t="inlineStr">
        <x:is>
          <x:t xml:space="preserve">A - Primary source</x:t>
        </x:is>
      </x:c>
      <x:c r="Y254" s="81" t="inlineStr">
        <x:is>
          <x:t xml:space="preserve">Original Chinese checked against Wang Bi recension on Chinese Wikisource. Vietnamese is Selflo working translation, not a published translation.</x:t>
        </x:is>
      </x:c>
      <x:c r="Z254" s="81" t="inlineStr">
        <x:is>
          <x:t xml:space="preserve">Public domain / likely</x:t>
        </x:is>
      </x:c>
      <x:c r="AA254" s="81" t="inlineStr">
        <x:is>
          <x:t xml:space="preserve">Ancient source text; verify edition/jurisdiction before commercial publication.</x:t>
        </x:is>
      </x:c>
      <x:c r="AB254" s="81" t="inlineStr">
        <x:is>
          <x:t xml:space="preserve">Medium</x:t>
        </x:is>
      </x:c>
      <x:c r="AC254" s="81" t="inlineStr">
        <x:is>
          <x:t xml:space="preserve">Metaphysical.</x:t>
        </x:is>
      </x:c>
      <x:c r="AD254" s="81" t="inlineStr">
        <x:is>
          <x:t xml:space="preserve">Needs editorial review</x:t>
        </x:is>
      </x:c>
      <x:c r="AE254" s="81" t="inlineStr">
        <x:is>
          <x:t xml:space="preserve">Needs semantic dedupe review</x:t>
        </x:is>
      </x:c>
      <x:c r="AF254" s="81" t="str"/>
      <x:c r="AG254" s="81" t="str"/>
      <x:c r="AH254" s="81" t="inlineStr">
        <x:is>
          <x:t xml:space="preserve">No</x:t>
        </x:is>
      </x:c>
      <x:c r="AI254" s="81" t="inlineStr">
        <x:is>
          <x:t xml:space="preserve">Not reviewed</x:t>
        </x:is>
      </x:c>
      <x:c r="AJ254" s="81" t="inlineStr">
        <x:is>
          <x:t xml:space="preserve">Research only</x:t>
        </x:is>
      </x:c>
      <x:c r="AK254" s="81" t="inlineStr">
        <x:is>
          <x:t xml:space="preserve">Research Pool</x:t>
        </x:is>
      </x:c>
      <x:c r="AL254" s="81" t="n">
        <x:v>3</x:v>
      </x:c>
      <x:c r="AM254" s="81" t="inlineStr">
        <x:is>
          <x:t xml:space="preserve">ChatGPT research</x:t>
        </x:is>
      </x:c>
      <x:c r="AN254" s="81" t="inlineStr">
        <x:is>
          <x:t xml:space="preserve">2026-09-18</x:t>
        </x:is>
      </x:c>
      <x:c r="AO254" s="81" t="inlineStr">
        <x:is>
          <x:t xml:space="preserve">Day 3 full-scope audit, chapters 51–81.</x:t>
        </x:is>
      </x:c>
    </x:row>
    <x:row r="255">
      <x:c r="A255" s="81" t="inlineStr">
        <x:is>
          <x:t xml:space="preserve">research.laozi.day3.ch66.073</x:t>
        </x:is>
      </x:c>
      <x:c r="B255" s="81" t="inlineStr">
        <x:is>
          <x:t xml:space="preserve">Collected</x:t>
        </x:is>
      </x:c>
      <x:c r="C255" s="81" t="inlineStr">
        <x:is>
          <x:t xml:space="preserve">Nội tâm &amp; hiểu mình</x:t>
        </x:is>
      </x:c>
      <x:c r="D255" s="81" t="inlineStr">
        <x:is>
          <x:t xml:space="preserve">Day 3 / Laozi 51–81</x:t>
        </x:is>
      </x:c>
      <x:c r="E255" s="81" t="str"/>
      <x:c r="F255" s="81" t="inlineStr">
        <x:is>
          <x:t xml:space="preserve">Khả năng chứa có thể đến từ không đặt mình ở trên</x:t>
        </x:is>
      </x:c>
      <x:c r="G255" s="81" t="inlineStr">
        <x:is>
          <x:t xml:space="preserve">Humility</x:t>
        </x:is>
      </x:c>
      <x:c r="H255" s="81" t="str"/>
      <x:c r="I255" s="81" t="str"/>
      <x:c r="J255" s="81" t="str"/>
      <x:c r="K255" s="81" t="inlineStr">
        <x:is>
          <x:t xml:space="preserve">Reframe</x:t>
        </x:is>
      </x:c>
      <x:c r="L255" s="81" t="inlineStr">
        <x:is>
          <x:t xml:space="preserve">Distinguish</x:t>
        </x:is>
      </x:c>
      <x:c r="M255" s="81" t="inlineStr">
        <x:is>
          <x:t xml:space="preserve">Trích đoạn triết học</x:t>
        </x:is>
      </x:c>
      <x:c r="N255" s="81" t="inlineStr">
        <x:is>
          <x:t xml:space="preserve">江海所以能為百谷王者，以其善下之。</x:t>
        </x:is>
      </x:c>
      <x:c r="O255" s="81" t="inlineStr">
        <x:is>
          <x:t xml:space="preserve">Classical Chinese (文言文)</x:t>
        </x:is>
      </x:c>
      <x:c r="P255" s="81" t="inlineStr">
        <x:is>
          <x:t xml:space="preserve">Sông biển thành nơi trăm dòng đổ về vì nó biết ở thấp.</x:t>
        </x:is>
      </x:c>
      <x:c r="Q255" s="81" t="inlineStr">
        <x:is>
          <x:t xml:space="preserve">Laozi / 老子</x:t>
        </x:is>
      </x:c>
      <x:c r="R255" s="81" t="inlineStr">
        <x:is>
          <x:t xml:space="preserve">Taoism</x:t>
        </x:is>
      </x:c>
      <x:c r="S255" s="81" t="inlineStr">
        <x:is>
          <x:t xml:space="preserve">道德經 / Tao Te Ching</x:t>
        </x:is>
      </x:c>
      <x:c r="T255" s="81" t="inlineStr">
        <x:is>
          <x:t xml:space="preserve">Chapter 66</x:t>
        </x:is>
      </x:c>
      <x:c r="U255" s="81" t="inlineStr">
        <x:is>
          <x:t xml:space="preserve">https://zh.wikisource.org/zh-hant/%E9%81%93%E5%BE%B7%E7%B6%93_(%E7%8E%8B%E5%BC%BC%E6%9C%AC)</x:t>
        </x:is>
      </x:c>
      <x:c r="V255" s="81" t="inlineStr">
        <x:is>
          <x:t xml:space="preserve">Primary text</x:t>
        </x:is>
      </x:c>
      <x:c r="W255" s="81" t="inlineStr">
        <x:is>
          <x:t xml:space="preserve">Working translation</x:t>
        </x:is>
      </x:c>
      <x:c r="X255" s="81" t="inlineStr">
        <x:is>
          <x:t xml:space="preserve">A - Primary source</x:t>
        </x:is>
      </x:c>
      <x:c r="Y255" s="81" t="inlineStr">
        <x:is>
          <x:t xml:space="preserve">Original Chinese checked against Wang Bi recension on Chinese Wikisource. Vietnamese is Selflo working translation, not a published translation.</x:t>
        </x:is>
      </x:c>
      <x:c r="Z255" s="81" t="inlineStr">
        <x:is>
          <x:t xml:space="preserve">Public domain / likely</x:t>
        </x:is>
      </x:c>
      <x:c r="AA255" s="81" t="inlineStr">
        <x:is>
          <x:t xml:space="preserve">Ancient source text; verify edition/jurisdiction before commercial publication.</x:t>
        </x:is>
      </x:c>
      <x:c r="AB255" s="81" t="inlineStr">
        <x:is>
          <x:t xml:space="preserve">High</x:t>
        </x:is>
      </x:c>
      <x:c r="AC255" s="81" t="inlineStr">
        <x:is>
          <x:t xml:space="preserve">Strong.</x:t>
        </x:is>
      </x:c>
      <x:c r="AD255" s="81" t="inlineStr">
        <x:is>
          <x:t xml:space="preserve">Needs editorial review</x:t>
        </x:is>
      </x:c>
      <x:c r="AE255" s="81" t="inlineStr">
        <x:is>
          <x:t xml:space="preserve">Needs semantic dedupe review</x:t>
        </x:is>
      </x:c>
      <x:c r="AF255" s="81" t="str"/>
      <x:c r="AG255" s="81" t="str"/>
      <x:c r="AH255" s="81" t="inlineStr">
        <x:is>
          <x:t xml:space="preserve">No</x:t>
        </x:is>
      </x:c>
      <x:c r="AI255" s="81" t="inlineStr">
        <x:is>
          <x:t xml:space="preserve">Not reviewed</x:t>
        </x:is>
      </x:c>
      <x:c r="AJ255" s="81" t="inlineStr">
        <x:is>
          <x:t xml:space="preserve">Research only</x:t>
        </x:is>
      </x:c>
      <x:c r="AK255" s="81" t="inlineStr">
        <x:is>
          <x:t xml:space="preserve">Research Pool</x:t>
        </x:is>
      </x:c>
      <x:c r="AL255" s="81" t="n">
        <x:v>3</x:v>
      </x:c>
      <x:c r="AM255" s="81" t="inlineStr">
        <x:is>
          <x:t xml:space="preserve">ChatGPT research</x:t>
        </x:is>
      </x:c>
      <x:c r="AN255" s="81" t="inlineStr">
        <x:is>
          <x:t xml:space="preserve">2026-09-18</x:t>
        </x:is>
      </x:c>
      <x:c r="AO255" s="81" t="inlineStr">
        <x:is>
          <x:t xml:space="preserve">Day 3 full-scope audit, chapters 51–81.</x:t>
        </x:is>
      </x:c>
    </x:row>
    <x:row r="256">
      <x:c r="A256" s="81" t="inlineStr">
        <x:is>
          <x:t xml:space="preserve">research.laozi.day3.ch66.074</x:t>
        </x:is>
      </x:c>
      <x:c r="B256" s="81" t="inlineStr">
        <x:is>
          <x:t xml:space="preserve">Collected</x:t>
        </x:is>
      </x:c>
      <x:c r="C256" s="81" t="inlineStr">
        <x:is>
          <x:t xml:space="preserve">Công việc &amp; mục đích</x:t>
        </x:is>
      </x:c>
      <x:c r="D256" s="81" t="inlineStr">
        <x:is>
          <x:t xml:space="preserve">Day 3 / Laozi 51–81</x:t>
        </x:is>
      </x:c>
      <x:c r="E256" s="81" t="str"/>
      <x:c r="F256" s="81" t="inlineStr">
        <x:is>
          <x:t xml:space="preserve">Lãnh đạo không nhất thiết là đứng trên</x:t>
        </x:is>
      </x:c>
      <x:c r="G256" s="81" t="inlineStr">
        <x:is>
          <x:t xml:space="preserve">Leadership</x:t>
        </x:is>
      </x:c>
      <x:c r="H256" s="81" t="str"/>
      <x:c r="I256" s="81" t="str"/>
      <x:c r="J256" s="81" t="str"/>
      <x:c r="K256" s="81" t="inlineStr">
        <x:is>
          <x:t xml:space="preserve">Reframe</x:t>
        </x:is>
      </x:c>
      <x:c r="L256" s="81" t="inlineStr">
        <x:is>
          <x:t xml:space="preserve">Distinguish</x:t>
        </x:is>
      </x:c>
      <x:c r="M256" s="81" t="inlineStr">
        <x:is>
          <x:t xml:space="preserve">Trích đoạn triết học</x:t>
        </x:is>
      </x:c>
      <x:c r="N256" s="81" t="inlineStr">
        <x:is>
          <x:t xml:space="preserve">欲上民，必以言下之；欲先民，必以身後之。</x:t>
        </x:is>
      </x:c>
      <x:c r="O256" s="81" t="inlineStr">
        <x:is>
          <x:t xml:space="preserve">Classical Chinese (文言文)</x:t>
        </x:is>
      </x:c>
      <x:c r="P256" s="81" t="inlineStr">
        <x:is>
          <x:t xml:space="preserve">Muốn dẫn dắt người khác, lời nói cần biết hạ xuống; muốn đi trước, bản thân cần biết đứng sau.</x:t>
        </x:is>
      </x:c>
      <x:c r="Q256" s="81" t="inlineStr">
        <x:is>
          <x:t xml:space="preserve">Laozi / 老子</x:t>
        </x:is>
      </x:c>
      <x:c r="R256" s="81" t="inlineStr">
        <x:is>
          <x:t xml:space="preserve">Taoism</x:t>
        </x:is>
      </x:c>
      <x:c r="S256" s="81" t="inlineStr">
        <x:is>
          <x:t xml:space="preserve">道德經 / Tao Te Ching</x:t>
        </x:is>
      </x:c>
      <x:c r="T256" s="81" t="inlineStr">
        <x:is>
          <x:t xml:space="preserve">Chapter 66</x:t>
        </x:is>
      </x:c>
      <x:c r="U256" s="81" t="inlineStr">
        <x:is>
          <x:t xml:space="preserve">https://zh.wikisource.org/zh-hant/%E9%81%93%E5%BE%B7%E7%B6%93_(%E7%8E%8B%E5%BC%BC%E6%9C%AC)</x:t>
        </x:is>
      </x:c>
      <x:c r="V256" s="81" t="inlineStr">
        <x:is>
          <x:t xml:space="preserve">Primary text</x:t>
        </x:is>
      </x:c>
      <x:c r="W256" s="81" t="inlineStr">
        <x:is>
          <x:t xml:space="preserve">Working translation</x:t>
        </x:is>
      </x:c>
      <x:c r="X256" s="81" t="inlineStr">
        <x:is>
          <x:t xml:space="preserve">A - Primary source</x:t>
        </x:is>
      </x:c>
      <x:c r="Y256" s="81" t="inlineStr">
        <x:is>
          <x:t xml:space="preserve">Original Chinese checked against Wang Bi recension on Chinese Wikisource. Vietnamese is Selflo working translation, not a published translation.</x:t>
        </x:is>
      </x:c>
      <x:c r="Z256" s="81" t="inlineStr">
        <x:is>
          <x:t xml:space="preserve">Public domain / likely</x:t>
        </x:is>
      </x:c>
      <x:c r="AA256" s="81" t="inlineStr">
        <x:is>
          <x:t xml:space="preserve">Ancient source text; verify edition/jurisdiction before commercial publication.</x:t>
        </x:is>
      </x:c>
      <x:c r="AB256" s="81" t="inlineStr">
        <x:is>
          <x:t xml:space="preserve">High</x:t>
        </x:is>
      </x:c>
      <x:c r="AC256" s="81" t="inlineStr">
        <x:is>
          <x:t xml:space="preserve">Strong.</x:t>
        </x:is>
      </x:c>
      <x:c r="AD256" s="81" t="inlineStr">
        <x:is>
          <x:t xml:space="preserve">Needs editorial review</x:t>
        </x:is>
      </x:c>
      <x:c r="AE256" s="81" t="inlineStr">
        <x:is>
          <x:t xml:space="preserve">Needs semantic dedupe review</x:t>
        </x:is>
      </x:c>
      <x:c r="AF256" s="81" t="str"/>
      <x:c r="AG256" s="81" t="str"/>
      <x:c r="AH256" s="81" t="inlineStr">
        <x:is>
          <x:t xml:space="preserve">No</x:t>
        </x:is>
      </x:c>
      <x:c r="AI256" s="81" t="inlineStr">
        <x:is>
          <x:t xml:space="preserve">Not reviewed</x:t>
        </x:is>
      </x:c>
      <x:c r="AJ256" s="81" t="inlineStr">
        <x:is>
          <x:t xml:space="preserve">Research only</x:t>
        </x:is>
      </x:c>
      <x:c r="AK256" s="81" t="inlineStr">
        <x:is>
          <x:t xml:space="preserve">Research Pool</x:t>
        </x:is>
      </x:c>
      <x:c r="AL256" s="81" t="n">
        <x:v>3</x:v>
      </x:c>
      <x:c r="AM256" s="81" t="inlineStr">
        <x:is>
          <x:t xml:space="preserve">ChatGPT research</x:t>
        </x:is>
      </x:c>
      <x:c r="AN256" s="81" t="inlineStr">
        <x:is>
          <x:t xml:space="preserve">2026-09-18</x:t>
        </x:is>
      </x:c>
      <x:c r="AO256" s="81" t="inlineStr">
        <x:is>
          <x:t xml:space="preserve">Day 3 full-scope audit, chapters 51–81.</x:t>
        </x:is>
      </x:c>
    </x:row>
    <x:row r="257">
      <x:c r="A257" s="81" t="inlineStr">
        <x:is>
          <x:t xml:space="preserve">research.laozi.day3.ch66.075</x:t>
        </x:is>
      </x:c>
      <x:c r="B257" s="81" t="inlineStr">
        <x:is>
          <x:t xml:space="preserve">Collected</x:t>
        </x:is>
      </x:c>
      <x:c r="C257" s="81" t="inlineStr">
        <x:is>
          <x:t xml:space="preserve">Công việc &amp; mục đích</x:t>
        </x:is>
      </x:c>
      <x:c r="D257" s="81" t="inlineStr">
        <x:is>
          <x:t xml:space="preserve">Day 3 / Laozi 51–81</x:t>
        </x:is>
      </x:c>
      <x:c r="E257" s="81" t="str"/>
      <x:c r="F257" s="81" t="inlineStr">
        <x:is>
          <x:t xml:space="preserve">Ảnh hưởng tốt không làm người khác mất không gian</x:t>
        </x:is>
      </x:c>
      <x:c r="G257" s="81" t="inlineStr">
        <x:is>
          <x:t xml:space="preserve">Leadership</x:t>
        </x:is>
      </x:c>
      <x:c r="H257" s="81" t="str"/>
      <x:c r="I257" s="81" t="str"/>
      <x:c r="J257" s="81" t="str"/>
      <x:c r="K257" s="81" t="inlineStr">
        <x:is>
          <x:t xml:space="preserve">Return agency</x:t>
        </x:is>
      </x:c>
      <x:c r="L257" s="81" t="inlineStr">
        <x:is>
          <x:t xml:space="preserve">Distinguish</x:t>
        </x:is>
      </x:c>
      <x:c r="M257" s="81" t="inlineStr">
        <x:is>
          <x:t xml:space="preserve">Trích đoạn triết học</x:t>
        </x:is>
      </x:c>
      <x:c r="N257" s="81" t="inlineStr">
        <x:is>
          <x:t xml:space="preserve">處上而民不重，處前而民不害。</x:t>
        </x:is>
      </x:c>
      <x:c r="O257" s="81" t="inlineStr">
        <x:is>
          <x:t xml:space="preserve">Classical Chinese (文言文)</x:t>
        </x:is>
      </x:c>
      <x:c r="P257" s="81" t="inlineStr">
        <x:is>
          <x:t xml:space="preserve">Ở trên mà người khác không thấy nặng; ở trước mà họ không thấy bị hại.</x:t>
        </x:is>
      </x:c>
      <x:c r="Q257" s="81" t="inlineStr">
        <x:is>
          <x:t xml:space="preserve">Laozi / 老子</x:t>
        </x:is>
      </x:c>
      <x:c r="R257" s="81" t="inlineStr">
        <x:is>
          <x:t xml:space="preserve">Taoism</x:t>
        </x:is>
      </x:c>
      <x:c r="S257" s="81" t="inlineStr">
        <x:is>
          <x:t xml:space="preserve">道德經 / Tao Te Ching</x:t>
        </x:is>
      </x:c>
      <x:c r="T257" s="81" t="inlineStr">
        <x:is>
          <x:t xml:space="preserve">Chapter 66</x:t>
        </x:is>
      </x:c>
      <x:c r="U257" s="81" t="inlineStr">
        <x:is>
          <x:t xml:space="preserve">https://zh.wikisource.org/zh-hant/%E9%81%93%E5%BE%B7%E7%B6%93_(%E7%8E%8B%E5%BC%BC%E6%9C%AC)</x:t>
        </x:is>
      </x:c>
      <x:c r="V257" s="81" t="inlineStr">
        <x:is>
          <x:t xml:space="preserve">Primary text</x:t>
        </x:is>
      </x:c>
      <x:c r="W257" s="81" t="inlineStr">
        <x:is>
          <x:t xml:space="preserve">Working translation</x:t>
        </x:is>
      </x:c>
      <x:c r="X257" s="81" t="inlineStr">
        <x:is>
          <x:t xml:space="preserve">A - Primary source</x:t>
        </x:is>
      </x:c>
      <x:c r="Y257" s="81" t="inlineStr">
        <x:is>
          <x:t xml:space="preserve">Original Chinese checked against Wang Bi recension on Chinese Wikisource. Vietnamese is Selflo working translation, not a published translation.</x:t>
        </x:is>
      </x:c>
      <x:c r="Z257" s="81" t="inlineStr">
        <x:is>
          <x:t xml:space="preserve">Public domain / likely</x:t>
        </x:is>
      </x:c>
      <x:c r="AA257" s="81" t="inlineStr">
        <x:is>
          <x:t xml:space="preserve">Ancient source text; verify edition/jurisdiction before commercial publication.</x:t>
        </x:is>
      </x:c>
      <x:c r="AB257" s="81" t="inlineStr">
        <x:is>
          <x:t xml:space="preserve">High</x:t>
        </x:is>
      </x:c>
      <x:c r="AC257" s="81" t="inlineStr">
        <x:is>
          <x:t xml:space="preserve">Core.</x:t>
        </x:is>
      </x:c>
      <x:c r="AD257" s="81" t="inlineStr">
        <x:is>
          <x:t xml:space="preserve">Needs editorial review</x:t>
        </x:is>
      </x:c>
      <x:c r="AE257" s="81" t="inlineStr">
        <x:is>
          <x:t xml:space="preserve">Needs semantic dedupe review</x:t>
        </x:is>
      </x:c>
      <x:c r="AF257" s="81" t="str"/>
      <x:c r="AG257" s="81" t="str"/>
      <x:c r="AH257" s="81" t="inlineStr">
        <x:is>
          <x:t xml:space="preserve">No</x:t>
        </x:is>
      </x:c>
      <x:c r="AI257" s="81" t="inlineStr">
        <x:is>
          <x:t xml:space="preserve">Not reviewed</x:t>
        </x:is>
      </x:c>
      <x:c r="AJ257" s="81" t="inlineStr">
        <x:is>
          <x:t xml:space="preserve">Research only</x:t>
        </x:is>
      </x:c>
      <x:c r="AK257" s="81" t="inlineStr">
        <x:is>
          <x:t xml:space="preserve">Research Pool</x:t>
        </x:is>
      </x:c>
      <x:c r="AL257" s="81" t="n">
        <x:v>3</x:v>
      </x:c>
      <x:c r="AM257" s="81" t="inlineStr">
        <x:is>
          <x:t xml:space="preserve">ChatGPT research</x:t>
        </x:is>
      </x:c>
      <x:c r="AN257" s="81" t="inlineStr">
        <x:is>
          <x:t xml:space="preserve">2026-09-18</x:t>
        </x:is>
      </x:c>
      <x:c r="AO257" s="81" t="inlineStr">
        <x:is>
          <x:t xml:space="preserve">Day 3 full-scope audit, chapters 51–81.</x:t>
        </x:is>
      </x:c>
    </x:row>
    <x:row r="258">
      <x:c r="A258" s="81" t="inlineStr">
        <x:is>
          <x:t xml:space="preserve">research.laozi.day3.ch66.076</x:t>
        </x:is>
      </x:c>
      <x:c r="B258" s="81" t="inlineStr">
        <x:is>
          <x:t xml:space="preserve">Collected</x:t>
        </x:is>
      </x:c>
      <x:c r="C258" s="81" t="inlineStr">
        <x:is>
          <x:t xml:space="preserve">Nội tâm &amp; hiểu mình</x:t>
        </x:is>
      </x:c>
      <x:c r="D258" s="81" t="inlineStr">
        <x:is>
          <x:t xml:space="preserve">Day 3 / Laozi 51–81</x:t>
        </x:is>
      </x:c>
      <x:c r="E258" s="81" t="str"/>
      <x:c r="F258" s="81" t="inlineStr">
        <x:is>
          <x:t xml:space="preserve">Không mọi giá trị cần cạnh tranh</x:t>
        </x:is>
      </x:c>
      <x:c r="G258" s="81" t="inlineStr">
        <x:is>
          <x:t xml:space="preserve">Comparison</x:t>
        </x:is>
      </x:c>
      <x:c r="H258" s="81" t="str"/>
      <x:c r="I258" s="81" t="str"/>
      <x:c r="J258" s="81" t="str"/>
      <x:c r="K258" s="81" t="inlineStr">
        <x:is>
          <x:t xml:space="preserve">Distinguish</x:t>
        </x:is>
      </x:c>
      <x:c r="L258" s="81" t="inlineStr">
        <x:is>
          <x:t xml:space="preserve">Recognize</x:t>
        </x:is>
      </x:c>
      <x:c r="M258" s="81" t="inlineStr">
        <x:is>
          <x:t xml:space="preserve">Trích đoạn triết học</x:t>
        </x:is>
      </x:c>
      <x:c r="N258" s="81" t="inlineStr">
        <x:is>
          <x:t xml:space="preserve">以其不爭，故天下莫能與之爭。</x:t>
        </x:is>
      </x:c>
      <x:c r="O258" s="81" t="inlineStr">
        <x:is>
          <x:t xml:space="preserve">Classical Chinese (文言文)</x:t>
        </x:is>
      </x:c>
      <x:c r="P258" s="81" t="inlineStr">
        <x:is>
          <x:t xml:space="preserve">Vì không biến mọi thứ thành tranh hơn-thua nên khó bị kéo vào cuộc tranh ấy.</x:t>
        </x:is>
      </x:c>
      <x:c r="Q258" s="81" t="inlineStr">
        <x:is>
          <x:t xml:space="preserve">Laozi / 老子</x:t>
        </x:is>
      </x:c>
      <x:c r="R258" s="81" t="inlineStr">
        <x:is>
          <x:t xml:space="preserve">Taoism</x:t>
        </x:is>
      </x:c>
      <x:c r="S258" s="81" t="inlineStr">
        <x:is>
          <x:t xml:space="preserve">道德經 / Tao Te Ching</x:t>
        </x:is>
      </x:c>
      <x:c r="T258" s="81" t="inlineStr">
        <x:is>
          <x:t xml:space="preserve">Chapter 66</x:t>
        </x:is>
      </x:c>
      <x:c r="U258" s="81" t="inlineStr">
        <x:is>
          <x:t xml:space="preserve">https://zh.wikisource.org/zh-hant/%E9%81%93%E5%BE%B7%E7%B6%93_(%E7%8E%8B%E5%BC%BC%E6%9C%AC)</x:t>
        </x:is>
      </x:c>
      <x:c r="V258" s="81" t="inlineStr">
        <x:is>
          <x:t xml:space="preserve">Primary text</x:t>
        </x:is>
      </x:c>
      <x:c r="W258" s="81" t="inlineStr">
        <x:is>
          <x:t xml:space="preserve">Working translation</x:t>
        </x:is>
      </x:c>
      <x:c r="X258" s="81" t="inlineStr">
        <x:is>
          <x:t xml:space="preserve">A - Primary source</x:t>
        </x:is>
      </x:c>
      <x:c r="Y258" s="81" t="inlineStr">
        <x:is>
          <x:t xml:space="preserve">Original Chinese checked against Wang Bi recension on Chinese Wikisource. Vietnamese is Selflo working translation, not a published translation.</x:t>
        </x:is>
      </x:c>
      <x:c r="Z258" s="81" t="inlineStr">
        <x:is>
          <x:t xml:space="preserve">Public domain / likely</x:t>
        </x:is>
      </x:c>
      <x:c r="AA258" s="81" t="inlineStr">
        <x:is>
          <x:t xml:space="preserve">Ancient source text; verify edition/jurisdiction before commercial publication.</x:t>
        </x:is>
      </x:c>
      <x:c r="AB258" s="81" t="inlineStr">
        <x:is>
          <x:t xml:space="preserve">High</x:t>
        </x:is>
      </x:c>
      <x:c r="AC258" s="81" t="inlineStr">
        <x:is>
          <x:t xml:space="preserve">Dedupe.</x:t>
        </x:is>
      </x:c>
      <x:c r="AD258" s="81" t="inlineStr">
        <x:is>
          <x:t xml:space="preserve">Needs editorial review</x:t>
        </x:is>
      </x:c>
      <x:c r="AE258" s="81" t="inlineStr">
        <x:is>
          <x:t xml:space="preserve">Needs semantic dedupe review</x:t>
        </x:is>
      </x:c>
      <x:c r="AF258" s="81" t="str"/>
      <x:c r="AG258" s="81" t="str"/>
      <x:c r="AH258" s="81" t="inlineStr">
        <x:is>
          <x:t xml:space="preserve">No</x:t>
        </x:is>
      </x:c>
      <x:c r="AI258" s="81" t="inlineStr">
        <x:is>
          <x:t xml:space="preserve">Not reviewed</x:t>
        </x:is>
      </x:c>
      <x:c r="AJ258" s="81" t="inlineStr">
        <x:is>
          <x:t xml:space="preserve">Research only</x:t>
        </x:is>
      </x:c>
      <x:c r="AK258" s="81" t="inlineStr">
        <x:is>
          <x:t xml:space="preserve">Research Pool</x:t>
        </x:is>
      </x:c>
      <x:c r="AL258" s="81" t="n">
        <x:v>3</x:v>
      </x:c>
      <x:c r="AM258" s="81" t="inlineStr">
        <x:is>
          <x:t xml:space="preserve">ChatGPT research</x:t>
        </x:is>
      </x:c>
      <x:c r="AN258" s="81" t="inlineStr">
        <x:is>
          <x:t xml:space="preserve">2026-09-18</x:t>
        </x:is>
      </x:c>
      <x:c r="AO258" s="81" t="inlineStr">
        <x:is>
          <x:t xml:space="preserve">Day 3 full-scope audit, chapters 51–81.</x:t>
        </x:is>
      </x:c>
    </x:row>
    <x:row r="259">
      <x:c r="A259" s="81" t="inlineStr">
        <x:is>
          <x:t xml:space="preserve">research.laozi.day3.ch67.077</x:t>
        </x:is>
      </x:c>
      <x:c r="B259" s="81" t="inlineStr">
        <x:is>
          <x:t xml:space="preserve">Collected</x:t>
        </x:is>
      </x:c>
      <x:c r="C259" s="81" t="inlineStr">
        <x:is>
          <x:t xml:space="preserve">Nội tâm &amp; hiểu mình</x:t>
        </x:is>
      </x:c>
      <x:c r="D259" s="81" t="inlineStr">
        <x:is>
          <x:t xml:space="preserve">Day 3 / Laozi 51–81</x:t>
        </x:is>
      </x:c>
      <x:c r="E259" s="81" t="str"/>
      <x:c r="F259" s="81" t="inlineStr">
        <x:is>
          <x:t xml:space="preserve">Ba nền: từ ái, tiết chế, không tranh đứng đầu</x:t>
        </x:is>
      </x:c>
      <x:c r="G259" s="81" t="inlineStr">
        <x:is>
          <x:t xml:space="preserve">Values</x:t>
        </x:is>
      </x:c>
      <x:c r="H259" s="81" t="str"/>
      <x:c r="I259" s="81" t="str"/>
      <x:c r="J259" s="81" t="str"/>
      <x:c r="K259" s="81" t="inlineStr">
        <x:is>
          <x:t xml:space="preserve">Recognize</x:t>
        </x:is>
      </x:c>
      <x:c r="L259" s="81" t="inlineStr">
        <x:is>
          <x:t xml:space="preserve">Distinguish</x:t>
        </x:is>
      </x:c>
      <x:c r="M259" s="81" t="inlineStr">
        <x:is>
          <x:t xml:space="preserve">Trích đoạn triết học</x:t>
        </x:is>
      </x:c>
      <x:c r="N259" s="81" t="inlineStr">
        <x:is>
          <x:t xml:space="preserve">我有三寶，持而保之：一曰慈，二曰儉，三曰不敢為天下先。</x:t>
        </x:is>
      </x:c>
      <x:c r="O259" s="81" t="inlineStr">
        <x:is>
          <x:t xml:space="preserve">Classical Chinese (文言文)</x:t>
        </x:is>
      </x:c>
      <x:c r="P259" s="81" t="inlineStr">
        <x:is>
          <x:t xml:space="preserve">Văn bản nêu ba điều quý: lòng từ, tiết chế và không vội đặt mình lên trước.</x:t>
        </x:is>
      </x:c>
      <x:c r="Q259" s="81" t="inlineStr">
        <x:is>
          <x:t xml:space="preserve">Laozi / 老子</x:t>
        </x:is>
      </x:c>
      <x:c r="R259" s="81" t="inlineStr">
        <x:is>
          <x:t xml:space="preserve">Taoism</x:t>
        </x:is>
      </x:c>
      <x:c r="S259" s="81" t="inlineStr">
        <x:is>
          <x:t xml:space="preserve">道德經 / Tao Te Ching</x:t>
        </x:is>
      </x:c>
      <x:c r="T259" s="81" t="inlineStr">
        <x:is>
          <x:t xml:space="preserve">Chapter 67</x:t>
        </x:is>
      </x:c>
      <x:c r="U259" s="81" t="inlineStr">
        <x:is>
          <x:t xml:space="preserve">https://zh.wikisource.org/zh-hant/%E9%81%93%E5%BE%B7%E7%B6%93_(%E7%8E%8B%E5%BC%BC%E6%9C%AC)</x:t>
        </x:is>
      </x:c>
      <x:c r="V259" s="81" t="inlineStr">
        <x:is>
          <x:t xml:space="preserve">Primary text</x:t>
        </x:is>
      </x:c>
      <x:c r="W259" s="81" t="inlineStr">
        <x:is>
          <x:t xml:space="preserve">Working translation</x:t>
        </x:is>
      </x:c>
      <x:c r="X259" s="81" t="inlineStr">
        <x:is>
          <x:t xml:space="preserve">A - Primary source</x:t>
        </x:is>
      </x:c>
      <x:c r="Y259" s="81" t="inlineStr">
        <x:is>
          <x:t xml:space="preserve">Original Chinese checked against Wang Bi recension on Chinese Wikisource. Vietnamese is Selflo working translation, not a published translation.</x:t>
        </x:is>
      </x:c>
      <x:c r="Z259" s="81" t="inlineStr">
        <x:is>
          <x:t xml:space="preserve">Public domain / likely</x:t>
        </x:is>
      </x:c>
      <x:c r="AA259" s="81" t="inlineStr">
        <x:is>
          <x:t xml:space="preserve">Ancient source text; verify edition/jurisdiction before commercial publication.</x:t>
        </x:is>
      </x:c>
      <x:c r="AB259" s="81" t="inlineStr">
        <x:is>
          <x:t xml:space="preserve">High</x:t>
        </x:is>
      </x:c>
      <x:c r="AC259" s="81" t="inlineStr">
        <x:is>
          <x:t xml:space="preserve">Important.</x:t>
        </x:is>
      </x:c>
      <x:c r="AD259" s="81" t="inlineStr">
        <x:is>
          <x:t xml:space="preserve">Needs editorial review</x:t>
        </x:is>
      </x:c>
      <x:c r="AE259" s="81" t="inlineStr">
        <x:is>
          <x:t xml:space="preserve">Needs semantic dedupe review</x:t>
        </x:is>
      </x:c>
      <x:c r="AF259" s="81" t="str"/>
      <x:c r="AG259" s="81" t="str"/>
      <x:c r="AH259" s="81" t="inlineStr">
        <x:is>
          <x:t xml:space="preserve">No</x:t>
        </x:is>
      </x:c>
      <x:c r="AI259" s="81" t="inlineStr">
        <x:is>
          <x:t xml:space="preserve">Not reviewed</x:t>
        </x:is>
      </x:c>
      <x:c r="AJ259" s="81" t="inlineStr">
        <x:is>
          <x:t xml:space="preserve">Research only</x:t>
        </x:is>
      </x:c>
      <x:c r="AK259" s="81" t="inlineStr">
        <x:is>
          <x:t xml:space="preserve">Research Pool</x:t>
        </x:is>
      </x:c>
      <x:c r="AL259" s="81" t="n">
        <x:v>3</x:v>
      </x:c>
      <x:c r="AM259" s="81" t="inlineStr">
        <x:is>
          <x:t xml:space="preserve">ChatGPT research</x:t>
        </x:is>
      </x:c>
      <x:c r="AN259" s="81" t="inlineStr">
        <x:is>
          <x:t xml:space="preserve">2026-09-18</x:t>
        </x:is>
      </x:c>
      <x:c r="AO259" s="81" t="inlineStr">
        <x:is>
          <x:t xml:space="preserve">Day 3 full-scope audit, chapters 51–81.</x:t>
        </x:is>
      </x:c>
    </x:row>
    <x:row r="260">
      <x:c r="A260" s="81" t="inlineStr">
        <x:is>
          <x:t xml:space="preserve">research.laozi.day3.ch67.078</x:t>
        </x:is>
      </x:c>
      <x:c r="B260" s="81" t="inlineStr">
        <x:is>
          <x:t xml:space="preserve">Collected</x:t>
        </x:is>
      </x:c>
      <x:c r="C260" s="81" t="inlineStr">
        <x:is>
          <x:t xml:space="preserve">Nội tâm &amp; hiểu mình</x:t>
        </x:is>
      </x:c>
      <x:c r="D260" s="81" t="inlineStr">
        <x:is>
          <x:t xml:space="preserve">Day 3 / Laozi 51–81</x:t>
        </x:is>
      </x:c>
      <x:c r="E260" s="81" t="str"/>
      <x:c r="F260" s="81" t="inlineStr">
        <x:is>
          <x:t xml:space="preserve">Sức mạnh có thể mọc từ từ ái và tiết chế</x:t>
        </x:is>
      </x:c>
      <x:c r="G260" s="81" t="inlineStr">
        <x:is>
          <x:t xml:space="preserve">Strength</x:t>
        </x:is>
      </x:c>
      <x:c r="H260" s="81" t="str"/>
      <x:c r="I260" s="81" t="str"/>
      <x:c r="J260" s="81" t="str"/>
      <x:c r="K260" s="81" t="inlineStr">
        <x:is>
          <x:t xml:space="preserve">Reframe</x:t>
        </x:is>
      </x:c>
      <x:c r="L260" s="81" t="inlineStr">
        <x:is>
          <x:t xml:space="preserve">Distinguish</x:t>
        </x:is>
      </x:c>
      <x:c r="M260" s="81" t="inlineStr">
        <x:is>
          <x:t xml:space="preserve">Trích đoạn triết học</x:t>
        </x:is>
      </x:c>
      <x:c r="N260" s="81" t="inlineStr">
        <x:is>
          <x:t xml:space="preserve">慈故能勇，儉故能廣，不敢為天下先，故能成器長。</x:t>
        </x:is>
      </x:c>
      <x:c r="O260" s="81" t="inlineStr">
        <x:is>
          <x:t xml:space="preserve">Classical Chinese (文言文)</x:t>
        </x:is>
      </x:c>
      <x:c r="P260" s="81" t="inlineStr">
        <x:is>
          <x:t xml:space="preserve">Từ ái có thể sinh dũng khí; tiết chế tạo độ rộng; không tranh đứng đầu tạo khả năng dẫn dắt.</x:t>
        </x:is>
      </x:c>
      <x:c r="Q260" s="81" t="inlineStr">
        <x:is>
          <x:t xml:space="preserve">Laozi / 老子</x:t>
        </x:is>
      </x:c>
      <x:c r="R260" s="81" t="inlineStr">
        <x:is>
          <x:t xml:space="preserve">Taoism</x:t>
        </x:is>
      </x:c>
      <x:c r="S260" s="81" t="inlineStr">
        <x:is>
          <x:t xml:space="preserve">道德經 / Tao Te Ching</x:t>
        </x:is>
      </x:c>
      <x:c r="T260" s="81" t="inlineStr">
        <x:is>
          <x:t xml:space="preserve">Chapter 67</x:t>
        </x:is>
      </x:c>
      <x:c r="U260" s="81" t="inlineStr">
        <x:is>
          <x:t xml:space="preserve">https://zh.wikisource.org/zh-hant/%E9%81%93%E5%BE%B7%E7%B6%93_(%E7%8E%8B%E5%BC%BC%E6%9C%AC)</x:t>
        </x:is>
      </x:c>
      <x:c r="V260" s="81" t="inlineStr">
        <x:is>
          <x:t xml:space="preserve">Primary text</x:t>
        </x:is>
      </x:c>
      <x:c r="W260" s="81" t="inlineStr">
        <x:is>
          <x:t xml:space="preserve">Working translation</x:t>
        </x:is>
      </x:c>
      <x:c r="X260" s="81" t="inlineStr">
        <x:is>
          <x:t xml:space="preserve">A - Primary source</x:t>
        </x:is>
      </x:c>
      <x:c r="Y260" s="81" t="inlineStr">
        <x:is>
          <x:t xml:space="preserve">Original Chinese checked against Wang Bi recension on Chinese Wikisource. Vietnamese is Selflo working translation, not a published translation.</x:t>
        </x:is>
      </x:c>
      <x:c r="Z260" s="81" t="inlineStr">
        <x:is>
          <x:t xml:space="preserve">Public domain / likely</x:t>
        </x:is>
      </x:c>
      <x:c r="AA260" s="81" t="inlineStr">
        <x:is>
          <x:t xml:space="preserve">Ancient source text; verify edition/jurisdiction before commercial publication.</x:t>
        </x:is>
      </x:c>
      <x:c r="AB260" s="81" t="inlineStr">
        <x:is>
          <x:t xml:space="preserve">High</x:t>
        </x:is>
      </x:c>
      <x:c r="AC260" s="81" t="inlineStr">
        <x:is>
          <x:t xml:space="preserve">Strong.</x:t>
        </x:is>
      </x:c>
      <x:c r="AD260" s="81" t="inlineStr">
        <x:is>
          <x:t xml:space="preserve">Needs editorial review</x:t>
        </x:is>
      </x:c>
      <x:c r="AE260" s="81" t="inlineStr">
        <x:is>
          <x:t xml:space="preserve">Needs semantic dedupe review</x:t>
        </x:is>
      </x:c>
      <x:c r="AF260" s="81" t="str"/>
      <x:c r="AG260" s="81" t="str"/>
      <x:c r="AH260" s="81" t="inlineStr">
        <x:is>
          <x:t xml:space="preserve">No</x:t>
        </x:is>
      </x:c>
      <x:c r="AI260" s="81" t="inlineStr">
        <x:is>
          <x:t xml:space="preserve">Not reviewed</x:t>
        </x:is>
      </x:c>
      <x:c r="AJ260" s="81" t="inlineStr">
        <x:is>
          <x:t xml:space="preserve">Research only</x:t>
        </x:is>
      </x:c>
      <x:c r="AK260" s="81" t="inlineStr">
        <x:is>
          <x:t xml:space="preserve">Research Pool</x:t>
        </x:is>
      </x:c>
      <x:c r="AL260" s="81" t="n">
        <x:v>3</x:v>
      </x:c>
      <x:c r="AM260" s="81" t="inlineStr">
        <x:is>
          <x:t xml:space="preserve">ChatGPT research</x:t>
        </x:is>
      </x:c>
      <x:c r="AN260" s="81" t="inlineStr">
        <x:is>
          <x:t xml:space="preserve">2026-09-18</x:t>
        </x:is>
      </x:c>
      <x:c r="AO260" s="81" t="inlineStr">
        <x:is>
          <x:t xml:space="preserve">Day 3 full-scope audit, chapters 51–81.</x:t>
        </x:is>
      </x:c>
    </x:row>
    <x:row r="261">
      <x:c r="A261" s="81" t="inlineStr">
        <x:is>
          <x:t xml:space="preserve">research.laozi.day3.ch67.079</x:t>
        </x:is>
      </x:c>
      <x:c r="B261" s="81" t="inlineStr">
        <x:is>
          <x:t xml:space="preserve">Collected</x:t>
        </x:is>
      </x:c>
      <x:c r="C261" s="81" t="inlineStr">
        <x:is>
          <x:t xml:space="preserve">Nghỉ ngơi &amp; sức khỏe tinh thần</x:t>
        </x:is>
      </x:c>
      <x:c r="D261" s="81" t="inlineStr">
        <x:is>
          <x:t xml:space="preserve">Day 3 / Laozi 51–81</x:t>
        </x:is>
      </x:c>
      <x:c r="E261" s="81" t="str"/>
      <x:c r="F261" s="81" t="inlineStr">
        <x:is>
          <x:t xml:space="preserve">Tăng sức mạnh mà bỏ nền có thể phản tác dụng</x:t>
        </x:is>
      </x:c>
      <x:c r="G261" s="81" t="inlineStr">
        <x:is>
          <x:t xml:space="preserve">Limits</x:t>
        </x:is>
      </x:c>
      <x:c r="H261" s="81" t="str"/>
      <x:c r="I261" s="81" t="str"/>
      <x:c r="J261" s="81" t="str"/>
      <x:c r="K261" s="81" t="inlineStr">
        <x:is>
          <x:t xml:space="preserve">Distinguish</x:t>
        </x:is>
      </x:c>
      <x:c r="L261" s="81" t="inlineStr">
        <x:is>
          <x:t xml:space="preserve">Recognize</x:t>
        </x:is>
      </x:c>
      <x:c r="M261" s="81" t="inlineStr">
        <x:is>
          <x:t xml:space="preserve">Trích đoạn triết học</x:t>
        </x:is>
      </x:c>
      <x:c r="N261" s="81" t="inlineStr">
        <x:is>
          <x:t xml:space="preserve">今舍慈且勇，舍儉且廣，舍後且先，死矣。</x:t>
        </x:is>
      </x:c>
      <x:c r="O261" s="81" t="inlineStr">
        <x:is>
          <x:t xml:space="preserve">Classical Chinese (文言文)</x:t>
        </x:is>
      </x:c>
      <x:c r="P261" s="81" t="inlineStr">
        <x:is>
          <x:t xml:space="preserve">Bỏ lòng từ mà chỉ giữ sự gan lì, bỏ tiết chế mà chỉ muốn mở rộng, bỏ phía sau mà chỉ tranh phía trước — văn bản xem đó là con đường tự phá.</x:t>
        </x:is>
      </x:c>
      <x:c r="Q261" s="81" t="inlineStr">
        <x:is>
          <x:t xml:space="preserve">Laozi / 老子</x:t>
        </x:is>
      </x:c>
      <x:c r="R261" s="81" t="inlineStr">
        <x:is>
          <x:t xml:space="preserve">Taoism</x:t>
        </x:is>
      </x:c>
      <x:c r="S261" s="81" t="inlineStr">
        <x:is>
          <x:t xml:space="preserve">道德經 / Tao Te Ching</x:t>
        </x:is>
      </x:c>
      <x:c r="T261" s="81" t="inlineStr">
        <x:is>
          <x:t xml:space="preserve">Chapter 67</x:t>
        </x:is>
      </x:c>
      <x:c r="U261" s="81" t="inlineStr">
        <x:is>
          <x:t xml:space="preserve">https://zh.wikisource.org/zh-hant/%E9%81%93%E5%BE%B7%E7%B6%93_(%E7%8E%8B%E5%BC%BC%E6%9C%AC)</x:t>
        </x:is>
      </x:c>
      <x:c r="V261" s="81" t="inlineStr">
        <x:is>
          <x:t xml:space="preserve">Primary text</x:t>
        </x:is>
      </x:c>
      <x:c r="W261" s="81" t="inlineStr">
        <x:is>
          <x:t xml:space="preserve">Working translation</x:t>
        </x:is>
      </x:c>
      <x:c r="X261" s="81" t="inlineStr">
        <x:is>
          <x:t xml:space="preserve">A - Primary source</x:t>
        </x:is>
      </x:c>
      <x:c r="Y261" s="81" t="inlineStr">
        <x:is>
          <x:t xml:space="preserve">Original Chinese checked against Wang Bi recension on Chinese Wikisource. Vietnamese is Selflo working translation, not a published translation.</x:t>
        </x:is>
      </x:c>
      <x:c r="Z261" s="81" t="inlineStr">
        <x:is>
          <x:t xml:space="preserve">Public domain / likely</x:t>
        </x:is>
      </x:c>
      <x:c r="AA261" s="81" t="inlineStr">
        <x:is>
          <x:t xml:space="preserve">Ancient source text; verify edition/jurisdiction before commercial publication.</x:t>
        </x:is>
      </x:c>
      <x:c r="AB261" s="81" t="inlineStr">
        <x:is>
          <x:t xml:space="preserve">High</x:t>
        </x:is>
      </x:c>
      <x:c r="AC261" s="81" t="inlineStr">
        <x:is>
          <x:t xml:space="preserve">Strong.</x:t>
        </x:is>
      </x:c>
      <x:c r="AD261" s="81" t="inlineStr">
        <x:is>
          <x:t xml:space="preserve">Needs editorial review</x:t>
        </x:is>
      </x:c>
      <x:c r="AE261" s="81" t="inlineStr">
        <x:is>
          <x:t xml:space="preserve">Needs semantic dedupe review</x:t>
        </x:is>
      </x:c>
      <x:c r="AF261" s="81" t="str"/>
      <x:c r="AG261" s="81" t="str"/>
      <x:c r="AH261" s="81" t="inlineStr">
        <x:is>
          <x:t xml:space="preserve">No</x:t>
        </x:is>
      </x:c>
      <x:c r="AI261" s="81" t="inlineStr">
        <x:is>
          <x:t xml:space="preserve">Not reviewed</x:t>
        </x:is>
      </x:c>
      <x:c r="AJ261" s="81" t="inlineStr">
        <x:is>
          <x:t xml:space="preserve">Research only</x:t>
        </x:is>
      </x:c>
      <x:c r="AK261" s="81" t="inlineStr">
        <x:is>
          <x:t xml:space="preserve">Research Pool</x:t>
        </x:is>
      </x:c>
      <x:c r="AL261" s="81" t="n">
        <x:v>3</x:v>
      </x:c>
      <x:c r="AM261" s="81" t="inlineStr">
        <x:is>
          <x:t xml:space="preserve">ChatGPT research</x:t>
        </x:is>
      </x:c>
      <x:c r="AN261" s="81" t="inlineStr">
        <x:is>
          <x:t xml:space="preserve">2026-09-18</x:t>
        </x:is>
      </x:c>
      <x:c r="AO261" s="81" t="inlineStr">
        <x:is>
          <x:t xml:space="preserve">Day 3 full-scope audit, chapters 51–81.</x:t>
        </x:is>
      </x:c>
    </x:row>
    <x:row r="262">
      <x:c r="A262" s="81" t="inlineStr">
        <x:is>
          <x:t xml:space="preserve">research.laozi.day3.ch67.080</x:t>
        </x:is>
      </x:c>
      <x:c r="B262" s="81" t="inlineStr">
        <x:is>
          <x:t xml:space="preserve">Collected</x:t>
        </x:is>
      </x:c>
      <x:c r="C262" s="81" t="inlineStr">
        <x:is>
          <x:t xml:space="preserve">Quan hệ</x:t>
        </x:is>
      </x:c>
      <x:c r="D262" s="81" t="inlineStr">
        <x:is>
          <x:t xml:space="preserve">Day 3 / Laozi 51–81</x:t>
        </x:is>
      </x:c>
      <x:c r="E262" s="81" t="str"/>
      <x:c r="F262" s="81" t="inlineStr">
        <x:is>
          <x:t xml:space="preserve">Từ ái không đối lập với sức mạnh</x:t>
        </x:is>
      </x:c>
      <x:c r="G262" s="81" t="inlineStr">
        <x:is>
          <x:t xml:space="preserve">Compassion</x:t>
        </x:is>
      </x:c>
      <x:c r="H262" s="81" t="str"/>
      <x:c r="I262" s="81" t="str"/>
      <x:c r="J262" s="81" t="str"/>
      <x:c r="K262" s="81" t="inlineStr">
        <x:is>
          <x:t xml:space="preserve">Reframe</x:t>
        </x:is>
      </x:c>
      <x:c r="L262" s="81" t="inlineStr">
        <x:is>
          <x:t xml:space="preserve">Distinguish</x:t>
        </x:is>
      </x:c>
      <x:c r="M262" s="81" t="inlineStr">
        <x:is>
          <x:t xml:space="preserve">Trích đoạn triết học</x:t>
        </x:is>
      </x:c>
      <x:c r="N262" s="81" t="inlineStr">
        <x:is>
          <x:t xml:space="preserve">夫慈，以戰則勝，以守則固。</x:t>
        </x:is>
      </x:c>
      <x:c r="O262" s="81" t="inlineStr">
        <x:is>
          <x:t xml:space="preserve">Classical Chinese (文言文)</x:t>
        </x:is>
      </x:c>
      <x:c r="P262" s="81" t="inlineStr">
        <x:is>
          <x:t xml:space="preserve">Văn bản dùng hình ảnh lòng từ như thứ làm cả hành động lẫn bảo vệ trở nên vững.</x:t>
        </x:is>
      </x:c>
      <x:c r="Q262" s="81" t="inlineStr">
        <x:is>
          <x:t xml:space="preserve">Laozi / 老子</x:t>
        </x:is>
      </x:c>
      <x:c r="R262" s="81" t="inlineStr">
        <x:is>
          <x:t xml:space="preserve">Taoism</x:t>
        </x:is>
      </x:c>
      <x:c r="S262" s="81" t="inlineStr">
        <x:is>
          <x:t xml:space="preserve">道德經 / Tao Te Ching</x:t>
        </x:is>
      </x:c>
      <x:c r="T262" s="81" t="inlineStr">
        <x:is>
          <x:t xml:space="preserve">Chapter 67</x:t>
        </x:is>
      </x:c>
      <x:c r="U262" s="81" t="inlineStr">
        <x:is>
          <x:t xml:space="preserve">https://zh.wikisource.org/zh-hant/%E9%81%93%E5%BE%B7%E7%B6%93_(%E7%8E%8B%E5%BC%BC%E6%9C%AC)</x:t>
        </x:is>
      </x:c>
      <x:c r="V262" s="81" t="inlineStr">
        <x:is>
          <x:t xml:space="preserve">Primary text</x:t>
        </x:is>
      </x:c>
      <x:c r="W262" s="81" t="inlineStr">
        <x:is>
          <x:t xml:space="preserve">Working translation</x:t>
        </x:is>
      </x:c>
      <x:c r="X262" s="81" t="inlineStr">
        <x:is>
          <x:t xml:space="preserve">A - Primary source</x:t>
        </x:is>
      </x:c>
      <x:c r="Y262" s="81" t="inlineStr">
        <x:is>
          <x:t xml:space="preserve">Original Chinese checked against Wang Bi recension on Chinese Wikisource. Vietnamese is Selflo working translation, not a published translation.</x:t>
        </x:is>
      </x:c>
      <x:c r="Z262" s="81" t="inlineStr">
        <x:is>
          <x:t xml:space="preserve">Public domain / likely</x:t>
        </x:is>
      </x:c>
      <x:c r="AA262" s="81" t="inlineStr">
        <x:is>
          <x:t xml:space="preserve">Ancient source text; verify edition/jurisdiction before commercial publication.</x:t>
        </x:is>
      </x:c>
      <x:c r="AB262" s="81" t="inlineStr">
        <x:is>
          <x:t xml:space="preserve">High</x:t>
        </x:is>
      </x:c>
      <x:c r="AC262" s="81" t="inlineStr">
        <x:is>
          <x:t xml:space="preserve">War context.</x:t>
        </x:is>
      </x:c>
      <x:c r="AD262" s="81" t="inlineStr">
        <x:is>
          <x:t xml:space="preserve">Needs editorial review</x:t>
        </x:is>
      </x:c>
      <x:c r="AE262" s="81" t="inlineStr">
        <x:is>
          <x:t xml:space="preserve">Needs semantic dedupe review</x:t>
        </x:is>
      </x:c>
      <x:c r="AF262" s="81" t="str"/>
      <x:c r="AG262" s="81" t="str"/>
      <x:c r="AH262" s="81" t="inlineStr">
        <x:is>
          <x:t xml:space="preserve">No</x:t>
        </x:is>
      </x:c>
      <x:c r="AI262" s="81" t="inlineStr">
        <x:is>
          <x:t xml:space="preserve">Not reviewed</x:t>
        </x:is>
      </x:c>
      <x:c r="AJ262" s="81" t="inlineStr">
        <x:is>
          <x:t xml:space="preserve">Research only</x:t>
        </x:is>
      </x:c>
      <x:c r="AK262" s="81" t="inlineStr">
        <x:is>
          <x:t xml:space="preserve">Research Pool</x:t>
        </x:is>
      </x:c>
      <x:c r="AL262" s="81" t="n">
        <x:v>3</x:v>
      </x:c>
      <x:c r="AM262" s="81" t="inlineStr">
        <x:is>
          <x:t xml:space="preserve">ChatGPT research</x:t>
        </x:is>
      </x:c>
      <x:c r="AN262" s="81" t="inlineStr">
        <x:is>
          <x:t xml:space="preserve">2026-09-18</x:t>
        </x:is>
      </x:c>
      <x:c r="AO262" s="81" t="inlineStr">
        <x:is>
          <x:t xml:space="preserve">Day 3 full-scope audit, chapters 51–81.</x:t>
        </x:is>
      </x:c>
    </x:row>
    <x:row r="263">
      <x:c r="A263" s="81" t="inlineStr">
        <x:is>
          <x:t xml:space="preserve">research.laozi.day3.ch68.081</x:t>
        </x:is>
      </x:c>
      <x:c r="B263" s="81" t="inlineStr">
        <x:is>
          <x:t xml:space="preserve">Collected</x:t>
        </x:is>
      </x:c>
      <x:c r="C263" s="81" t="inlineStr">
        <x:is>
          <x:t xml:space="preserve">Nội tâm &amp; hiểu mình</x:t>
        </x:is>
      </x:c>
      <x:c r="D263" s="81" t="inlineStr">
        <x:is>
          <x:t xml:space="preserve">Day 3 / Laozi 51–81</x:t>
        </x:is>
      </x:c>
      <x:c r="E263" s="81" t="str"/>
      <x:c r="F263" s="81" t="inlineStr">
        <x:is>
          <x:t xml:space="preserve">Năng lực không cần được chứng minh bằng hung hăng</x:t>
        </x:is>
      </x:c>
      <x:c r="G263" s="81" t="inlineStr">
        <x:is>
          <x:t xml:space="preserve">Strength</x:t>
        </x:is>
      </x:c>
      <x:c r="H263" s="81" t="str"/>
      <x:c r="I263" s="81" t="str"/>
      <x:c r="J263" s="81" t="str"/>
      <x:c r="K263" s="81" t="inlineStr">
        <x:is>
          <x:t xml:space="preserve">Distinguish</x:t>
        </x:is>
      </x:c>
      <x:c r="L263" s="81" t="inlineStr">
        <x:is>
          <x:t xml:space="preserve">Recognize</x:t>
        </x:is>
      </x:c>
      <x:c r="M263" s="81" t="inlineStr">
        <x:is>
          <x:t xml:space="preserve">Trích đoạn triết học</x:t>
        </x:is>
      </x:c>
      <x:c r="N263" s="81" t="inlineStr">
        <x:is>
          <x:t xml:space="preserve">善為士者不武，善戰者不怒。</x:t>
        </x:is>
      </x:c>
      <x:c r="O263" s="81" t="inlineStr">
        <x:is>
          <x:t xml:space="preserve">Classical Chinese (文言文)</x:t>
        </x:is>
      </x:c>
      <x:c r="P263" s="81" t="inlineStr">
        <x:is>
          <x:t xml:space="preserve">Người giỏi không nhất thiết hiếu chiến; người giỏi đối đầu không nhất thiết bị giận dữ dẫn dắt.</x:t>
        </x:is>
      </x:c>
      <x:c r="Q263" s="81" t="inlineStr">
        <x:is>
          <x:t xml:space="preserve">Laozi / 老子</x:t>
        </x:is>
      </x:c>
      <x:c r="R263" s="81" t="inlineStr">
        <x:is>
          <x:t xml:space="preserve">Taoism</x:t>
        </x:is>
      </x:c>
      <x:c r="S263" s="81" t="inlineStr">
        <x:is>
          <x:t xml:space="preserve">道德經 / Tao Te Ching</x:t>
        </x:is>
      </x:c>
      <x:c r="T263" s="81" t="inlineStr">
        <x:is>
          <x:t xml:space="preserve">Chapter 68</x:t>
        </x:is>
      </x:c>
      <x:c r="U263" s="81" t="inlineStr">
        <x:is>
          <x:t xml:space="preserve">https://zh.wikisource.org/zh-hant/%E9%81%93%E5%BE%B7%E7%B6%93_(%E7%8E%8B%E5%BC%BC%E6%9C%AC)</x:t>
        </x:is>
      </x:c>
      <x:c r="V263" s="81" t="inlineStr">
        <x:is>
          <x:t xml:space="preserve">Primary text</x:t>
        </x:is>
      </x:c>
      <x:c r="W263" s="81" t="inlineStr">
        <x:is>
          <x:t xml:space="preserve">Working translation</x:t>
        </x:is>
      </x:c>
      <x:c r="X263" s="81" t="inlineStr">
        <x:is>
          <x:t xml:space="preserve">A - Primary source</x:t>
        </x:is>
      </x:c>
      <x:c r="Y263" s="81" t="inlineStr">
        <x:is>
          <x:t xml:space="preserve">Original Chinese checked against Wang Bi recension on Chinese Wikisource. Vietnamese is Selflo working translation, not a published translation.</x:t>
        </x:is>
      </x:c>
      <x:c r="Z263" s="81" t="inlineStr">
        <x:is>
          <x:t xml:space="preserve">Public domain / likely</x:t>
        </x:is>
      </x:c>
      <x:c r="AA263" s="81" t="inlineStr">
        <x:is>
          <x:t xml:space="preserve">Ancient source text; verify edition/jurisdiction before commercial publication.</x:t>
        </x:is>
      </x:c>
      <x:c r="AB263" s="81" t="inlineStr">
        <x:is>
          <x:t xml:space="preserve">High</x:t>
        </x:is>
      </x:c>
      <x:c r="AC263" s="81" t="inlineStr">
        <x:is>
          <x:t xml:space="preserve">Strong.</x:t>
        </x:is>
      </x:c>
      <x:c r="AD263" s="81" t="inlineStr">
        <x:is>
          <x:t xml:space="preserve">Needs editorial review</x:t>
        </x:is>
      </x:c>
      <x:c r="AE263" s="81" t="inlineStr">
        <x:is>
          <x:t xml:space="preserve">Needs semantic dedupe review</x:t>
        </x:is>
      </x:c>
      <x:c r="AF263" s="81" t="str"/>
      <x:c r="AG263" s="81" t="str"/>
      <x:c r="AH263" s="81" t="inlineStr">
        <x:is>
          <x:t xml:space="preserve">No</x:t>
        </x:is>
      </x:c>
      <x:c r="AI263" s="81" t="inlineStr">
        <x:is>
          <x:t xml:space="preserve">Not reviewed</x:t>
        </x:is>
      </x:c>
      <x:c r="AJ263" s="81" t="inlineStr">
        <x:is>
          <x:t xml:space="preserve">Research only</x:t>
        </x:is>
      </x:c>
      <x:c r="AK263" s="81" t="inlineStr">
        <x:is>
          <x:t xml:space="preserve">Research Pool</x:t>
        </x:is>
      </x:c>
      <x:c r="AL263" s="81" t="n">
        <x:v>3</x:v>
      </x:c>
      <x:c r="AM263" s="81" t="inlineStr">
        <x:is>
          <x:t xml:space="preserve">ChatGPT research</x:t>
        </x:is>
      </x:c>
      <x:c r="AN263" s="81" t="inlineStr">
        <x:is>
          <x:t xml:space="preserve">2026-09-18</x:t>
        </x:is>
      </x:c>
      <x:c r="AO263" s="81" t="inlineStr">
        <x:is>
          <x:t xml:space="preserve">Day 3 full-scope audit, chapters 51–81.</x:t>
        </x:is>
      </x:c>
    </x:row>
    <x:row r="264">
      <x:c r="A264" s="81" t="inlineStr">
        <x:is>
          <x:t xml:space="preserve">research.laozi.day3.ch68.082</x:t>
        </x:is>
      </x:c>
      <x:c r="B264" s="81" t="inlineStr">
        <x:is>
          <x:t xml:space="preserve">Collected</x:t>
        </x:is>
      </x:c>
      <x:c r="C264" s="81" t="inlineStr">
        <x:is>
          <x:t xml:space="preserve">Quan hệ</x:t>
        </x:is>
      </x:c>
      <x:c r="D264" s="81" t="inlineStr">
        <x:is>
          <x:t xml:space="preserve">Day 3 / Laozi 51–81</x:t>
        </x:is>
      </x:c>
      <x:c r="E264" s="81" t="str"/>
      <x:c r="F264" s="81" t="inlineStr">
        <x:is>
          <x:t xml:space="preserve">Hợp tác có thể mạnh hơn áp chế</x:t>
        </x:is>
      </x:c>
      <x:c r="G264" s="81" t="inlineStr">
        <x:is>
          <x:t xml:space="preserve">Relationships</x:t>
        </x:is>
      </x:c>
      <x:c r="H264" s="81" t="str"/>
      <x:c r="I264" s="81" t="str"/>
      <x:c r="J264" s="81" t="str"/>
      <x:c r="K264" s="81" t="inlineStr">
        <x:is>
          <x:t xml:space="preserve">Reframe</x:t>
        </x:is>
      </x:c>
      <x:c r="L264" s="81" t="inlineStr">
        <x:is>
          <x:t xml:space="preserve">Distinguish</x:t>
        </x:is>
      </x:c>
      <x:c r="M264" s="81" t="inlineStr">
        <x:is>
          <x:t xml:space="preserve">Trích đoạn triết học</x:t>
        </x:is>
      </x:c>
      <x:c r="N264" s="81" t="inlineStr">
        <x:is>
          <x:t xml:space="preserve">善勝敵者不與，善用人者為之下。</x:t>
        </x:is>
      </x:c>
      <x:c r="O264" s="81" t="inlineStr">
        <x:is>
          <x:t xml:space="preserve">Classical Chinese (文言文)</x:t>
        </x:is>
      </x:c>
      <x:c r="P264" s="81" t="inlineStr">
        <x:is>
          <x:t xml:space="preserve">Người khéo vượt xung đột không nhất thiết lao vào đối đầu; người khéo dùng người biết đặt mình thấp.</x:t>
        </x:is>
      </x:c>
      <x:c r="Q264" s="81" t="inlineStr">
        <x:is>
          <x:t xml:space="preserve">Laozi / 老子</x:t>
        </x:is>
      </x:c>
      <x:c r="R264" s="81" t="inlineStr">
        <x:is>
          <x:t xml:space="preserve">Taoism</x:t>
        </x:is>
      </x:c>
      <x:c r="S264" s="81" t="inlineStr">
        <x:is>
          <x:t xml:space="preserve">道德經 / Tao Te Ching</x:t>
        </x:is>
      </x:c>
      <x:c r="T264" s="81" t="inlineStr">
        <x:is>
          <x:t xml:space="preserve">Chapter 68</x:t>
        </x:is>
      </x:c>
      <x:c r="U264" s="81" t="inlineStr">
        <x:is>
          <x:t xml:space="preserve">https://zh.wikisource.org/zh-hant/%E9%81%93%E5%BE%B7%E7%B6%93_(%E7%8E%8B%E5%BC%BC%E6%9C%AC)</x:t>
        </x:is>
      </x:c>
      <x:c r="V264" s="81" t="inlineStr">
        <x:is>
          <x:t xml:space="preserve">Primary text</x:t>
        </x:is>
      </x:c>
      <x:c r="W264" s="81" t="inlineStr">
        <x:is>
          <x:t xml:space="preserve">Working translation</x:t>
        </x:is>
      </x:c>
      <x:c r="X264" s="81" t="inlineStr">
        <x:is>
          <x:t xml:space="preserve">A - Primary source</x:t>
        </x:is>
      </x:c>
      <x:c r="Y264" s="81" t="inlineStr">
        <x:is>
          <x:t xml:space="preserve">Original Chinese checked against Wang Bi recension on Chinese Wikisource. Vietnamese is Selflo working translation, not a published translation.</x:t>
        </x:is>
      </x:c>
      <x:c r="Z264" s="81" t="inlineStr">
        <x:is>
          <x:t xml:space="preserve">Public domain / likely</x:t>
        </x:is>
      </x:c>
      <x:c r="AA264" s="81" t="inlineStr">
        <x:is>
          <x:t xml:space="preserve">Ancient source text; verify edition/jurisdiction before commercial publication.</x:t>
        </x:is>
      </x:c>
      <x:c r="AB264" s="81" t="inlineStr">
        <x:is>
          <x:t xml:space="preserve">High</x:t>
        </x:is>
      </x:c>
      <x:c r="AC264" s="81" t="inlineStr">
        <x:is>
          <x:t xml:space="preserve">Strong.</x:t>
        </x:is>
      </x:c>
      <x:c r="AD264" s="81" t="inlineStr">
        <x:is>
          <x:t xml:space="preserve">Needs editorial review</x:t>
        </x:is>
      </x:c>
      <x:c r="AE264" s="81" t="inlineStr">
        <x:is>
          <x:t xml:space="preserve">Needs semantic dedupe review</x:t>
        </x:is>
      </x:c>
      <x:c r="AF264" s="81" t="str"/>
      <x:c r="AG264" s="81" t="str"/>
      <x:c r="AH264" s="81" t="inlineStr">
        <x:is>
          <x:t xml:space="preserve">No</x:t>
        </x:is>
      </x:c>
      <x:c r="AI264" s="81" t="inlineStr">
        <x:is>
          <x:t xml:space="preserve">Not reviewed</x:t>
        </x:is>
      </x:c>
      <x:c r="AJ264" s="81" t="inlineStr">
        <x:is>
          <x:t xml:space="preserve">Research only</x:t>
        </x:is>
      </x:c>
      <x:c r="AK264" s="81" t="inlineStr">
        <x:is>
          <x:t xml:space="preserve">Research Pool</x:t>
        </x:is>
      </x:c>
      <x:c r="AL264" s="81" t="n">
        <x:v>3</x:v>
      </x:c>
      <x:c r="AM264" s="81" t="inlineStr">
        <x:is>
          <x:t xml:space="preserve">ChatGPT research</x:t>
        </x:is>
      </x:c>
      <x:c r="AN264" s="81" t="inlineStr">
        <x:is>
          <x:t xml:space="preserve">2026-09-18</x:t>
        </x:is>
      </x:c>
      <x:c r="AO264" s="81" t="inlineStr">
        <x:is>
          <x:t xml:space="preserve">Day 3 full-scope audit, chapters 51–81.</x:t>
        </x:is>
      </x:c>
    </x:row>
    <x:row r="265">
      <x:c r="A265" s="81" t="inlineStr">
        <x:is>
          <x:t xml:space="preserve">research.laozi.day3.ch68.083</x:t>
        </x:is>
      </x:c>
      <x:c r="B265" s="81" t="inlineStr">
        <x:is>
          <x:t xml:space="preserve">Collected</x:t>
        </x:is>
      </x:c>
      <x:c r="C265" s="81" t="inlineStr">
        <x:is>
          <x:t xml:space="preserve">Công việc &amp; mục đích</x:t>
        </x:is>
      </x:c>
      <x:c r="D265" s="81" t="inlineStr">
        <x:is>
          <x:t xml:space="preserve">Day 3 / Laozi 51–81</x:t>
        </x:is>
      </x:c>
      <x:c r="E265" s="81" t="str"/>
      <x:c r="F265" s="81" t="inlineStr">
        <x:is>
          <x:t xml:space="preserve">Không tranh có thể là năng lực phối hợp</x:t>
        </x:is>
      </x:c>
      <x:c r="G265" s="81" t="inlineStr">
        <x:is>
          <x:t xml:space="preserve">Leadership</x:t>
        </x:is>
      </x:c>
      <x:c r="H265" s="81" t="str"/>
      <x:c r="I265" s="81" t="str"/>
      <x:c r="J265" s="81" t="str"/>
      <x:c r="K265" s="81" t="inlineStr">
        <x:is>
          <x:t xml:space="preserve">Reframe</x:t>
        </x:is>
      </x:c>
      <x:c r="L265" s="81" t="inlineStr">
        <x:is>
          <x:t xml:space="preserve">Distinguish</x:t>
        </x:is>
      </x:c>
      <x:c r="M265" s="81" t="inlineStr">
        <x:is>
          <x:t xml:space="preserve">Trích đoạn triết học</x:t>
        </x:is>
      </x:c>
      <x:c r="N265" s="81" t="inlineStr">
        <x:is>
          <x:t xml:space="preserve">是謂不爭之德，是謂用人之力。</x:t>
        </x:is>
      </x:c>
      <x:c r="O265" s="81" t="inlineStr">
        <x:is>
          <x:t xml:space="preserve">Classical Chinese (文言文)</x:t>
        </x:is>
      </x:c>
      <x:c r="P265" s="81" t="inlineStr">
        <x:is>
          <x:t xml:space="preserve">Văn bản gọi đó là đức không tranh và khả năng dùng sức của người khác mà không áp họ.</x:t>
        </x:is>
      </x:c>
      <x:c r="Q265" s="81" t="inlineStr">
        <x:is>
          <x:t xml:space="preserve">Laozi / 老子</x:t>
        </x:is>
      </x:c>
      <x:c r="R265" s="81" t="inlineStr">
        <x:is>
          <x:t xml:space="preserve">Taoism</x:t>
        </x:is>
      </x:c>
      <x:c r="S265" s="81" t="inlineStr">
        <x:is>
          <x:t xml:space="preserve">道德經 / Tao Te Ching</x:t>
        </x:is>
      </x:c>
      <x:c r="T265" s="81" t="inlineStr">
        <x:is>
          <x:t xml:space="preserve">Chapter 68</x:t>
        </x:is>
      </x:c>
      <x:c r="U265" s="81" t="inlineStr">
        <x:is>
          <x:t xml:space="preserve">https://zh.wikisource.org/zh-hant/%E9%81%93%E5%BE%B7%E7%B6%93_(%E7%8E%8B%E5%BC%BC%E6%9C%AC)</x:t>
        </x:is>
      </x:c>
      <x:c r="V265" s="81" t="inlineStr">
        <x:is>
          <x:t xml:space="preserve">Primary text</x:t>
        </x:is>
      </x:c>
      <x:c r="W265" s="81" t="inlineStr">
        <x:is>
          <x:t xml:space="preserve">Working translation</x:t>
        </x:is>
      </x:c>
      <x:c r="X265" s="81" t="inlineStr">
        <x:is>
          <x:t xml:space="preserve">A - Primary source</x:t>
        </x:is>
      </x:c>
      <x:c r="Y265" s="81" t="inlineStr">
        <x:is>
          <x:t xml:space="preserve">Original Chinese checked against Wang Bi recension on Chinese Wikisource. Vietnamese is Selflo working translation, not a published translation.</x:t>
        </x:is>
      </x:c>
      <x:c r="Z265" s="81" t="inlineStr">
        <x:is>
          <x:t xml:space="preserve">Public domain / likely</x:t>
        </x:is>
      </x:c>
      <x:c r="AA265" s="81" t="inlineStr">
        <x:is>
          <x:t xml:space="preserve">Ancient source text; verify edition/jurisdiction before commercial publication.</x:t>
        </x:is>
      </x:c>
      <x:c r="AB265" s="81" t="inlineStr">
        <x:is>
          <x:t xml:space="preserve">High</x:t>
        </x:is>
      </x:c>
      <x:c r="AC265" s="81" t="inlineStr">
        <x:is>
          <x:t xml:space="preserve">Strong.</x:t>
        </x:is>
      </x:c>
      <x:c r="AD265" s="81" t="inlineStr">
        <x:is>
          <x:t xml:space="preserve">Needs editorial review</x:t>
        </x:is>
      </x:c>
      <x:c r="AE265" s="81" t="inlineStr">
        <x:is>
          <x:t xml:space="preserve">Needs semantic dedupe review</x:t>
        </x:is>
      </x:c>
      <x:c r="AF265" s="81" t="str"/>
      <x:c r="AG265" s="81" t="str"/>
      <x:c r="AH265" s="81" t="inlineStr">
        <x:is>
          <x:t xml:space="preserve">No</x:t>
        </x:is>
      </x:c>
      <x:c r="AI265" s="81" t="inlineStr">
        <x:is>
          <x:t xml:space="preserve">Not reviewed</x:t>
        </x:is>
      </x:c>
      <x:c r="AJ265" s="81" t="inlineStr">
        <x:is>
          <x:t xml:space="preserve">Research only</x:t>
        </x:is>
      </x:c>
      <x:c r="AK265" s="81" t="inlineStr">
        <x:is>
          <x:t xml:space="preserve">Research Pool</x:t>
        </x:is>
      </x:c>
      <x:c r="AL265" s="81" t="n">
        <x:v>3</x:v>
      </x:c>
      <x:c r="AM265" s="81" t="inlineStr">
        <x:is>
          <x:t xml:space="preserve">ChatGPT research</x:t>
        </x:is>
      </x:c>
      <x:c r="AN265" s="81" t="inlineStr">
        <x:is>
          <x:t xml:space="preserve">2026-09-18</x:t>
        </x:is>
      </x:c>
      <x:c r="AO265" s="81" t="inlineStr">
        <x:is>
          <x:t xml:space="preserve">Day 3 full-scope audit, chapters 51–81.</x:t>
        </x:is>
      </x:c>
    </x:row>
    <x:row r="266">
      <x:c r="A266" s="81" t="inlineStr">
        <x:is>
          <x:t xml:space="preserve">research.laozi.day3.ch68.084</x:t>
        </x:is>
      </x:c>
      <x:c r="B266" s="81" t="inlineStr">
        <x:is>
          <x:t xml:space="preserve">Collected</x:t>
        </x:is>
      </x:c>
      <x:c r="C266" s="81" t="inlineStr">
        <x:is>
          <x:t xml:space="preserve">AI &amp; tương lai</x:t>
        </x:is>
      </x:c>
      <x:c r="D266" s="81" t="inlineStr">
        <x:is>
          <x:t xml:space="preserve">Day 3 / Laozi 51–81</x:t>
        </x:is>
      </x:c>
      <x:c r="E266" s="81" t="str"/>
      <x:c r="F266" s="81" t="inlineStr">
        <x:is>
          <x:t xml:space="preserve">Nguyên lý bền về sức mạnh không cưỡng ép</x:t>
        </x:is>
      </x:c>
      <x:c r="G266" s="81" t="inlineStr">
        <x:is>
          <x:t xml:space="preserve">Judgment</x:t>
        </x:is>
      </x:c>
      <x:c r="H266" s="81" t="str"/>
      <x:c r="I266" s="81" t="str"/>
      <x:c r="J266" s="81" t="str"/>
      <x:c r="K266" s="81" t="inlineStr">
        <x:is>
          <x:t xml:space="preserve">Recognize</x:t>
        </x:is>
      </x:c>
      <x:c r="L266" s="81" t="inlineStr">
        <x:is>
          <x:t xml:space="preserve">Distinguish</x:t>
        </x:is>
      </x:c>
      <x:c r="M266" s="81" t="inlineStr">
        <x:is>
          <x:t xml:space="preserve">Trích đoạn triết học</x:t>
        </x:is>
      </x:c>
      <x:c r="N266" s="81" t="inlineStr">
        <x:is>
          <x:t xml:space="preserve">是謂配天古之極。</x:t>
        </x:is>
      </x:c>
      <x:c r="O266" s="81" t="inlineStr">
        <x:is>
          <x:t xml:space="preserve">Classical Chinese (文言文)</x:t>
        </x:is>
      </x:c>
      <x:c r="P266" s="81" t="inlineStr">
        <x:is>
          <x:t xml:space="preserve">Đoạn văn xem cách ấy như một nguyên tắc rất xưa.</x:t>
        </x:is>
      </x:c>
      <x:c r="Q266" s="81" t="inlineStr">
        <x:is>
          <x:t xml:space="preserve">Laozi / 老子</x:t>
        </x:is>
      </x:c>
      <x:c r="R266" s="81" t="inlineStr">
        <x:is>
          <x:t xml:space="preserve">Taoism</x:t>
        </x:is>
      </x:c>
      <x:c r="S266" s="81" t="inlineStr">
        <x:is>
          <x:t xml:space="preserve">道德經 / Tao Te Ching</x:t>
        </x:is>
      </x:c>
      <x:c r="T266" s="81" t="inlineStr">
        <x:is>
          <x:t xml:space="preserve">Chapter 68</x:t>
        </x:is>
      </x:c>
      <x:c r="U266" s="81" t="inlineStr">
        <x:is>
          <x:t xml:space="preserve">https://zh.wikisource.org/zh-hant/%E9%81%93%E5%BE%B7%E7%B6%93_(%E7%8E%8B%E5%BC%BC%E6%9C%AC)</x:t>
        </x:is>
      </x:c>
      <x:c r="V266" s="81" t="inlineStr">
        <x:is>
          <x:t xml:space="preserve">Primary text</x:t>
        </x:is>
      </x:c>
      <x:c r="W266" s="81" t="inlineStr">
        <x:is>
          <x:t xml:space="preserve">Working translation</x:t>
        </x:is>
      </x:c>
      <x:c r="X266" s="81" t="inlineStr">
        <x:is>
          <x:t xml:space="preserve">A - Primary source</x:t>
        </x:is>
      </x:c>
      <x:c r="Y266" s="81" t="inlineStr">
        <x:is>
          <x:t xml:space="preserve">Original Chinese checked against Wang Bi recension on Chinese Wikisource. Vietnamese is Selflo working translation, not a published translation.</x:t>
        </x:is>
      </x:c>
      <x:c r="Z266" s="81" t="inlineStr">
        <x:is>
          <x:t xml:space="preserve">Public domain / likely</x:t>
        </x:is>
      </x:c>
      <x:c r="AA266" s="81" t="inlineStr">
        <x:is>
          <x:t xml:space="preserve">Ancient source text; verify edition/jurisdiction before commercial publication.</x:t>
        </x:is>
      </x:c>
      <x:c r="AB266" s="81" t="inlineStr">
        <x:is>
          <x:t xml:space="preserve">Medium</x:t>
        </x:is>
      </x:c>
      <x:c r="AC266" s="81" t="inlineStr">
        <x:is>
          <x:t xml:space="preserve">Metaphysical.</x:t>
        </x:is>
      </x:c>
      <x:c r="AD266" s="81" t="inlineStr">
        <x:is>
          <x:t xml:space="preserve">Needs editorial review</x:t>
        </x:is>
      </x:c>
      <x:c r="AE266" s="81" t="inlineStr">
        <x:is>
          <x:t xml:space="preserve">Needs semantic dedupe review</x:t>
        </x:is>
      </x:c>
      <x:c r="AF266" s="81" t="str"/>
      <x:c r="AG266" s="81" t="str"/>
      <x:c r="AH266" s="81" t="inlineStr">
        <x:is>
          <x:t xml:space="preserve">No</x:t>
        </x:is>
      </x:c>
      <x:c r="AI266" s="81" t="inlineStr">
        <x:is>
          <x:t xml:space="preserve">Not reviewed</x:t>
        </x:is>
      </x:c>
      <x:c r="AJ266" s="81" t="inlineStr">
        <x:is>
          <x:t xml:space="preserve">Research only</x:t>
        </x:is>
      </x:c>
      <x:c r="AK266" s="81" t="inlineStr">
        <x:is>
          <x:t xml:space="preserve">Research Pool</x:t>
        </x:is>
      </x:c>
      <x:c r="AL266" s="81" t="n">
        <x:v>3</x:v>
      </x:c>
      <x:c r="AM266" s="81" t="inlineStr">
        <x:is>
          <x:t xml:space="preserve">ChatGPT research</x:t>
        </x:is>
      </x:c>
      <x:c r="AN266" s="81" t="inlineStr">
        <x:is>
          <x:t xml:space="preserve">2026-09-18</x:t>
        </x:is>
      </x:c>
      <x:c r="AO266" s="81" t="inlineStr">
        <x:is>
          <x:t xml:space="preserve">Day 3 full-scope audit, chapters 51–81.</x:t>
        </x:is>
      </x:c>
    </x:row>
    <x:row r="267">
      <x:c r="A267" s="81" t="inlineStr">
        <x:is>
          <x:t xml:space="preserve">research.laozi.day3.ch69.085</x:t>
        </x:is>
      </x:c>
      <x:c r="B267" s="81" t="inlineStr">
        <x:is>
          <x:t xml:space="preserve">Collected</x:t>
        </x:is>
      </x:c>
      <x:c r="C267" s="81" t="inlineStr">
        <x:is>
          <x:t xml:space="preserve">Nội tâm &amp; hiểu mình</x:t>
        </x:is>
      </x:c>
      <x:c r="D267" s="81" t="inlineStr">
        <x:is>
          <x:t xml:space="preserve">Day 3 / Laozi 51–81</x:t>
        </x:is>
      </x:c>
      <x:c r="E267" s="81" t="str"/>
      <x:c r="F267" s="81" t="inlineStr">
        <x:is>
          <x:t xml:space="preserve">Lùi lại có thể là một lựa chọn chủ động</x:t>
        </x:is>
      </x:c>
      <x:c r="G267" s="81" t="inlineStr">
        <x:is>
          <x:t xml:space="preserve">Agency</x:t>
        </x:is>
      </x:c>
      <x:c r="H267" s="81" t="str"/>
      <x:c r="I267" s="81" t="str"/>
      <x:c r="J267" s="81" t="str"/>
      <x:c r="K267" s="81" t="inlineStr">
        <x:is>
          <x:t xml:space="preserve">Reframe</x:t>
        </x:is>
      </x:c>
      <x:c r="L267" s="81" t="inlineStr">
        <x:is>
          <x:t xml:space="preserve">Distinguish</x:t>
        </x:is>
      </x:c>
      <x:c r="M267" s="81" t="inlineStr">
        <x:is>
          <x:t xml:space="preserve">Trích đoạn triết học</x:t>
        </x:is>
      </x:c>
      <x:c r="N267" s="81" t="inlineStr">
        <x:is>
          <x:t xml:space="preserve">吾不敢為主而為客，不敢進寸而退尺。</x:t>
        </x:is>
      </x:c>
      <x:c r="O267" s="81" t="inlineStr">
        <x:is>
          <x:t xml:space="preserve">Classical Chinese (文言文)</x:t>
        </x:is>
      </x:c>
      <x:c r="P267" s="81" t="inlineStr">
        <x:is>
          <x:t xml:space="preserve">Ta không vội làm chủ cuộc đối đầu; không vội tiến một tấc mà sẵn sàng lùi một thước.</x:t>
        </x:is>
      </x:c>
      <x:c r="Q267" s="81" t="inlineStr">
        <x:is>
          <x:t xml:space="preserve">Laozi / 老子</x:t>
        </x:is>
      </x:c>
      <x:c r="R267" s="81" t="inlineStr">
        <x:is>
          <x:t xml:space="preserve">Taoism</x:t>
        </x:is>
      </x:c>
      <x:c r="S267" s="81" t="inlineStr">
        <x:is>
          <x:t xml:space="preserve">道德經 / Tao Te Ching</x:t>
        </x:is>
      </x:c>
      <x:c r="T267" s="81" t="inlineStr">
        <x:is>
          <x:t xml:space="preserve">Chapter 69</x:t>
        </x:is>
      </x:c>
      <x:c r="U267" s="81" t="inlineStr">
        <x:is>
          <x:t xml:space="preserve">https://zh.wikisource.org/zh-hant/%E9%81%93%E5%BE%B7%E7%B6%93_(%E7%8E%8B%E5%BC%BC%E6%9C%AC)</x:t>
        </x:is>
      </x:c>
      <x:c r="V267" s="81" t="inlineStr">
        <x:is>
          <x:t xml:space="preserve">Primary text</x:t>
        </x:is>
      </x:c>
      <x:c r="W267" s="81" t="inlineStr">
        <x:is>
          <x:t xml:space="preserve">Working translation</x:t>
        </x:is>
      </x:c>
      <x:c r="X267" s="81" t="inlineStr">
        <x:is>
          <x:t xml:space="preserve">A - Primary source</x:t>
        </x:is>
      </x:c>
      <x:c r="Y267" s="81" t="inlineStr">
        <x:is>
          <x:t xml:space="preserve">Original Chinese checked against Wang Bi recension on Chinese Wikisource. Vietnamese is Selflo working translation, not a published translation.</x:t>
        </x:is>
      </x:c>
      <x:c r="Z267" s="81" t="inlineStr">
        <x:is>
          <x:t xml:space="preserve">Public domain / likely</x:t>
        </x:is>
      </x:c>
      <x:c r="AA267" s="81" t="inlineStr">
        <x:is>
          <x:t xml:space="preserve">Ancient source text; verify edition/jurisdiction before commercial publication.</x:t>
        </x:is>
      </x:c>
      <x:c r="AB267" s="81" t="inlineStr">
        <x:is>
          <x:t xml:space="preserve">High</x:t>
        </x:is>
      </x:c>
      <x:c r="AC267" s="81" t="inlineStr">
        <x:is>
          <x:t xml:space="preserve">Conflict context.</x:t>
        </x:is>
      </x:c>
      <x:c r="AD267" s="81" t="inlineStr">
        <x:is>
          <x:t xml:space="preserve">Needs editorial review</x:t>
        </x:is>
      </x:c>
      <x:c r="AE267" s="81" t="inlineStr">
        <x:is>
          <x:t xml:space="preserve">Needs semantic dedupe review</x:t>
        </x:is>
      </x:c>
      <x:c r="AF267" s="81" t="str"/>
      <x:c r="AG267" s="81" t="str"/>
      <x:c r="AH267" s="81" t="inlineStr">
        <x:is>
          <x:t xml:space="preserve">No</x:t>
        </x:is>
      </x:c>
      <x:c r="AI267" s="81" t="inlineStr">
        <x:is>
          <x:t xml:space="preserve">Not reviewed</x:t>
        </x:is>
      </x:c>
      <x:c r="AJ267" s="81" t="inlineStr">
        <x:is>
          <x:t xml:space="preserve">Research only</x:t>
        </x:is>
      </x:c>
      <x:c r="AK267" s="81" t="inlineStr">
        <x:is>
          <x:t xml:space="preserve">Research Pool</x:t>
        </x:is>
      </x:c>
      <x:c r="AL267" s="81" t="n">
        <x:v>3</x:v>
      </x:c>
      <x:c r="AM267" s="81" t="inlineStr">
        <x:is>
          <x:t xml:space="preserve">ChatGPT research</x:t>
        </x:is>
      </x:c>
      <x:c r="AN267" s="81" t="inlineStr">
        <x:is>
          <x:t xml:space="preserve">2026-09-18</x:t>
        </x:is>
      </x:c>
      <x:c r="AO267" s="81" t="inlineStr">
        <x:is>
          <x:t xml:space="preserve">Day 3 full-scope audit, chapters 51–81.</x:t>
        </x:is>
      </x:c>
    </x:row>
    <x:row r="268">
      <x:c r="A268" s="81" t="inlineStr">
        <x:is>
          <x:t xml:space="preserve">research.laozi.day3.ch69.086</x:t>
        </x:is>
      </x:c>
      <x:c r="B268" s="81" t="inlineStr">
        <x:is>
          <x:t xml:space="preserve">Collected</x:t>
        </x:is>
      </x:c>
      <x:c r="C268" s="81" t="inlineStr">
        <x:is>
          <x:t xml:space="preserve">AI &amp; tương lai</x:t>
        </x:is>
      </x:c>
      <x:c r="D268" s="81" t="inlineStr">
        <x:is>
          <x:t xml:space="preserve">Day 3 / Laozi 51–81</x:t>
        </x:is>
      </x:c>
      <x:c r="E268" s="81" t="str"/>
      <x:c r="F268" s="81" t="inlineStr">
        <x:is>
          <x:t xml:space="preserve">Đánh giá thấp rủi ro làm suy phán đoán</x:t>
        </x:is>
      </x:c>
      <x:c r="G268" s="81" t="inlineStr">
        <x:is>
          <x:t xml:space="preserve">Judgment</x:t>
        </x:is>
      </x:c>
      <x:c r="H268" s="81" t="str"/>
      <x:c r="I268" s="81" t="str"/>
      <x:c r="J268" s="81" t="str"/>
      <x:c r="K268" s="81" t="inlineStr">
        <x:is>
          <x:t xml:space="preserve">Recognize</x:t>
        </x:is>
      </x:c>
      <x:c r="L268" s="81" t="inlineStr">
        <x:is>
          <x:t xml:space="preserve">Distinguish</x:t>
        </x:is>
      </x:c>
      <x:c r="M268" s="81" t="inlineStr">
        <x:is>
          <x:t xml:space="preserve">Trích đoạn triết học</x:t>
        </x:is>
      </x:c>
      <x:c r="N268" s="81" t="inlineStr">
        <x:is>
          <x:t xml:space="preserve">禍莫大於輕敵，輕敵幾喪吾寶。</x:t>
        </x:is>
      </x:c>
      <x:c r="O268" s="81" t="inlineStr">
        <x:is>
          <x:t xml:space="preserve">Classical Chinese (文言文)</x:t>
        </x:is>
      </x:c>
      <x:c r="P268" s="81" t="inlineStr">
        <x:is>
          <x:t xml:space="preserve">Không gì dễ gây họa bằng xem nhẹ phía đối diện; xem nhẹ có thể làm mất điều mình quý.</x:t>
        </x:is>
      </x:c>
      <x:c r="Q268" s="81" t="inlineStr">
        <x:is>
          <x:t xml:space="preserve">Laozi / 老子</x:t>
        </x:is>
      </x:c>
      <x:c r="R268" s="81" t="inlineStr">
        <x:is>
          <x:t xml:space="preserve">Taoism</x:t>
        </x:is>
      </x:c>
      <x:c r="S268" s="81" t="inlineStr">
        <x:is>
          <x:t xml:space="preserve">道德經 / Tao Te Ching</x:t>
        </x:is>
      </x:c>
      <x:c r="T268" s="81" t="inlineStr">
        <x:is>
          <x:t xml:space="preserve">Chapter 69</x:t>
        </x:is>
      </x:c>
      <x:c r="U268" s="81" t="inlineStr">
        <x:is>
          <x:t xml:space="preserve">https://zh.wikisource.org/zh-hant/%E9%81%93%E5%BE%B7%E7%B6%93_(%E7%8E%8B%E5%BC%BC%E6%9C%AC)</x:t>
        </x:is>
      </x:c>
      <x:c r="V268" s="81" t="inlineStr">
        <x:is>
          <x:t xml:space="preserve">Primary text</x:t>
        </x:is>
      </x:c>
      <x:c r="W268" s="81" t="inlineStr">
        <x:is>
          <x:t xml:space="preserve">Working translation</x:t>
        </x:is>
      </x:c>
      <x:c r="X268" s="81" t="inlineStr">
        <x:is>
          <x:t xml:space="preserve">A - Primary source</x:t>
        </x:is>
      </x:c>
      <x:c r="Y268" s="81" t="inlineStr">
        <x:is>
          <x:t xml:space="preserve">Original Chinese checked against Wang Bi recension on Chinese Wikisource. Vietnamese is Selflo working translation, not a published translation.</x:t>
        </x:is>
      </x:c>
      <x:c r="Z268" s="81" t="inlineStr">
        <x:is>
          <x:t xml:space="preserve">Public domain / likely</x:t>
        </x:is>
      </x:c>
      <x:c r="AA268" s="81" t="inlineStr">
        <x:is>
          <x:t xml:space="preserve">Ancient source text; verify edition/jurisdiction before commercial publication.</x:t>
        </x:is>
      </x:c>
      <x:c r="AB268" s="81" t="inlineStr">
        <x:is>
          <x:t xml:space="preserve">High</x:t>
        </x:is>
      </x:c>
      <x:c r="AC268" s="81" t="inlineStr">
        <x:is>
          <x:t xml:space="preserve">Strong.</x:t>
        </x:is>
      </x:c>
      <x:c r="AD268" s="81" t="inlineStr">
        <x:is>
          <x:t xml:space="preserve">Needs editorial review</x:t>
        </x:is>
      </x:c>
      <x:c r="AE268" s="81" t="inlineStr">
        <x:is>
          <x:t xml:space="preserve">Needs semantic dedupe review</x:t>
        </x:is>
      </x:c>
      <x:c r="AF268" s="81" t="str"/>
      <x:c r="AG268" s="81" t="str"/>
      <x:c r="AH268" s="81" t="inlineStr">
        <x:is>
          <x:t xml:space="preserve">No</x:t>
        </x:is>
      </x:c>
      <x:c r="AI268" s="81" t="inlineStr">
        <x:is>
          <x:t xml:space="preserve">Not reviewed</x:t>
        </x:is>
      </x:c>
      <x:c r="AJ268" s="81" t="inlineStr">
        <x:is>
          <x:t xml:space="preserve">Research only</x:t>
        </x:is>
      </x:c>
      <x:c r="AK268" s="81" t="inlineStr">
        <x:is>
          <x:t xml:space="preserve">Research Pool</x:t>
        </x:is>
      </x:c>
      <x:c r="AL268" s="81" t="n">
        <x:v>3</x:v>
      </x:c>
      <x:c r="AM268" s="81" t="inlineStr">
        <x:is>
          <x:t xml:space="preserve">ChatGPT research</x:t>
        </x:is>
      </x:c>
      <x:c r="AN268" s="81" t="inlineStr">
        <x:is>
          <x:t xml:space="preserve">2026-09-18</x:t>
        </x:is>
      </x:c>
      <x:c r="AO268" s="81" t="inlineStr">
        <x:is>
          <x:t xml:space="preserve">Day 3 full-scope audit, chapters 51–81.</x:t>
        </x:is>
      </x:c>
    </x:row>
    <x:row r="269">
      <x:c r="A269" s="81" t="inlineStr">
        <x:is>
          <x:t xml:space="preserve">research.laozi.day3.ch69.087</x:t>
        </x:is>
      </x:c>
      <x:c r="B269" s="81" t="inlineStr">
        <x:is>
          <x:t xml:space="preserve">Collected</x:t>
        </x:is>
      </x:c>
      <x:c r="C269" s="81" t="inlineStr">
        <x:is>
          <x:t xml:space="preserve">Quan hệ</x:t>
        </x:is>
      </x:c>
      <x:c r="D269" s="81" t="inlineStr">
        <x:is>
          <x:t xml:space="preserve">Day 3 / Laozi 51–81</x:t>
        </x:is>
      </x:c>
      <x:c r="E269" s="81" t="str"/>
      <x:c r="F269" s="81" t="inlineStr">
        <x:is>
          <x:t xml:space="preserve">Giữ lòng người ngay trong xung đột</x:t>
        </x:is>
      </x:c>
      <x:c r="G269" s="81" t="inlineStr">
        <x:is>
          <x:t xml:space="preserve">Compassion</x:t>
        </x:is>
      </x:c>
      <x:c r="H269" s="81" t="str"/>
      <x:c r="I269" s="81" t="str"/>
      <x:c r="J269" s="81" t="str"/>
      <x:c r="K269" s="81" t="inlineStr">
        <x:is>
          <x:t xml:space="preserve">Reframe</x:t>
        </x:is>
      </x:c>
      <x:c r="L269" s="81" t="inlineStr">
        <x:is>
          <x:t xml:space="preserve">Distinguish</x:t>
        </x:is>
      </x:c>
      <x:c r="M269" s="81" t="inlineStr">
        <x:is>
          <x:t xml:space="preserve">Trích đoạn triết học</x:t>
        </x:is>
      </x:c>
      <x:c r="N269" s="81" t="inlineStr">
        <x:is>
          <x:t xml:space="preserve">抗兵相加，哀者勝矣。</x:t>
        </x:is>
      </x:c>
      <x:c r="O269" s="81" t="inlineStr">
        <x:is>
          <x:t xml:space="preserve">Classical Chinese (文言文)</x:t>
        </x:is>
      </x:c>
      <x:c r="P269" s="81" t="inlineStr">
        <x:is>
          <x:t xml:space="preserve">Khi xung đột buộc phải xảy ra, văn bản đặt lòng thương ở phía có sức mạnh sâu hơn.</x:t>
        </x:is>
      </x:c>
      <x:c r="Q269" s="81" t="inlineStr">
        <x:is>
          <x:t xml:space="preserve">Laozi / 老子</x:t>
        </x:is>
      </x:c>
      <x:c r="R269" s="81" t="inlineStr">
        <x:is>
          <x:t xml:space="preserve">Taoism</x:t>
        </x:is>
      </x:c>
      <x:c r="S269" s="81" t="inlineStr">
        <x:is>
          <x:t xml:space="preserve">道德經 / Tao Te Ching</x:t>
        </x:is>
      </x:c>
      <x:c r="T269" s="81" t="inlineStr">
        <x:is>
          <x:t xml:space="preserve">Chapter 69</x:t>
        </x:is>
      </x:c>
      <x:c r="U269" s="81" t="inlineStr">
        <x:is>
          <x:t xml:space="preserve">https://zh.wikisource.org/zh-hant/%E9%81%93%E5%BE%B7%E7%B6%93_(%E7%8E%8B%E5%BC%BC%E6%9C%AC)</x:t>
        </x:is>
      </x:c>
      <x:c r="V269" s="81" t="inlineStr">
        <x:is>
          <x:t xml:space="preserve">Primary text</x:t>
        </x:is>
      </x:c>
      <x:c r="W269" s="81" t="inlineStr">
        <x:is>
          <x:t xml:space="preserve">Working translation</x:t>
        </x:is>
      </x:c>
      <x:c r="X269" s="81" t="inlineStr">
        <x:is>
          <x:t xml:space="preserve">A - Primary source</x:t>
        </x:is>
      </x:c>
      <x:c r="Y269" s="81" t="inlineStr">
        <x:is>
          <x:t xml:space="preserve">Original Chinese checked against Wang Bi recension on Chinese Wikisource. Vietnamese is Selflo working translation, not a published translation.</x:t>
        </x:is>
      </x:c>
      <x:c r="Z269" s="81" t="inlineStr">
        <x:is>
          <x:t xml:space="preserve">Public domain / likely</x:t>
        </x:is>
      </x:c>
      <x:c r="AA269" s="81" t="inlineStr">
        <x:is>
          <x:t xml:space="preserve">Ancient source text; verify edition/jurisdiction before commercial publication.</x:t>
        </x:is>
      </x:c>
      <x:c r="AB269" s="81" t="inlineStr">
        <x:is>
          <x:t xml:space="preserve">Medium</x:t>
        </x:is>
      </x:c>
      <x:c r="AC269" s="81" t="inlineStr">
        <x:is>
          <x:t xml:space="preserve">War context.</x:t>
        </x:is>
      </x:c>
      <x:c r="AD269" s="81" t="inlineStr">
        <x:is>
          <x:t xml:space="preserve">Needs editorial review</x:t>
        </x:is>
      </x:c>
      <x:c r="AE269" s="81" t="inlineStr">
        <x:is>
          <x:t xml:space="preserve">Needs semantic dedupe review</x:t>
        </x:is>
      </x:c>
      <x:c r="AF269" s="81" t="str"/>
      <x:c r="AG269" s="81" t="str"/>
      <x:c r="AH269" s="81" t="inlineStr">
        <x:is>
          <x:t xml:space="preserve">No</x:t>
        </x:is>
      </x:c>
      <x:c r="AI269" s="81" t="inlineStr">
        <x:is>
          <x:t xml:space="preserve">Not reviewed</x:t>
        </x:is>
      </x:c>
      <x:c r="AJ269" s="81" t="inlineStr">
        <x:is>
          <x:t xml:space="preserve">Research only</x:t>
        </x:is>
      </x:c>
      <x:c r="AK269" s="81" t="inlineStr">
        <x:is>
          <x:t xml:space="preserve">Research Pool</x:t>
        </x:is>
      </x:c>
      <x:c r="AL269" s="81" t="n">
        <x:v>3</x:v>
      </x:c>
      <x:c r="AM269" s="81" t="inlineStr">
        <x:is>
          <x:t xml:space="preserve">ChatGPT research</x:t>
        </x:is>
      </x:c>
      <x:c r="AN269" s="81" t="inlineStr">
        <x:is>
          <x:t xml:space="preserve">2026-09-18</x:t>
        </x:is>
      </x:c>
      <x:c r="AO269" s="81" t="inlineStr">
        <x:is>
          <x:t xml:space="preserve">Day 3 full-scope audit, chapters 51–81.</x:t>
        </x:is>
      </x:c>
    </x:row>
    <x:row r="270">
      <x:c r="A270" s="81" t="inlineStr">
        <x:is>
          <x:t xml:space="preserve">research.laozi.day3.ch70.088</x:t>
        </x:is>
      </x:c>
      <x:c r="B270" s="81" t="inlineStr">
        <x:is>
          <x:t xml:space="preserve">Collected</x:t>
        </x:is>
      </x:c>
      <x:c r="C270" s="81" t="inlineStr">
        <x:is>
          <x:t xml:space="preserve">Nội tâm &amp; hiểu mình</x:t>
        </x:is>
      </x:c>
      <x:c r="D270" s="81" t="inlineStr">
        <x:is>
          <x:t xml:space="preserve">Day 3 / Laozi 51–81</x:t>
        </x:is>
      </x:c>
      <x:c r="E270" s="81" t="str"/>
      <x:c r="F270" s="81" t="inlineStr">
        <x:is>
          <x:t xml:space="preserve">Hiểu bằng lời khác với sống được điều hiểu</x:t>
        </x:is>
      </x:c>
      <x:c r="G270" s="81" t="inlineStr">
        <x:is>
          <x:t xml:space="preserve">Learning</x:t>
        </x:is>
      </x:c>
      <x:c r="H270" s="81" t="str"/>
      <x:c r="I270" s="81" t="str"/>
      <x:c r="J270" s="81" t="str"/>
      <x:c r="K270" s="81" t="inlineStr">
        <x:is>
          <x:t xml:space="preserve">Distinguish</x:t>
        </x:is>
      </x:c>
      <x:c r="L270" s="81" t="inlineStr">
        <x:is>
          <x:t xml:space="preserve">Recognize</x:t>
        </x:is>
      </x:c>
      <x:c r="M270" s="81" t="inlineStr">
        <x:is>
          <x:t xml:space="preserve">Trích đoạn triết học</x:t>
        </x:is>
      </x:c>
      <x:c r="N270" s="81" t="inlineStr">
        <x:is>
          <x:t xml:space="preserve">吾言甚易知，甚易行；天下莫能知，莫能行。</x:t>
        </x:is>
      </x:c>
      <x:c r="O270" s="81" t="inlineStr">
        <x:is>
          <x:t xml:space="preserve">Classical Chinese (文言文)</x:t>
        </x:is>
      </x:c>
      <x:c r="P270" s="81" t="inlineStr">
        <x:is>
          <x:t xml:space="preserve">Điều đơn giản để nói chưa chắc dễ được sống.</x:t>
        </x:is>
      </x:c>
      <x:c r="Q270" s="81" t="inlineStr">
        <x:is>
          <x:t xml:space="preserve">Laozi / 老子</x:t>
        </x:is>
      </x:c>
      <x:c r="R270" s="81" t="inlineStr">
        <x:is>
          <x:t xml:space="preserve">Taoism</x:t>
        </x:is>
      </x:c>
      <x:c r="S270" s="81" t="inlineStr">
        <x:is>
          <x:t xml:space="preserve">道德經 / Tao Te Ching</x:t>
        </x:is>
      </x:c>
      <x:c r="T270" s="81" t="inlineStr">
        <x:is>
          <x:t xml:space="preserve">Chapter 70</x:t>
        </x:is>
      </x:c>
      <x:c r="U270" s="81" t="inlineStr">
        <x:is>
          <x:t xml:space="preserve">https://zh.wikisource.org/zh-hant/%E9%81%93%E5%BE%B7%E7%B6%93_(%E7%8E%8B%E5%BC%BC%E6%9C%AC)</x:t>
        </x:is>
      </x:c>
      <x:c r="V270" s="81" t="inlineStr">
        <x:is>
          <x:t xml:space="preserve">Primary text</x:t>
        </x:is>
      </x:c>
      <x:c r="W270" s="81" t="inlineStr">
        <x:is>
          <x:t xml:space="preserve">Working translation</x:t>
        </x:is>
      </x:c>
      <x:c r="X270" s="81" t="inlineStr">
        <x:is>
          <x:t xml:space="preserve">A - Primary source</x:t>
        </x:is>
      </x:c>
      <x:c r="Y270" s="81" t="inlineStr">
        <x:is>
          <x:t xml:space="preserve">Original Chinese checked against Wang Bi recension on Chinese Wikisource. Vietnamese is Selflo working translation, not a published translation.</x:t>
        </x:is>
      </x:c>
      <x:c r="Z270" s="81" t="inlineStr">
        <x:is>
          <x:t xml:space="preserve">Public domain / likely</x:t>
        </x:is>
      </x:c>
      <x:c r="AA270" s="81" t="inlineStr">
        <x:is>
          <x:t xml:space="preserve">Ancient source text; verify edition/jurisdiction before commercial publication.</x:t>
        </x:is>
      </x:c>
      <x:c r="AB270" s="81" t="inlineStr">
        <x:is>
          <x:t xml:space="preserve">High</x:t>
        </x:is>
      </x:c>
      <x:c r="AC270" s="81" t="inlineStr">
        <x:is>
          <x:t xml:space="preserve">Very Selflo.</x:t>
        </x:is>
      </x:c>
      <x:c r="AD270" s="81" t="inlineStr">
        <x:is>
          <x:t xml:space="preserve">Needs editorial review</x:t>
        </x:is>
      </x:c>
      <x:c r="AE270" s="81" t="inlineStr">
        <x:is>
          <x:t xml:space="preserve">Needs semantic dedupe review</x:t>
        </x:is>
      </x:c>
      <x:c r="AF270" s="81" t="str"/>
      <x:c r="AG270" s="81" t="str"/>
      <x:c r="AH270" s="81" t="inlineStr">
        <x:is>
          <x:t xml:space="preserve">No</x:t>
        </x:is>
      </x:c>
      <x:c r="AI270" s="81" t="inlineStr">
        <x:is>
          <x:t xml:space="preserve">Not reviewed</x:t>
        </x:is>
      </x:c>
      <x:c r="AJ270" s="81" t="inlineStr">
        <x:is>
          <x:t xml:space="preserve">Research only</x:t>
        </x:is>
      </x:c>
      <x:c r="AK270" s="81" t="inlineStr">
        <x:is>
          <x:t xml:space="preserve">Research Pool</x:t>
        </x:is>
      </x:c>
      <x:c r="AL270" s="81" t="n">
        <x:v>3</x:v>
      </x:c>
      <x:c r="AM270" s="81" t="inlineStr">
        <x:is>
          <x:t xml:space="preserve">ChatGPT research</x:t>
        </x:is>
      </x:c>
      <x:c r="AN270" s="81" t="inlineStr">
        <x:is>
          <x:t xml:space="preserve">2026-09-18</x:t>
        </x:is>
      </x:c>
      <x:c r="AO270" s="81" t="inlineStr">
        <x:is>
          <x:t xml:space="preserve">Day 3 full-scope audit, chapters 51–81.</x:t>
        </x:is>
      </x:c>
    </x:row>
    <x:row r="271">
      <x:c r="A271" s="81" t="inlineStr">
        <x:is>
          <x:t xml:space="preserve">research.laozi.day3.ch70.089</x:t>
        </x:is>
      </x:c>
      <x:c r="B271" s="81" t="inlineStr">
        <x:is>
          <x:t xml:space="preserve">Collected</x:t>
        </x:is>
      </x:c>
      <x:c r="C271" s="81" t="inlineStr">
        <x:is>
          <x:t xml:space="preserve">AI &amp; tương lai</x:t>
        </x:is>
      </x:c>
      <x:c r="D271" s="81" t="inlineStr">
        <x:is>
          <x:t xml:space="preserve">Day 3 / Laozi 51–81</x:t>
        </x:is>
      </x:c>
      <x:c r="E271" s="81" t="str"/>
      <x:c r="F271" s="81" t="inlineStr">
        <x:is>
          <x:t xml:space="preserve">Câu trả lời cần có nền nguyên lý</x:t>
        </x:is>
      </x:c>
      <x:c r="G271" s="81" t="inlineStr">
        <x:is>
          <x:t xml:space="preserve">Judgment</x:t>
        </x:is>
      </x:c>
      <x:c r="H271" s="81" t="str"/>
      <x:c r="I271" s="81" t="str"/>
      <x:c r="J271" s="81" t="str"/>
      <x:c r="K271" s="81" t="inlineStr">
        <x:is>
          <x:t xml:space="preserve">Recognize</x:t>
        </x:is>
      </x:c>
      <x:c r="L271" s="81" t="inlineStr">
        <x:is>
          <x:t xml:space="preserve">Distinguish</x:t>
        </x:is>
      </x:c>
      <x:c r="M271" s="81" t="inlineStr">
        <x:is>
          <x:t xml:space="preserve">Trích đoạn triết học</x:t>
        </x:is>
      </x:c>
      <x:c r="N271" s="81" t="inlineStr">
        <x:is>
          <x:t xml:space="preserve">言有宗，事有君。</x:t>
        </x:is>
      </x:c>
      <x:c r="O271" s="81" t="inlineStr">
        <x:is>
          <x:t xml:space="preserve">Classical Chinese (文言文)</x:t>
        </x:is>
      </x:c>
      <x:c r="P271" s="81" t="inlineStr">
        <x:is>
          <x:t xml:space="preserve">Lời có gốc; việc có nguyên tắc chủ.</x:t>
        </x:is>
      </x:c>
      <x:c r="Q271" s="81" t="inlineStr">
        <x:is>
          <x:t xml:space="preserve">Laozi / 老子</x:t>
        </x:is>
      </x:c>
      <x:c r="R271" s="81" t="inlineStr">
        <x:is>
          <x:t xml:space="preserve">Taoism</x:t>
        </x:is>
      </x:c>
      <x:c r="S271" s="81" t="inlineStr">
        <x:is>
          <x:t xml:space="preserve">道德經 / Tao Te Ching</x:t>
        </x:is>
      </x:c>
      <x:c r="T271" s="81" t="inlineStr">
        <x:is>
          <x:t xml:space="preserve">Chapter 70</x:t>
        </x:is>
      </x:c>
      <x:c r="U271" s="81" t="inlineStr">
        <x:is>
          <x:t xml:space="preserve">https://zh.wikisource.org/zh-hant/%E9%81%93%E5%BE%B7%E7%B6%93_(%E7%8E%8B%E5%BC%BC%E6%9C%AC)</x:t>
        </x:is>
      </x:c>
      <x:c r="V271" s="81" t="inlineStr">
        <x:is>
          <x:t xml:space="preserve">Primary text</x:t>
        </x:is>
      </x:c>
      <x:c r="W271" s="81" t="inlineStr">
        <x:is>
          <x:t xml:space="preserve">Working translation</x:t>
        </x:is>
      </x:c>
      <x:c r="X271" s="81" t="inlineStr">
        <x:is>
          <x:t xml:space="preserve">A - Primary source</x:t>
        </x:is>
      </x:c>
      <x:c r="Y271" s="81" t="inlineStr">
        <x:is>
          <x:t xml:space="preserve">Original Chinese checked against Wang Bi recension on Chinese Wikisource. Vietnamese is Selflo working translation, not a published translation.</x:t>
        </x:is>
      </x:c>
      <x:c r="Z271" s="81" t="inlineStr">
        <x:is>
          <x:t xml:space="preserve">Public domain / likely</x:t>
        </x:is>
      </x:c>
      <x:c r="AA271" s="81" t="inlineStr">
        <x:is>
          <x:t xml:space="preserve">Ancient source text; verify edition/jurisdiction before commercial publication.</x:t>
        </x:is>
      </x:c>
      <x:c r="AB271" s="81" t="inlineStr">
        <x:is>
          <x:t xml:space="preserve">High</x:t>
        </x:is>
      </x:c>
      <x:c r="AC271" s="81" t="inlineStr">
        <x:is>
          <x:t xml:space="preserve">AI-age enduring principles.</x:t>
        </x:is>
      </x:c>
      <x:c r="AD271" s="81" t="inlineStr">
        <x:is>
          <x:t xml:space="preserve">Needs editorial review</x:t>
        </x:is>
      </x:c>
      <x:c r="AE271" s="81" t="inlineStr">
        <x:is>
          <x:t xml:space="preserve">Needs semantic dedupe review</x:t>
        </x:is>
      </x:c>
      <x:c r="AF271" s="81" t="str"/>
      <x:c r="AG271" s="81" t="str"/>
      <x:c r="AH271" s="81" t="inlineStr">
        <x:is>
          <x:t xml:space="preserve">No</x:t>
        </x:is>
      </x:c>
      <x:c r="AI271" s="81" t="inlineStr">
        <x:is>
          <x:t xml:space="preserve">Not reviewed</x:t>
        </x:is>
      </x:c>
      <x:c r="AJ271" s="81" t="inlineStr">
        <x:is>
          <x:t xml:space="preserve">Research only</x:t>
        </x:is>
      </x:c>
      <x:c r="AK271" s="81" t="inlineStr">
        <x:is>
          <x:t xml:space="preserve">Research Pool</x:t>
        </x:is>
      </x:c>
      <x:c r="AL271" s="81" t="n">
        <x:v>3</x:v>
      </x:c>
      <x:c r="AM271" s="81" t="inlineStr">
        <x:is>
          <x:t xml:space="preserve">ChatGPT research</x:t>
        </x:is>
      </x:c>
      <x:c r="AN271" s="81" t="inlineStr">
        <x:is>
          <x:t xml:space="preserve">2026-09-18</x:t>
        </x:is>
      </x:c>
      <x:c r="AO271" s="81" t="inlineStr">
        <x:is>
          <x:t xml:space="preserve">Day 3 full-scope audit, chapters 51–81.</x:t>
        </x:is>
      </x:c>
    </x:row>
    <x:row r="272">
      <x:c r="A272" s="81" t="inlineStr">
        <x:is>
          <x:t xml:space="preserve">research.laozi.day3.ch70.090</x:t>
        </x:is>
      </x:c>
      <x:c r="B272" s="81" t="inlineStr">
        <x:is>
          <x:t xml:space="preserve">Collected</x:t>
        </x:is>
      </x:c>
      <x:c r="C272" s="81" t="inlineStr">
        <x:is>
          <x:t xml:space="preserve">Nội tâm &amp; hiểu mình</x:t>
        </x:is>
      </x:c>
      <x:c r="D272" s="81" t="inlineStr">
        <x:is>
          <x:t xml:space="preserve">Day 3 / Laozi 51–81</x:t>
        </x:is>
      </x:c>
      <x:c r="E272" s="81" t="str"/>
      <x:c r="F272" s="81" t="inlineStr">
        <x:is>
          <x:t xml:space="preserve">Giá trị không phụ thuộc hoàn toàn vào số đông hiểu mình</x:t>
        </x:is>
      </x:c>
      <x:c r="G272" s="81" t="inlineStr">
        <x:is>
          <x:t xml:space="preserve">Self-worth</x:t>
        </x:is>
      </x:c>
      <x:c r="H272" s="81" t="str"/>
      <x:c r="I272" s="81" t="str"/>
      <x:c r="J272" s="81" t="str"/>
      <x:c r="K272" s="81" t="inlineStr">
        <x:is>
          <x:t xml:space="preserve">Reframe</x:t>
        </x:is>
      </x:c>
      <x:c r="L272" s="81" t="inlineStr">
        <x:is>
          <x:t xml:space="preserve">Distinguish</x:t>
        </x:is>
      </x:c>
      <x:c r="M272" s="81" t="inlineStr">
        <x:is>
          <x:t xml:space="preserve">Trích đoạn triết học</x:t>
        </x:is>
      </x:c>
      <x:c r="N272" s="81" t="inlineStr">
        <x:is>
          <x:t xml:space="preserve">知我者希，則我者貴。</x:t>
        </x:is>
      </x:c>
      <x:c r="O272" s="81" t="inlineStr">
        <x:is>
          <x:t xml:space="preserve">Classical Chinese (文言文)</x:t>
        </x:is>
      </x:c>
      <x:c r="P272" s="81" t="inlineStr">
        <x:is>
          <x:t xml:space="preserve">Ít người hiểu không tự động làm điều ấy kém giá trị.</x:t>
        </x:is>
      </x:c>
      <x:c r="Q272" s="81" t="inlineStr">
        <x:is>
          <x:t xml:space="preserve">Laozi / 老子</x:t>
        </x:is>
      </x:c>
      <x:c r="R272" s="81" t="inlineStr">
        <x:is>
          <x:t xml:space="preserve">Taoism</x:t>
        </x:is>
      </x:c>
      <x:c r="S272" s="81" t="inlineStr">
        <x:is>
          <x:t xml:space="preserve">道德經 / Tao Te Ching</x:t>
        </x:is>
      </x:c>
      <x:c r="T272" s="81" t="inlineStr">
        <x:is>
          <x:t xml:space="preserve">Chapter 70</x:t>
        </x:is>
      </x:c>
      <x:c r="U272" s="81" t="inlineStr">
        <x:is>
          <x:t xml:space="preserve">https://zh.wikisource.org/zh-hant/%E9%81%93%E5%BE%B7%E7%B6%93_(%E7%8E%8B%E5%BC%BC%E6%9C%AC)</x:t>
        </x:is>
      </x:c>
      <x:c r="V272" s="81" t="inlineStr">
        <x:is>
          <x:t xml:space="preserve">Primary text</x:t>
        </x:is>
      </x:c>
      <x:c r="W272" s="81" t="inlineStr">
        <x:is>
          <x:t xml:space="preserve">Working translation</x:t>
        </x:is>
      </x:c>
      <x:c r="X272" s="81" t="inlineStr">
        <x:is>
          <x:t xml:space="preserve">A - Primary source</x:t>
        </x:is>
      </x:c>
      <x:c r="Y272" s="81" t="inlineStr">
        <x:is>
          <x:t xml:space="preserve">Original Chinese checked against Wang Bi recension on Chinese Wikisource. Vietnamese is Selflo working translation, not a published translation.</x:t>
        </x:is>
      </x:c>
      <x:c r="Z272" s="81" t="inlineStr">
        <x:is>
          <x:t xml:space="preserve">Public domain / likely</x:t>
        </x:is>
      </x:c>
      <x:c r="AA272" s="81" t="inlineStr">
        <x:is>
          <x:t xml:space="preserve">Ancient source text; verify edition/jurisdiction before commercial publication.</x:t>
        </x:is>
      </x:c>
      <x:c r="AB272" s="81" t="inlineStr">
        <x:is>
          <x:t xml:space="preserve">High</x:t>
        </x:is>
      </x:c>
      <x:c r="AC272" s="81" t="inlineStr">
        <x:is>
          <x:t xml:space="preserve">Working interpretation.</x:t>
        </x:is>
      </x:c>
      <x:c r="AD272" s="81" t="inlineStr">
        <x:is>
          <x:t xml:space="preserve">Needs editorial review</x:t>
        </x:is>
      </x:c>
      <x:c r="AE272" s="81" t="inlineStr">
        <x:is>
          <x:t xml:space="preserve">Needs semantic dedupe review</x:t>
        </x:is>
      </x:c>
      <x:c r="AF272" s="81" t="str"/>
      <x:c r="AG272" s="81" t="str"/>
      <x:c r="AH272" s="81" t="inlineStr">
        <x:is>
          <x:t xml:space="preserve">No</x:t>
        </x:is>
      </x:c>
      <x:c r="AI272" s="81" t="inlineStr">
        <x:is>
          <x:t xml:space="preserve">Not reviewed</x:t>
        </x:is>
      </x:c>
      <x:c r="AJ272" s="81" t="inlineStr">
        <x:is>
          <x:t xml:space="preserve">Research only</x:t>
        </x:is>
      </x:c>
      <x:c r="AK272" s="81" t="inlineStr">
        <x:is>
          <x:t xml:space="preserve">Research Pool</x:t>
        </x:is>
      </x:c>
      <x:c r="AL272" s="81" t="n">
        <x:v>3</x:v>
      </x:c>
      <x:c r="AM272" s="81" t="inlineStr">
        <x:is>
          <x:t xml:space="preserve">ChatGPT research</x:t>
        </x:is>
      </x:c>
      <x:c r="AN272" s="81" t="inlineStr">
        <x:is>
          <x:t xml:space="preserve">2026-09-18</x:t>
        </x:is>
      </x:c>
      <x:c r="AO272" s="81" t="inlineStr">
        <x:is>
          <x:t xml:space="preserve">Day 3 full-scope audit, chapters 51–81.</x:t>
        </x:is>
      </x:c>
    </x:row>
    <x:row r="273">
      <x:c r="A273" s="81" t="inlineStr">
        <x:is>
          <x:t xml:space="preserve">research.laozi.day3.ch70.091</x:t>
        </x:is>
      </x:c>
      <x:c r="B273" s="81" t="inlineStr">
        <x:is>
          <x:t xml:space="preserve">Collected</x:t>
        </x:is>
      </x:c>
      <x:c r="C273" s="81" t="inlineStr">
        <x:is>
          <x:t xml:space="preserve">Nội tâm &amp; hiểu mình</x:t>
        </x:is>
      </x:c>
      <x:c r="D273" s="81" t="inlineStr">
        <x:is>
          <x:t xml:space="preserve">Day 3 / Laozi 51–81</x:t>
        </x:is>
      </x:c>
      <x:c r="E273" s="81" t="str"/>
      <x:c r="F273" s="81" t="inlineStr">
        <x:is>
          <x:t xml:space="preserve">Bề ngoài bình thường có thể chứa giá trị sâu</x:t>
        </x:is>
      </x:c>
      <x:c r="G273" s="81" t="inlineStr">
        <x:is>
          <x:t xml:space="preserve">Self-worth</x:t>
        </x:is>
      </x:c>
      <x:c r="H273" s="81" t="str"/>
      <x:c r="I273" s="81" t="str"/>
      <x:c r="J273" s="81" t="str"/>
      <x:c r="K273" s="81" t="inlineStr">
        <x:is>
          <x:t xml:space="preserve">Reframe</x:t>
        </x:is>
      </x:c>
      <x:c r="L273" s="81" t="inlineStr">
        <x:is>
          <x:t xml:space="preserve">Distinguish</x:t>
        </x:is>
      </x:c>
      <x:c r="M273" s="81" t="inlineStr">
        <x:is>
          <x:t xml:space="preserve">Trích đoạn triết học</x:t>
        </x:is>
      </x:c>
      <x:c r="N273" s="81" t="inlineStr">
        <x:is>
          <x:t xml:space="preserve">聖人被褐懷玉。</x:t>
        </x:is>
      </x:c>
      <x:c r="O273" s="81" t="inlineStr">
        <x:is>
          <x:t xml:space="preserve">Classical Chinese (文言文)</x:t>
        </x:is>
      </x:c>
      <x:c r="P273" s="81" t="inlineStr">
        <x:is>
          <x:t xml:space="preserve">Bên ngoài mặc vải thô, bên trong giữ ngọc.</x:t>
        </x:is>
      </x:c>
      <x:c r="Q273" s="81" t="inlineStr">
        <x:is>
          <x:t xml:space="preserve">Laozi / 老子</x:t>
        </x:is>
      </x:c>
      <x:c r="R273" s="81" t="inlineStr">
        <x:is>
          <x:t xml:space="preserve">Taoism</x:t>
        </x:is>
      </x:c>
      <x:c r="S273" s="81" t="inlineStr">
        <x:is>
          <x:t xml:space="preserve">道德經 / Tao Te Ching</x:t>
        </x:is>
      </x:c>
      <x:c r="T273" s="81" t="inlineStr">
        <x:is>
          <x:t xml:space="preserve">Chapter 70</x:t>
        </x:is>
      </x:c>
      <x:c r="U273" s="81" t="inlineStr">
        <x:is>
          <x:t xml:space="preserve">https://zh.wikisource.org/zh-hant/%E9%81%93%E5%BE%B7%E7%B6%93_(%E7%8E%8B%E5%BC%BC%E6%9C%AC)</x:t>
        </x:is>
      </x:c>
      <x:c r="V273" s="81" t="inlineStr">
        <x:is>
          <x:t xml:space="preserve">Primary text</x:t>
        </x:is>
      </x:c>
      <x:c r="W273" s="81" t="inlineStr">
        <x:is>
          <x:t xml:space="preserve">Working translation</x:t>
        </x:is>
      </x:c>
      <x:c r="X273" s="81" t="inlineStr">
        <x:is>
          <x:t xml:space="preserve">A - Primary source</x:t>
        </x:is>
      </x:c>
      <x:c r="Y273" s="81" t="inlineStr">
        <x:is>
          <x:t xml:space="preserve">Original Chinese checked against Wang Bi recension on Chinese Wikisource. Vietnamese is Selflo working translation, not a published translation.</x:t>
        </x:is>
      </x:c>
      <x:c r="Z273" s="81" t="inlineStr">
        <x:is>
          <x:t xml:space="preserve">Public domain / likely</x:t>
        </x:is>
      </x:c>
      <x:c r="AA273" s="81" t="inlineStr">
        <x:is>
          <x:t xml:space="preserve">Ancient source text; verify edition/jurisdiction before commercial publication.</x:t>
        </x:is>
      </x:c>
      <x:c r="AB273" s="81" t="inlineStr">
        <x:is>
          <x:t xml:space="preserve">High</x:t>
        </x:is>
      </x:c>
      <x:c r="AC273" s="81" t="inlineStr">
        <x:is>
          <x:t xml:space="preserve">Excellent metaphor.</x:t>
        </x:is>
      </x:c>
      <x:c r="AD273" s="81" t="inlineStr">
        <x:is>
          <x:t xml:space="preserve">Needs editorial review</x:t>
        </x:is>
      </x:c>
      <x:c r="AE273" s="81" t="inlineStr">
        <x:is>
          <x:t xml:space="preserve">Needs semantic dedupe review</x:t>
        </x:is>
      </x:c>
      <x:c r="AF273" s="81" t="str"/>
      <x:c r="AG273" s="81" t="str"/>
      <x:c r="AH273" s="81" t="inlineStr">
        <x:is>
          <x:t xml:space="preserve">No</x:t>
        </x:is>
      </x:c>
      <x:c r="AI273" s="81" t="inlineStr">
        <x:is>
          <x:t xml:space="preserve">Not reviewed</x:t>
        </x:is>
      </x:c>
      <x:c r="AJ273" s="81" t="inlineStr">
        <x:is>
          <x:t xml:space="preserve">Research only</x:t>
        </x:is>
      </x:c>
      <x:c r="AK273" s="81" t="inlineStr">
        <x:is>
          <x:t xml:space="preserve">Research Pool</x:t>
        </x:is>
      </x:c>
      <x:c r="AL273" s="81" t="n">
        <x:v>3</x:v>
      </x:c>
      <x:c r="AM273" s="81" t="inlineStr">
        <x:is>
          <x:t xml:space="preserve">ChatGPT research</x:t>
        </x:is>
      </x:c>
      <x:c r="AN273" s="81" t="inlineStr">
        <x:is>
          <x:t xml:space="preserve">2026-09-18</x:t>
        </x:is>
      </x:c>
      <x:c r="AO273" s="81" t="inlineStr">
        <x:is>
          <x:t xml:space="preserve">Day 3 full-scope audit, chapters 51–81.</x:t>
        </x:is>
      </x:c>
    </x:row>
    <x:row r="274">
      <x:c r="A274" s="81" t="inlineStr">
        <x:is>
          <x:t xml:space="preserve">research.laozi.day3.ch71.092</x:t>
        </x:is>
      </x:c>
      <x:c r="B274" s="81" t="inlineStr">
        <x:is>
          <x:t xml:space="preserve">Collected</x:t>
        </x:is>
      </x:c>
      <x:c r="C274" s="81" t="inlineStr">
        <x:is>
          <x:t xml:space="preserve">AI &amp; tương lai</x:t>
        </x:is>
      </x:c>
      <x:c r="D274" s="81" t="inlineStr">
        <x:is>
          <x:t xml:space="preserve">Day 3 / Laozi 51–81</x:t>
        </x:is>
      </x:c>
      <x:c r="E274" s="81" t="str"/>
      <x:c r="F274" s="81" t="inlineStr">
        <x:is>
          <x:t xml:space="preserve">Nhận ra giới hạn hiểu biết</x:t>
        </x:is>
      </x:c>
      <x:c r="G274" s="81" t="inlineStr">
        <x:is>
          <x:t xml:space="preserve">Judgment</x:t>
        </x:is>
      </x:c>
      <x:c r="H274" s="81" t="str"/>
      <x:c r="I274" s="81" t="str"/>
      <x:c r="J274" s="81" t="str"/>
      <x:c r="K274" s="81" t="inlineStr">
        <x:is>
          <x:t xml:space="preserve">Distinguish</x:t>
        </x:is>
      </x:c>
      <x:c r="L274" s="81" t="inlineStr">
        <x:is>
          <x:t xml:space="preserve">Recognize</x:t>
        </x:is>
      </x:c>
      <x:c r="M274" s="81" t="inlineStr">
        <x:is>
          <x:t xml:space="preserve">Trích đoạn triết học</x:t>
        </x:is>
      </x:c>
      <x:c r="N274" s="81" t="inlineStr">
        <x:is>
          <x:t xml:space="preserve">知不知上，不知知病。</x:t>
        </x:is>
      </x:c>
      <x:c r="O274" s="81" t="inlineStr">
        <x:is>
          <x:t xml:space="preserve">Classical Chinese (文言文)</x:t>
        </x:is>
      </x:c>
      <x:c r="P274" s="81" t="inlineStr">
        <x:is>
          <x:t xml:space="preserve">Biết rằng mình chưa biết là điều cao; không biết mà tưởng mình biết là một vấn đề.</x:t>
        </x:is>
      </x:c>
      <x:c r="Q274" s="81" t="inlineStr">
        <x:is>
          <x:t xml:space="preserve">Laozi / 老子</x:t>
        </x:is>
      </x:c>
      <x:c r="R274" s="81" t="inlineStr">
        <x:is>
          <x:t xml:space="preserve">Taoism</x:t>
        </x:is>
      </x:c>
      <x:c r="S274" s="81" t="inlineStr">
        <x:is>
          <x:t xml:space="preserve">道德經 / Tao Te Ching</x:t>
        </x:is>
      </x:c>
      <x:c r="T274" s="81" t="inlineStr">
        <x:is>
          <x:t xml:space="preserve">Chapter 71</x:t>
        </x:is>
      </x:c>
      <x:c r="U274" s="81" t="inlineStr">
        <x:is>
          <x:t xml:space="preserve">https://zh.wikisource.org/zh-hant/%E9%81%93%E5%BE%B7%E7%B6%93_(%E7%8E%8B%E5%BC%BC%E6%9C%AC)</x:t>
        </x:is>
      </x:c>
      <x:c r="V274" s="81" t="inlineStr">
        <x:is>
          <x:t xml:space="preserve">Primary text</x:t>
        </x:is>
      </x:c>
      <x:c r="W274" s="81" t="inlineStr">
        <x:is>
          <x:t xml:space="preserve">Working translation</x:t>
        </x:is>
      </x:c>
      <x:c r="X274" s="81" t="inlineStr">
        <x:is>
          <x:t xml:space="preserve">A - Primary source</x:t>
        </x:is>
      </x:c>
      <x:c r="Y274" s="81" t="inlineStr">
        <x:is>
          <x:t xml:space="preserve">Original Chinese checked against Wang Bi recension on Chinese Wikisource. Vietnamese is Selflo working translation, not a published translation.</x:t>
        </x:is>
      </x:c>
      <x:c r="Z274" s="81" t="inlineStr">
        <x:is>
          <x:t xml:space="preserve">Public domain / likely</x:t>
        </x:is>
      </x:c>
      <x:c r="AA274" s="81" t="inlineStr">
        <x:is>
          <x:t xml:space="preserve">Ancient source text; verify edition/jurisdiction before commercial publication.</x:t>
        </x:is>
      </x:c>
      <x:c r="AB274" s="81" t="inlineStr">
        <x:is>
          <x:t xml:space="preserve">High</x:t>
        </x:is>
      </x:c>
      <x:c r="AC274" s="81" t="inlineStr">
        <x:is>
          <x:t xml:space="preserve">Core AI-era principle.</x:t>
        </x:is>
      </x:c>
      <x:c r="AD274" s="81" t="inlineStr">
        <x:is>
          <x:t xml:space="preserve">Needs editorial review</x:t>
        </x:is>
      </x:c>
      <x:c r="AE274" s="81" t="inlineStr">
        <x:is>
          <x:t xml:space="preserve">Needs semantic dedupe review</x:t>
        </x:is>
      </x:c>
      <x:c r="AF274" s="81" t="str"/>
      <x:c r="AG274" s="81" t="str"/>
      <x:c r="AH274" s="81" t="inlineStr">
        <x:is>
          <x:t xml:space="preserve">No</x:t>
        </x:is>
      </x:c>
      <x:c r="AI274" s="81" t="inlineStr">
        <x:is>
          <x:t xml:space="preserve">Not reviewed</x:t>
        </x:is>
      </x:c>
      <x:c r="AJ274" s="81" t="inlineStr">
        <x:is>
          <x:t xml:space="preserve">Research only</x:t>
        </x:is>
      </x:c>
      <x:c r="AK274" s="81" t="inlineStr">
        <x:is>
          <x:t xml:space="preserve">Research Pool</x:t>
        </x:is>
      </x:c>
      <x:c r="AL274" s="81" t="n">
        <x:v>3</x:v>
      </x:c>
      <x:c r="AM274" s="81" t="inlineStr">
        <x:is>
          <x:t xml:space="preserve">ChatGPT research</x:t>
        </x:is>
      </x:c>
      <x:c r="AN274" s="81" t="inlineStr">
        <x:is>
          <x:t xml:space="preserve">2026-09-18</x:t>
        </x:is>
      </x:c>
      <x:c r="AO274" s="81" t="inlineStr">
        <x:is>
          <x:t xml:space="preserve">Day 3 full-scope audit, chapters 51–81.</x:t>
        </x:is>
      </x:c>
    </x:row>
    <x:row r="275">
      <x:c r="A275" s="81" t="inlineStr">
        <x:is>
          <x:t xml:space="preserve">research.laozi.day3.ch71.093</x:t>
        </x:is>
      </x:c>
      <x:c r="B275" s="81" t="inlineStr">
        <x:is>
          <x:t xml:space="preserve">Collected</x:t>
        </x:is>
      </x:c>
      <x:c r="C275" s="81" t="inlineStr">
        <x:is>
          <x:t xml:space="preserve">AI &amp; tương lai</x:t>
        </x:is>
      </x:c>
      <x:c r="D275" s="81" t="inlineStr">
        <x:is>
          <x:t xml:space="preserve">Day 3 / Laozi 51–81</x:t>
        </x:is>
      </x:c>
      <x:c r="E275" s="81" t="str"/>
      <x:c r="F275" s="81" t="inlineStr">
        <x:is>
          <x:t xml:space="preserve">Nhận ra blind spot là một phần của sáng rõ</x:t>
        </x:is>
      </x:c>
      <x:c r="G275" s="81" t="inlineStr">
        <x:is>
          <x:t xml:space="preserve">Judgment</x:t>
        </x:is>
      </x:c>
      <x:c r="H275" s="81" t="str"/>
      <x:c r="I275" s="81" t="str"/>
      <x:c r="J275" s="81" t="str"/>
      <x:c r="K275" s="81" t="inlineStr">
        <x:is>
          <x:t xml:space="preserve">Recognize</x:t>
        </x:is>
      </x:c>
      <x:c r="L275" s="81" t="inlineStr">
        <x:is>
          <x:t xml:space="preserve">Distinguish</x:t>
        </x:is>
      </x:c>
      <x:c r="M275" s="81" t="inlineStr">
        <x:is>
          <x:t xml:space="preserve">Trích đoạn triết học</x:t>
        </x:is>
      </x:c>
      <x:c r="N275" s="81" t="inlineStr">
        <x:is>
          <x:t xml:space="preserve">夫唯病病，是以不病。</x:t>
        </x:is>
      </x:c>
      <x:c r="O275" s="81" t="inlineStr">
        <x:is>
          <x:t xml:space="preserve">Classical Chinese (文言文)</x:t>
        </x:is>
      </x:c>
      <x:c r="P275" s="81" t="inlineStr">
        <x:is>
          <x:t xml:space="preserve">Chính vì nhận ra vấn đề của việc tưởng mình biết nên có thể tránh mắc vào nó.</x:t>
        </x:is>
      </x:c>
      <x:c r="Q275" s="81" t="inlineStr">
        <x:is>
          <x:t xml:space="preserve">Laozi / 老子</x:t>
        </x:is>
      </x:c>
      <x:c r="R275" s="81" t="inlineStr">
        <x:is>
          <x:t xml:space="preserve">Taoism</x:t>
        </x:is>
      </x:c>
      <x:c r="S275" s="81" t="inlineStr">
        <x:is>
          <x:t xml:space="preserve">道德經 / Tao Te Ching</x:t>
        </x:is>
      </x:c>
      <x:c r="T275" s="81" t="inlineStr">
        <x:is>
          <x:t xml:space="preserve">Chapter 71</x:t>
        </x:is>
      </x:c>
      <x:c r="U275" s="81" t="inlineStr">
        <x:is>
          <x:t xml:space="preserve">https://zh.wikisource.org/zh-hant/%E9%81%93%E5%BE%B7%E7%B6%93_(%E7%8E%8B%E5%BC%BC%E6%9C%AC)</x:t>
        </x:is>
      </x:c>
      <x:c r="V275" s="81" t="inlineStr">
        <x:is>
          <x:t xml:space="preserve">Primary text</x:t>
        </x:is>
      </x:c>
      <x:c r="W275" s="81" t="inlineStr">
        <x:is>
          <x:t xml:space="preserve">Working translation</x:t>
        </x:is>
      </x:c>
      <x:c r="X275" s="81" t="inlineStr">
        <x:is>
          <x:t xml:space="preserve">A - Primary source</x:t>
        </x:is>
      </x:c>
      <x:c r="Y275" s="81" t="inlineStr">
        <x:is>
          <x:t xml:space="preserve">Original Chinese checked against Wang Bi recension on Chinese Wikisource. Vietnamese is Selflo working translation, not a published translation.</x:t>
        </x:is>
      </x:c>
      <x:c r="Z275" s="81" t="inlineStr">
        <x:is>
          <x:t xml:space="preserve">Public domain / likely</x:t>
        </x:is>
      </x:c>
      <x:c r="AA275" s="81" t="inlineStr">
        <x:is>
          <x:t xml:space="preserve">Ancient source text; verify edition/jurisdiction before commercial publication.</x:t>
        </x:is>
      </x:c>
      <x:c r="AB275" s="81" t="inlineStr">
        <x:is>
          <x:t xml:space="preserve">High</x:t>
        </x:is>
      </x:c>
      <x:c r="AC275" s="81" t="inlineStr">
        <x:is>
          <x:t xml:space="preserve">Strong.</x:t>
        </x:is>
      </x:c>
      <x:c r="AD275" s="81" t="inlineStr">
        <x:is>
          <x:t xml:space="preserve">Needs editorial review</x:t>
        </x:is>
      </x:c>
      <x:c r="AE275" s="81" t="inlineStr">
        <x:is>
          <x:t xml:space="preserve">Needs semantic dedupe review</x:t>
        </x:is>
      </x:c>
      <x:c r="AF275" s="81" t="str"/>
      <x:c r="AG275" s="81" t="str"/>
      <x:c r="AH275" s="81" t="inlineStr">
        <x:is>
          <x:t xml:space="preserve">No</x:t>
        </x:is>
      </x:c>
      <x:c r="AI275" s="81" t="inlineStr">
        <x:is>
          <x:t xml:space="preserve">Not reviewed</x:t>
        </x:is>
      </x:c>
      <x:c r="AJ275" s="81" t="inlineStr">
        <x:is>
          <x:t xml:space="preserve">Research only</x:t>
        </x:is>
      </x:c>
      <x:c r="AK275" s="81" t="inlineStr">
        <x:is>
          <x:t xml:space="preserve">Research Pool</x:t>
        </x:is>
      </x:c>
      <x:c r="AL275" s="81" t="n">
        <x:v>3</x:v>
      </x:c>
      <x:c r="AM275" s="81" t="inlineStr">
        <x:is>
          <x:t xml:space="preserve">ChatGPT research</x:t>
        </x:is>
      </x:c>
      <x:c r="AN275" s="81" t="inlineStr">
        <x:is>
          <x:t xml:space="preserve">2026-09-18</x:t>
        </x:is>
      </x:c>
      <x:c r="AO275" s="81" t="inlineStr">
        <x:is>
          <x:t xml:space="preserve">Day 3 full-scope audit, chapters 51–81.</x:t>
        </x:is>
      </x:c>
    </x:row>
    <x:row r="276">
      <x:c r="A276" s="81" t="inlineStr">
        <x:is>
          <x:t xml:space="preserve">research.laozi.day3.ch72.094</x:t>
        </x:is>
      </x:c>
      <x:c r="B276" s="81" t="inlineStr">
        <x:is>
          <x:t xml:space="preserve">Collected</x:t>
        </x:is>
      </x:c>
      <x:c r="C276" s="81" t="inlineStr">
        <x:is>
          <x:t xml:space="preserve">Quan hệ</x:t>
        </x:is>
      </x:c>
      <x:c r="D276" s="81" t="inlineStr">
        <x:is>
          <x:t xml:space="preserve">Day 3 / Laozi 51–81</x:t>
        </x:is>
      </x:c>
      <x:c r="E276" s="81" t="str"/>
      <x:c r="F276" s="81" t="inlineStr">
        <x:is>
          <x:t xml:space="preserve">Không gian sống và phẩm giá cần được tôn trọng</x:t>
        </x:is>
      </x:c>
      <x:c r="G276" s="81" t="inlineStr">
        <x:is>
          <x:t xml:space="preserve">Boundaries</x:t>
        </x:is>
      </x:c>
      <x:c r="H276" s="81" t="str"/>
      <x:c r="I276" s="81" t="str"/>
      <x:c r="J276" s="81" t="str"/>
      <x:c r="K276" s="81" t="inlineStr">
        <x:is>
          <x:t xml:space="preserve">Recognize</x:t>
        </x:is>
      </x:c>
      <x:c r="L276" s="81" t="inlineStr">
        <x:is>
          <x:t xml:space="preserve">Distinguish</x:t>
        </x:is>
      </x:c>
      <x:c r="M276" s="81" t="inlineStr">
        <x:is>
          <x:t xml:space="preserve">Trích đoạn triết học</x:t>
        </x:is>
      </x:c>
      <x:c r="N276" s="81" t="inlineStr">
        <x:is>
          <x:t xml:space="preserve">無狎其所居，無厭其所生。</x:t>
        </x:is>
      </x:c>
      <x:c r="O276" s="81" t="inlineStr">
        <x:is>
          <x:t xml:space="preserve">Classical Chinese (文言文)</x:t>
        </x:is>
      </x:c>
      <x:c r="P276" s="81" t="inlineStr">
        <x:is>
          <x:t xml:space="preserve">Đừng làm chật nơi người khác sống; đừng khiến họ chán chính đời sống của mình.</x:t>
        </x:is>
      </x:c>
      <x:c r="Q276" s="81" t="inlineStr">
        <x:is>
          <x:t xml:space="preserve">Laozi / 老子</x:t>
        </x:is>
      </x:c>
      <x:c r="R276" s="81" t="inlineStr">
        <x:is>
          <x:t xml:space="preserve">Taoism</x:t>
        </x:is>
      </x:c>
      <x:c r="S276" s="81" t="inlineStr">
        <x:is>
          <x:t xml:space="preserve">道德經 / Tao Te Ching</x:t>
        </x:is>
      </x:c>
      <x:c r="T276" s="81" t="inlineStr">
        <x:is>
          <x:t xml:space="preserve">Chapter 72</x:t>
        </x:is>
      </x:c>
      <x:c r="U276" s="81" t="inlineStr">
        <x:is>
          <x:t xml:space="preserve">https://zh.wikisource.org/zh-hant/%E9%81%93%E5%BE%B7%E7%B6%93_(%E7%8E%8B%E5%BC%BC%E6%9C%AC)</x:t>
        </x:is>
      </x:c>
      <x:c r="V276" s="81" t="inlineStr">
        <x:is>
          <x:t xml:space="preserve">Primary text</x:t>
        </x:is>
      </x:c>
      <x:c r="W276" s="81" t="inlineStr">
        <x:is>
          <x:t xml:space="preserve">Working translation</x:t>
        </x:is>
      </x:c>
      <x:c r="X276" s="81" t="inlineStr">
        <x:is>
          <x:t xml:space="preserve">A - Primary source</x:t>
        </x:is>
      </x:c>
      <x:c r="Y276" s="81" t="inlineStr">
        <x:is>
          <x:t xml:space="preserve">Original Chinese checked against Wang Bi recension on Chinese Wikisource. Vietnamese is Selflo working translation, not a published translation.</x:t>
        </x:is>
      </x:c>
      <x:c r="Z276" s="81" t="inlineStr">
        <x:is>
          <x:t xml:space="preserve">Public domain / likely</x:t>
        </x:is>
      </x:c>
      <x:c r="AA276" s="81" t="inlineStr">
        <x:is>
          <x:t xml:space="preserve">Ancient source text; verify edition/jurisdiction before commercial publication.</x:t>
        </x:is>
      </x:c>
      <x:c r="AB276" s="81" t="inlineStr">
        <x:is>
          <x:t xml:space="preserve">High</x:t>
        </x:is>
      </x:c>
      <x:c r="AC276" s="81" t="inlineStr">
        <x:is>
          <x:t xml:space="preserve">Political origin, relational relevance.</x:t>
        </x:is>
      </x:c>
      <x:c r="AD276" s="81" t="inlineStr">
        <x:is>
          <x:t xml:space="preserve">Needs editorial review</x:t>
        </x:is>
      </x:c>
      <x:c r="AE276" s="81" t="inlineStr">
        <x:is>
          <x:t xml:space="preserve">Needs semantic dedupe review</x:t>
        </x:is>
      </x:c>
      <x:c r="AF276" s="81" t="str"/>
      <x:c r="AG276" s="81" t="str"/>
      <x:c r="AH276" s="81" t="inlineStr">
        <x:is>
          <x:t xml:space="preserve">No</x:t>
        </x:is>
      </x:c>
      <x:c r="AI276" s="81" t="inlineStr">
        <x:is>
          <x:t xml:space="preserve">Not reviewed</x:t>
        </x:is>
      </x:c>
      <x:c r="AJ276" s="81" t="inlineStr">
        <x:is>
          <x:t xml:space="preserve">Research only</x:t>
        </x:is>
      </x:c>
      <x:c r="AK276" s="81" t="inlineStr">
        <x:is>
          <x:t xml:space="preserve">Research Pool</x:t>
        </x:is>
      </x:c>
      <x:c r="AL276" s="81" t="n">
        <x:v>3</x:v>
      </x:c>
      <x:c r="AM276" s="81" t="inlineStr">
        <x:is>
          <x:t xml:space="preserve">ChatGPT research</x:t>
        </x:is>
      </x:c>
      <x:c r="AN276" s="81" t="inlineStr">
        <x:is>
          <x:t xml:space="preserve">2026-09-18</x:t>
        </x:is>
      </x:c>
      <x:c r="AO276" s="81" t="inlineStr">
        <x:is>
          <x:t xml:space="preserve">Day 3 full-scope audit, chapters 51–81.</x:t>
        </x:is>
      </x:c>
    </x:row>
    <x:row r="277">
      <x:c r="A277" s="81" t="inlineStr">
        <x:is>
          <x:t xml:space="preserve">research.laozi.day3.ch72.095</x:t>
        </x:is>
      </x:c>
      <x:c r="B277" s="81" t="inlineStr">
        <x:is>
          <x:t xml:space="preserve">Collected</x:t>
        </x:is>
      </x:c>
      <x:c r="C277" s="81" t="inlineStr">
        <x:is>
          <x:t xml:space="preserve">Quan hệ</x:t>
        </x:is>
      </x:c>
      <x:c r="D277" s="81" t="inlineStr">
        <x:is>
          <x:t xml:space="preserve">Day 3 / Laozi 51–81</x:t>
        </x:is>
      </x:c>
      <x:c r="E277" s="81" t="str"/>
      <x:c r="F277" s="81" t="inlineStr">
        <x:is>
          <x:t xml:space="preserve">Áp lực tạo phản lực trong quan hệ</x:t>
        </x:is>
      </x:c>
      <x:c r="G277" s="81" t="inlineStr">
        <x:is>
          <x:t xml:space="preserve">Relationships</x:t>
        </x:is>
      </x:c>
      <x:c r="H277" s="81" t="str"/>
      <x:c r="I277" s="81" t="str"/>
      <x:c r="J277" s="81" t="str"/>
      <x:c r="K277" s="81" t="inlineStr">
        <x:is>
          <x:t xml:space="preserve">Reframe</x:t>
        </x:is>
      </x:c>
      <x:c r="L277" s="81" t="inlineStr">
        <x:is>
          <x:t xml:space="preserve">Distinguish</x:t>
        </x:is>
      </x:c>
      <x:c r="M277" s="81" t="inlineStr">
        <x:is>
          <x:t xml:space="preserve">Trích đoạn triết học</x:t>
        </x:is>
      </x:c>
      <x:c r="N277" s="81" t="inlineStr">
        <x:is>
          <x:t xml:space="preserve">夫唯不厭，是以不厭。</x:t>
        </x:is>
      </x:c>
      <x:c r="O277" s="81" t="inlineStr">
        <x:is>
          <x:t xml:space="preserve">Classical Chinese (文言文)</x:t>
        </x:is>
      </x:c>
      <x:c r="P277" s="81" t="inlineStr">
        <x:is>
          <x:t xml:space="preserve">Khi không làm người khác bị ngột ngạt, mình cũng ít trở thành điều họ muốn tránh.</x:t>
        </x:is>
      </x:c>
      <x:c r="Q277" s="81" t="inlineStr">
        <x:is>
          <x:t xml:space="preserve">Laozi / 老子</x:t>
        </x:is>
      </x:c>
      <x:c r="R277" s="81" t="inlineStr">
        <x:is>
          <x:t xml:space="preserve">Taoism</x:t>
        </x:is>
      </x:c>
      <x:c r="S277" s="81" t="inlineStr">
        <x:is>
          <x:t xml:space="preserve">道德經 / Tao Te Ching</x:t>
        </x:is>
      </x:c>
      <x:c r="T277" s="81" t="inlineStr">
        <x:is>
          <x:t xml:space="preserve">Chapter 72</x:t>
        </x:is>
      </x:c>
      <x:c r="U277" s="81" t="inlineStr">
        <x:is>
          <x:t xml:space="preserve">https://zh.wikisource.org/zh-hant/%E9%81%93%E5%BE%B7%E7%B6%93_(%E7%8E%8B%E5%BC%BC%E6%9C%AC)</x:t>
        </x:is>
      </x:c>
      <x:c r="V277" s="81" t="inlineStr">
        <x:is>
          <x:t xml:space="preserve">Primary text</x:t>
        </x:is>
      </x:c>
      <x:c r="W277" s="81" t="inlineStr">
        <x:is>
          <x:t xml:space="preserve">Working translation</x:t>
        </x:is>
      </x:c>
      <x:c r="X277" s="81" t="inlineStr">
        <x:is>
          <x:t xml:space="preserve">A - Primary source</x:t>
        </x:is>
      </x:c>
      <x:c r="Y277" s="81" t="inlineStr">
        <x:is>
          <x:t xml:space="preserve">Original Chinese checked against Wang Bi recension on Chinese Wikisource. Vietnamese is Selflo working translation, not a published translation.</x:t>
        </x:is>
      </x:c>
      <x:c r="Z277" s="81" t="inlineStr">
        <x:is>
          <x:t xml:space="preserve">Public domain / likely</x:t>
        </x:is>
      </x:c>
      <x:c r="AA277" s="81" t="inlineStr">
        <x:is>
          <x:t xml:space="preserve">Ancient source text; verify edition/jurisdiction before commercial publication.</x:t>
        </x:is>
      </x:c>
      <x:c r="AB277" s="81" t="inlineStr">
        <x:is>
          <x:t xml:space="preserve">Medium</x:t>
        </x:is>
      </x:c>
      <x:c r="AC277" s="81" t="inlineStr">
        <x:is>
          <x:t xml:space="preserve">Interpretive.</x:t>
        </x:is>
      </x:c>
      <x:c r="AD277" s="81" t="inlineStr">
        <x:is>
          <x:t xml:space="preserve">Needs editorial review</x:t>
        </x:is>
      </x:c>
      <x:c r="AE277" s="81" t="inlineStr">
        <x:is>
          <x:t xml:space="preserve">Needs semantic dedupe review</x:t>
        </x:is>
      </x:c>
      <x:c r="AF277" s="81" t="str"/>
      <x:c r="AG277" s="81" t="str"/>
      <x:c r="AH277" s="81" t="inlineStr">
        <x:is>
          <x:t xml:space="preserve">No</x:t>
        </x:is>
      </x:c>
      <x:c r="AI277" s="81" t="inlineStr">
        <x:is>
          <x:t xml:space="preserve">Not reviewed</x:t>
        </x:is>
      </x:c>
      <x:c r="AJ277" s="81" t="inlineStr">
        <x:is>
          <x:t xml:space="preserve">Research only</x:t>
        </x:is>
      </x:c>
      <x:c r="AK277" s="81" t="inlineStr">
        <x:is>
          <x:t xml:space="preserve">Research Pool</x:t>
        </x:is>
      </x:c>
      <x:c r="AL277" s="81" t="n">
        <x:v>3</x:v>
      </x:c>
      <x:c r="AM277" s="81" t="inlineStr">
        <x:is>
          <x:t xml:space="preserve">ChatGPT research</x:t>
        </x:is>
      </x:c>
      <x:c r="AN277" s="81" t="inlineStr">
        <x:is>
          <x:t xml:space="preserve">2026-09-18</x:t>
        </x:is>
      </x:c>
      <x:c r="AO277" s="81" t="inlineStr">
        <x:is>
          <x:t xml:space="preserve">Day 3 full-scope audit, chapters 51–81.</x:t>
        </x:is>
      </x:c>
    </x:row>
    <x:row r="278">
      <x:c r="A278" s="81" t="inlineStr">
        <x:is>
          <x:t xml:space="preserve">research.laozi.day3.ch72.096</x:t>
        </x:is>
      </x:c>
      <x:c r="B278" s="81" t="inlineStr">
        <x:is>
          <x:t xml:space="preserve">Collected</x:t>
        </x:is>
      </x:c>
      <x:c r="C278" s="81" t="inlineStr">
        <x:is>
          <x:t xml:space="preserve">Nội tâm &amp; hiểu mình</x:t>
        </x:is>
      </x:c>
      <x:c r="D278" s="81" t="inlineStr">
        <x:is>
          <x:t xml:space="preserve">Day 3 / Laozi 51–81</x:t>
        </x:is>
      </x:c>
      <x:c r="E278" s="81" t="str"/>
      <x:c r="F278" s="81" t="inlineStr">
        <x:is>
          <x:t xml:space="preserve">Tự trọng không cần biến thành hơn người</x:t>
        </x:is>
      </x:c>
      <x:c r="G278" s="81" t="inlineStr">
        <x:is>
          <x:t xml:space="preserve">Self-worth</x:t>
        </x:is>
      </x:c>
      <x:c r="H278" s="81" t="str"/>
      <x:c r="I278" s="81" t="str"/>
      <x:c r="J278" s="81" t="str"/>
      <x:c r="K278" s="81" t="inlineStr">
        <x:is>
          <x:t xml:space="preserve">Distinguish</x:t>
        </x:is>
      </x:c>
      <x:c r="L278" s="81" t="inlineStr">
        <x:is>
          <x:t xml:space="preserve">Recognize</x:t>
        </x:is>
      </x:c>
      <x:c r="M278" s="81" t="inlineStr">
        <x:is>
          <x:t xml:space="preserve">Trích đoạn triết học</x:t>
        </x:is>
      </x:c>
      <x:c r="N278" s="81" t="inlineStr">
        <x:is>
          <x:t xml:space="preserve">自知不自見，自愛不自貴。</x:t>
        </x:is>
      </x:c>
      <x:c r="O278" s="81" t="inlineStr">
        <x:is>
          <x:t xml:space="preserve">Classical Chinese (文言文)</x:t>
        </x:is>
      </x:c>
      <x:c r="P278" s="81" t="inlineStr">
        <x:is>
          <x:t xml:space="preserve">Biết mình mà không phô mình; yêu mình mà không tự đặt mình cao hơn.</x:t>
        </x:is>
      </x:c>
      <x:c r="Q278" s="81" t="inlineStr">
        <x:is>
          <x:t xml:space="preserve">Laozi / 老子</x:t>
        </x:is>
      </x:c>
      <x:c r="R278" s="81" t="inlineStr">
        <x:is>
          <x:t xml:space="preserve">Taoism</x:t>
        </x:is>
      </x:c>
      <x:c r="S278" s="81" t="inlineStr">
        <x:is>
          <x:t xml:space="preserve">道德經 / Tao Te Ching</x:t>
        </x:is>
      </x:c>
      <x:c r="T278" s="81" t="inlineStr">
        <x:is>
          <x:t xml:space="preserve">Chapter 72</x:t>
        </x:is>
      </x:c>
      <x:c r="U278" s="81" t="inlineStr">
        <x:is>
          <x:t xml:space="preserve">https://zh.wikisource.org/zh-hant/%E9%81%93%E5%BE%B7%E7%B6%93_(%E7%8E%8B%E5%BC%BC%E6%9C%AC)</x:t>
        </x:is>
      </x:c>
      <x:c r="V278" s="81" t="inlineStr">
        <x:is>
          <x:t xml:space="preserve">Primary text</x:t>
        </x:is>
      </x:c>
      <x:c r="W278" s="81" t="inlineStr">
        <x:is>
          <x:t xml:space="preserve">Working translation</x:t>
        </x:is>
      </x:c>
      <x:c r="X278" s="81" t="inlineStr">
        <x:is>
          <x:t xml:space="preserve">A - Primary source</x:t>
        </x:is>
      </x:c>
      <x:c r="Y278" s="81" t="inlineStr">
        <x:is>
          <x:t xml:space="preserve">Original Chinese checked against Wang Bi recension on Chinese Wikisource. Vietnamese is Selflo working translation, not a published translation.</x:t>
        </x:is>
      </x:c>
      <x:c r="Z278" s="81" t="inlineStr">
        <x:is>
          <x:t xml:space="preserve">Public domain / likely</x:t>
        </x:is>
      </x:c>
      <x:c r="AA278" s="81" t="inlineStr">
        <x:is>
          <x:t xml:space="preserve">Ancient source text; verify edition/jurisdiction before commercial publication.</x:t>
        </x:is>
      </x:c>
      <x:c r="AB278" s="81" t="inlineStr">
        <x:is>
          <x:t xml:space="preserve">High</x:t>
        </x:is>
      </x:c>
      <x:c r="AC278" s="81" t="inlineStr">
        <x:is>
          <x:t xml:space="preserve">Excellent.</x:t>
        </x:is>
      </x:c>
      <x:c r="AD278" s="81" t="inlineStr">
        <x:is>
          <x:t xml:space="preserve">Needs editorial review</x:t>
        </x:is>
      </x:c>
      <x:c r="AE278" s="81" t="inlineStr">
        <x:is>
          <x:t xml:space="preserve">Needs semantic dedupe review</x:t>
        </x:is>
      </x:c>
      <x:c r="AF278" s="81" t="str"/>
      <x:c r="AG278" s="81" t="str"/>
      <x:c r="AH278" s="81" t="inlineStr">
        <x:is>
          <x:t xml:space="preserve">No</x:t>
        </x:is>
      </x:c>
      <x:c r="AI278" s="81" t="inlineStr">
        <x:is>
          <x:t xml:space="preserve">Not reviewed</x:t>
        </x:is>
      </x:c>
      <x:c r="AJ278" s="81" t="inlineStr">
        <x:is>
          <x:t xml:space="preserve">Research only</x:t>
        </x:is>
      </x:c>
      <x:c r="AK278" s="81" t="inlineStr">
        <x:is>
          <x:t xml:space="preserve">Research Pool</x:t>
        </x:is>
      </x:c>
      <x:c r="AL278" s="81" t="n">
        <x:v>3</x:v>
      </x:c>
      <x:c r="AM278" s="81" t="inlineStr">
        <x:is>
          <x:t xml:space="preserve">ChatGPT research</x:t>
        </x:is>
      </x:c>
      <x:c r="AN278" s="81" t="inlineStr">
        <x:is>
          <x:t xml:space="preserve">2026-09-18</x:t>
        </x:is>
      </x:c>
      <x:c r="AO278" s="81" t="inlineStr">
        <x:is>
          <x:t xml:space="preserve">Day 3 full-scope audit, chapters 51–81.</x:t>
        </x:is>
      </x:c>
    </x:row>
    <x:row r="279">
      <x:c r="A279" s="81" t="inlineStr">
        <x:is>
          <x:t xml:space="preserve">research.laozi.day3.ch73.097</x:t>
        </x:is>
      </x:c>
      <x:c r="B279" s="81" t="inlineStr">
        <x:is>
          <x:t xml:space="preserve">Collected</x:t>
        </x:is>
      </x:c>
      <x:c r="C279" s="81" t="inlineStr">
        <x:is>
          <x:t xml:space="preserve">Nội tâm &amp; hiểu mình</x:t>
        </x:is>
      </x:c>
      <x:c r="D279" s="81" t="inlineStr">
        <x:is>
          <x:t xml:space="preserve">Day 3 / Laozi 51–81</x:t>
        </x:is>
      </x:c>
      <x:c r="E279" s="81" t="str"/>
      <x:c r="F279" s="81" t="inlineStr">
        <x:is>
          <x:t xml:space="preserve">Không hành động cũng có thể cần dũng khí</x:t>
        </x:is>
      </x:c>
      <x:c r="G279" s="81" t="inlineStr">
        <x:is>
          <x:t xml:space="preserve">Agency</x:t>
        </x:is>
      </x:c>
      <x:c r="H279" s="81" t="str"/>
      <x:c r="I279" s="81" t="str"/>
      <x:c r="J279" s="81" t="str"/>
      <x:c r="K279" s="81" t="inlineStr">
        <x:is>
          <x:t xml:space="preserve">Distinguish</x:t>
        </x:is>
      </x:c>
      <x:c r="L279" s="81" t="inlineStr">
        <x:is>
          <x:t xml:space="preserve">Recognize</x:t>
        </x:is>
      </x:c>
      <x:c r="M279" s="81" t="inlineStr">
        <x:is>
          <x:t xml:space="preserve">Trích đoạn triết học</x:t>
        </x:is>
      </x:c>
      <x:c r="N279" s="81" t="inlineStr">
        <x:is>
          <x:t xml:space="preserve">勇於敢則殺，勇於不敢則活。</x:t>
        </x:is>
      </x:c>
      <x:c r="O279" s="81" t="inlineStr">
        <x:is>
          <x:t xml:space="preserve">Classical Chinese (文言文)</x:t>
        </x:is>
      </x:c>
      <x:c r="P279" s="81" t="inlineStr">
        <x:is>
          <x:t xml:space="preserve">Có kiểu dũng cảm lao tới và có kiểu dũng cảm biết không lao tới; hệ quả có thể khác nhau.</x:t>
        </x:is>
      </x:c>
      <x:c r="Q279" s="81" t="inlineStr">
        <x:is>
          <x:t xml:space="preserve">Laozi / 老子</x:t>
        </x:is>
      </x:c>
      <x:c r="R279" s="81" t="inlineStr">
        <x:is>
          <x:t xml:space="preserve">Taoism</x:t>
        </x:is>
      </x:c>
      <x:c r="S279" s="81" t="inlineStr">
        <x:is>
          <x:t xml:space="preserve">道德經 / Tao Te Ching</x:t>
        </x:is>
      </x:c>
      <x:c r="T279" s="81" t="inlineStr">
        <x:is>
          <x:t xml:space="preserve">Chapter 73</x:t>
        </x:is>
      </x:c>
      <x:c r="U279" s="81" t="inlineStr">
        <x:is>
          <x:t xml:space="preserve">https://zh.wikisource.org/zh-hant/%E9%81%93%E5%BE%B7%E7%B6%93_(%E7%8E%8B%E5%BC%BC%E6%9C%AC)</x:t>
        </x:is>
      </x:c>
      <x:c r="V279" s="81" t="inlineStr">
        <x:is>
          <x:t xml:space="preserve">Primary text</x:t>
        </x:is>
      </x:c>
      <x:c r="W279" s="81" t="inlineStr">
        <x:is>
          <x:t xml:space="preserve">Working translation</x:t>
        </x:is>
      </x:c>
      <x:c r="X279" s="81" t="inlineStr">
        <x:is>
          <x:t xml:space="preserve">A - Primary source</x:t>
        </x:is>
      </x:c>
      <x:c r="Y279" s="81" t="inlineStr">
        <x:is>
          <x:t xml:space="preserve">Original Chinese checked against Wang Bi recension on Chinese Wikisource. Vietnamese is Selflo working translation, not a published translation.</x:t>
        </x:is>
      </x:c>
      <x:c r="Z279" s="81" t="inlineStr">
        <x:is>
          <x:t xml:space="preserve">Public domain / likely</x:t>
        </x:is>
      </x:c>
      <x:c r="AA279" s="81" t="inlineStr">
        <x:is>
          <x:t xml:space="preserve">Ancient source text; verify edition/jurisdiction before commercial publication.</x:t>
        </x:is>
      </x:c>
      <x:c r="AB279" s="81" t="inlineStr">
        <x:is>
          <x:t xml:space="preserve">High</x:t>
        </x:is>
      </x:c>
      <x:c r="AC279" s="81" t="inlineStr">
        <x:is>
          <x:t xml:space="preserve">Strong.</x:t>
        </x:is>
      </x:c>
      <x:c r="AD279" s="81" t="inlineStr">
        <x:is>
          <x:t xml:space="preserve">Needs editorial review</x:t>
        </x:is>
      </x:c>
      <x:c r="AE279" s="81" t="inlineStr">
        <x:is>
          <x:t xml:space="preserve">Needs semantic dedupe review</x:t>
        </x:is>
      </x:c>
      <x:c r="AF279" s="81" t="str"/>
      <x:c r="AG279" s="81" t="str"/>
      <x:c r="AH279" s="81" t="inlineStr">
        <x:is>
          <x:t xml:space="preserve">No</x:t>
        </x:is>
      </x:c>
      <x:c r="AI279" s="81" t="inlineStr">
        <x:is>
          <x:t xml:space="preserve">Not reviewed</x:t>
        </x:is>
      </x:c>
      <x:c r="AJ279" s="81" t="inlineStr">
        <x:is>
          <x:t xml:space="preserve">Research only</x:t>
        </x:is>
      </x:c>
      <x:c r="AK279" s="81" t="inlineStr">
        <x:is>
          <x:t xml:space="preserve">Research Pool</x:t>
        </x:is>
      </x:c>
      <x:c r="AL279" s="81" t="n">
        <x:v>3</x:v>
      </x:c>
      <x:c r="AM279" s="81" t="inlineStr">
        <x:is>
          <x:t xml:space="preserve">ChatGPT research</x:t>
        </x:is>
      </x:c>
      <x:c r="AN279" s="81" t="inlineStr">
        <x:is>
          <x:t xml:space="preserve">2026-09-18</x:t>
        </x:is>
      </x:c>
      <x:c r="AO279" s="81" t="inlineStr">
        <x:is>
          <x:t xml:space="preserve">Day 3 full-scope audit, chapters 51–81.</x:t>
        </x:is>
      </x:c>
    </x:row>
    <x:row r="280">
      <x:c r="A280" s="81" t="inlineStr">
        <x:is>
          <x:t xml:space="preserve">research.laozi.day3.ch73.098</x:t>
        </x:is>
      </x:c>
      <x:c r="B280" s="81" t="inlineStr">
        <x:is>
          <x:t xml:space="preserve">Collected</x:t>
        </x:is>
      </x:c>
      <x:c r="C280" s="81" t="inlineStr">
        <x:is>
          <x:t xml:space="preserve">Nội tâm &amp; hiểu mình</x:t>
        </x:is>
      </x:c>
      <x:c r="D280" s="81" t="inlineStr">
        <x:is>
          <x:t xml:space="preserve">Day 3 / Laozi 51–81</x:t>
        </x:is>
      </x:c>
      <x:c r="E280" s="81" t="str"/>
      <x:c r="F280" s="81" t="inlineStr">
        <x:is>
          <x:t xml:space="preserve">Không một phẩm chất nào tốt trong mọi bối cảnh</x:t>
        </x:is>
      </x:c>
      <x:c r="G280" s="81" t="inlineStr">
        <x:is>
          <x:t xml:space="preserve">Context</x:t>
        </x:is>
      </x:c>
      <x:c r="H280" s="81" t="str"/>
      <x:c r="I280" s="81" t="str"/>
      <x:c r="J280" s="81" t="str"/>
      <x:c r="K280" s="81" t="inlineStr">
        <x:is>
          <x:t xml:space="preserve">Distinguish</x:t>
        </x:is>
      </x:c>
      <x:c r="L280" s="81" t="inlineStr">
        <x:is>
          <x:t xml:space="preserve">Recognize</x:t>
        </x:is>
      </x:c>
      <x:c r="M280" s="81" t="inlineStr">
        <x:is>
          <x:t xml:space="preserve">Trích đoạn triết học</x:t>
        </x:is>
      </x:c>
      <x:c r="N280" s="81" t="inlineStr">
        <x:is>
          <x:t xml:space="preserve">此兩者，或利或害。</x:t>
        </x:is>
      </x:c>
      <x:c r="O280" s="81" t="inlineStr">
        <x:is>
          <x:t xml:space="preserve">Classical Chinese (文言文)</x:t>
        </x:is>
      </x:c>
      <x:c r="P280" s="81" t="inlineStr">
        <x:is>
          <x:t xml:space="preserve">Hai cách đều có thể lợi hoặc hại tùy nơi dùng.</x:t>
        </x:is>
      </x:c>
      <x:c r="Q280" s="81" t="inlineStr">
        <x:is>
          <x:t xml:space="preserve">Laozi / 老子</x:t>
        </x:is>
      </x:c>
      <x:c r="R280" s="81" t="inlineStr">
        <x:is>
          <x:t xml:space="preserve">Taoism</x:t>
        </x:is>
      </x:c>
      <x:c r="S280" s="81" t="inlineStr">
        <x:is>
          <x:t xml:space="preserve">道德經 / Tao Te Ching</x:t>
        </x:is>
      </x:c>
      <x:c r="T280" s="81" t="inlineStr">
        <x:is>
          <x:t xml:space="preserve">Chapter 73</x:t>
        </x:is>
      </x:c>
      <x:c r="U280" s="81" t="inlineStr">
        <x:is>
          <x:t xml:space="preserve">https://zh.wikisource.org/zh-hant/%E9%81%93%E5%BE%B7%E7%B6%93_(%E7%8E%8B%E5%BC%BC%E6%9C%AC)</x:t>
        </x:is>
      </x:c>
      <x:c r="V280" s="81" t="inlineStr">
        <x:is>
          <x:t xml:space="preserve">Primary text</x:t>
        </x:is>
      </x:c>
      <x:c r="W280" s="81" t="inlineStr">
        <x:is>
          <x:t xml:space="preserve">Working translation</x:t>
        </x:is>
      </x:c>
      <x:c r="X280" s="81" t="inlineStr">
        <x:is>
          <x:t xml:space="preserve">A - Primary source</x:t>
        </x:is>
      </x:c>
      <x:c r="Y280" s="81" t="inlineStr">
        <x:is>
          <x:t xml:space="preserve">Original Chinese checked against Wang Bi recension on Chinese Wikisource. Vietnamese is Selflo working translation, not a published translation.</x:t>
        </x:is>
      </x:c>
      <x:c r="Z280" s="81" t="inlineStr">
        <x:is>
          <x:t xml:space="preserve">Public domain / likely</x:t>
        </x:is>
      </x:c>
      <x:c r="AA280" s="81" t="inlineStr">
        <x:is>
          <x:t xml:space="preserve">Ancient source text; verify edition/jurisdiction before commercial publication.</x:t>
        </x:is>
      </x:c>
      <x:c r="AB280" s="81" t="inlineStr">
        <x:is>
          <x:t xml:space="preserve">High</x:t>
        </x:is>
      </x:c>
      <x:c r="AC280" s="81" t="inlineStr">
        <x:is>
          <x:t xml:space="preserve">Strong.</x:t>
        </x:is>
      </x:c>
      <x:c r="AD280" s="81" t="inlineStr">
        <x:is>
          <x:t xml:space="preserve">Needs editorial review</x:t>
        </x:is>
      </x:c>
      <x:c r="AE280" s="81" t="inlineStr">
        <x:is>
          <x:t xml:space="preserve">Needs semantic dedupe review</x:t>
        </x:is>
      </x:c>
      <x:c r="AF280" s="81" t="str"/>
      <x:c r="AG280" s="81" t="str"/>
      <x:c r="AH280" s="81" t="inlineStr">
        <x:is>
          <x:t xml:space="preserve">No</x:t>
        </x:is>
      </x:c>
      <x:c r="AI280" s="81" t="inlineStr">
        <x:is>
          <x:t xml:space="preserve">Not reviewed</x:t>
        </x:is>
      </x:c>
      <x:c r="AJ280" s="81" t="inlineStr">
        <x:is>
          <x:t xml:space="preserve">Research only</x:t>
        </x:is>
      </x:c>
      <x:c r="AK280" s="81" t="inlineStr">
        <x:is>
          <x:t xml:space="preserve">Research Pool</x:t>
        </x:is>
      </x:c>
      <x:c r="AL280" s="81" t="n">
        <x:v>3</x:v>
      </x:c>
      <x:c r="AM280" s="81" t="inlineStr">
        <x:is>
          <x:t xml:space="preserve">ChatGPT research</x:t>
        </x:is>
      </x:c>
      <x:c r="AN280" s="81" t="inlineStr">
        <x:is>
          <x:t xml:space="preserve">2026-09-18</x:t>
        </x:is>
      </x:c>
      <x:c r="AO280" s="81" t="inlineStr">
        <x:is>
          <x:t xml:space="preserve">Day 3 full-scope audit, chapters 51–81.</x:t>
        </x:is>
      </x:c>
    </x:row>
    <x:row r="281">
      <x:c r="A281" s="81" t="inlineStr">
        <x:is>
          <x:t xml:space="preserve">research.laozi.day3.ch73.099</x:t>
        </x:is>
      </x:c>
      <x:c r="B281" s="81" t="inlineStr">
        <x:is>
          <x:t xml:space="preserve">Collected</x:t>
        </x:is>
      </x:c>
      <x:c r="C281" s="81" t="inlineStr">
        <x:is>
          <x:t xml:space="preserve">Nội tâm &amp; hiểu mình</x:t>
        </x:is>
      </x:c>
      <x:c r="D281" s="81" t="inlineStr">
        <x:is>
          <x:t xml:space="preserve">Day 3 / Laozi 51–81</x:t>
        </x:is>
      </x:c>
      <x:c r="E281" s="81" t="str"/>
      <x:c r="F281" s="81" t="inlineStr">
        <x:is>
          <x:t xml:space="preserve">Phán đoán tốt giữ chỗ cho khó biết</x:t>
        </x:is>
      </x:c>
      <x:c r="G281" s="81" t="inlineStr">
        <x:is>
          <x:t xml:space="preserve">Uncertainty</x:t>
        </x:is>
      </x:c>
      <x:c r="H281" s="81" t="str"/>
      <x:c r="I281" s="81" t="str"/>
      <x:c r="J281" s="81" t="str"/>
      <x:c r="K281" s="81" t="inlineStr">
        <x:is>
          <x:t xml:space="preserve">Permit</x:t>
        </x:is>
      </x:c>
      <x:c r="L281" s="81" t="inlineStr">
        <x:is>
          <x:t xml:space="preserve">Distinguish</x:t>
        </x:is>
      </x:c>
      <x:c r="M281" s="81" t="inlineStr">
        <x:is>
          <x:t xml:space="preserve">Trích đoạn triết học</x:t>
        </x:is>
      </x:c>
      <x:c r="N281" s="81" t="inlineStr">
        <x:is>
          <x:t xml:space="preserve">天之所惡，孰知其故？是以聖人猶難之。</x:t>
        </x:is>
      </x:c>
      <x:c r="O281" s="81" t="inlineStr">
        <x:is>
          <x:t xml:space="preserve">Classical Chinese (文言文)</x:t>
        </x:is>
      </x:c>
      <x:c r="P281" s="81" t="inlineStr">
        <x:is>
          <x:t xml:space="preserve">Ngay người sáng cũng xem việc biết chắc điều gì là đúng trong mọi tình huống là khó.</x:t>
        </x:is>
      </x:c>
      <x:c r="Q281" s="81" t="inlineStr">
        <x:is>
          <x:t xml:space="preserve">Laozi / 老子</x:t>
        </x:is>
      </x:c>
      <x:c r="R281" s="81" t="inlineStr">
        <x:is>
          <x:t xml:space="preserve">Taoism</x:t>
        </x:is>
      </x:c>
      <x:c r="S281" s="81" t="inlineStr">
        <x:is>
          <x:t xml:space="preserve">道德經 / Tao Te Ching</x:t>
        </x:is>
      </x:c>
      <x:c r="T281" s="81" t="inlineStr">
        <x:is>
          <x:t xml:space="preserve">Chapter 73</x:t>
        </x:is>
      </x:c>
      <x:c r="U281" s="81" t="inlineStr">
        <x:is>
          <x:t xml:space="preserve">https://zh.wikisource.org/zh-hant/%E9%81%93%E5%BE%B7%E7%B6%93_(%E7%8E%8B%E5%BC%BC%E6%9C%AC)</x:t>
        </x:is>
      </x:c>
      <x:c r="V281" s="81" t="inlineStr">
        <x:is>
          <x:t xml:space="preserve">Primary text</x:t>
        </x:is>
      </x:c>
      <x:c r="W281" s="81" t="inlineStr">
        <x:is>
          <x:t xml:space="preserve">Working translation</x:t>
        </x:is>
      </x:c>
      <x:c r="X281" s="81" t="inlineStr">
        <x:is>
          <x:t xml:space="preserve">A - Primary source</x:t>
        </x:is>
      </x:c>
      <x:c r="Y281" s="81" t="inlineStr">
        <x:is>
          <x:t xml:space="preserve">Original Chinese checked against Wang Bi recension on Chinese Wikisource. Vietnamese is Selflo working translation, not a published translation.</x:t>
        </x:is>
      </x:c>
      <x:c r="Z281" s="81" t="inlineStr">
        <x:is>
          <x:t xml:space="preserve">Public domain / likely</x:t>
        </x:is>
      </x:c>
      <x:c r="AA281" s="81" t="inlineStr">
        <x:is>
          <x:t xml:space="preserve">Ancient source text; verify edition/jurisdiction before commercial publication.</x:t>
        </x:is>
      </x:c>
      <x:c r="AB281" s="81" t="inlineStr">
        <x:is>
          <x:t xml:space="preserve">High</x:t>
        </x:is>
      </x:c>
      <x:c r="AC281" s="81" t="inlineStr">
        <x:is>
          <x:t xml:space="preserve">Working interpretation.</x:t>
        </x:is>
      </x:c>
      <x:c r="AD281" s="81" t="inlineStr">
        <x:is>
          <x:t xml:space="preserve">Needs editorial review</x:t>
        </x:is>
      </x:c>
      <x:c r="AE281" s="81" t="inlineStr">
        <x:is>
          <x:t xml:space="preserve">Needs semantic dedupe review</x:t>
        </x:is>
      </x:c>
      <x:c r="AF281" s="81" t="str"/>
      <x:c r="AG281" s="81" t="str"/>
      <x:c r="AH281" s="81" t="inlineStr">
        <x:is>
          <x:t xml:space="preserve">No</x:t>
        </x:is>
      </x:c>
      <x:c r="AI281" s="81" t="inlineStr">
        <x:is>
          <x:t xml:space="preserve">Not reviewed</x:t>
        </x:is>
      </x:c>
      <x:c r="AJ281" s="81" t="inlineStr">
        <x:is>
          <x:t xml:space="preserve">Research only</x:t>
        </x:is>
      </x:c>
      <x:c r="AK281" s="81" t="inlineStr">
        <x:is>
          <x:t xml:space="preserve">Research Pool</x:t>
        </x:is>
      </x:c>
      <x:c r="AL281" s="81" t="n">
        <x:v>3</x:v>
      </x:c>
      <x:c r="AM281" s="81" t="inlineStr">
        <x:is>
          <x:t xml:space="preserve">ChatGPT research</x:t>
        </x:is>
      </x:c>
      <x:c r="AN281" s="81" t="inlineStr">
        <x:is>
          <x:t xml:space="preserve">2026-09-18</x:t>
        </x:is>
      </x:c>
      <x:c r="AO281" s="81" t="inlineStr">
        <x:is>
          <x:t xml:space="preserve">Day 3 full-scope audit, chapters 51–81.</x:t>
        </x:is>
      </x:c>
    </x:row>
    <x:row r="282">
      <x:c r="A282" s="81" t="inlineStr">
        <x:is>
          <x:t xml:space="preserve">research.laozi.day3.ch73.100</x:t>
        </x:is>
      </x:c>
      <x:c r="B282" s="81" t="inlineStr">
        <x:is>
          <x:t xml:space="preserve">Collected</x:t>
        </x:is>
      </x:c>
      <x:c r="C282" s="81" t="inlineStr">
        <x:is>
          <x:t xml:space="preserve">Nội tâm &amp; hiểu mình</x:t>
        </x:is>
      </x:c>
      <x:c r="D282" s="81" t="inlineStr">
        <x:is>
          <x:t xml:space="preserve">Day 3 / Laozi 51–81</x:t>
        </x:is>
      </x:c>
      <x:c r="E282" s="81" t="str"/>
      <x:c r="F282" s="81" t="inlineStr">
        <x:is>
          <x:t xml:space="preserve">Tác động không chỉ đến từ ép buộc và phát ngôn</x:t>
        </x:is>
      </x:c>
      <x:c r="G282" s="81" t="inlineStr">
        <x:is>
          <x:t xml:space="preserve">Influence</x:t>
        </x:is>
      </x:c>
      <x:c r="H282" s="81" t="str"/>
      <x:c r="I282" s="81" t="str"/>
      <x:c r="J282" s="81" t="str"/>
      <x:c r="K282" s="81" t="inlineStr">
        <x:is>
          <x:t xml:space="preserve">Reframe</x:t>
        </x:is>
      </x:c>
      <x:c r="L282" s="81" t="inlineStr">
        <x:is>
          <x:t xml:space="preserve">Distinguish</x:t>
        </x:is>
      </x:c>
      <x:c r="M282" s="81" t="inlineStr">
        <x:is>
          <x:t xml:space="preserve">Trích đoạn triết học</x:t>
        </x:is>
      </x:c>
      <x:c r="N282" s="81" t="inlineStr">
        <x:is>
          <x:t xml:space="preserve">不爭而善勝，不言而善應，不召而自來。</x:t>
        </x:is>
      </x:c>
      <x:c r="O282" s="81" t="inlineStr">
        <x:is>
          <x:t xml:space="preserve">Classical Chinese (文言文)</x:t>
        </x:is>
      </x:c>
      <x:c r="P282" s="81" t="inlineStr">
        <x:is>
          <x:t xml:space="preserve">Không tranh mà vẫn có thể đạt; không nói mà vẫn đáp; không gọi mà vẫn có điều tìm đến.</x:t>
        </x:is>
      </x:c>
      <x:c r="Q282" s="81" t="inlineStr">
        <x:is>
          <x:t xml:space="preserve">Laozi / 老子</x:t>
        </x:is>
      </x:c>
      <x:c r="R282" s="81" t="inlineStr">
        <x:is>
          <x:t xml:space="preserve">Taoism</x:t>
        </x:is>
      </x:c>
      <x:c r="S282" s="81" t="inlineStr">
        <x:is>
          <x:t xml:space="preserve">道德經 / Tao Te Ching</x:t>
        </x:is>
      </x:c>
      <x:c r="T282" s="81" t="inlineStr">
        <x:is>
          <x:t xml:space="preserve">Chapter 73</x:t>
        </x:is>
      </x:c>
      <x:c r="U282" s="81" t="inlineStr">
        <x:is>
          <x:t xml:space="preserve">https://zh.wikisource.org/zh-hant/%E9%81%93%E5%BE%B7%E7%B6%93_(%E7%8E%8B%E5%BC%BC%E6%9C%AC)</x:t>
        </x:is>
      </x:c>
      <x:c r="V282" s="81" t="inlineStr">
        <x:is>
          <x:t xml:space="preserve">Primary text</x:t>
        </x:is>
      </x:c>
      <x:c r="W282" s="81" t="inlineStr">
        <x:is>
          <x:t xml:space="preserve">Working translation</x:t>
        </x:is>
      </x:c>
      <x:c r="X282" s="81" t="inlineStr">
        <x:is>
          <x:t xml:space="preserve">A - Primary source</x:t>
        </x:is>
      </x:c>
      <x:c r="Y282" s="81" t="inlineStr">
        <x:is>
          <x:t xml:space="preserve">Original Chinese checked against Wang Bi recension on Chinese Wikisource. Vietnamese is Selflo working translation, not a published translation.</x:t>
        </x:is>
      </x:c>
      <x:c r="Z282" s="81" t="inlineStr">
        <x:is>
          <x:t xml:space="preserve">Public domain / likely</x:t>
        </x:is>
      </x:c>
      <x:c r="AA282" s="81" t="inlineStr">
        <x:is>
          <x:t xml:space="preserve">Ancient source text; verify edition/jurisdiction before commercial publication.</x:t>
        </x:is>
      </x:c>
      <x:c r="AB282" s="81" t="inlineStr">
        <x:is>
          <x:t xml:space="preserve">Medium</x:t>
        </x:is>
      </x:c>
      <x:c r="AC282" s="81" t="inlineStr">
        <x:is>
          <x:t xml:space="preserve">Metaphysical.</x:t>
        </x:is>
      </x:c>
      <x:c r="AD282" s="81" t="inlineStr">
        <x:is>
          <x:t xml:space="preserve">Needs editorial review</x:t>
        </x:is>
      </x:c>
      <x:c r="AE282" s="81" t="inlineStr">
        <x:is>
          <x:t xml:space="preserve">Needs semantic dedupe review</x:t>
        </x:is>
      </x:c>
      <x:c r="AF282" s="81" t="str"/>
      <x:c r="AG282" s="81" t="str"/>
      <x:c r="AH282" s="81" t="inlineStr">
        <x:is>
          <x:t xml:space="preserve">No</x:t>
        </x:is>
      </x:c>
      <x:c r="AI282" s="81" t="inlineStr">
        <x:is>
          <x:t xml:space="preserve">Not reviewed</x:t>
        </x:is>
      </x:c>
      <x:c r="AJ282" s="81" t="inlineStr">
        <x:is>
          <x:t xml:space="preserve">Research only</x:t>
        </x:is>
      </x:c>
      <x:c r="AK282" s="81" t="inlineStr">
        <x:is>
          <x:t xml:space="preserve">Research Pool</x:t>
        </x:is>
      </x:c>
      <x:c r="AL282" s="81" t="n">
        <x:v>3</x:v>
      </x:c>
      <x:c r="AM282" s="81" t="inlineStr">
        <x:is>
          <x:t xml:space="preserve">ChatGPT research</x:t>
        </x:is>
      </x:c>
      <x:c r="AN282" s="81" t="inlineStr">
        <x:is>
          <x:t xml:space="preserve">2026-09-18</x:t>
        </x:is>
      </x:c>
      <x:c r="AO282" s="81" t="inlineStr">
        <x:is>
          <x:t xml:space="preserve">Day 3 full-scope audit, chapters 51–81.</x:t>
        </x:is>
      </x:c>
    </x:row>
    <x:row r="283">
      <x:c r="A283" s="81" t="inlineStr">
        <x:is>
          <x:t xml:space="preserve">research.laozi.day3.ch73.101</x:t>
        </x:is>
      </x:c>
      <x:c r="B283" s="81" t="inlineStr">
        <x:is>
          <x:t xml:space="preserve">Collected</x:t>
        </x:is>
      </x:c>
      <x:c r="C283" s="81" t="inlineStr">
        <x:is>
          <x:t xml:space="preserve">Công việc &amp; mục đích</x:t>
        </x:is>
      </x:c>
      <x:c r="D283" s="81" t="inlineStr">
        <x:is>
          <x:t xml:space="preserve">Day 3 / Laozi 51–81</x:t>
        </x:is>
      </x:c>
      <x:c r="E283" s="81" t="str"/>
      <x:c r="F283" s="81" t="inlineStr">
        <x:is>
          <x:t xml:space="preserve">Hệ quả có thể vận hành ngoài điều mình thấy ngay</x:t>
        </x:is>
      </x:c>
      <x:c r="G283" s="81" t="inlineStr">
        <x:is>
          <x:t xml:space="preserve">Responsibility</x:t>
        </x:is>
      </x:c>
      <x:c r="H283" s="81" t="str"/>
      <x:c r="I283" s="81" t="str"/>
      <x:c r="J283" s="81" t="str"/>
      <x:c r="K283" s="81" t="inlineStr">
        <x:is>
          <x:t xml:space="preserve">Recognize</x:t>
        </x:is>
      </x:c>
      <x:c r="L283" s="81" t="inlineStr">
        <x:is>
          <x:t xml:space="preserve">Distinguish</x:t>
        </x:is>
      </x:c>
      <x:c r="M283" s="81" t="inlineStr">
        <x:is>
          <x:t xml:space="preserve">Trích đoạn triết học</x:t>
        </x:is>
      </x:c>
      <x:c r="N283" s="81" t="inlineStr">
        <x:is>
          <x:t xml:space="preserve">天網恢恢，疏而不失。</x:t>
        </x:is>
      </x:c>
      <x:c r="O283" s="81" t="inlineStr">
        <x:is>
          <x:t xml:space="preserve">Classical Chinese (文言文)</x:t>
        </x:is>
      </x:c>
      <x:c r="P283" s="81" t="inlineStr">
        <x:is>
          <x:t xml:space="preserve">Lưới trời rộng và thưa nhưng văn bản nói không bỏ lọt.</x:t>
        </x:is>
      </x:c>
      <x:c r="Q283" s="81" t="inlineStr">
        <x:is>
          <x:t xml:space="preserve">Laozi / 老子</x:t>
        </x:is>
      </x:c>
      <x:c r="R283" s="81" t="inlineStr">
        <x:is>
          <x:t xml:space="preserve">Taoism</x:t>
        </x:is>
      </x:c>
      <x:c r="S283" s="81" t="inlineStr">
        <x:is>
          <x:t xml:space="preserve">道德經 / Tao Te Ching</x:t>
        </x:is>
      </x:c>
      <x:c r="T283" s="81" t="inlineStr">
        <x:is>
          <x:t xml:space="preserve">Chapter 73</x:t>
        </x:is>
      </x:c>
      <x:c r="U283" s="81" t="inlineStr">
        <x:is>
          <x:t xml:space="preserve">https://zh.wikisource.org/zh-hant/%E9%81%93%E5%BE%B7%E7%B6%93_(%E7%8E%8B%E5%BC%BC%E6%9C%AC)</x:t>
        </x:is>
      </x:c>
      <x:c r="V283" s="81" t="inlineStr">
        <x:is>
          <x:t xml:space="preserve">Primary text</x:t>
        </x:is>
      </x:c>
      <x:c r="W283" s="81" t="inlineStr">
        <x:is>
          <x:t xml:space="preserve">Working translation</x:t>
        </x:is>
      </x:c>
      <x:c r="X283" s="81" t="inlineStr">
        <x:is>
          <x:t xml:space="preserve">A - Primary source</x:t>
        </x:is>
      </x:c>
      <x:c r="Y283" s="81" t="inlineStr">
        <x:is>
          <x:t xml:space="preserve">Original Chinese checked against Wang Bi recension on Chinese Wikisource. Vietnamese is Selflo working translation, not a published translation.</x:t>
        </x:is>
      </x:c>
      <x:c r="Z283" s="81" t="inlineStr">
        <x:is>
          <x:t xml:space="preserve">Public domain / likely</x:t>
        </x:is>
      </x:c>
      <x:c r="AA283" s="81" t="inlineStr">
        <x:is>
          <x:t xml:space="preserve">Ancient source text; verify edition/jurisdiction before commercial publication.</x:t>
        </x:is>
      </x:c>
      <x:c r="AB283" s="81" t="inlineStr">
        <x:is>
          <x:t xml:space="preserve">Low</x:t>
        </x:is>
      </x:c>
      <x:c r="AC283" s="81" t="inlineStr">
        <x:is>
          <x:t xml:space="preserve">Metaphysical/moral.</x:t>
        </x:is>
      </x:c>
      <x:c r="AD283" s="81" t="inlineStr">
        <x:is>
          <x:t xml:space="preserve">Needs editorial review</x:t>
        </x:is>
      </x:c>
      <x:c r="AE283" s="81" t="inlineStr">
        <x:is>
          <x:t xml:space="preserve">Needs semantic dedupe review</x:t>
        </x:is>
      </x:c>
      <x:c r="AF283" s="81" t="str"/>
      <x:c r="AG283" s="81" t="str"/>
      <x:c r="AH283" s="81" t="inlineStr">
        <x:is>
          <x:t xml:space="preserve">No</x:t>
        </x:is>
      </x:c>
      <x:c r="AI283" s="81" t="inlineStr">
        <x:is>
          <x:t xml:space="preserve">Not reviewed</x:t>
        </x:is>
      </x:c>
      <x:c r="AJ283" s="81" t="inlineStr">
        <x:is>
          <x:t xml:space="preserve">Research only</x:t>
        </x:is>
      </x:c>
      <x:c r="AK283" s="81" t="inlineStr">
        <x:is>
          <x:t xml:space="preserve">Research Pool</x:t>
        </x:is>
      </x:c>
      <x:c r="AL283" s="81" t="n">
        <x:v>3</x:v>
      </x:c>
      <x:c r="AM283" s="81" t="inlineStr">
        <x:is>
          <x:t xml:space="preserve">ChatGPT research</x:t>
        </x:is>
      </x:c>
      <x:c r="AN283" s="81" t="inlineStr">
        <x:is>
          <x:t xml:space="preserve">2026-09-18</x:t>
        </x:is>
      </x:c>
      <x:c r="AO283" s="81" t="inlineStr">
        <x:is>
          <x:t xml:space="preserve">Day 3 full-scope audit, chapters 51–81.</x:t>
        </x:is>
      </x:c>
    </x:row>
    <x:row r="284">
      <x:c r="A284" s="81" t="inlineStr">
        <x:is>
          <x:t xml:space="preserve">research.laozi.day3.ch74.102</x:t>
        </x:is>
      </x:c>
      <x:c r="B284" s="81" t="inlineStr">
        <x:is>
          <x:t xml:space="preserve">Collected</x:t>
        </x:is>
      </x:c>
      <x:c r="C284" s="81" t="inlineStr">
        <x:is>
          <x:t xml:space="preserve">Nội tâm &amp; hiểu mình</x:t>
        </x:is>
      </x:c>
      <x:c r="D284" s="81" t="inlineStr">
        <x:is>
          <x:t xml:space="preserve">Day 3 / Laozi 51–81</x:t>
        </x:is>
      </x:c>
      <x:c r="E284" s="81" t="str"/>
      <x:c r="F284" s="81" t="inlineStr">
        <x:is>
          <x:t xml:space="preserve">Sợ hãi không phải công cụ kiểm soát vô hạn</x:t>
        </x:is>
      </x:c>
      <x:c r="G284" s="81" t="inlineStr">
        <x:is>
          <x:t xml:space="preserve">Fear</x:t>
        </x:is>
      </x:c>
      <x:c r="H284" s="81" t="str"/>
      <x:c r="I284" s="81" t="str"/>
      <x:c r="J284" s="81" t="str"/>
      <x:c r="K284" s="81" t="inlineStr">
        <x:is>
          <x:t xml:space="preserve">Distinguish</x:t>
        </x:is>
      </x:c>
      <x:c r="L284" s="81" t="inlineStr">
        <x:is>
          <x:t xml:space="preserve">Recognize</x:t>
        </x:is>
      </x:c>
      <x:c r="M284" s="81" t="inlineStr">
        <x:is>
          <x:t xml:space="preserve">Trích đoạn triết học</x:t>
        </x:is>
      </x:c>
      <x:c r="N284" s="81" t="inlineStr">
        <x:is>
          <x:t xml:space="preserve">民不畏死，奈何以死懼之？</x:t>
        </x:is>
      </x:c>
      <x:c r="O284" s="81" t="inlineStr">
        <x:is>
          <x:t xml:space="preserve">Classical Chinese (文言文)</x:t>
        </x:is>
      </x:c>
      <x:c r="P284" s="81" t="inlineStr">
        <x:is>
          <x:t xml:space="preserve">Khi một người đã không còn bị nỗi sợ ấy chi phối, tăng đe dọa không còn là đòn bẩy hiệu quả.</x:t>
        </x:is>
      </x:c>
      <x:c r="Q284" s="81" t="inlineStr">
        <x:is>
          <x:t xml:space="preserve">Laozi / 老子</x:t>
        </x:is>
      </x:c>
      <x:c r="R284" s="81" t="inlineStr">
        <x:is>
          <x:t xml:space="preserve">Taoism</x:t>
        </x:is>
      </x:c>
      <x:c r="S284" s="81" t="inlineStr">
        <x:is>
          <x:t xml:space="preserve">道德經 / Tao Te Ching</x:t>
        </x:is>
      </x:c>
      <x:c r="T284" s="81" t="inlineStr">
        <x:is>
          <x:t xml:space="preserve">Chapter 74</x:t>
        </x:is>
      </x:c>
      <x:c r="U284" s="81" t="inlineStr">
        <x:is>
          <x:t xml:space="preserve">https://zh.wikisource.org/zh-hant/%E9%81%93%E5%BE%B7%E7%B6%93_(%E7%8E%8B%E5%BC%BC%E6%9C%AC)</x:t>
        </x:is>
      </x:c>
      <x:c r="V284" s="81" t="inlineStr">
        <x:is>
          <x:t xml:space="preserve">Primary text</x:t>
        </x:is>
      </x:c>
      <x:c r="W284" s="81" t="inlineStr">
        <x:is>
          <x:t xml:space="preserve">Working translation</x:t>
        </x:is>
      </x:c>
      <x:c r="X284" s="81" t="inlineStr">
        <x:is>
          <x:t xml:space="preserve">A - Primary source</x:t>
        </x:is>
      </x:c>
      <x:c r="Y284" s="81" t="inlineStr">
        <x:is>
          <x:t xml:space="preserve">Original Chinese checked against Wang Bi recension on Chinese Wikisource. Vietnamese is Selflo working translation, not a published translation.</x:t>
        </x:is>
      </x:c>
      <x:c r="Z284" s="81" t="inlineStr">
        <x:is>
          <x:t xml:space="preserve">Public domain / likely</x:t>
        </x:is>
      </x:c>
      <x:c r="AA284" s="81" t="inlineStr">
        <x:is>
          <x:t xml:space="preserve">Ancient source text; verify edition/jurisdiction before commercial publication.</x:t>
        </x:is>
      </x:c>
      <x:c r="AB284" s="81" t="inlineStr">
        <x:is>
          <x:t xml:space="preserve">Medium</x:t>
        </x:is>
      </x:c>
      <x:c r="AC284" s="81" t="inlineStr">
        <x:is>
          <x:t xml:space="preserve">Political/coercion context.</x:t>
        </x:is>
      </x:c>
      <x:c r="AD284" s="81" t="inlineStr">
        <x:is>
          <x:t xml:space="preserve">Needs editorial review</x:t>
        </x:is>
      </x:c>
      <x:c r="AE284" s="81" t="inlineStr">
        <x:is>
          <x:t xml:space="preserve">Needs semantic dedupe review</x:t>
        </x:is>
      </x:c>
      <x:c r="AF284" s="81" t="str"/>
      <x:c r="AG284" s="81" t="str"/>
      <x:c r="AH284" s="81" t="inlineStr">
        <x:is>
          <x:t xml:space="preserve">No</x:t>
        </x:is>
      </x:c>
      <x:c r="AI284" s="81" t="inlineStr">
        <x:is>
          <x:t xml:space="preserve">Not reviewed</x:t>
        </x:is>
      </x:c>
      <x:c r="AJ284" s="81" t="inlineStr">
        <x:is>
          <x:t xml:space="preserve">Research only</x:t>
        </x:is>
      </x:c>
      <x:c r="AK284" s="81" t="inlineStr">
        <x:is>
          <x:t xml:space="preserve">Research Pool</x:t>
        </x:is>
      </x:c>
      <x:c r="AL284" s="81" t="n">
        <x:v>3</x:v>
      </x:c>
      <x:c r="AM284" s="81" t="inlineStr">
        <x:is>
          <x:t xml:space="preserve">ChatGPT research</x:t>
        </x:is>
      </x:c>
      <x:c r="AN284" s="81" t="inlineStr">
        <x:is>
          <x:t xml:space="preserve">2026-09-18</x:t>
        </x:is>
      </x:c>
      <x:c r="AO284" s="81" t="inlineStr">
        <x:is>
          <x:t xml:space="preserve">Day 3 full-scope audit, chapters 51–81.</x:t>
        </x:is>
      </x:c>
    </x:row>
    <x:row r="285">
      <x:c r="A285" s="81" t="inlineStr">
        <x:is>
          <x:t xml:space="preserve">research.laozi.day3.ch74.103</x:t>
        </x:is>
      </x:c>
      <x:c r="B285" s="81" t="inlineStr">
        <x:is>
          <x:t xml:space="preserve">Collected</x:t>
        </x:is>
      </x:c>
      <x:c r="C285" s="81" t="inlineStr">
        <x:is>
          <x:t xml:space="preserve">Quan hệ</x:t>
        </x:is>
      </x:c>
      <x:c r="D285" s="81" t="inlineStr">
        <x:is>
          <x:t xml:space="preserve">Day 3 / Laozi 51–81</x:t>
        </x:is>
      </x:c>
      <x:c r="E285" s="81" t="str"/>
      <x:c r="F285" s="81" t="inlineStr">
        <x:is>
          <x:t xml:space="preserve">Can thiệp vào việc vượt quá vai trò/năng lực có thể gây hại</x:t>
        </x:is>
      </x:c>
      <x:c r="G285" s="81" t="inlineStr">
        <x:is>
          <x:t xml:space="preserve">Boundaries</x:t>
        </x:is>
      </x:c>
      <x:c r="H285" s="81" t="str"/>
      <x:c r="I285" s="81" t="str"/>
      <x:c r="J285" s="81" t="str"/>
      <x:c r="K285" s="81" t="inlineStr">
        <x:is>
          <x:t xml:space="preserve">Reframe</x:t>
        </x:is>
      </x:c>
      <x:c r="L285" s="81" t="inlineStr">
        <x:is>
          <x:t xml:space="preserve">Distinguish</x:t>
        </x:is>
      </x:c>
      <x:c r="M285" s="81" t="inlineStr">
        <x:is>
          <x:t xml:space="preserve">Trích đoạn triết học</x:t>
        </x:is>
      </x:c>
      <x:c r="N285" s="81" t="inlineStr">
        <x:is>
          <x:t xml:space="preserve">代大匠斲者，希有不傷其手矣。</x:t>
        </x:is>
      </x:c>
      <x:c r="O285" s="81" t="inlineStr">
        <x:is>
          <x:t xml:space="preserve">Classical Chinese (文言文)</x:t>
        </x:is>
      </x:c>
      <x:c r="P285" s="81" t="inlineStr">
        <x:is>
          <x:t xml:space="preserve">Thay người thợ lớn cầm rìu đẽo thường dễ làm chính tay mình bị thương.</x:t>
        </x:is>
      </x:c>
      <x:c r="Q285" s="81" t="inlineStr">
        <x:is>
          <x:t xml:space="preserve">Laozi / 老子</x:t>
        </x:is>
      </x:c>
      <x:c r="R285" s="81" t="inlineStr">
        <x:is>
          <x:t xml:space="preserve">Taoism</x:t>
        </x:is>
      </x:c>
      <x:c r="S285" s="81" t="inlineStr">
        <x:is>
          <x:t xml:space="preserve">道德經 / Tao Te Ching</x:t>
        </x:is>
      </x:c>
      <x:c r="T285" s="81" t="inlineStr">
        <x:is>
          <x:t xml:space="preserve">Chapter 74</x:t>
        </x:is>
      </x:c>
      <x:c r="U285" s="81" t="inlineStr">
        <x:is>
          <x:t xml:space="preserve">https://zh.wikisource.org/zh-hant/%E9%81%93%E5%BE%B7%E7%B6%93_(%E7%8E%8B%E5%BC%BC%E6%9C%AC)</x:t>
        </x:is>
      </x:c>
      <x:c r="V285" s="81" t="inlineStr">
        <x:is>
          <x:t xml:space="preserve">Primary text</x:t>
        </x:is>
      </x:c>
      <x:c r="W285" s="81" t="inlineStr">
        <x:is>
          <x:t xml:space="preserve">Working translation</x:t>
        </x:is>
      </x:c>
      <x:c r="X285" s="81" t="inlineStr">
        <x:is>
          <x:t xml:space="preserve">A - Primary source</x:t>
        </x:is>
      </x:c>
      <x:c r="Y285" s="81" t="inlineStr">
        <x:is>
          <x:t xml:space="preserve">Original Chinese checked against Wang Bi recension on Chinese Wikisource. Vietnamese is Selflo working translation, not a published translation.</x:t>
        </x:is>
      </x:c>
      <x:c r="Z285" s="81" t="inlineStr">
        <x:is>
          <x:t xml:space="preserve">Public domain / likely</x:t>
        </x:is>
      </x:c>
      <x:c r="AA285" s="81" t="inlineStr">
        <x:is>
          <x:t xml:space="preserve">Ancient source text; verify edition/jurisdiction before commercial publication.</x:t>
        </x:is>
      </x:c>
      <x:c r="AB285" s="81" t="inlineStr">
        <x:is>
          <x:t xml:space="preserve">High</x:t>
        </x:is>
      </x:c>
      <x:c r="AC285" s="81" t="inlineStr">
        <x:is>
          <x:t xml:space="preserve">Strong metaphor.</x:t>
        </x:is>
      </x:c>
      <x:c r="AD285" s="81" t="inlineStr">
        <x:is>
          <x:t xml:space="preserve">Needs editorial review</x:t>
        </x:is>
      </x:c>
      <x:c r="AE285" s="81" t="inlineStr">
        <x:is>
          <x:t xml:space="preserve">Needs semantic dedupe review</x:t>
        </x:is>
      </x:c>
      <x:c r="AF285" s="81" t="str"/>
      <x:c r="AG285" s="81" t="str"/>
      <x:c r="AH285" s="81" t="inlineStr">
        <x:is>
          <x:t xml:space="preserve">No</x:t>
        </x:is>
      </x:c>
      <x:c r="AI285" s="81" t="inlineStr">
        <x:is>
          <x:t xml:space="preserve">Not reviewed</x:t>
        </x:is>
      </x:c>
      <x:c r="AJ285" s="81" t="inlineStr">
        <x:is>
          <x:t xml:space="preserve">Research only</x:t>
        </x:is>
      </x:c>
      <x:c r="AK285" s="81" t="inlineStr">
        <x:is>
          <x:t xml:space="preserve">Research Pool</x:t>
        </x:is>
      </x:c>
      <x:c r="AL285" s="81" t="n">
        <x:v>3</x:v>
      </x:c>
      <x:c r="AM285" s="81" t="inlineStr">
        <x:is>
          <x:t xml:space="preserve">ChatGPT research</x:t>
        </x:is>
      </x:c>
      <x:c r="AN285" s="81" t="inlineStr">
        <x:is>
          <x:t xml:space="preserve">2026-09-18</x:t>
        </x:is>
      </x:c>
      <x:c r="AO285" s="81" t="inlineStr">
        <x:is>
          <x:t xml:space="preserve">Day 3 full-scope audit, chapters 51–81.</x:t>
        </x:is>
      </x:c>
    </x:row>
    <x:row r="286">
      <x:c r="A286" s="81" t="inlineStr">
        <x:is>
          <x:t xml:space="preserve">research.laozi.day3.ch75.104</x:t>
        </x:is>
      </x:c>
      <x:c r="B286" s="81" t="inlineStr">
        <x:is>
          <x:t xml:space="preserve">Collected</x:t>
        </x:is>
      </x:c>
      <x:c r="C286" s="81" t="inlineStr">
        <x:is>
          <x:t xml:space="preserve">Nội tâm &amp; hiểu mình</x:t>
        </x:is>
      </x:c>
      <x:c r="D286" s="81" t="inlineStr">
        <x:is>
          <x:t xml:space="preserve">Day 3 / Laozi 51–81</x:t>
        </x:is>
      </x:c>
      <x:c r="E286" s="81" t="str"/>
      <x:c r="F286" s="81" t="inlineStr">
        <x:is>
          <x:t xml:space="preserve">Khó khăn cá nhân có thể có nguyên nhân hệ thống</x:t>
        </x:is>
      </x:c>
      <x:c r="G286" s="81" t="inlineStr">
        <x:is>
          <x:t xml:space="preserve">Context</x:t>
        </x:is>
      </x:c>
      <x:c r="H286" s="81" t="str"/>
      <x:c r="I286" s="81" t="str"/>
      <x:c r="J286" s="81" t="str"/>
      <x:c r="K286" s="81" t="inlineStr">
        <x:is>
          <x:t xml:space="preserve">Distinguish</x:t>
        </x:is>
      </x:c>
      <x:c r="L286" s="81" t="inlineStr">
        <x:is>
          <x:t xml:space="preserve">Recognize</x:t>
        </x:is>
      </x:c>
      <x:c r="M286" s="81" t="inlineStr">
        <x:is>
          <x:t xml:space="preserve">Trích đoạn triết học</x:t>
        </x:is>
      </x:c>
      <x:c r="N286" s="81" t="inlineStr">
        <x:is>
          <x:t xml:space="preserve">民之飢，以其上食稅之多，是以飢。</x:t>
        </x:is>
      </x:c>
      <x:c r="O286" s="81" t="inlineStr">
        <x:is>
          <x:t xml:space="preserve">Classical Chinese (文言文)</x:t>
        </x:is>
      </x:c>
      <x:c r="P286" s="81" t="inlineStr">
        <x:is>
          <x:t xml:space="preserve">Văn bản nhìn cái đói như hệ quả của cấu trúc phía trên, không chỉ lỗi của người đói.</x:t>
        </x:is>
      </x:c>
      <x:c r="Q286" s="81" t="inlineStr">
        <x:is>
          <x:t xml:space="preserve">Laozi / 老子</x:t>
        </x:is>
      </x:c>
      <x:c r="R286" s="81" t="inlineStr">
        <x:is>
          <x:t xml:space="preserve">Taoism</x:t>
        </x:is>
      </x:c>
      <x:c r="S286" s="81" t="inlineStr">
        <x:is>
          <x:t xml:space="preserve">道德經 / Tao Te Ching</x:t>
        </x:is>
      </x:c>
      <x:c r="T286" s="81" t="inlineStr">
        <x:is>
          <x:t xml:space="preserve">Chapter 75</x:t>
        </x:is>
      </x:c>
      <x:c r="U286" s="81" t="inlineStr">
        <x:is>
          <x:t xml:space="preserve">https://zh.wikisource.org/zh-hant/%E9%81%93%E5%BE%B7%E7%B6%93_(%E7%8E%8B%E5%BC%BC%E6%9C%AC)</x:t>
        </x:is>
      </x:c>
      <x:c r="V286" s="81" t="inlineStr">
        <x:is>
          <x:t xml:space="preserve">Primary text</x:t>
        </x:is>
      </x:c>
      <x:c r="W286" s="81" t="inlineStr">
        <x:is>
          <x:t xml:space="preserve">Working translation</x:t>
        </x:is>
      </x:c>
      <x:c r="X286" s="81" t="inlineStr">
        <x:is>
          <x:t xml:space="preserve">A - Primary source</x:t>
        </x:is>
      </x:c>
      <x:c r="Y286" s="81" t="inlineStr">
        <x:is>
          <x:t xml:space="preserve">Original Chinese checked against Wang Bi recension on Chinese Wikisource. Vietnamese is Selflo working translation, not a published translation.</x:t>
        </x:is>
      </x:c>
      <x:c r="Z286" s="81" t="inlineStr">
        <x:is>
          <x:t xml:space="preserve">Public domain / likely</x:t>
        </x:is>
      </x:c>
      <x:c r="AA286" s="81" t="inlineStr">
        <x:is>
          <x:t xml:space="preserve">Ancient source text; verify edition/jurisdiction before commercial publication.</x:t>
        </x:is>
      </x:c>
      <x:c r="AB286" s="81" t="inlineStr">
        <x:is>
          <x:t xml:space="preserve">High</x:t>
        </x:is>
      </x:c>
      <x:c r="AC286" s="81" t="inlineStr">
        <x:is>
          <x:t xml:space="preserve">Very relevant: barriers ≠ personal failure.</x:t>
        </x:is>
      </x:c>
      <x:c r="AD286" s="81" t="inlineStr">
        <x:is>
          <x:t xml:space="preserve">Needs editorial review</x:t>
        </x:is>
      </x:c>
      <x:c r="AE286" s="81" t="inlineStr">
        <x:is>
          <x:t xml:space="preserve">Needs semantic dedupe review</x:t>
        </x:is>
      </x:c>
      <x:c r="AF286" s="81" t="str"/>
      <x:c r="AG286" s="81" t="str"/>
      <x:c r="AH286" s="81" t="inlineStr">
        <x:is>
          <x:t xml:space="preserve">No</x:t>
        </x:is>
      </x:c>
      <x:c r="AI286" s="81" t="inlineStr">
        <x:is>
          <x:t xml:space="preserve">Not reviewed</x:t>
        </x:is>
      </x:c>
      <x:c r="AJ286" s="81" t="inlineStr">
        <x:is>
          <x:t xml:space="preserve">Research only</x:t>
        </x:is>
      </x:c>
      <x:c r="AK286" s="81" t="inlineStr">
        <x:is>
          <x:t xml:space="preserve">Research Pool</x:t>
        </x:is>
      </x:c>
      <x:c r="AL286" s="81" t="n">
        <x:v>3</x:v>
      </x:c>
      <x:c r="AM286" s="81" t="inlineStr">
        <x:is>
          <x:t xml:space="preserve">ChatGPT research</x:t>
        </x:is>
      </x:c>
      <x:c r="AN286" s="81" t="inlineStr">
        <x:is>
          <x:t xml:space="preserve">2026-09-18</x:t>
        </x:is>
      </x:c>
      <x:c r="AO286" s="81" t="inlineStr">
        <x:is>
          <x:t xml:space="preserve">Day 3 full-scope audit, chapters 51–81.</x:t>
        </x:is>
      </x:c>
    </x:row>
    <x:row r="287">
      <x:c r="A287" s="81" t="inlineStr">
        <x:is>
          <x:t xml:space="preserve">research.laozi.day3.ch75.105</x:t>
        </x:is>
      </x:c>
      <x:c r="B287" s="81" t="inlineStr">
        <x:is>
          <x:t xml:space="preserve">Collected</x:t>
        </x:is>
      </x:c>
      <x:c r="C287" s="81" t="inlineStr">
        <x:is>
          <x:t xml:space="preserve">Công việc &amp; mục đích</x:t>
        </x:is>
      </x:c>
      <x:c r="D287" s="81" t="inlineStr">
        <x:is>
          <x:t xml:space="preserve">Day 3 / Laozi 51–81</x:t>
        </x:is>
      </x:c>
      <x:c r="E287" s="81" t="str"/>
      <x:c r="F287" s="81" t="inlineStr">
        <x:is>
          <x:t xml:space="preserve">Hệ thống có thể tạo ra chính vấn đề nó muốn sửa</x:t>
        </x:is>
      </x:c>
      <x:c r="G287" s="81" t="inlineStr">
        <x:is>
          <x:t xml:space="preserve">Systems</x:t>
        </x:is>
      </x:c>
      <x:c r="H287" s="81" t="str"/>
      <x:c r="I287" s="81" t="str"/>
      <x:c r="J287" s="81" t="str"/>
      <x:c r="K287" s="81" t="inlineStr">
        <x:is>
          <x:t xml:space="preserve">Reframe</x:t>
        </x:is>
      </x:c>
      <x:c r="L287" s="81" t="inlineStr">
        <x:is>
          <x:t xml:space="preserve">Distinguish</x:t>
        </x:is>
      </x:c>
      <x:c r="M287" s="81" t="inlineStr">
        <x:is>
          <x:t xml:space="preserve">Trích đoạn triết học</x:t>
        </x:is>
      </x:c>
      <x:c r="N287" s="81" t="inlineStr">
        <x:is>
          <x:t xml:space="preserve">民之難治，以其上之有為，是以難治。</x:t>
        </x:is>
      </x:c>
      <x:c r="O287" s="81" t="inlineStr">
        <x:is>
          <x:t xml:space="preserve">Classical Chinese (文言文)</x:t>
        </x:is>
      </x:c>
      <x:c r="P287" s="81" t="inlineStr">
        <x:is>
          <x:t xml:space="preserve">Văn bản quy một phần rối loạn cho sự can thiệp quá mức từ phía trên.</x:t>
        </x:is>
      </x:c>
      <x:c r="Q287" s="81" t="inlineStr">
        <x:is>
          <x:t xml:space="preserve">Laozi / 老子</x:t>
        </x:is>
      </x:c>
      <x:c r="R287" s="81" t="inlineStr">
        <x:is>
          <x:t xml:space="preserve">Taoism</x:t>
        </x:is>
      </x:c>
      <x:c r="S287" s="81" t="inlineStr">
        <x:is>
          <x:t xml:space="preserve">道德經 / Tao Te Ching</x:t>
        </x:is>
      </x:c>
      <x:c r="T287" s="81" t="inlineStr">
        <x:is>
          <x:t xml:space="preserve">Chapter 75</x:t>
        </x:is>
      </x:c>
      <x:c r="U287" s="81" t="inlineStr">
        <x:is>
          <x:t xml:space="preserve">https://zh.wikisource.org/zh-hant/%E9%81%93%E5%BE%B7%E7%B6%93_(%E7%8E%8B%E5%BC%BC%E6%9C%AC)</x:t>
        </x:is>
      </x:c>
      <x:c r="V287" s="81" t="inlineStr">
        <x:is>
          <x:t xml:space="preserve">Primary text</x:t>
        </x:is>
      </x:c>
      <x:c r="W287" s="81" t="inlineStr">
        <x:is>
          <x:t xml:space="preserve">Working translation</x:t>
        </x:is>
      </x:c>
      <x:c r="X287" s="81" t="inlineStr">
        <x:is>
          <x:t xml:space="preserve">A - Primary source</x:t>
        </x:is>
      </x:c>
      <x:c r="Y287" s="81" t="inlineStr">
        <x:is>
          <x:t xml:space="preserve">Original Chinese checked against Wang Bi recension on Chinese Wikisource. Vietnamese is Selflo working translation, not a published translation.</x:t>
        </x:is>
      </x:c>
      <x:c r="Z287" s="81" t="inlineStr">
        <x:is>
          <x:t xml:space="preserve">Public domain / likely</x:t>
        </x:is>
      </x:c>
      <x:c r="AA287" s="81" t="inlineStr">
        <x:is>
          <x:t xml:space="preserve">Ancient source text; verify edition/jurisdiction before commercial publication.</x:t>
        </x:is>
      </x:c>
      <x:c r="AB287" s="81" t="inlineStr">
        <x:is>
          <x:t xml:space="preserve">High</x:t>
        </x:is>
      </x:c>
      <x:c r="AC287" s="81" t="inlineStr">
        <x:is>
          <x:t xml:space="preserve">Strong.</x:t>
        </x:is>
      </x:c>
      <x:c r="AD287" s="81" t="inlineStr">
        <x:is>
          <x:t xml:space="preserve">Needs editorial review</x:t>
        </x:is>
      </x:c>
      <x:c r="AE287" s="81" t="inlineStr">
        <x:is>
          <x:t xml:space="preserve">Needs semantic dedupe review</x:t>
        </x:is>
      </x:c>
      <x:c r="AF287" s="81" t="str"/>
      <x:c r="AG287" s="81" t="str"/>
      <x:c r="AH287" s="81" t="inlineStr">
        <x:is>
          <x:t xml:space="preserve">No</x:t>
        </x:is>
      </x:c>
      <x:c r="AI287" s="81" t="inlineStr">
        <x:is>
          <x:t xml:space="preserve">Not reviewed</x:t>
        </x:is>
      </x:c>
      <x:c r="AJ287" s="81" t="inlineStr">
        <x:is>
          <x:t xml:space="preserve">Research only</x:t>
        </x:is>
      </x:c>
      <x:c r="AK287" s="81" t="inlineStr">
        <x:is>
          <x:t xml:space="preserve">Research Pool</x:t>
        </x:is>
      </x:c>
      <x:c r="AL287" s="81" t="n">
        <x:v>3</x:v>
      </x:c>
      <x:c r="AM287" s="81" t="inlineStr">
        <x:is>
          <x:t xml:space="preserve">ChatGPT research</x:t>
        </x:is>
      </x:c>
      <x:c r="AN287" s="81" t="inlineStr">
        <x:is>
          <x:t xml:space="preserve">2026-09-18</x:t>
        </x:is>
      </x:c>
      <x:c r="AO287" s="81" t="inlineStr">
        <x:is>
          <x:t xml:space="preserve">Day 3 full-scope audit, chapters 51–81.</x:t>
        </x:is>
      </x:c>
    </x:row>
    <x:row r="288">
      <x:c r="A288" s="81" t="inlineStr">
        <x:is>
          <x:t xml:space="preserve">research.laozi.day3.ch75.106</x:t>
        </x:is>
      </x:c>
      <x:c r="B288" s="81" t="inlineStr">
        <x:is>
          <x:t xml:space="preserve">Collected</x:t>
        </x:is>
      </x:c>
      <x:c r="C288" s="81" t="inlineStr">
        <x:is>
          <x:t xml:space="preserve">Nội tâm &amp; hiểu mình</x:t>
        </x:is>
      </x:c>
      <x:c r="D288" s="81" t="inlineStr">
        <x:is>
          <x:t xml:space="preserve">Day 3 / Laozi 51–81</x:t>
        </x:is>
      </x:c>
      <x:c r="E288" s="81" t="str"/>
      <x:c r="F288" s="81" t="inlineStr">
        <x:is>
          <x:t xml:space="preserve">Nắm quá chặt có thể đổi hành vi theo cách bất ngờ</x:t>
        </x:is>
      </x:c>
      <x:c r="G288" s="81" t="inlineStr">
        <x:is>
          <x:t xml:space="preserve">Attachment</x:t>
        </x:is>
      </x:c>
      <x:c r="H288" s="81" t="str"/>
      <x:c r="I288" s="81" t="str"/>
      <x:c r="J288" s="81" t="str"/>
      <x:c r="K288" s="81" t="inlineStr">
        <x:is>
          <x:t xml:space="preserve">Reframe</x:t>
        </x:is>
      </x:c>
      <x:c r="L288" s="81" t="inlineStr">
        <x:is>
          <x:t xml:space="preserve">Distinguish</x:t>
        </x:is>
      </x:c>
      <x:c r="M288" s="81" t="inlineStr">
        <x:is>
          <x:t xml:space="preserve">Trích đoạn triết học</x:t>
        </x:is>
      </x:c>
      <x:c r="N288" s="81" t="inlineStr">
        <x:is>
          <x:t xml:space="preserve">民之輕死，以其求生之厚，是以輕死。</x:t>
        </x:is>
      </x:c>
      <x:c r="O288" s="81" t="inlineStr">
        <x:is>
          <x:t xml:space="preserve">Classical Chinese (文言文)</x:t>
        </x:is>
      </x:c>
      <x:c r="P288" s="81" t="inlineStr">
        <x:is>
          <x:t xml:space="preserve">Văn bản nêu nghịch lý: bám quá mức vào một mục tiêu có thể tạo hệ quả ngược.</x:t>
        </x:is>
      </x:c>
      <x:c r="Q288" s="81" t="inlineStr">
        <x:is>
          <x:t xml:space="preserve">Laozi / 老子</x:t>
        </x:is>
      </x:c>
      <x:c r="R288" s="81" t="inlineStr">
        <x:is>
          <x:t xml:space="preserve">Taoism</x:t>
        </x:is>
      </x:c>
      <x:c r="S288" s="81" t="inlineStr">
        <x:is>
          <x:t xml:space="preserve">道德經 / Tao Te Ching</x:t>
        </x:is>
      </x:c>
      <x:c r="T288" s="81" t="inlineStr">
        <x:is>
          <x:t xml:space="preserve">Chapter 75</x:t>
        </x:is>
      </x:c>
      <x:c r="U288" s="81" t="inlineStr">
        <x:is>
          <x:t xml:space="preserve">https://zh.wikisource.org/zh-hant/%E9%81%93%E5%BE%B7%E7%B6%93_(%E7%8E%8B%E5%BC%BC%E6%9C%AC)</x:t>
        </x:is>
      </x:c>
      <x:c r="V288" s="81" t="inlineStr">
        <x:is>
          <x:t xml:space="preserve">Primary text</x:t>
        </x:is>
      </x:c>
      <x:c r="W288" s="81" t="inlineStr">
        <x:is>
          <x:t xml:space="preserve">Working translation</x:t>
        </x:is>
      </x:c>
      <x:c r="X288" s="81" t="inlineStr">
        <x:is>
          <x:t xml:space="preserve">A - Primary source</x:t>
        </x:is>
      </x:c>
      <x:c r="Y288" s="81" t="inlineStr">
        <x:is>
          <x:t xml:space="preserve">Original Chinese checked against Wang Bi recension on Chinese Wikisource. Vietnamese is Selflo working translation, not a published translation.</x:t>
        </x:is>
      </x:c>
      <x:c r="Z288" s="81" t="inlineStr">
        <x:is>
          <x:t xml:space="preserve">Public domain / likely</x:t>
        </x:is>
      </x:c>
      <x:c r="AA288" s="81" t="inlineStr">
        <x:is>
          <x:t xml:space="preserve">Ancient source text; verify edition/jurisdiction before commercial publication.</x:t>
        </x:is>
      </x:c>
      <x:c r="AB288" s="81" t="inlineStr">
        <x:is>
          <x:t xml:space="preserve">Medium</x:t>
        </x:is>
      </x:c>
      <x:c r="AC288" s="81" t="inlineStr">
        <x:is>
          <x:t xml:space="preserve">Ancient political/existential.</x:t>
        </x:is>
      </x:c>
      <x:c r="AD288" s="81" t="inlineStr">
        <x:is>
          <x:t xml:space="preserve">Needs editorial review</x:t>
        </x:is>
      </x:c>
      <x:c r="AE288" s="81" t="inlineStr">
        <x:is>
          <x:t xml:space="preserve">Needs semantic dedupe review</x:t>
        </x:is>
      </x:c>
      <x:c r="AF288" s="81" t="str"/>
      <x:c r="AG288" s="81" t="str"/>
      <x:c r="AH288" s="81" t="inlineStr">
        <x:is>
          <x:t xml:space="preserve">No</x:t>
        </x:is>
      </x:c>
      <x:c r="AI288" s="81" t="inlineStr">
        <x:is>
          <x:t xml:space="preserve">Not reviewed</x:t>
        </x:is>
      </x:c>
      <x:c r="AJ288" s="81" t="inlineStr">
        <x:is>
          <x:t xml:space="preserve">Research only</x:t>
        </x:is>
      </x:c>
      <x:c r="AK288" s="81" t="inlineStr">
        <x:is>
          <x:t xml:space="preserve">Research Pool</x:t>
        </x:is>
      </x:c>
      <x:c r="AL288" s="81" t="n">
        <x:v>3</x:v>
      </x:c>
      <x:c r="AM288" s="81" t="inlineStr">
        <x:is>
          <x:t xml:space="preserve">ChatGPT research</x:t>
        </x:is>
      </x:c>
      <x:c r="AN288" s="81" t="inlineStr">
        <x:is>
          <x:t xml:space="preserve">2026-09-18</x:t>
        </x:is>
      </x:c>
      <x:c r="AO288" s="81" t="inlineStr">
        <x:is>
          <x:t xml:space="preserve">Day 3 full-scope audit, chapters 51–81.</x:t>
        </x:is>
      </x:c>
    </x:row>
    <x:row r="289">
      <x:c r="A289" s="81" t="inlineStr">
        <x:is>
          <x:t xml:space="preserve">research.laozi.day3.ch75.107</x:t>
        </x:is>
      </x:c>
      <x:c r="B289" s="81" t="inlineStr">
        <x:is>
          <x:t xml:space="preserve">Collected</x:t>
        </x:is>
      </x:c>
      <x:c r="C289" s="81" t="inlineStr">
        <x:is>
          <x:t xml:space="preserve">Nội tâm &amp; hiểu mình</x:t>
        </x:is>
      </x:c>
      <x:c r="D289" s="81" t="inlineStr">
        <x:is>
          <x:t xml:space="preserve">Day 3 / Laozi 51–81</x:t>
        </x:is>
      </x:c>
      <x:c r="E289" s="81" t="str"/>
      <x:c r="F289" s="81" t="inlineStr">
        <x:is>
          <x:t xml:space="preserve">Không biến một giá trị thành tuyệt đối duy nhất</x:t>
        </x:is>
      </x:c>
      <x:c r="G289" s="81" t="inlineStr">
        <x:is>
          <x:t xml:space="preserve">Values</x:t>
        </x:is>
      </x:c>
      <x:c r="H289" s="81" t="str"/>
      <x:c r="I289" s="81" t="str"/>
      <x:c r="J289" s="81" t="str"/>
      <x:c r="K289" s="81" t="inlineStr">
        <x:is>
          <x:t xml:space="preserve">Distinguish</x:t>
        </x:is>
      </x:c>
      <x:c r="L289" s="81" t="inlineStr">
        <x:is>
          <x:t xml:space="preserve">Recognize</x:t>
        </x:is>
      </x:c>
      <x:c r="M289" s="81" t="inlineStr">
        <x:is>
          <x:t xml:space="preserve">Trích đoạn triết học</x:t>
        </x:is>
      </x:c>
      <x:c r="N289" s="81" t="inlineStr">
        <x:is>
          <x:t xml:space="preserve">夫唯無以生為者，是賢於貴生。</x:t>
        </x:is>
      </x:c>
      <x:c r="O289" s="81" t="inlineStr">
        <x:is>
          <x:t xml:space="preserve">Classical Chinese (文言文)</x:t>
        </x:is>
      </x:c>
      <x:c r="P289" s="81" t="inlineStr">
        <x:is>
          <x:t xml:space="preserve">Không biến việc giữ đời sống thành sự cưỡng ép tuyệt đối được văn bản xem là khôn hơn chỉ tôn thờ sự sống.</x:t>
        </x:is>
      </x:c>
      <x:c r="Q289" s="81" t="inlineStr">
        <x:is>
          <x:t xml:space="preserve">Laozi / 老子</x:t>
        </x:is>
      </x:c>
      <x:c r="R289" s="81" t="inlineStr">
        <x:is>
          <x:t xml:space="preserve">Taoism</x:t>
        </x:is>
      </x:c>
      <x:c r="S289" s="81" t="inlineStr">
        <x:is>
          <x:t xml:space="preserve">道德經 / Tao Te Ching</x:t>
        </x:is>
      </x:c>
      <x:c r="T289" s="81" t="inlineStr">
        <x:is>
          <x:t xml:space="preserve">Chapter 75</x:t>
        </x:is>
      </x:c>
      <x:c r="U289" s="81" t="inlineStr">
        <x:is>
          <x:t xml:space="preserve">https://zh.wikisource.org/zh-hant/%E9%81%93%E5%BE%B7%E7%B6%93_(%E7%8E%8B%E5%BC%BC%E6%9C%AC)</x:t>
        </x:is>
      </x:c>
      <x:c r="V289" s="81" t="inlineStr">
        <x:is>
          <x:t xml:space="preserve">Primary text</x:t>
        </x:is>
      </x:c>
      <x:c r="W289" s="81" t="inlineStr">
        <x:is>
          <x:t xml:space="preserve">Working translation</x:t>
        </x:is>
      </x:c>
      <x:c r="X289" s="81" t="inlineStr">
        <x:is>
          <x:t xml:space="preserve">A - Primary source</x:t>
        </x:is>
      </x:c>
      <x:c r="Y289" s="81" t="inlineStr">
        <x:is>
          <x:t xml:space="preserve">Original Chinese checked against Wang Bi recension on Chinese Wikisource. Vietnamese is Selflo working translation, not a published translation.</x:t>
        </x:is>
      </x:c>
      <x:c r="Z289" s="81" t="inlineStr">
        <x:is>
          <x:t xml:space="preserve">Public domain / likely</x:t>
        </x:is>
      </x:c>
      <x:c r="AA289" s="81" t="inlineStr">
        <x:is>
          <x:t xml:space="preserve">Ancient source text; verify edition/jurisdiction before commercial publication.</x:t>
        </x:is>
      </x:c>
      <x:c r="AB289" s="81" t="inlineStr">
        <x:is>
          <x:t xml:space="preserve">Low</x:t>
        </x:is>
      </x:c>
      <x:c r="AC289" s="81" t="inlineStr">
        <x:is>
          <x:t xml:space="preserve">Difficult; research only.</x:t>
        </x:is>
      </x:c>
      <x:c r="AD289" s="81" t="inlineStr">
        <x:is>
          <x:t xml:space="preserve">Needs editorial review</x:t>
        </x:is>
      </x:c>
      <x:c r="AE289" s="81" t="inlineStr">
        <x:is>
          <x:t xml:space="preserve">Needs semantic dedupe review</x:t>
        </x:is>
      </x:c>
      <x:c r="AF289" s="81" t="str"/>
      <x:c r="AG289" s="81" t="str"/>
      <x:c r="AH289" s="81" t="inlineStr">
        <x:is>
          <x:t xml:space="preserve">No</x:t>
        </x:is>
      </x:c>
      <x:c r="AI289" s="81" t="inlineStr">
        <x:is>
          <x:t xml:space="preserve">Not reviewed</x:t>
        </x:is>
      </x:c>
      <x:c r="AJ289" s="81" t="inlineStr">
        <x:is>
          <x:t xml:space="preserve">Research only</x:t>
        </x:is>
      </x:c>
      <x:c r="AK289" s="81" t="inlineStr">
        <x:is>
          <x:t xml:space="preserve">Research Pool</x:t>
        </x:is>
      </x:c>
      <x:c r="AL289" s="81" t="n">
        <x:v>3</x:v>
      </x:c>
      <x:c r="AM289" s="81" t="inlineStr">
        <x:is>
          <x:t xml:space="preserve">ChatGPT research</x:t>
        </x:is>
      </x:c>
      <x:c r="AN289" s="81" t="inlineStr">
        <x:is>
          <x:t xml:space="preserve">2026-09-18</x:t>
        </x:is>
      </x:c>
      <x:c r="AO289" s="81" t="inlineStr">
        <x:is>
          <x:t xml:space="preserve">Day 3 full-scope audit, chapters 51–81.</x:t>
        </x:is>
      </x:c>
    </x:row>
    <x:row r="290">
      <x:c r="A290" s="81" t="inlineStr">
        <x:is>
          <x:t xml:space="preserve">research.laozi.day3.ch76.108</x:t>
        </x:is>
      </x:c>
      <x:c r="B290" s="81" t="inlineStr">
        <x:is>
          <x:t xml:space="preserve">Collected</x:t>
        </x:is>
      </x:c>
      <x:c r="C290" s="81" t="inlineStr">
        <x:is>
          <x:t xml:space="preserve">Nội tâm &amp; hiểu mình</x:t>
        </x:is>
      </x:c>
      <x:c r="D290" s="81" t="inlineStr">
        <x:is>
          <x:t xml:space="preserve">Day 3 / Laozi 51–81</x:t>
        </x:is>
      </x:c>
      <x:c r="E290" s="81" t="str"/>
      <x:c r="F290" s="81" t="inlineStr">
        <x:is>
          <x:t xml:space="preserve">Mềm và linh hoạt gắn với sức sống</x:t>
        </x:is>
      </x:c>
      <x:c r="G290" s="81" t="inlineStr">
        <x:is>
          <x:t xml:space="preserve">Strength</x:t>
        </x:is>
      </x:c>
      <x:c r="H290" s="81" t="str"/>
      <x:c r="I290" s="81" t="str"/>
      <x:c r="J290" s="81" t="str"/>
      <x:c r="K290" s="81" t="inlineStr">
        <x:is>
          <x:t xml:space="preserve">Reframe</x:t>
        </x:is>
      </x:c>
      <x:c r="L290" s="81" t="inlineStr">
        <x:is>
          <x:t xml:space="preserve">Distinguish</x:t>
        </x:is>
      </x:c>
      <x:c r="M290" s="81" t="inlineStr">
        <x:is>
          <x:t xml:space="preserve">Trích đoạn triết học</x:t>
        </x:is>
      </x:c>
      <x:c r="N290" s="81" t="inlineStr">
        <x:is>
          <x:t xml:space="preserve">人之生也柔弱，其死也堅強。</x:t>
        </x:is>
      </x:c>
      <x:c r="O290" s="81" t="inlineStr">
        <x:is>
          <x:t xml:space="preserve">Classical Chinese (文言文)</x:t>
        </x:is>
      </x:c>
      <x:c r="P290" s="81" t="inlineStr">
        <x:is>
          <x:t xml:space="preserve">Khi sống, con người mềm và linh hoạt; khi chết, cơ thể trở nên cứng.</x:t>
        </x:is>
      </x:c>
      <x:c r="Q290" s="81" t="inlineStr">
        <x:is>
          <x:t xml:space="preserve">Laozi / 老子</x:t>
        </x:is>
      </x:c>
      <x:c r="R290" s="81" t="inlineStr">
        <x:is>
          <x:t xml:space="preserve">Taoism</x:t>
        </x:is>
      </x:c>
      <x:c r="S290" s="81" t="inlineStr">
        <x:is>
          <x:t xml:space="preserve">道德經 / Tao Te Ching</x:t>
        </x:is>
      </x:c>
      <x:c r="T290" s="81" t="inlineStr">
        <x:is>
          <x:t xml:space="preserve">Chapter 76</x:t>
        </x:is>
      </x:c>
      <x:c r="U290" s="81" t="inlineStr">
        <x:is>
          <x:t xml:space="preserve">https://zh.wikisource.org/zh-hant/%E9%81%93%E5%BE%B7%E7%B6%93_(%E7%8E%8B%E5%BC%BC%E6%9C%AC)</x:t>
        </x:is>
      </x:c>
      <x:c r="V290" s="81" t="inlineStr">
        <x:is>
          <x:t xml:space="preserve">Primary text</x:t>
        </x:is>
      </x:c>
      <x:c r="W290" s="81" t="inlineStr">
        <x:is>
          <x:t xml:space="preserve">Working translation</x:t>
        </x:is>
      </x:c>
      <x:c r="X290" s="81" t="inlineStr">
        <x:is>
          <x:t xml:space="preserve">A - Primary source</x:t>
        </x:is>
      </x:c>
      <x:c r="Y290" s="81" t="inlineStr">
        <x:is>
          <x:t xml:space="preserve">Original Chinese checked against Wang Bi recension on Chinese Wikisource. Vietnamese is Selflo working translation, not a published translation.</x:t>
        </x:is>
      </x:c>
      <x:c r="Z290" s="81" t="inlineStr">
        <x:is>
          <x:t xml:space="preserve">Public domain / likely</x:t>
        </x:is>
      </x:c>
      <x:c r="AA290" s="81" t="inlineStr">
        <x:is>
          <x:t xml:space="preserve">Ancient source text; verify edition/jurisdiction before commercial publication.</x:t>
        </x:is>
      </x:c>
      <x:c r="AB290" s="81" t="inlineStr">
        <x:is>
          <x:t xml:space="preserve">High</x:t>
        </x:is>
      </x:c>
      <x:c r="AC290" s="81" t="inlineStr">
        <x:is>
          <x:t xml:space="preserve">Biological metaphor, obvious observation.</x:t>
        </x:is>
      </x:c>
      <x:c r="AD290" s="81" t="inlineStr">
        <x:is>
          <x:t xml:space="preserve">Needs editorial review</x:t>
        </x:is>
      </x:c>
      <x:c r="AE290" s="81" t="inlineStr">
        <x:is>
          <x:t xml:space="preserve">Needs semantic dedupe review</x:t>
        </x:is>
      </x:c>
      <x:c r="AF290" s="81" t="str"/>
      <x:c r="AG290" s="81" t="str"/>
      <x:c r="AH290" s="81" t="inlineStr">
        <x:is>
          <x:t xml:space="preserve">No</x:t>
        </x:is>
      </x:c>
      <x:c r="AI290" s="81" t="inlineStr">
        <x:is>
          <x:t xml:space="preserve">Not reviewed</x:t>
        </x:is>
      </x:c>
      <x:c r="AJ290" s="81" t="inlineStr">
        <x:is>
          <x:t xml:space="preserve">Research only</x:t>
        </x:is>
      </x:c>
      <x:c r="AK290" s="81" t="inlineStr">
        <x:is>
          <x:t xml:space="preserve">Research Pool</x:t>
        </x:is>
      </x:c>
      <x:c r="AL290" s="81" t="n">
        <x:v>3</x:v>
      </x:c>
      <x:c r="AM290" s="81" t="inlineStr">
        <x:is>
          <x:t xml:space="preserve">ChatGPT research</x:t>
        </x:is>
      </x:c>
      <x:c r="AN290" s="81" t="inlineStr">
        <x:is>
          <x:t xml:space="preserve">2026-09-18</x:t>
        </x:is>
      </x:c>
      <x:c r="AO290" s="81" t="inlineStr">
        <x:is>
          <x:t xml:space="preserve">Day 3 full-scope audit, chapters 51–81.</x:t>
        </x:is>
      </x:c>
    </x:row>
    <x:row r="291">
      <x:c r="A291" s="81" t="inlineStr">
        <x:is>
          <x:t xml:space="preserve">research.laozi.day3.ch76.109</x:t>
        </x:is>
      </x:c>
      <x:c r="B291" s="81" t="inlineStr">
        <x:is>
          <x:t xml:space="preserve">Collected</x:t>
        </x:is>
      </x:c>
      <x:c r="C291" s="81" t="inlineStr">
        <x:is>
          <x:t xml:space="preserve">Nội tâm &amp; hiểu mình</x:t>
        </x:is>
      </x:c>
      <x:c r="D291" s="81" t="inlineStr">
        <x:is>
          <x:t xml:space="preserve">Day 3 / Laozi 51–81</x:t>
        </x:is>
      </x:c>
      <x:c r="E291" s="81" t="str"/>
      <x:c r="F291" s="81" t="inlineStr">
        <x:is>
          <x:t xml:space="preserve">Linh hoạt như dấu hiệu của còn khả năng thay đổi</x:t>
        </x:is>
      </x:c>
      <x:c r="G291" s="81" t="inlineStr">
        <x:is>
          <x:t xml:space="preserve">Change</x:t>
        </x:is>
      </x:c>
      <x:c r="H291" s="81" t="str"/>
      <x:c r="I291" s="81" t="str"/>
      <x:c r="J291" s="81" t="str"/>
      <x:c r="K291" s="81" t="inlineStr">
        <x:is>
          <x:t xml:space="preserve">Reframe</x:t>
        </x:is>
      </x:c>
      <x:c r="L291" s="81" t="inlineStr">
        <x:is>
          <x:t xml:space="preserve">Distinguish</x:t>
        </x:is>
      </x:c>
      <x:c r="M291" s="81" t="inlineStr">
        <x:is>
          <x:t xml:space="preserve">Trích đoạn triết học</x:t>
        </x:is>
      </x:c>
      <x:c r="N291" s="81" t="inlineStr">
        <x:is>
          <x:t xml:space="preserve">萬物草木之生也柔脆，其死也枯槁。</x:t>
        </x:is>
      </x:c>
      <x:c r="O291" s="81" t="inlineStr">
        <x:is>
          <x:t xml:space="preserve">Classical Chinese (文言文)</x:t>
        </x:is>
      </x:c>
      <x:c r="P291" s="81" t="inlineStr">
        <x:is>
          <x:t xml:space="preserve">Cây cỏ khi sống mềm non; khi chết thì khô cứng.</x:t>
        </x:is>
      </x:c>
      <x:c r="Q291" s="81" t="inlineStr">
        <x:is>
          <x:t xml:space="preserve">Laozi / 老子</x:t>
        </x:is>
      </x:c>
      <x:c r="R291" s="81" t="inlineStr">
        <x:is>
          <x:t xml:space="preserve">Taoism</x:t>
        </x:is>
      </x:c>
      <x:c r="S291" s="81" t="inlineStr">
        <x:is>
          <x:t xml:space="preserve">道德經 / Tao Te Ching</x:t>
        </x:is>
      </x:c>
      <x:c r="T291" s="81" t="inlineStr">
        <x:is>
          <x:t xml:space="preserve">Chapter 76</x:t>
        </x:is>
      </x:c>
      <x:c r="U291" s="81" t="inlineStr">
        <x:is>
          <x:t xml:space="preserve">https://zh.wikisource.org/zh-hant/%E9%81%93%E5%BE%B7%E7%B6%93_(%E7%8E%8B%E5%BC%BC%E6%9C%AC)</x:t>
        </x:is>
      </x:c>
      <x:c r="V291" s="81" t="inlineStr">
        <x:is>
          <x:t xml:space="preserve">Primary text</x:t>
        </x:is>
      </x:c>
      <x:c r="W291" s="81" t="inlineStr">
        <x:is>
          <x:t xml:space="preserve">Working translation</x:t>
        </x:is>
      </x:c>
      <x:c r="X291" s="81" t="inlineStr">
        <x:is>
          <x:t xml:space="preserve">A - Primary source</x:t>
        </x:is>
      </x:c>
      <x:c r="Y291" s="81" t="inlineStr">
        <x:is>
          <x:t xml:space="preserve">Original Chinese checked against Wang Bi recension on Chinese Wikisource. Vietnamese is Selflo working translation, not a published translation.</x:t>
        </x:is>
      </x:c>
      <x:c r="Z291" s="81" t="inlineStr">
        <x:is>
          <x:t xml:space="preserve">Public domain / likely</x:t>
        </x:is>
      </x:c>
      <x:c r="AA291" s="81" t="inlineStr">
        <x:is>
          <x:t xml:space="preserve">Ancient source text; verify edition/jurisdiction before commercial publication.</x:t>
        </x:is>
      </x:c>
      <x:c r="AB291" s="81" t="inlineStr">
        <x:is>
          <x:t xml:space="preserve">High</x:t>
        </x:is>
      </x:c>
      <x:c r="AC291" s="81" t="inlineStr">
        <x:is>
          <x:t xml:space="preserve">Strong.</x:t>
        </x:is>
      </x:c>
      <x:c r="AD291" s="81" t="inlineStr">
        <x:is>
          <x:t xml:space="preserve">Needs editorial review</x:t>
        </x:is>
      </x:c>
      <x:c r="AE291" s="81" t="inlineStr">
        <x:is>
          <x:t xml:space="preserve">Needs semantic dedupe review</x:t>
        </x:is>
      </x:c>
      <x:c r="AF291" s="81" t="str"/>
      <x:c r="AG291" s="81" t="str"/>
      <x:c r="AH291" s="81" t="inlineStr">
        <x:is>
          <x:t xml:space="preserve">No</x:t>
        </x:is>
      </x:c>
      <x:c r="AI291" s="81" t="inlineStr">
        <x:is>
          <x:t xml:space="preserve">Not reviewed</x:t>
        </x:is>
      </x:c>
      <x:c r="AJ291" s="81" t="inlineStr">
        <x:is>
          <x:t xml:space="preserve">Research only</x:t>
        </x:is>
      </x:c>
      <x:c r="AK291" s="81" t="inlineStr">
        <x:is>
          <x:t xml:space="preserve">Research Pool</x:t>
        </x:is>
      </x:c>
      <x:c r="AL291" s="81" t="n">
        <x:v>3</x:v>
      </x:c>
      <x:c r="AM291" s="81" t="inlineStr">
        <x:is>
          <x:t xml:space="preserve">ChatGPT research</x:t>
        </x:is>
      </x:c>
      <x:c r="AN291" s="81" t="inlineStr">
        <x:is>
          <x:t xml:space="preserve">2026-09-18</x:t>
        </x:is>
      </x:c>
      <x:c r="AO291" s="81" t="inlineStr">
        <x:is>
          <x:t xml:space="preserve">Day 3 full-scope audit, chapters 51–81.</x:t>
        </x:is>
      </x:c>
    </x:row>
    <x:row r="292">
      <x:c r="A292" s="81" t="inlineStr">
        <x:is>
          <x:t xml:space="preserve">research.laozi.day3.ch76.110</x:t>
        </x:is>
      </x:c>
      <x:c r="B292" s="81" t="inlineStr">
        <x:is>
          <x:t xml:space="preserve">Collected</x:t>
        </x:is>
      </x:c>
      <x:c r="C292" s="81" t="inlineStr">
        <x:is>
          <x:t xml:space="preserve">Nội tâm &amp; hiểu mình</x:t>
        </x:is>
      </x:c>
      <x:c r="D292" s="81" t="inlineStr">
        <x:is>
          <x:t xml:space="preserve">Day 3 / Laozi 51–81</x:t>
        </x:is>
      </x:c>
      <x:c r="E292" s="81" t="str"/>
      <x:c r="F292" s="81" t="inlineStr">
        <x:is>
          <x:t xml:space="preserve">Cứng không luôn là mạnh; mềm không luôn là yếu</x:t>
        </x:is>
      </x:c>
      <x:c r="G292" s="81" t="inlineStr">
        <x:is>
          <x:t xml:space="preserve">Strength</x:t>
        </x:is>
      </x:c>
      <x:c r="H292" s="81" t="str"/>
      <x:c r="I292" s="81" t="str"/>
      <x:c r="J292" s="81" t="str"/>
      <x:c r="K292" s="81" t="inlineStr">
        <x:is>
          <x:t xml:space="preserve">Distinguish</x:t>
        </x:is>
      </x:c>
      <x:c r="L292" s="81" t="inlineStr">
        <x:is>
          <x:t xml:space="preserve">Recognize</x:t>
        </x:is>
      </x:c>
      <x:c r="M292" s="81" t="inlineStr">
        <x:is>
          <x:t xml:space="preserve">Trích đoạn triết học</x:t>
        </x:is>
      </x:c>
      <x:c r="N292" s="81" t="inlineStr">
        <x:is>
          <x:t xml:space="preserve">堅強者死之徒，柔弱者生之徒。</x:t>
        </x:is>
      </x:c>
      <x:c r="O292" s="81" t="inlineStr">
        <x:is>
          <x:t xml:space="preserve">Classical Chinese (文言文)</x:t>
        </x:is>
      </x:c>
      <x:c r="P292" s="81" t="inlineStr">
        <x:is>
          <x:t xml:space="preserve">Văn bản đặt cứng mạnh về phía chết, mềm yếu về phía sống.</x:t>
        </x:is>
      </x:c>
      <x:c r="Q292" s="81" t="inlineStr">
        <x:is>
          <x:t xml:space="preserve">Laozi / 老子</x:t>
        </x:is>
      </x:c>
      <x:c r="R292" s="81" t="inlineStr">
        <x:is>
          <x:t xml:space="preserve">Taoism</x:t>
        </x:is>
      </x:c>
      <x:c r="S292" s="81" t="inlineStr">
        <x:is>
          <x:t xml:space="preserve">道德經 / Tao Te Ching</x:t>
        </x:is>
      </x:c>
      <x:c r="T292" s="81" t="inlineStr">
        <x:is>
          <x:t xml:space="preserve">Chapter 76</x:t>
        </x:is>
      </x:c>
      <x:c r="U292" s="81" t="inlineStr">
        <x:is>
          <x:t xml:space="preserve">https://zh.wikisource.org/zh-hant/%E9%81%93%E5%BE%B7%E7%B6%93_(%E7%8E%8B%E5%BC%BC%E6%9C%AC)</x:t>
        </x:is>
      </x:c>
      <x:c r="V292" s="81" t="inlineStr">
        <x:is>
          <x:t xml:space="preserve">Primary text</x:t>
        </x:is>
      </x:c>
      <x:c r="W292" s="81" t="inlineStr">
        <x:is>
          <x:t xml:space="preserve">Working translation</x:t>
        </x:is>
      </x:c>
      <x:c r="X292" s="81" t="inlineStr">
        <x:is>
          <x:t xml:space="preserve">A - Primary source</x:t>
        </x:is>
      </x:c>
      <x:c r="Y292" s="81" t="inlineStr">
        <x:is>
          <x:t xml:space="preserve">Original Chinese checked against Wang Bi recension on Chinese Wikisource. Vietnamese is Selflo working translation, not a published translation.</x:t>
        </x:is>
      </x:c>
      <x:c r="Z292" s="81" t="inlineStr">
        <x:is>
          <x:t xml:space="preserve">Public domain / likely</x:t>
        </x:is>
      </x:c>
      <x:c r="AA292" s="81" t="inlineStr">
        <x:is>
          <x:t xml:space="preserve">Ancient source text; verify edition/jurisdiction before commercial publication.</x:t>
        </x:is>
      </x:c>
      <x:c r="AB292" s="81" t="inlineStr">
        <x:is>
          <x:t xml:space="preserve">High</x:t>
        </x:is>
      </x:c>
      <x:c r="AC292" s="81" t="inlineStr">
        <x:is>
          <x:t xml:space="preserve">Core.</x:t>
        </x:is>
      </x:c>
      <x:c r="AD292" s="81" t="inlineStr">
        <x:is>
          <x:t xml:space="preserve">Needs editorial review</x:t>
        </x:is>
      </x:c>
      <x:c r="AE292" s="81" t="inlineStr">
        <x:is>
          <x:t xml:space="preserve">Needs semantic dedupe review</x:t>
        </x:is>
      </x:c>
      <x:c r="AF292" s="81" t="str"/>
      <x:c r="AG292" s="81" t="str"/>
      <x:c r="AH292" s="81" t="inlineStr">
        <x:is>
          <x:t xml:space="preserve">No</x:t>
        </x:is>
      </x:c>
      <x:c r="AI292" s="81" t="inlineStr">
        <x:is>
          <x:t xml:space="preserve">Not reviewed</x:t>
        </x:is>
      </x:c>
      <x:c r="AJ292" s="81" t="inlineStr">
        <x:is>
          <x:t xml:space="preserve">Research only</x:t>
        </x:is>
      </x:c>
      <x:c r="AK292" s="81" t="inlineStr">
        <x:is>
          <x:t xml:space="preserve">Research Pool</x:t>
        </x:is>
      </x:c>
      <x:c r="AL292" s="81" t="n">
        <x:v>3</x:v>
      </x:c>
      <x:c r="AM292" s="81" t="inlineStr">
        <x:is>
          <x:t xml:space="preserve">ChatGPT research</x:t>
        </x:is>
      </x:c>
      <x:c r="AN292" s="81" t="inlineStr">
        <x:is>
          <x:t xml:space="preserve">2026-09-18</x:t>
        </x:is>
      </x:c>
      <x:c r="AO292" s="81" t="inlineStr">
        <x:is>
          <x:t xml:space="preserve">Day 3 full-scope audit, chapters 51–81.</x:t>
        </x:is>
      </x:c>
    </x:row>
    <x:row r="293">
      <x:c r="A293" s="81" t="inlineStr">
        <x:is>
          <x:t xml:space="preserve">research.laozi.day3.ch76.111</x:t>
        </x:is>
      </x:c>
      <x:c r="B293" s="81" t="inlineStr">
        <x:is>
          <x:t xml:space="preserve">Collected</x:t>
        </x:is>
      </x:c>
      <x:c r="C293" s="81" t="inlineStr">
        <x:is>
          <x:t xml:space="preserve">Nội tâm &amp; hiểu mình</x:t>
        </x:is>
      </x:c>
      <x:c r="D293" s="81" t="inlineStr">
        <x:is>
          <x:t xml:space="preserve">Day 3 / Laozi 51–81</x:t>
        </x:is>
      </x:c>
      <x:c r="E293" s="81" t="str"/>
      <x:c r="F293" s="81" t="inlineStr">
        <x:is>
          <x:t xml:space="preserve">Linh hoạt có thể vượt sức mạnh thô</x:t>
        </x:is>
      </x:c>
      <x:c r="G293" s="81" t="inlineStr">
        <x:is>
          <x:t xml:space="preserve">Strength</x:t>
        </x:is>
      </x:c>
      <x:c r="H293" s="81" t="str"/>
      <x:c r="I293" s="81" t="str"/>
      <x:c r="J293" s="81" t="str"/>
      <x:c r="K293" s="81" t="inlineStr">
        <x:is>
          <x:t xml:space="preserve">Reframe</x:t>
        </x:is>
      </x:c>
      <x:c r="L293" s="81" t="inlineStr">
        <x:is>
          <x:t xml:space="preserve">Distinguish</x:t>
        </x:is>
      </x:c>
      <x:c r="M293" s="81" t="inlineStr">
        <x:is>
          <x:t xml:space="preserve">Trích đoạn triết học</x:t>
        </x:is>
      </x:c>
      <x:c r="N293" s="81" t="inlineStr">
        <x:is>
          <x:t xml:space="preserve">強大處下，柔弱處上。</x:t>
        </x:is>
      </x:c>
      <x:c r="O293" s="81" t="inlineStr">
        <x:is>
          <x:t xml:space="preserve">Classical Chinese (文言文)</x:t>
        </x:is>
      </x:c>
      <x:c r="P293" s="81" t="inlineStr">
        <x:is>
          <x:t xml:space="preserve">Cứng mạnh được đặt phía dưới; mềm linh hoạt được đặt phía trên.</x:t>
        </x:is>
      </x:c>
      <x:c r="Q293" s="81" t="inlineStr">
        <x:is>
          <x:t xml:space="preserve">Laozi / 老子</x:t>
        </x:is>
      </x:c>
      <x:c r="R293" s="81" t="inlineStr">
        <x:is>
          <x:t xml:space="preserve">Taoism</x:t>
        </x:is>
      </x:c>
      <x:c r="S293" s="81" t="inlineStr">
        <x:is>
          <x:t xml:space="preserve">道德經 / Tao Te Ching</x:t>
        </x:is>
      </x:c>
      <x:c r="T293" s="81" t="inlineStr">
        <x:is>
          <x:t xml:space="preserve">Chapter 76</x:t>
        </x:is>
      </x:c>
      <x:c r="U293" s="81" t="inlineStr">
        <x:is>
          <x:t xml:space="preserve">https://zh.wikisource.org/zh-hant/%E9%81%93%E5%BE%B7%E7%B6%93_(%E7%8E%8B%E5%BC%BC%E6%9C%AC)</x:t>
        </x:is>
      </x:c>
      <x:c r="V293" s="81" t="inlineStr">
        <x:is>
          <x:t xml:space="preserve">Primary text</x:t>
        </x:is>
      </x:c>
      <x:c r="W293" s="81" t="inlineStr">
        <x:is>
          <x:t xml:space="preserve">Working translation</x:t>
        </x:is>
      </x:c>
      <x:c r="X293" s="81" t="inlineStr">
        <x:is>
          <x:t xml:space="preserve">A - Primary source</x:t>
        </x:is>
      </x:c>
      <x:c r="Y293" s="81" t="inlineStr">
        <x:is>
          <x:t xml:space="preserve">Original Chinese checked against Wang Bi recension on Chinese Wikisource. Vietnamese is Selflo working translation, not a published translation.</x:t>
        </x:is>
      </x:c>
      <x:c r="Z293" s="81" t="inlineStr">
        <x:is>
          <x:t xml:space="preserve">Public domain / likely</x:t>
        </x:is>
      </x:c>
      <x:c r="AA293" s="81" t="inlineStr">
        <x:is>
          <x:t xml:space="preserve">Ancient source text; verify edition/jurisdiction before commercial publication.</x:t>
        </x:is>
      </x:c>
      <x:c r="AB293" s="81" t="inlineStr">
        <x:is>
          <x:t xml:space="preserve">High</x:t>
        </x:is>
      </x:c>
      <x:c r="AC293" s="81" t="inlineStr">
        <x:is>
          <x:t xml:space="preserve">Strong.</x:t>
        </x:is>
      </x:c>
      <x:c r="AD293" s="81" t="inlineStr">
        <x:is>
          <x:t xml:space="preserve">Needs editorial review</x:t>
        </x:is>
      </x:c>
      <x:c r="AE293" s="81" t="inlineStr">
        <x:is>
          <x:t xml:space="preserve">Needs semantic dedupe review</x:t>
        </x:is>
      </x:c>
      <x:c r="AF293" s="81" t="str"/>
      <x:c r="AG293" s="81" t="str"/>
      <x:c r="AH293" s="81" t="inlineStr">
        <x:is>
          <x:t xml:space="preserve">No</x:t>
        </x:is>
      </x:c>
      <x:c r="AI293" s="81" t="inlineStr">
        <x:is>
          <x:t xml:space="preserve">Not reviewed</x:t>
        </x:is>
      </x:c>
      <x:c r="AJ293" s="81" t="inlineStr">
        <x:is>
          <x:t xml:space="preserve">Research only</x:t>
        </x:is>
      </x:c>
      <x:c r="AK293" s="81" t="inlineStr">
        <x:is>
          <x:t xml:space="preserve">Research Pool</x:t>
        </x:is>
      </x:c>
      <x:c r="AL293" s="81" t="n">
        <x:v>3</x:v>
      </x:c>
      <x:c r="AM293" s="81" t="inlineStr">
        <x:is>
          <x:t xml:space="preserve">ChatGPT research</x:t>
        </x:is>
      </x:c>
      <x:c r="AN293" s="81" t="inlineStr">
        <x:is>
          <x:t xml:space="preserve">2026-09-18</x:t>
        </x:is>
      </x:c>
      <x:c r="AO293" s="81" t="inlineStr">
        <x:is>
          <x:t xml:space="preserve">Day 3 full-scope audit, chapters 51–81.</x:t>
        </x:is>
      </x:c>
    </x:row>
    <x:row r="294">
      <x:c r="A294" s="81" t="inlineStr">
        <x:is>
          <x:t xml:space="preserve">research.laozi.day3.ch77.112</x:t>
        </x:is>
      </x:c>
      <x:c r="B294" s="81" t="inlineStr">
        <x:is>
          <x:t xml:space="preserve">Collected</x:t>
        </x:is>
      </x:c>
      <x:c r="C294" s="81" t="inlineStr">
        <x:is>
          <x:t xml:space="preserve">Nội tâm &amp; hiểu mình</x:t>
        </x:is>
      </x:c>
      <x:c r="D294" s="81" t="inlineStr">
        <x:is>
          <x:t xml:space="preserve">Day 3 / Laozi 51–81</x:t>
        </x:is>
      </x:c>
      <x:c r="E294" s="81" t="str"/>
      <x:c r="F294" s="81" t="inlineStr">
        <x:is>
          <x:t xml:space="preserve">Cân bằng không phải chia đều mà là điều chỉnh theo chỗ dư–thiếu</x:t>
        </x:is>
      </x:c>
      <x:c r="G294" s="81" t="inlineStr">
        <x:is>
          <x:t xml:space="preserve">Fairness</x:t>
        </x:is>
      </x:c>
      <x:c r="H294" s="81" t="str"/>
      <x:c r="I294" s="81" t="str"/>
      <x:c r="J294" s="81" t="str"/>
      <x:c r="K294" s="81" t="inlineStr">
        <x:is>
          <x:t xml:space="preserve">Reframe</x:t>
        </x:is>
      </x:c>
      <x:c r="L294" s="81" t="inlineStr">
        <x:is>
          <x:t xml:space="preserve">Distinguish</x:t>
        </x:is>
      </x:c>
      <x:c r="M294" s="81" t="inlineStr">
        <x:is>
          <x:t xml:space="preserve">Trích đoạn triết học</x:t>
        </x:is>
      </x:c>
      <x:c r="N294" s="81" t="inlineStr">
        <x:is>
          <x:t xml:space="preserve">天之道，其猶張弓與？高者抑之，下者舉之，有餘者損之，不足者補之。</x:t>
        </x:is>
      </x:c>
      <x:c r="O294" s="81" t="inlineStr">
        <x:is>
          <x:t xml:space="preserve">Classical Chinese (文言文)</x:t>
        </x:is>
      </x:c>
      <x:c r="P294" s="81" t="inlineStr">
        <x:is>
          <x:t xml:space="preserve">Đạo trời được ví như giương cung: chỗ cao hạ xuống, chỗ thấp nâng lên; chỗ dư bớt, chỗ thiếu được bù.</x:t>
        </x:is>
      </x:c>
      <x:c r="Q294" s="81" t="inlineStr">
        <x:is>
          <x:t xml:space="preserve">Laozi / 老子</x:t>
        </x:is>
      </x:c>
      <x:c r="R294" s="81" t="inlineStr">
        <x:is>
          <x:t xml:space="preserve">Taoism</x:t>
        </x:is>
      </x:c>
      <x:c r="S294" s="81" t="inlineStr">
        <x:is>
          <x:t xml:space="preserve">道德經 / Tao Te Ching</x:t>
        </x:is>
      </x:c>
      <x:c r="T294" s="81" t="inlineStr">
        <x:is>
          <x:t xml:space="preserve">Chapter 77</x:t>
        </x:is>
      </x:c>
      <x:c r="U294" s="81" t="inlineStr">
        <x:is>
          <x:t xml:space="preserve">https://zh.wikisource.org/zh-hant/%E9%81%93%E5%BE%B7%E7%B6%93_(%E7%8E%8B%E5%BC%BC%E6%9C%AC)</x:t>
        </x:is>
      </x:c>
      <x:c r="V294" s="81" t="inlineStr">
        <x:is>
          <x:t xml:space="preserve">Primary text</x:t>
        </x:is>
      </x:c>
      <x:c r="W294" s="81" t="inlineStr">
        <x:is>
          <x:t xml:space="preserve">Working translation</x:t>
        </x:is>
      </x:c>
      <x:c r="X294" s="81" t="inlineStr">
        <x:is>
          <x:t xml:space="preserve">A - Primary source</x:t>
        </x:is>
      </x:c>
      <x:c r="Y294" s="81" t="inlineStr">
        <x:is>
          <x:t xml:space="preserve">Original Chinese checked against Wang Bi recension on Chinese Wikisource. Vietnamese is Selflo working translation, not a published translation.</x:t>
        </x:is>
      </x:c>
      <x:c r="Z294" s="81" t="inlineStr">
        <x:is>
          <x:t xml:space="preserve">Public domain / likely</x:t>
        </x:is>
      </x:c>
      <x:c r="AA294" s="81" t="inlineStr">
        <x:is>
          <x:t xml:space="preserve">Ancient source text; verify edition/jurisdiction before commercial publication.</x:t>
        </x:is>
      </x:c>
      <x:c r="AB294" s="81" t="inlineStr">
        <x:is>
          <x:t xml:space="preserve">High</x:t>
        </x:is>
      </x:c>
      <x:c r="AC294" s="81" t="inlineStr">
        <x:is>
          <x:t xml:space="preserve">Excellent.</x:t>
        </x:is>
      </x:c>
      <x:c r="AD294" s="81" t="inlineStr">
        <x:is>
          <x:t xml:space="preserve">Needs editorial review</x:t>
        </x:is>
      </x:c>
      <x:c r="AE294" s="81" t="inlineStr">
        <x:is>
          <x:t xml:space="preserve">Needs semantic dedupe review</x:t>
        </x:is>
      </x:c>
      <x:c r="AF294" s="81" t="str"/>
      <x:c r="AG294" s="81" t="str"/>
      <x:c r="AH294" s="81" t="inlineStr">
        <x:is>
          <x:t xml:space="preserve">No</x:t>
        </x:is>
      </x:c>
      <x:c r="AI294" s="81" t="inlineStr">
        <x:is>
          <x:t xml:space="preserve">Not reviewed</x:t>
        </x:is>
      </x:c>
      <x:c r="AJ294" s="81" t="inlineStr">
        <x:is>
          <x:t xml:space="preserve">Research only</x:t>
        </x:is>
      </x:c>
      <x:c r="AK294" s="81" t="inlineStr">
        <x:is>
          <x:t xml:space="preserve">Research Pool</x:t>
        </x:is>
      </x:c>
      <x:c r="AL294" s="81" t="n">
        <x:v>3</x:v>
      </x:c>
      <x:c r="AM294" s="81" t="inlineStr">
        <x:is>
          <x:t xml:space="preserve">ChatGPT research</x:t>
        </x:is>
      </x:c>
      <x:c r="AN294" s="81" t="inlineStr">
        <x:is>
          <x:t xml:space="preserve">2026-09-18</x:t>
        </x:is>
      </x:c>
      <x:c r="AO294" s="81" t="inlineStr">
        <x:is>
          <x:t xml:space="preserve">Day 3 full-scope audit, chapters 51–81.</x:t>
        </x:is>
      </x:c>
    </x:row>
    <x:row r="295">
      <x:c r="A295" s="81" t="inlineStr">
        <x:is>
          <x:t xml:space="preserve">research.laozi.day3.ch77.113</x:t>
        </x:is>
      </x:c>
      <x:c r="B295" s="81" t="inlineStr">
        <x:is>
          <x:t xml:space="preserve">Collected</x:t>
        </x:is>
      </x:c>
      <x:c r="C295" s="81" t="inlineStr">
        <x:is>
          <x:t xml:space="preserve">Nội tâm &amp; hiểu mình</x:t>
        </x:is>
      </x:c>
      <x:c r="D295" s="81" t="inlineStr">
        <x:is>
          <x:t xml:space="preserve">Day 3 / Laozi 51–81</x:t>
        </x:is>
      </x:c>
      <x:c r="E295" s="81" t="str"/>
      <x:c r="F295" s="81" t="inlineStr">
        <x:is>
          <x:t xml:space="preserve">Nguồn lực có thể cần được nhìn theo nhu cầu và giới hạn</x:t>
        </x:is>
      </x:c>
      <x:c r="G295" s="81" t="inlineStr">
        <x:is>
          <x:t xml:space="preserve">Fairness</x:t>
        </x:is>
      </x:c>
      <x:c r="H295" s="81" t="str"/>
      <x:c r="I295" s="81" t="str"/>
      <x:c r="J295" s="81" t="str"/>
      <x:c r="K295" s="81" t="inlineStr">
        <x:is>
          <x:t xml:space="preserve">Distinguish</x:t>
        </x:is>
      </x:c>
      <x:c r="L295" s="81" t="inlineStr">
        <x:is>
          <x:t xml:space="preserve">Recognize</x:t>
        </x:is>
      </x:c>
      <x:c r="M295" s="81" t="inlineStr">
        <x:is>
          <x:t xml:space="preserve">Trích đoạn triết học</x:t>
        </x:is>
      </x:c>
      <x:c r="N295" s="81" t="inlineStr">
        <x:is>
          <x:t xml:space="preserve">天之道，損有餘而補不足。</x:t>
        </x:is>
      </x:c>
      <x:c r="O295" s="81" t="inlineStr">
        <x:is>
          <x:t xml:space="preserve">Classical Chinese (文言文)</x:t>
        </x:is>
      </x:c>
      <x:c r="P295" s="81" t="inlineStr">
        <x:is>
          <x:t xml:space="preserve">Đường của trời bớt nơi dư để bù nơi thiếu.</x:t>
        </x:is>
      </x:c>
      <x:c r="Q295" s="81" t="inlineStr">
        <x:is>
          <x:t xml:space="preserve">Laozi / 老子</x:t>
        </x:is>
      </x:c>
      <x:c r="R295" s="81" t="inlineStr">
        <x:is>
          <x:t xml:space="preserve">Taoism</x:t>
        </x:is>
      </x:c>
      <x:c r="S295" s="81" t="inlineStr">
        <x:is>
          <x:t xml:space="preserve">道德經 / Tao Te Ching</x:t>
        </x:is>
      </x:c>
      <x:c r="T295" s="81" t="inlineStr">
        <x:is>
          <x:t xml:space="preserve">Chapter 77</x:t>
        </x:is>
      </x:c>
      <x:c r="U295" s="81" t="inlineStr">
        <x:is>
          <x:t xml:space="preserve">https://zh.wikisource.org/zh-hant/%E9%81%93%E5%BE%B7%E7%B6%93_(%E7%8E%8B%E5%BC%BC%E6%9C%AC)</x:t>
        </x:is>
      </x:c>
      <x:c r="V295" s="81" t="inlineStr">
        <x:is>
          <x:t xml:space="preserve">Primary text</x:t>
        </x:is>
      </x:c>
      <x:c r="W295" s="81" t="inlineStr">
        <x:is>
          <x:t xml:space="preserve">Working translation</x:t>
        </x:is>
      </x:c>
      <x:c r="X295" s="81" t="inlineStr">
        <x:is>
          <x:t xml:space="preserve">A - Primary source</x:t>
        </x:is>
      </x:c>
      <x:c r="Y295" s="81" t="inlineStr">
        <x:is>
          <x:t xml:space="preserve">Original Chinese checked against Wang Bi recension on Chinese Wikisource. Vietnamese is Selflo working translation, not a published translation.</x:t>
        </x:is>
      </x:c>
      <x:c r="Z295" s="81" t="inlineStr">
        <x:is>
          <x:t xml:space="preserve">Public domain / likely</x:t>
        </x:is>
      </x:c>
      <x:c r="AA295" s="81" t="inlineStr">
        <x:is>
          <x:t xml:space="preserve">Ancient source text; verify edition/jurisdiction before commercial publication.</x:t>
        </x:is>
      </x:c>
      <x:c r="AB295" s="81" t="inlineStr">
        <x:is>
          <x:t xml:space="preserve">High</x:t>
        </x:is>
      </x:c>
      <x:c r="AC295" s="81" t="inlineStr">
        <x:is>
          <x:t xml:space="preserve">Societal.</x:t>
        </x:is>
      </x:c>
      <x:c r="AD295" s="81" t="inlineStr">
        <x:is>
          <x:t xml:space="preserve">Needs editorial review</x:t>
        </x:is>
      </x:c>
      <x:c r="AE295" s="81" t="inlineStr">
        <x:is>
          <x:t xml:space="preserve">Needs semantic dedupe review</x:t>
        </x:is>
      </x:c>
      <x:c r="AF295" s="81" t="str"/>
      <x:c r="AG295" s="81" t="str"/>
      <x:c r="AH295" s="81" t="inlineStr">
        <x:is>
          <x:t xml:space="preserve">No</x:t>
        </x:is>
      </x:c>
      <x:c r="AI295" s="81" t="inlineStr">
        <x:is>
          <x:t xml:space="preserve">Not reviewed</x:t>
        </x:is>
      </x:c>
      <x:c r="AJ295" s="81" t="inlineStr">
        <x:is>
          <x:t xml:space="preserve">Research only</x:t>
        </x:is>
      </x:c>
      <x:c r="AK295" s="81" t="inlineStr">
        <x:is>
          <x:t xml:space="preserve">Research Pool</x:t>
        </x:is>
      </x:c>
      <x:c r="AL295" s="81" t="n">
        <x:v>3</x:v>
      </x:c>
      <x:c r="AM295" s="81" t="inlineStr">
        <x:is>
          <x:t xml:space="preserve">ChatGPT research</x:t>
        </x:is>
      </x:c>
      <x:c r="AN295" s="81" t="inlineStr">
        <x:is>
          <x:t xml:space="preserve">2026-09-18</x:t>
        </x:is>
      </x:c>
      <x:c r="AO295" s="81" t="inlineStr">
        <x:is>
          <x:t xml:space="preserve">Day 3 full-scope audit, chapters 51–81.</x:t>
        </x:is>
      </x:c>
    </x:row>
    <x:row r="296">
      <x:c r="A296" s="81" t="inlineStr">
        <x:is>
          <x:t xml:space="preserve">research.laozi.day3.ch77.114</x:t>
        </x:is>
      </x:c>
      <x:c r="B296" s="81" t="inlineStr">
        <x:is>
          <x:t xml:space="preserve">Collected</x:t>
        </x:is>
      </x:c>
      <x:c r="C296" s="81" t="inlineStr">
        <x:is>
          <x:t xml:space="preserve">Công việc &amp; mục đích</x:t>
        </x:is>
      </x:c>
      <x:c r="D296" s="81" t="inlineStr">
        <x:is>
          <x:t xml:space="preserve">Day 3 / Laozi 51–81</x:t>
        </x:is>
      </x:c>
      <x:c r="E296" s="81" t="str"/>
      <x:c r="F296" s="81" t="inlineStr">
        <x:is>
          <x:t xml:space="preserve">Hệ thống có thể khuếch đại bất cân bằng</x:t>
        </x:is>
      </x:c>
      <x:c r="G296" s="81" t="inlineStr">
        <x:is>
          <x:t xml:space="preserve">Systems</x:t>
        </x:is>
      </x:c>
      <x:c r="H296" s="81" t="str"/>
      <x:c r="I296" s="81" t="str"/>
      <x:c r="J296" s="81" t="str"/>
      <x:c r="K296" s="81" t="inlineStr">
        <x:is>
          <x:t xml:space="preserve">Recognize</x:t>
        </x:is>
      </x:c>
      <x:c r="L296" s="81" t="inlineStr">
        <x:is>
          <x:t xml:space="preserve">Distinguish</x:t>
        </x:is>
      </x:c>
      <x:c r="M296" s="81" t="inlineStr">
        <x:is>
          <x:t xml:space="preserve">Trích đoạn triết học</x:t>
        </x:is>
      </x:c>
      <x:c r="N296" s="81" t="inlineStr">
        <x:is>
          <x:t xml:space="preserve">人之道則不然，損不足以奉有餘。</x:t>
        </x:is>
      </x:c>
      <x:c r="O296" s="81" t="inlineStr">
        <x:is>
          <x:t xml:space="preserve">Classical Chinese (文言文)</x:t>
        </x:is>
      </x:c>
      <x:c r="P296" s="81" t="inlineStr">
        <x:is>
          <x:t xml:space="preserve">Văn bản phê phán khi hệ người làm ngược: lấy từ nơi thiếu để bồi nơi đã dư.</x:t>
        </x:is>
      </x:c>
      <x:c r="Q296" s="81" t="inlineStr">
        <x:is>
          <x:t xml:space="preserve">Laozi / 老子</x:t>
        </x:is>
      </x:c>
      <x:c r="R296" s="81" t="inlineStr">
        <x:is>
          <x:t xml:space="preserve">Taoism</x:t>
        </x:is>
      </x:c>
      <x:c r="S296" s="81" t="inlineStr">
        <x:is>
          <x:t xml:space="preserve">道德經 / Tao Te Ching</x:t>
        </x:is>
      </x:c>
      <x:c r="T296" s="81" t="inlineStr">
        <x:is>
          <x:t xml:space="preserve">Chapter 77</x:t>
        </x:is>
      </x:c>
      <x:c r="U296" s="81" t="inlineStr">
        <x:is>
          <x:t xml:space="preserve">https://zh.wikisource.org/zh-hant/%E9%81%93%E5%BE%B7%E7%B6%93_(%E7%8E%8B%E5%BC%BC%E6%9C%AC)</x:t>
        </x:is>
      </x:c>
      <x:c r="V296" s="81" t="inlineStr">
        <x:is>
          <x:t xml:space="preserve">Primary text</x:t>
        </x:is>
      </x:c>
      <x:c r="W296" s="81" t="inlineStr">
        <x:is>
          <x:t xml:space="preserve">Working translation</x:t>
        </x:is>
      </x:c>
      <x:c r="X296" s="81" t="inlineStr">
        <x:is>
          <x:t xml:space="preserve">A - Primary source</x:t>
        </x:is>
      </x:c>
      <x:c r="Y296" s="81" t="inlineStr">
        <x:is>
          <x:t xml:space="preserve">Original Chinese checked against Wang Bi recension on Chinese Wikisource. Vietnamese is Selflo working translation, not a published translation.</x:t>
        </x:is>
      </x:c>
      <x:c r="Z296" s="81" t="inlineStr">
        <x:is>
          <x:t xml:space="preserve">Public domain / likely</x:t>
        </x:is>
      </x:c>
      <x:c r="AA296" s="81" t="inlineStr">
        <x:is>
          <x:t xml:space="preserve">Ancient source text; verify edition/jurisdiction before commercial publication.</x:t>
        </x:is>
      </x:c>
      <x:c r="AB296" s="81" t="inlineStr">
        <x:is>
          <x:t xml:space="preserve">High</x:t>
        </x:is>
      </x:c>
      <x:c r="AC296" s="81" t="inlineStr">
        <x:is>
          <x:t xml:space="preserve">Political/social.</x:t>
        </x:is>
      </x:c>
      <x:c r="AD296" s="81" t="inlineStr">
        <x:is>
          <x:t xml:space="preserve">Needs editorial review</x:t>
        </x:is>
      </x:c>
      <x:c r="AE296" s="81" t="inlineStr">
        <x:is>
          <x:t xml:space="preserve">Needs semantic dedupe review</x:t>
        </x:is>
      </x:c>
      <x:c r="AF296" s="81" t="str"/>
      <x:c r="AG296" s="81" t="str"/>
      <x:c r="AH296" s="81" t="inlineStr">
        <x:is>
          <x:t xml:space="preserve">No</x:t>
        </x:is>
      </x:c>
      <x:c r="AI296" s="81" t="inlineStr">
        <x:is>
          <x:t xml:space="preserve">Not reviewed</x:t>
        </x:is>
      </x:c>
      <x:c r="AJ296" s="81" t="inlineStr">
        <x:is>
          <x:t xml:space="preserve">Research only</x:t>
        </x:is>
      </x:c>
      <x:c r="AK296" s="81" t="inlineStr">
        <x:is>
          <x:t xml:space="preserve">Research Pool</x:t>
        </x:is>
      </x:c>
      <x:c r="AL296" s="81" t="n">
        <x:v>3</x:v>
      </x:c>
      <x:c r="AM296" s="81" t="inlineStr">
        <x:is>
          <x:t xml:space="preserve">ChatGPT research</x:t>
        </x:is>
      </x:c>
      <x:c r="AN296" s="81" t="inlineStr">
        <x:is>
          <x:t xml:space="preserve">2026-09-18</x:t>
        </x:is>
      </x:c>
      <x:c r="AO296" s="81" t="inlineStr">
        <x:is>
          <x:t xml:space="preserve">Day 3 full-scope audit, chapters 51–81.</x:t>
        </x:is>
      </x:c>
    </x:row>
    <x:row r="297">
      <x:c r="A297" s="81" t="inlineStr">
        <x:is>
          <x:t xml:space="preserve">research.laozi.day3.ch77.115</x:t>
        </x:is>
      </x:c>
      <x:c r="B297" s="81" t="inlineStr">
        <x:is>
          <x:t xml:space="preserve">Collected</x:t>
        </x:is>
      </x:c>
      <x:c r="C297" s="81" t="inlineStr">
        <x:is>
          <x:t xml:space="preserve">Nội tâm &amp; hiểu mình</x:t>
        </x:is>
      </x:c>
      <x:c r="D297" s="81" t="inlineStr">
        <x:is>
          <x:t xml:space="preserve">Day 3 / Laozi 51–81</x:t>
        </x:is>
      </x:c>
      <x:c r="E297" s="81" t="str"/>
      <x:c r="F297" s="81" t="inlineStr">
        <x:is>
          <x:t xml:space="preserve">Phần dư có thể trở thành khả năng đóng góp</x:t>
        </x:is>
      </x:c>
      <x:c r="G297" s="81" t="inlineStr">
        <x:is>
          <x:t xml:space="preserve">Meaning</x:t>
        </x:is>
      </x:c>
      <x:c r="H297" s="81" t="str"/>
      <x:c r="I297" s="81" t="str"/>
      <x:c r="J297" s="81" t="str"/>
      <x:c r="K297" s="81" t="inlineStr">
        <x:is>
          <x:t xml:space="preserve">Return agency</x:t>
        </x:is>
      </x:c>
      <x:c r="L297" s="81" t="inlineStr">
        <x:is>
          <x:t xml:space="preserve">Distinguish</x:t>
        </x:is>
      </x:c>
      <x:c r="M297" s="81" t="inlineStr">
        <x:is>
          <x:t xml:space="preserve">Trích đoạn triết học</x:t>
        </x:is>
      </x:c>
      <x:c r="N297" s="81" t="inlineStr">
        <x:is>
          <x:t xml:space="preserve">孰能有餘以奉天下？唯有道者。</x:t>
        </x:is>
      </x:c>
      <x:c r="O297" s="81" t="inlineStr">
        <x:is>
          <x:t xml:space="preserve">Classical Chinese (文言文)</x:t>
        </x:is>
      </x:c>
      <x:c r="P297" s="81" t="inlineStr">
        <x:is>
          <x:t xml:space="preserve">Ai có phần dư mà dùng nó để nâng đỡ phần rộng hơn? Văn bản đặt câu hỏi ấy như thước đo.</x:t>
        </x:is>
      </x:c>
      <x:c r="Q297" s="81" t="inlineStr">
        <x:is>
          <x:t xml:space="preserve">Laozi / 老子</x:t>
        </x:is>
      </x:c>
      <x:c r="R297" s="81" t="inlineStr">
        <x:is>
          <x:t xml:space="preserve">Taoism</x:t>
        </x:is>
      </x:c>
      <x:c r="S297" s="81" t="inlineStr">
        <x:is>
          <x:t xml:space="preserve">道德經 / Tao Te Ching</x:t>
        </x:is>
      </x:c>
      <x:c r="T297" s="81" t="inlineStr">
        <x:is>
          <x:t xml:space="preserve">Chapter 77</x:t>
        </x:is>
      </x:c>
      <x:c r="U297" s="81" t="inlineStr">
        <x:is>
          <x:t xml:space="preserve">https://zh.wikisource.org/zh-hant/%E9%81%93%E5%BE%B7%E7%B6%93_(%E7%8E%8B%E5%BC%BC%E6%9C%AC)</x:t>
        </x:is>
      </x:c>
      <x:c r="V297" s="81" t="inlineStr">
        <x:is>
          <x:t xml:space="preserve">Primary text</x:t>
        </x:is>
      </x:c>
      <x:c r="W297" s="81" t="inlineStr">
        <x:is>
          <x:t xml:space="preserve">Working translation</x:t>
        </x:is>
      </x:c>
      <x:c r="X297" s="81" t="inlineStr">
        <x:is>
          <x:t xml:space="preserve">A - Primary source</x:t>
        </x:is>
      </x:c>
      <x:c r="Y297" s="81" t="inlineStr">
        <x:is>
          <x:t xml:space="preserve">Original Chinese checked against Wang Bi recension on Chinese Wikisource. Vietnamese is Selflo working translation, not a published translation.</x:t>
        </x:is>
      </x:c>
      <x:c r="Z297" s="81" t="inlineStr">
        <x:is>
          <x:t xml:space="preserve">Public domain / likely</x:t>
        </x:is>
      </x:c>
      <x:c r="AA297" s="81" t="inlineStr">
        <x:is>
          <x:t xml:space="preserve">Ancient source text; verify edition/jurisdiction before commercial publication.</x:t>
        </x:is>
      </x:c>
      <x:c r="AB297" s="81" t="inlineStr">
        <x:is>
          <x:t xml:space="preserve">Medium</x:t>
        </x:is>
      </x:c>
      <x:c r="AC297" s="81" t="inlineStr">
        <x:is>
          <x:t xml:space="preserve">Values.</x:t>
        </x:is>
      </x:c>
      <x:c r="AD297" s="81" t="inlineStr">
        <x:is>
          <x:t xml:space="preserve">Needs editorial review</x:t>
        </x:is>
      </x:c>
      <x:c r="AE297" s="81" t="inlineStr">
        <x:is>
          <x:t xml:space="preserve">Needs semantic dedupe review</x:t>
        </x:is>
      </x:c>
      <x:c r="AF297" s="81" t="str"/>
      <x:c r="AG297" s="81" t="str"/>
      <x:c r="AH297" s="81" t="inlineStr">
        <x:is>
          <x:t xml:space="preserve">No</x:t>
        </x:is>
      </x:c>
      <x:c r="AI297" s="81" t="inlineStr">
        <x:is>
          <x:t xml:space="preserve">Not reviewed</x:t>
        </x:is>
      </x:c>
      <x:c r="AJ297" s="81" t="inlineStr">
        <x:is>
          <x:t xml:space="preserve">Research only</x:t>
        </x:is>
      </x:c>
      <x:c r="AK297" s="81" t="inlineStr">
        <x:is>
          <x:t xml:space="preserve">Research Pool</x:t>
        </x:is>
      </x:c>
      <x:c r="AL297" s="81" t="n">
        <x:v>3</x:v>
      </x:c>
      <x:c r="AM297" s="81" t="inlineStr">
        <x:is>
          <x:t xml:space="preserve">ChatGPT research</x:t>
        </x:is>
      </x:c>
      <x:c r="AN297" s="81" t="inlineStr">
        <x:is>
          <x:t xml:space="preserve">2026-09-18</x:t>
        </x:is>
      </x:c>
      <x:c r="AO297" s="81" t="inlineStr">
        <x:is>
          <x:t xml:space="preserve">Day 3 full-scope audit, chapters 51–81.</x:t>
        </x:is>
      </x:c>
    </x:row>
    <x:row r="298">
      <x:c r="A298" s="81" t="inlineStr">
        <x:is>
          <x:t xml:space="preserve">research.laozi.day3.ch77.116</x:t>
        </x:is>
      </x:c>
      <x:c r="B298" s="81" t="inlineStr">
        <x:is>
          <x:t xml:space="preserve">Collected</x:t>
        </x:is>
      </x:c>
      <x:c r="C298" s="81" t="inlineStr">
        <x:is>
          <x:t xml:space="preserve">Công việc &amp; mục đích</x:t>
        </x:is>
      </x:c>
      <x:c r="D298" s="81" t="inlineStr">
        <x:is>
          <x:t xml:space="preserve">Day 3 / Laozi 51–81</x:t>
        </x:is>
      </x:c>
      <x:c r="E298" s="81" t="str"/>
      <x:c r="F298" s="81" t="inlineStr">
        <x:is>
          <x:t xml:space="preserve">Đóng góp không cần biến thành sở hữu bản sắc</x:t>
        </x:is>
      </x:c>
      <x:c r="G298" s="81" t="inlineStr">
        <x:is>
          <x:t xml:space="preserve">Achievement</x:t>
        </x:is>
      </x:c>
      <x:c r="H298" s="81" t="str"/>
      <x:c r="I298" s="81" t="str"/>
      <x:c r="J298" s="81" t="str"/>
      <x:c r="K298" s="81" t="inlineStr">
        <x:is>
          <x:t xml:space="preserve">Distinguish</x:t>
        </x:is>
      </x:c>
      <x:c r="L298" s="81" t="inlineStr">
        <x:is>
          <x:t xml:space="preserve">Recognize</x:t>
        </x:is>
      </x:c>
      <x:c r="M298" s="81" t="inlineStr">
        <x:is>
          <x:t xml:space="preserve">Trích đoạn triết học</x:t>
        </x:is>
      </x:c>
      <x:c r="N298" s="81" t="inlineStr">
        <x:is>
          <x:t xml:space="preserve">為而不恃，功成處不居。</x:t>
        </x:is>
      </x:c>
      <x:c r="O298" s="81" t="inlineStr">
        <x:is>
          <x:t xml:space="preserve">Classical Chinese (文言文)</x:t>
        </x:is>
      </x:c>
      <x:c r="P298" s="81" t="inlineStr">
        <x:is>
          <x:t xml:space="preserve">Làm mà không cậy; việc thành mà không chiếm công.</x:t>
        </x:is>
      </x:c>
      <x:c r="Q298" s="81" t="inlineStr">
        <x:is>
          <x:t xml:space="preserve">Laozi / 老子</x:t>
        </x:is>
      </x:c>
      <x:c r="R298" s="81" t="inlineStr">
        <x:is>
          <x:t xml:space="preserve">Taoism</x:t>
        </x:is>
      </x:c>
      <x:c r="S298" s="81" t="inlineStr">
        <x:is>
          <x:t xml:space="preserve">道德經 / Tao Te Ching</x:t>
        </x:is>
      </x:c>
      <x:c r="T298" s="81" t="inlineStr">
        <x:is>
          <x:t xml:space="preserve">Chapter 77</x:t>
        </x:is>
      </x:c>
      <x:c r="U298" s="81" t="inlineStr">
        <x:is>
          <x:t xml:space="preserve">https://zh.wikisource.org/zh-hant/%E9%81%93%E5%BE%B7%E7%B6%93_(%E7%8E%8B%E5%BC%BC%E6%9C%AC)</x:t>
        </x:is>
      </x:c>
      <x:c r="V298" s="81" t="inlineStr">
        <x:is>
          <x:t xml:space="preserve">Primary text</x:t>
        </x:is>
      </x:c>
      <x:c r="W298" s="81" t="inlineStr">
        <x:is>
          <x:t xml:space="preserve">Working translation</x:t>
        </x:is>
      </x:c>
      <x:c r="X298" s="81" t="inlineStr">
        <x:is>
          <x:t xml:space="preserve">A - Primary source</x:t>
        </x:is>
      </x:c>
      <x:c r="Y298" s="81" t="inlineStr">
        <x:is>
          <x:t xml:space="preserve">Original Chinese checked against Wang Bi recension on Chinese Wikisource. Vietnamese is Selflo working translation, not a published translation.</x:t>
        </x:is>
      </x:c>
      <x:c r="Z298" s="81" t="inlineStr">
        <x:is>
          <x:t xml:space="preserve">Public domain / likely</x:t>
        </x:is>
      </x:c>
      <x:c r="AA298" s="81" t="inlineStr">
        <x:is>
          <x:t xml:space="preserve">Ancient source text; verify edition/jurisdiction before commercial publication.</x:t>
        </x:is>
      </x:c>
      <x:c r="AB298" s="81" t="inlineStr">
        <x:is>
          <x:t xml:space="preserve">High</x:t>
        </x:is>
      </x:c>
      <x:c r="AC298" s="81" t="inlineStr">
        <x:is>
          <x:t xml:space="preserve">Dedupe.</x:t>
        </x:is>
      </x:c>
      <x:c r="AD298" s="81" t="inlineStr">
        <x:is>
          <x:t xml:space="preserve">Needs editorial review</x:t>
        </x:is>
      </x:c>
      <x:c r="AE298" s="81" t="inlineStr">
        <x:is>
          <x:t xml:space="preserve">Needs semantic dedupe review</x:t>
        </x:is>
      </x:c>
      <x:c r="AF298" s="81" t="str"/>
      <x:c r="AG298" s="81" t="str"/>
      <x:c r="AH298" s="81" t="inlineStr">
        <x:is>
          <x:t xml:space="preserve">No</x:t>
        </x:is>
      </x:c>
      <x:c r="AI298" s="81" t="inlineStr">
        <x:is>
          <x:t xml:space="preserve">Not reviewed</x:t>
        </x:is>
      </x:c>
      <x:c r="AJ298" s="81" t="inlineStr">
        <x:is>
          <x:t xml:space="preserve">Research only</x:t>
        </x:is>
      </x:c>
      <x:c r="AK298" s="81" t="inlineStr">
        <x:is>
          <x:t xml:space="preserve">Research Pool</x:t>
        </x:is>
      </x:c>
      <x:c r="AL298" s="81" t="n">
        <x:v>3</x:v>
      </x:c>
      <x:c r="AM298" s="81" t="inlineStr">
        <x:is>
          <x:t xml:space="preserve">ChatGPT research</x:t>
        </x:is>
      </x:c>
      <x:c r="AN298" s="81" t="inlineStr">
        <x:is>
          <x:t xml:space="preserve">2026-09-18</x:t>
        </x:is>
      </x:c>
      <x:c r="AO298" s="81" t="inlineStr">
        <x:is>
          <x:t xml:space="preserve">Day 3 full-scope audit, chapters 51–81.</x:t>
        </x:is>
      </x:c>
    </x:row>
    <x:row r="299">
      <x:c r="A299" s="81" t="inlineStr">
        <x:is>
          <x:t xml:space="preserve">research.laozi.day3.ch78.117</x:t>
        </x:is>
      </x:c>
      <x:c r="B299" s="81" t="inlineStr">
        <x:is>
          <x:t xml:space="preserve">Collected</x:t>
        </x:is>
      </x:c>
      <x:c r="C299" s="81" t="inlineStr">
        <x:is>
          <x:t xml:space="preserve">Nội tâm &amp; hiểu mình</x:t>
        </x:is>
      </x:c>
      <x:c r="D299" s="81" t="inlineStr">
        <x:is>
          <x:t xml:space="preserve">Day 3 / Laozi 51–81</x:t>
        </x:is>
      </x:c>
      <x:c r="E299" s="81" t="str"/>
      <x:c r="F299" s="81" t="inlineStr">
        <x:is>
          <x:t xml:space="preserve">Mềm có thể bền hơn lực cứng</x:t>
        </x:is>
      </x:c>
      <x:c r="G299" s="81" t="inlineStr">
        <x:is>
          <x:t xml:space="preserve">Strength</x:t>
        </x:is>
      </x:c>
      <x:c r="H299" s="81" t="str"/>
      <x:c r="I299" s="81" t="str"/>
      <x:c r="J299" s="81" t="str"/>
      <x:c r="K299" s="81" t="inlineStr">
        <x:is>
          <x:t xml:space="preserve">Reframe</x:t>
        </x:is>
      </x:c>
      <x:c r="L299" s="81" t="inlineStr">
        <x:is>
          <x:t xml:space="preserve">Distinguish</x:t>
        </x:is>
      </x:c>
      <x:c r="M299" s="81" t="inlineStr">
        <x:is>
          <x:t xml:space="preserve">Trích đoạn triết học</x:t>
        </x:is>
      </x:c>
      <x:c r="N299" s="81" t="inlineStr">
        <x:is>
          <x:t xml:space="preserve">天下莫柔弱於水，而攻堅強者莫之能勝。</x:t>
        </x:is>
      </x:c>
      <x:c r="O299" s="81" t="inlineStr">
        <x:is>
          <x:t xml:space="preserve">Classical Chinese (文言文)</x:t>
        </x:is>
      </x:c>
      <x:c r="P299" s="81" t="inlineStr">
        <x:is>
          <x:t xml:space="preserve">Không gì mềm như nước, nhưng trong việc đi qua cái cứng, ít thứ vượt được nó.</x:t>
        </x:is>
      </x:c>
      <x:c r="Q299" s="81" t="inlineStr">
        <x:is>
          <x:t xml:space="preserve">Laozi / 老子</x:t>
        </x:is>
      </x:c>
      <x:c r="R299" s="81" t="inlineStr">
        <x:is>
          <x:t xml:space="preserve">Taoism</x:t>
        </x:is>
      </x:c>
      <x:c r="S299" s="81" t="inlineStr">
        <x:is>
          <x:t xml:space="preserve">道德經 / Tao Te Ching</x:t>
        </x:is>
      </x:c>
      <x:c r="T299" s="81" t="inlineStr">
        <x:is>
          <x:t xml:space="preserve">Chapter 78</x:t>
        </x:is>
      </x:c>
      <x:c r="U299" s="81" t="inlineStr">
        <x:is>
          <x:t xml:space="preserve">https://zh.wikisource.org/zh-hant/%E9%81%93%E5%BE%B7%E7%B6%93_(%E7%8E%8B%E5%BC%BC%E6%9C%AC)</x:t>
        </x:is>
      </x:c>
      <x:c r="V299" s="81" t="inlineStr">
        <x:is>
          <x:t xml:space="preserve">Primary text</x:t>
        </x:is>
      </x:c>
      <x:c r="W299" s="81" t="inlineStr">
        <x:is>
          <x:t xml:space="preserve">Working translation</x:t>
        </x:is>
      </x:c>
      <x:c r="X299" s="81" t="inlineStr">
        <x:is>
          <x:t xml:space="preserve">A - Primary source</x:t>
        </x:is>
      </x:c>
      <x:c r="Y299" s="81" t="inlineStr">
        <x:is>
          <x:t xml:space="preserve">Original Chinese checked against Wang Bi recension on Chinese Wikisource. Vietnamese is Selflo working translation, not a published translation.</x:t>
        </x:is>
      </x:c>
      <x:c r="Z299" s="81" t="inlineStr">
        <x:is>
          <x:t xml:space="preserve">Public domain / likely</x:t>
        </x:is>
      </x:c>
      <x:c r="AA299" s="81" t="inlineStr">
        <x:is>
          <x:t xml:space="preserve">Ancient source text; verify edition/jurisdiction before commercial publication.</x:t>
        </x:is>
      </x:c>
      <x:c r="AB299" s="81" t="inlineStr">
        <x:is>
          <x:t xml:space="preserve">High</x:t>
        </x:is>
      </x:c>
      <x:c r="AC299" s="81" t="inlineStr">
        <x:is>
          <x:t xml:space="preserve">Iconic.</x:t>
        </x:is>
      </x:c>
      <x:c r="AD299" s="81" t="inlineStr">
        <x:is>
          <x:t xml:space="preserve">Needs editorial review</x:t>
        </x:is>
      </x:c>
      <x:c r="AE299" s="81" t="inlineStr">
        <x:is>
          <x:t xml:space="preserve">Needs semantic dedupe review</x:t>
        </x:is>
      </x:c>
      <x:c r="AF299" s="81" t="str"/>
      <x:c r="AG299" s="81" t="str"/>
      <x:c r="AH299" s="81" t="inlineStr">
        <x:is>
          <x:t xml:space="preserve">No</x:t>
        </x:is>
      </x:c>
      <x:c r="AI299" s="81" t="inlineStr">
        <x:is>
          <x:t xml:space="preserve">Not reviewed</x:t>
        </x:is>
      </x:c>
      <x:c r="AJ299" s="81" t="inlineStr">
        <x:is>
          <x:t xml:space="preserve">Research only</x:t>
        </x:is>
      </x:c>
      <x:c r="AK299" s="81" t="inlineStr">
        <x:is>
          <x:t xml:space="preserve">Research Pool</x:t>
        </x:is>
      </x:c>
      <x:c r="AL299" s="81" t="n">
        <x:v>3</x:v>
      </x:c>
      <x:c r="AM299" s="81" t="inlineStr">
        <x:is>
          <x:t xml:space="preserve">ChatGPT research</x:t>
        </x:is>
      </x:c>
      <x:c r="AN299" s="81" t="inlineStr">
        <x:is>
          <x:t xml:space="preserve">2026-09-18</x:t>
        </x:is>
      </x:c>
      <x:c r="AO299" s="81" t="inlineStr">
        <x:is>
          <x:t xml:space="preserve">Day 3 full-scope audit, chapters 51–81.</x:t>
        </x:is>
      </x:c>
    </x:row>
    <x:row r="300">
      <x:c r="A300" s="81" t="inlineStr">
        <x:is>
          <x:t xml:space="preserve">research.laozi.day3.ch78.118</x:t>
        </x:is>
      </x:c>
      <x:c r="B300" s="81" t="inlineStr">
        <x:is>
          <x:t xml:space="preserve">Collected</x:t>
        </x:is>
      </x:c>
      <x:c r="C300" s="81" t="inlineStr">
        <x:is>
          <x:t xml:space="preserve">Nội tâm &amp; hiểu mình</x:t>
        </x:is>
      </x:c>
      <x:c r="D300" s="81" t="inlineStr">
        <x:is>
          <x:t xml:space="preserve">Day 3 / Laozi 51–81</x:t>
        </x:is>
      </x:c>
      <x:c r="E300" s="81" t="str"/>
      <x:c r="F300" s="81" t="inlineStr">
        <x:is>
          <x:t xml:space="preserve">Biết một nguyên lý khác với thực hành nó</x:t>
        </x:is>
      </x:c>
      <x:c r="G300" s="81" t="inlineStr">
        <x:is>
          <x:t xml:space="preserve">Learning</x:t>
        </x:is>
      </x:c>
      <x:c r="H300" s="81" t="str"/>
      <x:c r="I300" s="81" t="str"/>
      <x:c r="J300" s="81" t="str"/>
      <x:c r="K300" s="81" t="inlineStr">
        <x:is>
          <x:t xml:space="preserve">Distinguish</x:t>
        </x:is>
      </x:c>
      <x:c r="L300" s="81" t="inlineStr">
        <x:is>
          <x:t xml:space="preserve">Recognize</x:t>
        </x:is>
      </x:c>
      <x:c r="M300" s="81" t="inlineStr">
        <x:is>
          <x:t xml:space="preserve">Trích đoạn triết học</x:t>
        </x:is>
      </x:c>
      <x:c r="N300" s="81" t="inlineStr">
        <x:is>
          <x:t xml:space="preserve">弱之勝強，柔之勝剛，天下莫不知，莫能行。</x:t>
        </x:is>
      </x:c>
      <x:c r="O300" s="81" t="inlineStr">
        <x:is>
          <x:t xml:space="preserve">Classical Chinese (文言文)</x:t>
        </x:is>
      </x:c>
      <x:c r="P300" s="81" t="inlineStr">
        <x:is>
          <x:t xml:space="preserve">Ai cũng có thể nghe rằng mềm thắng cứng, nhưng sống được điều ấy lại khó.</x:t>
        </x:is>
      </x:c>
      <x:c r="Q300" s="81" t="inlineStr">
        <x:is>
          <x:t xml:space="preserve">Laozi / 老子</x:t>
        </x:is>
      </x:c>
      <x:c r="R300" s="81" t="inlineStr">
        <x:is>
          <x:t xml:space="preserve">Taoism</x:t>
        </x:is>
      </x:c>
      <x:c r="S300" s="81" t="inlineStr">
        <x:is>
          <x:t xml:space="preserve">道德經 / Tao Te Ching</x:t>
        </x:is>
      </x:c>
      <x:c r="T300" s="81" t="inlineStr">
        <x:is>
          <x:t xml:space="preserve">Chapter 78</x:t>
        </x:is>
      </x:c>
      <x:c r="U300" s="81" t="inlineStr">
        <x:is>
          <x:t xml:space="preserve">https://zh.wikisource.org/zh-hant/%E9%81%93%E5%BE%B7%E7%B6%93_(%E7%8E%8B%E5%BC%BC%E6%9C%AC)</x:t>
        </x:is>
      </x:c>
      <x:c r="V300" s="81" t="inlineStr">
        <x:is>
          <x:t xml:space="preserve">Primary text</x:t>
        </x:is>
      </x:c>
      <x:c r="W300" s="81" t="inlineStr">
        <x:is>
          <x:t xml:space="preserve">Working translation</x:t>
        </x:is>
      </x:c>
      <x:c r="X300" s="81" t="inlineStr">
        <x:is>
          <x:t xml:space="preserve">A - Primary source</x:t>
        </x:is>
      </x:c>
      <x:c r="Y300" s="81" t="inlineStr">
        <x:is>
          <x:t xml:space="preserve">Original Chinese checked against Wang Bi recension on Chinese Wikisource. Vietnamese is Selflo working translation, not a published translation.</x:t>
        </x:is>
      </x:c>
      <x:c r="Z300" s="81" t="inlineStr">
        <x:is>
          <x:t xml:space="preserve">Public domain / likely</x:t>
        </x:is>
      </x:c>
      <x:c r="AA300" s="81" t="inlineStr">
        <x:is>
          <x:t xml:space="preserve">Ancient source text; verify edition/jurisdiction before commercial publication.</x:t>
        </x:is>
      </x:c>
      <x:c r="AB300" s="81" t="inlineStr">
        <x:is>
          <x:t xml:space="preserve">High</x:t>
        </x:is>
      </x:c>
      <x:c r="AC300" s="81" t="inlineStr">
        <x:is>
          <x:t xml:space="preserve">Strong.</x:t>
        </x:is>
      </x:c>
      <x:c r="AD300" s="81" t="inlineStr">
        <x:is>
          <x:t xml:space="preserve">Needs editorial review</x:t>
        </x:is>
      </x:c>
      <x:c r="AE300" s="81" t="inlineStr">
        <x:is>
          <x:t xml:space="preserve">Needs semantic dedupe review</x:t>
        </x:is>
      </x:c>
      <x:c r="AF300" s="81" t="str"/>
      <x:c r="AG300" s="81" t="str"/>
      <x:c r="AH300" s="81" t="inlineStr">
        <x:is>
          <x:t xml:space="preserve">No</x:t>
        </x:is>
      </x:c>
      <x:c r="AI300" s="81" t="inlineStr">
        <x:is>
          <x:t xml:space="preserve">Not reviewed</x:t>
        </x:is>
      </x:c>
      <x:c r="AJ300" s="81" t="inlineStr">
        <x:is>
          <x:t xml:space="preserve">Research only</x:t>
        </x:is>
      </x:c>
      <x:c r="AK300" s="81" t="inlineStr">
        <x:is>
          <x:t xml:space="preserve">Research Pool</x:t>
        </x:is>
      </x:c>
      <x:c r="AL300" s="81" t="n">
        <x:v>3</x:v>
      </x:c>
      <x:c r="AM300" s="81" t="inlineStr">
        <x:is>
          <x:t xml:space="preserve">ChatGPT research</x:t>
        </x:is>
      </x:c>
      <x:c r="AN300" s="81" t="inlineStr">
        <x:is>
          <x:t xml:space="preserve">2026-09-18</x:t>
        </x:is>
      </x:c>
      <x:c r="AO300" s="81" t="inlineStr">
        <x:is>
          <x:t xml:space="preserve">Day 3 full-scope audit, chapters 51–81.</x:t>
        </x:is>
      </x:c>
    </x:row>
    <x:row r="301">
      <x:c r="A301" s="81" t="inlineStr">
        <x:is>
          <x:t xml:space="preserve">research.laozi.day3.ch78.119</x:t>
        </x:is>
      </x:c>
      <x:c r="B301" s="81" t="inlineStr">
        <x:is>
          <x:t xml:space="preserve">Collected</x:t>
        </x:is>
      </x:c>
      <x:c r="C301" s="81" t="inlineStr">
        <x:is>
          <x:t xml:space="preserve">Công việc &amp; mục đích</x:t>
        </x:is>
      </x:c>
      <x:c r="D301" s="81" t="inlineStr">
        <x:is>
          <x:t xml:space="preserve">Day 3 / Laozi 51–81</x:t>
        </x:is>
      </x:c>
      <x:c r="E301" s="81" t="str"/>
      <x:c r="F301" s="81" t="inlineStr">
        <x:is>
          <x:t xml:space="preserve">Trách nhiệm lãnh đạo gồm chứa phần khó chứ không chỉ nhận công</x:t>
        </x:is>
      </x:c>
      <x:c r="G301" s="81" t="inlineStr">
        <x:is>
          <x:t xml:space="preserve">Responsibility</x:t>
        </x:is>
      </x:c>
      <x:c r="H301" s="81" t="str"/>
      <x:c r="I301" s="81" t="str"/>
      <x:c r="J301" s="81" t="str"/>
      <x:c r="K301" s="81" t="inlineStr">
        <x:is>
          <x:t xml:space="preserve">Reframe</x:t>
        </x:is>
      </x:c>
      <x:c r="L301" s="81" t="inlineStr">
        <x:is>
          <x:t xml:space="preserve">Distinguish</x:t>
        </x:is>
      </x:c>
      <x:c r="M301" s="81" t="inlineStr">
        <x:is>
          <x:t xml:space="preserve">Trích đoạn triết học</x:t>
        </x:is>
      </x:c>
      <x:c r="N301" s="81" t="inlineStr">
        <x:is>
          <x:t xml:space="preserve">受國之垢，是謂社稷主；受國不祥，是為天下王。</x:t>
        </x:is>
      </x:c>
      <x:c r="O301" s="81" t="inlineStr">
        <x:is>
          <x:t xml:space="preserve">Classical Chinese (文言文)</x:t>
        </x:is>
      </x:c>
      <x:c r="P301" s="81" t="inlineStr">
        <x:is>
          <x:t xml:space="preserve">Văn bản gắn lãnh đạo với khả năng nhận phần khó chịu và bất lợi của hệ.</x:t>
        </x:is>
      </x:c>
      <x:c r="Q301" s="81" t="inlineStr">
        <x:is>
          <x:t xml:space="preserve">Laozi / 老子</x:t>
        </x:is>
      </x:c>
      <x:c r="R301" s="81" t="inlineStr">
        <x:is>
          <x:t xml:space="preserve">Taoism</x:t>
        </x:is>
      </x:c>
      <x:c r="S301" s="81" t="inlineStr">
        <x:is>
          <x:t xml:space="preserve">道德經 / Tao Te Ching</x:t>
        </x:is>
      </x:c>
      <x:c r="T301" s="81" t="inlineStr">
        <x:is>
          <x:t xml:space="preserve">Chapter 78</x:t>
        </x:is>
      </x:c>
      <x:c r="U301" s="81" t="inlineStr">
        <x:is>
          <x:t xml:space="preserve">https://zh.wikisource.org/zh-hant/%E9%81%93%E5%BE%B7%E7%B6%93_(%E7%8E%8B%E5%BC%BC%E6%9C%AC)</x:t>
        </x:is>
      </x:c>
      <x:c r="V301" s="81" t="inlineStr">
        <x:is>
          <x:t xml:space="preserve">Primary text</x:t>
        </x:is>
      </x:c>
      <x:c r="W301" s="81" t="inlineStr">
        <x:is>
          <x:t xml:space="preserve">Working translation</x:t>
        </x:is>
      </x:c>
      <x:c r="X301" s="81" t="inlineStr">
        <x:is>
          <x:t xml:space="preserve">A - Primary source</x:t>
        </x:is>
      </x:c>
      <x:c r="Y301" s="81" t="inlineStr">
        <x:is>
          <x:t xml:space="preserve">Original Chinese checked against Wang Bi recension on Chinese Wikisource. Vietnamese is Selflo working translation, not a published translation.</x:t>
        </x:is>
      </x:c>
      <x:c r="Z301" s="81" t="inlineStr">
        <x:is>
          <x:t xml:space="preserve">Public domain / likely</x:t>
        </x:is>
      </x:c>
      <x:c r="AA301" s="81" t="inlineStr">
        <x:is>
          <x:t xml:space="preserve">Ancient source text; verify edition/jurisdiction before commercial publication.</x:t>
        </x:is>
      </x:c>
      <x:c r="AB301" s="81" t="inlineStr">
        <x:is>
          <x:t xml:space="preserve">Medium</x:t>
        </x:is>
      </x:c>
      <x:c r="AC301" s="81" t="inlineStr">
        <x:is>
          <x:t xml:space="preserve">Political.</x:t>
        </x:is>
      </x:c>
      <x:c r="AD301" s="81" t="inlineStr">
        <x:is>
          <x:t xml:space="preserve">Needs editorial review</x:t>
        </x:is>
      </x:c>
      <x:c r="AE301" s="81" t="inlineStr">
        <x:is>
          <x:t xml:space="preserve">Needs semantic dedupe review</x:t>
        </x:is>
      </x:c>
      <x:c r="AF301" s="81" t="str"/>
      <x:c r="AG301" s="81" t="str"/>
      <x:c r="AH301" s="81" t="inlineStr">
        <x:is>
          <x:t xml:space="preserve">No</x:t>
        </x:is>
      </x:c>
      <x:c r="AI301" s="81" t="inlineStr">
        <x:is>
          <x:t xml:space="preserve">Not reviewed</x:t>
        </x:is>
      </x:c>
      <x:c r="AJ301" s="81" t="inlineStr">
        <x:is>
          <x:t xml:space="preserve">Research only</x:t>
        </x:is>
      </x:c>
      <x:c r="AK301" s="81" t="inlineStr">
        <x:is>
          <x:t xml:space="preserve">Research Pool</x:t>
        </x:is>
      </x:c>
      <x:c r="AL301" s="81" t="n">
        <x:v>3</x:v>
      </x:c>
      <x:c r="AM301" s="81" t="inlineStr">
        <x:is>
          <x:t xml:space="preserve">ChatGPT research</x:t>
        </x:is>
      </x:c>
      <x:c r="AN301" s="81" t="inlineStr">
        <x:is>
          <x:t xml:space="preserve">2026-09-18</x:t>
        </x:is>
      </x:c>
      <x:c r="AO301" s="81" t="inlineStr">
        <x:is>
          <x:t xml:space="preserve">Day 3 full-scope audit, chapters 51–81.</x:t>
        </x:is>
      </x:c>
    </x:row>
    <x:row r="302">
      <x:c r="A302" s="81" t="inlineStr">
        <x:is>
          <x:t xml:space="preserve">research.laozi.day3.ch78.120</x:t>
        </x:is>
      </x:c>
      <x:c r="B302" s="81" t="inlineStr">
        <x:is>
          <x:t xml:space="preserve">Collected</x:t>
        </x:is>
      </x:c>
      <x:c r="C302" s="81" t="inlineStr">
        <x:is>
          <x:t xml:space="preserve">AI &amp; tương lai</x:t>
        </x:is>
      </x:c>
      <x:c r="D302" s="81" t="inlineStr">
        <x:is>
          <x:t xml:space="preserve">Day 3 / Laozi 51–81</x:t>
        </x:is>
      </x:c>
      <x:c r="E302" s="81" t="str"/>
      <x:c r="F302" s="81" t="inlineStr">
        <x:is>
          <x:t xml:space="preserve">Điều đúng sâu có thể trái trực giác bề mặt</x:t>
        </x:is>
      </x:c>
      <x:c r="G302" s="81" t="inlineStr">
        <x:is>
          <x:t xml:space="preserve">Judgment</x:t>
        </x:is>
      </x:c>
      <x:c r="H302" s="81" t="str"/>
      <x:c r="I302" s="81" t="str"/>
      <x:c r="J302" s="81" t="str"/>
      <x:c r="K302" s="81" t="inlineStr">
        <x:is>
          <x:t xml:space="preserve">Permit</x:t>
        </x:is>
      </x:c>
      <x:c r="L302" s="81" t="inlineStr">
        <x:is>
          <x:t xml:space="preserve">Distinguish</x:t>
        </x:is>
      </x:c>
      <x:c r="M302" s="81" t="inlineStr">
        <x:is>
          <x:t xml:space="preserve">Trích đoạn triết học</x:t>
        </x:is>
      </x:c>
      <x:c r="N302" s="81" t="inlineStr">
        <x:is>
          <x:t xml:space="preserve">正言若反。</x:t>
        </x:is>
      </x:c>
      <x:c r="O302" s="81" t="inlineStr">
        <x:is>
          <x:t xml:space="preserve">Classical Chinese (文言文)</x:t>
        </x:is>
      </x:c>
      <x:c r="P302" s="81" t="inlineStr">
        <x:is>
          <x:t xml:space="preserve">Lời đúng đôi khi nghe như nghịch lý.</x:t>
        </x:is>
      </x:c>
      <x:c r="Q302" s="81" t="inlineStr">
        <x:is>
          <x:t xml:space="preserve">Laozi / 老子</x:t>
        </x:is>
      </x:c>
      <x:c r="R302" s="81" t="inlineStr">
        <x:is>
          <x:t xml:space="preserve">Taoism</x:t>
        </x:is>
      </x:c>
      <x:c r="S302" s="81" t="inlineStr">
        <x:is>
          <x:t xml:space="preserve">道德經 / Tao Te Ching</x:t>
        </x:is>
      </x:c>
      <x:c r="T302" s="81" t="inlineStr">
        <x:is>
          <x:t xml:space="preserve">Chapter 78</x:t>
        </x:is>
      </x:c>
      <x:c r="U302" s="81" t="inlineStr">
        <x:is>
          <x:t xml:space="preserve">https://zh.wikisource.org/zh-hant/%E9%81%93%E5%BE%B7%E7%B6%93_(%E7%8E%8B%E5%BC%BC%E6%9C%AC)</x:t>
        </x:is>
      </x:c>
      <x:c r="V302" s="81" t="inlineStr">
        <x:is>
          <x:t xml:space="preserve">Primary text</x:t>
        </x:is>
      </x:c>
      <x:c r="W302" s="81" t="inlineStr">
        <x:is>
          <x:t xml:space="preserve">Working translation</x:t>
        </x:is>
      </x:c>
      <x:c r="X302" s="81" t="inlineStr">
        <x:is>
          <x:t xml:space="preserve">A - Primary source</x:t>
        </x:is>
      </x:c>
      <x:c r="Y302" s="81" t="inlineStr">
        <x:is>
          <x:t xml:space="preserve">Original Chinese checked against Wang Bi recension on Chinese Wikisource. Vietnamese is Selflo working translation, not a published translation.</x:t>
        </x:is>
      </x:c>
      <x:c r="Z302" s="81" t="inlineStr">
        <x:is>
          <x:t xml:space="preserve">Public domain / likely</x:t>
        </x:is>
      </x:c>
      <x:c r="AA302" s="81" t="inlineStr">
        <x:is>
          <x:t xml:space="preserve">Ancient source text; verify edition/jurisdiction before commercial publication.</x:t>
        </x:is>
      </x:c>
      <x:c r="AB302" s="81" t="inlineStr">
        <x:is>
          <x:t xml:space="preserve">High</x:t>
        </x:is>
      </x:c>
      <x:c r="AC302" s="81" t="inlineStr">
        <x:is>
          <x:t xml:space="preserve">Strong.</x:t>
        </x:is>
      </x:c>
      <x:c r="AD302" s="81" t="inlineStr">
        <x:is>
          <x:t xml:space="preserve">Needs editorial review</x:t>
        </x:is>
      </x:c>
      <x:c r="AE302" s="81" t="inlineStr">
        <x:is>
          <x:t xml:space="preserve">Needs semantic dedupe review</x:t>
        </x:is>
      </x:c>
      <x:c r="AF302" s="81" t="str"/>
      <x:c r="AG302" s="81" t="str"/>
      <x:c r="AH302" s="81" t="inlineStr">
        <x:is>
          <x:t xml:space="preserve">No</x:t>
        </x:is>
      </x:c>
      <x:c r="AI302" s="81" t="inlineStr">
        <x:is>
          <x:t xml:space="preserve">Not reviewed</x:t>
        </x:is>
      </x:c>
      <x:c r="AJ302" s="81" t="inlineStr">
        <x:is>
          <x:t xml:space="preserve">Research only</x:t>
        </x:is>
      </x:c>
      <x:c r="AK302" s="81" t="inlineStr">
        <x:is>
          <x:t xml:space="preserve">Research Pool</x:t>
        </x:is>
      </x:c>
      <x:c r="AL302" s="81" t="n">
        <x:v>3</x:v>
      </x:c>
      <x:c r="AM302" s="81" t="inlineStr">
        <x:is>
          <x:t xml:space="preserve">ChatGPT research</x:t>
        </x:is>
      </x:c>
      <x:c r="AN302" s="81" t="inlineStr">
        <x:is>
          <x:t xml:space="preserve">2026-09-18</x:t>
        </x:is>
      </x:c>
      <x:c r="AO302" s="81" t="inlineStr">
        <x:is>
          <x:t xml:space="preserve">Day 3 full-scope audit, chapters 51–81.</x:t>
        </x:is>
      </x:c>
    </x:row>
    <x:row r="303">
      <x:c r="A303" s="81" t="inlineStr">
        <x:is>
          <x:t xml:space="preserve">research.laozi.day3.ch79.121</x:t>
        </x:is>
      </x:c>
      <x:c r="B303" s="81" t="inlineStr">
        <x:is>
          <x:t xml:space="preserve">Collected</x:t>
        </x:is>
      </x:c>
      <x:c r="C303" s="81" t="inlineStr">
        <x:is>
          <x:t xml:space="preserve">Nghỉ ngơi &amp; sức khỏe tinh thần</x:t>
        </x:is>
      </x:c>
      <x:c r="D303" s="81" t="inlineStr">
        <x:is>
          <x:t xml:space="preserve">Day 3 / Laozi 51–81</x:t>
        </x:is>
      </x:c>
      <x:c r="E303" s="81" t="str"/>
      <x:c r="F303" s="81" t="inlineStr">
        <x:is>
          <x:t xml:space="preserve">Một việc đã giải quyết không có nghĩa cảm xúc biến mất ngay</x:t>
        </x:is>
      </x:c>
      <x:c r="G303" s="81" t="inlineStr">
        <x:is>
          <x:t xml:space="preserve">Recovery</x:t>
        </x:is>
      </x:c>
      <x:c r="H303" s="81" t="str"/>
      <x:c r="I303" s="81" t="str"/>
      <x:c r="J303" s="81" t="str"/>
      <x:c r="K303" s="81" t="inlineStr">
        <x:is>
          <x:t xml:space="preserve">Recognize</x:t>
        </x:is>
      </x:c>
      <x:c r="L303" s="81" t="inlineStr">
        <x:is>
          <x:t xml:space="preserve">Distinguish</x:t>
        </x:is>
      </x:c>
      <x:c r="M303" s="81" t="inlineStr">
        <x:is>
          <x:t xml:space="preserve">Trích đoạn triết học</x:t>
        </x:is>
      </x:c>
      <x:c r="N303" s="81" t="inlineStr">
        <x:is>
          <x:t xml:space="preserve">和大怨，必有餘怨。</x:t>
        </x:is>
      </x:c>
      <x:c r="O303" s="81" t="inlineStr">
        <x:is>
          <x:t xml:space="preserve">Classical Chinese (文言文)</x:t>
        </x:is>
      </x:c>
      <x:c r="P303" s="81" t="inlineStr">
        <x:is>
          <x:t xml:space="preserve">Hòa giải một oán lớn vẫn có thể còn phần oán chưa tan.</x:t>
        </x:is>
      </x:c>
      <x:c r="Q303" s="81" t="inlineStr">
        <x:is>
          <x:t xml:space="preserve">Laozi / 老子</x:t>
        </x:is>
      </x:c>
      <x:c r="R303" s="81" t="inlineStr">
        <x:is>
          <x:t xml:space="preserve">Taoism</x:t>
        </x:is>
      </x:c>
      <x:c r="S303" s="81" t="inlineStr">
        <x:is>
          <x:t xml:space="preserve">道德經 / Tao Te Ching</x:t>
        </x:is>
      </x:c>
      <x:c r="T303" s="81" t="inlineStr">
        <x:is>
          <x:t xml:space="preserve">Chapter 79</x:t>
        </x:is>
      </x:c>
      <x:c r="U303" s="81" t="inlineStr">
        <x:is>
          <x:t xml:space="preserve">https://zh.wikisource.org/zh-hant/%E9%81%93%E5%BE%B7%E7%B6%93_(%E7%8E%8B%E5%BC%BC%E6%9C%AC)</x:t>
        </x:is>
      </x:c>
      <x:c r="V303" s="81" t="inlineStr">
        <x:is>
          <x:t xml:space="preserve">Primary text</x:t>
        </x:is>
      </x:c>
      <x:c r="W303" s="81" t="inlineStr">
        <x:is>
          <x:t xml:space="preserve">Working translation</x:t>
        </x:is>
      </x:c>
      <x:c r="X303" s="81" t="inlineStr">
        <x:is>
          <x:t xml:space="preserve">A - Primary source</x:t>
        </x:is>
      </x:c>
      <x:c r="Y303" s="81" t="inlineStr">
        <x:is>
          <x:t xml:space="preserve">Original Chinese checked against Wang Bi recension on Chinese Wikisource. Vietnamese is Selflo working translation, not a published translation.</x:t>
        </x:is>
      </x:c>
      <x:c r="Z303" s="81" t="inlineStr">
        <x:is>
          <x:t xml:space="preserve">Public domain / likely</x:t>
        </x:is>
      </x:c>
      <x:c r="AA303" s="81" t="inlineStr">
        <x:is>
          <x:t xml:space="preserve">Ancient source text; verify edition/jurisdiction before commercial publication.</x:t>
        </x:is>
      </x:c>
      <x:c r="AB303" s="81" t="inlineStr">
        <x:is>
          <x:t xml:space="preserve">High</x:t>
        </x:is>
      </x:c>
      <x:c r="AC303" s="81" t="inlineStr">
        <x:is>
          <x:t xml:space="preserve">Excellent lingering emotion.</x:t>
        </x:is>
      </x:c>
      <x:c r="AD303" s="81" t="inlineStr">
        <x:is>
          <x:t xml:space="preserve">Needs editorial review</x:t>
        </x:is>
      </x:c>
      <x:c r="AE303" s="81" t="inlineStr">
        <x:is>
          <x:t xml:space="preserve">Needs semantic dedupe review</x:t>
        </x:is>
      </x:c>
      <x:c r="AF303" s="81" t="str"/>
      <x:c r="AG303" s="81" t="str"/>
      <x:c r="AH303" s="81" t="inlineStr">
        <x:is>
          <x:t xml:space="preserve">No</x:t>
        </x:is>
      </x:c>
      <x:c r="AI303" s="81" t="inlineStr">
        <x:is>
          <x:t xml:space="preserve">Not reviewed</x:t>
        </x:is>
      </x:c>
      <x:c r="AJ303" s="81" t="inlineStr">
        <x:is>
          <x:t xml:space="preserve">Research only</x:t>
        </x:is>
      </x:c>
      <x:c r="AK303" s="81" t="inlineStr">
        <x:is>
          <x:t xml:space="preserve">Research Pool</x:t>
        </x:is>
      </x:c>
      <x:c r="AL303" s="81" t="n">
        <x:v>3</x:v>
      </x:c>
      <x:c r="AM303" s="81" t="inlineStr">
        <x:is>
          <x:t xml:space="preserve">ChatGPT research</x:t>
        </x:is>
      </x:c>
      <x:c r="AN303" s="81" t="inlineStr">
        <x:is>
          <x:t xml:space="preserve">2026-09-18</x:t>
        </x:is>
      </x:c>
      <x:c r="AO303" s="81" t="inlineStr">
        <x:is>
          <x:t xml:space="preserve">Day 3 full-scope audit, chapters 51–81.</x:t>
        </x:is>
      </x:c>
    </x:row>
    <x:row r="304">
      <x:c r="A304" s="81" t="inlineStr">
        <x:is>
          <x:t xml:space="preserve">research.laozi.day3.ch79.122</x:t>
        </x:is>
      </x:c>
      <x:c r="B304" s="81" t="inlineStr">
        <x:is>
          <x:t xml:space="preserve">Collected</x:t>
        </x:is>
      </x:c>
      <x:c r="C304" s="81" t="inlineStr">
        <x:is>
          <x:t xml:space="preserve">Nghỉ ngơi &amp; sức khỏe tinh thần</x:t>
        </x:is>
      </x:c>
      <x:c r="D304" s="81" t="inlineStr">
        <x:is>
          <x:t xml:space="preserve">Day 3 / Laozi 51–81</x:t>
        </x:is>
      </x:c>
      <x:c r="E304" s="81" t="str"/>
      <x:c r="F304" s="81" t="inlineStr">
        <x:is>
          <x:t xml:space="preserve">Kết thúc sự kiện khác với hoàn tất hồi phục</x:t>
        </x:is>
      </x:c>
      <x:c r="G304" s="81" t="inlineStr">
        <x:is>
          <x:t xml:space="preserve">Recovery</x:t>
        </x:is>
      </x:c>
      <x:c r="H304" s="81" t="str"/>
      <x:c r="I304" s="81" t="str"/>
      <x:c r="J304" s="81" t="str"/>
      <x:c r="K304" s="81" t="inlineStr">
        <x:is>
          <x:t xml:space="preserve">Distinguish</x:t>
        </x:is>
      </x:c>
      <x:c r="L304" s="81" t="inlineStr">
        <x:is>
          <x:t xml:space="preserve">Recognize</x:t>
        </x:is>
      </x:c>
      <x:c r="M304" s="81" t="inlineStr">
        <x:is>
          <x:t xml:space="preserve">Trích đoạn triết học</x:t>
        </x:is>
      </x:c>
      <x:c r="N304" s="81" t="inlineStr">
        <x:is>
          <x:t xml:space="preserve">安可以為善？</x:t>
        </x:is>
      </x:c>
      <x:c r="O304" s="81" t="inlineStr">
        <x:is>
          <x:t xml:space="preserve">Classical Chinese (文言文)</x:t>
        </x:is>
      </x:c>
      <x:c r="P304" s="81" t="inlineStr">
        <x:is>
          <x:t xml:space="preserve">Vậy chỉ làm cho xong bề mặt đã đủ gọi là tốt chưa?</x:t>
        </x:is>
      </x:c>
      <x:c r="Q304" s="81" t="inlineStr">
        <x:is>
          <x:t xml:space="preserve">Laozi / 老子</x:t>
        </x:is>
      </x:c>
      <x:c r="R304" s="81" t="inlineStr">
        <x:is>
          <x:t xml:space="preserve">Taoism</x:t>
        </x:is>
      </x:c>
      <x:c r="S304" s="81" t="inlineStr">
        <x:is>
          <x:t xml:space="preserve">道德經 / Tao Te Ching</x:t>
        </x:is>
      </x:c>
      <x:c r="T304" s="81" t="inlineStr">
        <x:is>
          <x:t xml:space="preserve">Chapter 79</x:t>
        </x:is>
      </x:c>
      <x:c r="U304" s="81" t="inlineStr">
        <x:is>
          <x:t xml:space="preserve">https://zh.wikisource.org/zh-hant/%E9%81%93%E5%BE%B7%E7%B6%93_(%E7%8E%8B%E5%BC%BC%E6%9C%AC)</x:t>
        </x:is>
      </x:c>
      <x:c r="V304" s="81" t="inlineStr">
        <x:is>
          <x:t xml:space="preserve">Primary text</x:t>
        </x:is>
      </x:c>
      <x:c r="W304" s="81" t="inlineStr">
        <x:is>
          <x:t xml:space="preserve">Working translation</x:t>
        </x:is>
      </x:c>
      <x:c r="X304" s="81" t="inlineStr">
        <x:is>
          <x:t xml:space="preserve">A - Primary source</x:t>
        </x:is>
      </x:c>
      <x:c r="Y304" s="81" t="inlineStr">
        <x:is>
          <x:t xml:space="preserve">Original Chinese checked against Wang Bi recension on Chinese Wikisource. Vietnamese is Selflo working translation, not a published translation.</x:t>
        </x:is>
      </x:c>
      <x:c r="Z304" s="81" t="inlineStr">
        <x:is>
          <x:t xml:space="preserve">Public domain / likely</x:t>
        </x:is>
      </x:c>
      <x:c r="AA304" s="81" t="inlineStr">
        <x:is>
          <x:t xml:space="preserve">Ancient source text; verify edition/jurisdiction before commercial publication.</x:t>
        </x:is>
      </x:c>
      <x:c r="AB304" s="81" t="inlineStr">
        <x:is>
          <x:t xml:space="preserve">High</x:t>
        </x:is>
      </x:c>
      <x:c r="AC304" s="81" t="inlineStr">
        <x:is>
          <x:t xml:space="preserve">Strong.</x:t>
        </x:is>
      </x:c>
      <x:c r="AD304" s="81" t="inlineStr">
        <x:is>
          <x:t xml:space="preserve">Needs editorial review</x:t>
        </x:is>
      </x:c>
      <x:c r="AE304" s="81" t="inlineStr">
        <x:is>
          <x:t xml:space="preserve">Needs semantic dedupe review</x:t>
        </x:is>
      </x:c>
      <x:c r="AF304" s="81" t="str"/>
      <x:c r="AG304" s="81" t="str"/>
      <x:c r="AH304" s="81" t="inlineStr">
        <x:is>
          <x:t xml:space="preserve">No</x:t>
        </x:is>
      </x:c>
      <x:c r="AI304" s="81" t="inlineStr">
        <x:is>
          <x:t xml:space="preserve">Not reviewed</x:t>
        </x:is>
      </x:c>
      <x:c r="AJ304" s="81" t="inlineStr">
        <x:is>
          <x:t xml:space="preserve">Research only</x:t>
        </x:is>
      </x:c>
      <x:c r="AK304" s="81" t="inlineStr">
        <x:is>
          <x:t xml:space="preserve">Research Pool</x:t>
        </x:is>
      </x:c>
      <x:c r="AL304" s="81" t="n">
        <x:v>3</x:v>
      </x:c>
      <x:c r="AM304" s="81" t="inlineStr">
        <x:is>
          <x:t xml:space="preserve">ChatGPT research</x:t>
        </x:is>
      </x:c>
      <x:c r="AN304" s="81" t="inlineStr">
        <x:is>
          <x:t xml:space="preserve">2026-09-18</x:t>
        </x:is>
      </x:c>
      <x:c r="AO304" s="81" t="inlineStr">
        <x:is>
          <x:t xml:space="preserve">Day 3 full-scope audit, chapters 51–81.</x:t>
        </x:is>
      </x:c>
    </x:row>
    <x:row r="305">
      <x:c r="A305" s="81" t="inlineStr">
        <x:is>
          <x:t xml:space="preserve">research.laozi.day3.ch79.123</x:t>
        </x:is>
      </x:c>
      <x:c r="B305" s="81" t="inlineStr">
        <x:is>
          <x:t xml:space="preserve">Collected</x:t>
        </x:is>
      </x:c>
      <x:c r="C305" s="81" t="inlineStr">
        <x:is>
          <x:t xml:space="preserve">Quan hệ</x:t>
        </x:is>
      </x:c>
      <x:c r="D305" s="81" t="inlineStr">
        <x:is>
          <x:t xml:space="preserve">Day 3 / Laozi 51–81</x:t>
        </x:is>
      </x:c>
      <x:c r="E305" s="81" t="str"/>
      <x:c r="F305" s="81" t="inlineStr">
        <x:is>
          <x:t xml:space="preserve">Giữ trách nhiệm của mình mà không biến quan hệ thành truy thu lỗi</x:t>
        </x:is>
      </x:c>
      <x:c r="G305" s="81" t="inlineStr">
        <x:is>
          <x:t xml:space="preserve">Relationships</x:t>
        </x:is>
      </x:c>
      <x:c r="H305" s="81" t="str"/>
      <x:c r="I305" s="81" t="str"/>
      <x:c r="J305" s="81" t="str"/>
      <x:c r="K305" s="81" t="inlineStr">
        <x:is>
          <x:t xml:space="preserve">Reframe</x:t>
        </x:is>
      </x:c>
      <x:c r="L305" s="81" t="inlineStr">
        <x:is>
          <x:t xml:space="preserve">Distinguish</x:t>
        </x:is>
      </x:c>
      <x:c r="M305" s="81" t="inlineStr">
        <x:is>
          <x:t xml:space="preserve">Trích đoạn triết học</x:t>
        </x:is>
      </x:c>
      <x:c r="N305" s="81" t="inlineStr">
        <x:is>
          <x:t xml:space="preserve">聖人執左契，而不責於人。</x:t>
        </x:is>
      </x:c>
      <x:c r="O305" s="81" t="inlineStr">
        <x:is>
          <x:t xml:space="preserve">Classical Chinese (文言文)</x:t>
        </x:is>
      </x:c>
      <x:c r="P305" s="81" t="inlineStr">
        <x:is>
          <x:t xml:space="preserve">Người sáng giữ phần trách nhiệm của mình mà không chỉ chăm chăm đòi phía kia trả nợ.</x:t>
        </x:is>
      </x:c>
      <x:c r="Q305" s="81" t="inlineStr">
        <x:is>
          <x:t xml:space="preserve">Laozi / 老子</x:t>
        </x:is>
      </x:c>
      <x:c r="R305" s="81" t="inlineStr">
        <x:is>
          <x:t xml:space="preserve">Taoism</x:t>
        </x:is>
      </x:c>
      <x:c r="S305" s="81" t="inlineStr">
        <x:is>
          <x:t xml:space="preserve">道德經 / Tao Te Ching</x:t>
        </x:is>
      </x:c>
      <x:c r="T305" s="81" t="inlineStr">
        <x:is>
          <x:t xml:space="preserve">Chapter 79</x:t>
        </x:is>
      </x:c>
      <x:c r="U305" s="81" t="inlineStr">
        <x:is>
          <x:t xml:space="preserve">https://zh.wikisource.org/zh-hant/%E9%81%93%E5%BE%B7%E7%B6%93_(%E7%8E%8B%E5%BC%BC%E6%9C%AC)</x:t>
        </x:is>
      </x:c>
      <x:c r="V305" s="81" t="inlineStr">
        <x:is>
          <x:t xml:space="preserve">Primary text</x:t>
        </x:is>
      </x:c>
      <x:c r="W305" s="81" t="inlineStr">
        <x:is>
          <x:t xml:space="preserve">Working translation</x:t>
        </x:is>
      </x:c>
      <x:c r="X305" s="81" t="inlineStr">
        <x:is>
          <x:t xml:space="preserve">A - Primary source</x:t>
        </x:is>
      </x:c>
      <x:c r="Y305" s="81" t="inlineStr">
        <x:is>
          <x:t xml:space="preserve">Original Chinese checked against Wang Bi recension on Chinese Wikisource. Vietnamese is Selflo working translation, not a published translation.</x:t>
        </x:is>
      </x:c>
      <x:c r="Z305" s="81" t="inlineStr">
        <x:is>
          <x:t xml:space="preserve">Public domain / likely</x:t>
        </x:is>
      </x:c>
      <x:c r="AA305" s="81" t="inlineStr">
        <x:is>
          <x:t xml:space="preserve">Ancient source text; verify edition/jurisdiction before commercial publication.</x:t>
        </x:is>
      </x:c>
      <x:c r="AB305" s="81" t="inlineStr">
        <x:is>
          <x:t xml:space="preserve">High</x:t>
        </x:is>
      </x:c>
      <x:c r="AC305" s="81" t="inlineStr">
        <x:is>
          <x:t xml:space="preserve">Contract metaphor.</x:t>
        </x:is>
      </x:c>
      <x:c r="AD305" s="81" t="inlineStr">
        <x:is>
          <x:t xml:space="preserve">Needs editorial review</x:t>
        </x:is>
      </x:c>
      <x:c r="AE305" s="81" t="inlineStr">
        <x:is>
          <x:t xml:space="preserve">Needs semantic dedupe review</x:t>
        </x:is>
      </x:c>
      <x:c r="AF305" s="81" t="str"/>
      <x:c r="AG305" s="81" t="str"/>
      <x:c r="AH305" s="81" t="inlineStr">
        <x:is>
          <x:t xml:space="preserve">No</x:t>
        </x:is>
      </x:c>
      <x:c r="AI305" s="81" t="inlineStr">
        <x:is>
          <x:t xml:space="preserve">Not reviewed</x:t>
        </x:is>
      </x:c>
      <x:c r="AJ305" s="81" t="inlineStr">
        <x:is>
          <x:t xml:space="preserve">Research only</x:t>
        </x:is>
      </x:c>
      <x:c r="AK305" s="81" t="inlineStr">
        <x:is>
          <x:t xml:space="preserve">Research Pool</x:t>
        </x:is>
      </x:c>
      <x:c r="AL305" s="81" t="n">
        <x:v>3</x:v>
      </x:c>
      <x:c r="AM305" s="81" t="inlineStr">
        <x:is>
          <x:t xml:space="preserve">ChatGPT research</x:t>
        </x:is>
      </x:c>
      <x:c r="AN305" s="81" t="inlineStr">
        <x:is>
          <x:t xml:space="preserve">2026-09-18</x:t>
        </x:is>
      </x:c>
      <x:c r="AO305" s="81" t="inlineStr">
        <x:is>
          <x:t xml:space="preserve">Day 3 full-scope audit, chapters 51–81.</x:t>
        </x:is>
      </x:c>
    </x:row>
    <x:row r="306">
      <x:c r="A306" s="81" t="inlineStr">
        <x:is>
          <x:t xml:space="preserve">research.laozi.day3.ch79.124</x:t>
        </x:is>
      </x:c>
      <x:c r="B306" s="81" t="inlineStr">
        <x:is>
          <x:t xml:space="preserve">Collected</x:t>
        </x:is>
      </x:c>
      <x:c r="C306" s="81" t="inlineStr">
        <x:is>
          <x:t xml:space="preserve">Công việc &amp; mục đích</x:t>
        </x:is>
      </x:c>
      <x:c r="D306" s="81" t="inlineStr">
        <x:is>
          <x:t xml:space="preserve">Day 3 / Laozi 51–81</x:t>
        </x:is>
      </x:c>
      <x:c r="E306" s="81" t="str"/>
      <x:c r="F306" s="81" t="inlineStr">
        <x:is>
          <x:t xml:space="preserve">Phân biệt trách nhiệm với ám ảnh bắt lỗi</x:t>
        </x:is>
      </x:c>
      <x:c r="G306" s="81" t="inlineStr">
        <x:is>
          <x:t xml:space="preserve">Responsibility</x:t>
        </x:is>
      </x:c>
      <x:c r="H306" s="81" t="str"/>
      <x:c r="I306" s="81" t="str"/>
      <x:c r="J306" s="81" t="str"/>
      <x:c r="K306" s="81" t="inlineStr">
        <x:is>
          <x:t xml:space="preserve">Distinguish</x:t>
        </x:is>
      </x:c>
      <x:c r="L306" s="81" t="inlineStr">
        <x:is>
          <x:t xml:space="preserve">Recognize</x:t>
        </x:is>
      </x:c>
      <x:c r="M306" s="81" t="inlineStr">
        <x:is>
          <x:t xml:space="preserve">Trích đoạn triết học</x:t>
        </x:is>
      </x:c>
      <x:c r="N306" s="81" t="inlineStr">
        <x:is>
          <x:t xml:space="preserve">有德司契，無德司徹。</x:t>
        </x:is>
      </x:c>
      <x:c r="O306" s="81" t="inlineStr">
        <x:is>
          <x:t xml:space="preserve">Classical Chinese (文言文)</x:t>
        </x:is>
      </x:c>
      <x:c r="P306" s="81" t="inlineStr">
        <x:is>
          <x:t xml:space="preserve">Người có đức nhìn vào cam kết; người thiếu đức chỉ chăm soi lỗi để thu đủ.</x:t>
        </x:is>
      </x:c>
      <x:c r="Q306" s="81" t="inlineStr">
        <x:is>
          <x:t xml:space="preserve">Laozi / 老子</x:t>
        </x:is>
      </x:c>
      <x:c r="R306" s="81" t="inlineStr">
        <x:is>
          <x:t xml:space="preserve">Taoism</x:t>
        </x:is>
      </x:c>
      <x:c r="S306" s="81" t="inlineStr">
        <x:is>
          <x:t xml:space="preserve">道德經 / Tao Te Ching</x:t>
        </x:is>
      </x:c>
      <x:c r="T306" s="81" t="inlineStr">
        <x:is>
          <x:t xml:space="preserve">Chapter 79</x:t>
        </x:is>
      </x:c>
      <x:c r="U306" s="81" t="inlineStr">
        <x:is>
          <x:t xml:space="preserve">https://zh.wikisource.org/zh-hant/%E9%81%93%E5%BE%B7%E7%B6%93_(%E7%8E%8B%E5%BC%BC%E6%9C%AC)</x:t>
        </x:is>
      </x:c>
      <x:c r="V306" s="81" t="inlineStr">
        <x:is>
          <x:t xml:space="preserve">Primary text</x:t>
        </x:is>
      </x:c>
      <x:c r="W306" s="81" t="inlineStr">
        <x:is>
          <x:t xml:space="preserve">Working translation</x:t>
        </x:is>
      </x:c>
      <x:c r="X306" s="81" t="inlineStr">
        <x:is>
          <x:t xml:space="preserve">A - Primary source</x:t>
        </x:is>
      </x:c>
      <x:c r="Y306" s="81" t="inlineStr">
        <x:is>
          <x:t xml:space="preserve">Original Chinese checked against Wang Bi recension on Chinese Wikisource. Vietnamese is Selflo working translation, not a published translation.</x:t>
        </x:is>
      </x:c>
      <x:c r="Z306" s="81" t="inlineStr">
        <x:is>
          <x:t xml:space="preserve">Public domain / likely</x:t>
        </x:is>
      </x:c>
      <x:c r="AA306" s="81" t="inlineStr">
        <x:is>
          <x:t xml:space="preserve">Ancient source text; verify edition/jurisdiction before commercial publication.</x:t>
        </x:is>
      </x:c>
      <x:c r="AB306" s="81" t="inlineStr">
        <x:is>
          <x:t xml:space="preserve">High</x:t>
        </x:is>
      </x:c>
      <x:c r="AC306" s="81" t="inlineStr">
        <x:is>
          <x:t xml:space="preserve">Strong.</x:t>
        </x:is>
      </x:c>
      <x:c r="AD306" s="81" t="inlineStr">
        <x:is>
          <x:t xml:space="preserve">Needs editorial review</x:t>
        </x:is>
      </x:c>
      <x:c r="AE306" s="81" t="inlineStr">
        <x:is>
          <x:t xml:space="preserve">Needs semantic dedupe review</x:t>
        </x:is>
      </x:c>
      <x:c r="AF306" s="81" t="str"/>
      <x:c r="AG306" s="81" t="str"/>
      <x:c r="AH306" s="81" t="inlineStr">
        <x:is>
          <x:t xml:space="preserve">No</x:t>
        </x:is>
      </x:c>
      <x:c r="AI306" s="81" t="inlineStr">
        <x:is>
          <x:t xml:space="preserve">Not reviewed</x:t>
        </x:is>
      </x:c>
      <x:c r="AJ306" s="81" t="inlineStr">
        <x:is>
          <x:t xml:space="preserve">Research only</x:t>
        </x:is>
      </x:c>
      <x:c r="AK306" s="81" t="inlineStr">
        <x:is>
          <x:t xml:space="preserve">Research Pool</x:t>
        </x:is>
      </x:c>
      <x:c r="AL306" s="81" t="n">
        <x:v>3</x:v>
      </x:c>
      <x:c r="AM306" s="81" t="inlineStr">
        <x:is>
          <x:t xml:space="preserve">ChatGPT research</x:t>
        </x:is>
      </x:c>
      <x:c r="AN306" s="81" t="inlineStr">
        <x:is>
          <x:t xml:space="preserve">2026-09-18</x:t>
        </x:is>
      </x:c>
      <x:c r="AO306" s="81" t="inlineStr">
        <x:is>
          <x:t xml:space="preserve">Day 3 full-scope audit, chapters 51–81.</x:t>
        </x:is>
      </x:c>
    </x:row>
    <x:row r="307">
      <x:c r="A307" s="81" t="inlineStr">
        <x:is>
          <x:t xml:space="preserve">research.laozi.day3.ch79.125</x:t>
        </x:is>
      </x:c>
      <x:c r="B307" s="81" t="inlineStr">
        <x:is>
          <x:t xml:space="preserve">Collected</x:t>
        </x:is>
      </x:c>
      <x:c r="C307" s="81" t="inlineStr">
        <x:is>
          <x:t xml:space="preserve">Nội tâm &amp; hiểu mình</x:t>
        </x:is>
      </x:c>
      <x:c r="D307" s="81" t="inlineStr">
        <x:is>
          <x:t xml:space="preserve">Day 3 / Laozi 51–81</x:t>
        </x:is>
      </x:c>
      <x:c r="E307" s="81" t="str"/>
      <x:c r="F307" s="81" t="inlineStr">
        <x:is>
          <x:t xml:space="preserve">Không dựa vào thiên vị cá nhân làm nguyên tắc</x:t>
        </x:is>
      </x:c>
      <x:c r="G307" s="81" t="inlineStr">
        <x:is>
          <x:t xml:space="preserve">Fairness</x:t>
        </x:is>
      </x:c>
      <x:c r="H307" s="81" t="str"/>
      <x:c r="I307" s="81" t="str"/>
      <x:c r="J307" s="81" t="str"/>
      <x:c r="K307" s="81" t="inlineStr">
        <x:is>
          <x:t xml:space="preserve">Recognize</x:t>
        </x:is>
      </x:c>
      <x:c r="L307" s="81" t="inlineStr">
        <x:is>
          <x:t xml:space="preserve">Distinguish</x:t>
        </x:is>
      </x:c>
      <x:c r="M307" s="81" t="inlineStr">
        <x:is>
          <x:t xml:space="preserve">Trích đoạn triết học</x:t>
        </x:is>
      </x:c>
      <x:c r="N307" s="81" t="inlineStr">
        <x:is>
          <x:t xml:space="preserve">天道無親，常與善人。</x:t>
        </x:is>
      </x:c>
      <x:c r="O307" s="81" t="inlineStr">
        <x:is>
          <x:t xml:space="preserve">Classical Chinese (文言文)</x:t>
        </x:is>
      </x:c>
      <x:c r="P307" s="81" t="inlineStr">
        <x:is>
          <x:t xml:space="preserve">Đạo trời không thiên vị riêng ai; văn bản gắn nó với điều thiện.</x:t>
        </x:is>
      </x:c>
      <x:c r="Q307" s="81" t="inlineStr">
        <x:is>
          <x:t xml:space="preserve">Laozi / 老子</x:t>
        </x:is>
      </x:c>
      <x:c r="R307" s="81" t="inlineStr">
        <x:is>
          <x:t xml:space="preserve">Taoism</x:t>
        </x:is>
      </x:c>
      <x:c r="S307" s="81" t="inlineStr">
        <x:is>
          <x:t xml:space="preserve">道德經 / Tao Te Ching</x:t>
        </x:is>
      </x:c>
      <x:c r="T307" s="81" t="inlineStr">
        <x:is>
          <x:t xml:space="preserve">Chapter 79</x:t>
        </x:is>
      </x:c>
      <x:c r="U307" s="81" t="inlineStr">
        <x:is>
          <x:t xml:space="preserve">https://zh.wikisource.org/zh-hant/%E9%81%93%E5%BE%B7%E7%B6%93_(%E7%8E%8B%E5%BC%BC%E6%9C%AC)</x:t>
        </x:is>
      </x:c>
      <x:c r="V307" s="81" t="inlineStr">
        <x:is>
          <x:t xml:space="preserve">Primary text</x:t>
        </x:is>
      </x:c>
      <x:c r="W307" s="81" t="inlineStr">
        <x:is>
          <x:t xml:space="preserve">Working translation</x:t>
        </x:is>
      </x:c>
      <x:c r="X307" s="81" t="inlineStr">
        <x:is>
          <x:t xml:space="preserve">A - Primary source</x:t>
        </x:is>
      </x:c>
      <x:c r="Y307" s="81" t="inlineStr">
        <x:is>
          <x:t xml:space="preserve">Original Chinese checked against Wang Bi recension on Chinese Wikisource. Vietnamese is Selflo working translation, not a published translation.</x:t>
        </x:is>
      </x:c>
      <x:c r="Z307" s="81" t="inlineStr">
        <x:is>
          <x:t xml:space="preserve">Public domain / likely</x:t>
        </x:is>
      </x:c>
      <x:c r="AA307" s="81" t="inlineStr">
        <x:is>
          <x:t xml:space="preserve">Ancient source text; verify edition/jurisdiction before commercial publication.</x:t>
        </x:is>
      </x:c>
      <x:c r="AB307" s="81" t="inlineStr">
        <x:is>
          <x:t xml:space="preserve">Medium</x:t>
        </x:is>
      </x:c>
      <x:c r="AC307" s="81" t="inlineStr">
        <x:is>
          <x:t xml:space="preserve">Metaphysical.</x:t>
        </x:is>
      </x:c>
      <x:c r="AD307" s="81" t="inlineStr">
        <x:is>
          <x:t xml:space="preserve">Needs editorial review</x:t>
        </x:is>
      </x:c>
      <x:c r="AE307" s="81" t="inlineStr">
        <x:is>
          <x:t xml:space="preserve">Needs semantic dedupe review</x:t>
        </x:is>
      </x:c>
      <x:c r="AF307" s="81" t="str"/>
      <x:c r="AG307" s="81" t="str"/>
      <x:c r="AH307" s="81" t="inlineStr">
        <x:is>
          <x:t xml:space="preserve">No</x:t>
        </x:is>
      </x:c>
      <x:c r="AI307" s="81" t="inlineStr">
        <x:is>
          <x:t xml:space="preserve">Not reviewed</x:t>
        </x:is>
      </x:c>
      <x:c r="AJ307" s="81" t="inlineStr">
        <x:is>
          <x:t xml:space="preserve">Research only</x:t>
        </x:is>
      </x:c>
      <x:c r="AK307" s="81" t="inlineStr">
        <x:is>
          <x:t xml:space="preserve">Research Pool</x:t>
        </x:is>
      </x:c>
      <x:c r="AL307" s="81" t="n">
        <x:v>3</x:v>
      </x:c>
      <x:c r="AM307" s="81" t="inlineStr">
        <x:is>
          <x:t xml:space="preserve">ChatGPT research</x:t>
        </x:is>
      </x:c>
      <x:c r="AN307" s="81" t="inlineStr">
        <x:is>
          <x:t xml:space="preserve">2026-09-18</x:t>
        </x:is>
      </x:c>
      <x:c r="AO307" s="81" t="inlineStr">
        <x:is>
          <x:t xml:space="preserve">Day 3 full-scope audit, chapters 51–81.</x:t>
        </x:is>
      </x:c>
    </x:row>
    <x:row r="308">
      <x:c r="A308" s="81" t="inlineStr">
        <x:is>
          <x:t xml:space="preserve">research.laozi.day3.ch80.126</x:t>
        </x:is>
      </x:c>
      <x:c r="B308" s="81" t="inlineStr">
        <x:is>
          <x:t xml:space="preserve">Collected</x:t>
        </x:is>
      </x:c>
      <x:c r="C308" s="81" t="inlineStr">
        <x:is>
          <x:t xml:space="preserve">Nội tâm &amp; hiểu mình</x:t>
        </x:is>
      </x:c>
      <x:c r="D308" s="81" t="inlineStr">
        <x:is>
          <x:t xml:space="preserve">Day 3 / Laozi 51–81</x:t>
        </x:is>
      </x:c>
      <x:c r="E308" s="81" t="str"/>
      <x:c r="F308" s="81" t="inlineStr">
        <x:is>
          <x:t xml:space="preserve">Quy mô nhỏ có thể tạo một kiểu giá trị khác tăng trưởng</x:t>
        </x:is>
      </x:c>
      <x:c r="G308" s="81" t="inlineStr">
        <x:is>
          <x:t xml:space="preserve">Simplicity</x:t>
        </x:is>
      </x:c>
      <x:c r="H308" s="81" t="str"/>
      <x:c r="I308" s="81" t="str"/>
      <x:c r="J308" s="81" t="str"/>
      <x:c r="K308" s="81" t="inlineStr">
        <x:is>
          <x:t xml:space="preserve">Reframe</x:t>
        </x:is>
      </x:c>
      <x:c r="L308" s="81" t="inlineStr">
        <x:is>
          <x:t xml:space="preserve">Distinguish</x:t>
        </x:is>
      </x:c>
      <x:c r="M308" s="81" t="inlineStr">
        <x:is>
          <x:t xml:space="preserve">Trích đoạn triết học</x:t>
        </x:is>
      </x:c>
      <x:c r="N308" s="81" t="inlineStr">
        <x:is>
          <x:t xml:space="preserve">小國寡民。</x:t>
        </x:is>
      </x:c>
      <x:c r="O308" s="81" t="inlineStr">
        <x:is>
          <x:t xml:space="preserve">Classical Chinese (文言文)</x:t>
        </x:is>
      </x:c>
      <x:c r="P308" s="81" t="inlineStr">
        <x:is>
          <x:t xml:space="preserve">Văn bản hình dung một cộng đồng nhỏ, ít người như một thí nghiệm về đời sống đủ dùng.</x:t>
        </x:is>
      </x:c>
      <x:c r="Q308" s="81" t="inlineStr">
        <x:is>
          <x:t xml:space="preserve">Laozi / 老子</x:t>
        </x:is>
      </x:c>
      <x:c r="R308" s="81" t="inlineStr">
        <x:is>
          <x:t xml:space="preserve">Taoism</x:t>
        </x:is>
      </x:c>
      <x:c r="S308" s="81" t="inlineStr">
        <x:is>
          <x:t xml:space="preserve">道德經 / Tao Te Ching</x:t>
        </x:is>
      </x:c>
      <x:c r="T308" s="81" t="inlineStr">
        <x:is>
          <x:t xml:space="preserve">Chapter 80</x:t>
        </x:is>
      </x:c>
      <x:c r="U308" s="81" t="inlineStr">
        <x:is>
          <x:t xml:space="preserve">https://zh.wikisource.org/zh-hant/%E9%81%93%E5%BE%B7%E7%B6%93_(%E7%8E%8B%E5%BC%BC%E6%9C%AC)</x:t>
        </x:is>
      </x:c>
      <x:c r="V308" s="81" t="inlineStr">
        <x:is>
          <x:t xml:space="preserve">Primary text</x:t>
        </x:is>
      </x:c>
      <x:c r="W308" s="81" t="inlineStr">
        <x:is>
          <x:t xml:space="preserve">Working translation</x:t>
        </x:is>
      </x:c>
      <x:c r="X308" s="81" t="inlineStr">
        <x:is>
          <x:t xml:space="preserve">A - Primary source</x:t>
        </x:is>
      </x:c>
      <x:c r="Y308" s="81" t="inlineStr">
        <x:is>
          <x:t xml:space="preserve">Original Chinese checked against Wang Bi recension on Chinese Wikisource. Vietnamese is Selflo working translation, not a published translation.</x:t>
        </x:is>
      </x:c>
      <x:c r="Z308" s="81" t="inlineStr">
        <x:is>
          <x:t xml:space="preserve">Public domain / likely</x:t>
        </x:is>
      </x:c>
      <x:c r="AA308" s="81" t="inlineStr">
        <x:is>
          <x:t xml:space="preserve">Ancient source text; verify edition/jurisdiction before commercial publication.</x:t>
        </x:is>
      </x:c>
      <x:c r="AB308" s="81" t="inlineStr">
        <x:is>
          <x:t xml:space="preserve">Medium</x:t>
        </x:is>
      </x:c>
      <x:c r="AC308" s="81" t="inlineStr">
        <x:is>
          <x:t xml:space="preserve">Utopian/political.</x:t>
        </x:is>
      </x:c>
      <x:c r="AD308" s="81" t="inlineStr">
        <x:is>
          <x:t xml:space="preserve">Needs editorial review</x:t>
        </x:is>
      </x:c>
      <x:c r="AE308" s="81" t="inlineStr">
        <x:is>
          <x:t xml:space="preserve">Needs semantic dedupe review</x:t>
        </x:is>
      </x:c>
      <x:c r="AF308" s="81" t="str"/>
      <x:c r="AG308" s="81" t="str"/>
      <x:c r="AH308" s="81" t="inlineStr">
        <x:is>
          <x:t xml:space="preserve">No</x:t>
        </x:is>
      </x:c>
      <x:c r="AI308" s="81" t="inlineStr">
        <x:is>
          <x:t xml:space="preserve">Not reviewed</x:t>
        </x:is>
      </x:c>
      <x:c r="AJ308" s="81" t="inlineStr">
        <x:is>
          <x:t xml:space="preserve">Research only</x:t>
        </x:is>
      </x:c>
      <x:c r="AK308" s="81" t="inlineStr">
        <x:is>
          <x:t xml:space="preserve">Research Pool</x:t>
        </x:is>
      </x:c>
      <x:c r="AL308" s="81" t="n">
        <x:v>3</x:v>
      </x:c>
      <x:c r="AM308" s="81" t="inlineStr">
        <x:is>
          <x:t xml:space="preserve">ChatGPT research</x:t>
        </x:is>
      </x:c>
      <x:c r="AN308" s="81" t="inlineStr">
        <x:is>
          <x:t xml:space="preserve">2026-09-18</x:t>
        </x:is>
      </x:c>
      <x:c r="AO308" s="81" t="inlineStr">
        <x:is>
          <x:t xml:space="preserve">Day 3 full-scope audit, chapters 51–81.</x:t>
        </x:is>
      </x:c>
    </x:row>
    <x:row r="309">
      <x:c r="A309" s="81" t="inlineStr">
        <x:is>
          <x:t xml:space="preserve">research.laozi.day3.ch80.127</x:t>
        </x:is>
      </x:c>
      <x:c r="B309" s="81" t="inlineStr">
        <x:is>
          <x:t xml:space="preserve">Collected</x:t>
        </x:is>
      </x:c>
      <x:c r="C309" s="81" t="inlineStr">
        <x:is>
          <x:t xml:space="preserve">AI &amp; tương lai</x:t>
        </x:is>
      </x:c>
      <x:c r="D309" s="81" t="inlineStr">
        <x:is>
          <x:t xml:space="preserve">Day 3 / Laozi 51–81</x:t>
        </x:is>
      </x:c>
      <x:c r="E309" s="81" t="str"/>
      <x:c r="F309" s="81" t="inlineStr">
        <x:is>
          <x:t xml:space="preserve">Có khả năng không đồng nghĩa phải sử dụng</x:t>
        </x:is>
      </x:c>
      <x:c r="G309" s="81" t="inlineStr">
        <x:is>
          <x:t xml:space="preserve">Technology</x:t>
        </x:is>
      </x:c>
      <x:c r="H309" s="81" t="str"/>
      <x:c r="I309" s="81" t="str"/>
      <x:c r="J309" s="81" t="str"/>
      <x:c r="K309" s="81" t="inlineStr">
        <x:is>
          <x:t xml:space="preserve">Distinguish</x:t>
        </x:is>
      </x:c>
      <x:c r="L309" s="81" t="inlineStr">
        <x:is>
          <x:t xml:space="preserve">Recognize</x:t>
        </x:is>
      </x:c>
      <x:c r="M309" s="81" t="inlineStr">
        <x:is>
          <x:t xml:space="preserve">Trích đoạn triết học</x:t>
        </x:is>
      </x:c>
      <x:c r="N309" s="81" t="inlineStr">
        <x:is>
          <x:t xml:space="preserve">使有什伯之器而不用。</x:t>
        </x:is>
      </x:c>
      <x:c r="O309" s="81" t="inlineStr">
        <x:is>
          <x:t xml:space="preserve">Classical Chinese (文言文)</x:t>
        </x:is>
      </x:c>
      <x:c r="P309" s="81" t="inlineStr">
        <x:is>
          <x:t xml:space="preserve">Có công cụ mạnh nhưng không nhất thiết phải dùng chỉ vì nó tồn tại.</x:t>
        </x:is>
      </x:c>
      <x:c r="Q309" s="81" t="inlineStr">
        <x:is>
          <x:t xml:space="preserve">Laozi / 老子</x:t>
        </x:is>
      </x:c>
      <x:c r="R309" s="81" t="inlineStr">
        <x:is>
          <x:t xml:space="preserve">Taoism</x:t>
        </x:is>
      </x:c>
      <x:c r="S309" s="81" t="inlineStr">
        <x:is>
          <x:t xml:space="preserve">道德經 / Tao Te Ching</x:t>
        </x:is>
      </x:c>
      <x:c r="T309" s="81" t="inlineStr">
        <x:is>
          <x:t xml:space="preserve">Chapter 80</x:t>
        </x:is>
      </x:c>
      <x:c r="U309" s="81" t="inlineStr">
        <x:is>
          <x:t xml:space="preserve">https://zh.wikisource.org/zh-hant/%E9%81%93%E5%BE%B7%E7%B6%93_(%E7%8E%8B%E5%BC%BC%E6%9C%AC)</x:t>
        </x:is>
      </x:c>
      <x:c r="V309" s="81" t="inlineStr">
        <x:is>
          <x:t xml:space="preserve">Primary text</x:t>
        </x:is>
      </x:c>
      <x:c r="W309" s="81" t="inlineStr">
        <x:is>
          <x:t xml:space="preserve">Working translation</x:t>
        </x:is>
      </x:c>
      <x:c r="X309" s="81" t="inlineStr">
        <x:is>
          <x:t xml:space="preserve">A - Primary source</x:t>
        </x:is>
      </x:c>
      <x:c r="Y309" s="81" t="inlineStr">
        <x:is>
          <x:t xml:space="preserve">Original Chinese checked against Wang Bi recension on Chinese Wikisource. Vietnamese is Selflo working translation, not a published translation.</x:t>
        </x:is>
      </x:c>
      <x:c r="Z309" s="81" t="inlineStr">
        <x:is>
          <x:t xml:space="preserve">Public domain / likely</x:t>
        </x:is>
      </x:c>
      <x:c r="AA309" s="81" t="inlineStr">
        <x:is>
          <x:t xml:space="preserve">Ancient source text; verify edition/jurisdiction before commercial publication.</x:t>
        </x:is>
      </x:c>
      <x:c r="AB309" s="81" t="inlineStr">
        <x:is>
          <x:t xml:space="preserve">High</x:t>
        </x:is>
      </x:c>
      <x:c r="AC309" s="81" t="inlineStr">
        <x:is>
          <x:t xml:space="preserve">Extremely relevant AI-age.</x:t>
        </x:is>
      </x:c>
      <x:c r="AD309" s="81" t="inlineStr">
        <x:is>
          <x:t xml:space="preserve">Needs editorial review</x:t>
        </x:is>
      </x:c>
      <x:c r="AE309" s="81" t="inlineStr">
        <x:is>
          <x:t xml:space="preserve">Needs semantic dedupe review</x:t>
        </x:is>
      </x:c>
      <x:c r="AF309" s="81" t="str"/>
      <x:c r="AG309" s="81" t="str"/>
      <x:c r="AH309" s="81" t="inlineStr">
        <x:is>
          <x:t xml:space="preserve">No</x:t>
        </x:is>
      </x:c>
      <x:c r="AI309" s="81" t="inlineStr">
        <x:is>
          <x:t xml:space="preserve">Not reviewed</x:t>
        </x:is>
      </x:c>
      <x:c r="AJ309" s="81" t="inlineStr">
        <x:is>
          <x:t xml:space="preserve">Research only</x:t>
        </x:is>
      </x:c>
      <x:c r="AK309" s="81" t="inlineStr">
        <x:is>
          <x:t xml:space="preserve">Research Pool</x:t>
        </x:is>
      </x:c>
      <x:c r="AL309" s="81" t="n">
        <x:v>3</x:v>
      </x:c>
      <x:c r="AM309" s="81" t="inlineStr">
        <x:is>
          <x:t xml:space="preserve">ChatGPT research</x:t>
        </x:is>
      </x:c>
      <x:c r="AN309" s="81" t="inlineStr">
        <x:is>
          <x:t xml:space="preserve">2026-09-18</x:t>
        </x:is>
      </x:c>
      <x:c r="AO309" s="81" t="inlineStr">
        <x:is>
          <x:t xml:space="preserve">Day 3 full-scope audit, chapters 51–81.</x:t>
        </x:is>
      </x:c>
    </x:row>
    <x:row r="310">
      <x:c r="A310" s="81" t="inlineStr">
        <x:is>
          <x:t xml:space="preserve">research.laozi.day3.ch80.128</x:t>
        </x:is>
      </x:c>
      <x:c r="B310" s="81" t="inlineStr">
        <x:is>
          <x:t xml:space="preserve">Collected</x:t>
        </x:is>
      </x:c>
      <x:c r="C310" s="81" t="inlineStr">
        <x:is>
          <x:t xml:space="preserve">Nội tâm &amp; hiểu mình</x:t>
        </x:is>
      </x:c>
      <x:c r="D310" s="81" t="inlineStr">
        <x:is>
          <x:t xml:space="preserve">Day 3 / Laozi 51–81</x:t>
        </x:is>
      </x:c>
      <x:c r="E310" s="81" t="str"/>
      <x:c r="F310" s="81" t="inlineStr">
        <x:is>
          <x:t xml:space="preserve">Công cụ không tự quyết định hành động</x:t>
        </x:is>
      </x:c>
      <x:c r="G310" s="81" t="inlineStr">
        <x:is>
          <x:t xml:space="preserve">Agency</x:t>
        </x:is>
      </x:c>
      <x:c r="H310" s="81" t="str"/>
      <x:c r="I310" s="81" t="str"/>
      <x:c r="J310" s="81" t="str"/>
      <x:c r="K310" s="81" t="inlineStr">
        <x:is>
          <x:t xml:space="preserve">Distinguish</x:t>
        </x:is>
      </x:c>
      <x:c r="L310" s="81" t="inlineStr">
        <x:is>
          <x:t xml:space="preserve">Recognize</x:t>
        </x:is>
      </x:c>
      <x:c r="M310" s="81" t="inlineStr">
        <x:is>
          <x:t xml:space="preserve">Trích đoạn triết học</x:t>
        </x:is>
      </x:c>
      <x:c r="N310" s="81" t="inlineStr">
        <x:is>
          <x:t xml:space="preserve">雖有舟輿，無所乘之；雖有甲兵，無所陳之。</x:t>
        </x:is>
      </x:c>
      <x:c r="O310" s="81" t="inlineStr">
        <x:is>
          <x:t xml:space="preserve">Classical Chinese (文言文)</x:t>
        </x:is>
      </x:c>
      <x:c r="P310" s="81" t="inlineStr">
        <x:is>
          <x:t xml:space="preserve">Có phương tiện và vũ khí nhưng không vì có mà phải đem ra dùng.</x:t>
        </x:is>
      </x:c>
      <x:c r="Q310" s="81" t="inlineStr">
        <x:is>
          <x:t xml:space="preserve">Laozi / 老子</x:t>
        </x:is>
      </x:c>
      <x:c r="R310" s="81" t="inlineStr">
        <x:is>
          <x:t xml:space="preserve">Taoism</x:t>
        </x:is>
      </x:c>
      <x:c r="S310" s="81" t="inlineStr">
        <x:is>
          <x:t xml:space="preserve">道德經 / Tao Te Ching</x:t>
        </x:is>
      </x:c>
      <x:c r="T310" s="81" t="inlineStr">
        <x:is>
          <x:t xml:space="preserve">Chapter 80</x:t>
        </x:is>
      </x:c>
      <x:c r="U310" s="81" t="inlineStr">
        <x:is>
          <x:t xml:space="preserve">https://zh.wikisource.org/zh-hant/%E9%81%93%E5%BE%B7%E7%B6%93_(%E7%8E%8B%E5%BC%BC%E6%9C%AC)</x:t>
        </x:is>
      </x:c>
      <x:c r="V310" s="81" t="inlineStr">
        <x:is>
          <x:t xml:space="preserve">Primary text</x:t>
        </x:is>
      </x:c>
      <x:c r="W310" s="81" t="inlineStr">
        <x:is>
          <x:t xml:space="preserve">Working translation</x:t>
        </x:is>
      </x:c>
      <x:c r="X310" s="81" t="inlineStr">
        <x:is>
          <x:t xml:space="preserve">A - Primary source</x:t>
        </x:is>
      </x:c>
      <x:c r="Y310" s="81" t="inlineStr">
        <x:is>
          <x:t xml:space="preserve">Original Chinese checked against Wang Bi recension on Chinese Wikisource. Vietnamese is Selflo working translation, not a published translation.</x:t>
        </x:is>
      </x:c>
      <x:c r="Z310" s="81" t="inlineStr">
        <x:is>
          <x:t xml:space="preserve">Public domain / likely</x:t>
        </x:is>
      </x:c>
      <x:c r="AA310" s="81" t="inlineStr">
        <x:is>
          <x:t xml:space="preserve">Ancient source text; verify edition/jurisdiction before commercial publication.</x:t>
        </x:is>
      </x:c>
      <x:c r="AB310" s="81" t="inlineStr">
        <x:is>
          <x:t xml:space="preserve">High</x:t>
        </x:is>
      </x:c>
      <x:c r="AC310" s="81" t="inlineStr">
        <x:is>
          <x:t xml:space="preserve">AI/tool philosophy.</x:t>
        </x:is>
      </x:c>
      <x:c r="AD310" s="81" t="inlineStr">
        <x:is>
          <x:t xml:space="preserve">Needs editorial review</x:t>
        </x:is>
      </x:c>
      <x:c r="AE310" s="81" t="inlineStr">
        <x:is>
          <x:t xml:space="preserve">Needs semantic dedupe review</x:t>
        </x:is>
      </x:c>
      <x:c r="AF310" s="81" t="str"/>
      <x:c r="AG310" s="81" t="str"/>
      <x:c r="AH310" s="81" t="inlineStr">
        <x:is>
          <x:t xml:space="preserve">No</x:t>
        </x:is>
      </x:c>
      <x:c r="AI310" s="81" t="inlineStr">
        <x:is>
          <x:t xml:space="preserve">Not reviewed</x:t>
        </x:is>
      </x:c>
      <x:c r="AJ310" s="81" t="inlineStr">
        <x:is>
          <x:t xml:space="preserve">Research only</x:t>
        </x:is>
      </x:c>
      <x:c r="AK310" s="81" t="inlineStr">
        <x:is>
          <x:t xml:space="preserve">Research Pool</x:t>
        </x:is>
      </x:c>
      <x:c r="AL310" s="81" t="n">
        <x:v>3</x:v>
      </x:c>
      <x:c r="AM310" s="81" t="inlineStr">
        <x:is>
          <x:t xml:space="preserve">ChatGPT research</x:t>
        </x:is>
      </x:c>
      <x:c r="AN310" s="81" t="inlineStr">
        <x:is>
          <x:t xml:space="preserve">2026-09-18</x:t>
        </x:is>
      </x:c>
      <x:c r="AO310" s="81" t="inlineStr">
        <x:is>
          <x:t xml:space="preserve">Day 3 full-scope audit, chapters 51–81.</x:t>
        </x:is>
      </x:c>
    </x:row>
    <x:row r="311">
      <x:c r="A311" s="81" t="inlineStr">
        <x:is>
          <x:t xml:space="preserve">research.laozi.day3.ch80.129</x:t>
        </x:is>
      </x:c>
      <x:c r="B311" s="81" t="inlineStr">
        <x:is>
          <x:t xml:space="preserve">Collected</x:t>
        </x:is>
      </x:c>
      <x:c r="C311" s="81" t="inlineStr">
        <x:is>
          <x:t xml:space="preserve">Nội tâm &amp; hiểu mình</x:t>
        </x:is>
      </x:c>
      <x:c r="D311" s="81" t="inlineStr">
        <x:is>
          <x:t xml:space="preserve">Day 3 / Laozi 51–81</x:t>
        </x:is>
      </x:c>
      <x:c r="E311" s="81" t="str"/>
      <x:c r="F311" s="81" t="inlineStr">
        <x:is>
          <x:t xml:space="preserve">Cảm giác đủ có thể nằm trong quan hệ với đời sống hiện tại</x:t>
        </x:is>
      </x:c>
      <x:c r="G311" s="81" t="inlineStr">
        <x:is>
          <x:t xml:space="preserve">Enoughness</x:t>
        </x:is>
      </x:c>
      <x:c r="H311" s="81" t="str"/>
      <x:c r="I311" s="81" t="str"/>
      <x:c r="J311" s="81" t="str"/>
      <x:c r="K311" s="81" t="inlineStr">
        <x:is>
          <x:t xml:space="preserve">Recognize</x:t>
        </x:is>
      </x:c>
      <x:c r="L311" s="81" t="inlineStr">
        <x:is>
          <x:t xml:space="preserve">Distinguish</x:t>
        </x:is>
      </x:c>
      <x:c r="M311" s="81" t="inlineStr">
        <x:is>
          <x:t xml:space="preserve">Trích đoạn triết học</x:t>
        </x:is>
      </x:c>
      <x:c r="N311" s="81" t="inlineStr">
        <x:is>
          <x:t xml:space="preserve">甘其食，美其服，安其居，樂其俗。</x:t>
        </x:is>
      </x:c>
      <x:c r="O311" s="81" t="inlineStr">
        <x:is>
          <x:t xml:space="preserve">Classical Chinese (文言文)</x:t>
        </x:is>
      </x:c>
      <x:c r="P311" s="81" t="inlineStr">
        <x:is>
          <x:t xml:space="preserve">Biết ngon với thức ăn mình có, thấy đẹp trong đồ mình mặc, yên nơi mình ở, vui trong nếp sống của mình.</x:t>
        </x:is>
      </x:c>
      <x:c r="Q311" s="81" t="inlineStr">
        <x:is>
          <x:t xml:space="preserve">Laozi / 老子</x:t>
        </x:is>
      </x:c>
      <x:c r="R311" s="81" t="inlineStr">
        <x:is>
          <x:t xml:space="preserve">Taoism</x:t>
        </x:is>
      </x:c>
      <x:c r="S311" s="81" t="inlineStr">
        <x:is>
          <x:t xml:space="preserve">道德經 / Tao Te Ching</x:t>
        </x:is>
      </x:c>
      <x:c r="T311" s="81" t="inlineStr">
        <x:is>
          <x:t xml:space="preserve">Chapter 80</x:t>
        </x:is>
      </x:c>
      <x:c r="U311" s="81" t="inlineStr">
        <x:is>
          <x:t xml:space="preserve">https://zh.wikisource.org/zh-hant/%E9%81%93%E5%BE%B7%E7%B6%93_(%E7%8E%8B%E5%BC%BC%E6%9C%AC)</x:t>
        </x:is>
      </x:c>
      <x:c r="V311" s="81" t="inlineStr">
        <x:is>
          <x:t xml:space="preserve">Primary text</x:t>
        </x:is>
      </x:c>
      <x:c r="W311" s="81" t="inlineStr">
        <x:is>
          <x:t xml:space="preserve">Working translation</x:t>
        </x:is>
      </x:c>
      <x:c r="X311" s="81" t="inlineStr">
        <x:is>
          <x:t xml:space="preserve">A - Primary source</x:t>
        </x:is>
      </x:c>
      <x:c r="Y311" s="81" t="inlineStr">
        <x:is>
          <x:t xml:space="preserve">Original Chinese checked against Wang Bi recension on Chinese Wikisource. Vietnamese is Selflo working translation, not a published translation.</x:t>
        </x:is>
      </x:c>
      <x:c r="Z311" s="81" t="inlineStr">
        <x:is>
          <x:t xml:space="preserve">Public domain / likely</x:t>
        </x:is>
      </x:c>
      <x:c r="AA311" s="81" t="inlineStr">
        <x:is>
          <x:t xml:space="preserve">Ancient source text; verify edition/jurisdiction before commercial publication.</x:t>
        </x:is>
      </x:c>
      <x:c r="AB311" s="81" t="inlineStr">
        <x:is>
          <x:t xml:space="preserve">High</x:t>
        </x:is>
      </x:c>
      <x:c r="AC311" s="81" t="inlineStr">
        <x:is>
          <x:t xml:space="preserve">Avoid romanticizing poverty.</x:t>
        </x:is>
      </x:c>
      <x:c r="AD311" s="81" t="inlineStr">
        <x:is>
          <x:t xml:space="preserve">Needs editorial review</x:t>
        </x:is>
      </x:c>
      <x:c r="AE311" s="81" t="inlineStr">
        <x:is>
          <x:t xml:space="preserve">Needs semantic dedupe review</x:t>
        </x:is>
      </x:c>
      <x:c r="AF311" s="81" t="str"/>
      <x:c r="AG311" s="81" t="str"/>
      <x:c r="AH311" s="81" t="inlineStr">
        <x:is>
          <x:t xml:space="preserve">No</x:t>
        </x:is>
      </x:c>
      <x:c r="AI311" s="81" t="inlineStr">
        <x:is>
          <x:t xml:space="preserve">Not reviewed</x:t>
        </x:is>
      </x:c>
      <x:c r="AJ311" s="81" t="inlineStr">
        <x:is>
          <x:t xml:space="preserve">Research only</x:t>
        </x:is>
      </x:c>
      <x:c r="AK311" s="81" t="inlineStr">
        <x:is>
          <x:t xml:space="preserve">Research Pool</x:t>
        </x:is>
      </x:c>
      <x:c r="AL311" s="81" t="n">
        <x:v>3</x:v>
      </x:c>
      <x:c r="AM311" s="81" t="inlineStr">
        <x:is>
          <x:t xml:space="preserve">ChatGPT research</x:t>
        </x:is>
      </x:c>
      <x:c r="AN311" s="81" t="inlineStr">
        <x:is>
          <x:t xml:space="preserve">2026-09-18</x:t>
        </x:is>
      </x:c>
      <x:c r="AO311" s="81" t="inlineStr">
        <x:is>
          <x:t xml:space="preserve">Day 3 full-scope audit, chapters 51–81.</x:t>
        </x:is>
      </x:c>
    </x:row>
    <x:row r="312">
      <x:c r="A312" s="81" t="inlineStr">
        <x:is>
          <x:t xml:space="preserve">research.laozi.day3.ch80.130</x:t>
        </x:is>
      </x:c>
      <x:c r="B312" s="81" t="inlineStr">
        <x:is>
          <x:t xml:space="preserve">Collected</x:t>
        </x:is>
      </x:c>
      <x:c r="C312" s="81" t="inlineStr">
        <x:is>
          <x:t xml:space="preserve">Quan hệ</x:t>
        </x:is>
      </x:c>
      <x:c r="D312" s="81" t="inlineStr">
        <x:is>
          <x:t xml:space="preserve">Day 3 / Laozi 51–81</x:t>
        </x:is>
      </x:c>
      <x:c r="E312" s="81" t="str"/>
      <x:c r="F312" s="81" t="inlineStr">
        <x:is>
          <x:t xml:space="preserve">Gần và kết nối không nhất thiết đồng nghĩa luôn tương tác</x:t>
        </x:is>
      </x:c>
      <x:c r="G312" s="81" t="inlineStr">
        <x:is>
          <x:t xml:space="preserve">Boundaries</x:t>
        </x:is>
      </x:c>
      <x:c r="H312" s="81" t="str"/>
      <x:c r="I312" s="81" t="str"/>
      <x:c r="J312" s="81" t="str"/>
      <x:c r="K312" s="81" t="inlineStr">
        <x:is>
          <x:t xml:space="preserve">Reframe</x:t>
        </x:is>
      </x:c>
      <x:c r="L312" s="81" t="inlineStr">
        <x:is>
          <x:t xml:space="preserve">Distinguish</x:t>
        </x:is>
      </x:c>
      <x:c r="M312" s="81" t="inlineStr">
        <x:is>
          <x:t xml:space="preserve">Trích đoạn triết học</x:t>
        </x:is>
      </x:c>
      <x:c r="N312" s="81" t="inlineStr">
        <x:is>
          <x:t xml:space="preserve">鄰國相望，雞犬之聲相聞，民至老死不相往來。</x:t>
        </x:is>
      </x:c>
      <x:c r="O312" s="81" t="inlineStr">
        <x:is>
          <x:t xml:space="preserve">Classical Chinese (文言文)</x:t>
        </x:is>
      </x:c>
      <x:c r="P312" s="81" t="inlineStr">
        <x:is>
          <x:t xml:space="preserve">Hai nơi gần đến mức nghe tiếng gà chó nhưng người dân không cần chạy qua lại.</x:t>
        </x:is>
      </x:c>
      <x:c r="Q312" s="81" t="inlineStr">
        <x:is>
          <x:t xml:space="preserve">Laozi / 老子</x:t>
        </x:is>
      </x:c>
      <x:c r="R312" s="81" t="inlineStr">
        <x:is>
          <x:t xml:space="preserve">Taoism</x:t>
        </x:is>
      </x:c>
      <x:c r="S312" s="81" t="inlineStr">
        <x:is>
          <x:t xml:space="preserve">道德經 / Tao Te Ching</x:t>
        </x:is>
      </x:c>
      <x:c r="T312" s="81" t="inlineStr">
        <x:is>
          <x:t xml:space="preserve">Chapter 80</x:t>
        </x:is>
      </x:c>
      <x:c r="U312" s="81" t="inlineStr">
        <x:is>
          <x:t xml:space="preserve">https://zh.wikisource.org/zh-hant/%E9%81%93%E5%BE%B7%E7%B6%93_(%E7%8E%8B%E5%BC%BC%E6%9C%AC)</x:t>
        </x:is>
      </x:c>
      <x:c r="V312" s="81" t="inlineStr">
        <x:is>
          <x:t xml:space="preserve">Primary text</x:t>
        </x:is>
      </x:c>
      <x:c r="W312" s="81" t="inlineStr">
        <x:is>
          <x:t xml:space="preserve">Working translation</x:t>
        </x:is>
      </x:c>
      <x:c r="X312" s="81" t="inlineStr">
        <x:is>
          <x:t xml:space="preserve">A - Primary source</x:t>
        </x:is>
      </x:c>
      <x:c r="Y312" s="81" t="inlineStr">
        <x:is>
          <x:t xml:space="preserve">Original Chinese checked against Wang Bi recension on Chinese Wikisource. Vietnamese is Selflo working translation, not a published translation.</x:t>
        </x:is>
      </x:c>
      <x:c r="Z312" s="81" t="inlineStr">
        <x:is>
          <x:t xml:space="preserve">Public domain / likely</x:t>
        </x:is>
      </x:c>
      <x:c r="AA312" s="81" t="inlineStr">
        <x:is>
          <x:t xml:space="preserve">Ancient source text; verify edition/jurisdiction before commercial publication.</x:t>
        </x:is>
      </x:c>
      <x:c r="AB312" s="81" t="inlineStr">
        <x:is>
          <x:t xml:space="preserve">Medium</x:t>
        </x:is>
      </x:c>
      <x:c r="AC312" s="81" t="inlineStr">
        <x:is>
          <x:t xml:space="preserve">Not recommendation for isolation.</x:t>
        </x:is>
      </x:c>
      <x:c r="AD312" s="81" t="inlineStr">
        <x:is>
          <x:t xml:space="preserve">Needs editorial review</x:t>
        </x:is>
      </x:c>
      <x:c r="AE312" s="81" t="inlineStr">
        <x:is>
          <x:t xml:space="preserve">Needs semantic dedupe review</x:t>
        </x:is>
      </x:c>
      <x:c r="AF312" s="81" t="str"/>
      <x:c r="AG312" s="81" t="str"/>
      <x:c r="AH312" s="81" t="inlineStr">
        <x:is>
          <x:t xml:space="preserve">No</x:t>
        </x:is>
      </x:c>
      <x:c r="AI312" s="81" t="inlineStr">
        <x:is>
          <x:t xml:space="preserve">Not reviewed</x:t>
        </x:is>
      </x:c>
      <x:c r="AJ312" s="81" t="inlineStr">
        <x:is>
          <x:t xml:space="preserve">Research only</x:t>
        </x:is>
      </x:c>
      <x:c r="AK312" s="81" t="inlineStr">
        <x:is>
          <x:t xml:space="preserve">Research Pool</x:t>
        </x:is>
      </x:c>
      <x:c r="AL312" s="81" t="n">
        <x:v>3</x:v>
      </x:c>
      <x:c r="AM312" s="81" t="inlineStr">
        <x:is>
          <x:t xml:space="preserve">ChatGPT research</x:t>
        </x:is>
      </x:c>
      <x:c r="AN312" s="81" t="inlineStr">
        <x:is>
          <x:t xml:space="preserve">2026-09-18</x:t>
        </x:is>
      </x:c>
      <x:c r="AO312" s="81" t="inlineStr">
        <x:is>
          <x:t xml:space="preserve">Day 3 full-scope audit, chapters 51–81.</x:t>
        </x:is>
      </x:c>
    </x:row>
    <x:row r="313">
      <x:c r="A313" s="81" t="inlineStr">
        <x:is>
          <x:t xml:space="preserve">research.laozi.day3.ch81.131</x:t>
        </x:is>
      </x:c>
      <x:c r="B313" s="81" t="inlineStr">
        <x:is>
          <x:t xml:space="preserve">Collected</x:t>
        </x:is>
      </x:c>
      <x:c r="C313" s="81" t="inlineStr">
        <x:is>
          <x:t xml:space="preserve">Quan hệ</x:t>
        </x:is>
      </x:c>
      <x:c r="D313" s="81" t="inlineStr">
        <x:is>
          <x:t xml:space="preserve">Day 3 / Laozi 51–81</x:t>
        </x:is>
      </x:c>
      <x:c r="E313" s="81" t="str"/>
      <x:c r="F313" s="81" t="inlineStr">
        <x:is>
          <x:t xml:space="preserve">Hấp dẫn và đáng tin là hai tiêu chí khác nhau</x:t>
        </x:is>
      </x:c>
      <x:c r="G313" s="81" t="inlineStr">
        <x:is>
          <x:t xml:space="preserve">Trust</x:t>
        </x:is>
      </x:c>
      <x:c r="H313" s="81" t="str"/>
      <x:c r="I313" s="81" t="str"/>
      <x:c r="J313" s="81" t="str"/>
      <x:c r="K313" s="81" t="inlineStr">
        <x:is>
          <x:t xml:space="preserve">Distinguish</x:t>
        </x:is>
      </x:c>
      <x:c r="L313" s="81" t="inlineStr">
        <x:is>
          <x:t xml:space="preserve">Recognize</x:t>
        </x:is>
      </x:c>
      <x:c r="M313" s="81" t="inlineStr">
        <x:is>
          <x:t xml:space="preserve">Trích đoạn triết học</x:t>
        </x:is>
      </x:c>
      <x:c r="N313" s="81" t="inlineStr">
        <x:is>
          <x:t xml:space="preserve">信言不美，美言不信。</x:t>
        </x:is>
      </x:c>
      <x:c r="O313" s="81" t="inlineStr">
        <x:is>
          <x:t xml:space="preserve">Classical Chinese (文言文)</x:t>
        </x:is>
      </x:c>
      <x:c r="P313" s="81" t="inlineStr">
        <x:is>
          <x:t xml:space="preserve">Lời đáng tin không nhất thiết đẹp; lời đẹp không vì đẹp mà đáng tin.</x:t>
        </x:is>
      </x:c>
      <x:c r="Q313" s="81" t="inlineStr">
        <x:is>
          <x:t xml:space="preserve">Laozi / 老子</x:t>
        </x:is>
      </x:c>
      <x:c r="R313" s="81" t="inlineStr">
        <x:is>
          <x:t xml:space="preserve">Taoism</x:t>
        </x:is>
      </x:c>
      <x:c r="S313" s="81" t="inlineStr">
        <x:is>
          <x:t xml:space="preserve">道德經 / Tao Te Ching</x:t>
        </x:is>
      </x:c>
      <x:c r="T313" s="81" t="inlineStr">
        <x:is>
          <x:t xml:space="preserve">Chapter 81</x:t>
        </x:is>
      </x:c>
      <x:c r="U313" s="81" t="inlineStr">
        <x:is>
          <x:t xml:space="preserve">https://zh.wikisource.org/zh-hant/%E9%81%93%E5%BE%B7%E7%B6%93_(%E7%8E%8B%E5%BC%BC%E6%9C%AC)</x:t>
        </x:is>
      </x:c>
      <x:c r="V313" s="81" t="inlineStr">
        <x:is>
          <x:t xml:space="preserve">Primary text</x:t>
        </x:is>
      </x:c>
      <x:c r="W313" s="81" t="inlineStr">
        <x:is>
          <x:t xml:space="preserve">Working translation</x:t>
        </x:is>
      </x:c>
      <x:c r="X313" s="81" t="inlineStr">
        <x:is>
          <x:t xml:space="preserve">A - Primary source</x:t>
        </x:is>
      </x:c>
      <x:c r="Y313" s="81" t="inlineStr">
        <x:is>
          <x:t xml:space="preserve">Original Chinese checked against Wang Bi recension on Chinese Wikisource. Vietnamese is Selflo working translation, not a published translation.</x:t>
        </x:is>
      </x:c>
      <x:c r="Z313" s="81" t="inlineStr">
        <x:is>
          <x:t xml:space="preserve">Public domain / likely</x:t>
        </x:is>
      </x:c>
      <x:c r="AA313" s="81" t="inlineStr">
        <x:is>
          <x:t xml:space="preserve">Ancient source text; verify edition/jurisdiction before commercial publication.</x:t>
        </x:is>
      </x:c>
      <x:c r="AB313" s="81" t="inlineStr">
        <x:is>
          <x:t xml:space="preserve">High</x:t>
        </x:is>
      </x:c>
      <x:c r="AC313" s="81" t="inlineStr">
        <x:is>
          <x:t xml:space="preserve">Core AI/content literacy.</x:t>
        </x:is>
      </x:c>
      <x:c r="AD313" s="81" t="inlineStr">
        <x:is>
          <x:t xml:space="preserve">Needs editorial review</x:t>
        </x:is>
      </x:c>
      <x:c r="AE313" s="81" t="inlineStr">
        <x:is>
          <x:t xml:space="preserve">Needs semantic dedupe review</x:t>
        </x:is>
      </x:c>
      <x:c r="AF313" s="81" t="str"/>
      <x:c r="AG313" s="81" t="str"/>
      <x:c r="AH313" s="81" t="inlineStr">
        <x:is>
          <x:t xml:space="preserve">No</x:t>
        </x:is>
      </x:c>
      <x:c r="AI313" s="81" t="inlineStr">
        <x:is>
          <x:t xml:space="preserve">Not reviewed</x:t>
        </x:is>
      </x:c>
      <x:c r="AJ313" s="81" t="inlineStr">
        <x:is>
          <x:t xml:space="preserve">Research only</x:t>
        </x:is>
      </x:c>
      <x:c r="AK313" s="81" t="inlineStr">
        <x:is>
          <x:t xml:space="preserve">Research Pool</x:t>
        </x:is>
      </x:c>
      <x:c r="AL313" s="81" t="n">
        <x:v>3</x:v>
      </x:c>
      <x:c r="AM313" s="81" t="inlineStr">
        <x:is>
          <x:t xml:space="preserve">ChatGPT research</x:t>
        </x:is>
      </x:c>
      <x:c r="AN313" s="81" t="inlineStr">
        <x:is>
          <x:t xml:space="preserve">2026-09-18</x:t>
        </x:is>
      </x:c>
      <x:c r="AO313" s="81" t="inlineStr">
        <x:is>
          <x:t xml:space="preserve">Day 3 full-scope audit, chapters 51–81.</x:t>
        </x:is>
      </x:c>
    </x:row>
    <x:row r="314">
      <x:c r="A314" s="81" t="inlineStr">
        <x:is>
          <x:t xml:space="preserve">research.laozi.day3.ch81.132</x:t>
        </x:is>
      </x:c>
      <x:c r="B314" s="81" t="inlineStr">
        <x:is>
          <x:t xml:space="preserve">Collected</x:t>
        </x:is>
      </x:c>
      <x:c r="C314" s="81" t="inlineStr">
        <x:is>
          <x:t xml:space="preserve">AI &amp; tương lai</x:t>
        </x:is>
      </x:c>
      <x:c r="D314" s="81" t="inlineStr">
        <x:is>
          <x:t xml:space="preserve">Day 3 / Laozi 51–81</x:t>
        </x:is>
      </x:c>
      <x:c r="E314" s="81" t="str"/>
      <x:c r="F314" s="81" t="inlineStr">
        <x:is>
          <x:t xml:space="preserve">Khả năng thuyết phục không đồng nghĩa đúng</x:t>
        </x:is>
      </x:c>
      <x:c r="G314" s="81" t="inlineStr">
        <x:is>
          <x:t xml:space="preserve">Judgment</x:t>
        </x:is>
      </x:c>
      <x:c r="H314" s="81" t="str"/>
      <x:c r="I314" s="81" t="str"/>
      <x:c r="J314" s="81" t="str"/>
      <x:c r="K314" s="81" t="inlineStr">
        <x:is>
          <x:t xml:space="preserve">Distinguish</x:t>
        </x:is>
      </x:c>
      <x:c r="L314" s="81" t="inlineStr">
        <x:is>
          <x:t xml:space="preserve">Recognize</x:t>
        </x:is>
      </x:c>
      <x:c r="M314" s="81" t="inlineStr">
        <x:is>
          <x:t xml:space="preserve">Trích đoạn triết học</x:t>
        </x:is>
      </x:c>
      <x:c r="N314" s="81" t="inlineStr">
        <x:is>
          <x:t xml:space="preserve">善者不辯，辯者不善。</x:t>
        </x:is>
      </x:c>
      <x:c r="O314" s="81" t="inlineStr">
        <x:is>
          <x:t xml:space="preserve">Classical Chinese (文言文)</x:t>
        </x:is>
      </x:c>
      <x:c r="P314" s="81" t="inlineStr">
        <x:is>
          <x:t xml:space="preserve">Điều tốt không nhất thiết thắng bằng tranh biện; tranh biện giỏi không tự chứng minh điều tốt.</x:t>
        </x:is>
      </x:c>
      <x:c r="Q314" s="81" t="inlineStr">
        <x:is>
          <x:t xml:space="preserve">Laozi / 老子</x:t>
        </x:is>
      </x:c>
      <x:c r="R314" s="81" t="inlineStr">
        <x:is>
          <x:t xml:space="preserve">Taoism</x:t>
        </x:is>
      </x:c>
      <x:c r="S314" s="81" t="inlineStr">
        <x:is>
          <x:t xml:space="preserve">道德經 / Tao Te Ching</x:t>
        </x:is>
      </x:c>
      <x:c r="T314" s="81" t="inlineStr">
        <x:is>
          <x:t xml:space="preserve">Chapter 81</x:t>
        </x:is>
      </x:c>
      <x:c r="U314" s="81" t="inlineStr">
        <x:is>
          <x:t xml:space="preserve">https://zh.wikisource.org/zh-hant/%E9%81%93%E5%BE%B7%E7%B6%93_(%E7%8E%8B%E5%BC%BC%E6%9C%AC)</x:t>
        </x:is>
      </x:c>
      <x:c r="V314" s="81" t="inlineStr">
        <x:is>
          <x:t xml:space="preserve">Primary text</x:t>
        </x:is>
      </x:c>
      <x:c r="W314" s="81" t="inlineStr">
        <x:is>
          <x:t xml:space="preserve">Working translation</x:t>
        </x:is>
      </x:c>
      <x:c r="X314" s="81" t="inlineStr">
        <x:is>
          <x:t xml:space="preserve">A - Primary source</x:t>
        </x:is>
      </x:c>
      <x:c r="Y314" s="81" t="inlineStr">
        <x:is>
          <x:t xml:space="preserve">Original Chinese checked against Wang Bi recension on Chinese Wikisource. Vietnamese is Selflo working translation, not a published translation.</x:t>
        </x:is>
      </x:c>
      <x:c r="Z314" s="81" t="inlineStr">
        <x:is>
          <x:t xml:space="preserve">Public domain / likely</x:t>
        </x:is>
      </x:c>
      <x:c r="AA314" s="81" t="inlineStr">
        <x:is>
          <x:t xml:space="preserve">Ancient source text; verify edition/jurisdiction before commercial publication.</x:t>
        </x:is>
      </x:c>
      <x:c r="AB314" s="81" t="inlineStr">
        <x:is>
          <x:t xml:space="preserve">High</x:t>
        </x:is>
      </x:c>
      <x:c r="AC314" s="81" t="inlineStr">
        <x:is>
          <x:t xml:space="preserve">Strong.</x:t>
        </x:is>
      </x:c>
      <x:c r="AD314" s="81" t="inlineStr">
        <x:is>
          <x:t xml:space="preserve">Needs editorial review</x:t>
        </x:is>
      </x:c>
      <x:c r="AE314" s="81" t="inlineStr">
        <x:is>
          <x:t xml:space="preserve">Needs semantic dedupe review</x:t>
        </x:is>
      </x:c>
      <x:c r="AF314" s="81" t="str"/>
      <x:c r="AG314" s="81" t="str"/>
      <x:c r="AH314" s="81" t="inlineStr">
        <x:is>
          <x:t xml:space="preserve">No</x:t>
        </x:is>
      </x:c>
      <x:c r="AI314" s="81" t="inlineStr">
        <x:is>
          <x:t xml:space="preserve">Not reviewed</x:t>
        </x:is>
      </x:c>
      <x:c r="AJ314" s="81" t="inlineStr">
        <x:is>
          <x:t xml:space="preserve">Research only</x:t>
        </x:is>
      </x:c>
      <x:c r="AK314" s="81" t="inlineStr">
        <x:is>
          <x:t xml:space="preserve">Research Pool</x:t>
        </x:is>
      </x:c>
      <x:c r="AL314" s="81" t="n">
        <x:v>3</x:v>
      </x:c>
      <x:c r="AM314" s="81" t="inlineStr">
        <x:is>
          <x:t xml:space="preserve">ChatGPT research</x:t>
        </x:is>
      </x:c>
      <x:c r="AN314" s="81" t="inlineStr">
        <x:is>
          <x:t xml:space="preserve">2026-09-18</x:t>
        </x:is>
      </x:c>
      <x:c r="AO314" s="81" t="inlineStr">
        <x:is>
          <x:t xml:space="preserve">Day 3 full-scope audit, chapters 51–81.</x:t>
        </x:is>
      </x:c>
    </x:row>
    <x:row r="315">
      <x:c r="A315" s="81" t="inlineStr">
        <x:is>
          <x:t xml:space="preserve">research.laozi.day3.ch81.133</x:t>
        </x:is>
      </x:c>
      <x:c r="B315" s="81" t="inlineStr">
        <x:is>
          <x:t xml:space="preserve">Collected</x:t>
        </x:is>
      </x:c>
      <x:c r="C315" s="81" t="inlineStr">
        <x:is>
          <x:t xml:space="preserve">AI &amp; tương lai</x:t>
        </x:is>
      </x:c>
      <x:c r="D315" s="81" t="inlineStr">
        <x:is>
          <x:t xml:space="preserve">Day 3 / Laozi 51–81</x:t>
        </x:is>
      </x:c>
      <x:c r="E315" s="81" t="str"/>
      <x:c r="F315" s="81" t="inlineStr">
        <x:is>
          <x:t xml:space="preserve">Bề rộng thông tin khác chiều sâu hiểu biết</x:t>
        </x:is>
      </x:c>
      <x:c r="G315" s="81" t="inlineStr">
        <x:is>
          <x:t xml:space="preserve">Judgment</x:t>
        </x:is>
      </x:c>
      <x:c r="H315" s="81" t="str"/>
      <x:c r="I315" s="81" t="str"/>
      <x:c r="J315" s="81" t="str"/>
      <x:c r="K315" s="81" t="inlineStr">
        <x:is>
          <x:t xml:space="preserve">Distinguish</x:t>
        </x:is>
      </x:c>
      <x:c r="L315" s="81" t="inlineStr">
        <x:is>
          <x:t xml:space="preserve">Recognize</x:t>
        </x:is>
      </x:c>
      <x:c r="M315" s="81" t="inlineStr">
        <x:is>
          <x:t xml:space="preserve">Trích đoạn triết học</x:t>
        </x:is>
      </x:c>
      <x:c r="N315" s="81" t="inlineStr">
        <x:is>
          <x:t xml:space="preserve">知者不博，博者不知。</x:t>
        </x:is>
      </x:c>
      <x:c r="O315" s="81" t="inlineStr">
        <x:is>
          <x:t xml:space="preserve">Classical Chinese (文言文)</x:t>
        </x:is>
      </x:c>
      <x:c r="P315" s="81" t="inlineStr">
        <x:is>
          <x:t xml:space="preserve">Biết sâu không nhất thiết biết rộng; biết rộng không tự động thành hiểu sâu.</x:t>
        </x:is>
      </x:c>
      <x:c r="Q315" s="81" t="inlineStr">
        <x:is>
          <x:t xml:space="preserve">Laozi / 老子</x:t>
        </x:is>
      </x:c>
      <x:c r="R315" s="81" t="inlineStr">
        <x:is>
          <x:t xml:space="preserve">Taoism</x:t>
        </x:is>
      </x:c>
      <x:c r="S315" s="81" t="inlineStr">
        <x:is>
          <x:t xml:space="preserve">道德經 / Tao Te Ching</x:t>
        </x:is>
      </x:c>
      <x:c r="T315" s="81" t="inlineStr">
        <x:is>
          <x:t xml:space="preserve">Chapter 81</x:t>
        </x:is>
      </x:c>
      <x:c r="U315" s="81" t="inlineStr">
        <x:is>
          <x:t xml:space="preserve">https://zh.wikisource.org/zh-hant/%E9%81%93%E5%BE%B7%E7%B6%93_(%E7%8E%8B%E5%BC%BC%E6%9C%AC)</x:t>
        </x:is>
      </x:c>
      <x:c r="V315" s="81" t="inlineStr">
        <x:is>
          <x:t xml:space="preserve">Primary text</x:t>
        </x:is>
      </x:c>
      <x:c r="W315" s="81" t="inlineStr">
        <x:is>
          <x:t xml:space="preserve">Working translation</x:t>
        </x:is>
      </x:c>
      <x:c r="X315" s="81" t="inlineStr">
        <x:is>
          <x:t xml:space="preserve">A - Primary source</x:t>
        </x:is>
      </x:c>
      <x:c r="Y315" s="81" t="inlineStr">
        <x:is>
          <x:t xml:space="preserve">Original Chinese checked against Wang Bi recension on Chinese Wikisource. Vietnamese is Selflo working translation, not a published translation.</x:t>
        </x:is>
      </x:c>
      <x:c r="Z315" s="81" t="inlineStr">
        <x:is>
          <x:t xml:space="preserve">Public domain / likely</x:t>
        </x:is>
      </x:c>
      <x:c r="AA315" s="81" t="inlineStr">
        <x:is>
          <x:t xml:space="preserve">Ancient source text; verify edition/jurisdiction before commercial publication.</x:t>
        </x:is>
      </x:c>
      <x:c r="AB315" s="81" t="inlineStr">
        <x:is>
          <x:t xml:space="preserve">High</x:t>
        </x:is>
      </x:c>
      <x:c r="AC315" s="81" t="inlineStr">
        <x:is>
          <x:t xml:space="preserve">Extremely AI-age.</x:t>
        </x:is>
      </x:c>
      <x:c r="AD315" s="81" t="inlineStr">
        <x:is>
          <x:t xml:space="preserve">Needs editorial review</x:t>
        </x:is>
      </x:c>
      <x:c r="AE315" s="81" t="inlineStr">
        <x:is>
          <x:t xml:space="preserve">Needs semantic dedupe review</x:t>
        </x:is>
      </x:c>
      <x:c r="AF315" s="81" t="str"/>
      <x:c r="AG315" s="81" t="str"/>
      <x:c r="AH315" s="81" t="inlineStr">
        <x:is>
          <x:t xml:space="preserve">No</x:t>
        </x:is>
      </x:c>
      <x:c r="AI315" s="81" t="inlineStr">
        <x:is>
          <x:t xml:space="preserve">Not reviewed</x:t>
        </x:is>
      </x:c>
      <x:c r="AJ315" s="81" t="inlineStr">
        <x:is>
          <x:t xml:space="preserve">Research only</x:t>
        </x:is>
      </x:c>
      <x:c r="AK315" s="81" t="inlineStr">
        <x:is>
          <x:t xml:space="preserve">Research Pool</x:t>
        </x:is>
      </x:c>
      <x:c r="AL315" s="81" t="n">
        <x:v>3</x:v>
      </x:c>
      <x:c r="AM315" s="81" t="inlineStr">
        <x:is>
          <x:t xml:space="preserve">ChatGPT research</x:t>
        </x:is>
      </x:c>
      <x:c r="AN315" s="81" t="inlineStr">
        <x:is>
          <x:t xml:space="preserve">2026-09-18</x:t>
        </x:is>
      </x:c>
      <x:c r="AO315" s="81" t="inlineStr">
        <x:is>
          <x:t xml:space="preserve">Day 3 full-scope audit, chapters 51–81.</x:t>
        </x:is>
      </x:c>
    </x:row>
    <x:row r="316">
      <x:c r="A316" s="81" t="inlineStr">
        <x:is>
          <x:t xml:space="preserve">research.laozi.day3.ch81.134</x:t>
        </x:is>
      </x:c>
      <x:c r="B316" s="81" t="inlineStr">
        <x:is>
          <x:t xml:space="preserve">Collected</x:t>
        </x:is>
      </x:c>
      <x:c r="C316" s="81" t="inlineStr">
        <x:is>
          <x:t xml:space="preserve">Nội tâm &amp; hiểu mình</x:t>
        </x:is>
      </x:c>
      <x:c r="D316" s="81" t="inlineStr">
        <x:is>
          <x:t xml:space="preserve">Day 3 / Laozi 51–81</x:t>
        </x:is>
      </x:c>
      <x:c r="E316" s="81" t="str"/>
      <x:c r="F316" s="81" t="inlineStr">
        <x:is>
          <x:t xml:space="preserve">Tích lũy nhiều không phải thước đo duy nhất</x:t>
        </x:is>
      </x:c>
      <x:c r="G316" s="81" t="inlineStr">
        <x:is>
          <x:t xml:space="preserve">Enoughness</x:t>
        </x:is>
      </x:c>
      <x:c r="H316" s="81" t="str"/>
      <x:c r="I316" s="81" t="str"/>
      <x:c r="J316" s="81" t="str"/>
      <x:c r="K316" s="81" t="inlineStr">
        <x:is>
          <x:t xml:space="preserve">Distinguish</x:t>
        </x:is>
      </x:c>
      <x:c r="L316" s="81" t="inlineStr">
        <x:is>
          <x:t xml:space="preserve">Recognize</x:t>
        </x:is>
      </x:c>
      <x:c r="M316" s="81" t="inlineStr">
        <x:is>
          <x:t xml:space="preserve">Trích đoạn triết học</x:t>
        </x:is>
      </x:c>
      <x:c r="N316" s="81" t="inlineStr">
        <x:is>
          <x:t xml:space="preserve">聖人不積。</x:t>
        </x:is>
      </x:c>
      <x:c r="O316" s="81" t="inlineStr">
        <x:is>
          <x:t xml:space="preserve">Classical Chinese (文言文)</x:t>
        </x:is>
      </x:c>
      <x:c r="P316" s="81" t="inlineStr">
        <x:is>
          <x:t xml:space="preserve">Người sáng không lấy tích lũy làm mục tiêu tự thân.</x:t>
        </x:is>
      </x:c>
      <x:c r="Q316" s="81" t="inlineStr">
        <x:is>
          <x:t xml:space="preserve">Laozi / 老子</x:t>
        </x:is>
      </x:c>
      <x:c r="R316" s="81" t="inlineStr">
        <x:is>
          <x:t xml:space="preserve">Taoism</x:t>
        </x:is>
      </x:c>
      <x:c r="S316" s="81" t="inlineStr">
        <x:is>
          <x:t xml:space="preserve">道德經 / Tao Te Ching</x:t>
        </x:is>
      </x:c>
      <x:c r="T316" s="81" t="inlineStr">
        <x:is>
          <x:t xml:space="preserve">Chapter 81</x:t>
        </x:is>
      </x:c>
      <x:c r="U316" s="81" t="inlineStr">
        <x:is>
          <x:t xml:space="preserve">https://zh.wikisource.org/zh-hant/%E9%81%93%E5%BE%B7%E7%B6%93_(%E7%8E%8B%E5%BC%BC%E6%9C%AC)</x:t>
        </x:is>
      </x:c>
      <x:c r="V316" s="81" t="inlineStr">
        <x:is>
          <x:t xml:space="preserve">Primary text</x:t>
        </x:is>
      </x:c>
      <x:c r="W316" s="81" t="inlineStr">
        <x:is>
          <x:t xml:space="preserve">Working translation</x:t>
        </x:is>
      </x:c>
      <x:c r="X316" s="81" t="inlineStr">
        <x:is>
          <x:t xml:space="preserve">A - Primary source</x:t>
        </x:is>
      </x:c>
      <x:c r="Y316" s="81" t="inlineStr">
        <x:is>
          <x:t xml:space="preserve">Original Chinese checked against Wang Bi recension on Chinese Wikisource. Vietnamese is Selflo working translation, not a published translation.</x:t>
        </x:is>
      </x:c>
      <x:c r="Z316" s="81" t="inlineStr">
        <x:is>
          <x:t xml:space="preserve">Public domain / likely</x:t>
        </x:is>
      </x:c>
      <x:c r="AA316" s="81" t="inlineStr">
        <x:is>
          <x:t xml:space="preserve">Ancient source text; verify edition/jurisdiction before commercial publication.</x:t>
        </x:is>
      </x:c>
      <x:c r="AB316" s="81" t="inlineStr">
        <x:is>
          <x:t xml:space="preserve">High</x:t>
        </x:is>
      </x:c>
      <x:c r="AC316" s="81" t="inlineStr">
        <x:is>
          <x:t xml:space="preserve">Strong.</x:t>
        </x:is>
      </x:c>
      <x:c r="AD316" s="81" t="inlineStr">
        <x:is>
          <x:t xml:space="preserve">Needs editorial review</x:t>
        </x:is>
      </x:c>
      <x:c r="AE316" s="81" t="inlineStr">
        <x:is>
          <x:t xml:space="preserve">Needs semantic dedupe review</x:t>
        </x:is>
      </x:c>
      <x:c r="AF316" s="81" t="str"/>
      <x:c r="AG316" s="81" t="str"/>
      <x:c r="AH316" s="81" t="inlineStr">
        <x:is>
          <x:t xml:space="preserve">No</x:t>
        </x:is>
      </x:c>
      <x:c r="AI316" s="81" t="inlineStr">
        <x:is>
          <x:t xml:space="preserve">Not reviewed</x:t>
        </x:is>
      </x:c>
      <x:c r="AJ316" s="81" t="inlineStr">
        <x:is>
          <x:t xml:space="preserve">Research only</x:t>
        </x:is>
      </x:c>
      <x:c r="AK316" s="81" t="inlineStr">
        <x:is>
          <x:t xml:space="preserve">Research Pool</x:t>
        </x:is>
      </x:c>
      <x:c r="AL316" s="81" t="n">
        <x:v>3</x:v>
      </x:c>
      <x:c r="AM316" s="81" t="inlineStr">
        <x:is>
          <x:t xml:space="preserve">ChatGPT research</x:t>
        </x:is>
      </x:c>
      <x:c r="AN316" s="81" t="inlineStr">
        <x:is>
          <x:t xml:space="preserve">2026-09-18</x:t>
        </x:is>
      </x:c>
      <x:c r="AO316" s="81" t="inlineStr">
        <x:is>
          <x:t xml:space="preserve">Day 3 full-scope audit, chapters 51–81.</x:t>
        </x:is>
      </x:c>
    </x:row>
    <x:row r="317">
      <x:c r="A317" s="81" t="inlineStr">
        <x:is>
          <x:t xml:space="preserve">research.laozi.day3.ch81.135</x:t>
        </x:is>
      </x:c>
      <x:c r="B317" s="81" t="inlineStr">
        <x:is>
          <x:t xml:space="preserve">Collected</x:t>
        </x:is>
      </x:c>
      <x:c r="C317" s="81" t="inlineStr">
        <x:is>
          <x:t xml:space="preserve">Nội tâm &amp; hiểu mình</x:t>
        </x:is>
      </x:c>
      <x:c r="D317" s="81" t="inlineStr">
        <x:is>
          <x:t xml:space="preserve">Day 3 / Laozi 51–81</x:t>
        </x:is>
      </x:c>
      <x:c r="E317" s="81" t="str"/>
      <x:c r="F317" s="81" t="inlineStr">
        <x:is>
          <x:t xml:space="preserve">Cho đi có thể tạo giá trị không theo logic khan hiếm đơn giản</x:t>
        </x:is>
      </x:c>
      <x:c r="G317" s="81" t="inlineStr">
        <x:is>
          <x:t xml:space="preserve">Connection</x:t>
        </x:is>
      </x:c>
      <x:c r="H317" s="81" t="str"/>
      <x:c r="I317" s="81" t="str"/>
      <x:c r="J317" s="81" t="str"/>
      <x:c r="K317" s="81" t="inlineStr">
        <x:is>
          <x:t xml:space="preserve">Reframe</x:t>
        </x:is>
      </x:c>
      <x:c r="L317" s="81" t="inlineStr">
        <x:is>
          <x:t xml:space="preserve">Distinguish</x:t>
        </x:is>
      </x:c>
      <x:c r="M317" s="81" t="inlineStr">
        <x:is>
          <x:t xml:space="preserve">Trích đoạn triết học</x:t>
        </x:is>
      </x:c>
      <x:c r="N317" s="81" t="inlineStr">
        <x:is>
          <x:t xml:space="preserve">既以為人己愈有，既以與人己愈多。</x:t>
        </x:is>
      </x:c>
      <x:c r="O317" s="81" t="inlineStr">
        <x:is>
          <x:t xml:space="preserve">Classical Chinese (文言文)</x:t>
        </x:is>
      </x:c>
      <x:c r="P317" s="81" t="inlineStr">
        <x:is>
          <x:t xml:space="preserve">Càng dùng điều mình có để giúp người, văn bản nói mình càng có; càng cho đi, mình càng phong phú.</x:t>
        </x:is>
      </x:c>
      <x:c r="Q317" s="81" t="inlineStr">
        <x:is>
          <x:t xml:space="preserve">Laozi / 老子</x:t>
        </x:is>
      </x:c>
      <x:c r="R317" s="81" t="inlineStr">
        <x:is>
          <x:t xml:space="preserve">Taoism</x:t>
        </x:is>
      </x:c>
      <x:c r="S317" s="81" t="inlineStr">
        <x:is>
          <x:t xml:space="preserve">道德經 / Tao Te Ching</x:t>
        </x:is>
      </x:c>
      <x:c r="T317" s="81" t="inlineStr">
        <x:is>
          <x:t xml:space="preserve">Chapter 81</x:t>
        </x:is>
      </x:c>
      <x:c r="U317" s="81" t="inlineStr">
        <x:is>
          <x:t xml:space="preserve">https://zh.wikisource.org/zh-hant/%E9%81%93%E5%BE%B7%E7%B6%93_(%E7%8E%8B%E5%BC%BC%E6%9C%AC)</x:t>
        </x:is>
      </x:c>
      <x:c r="V317" s="81" t="inlineStr">
        <x:is>
          <x:t xml:space="preserve">Primary text</x:t>
        </x:is>
      </x:c>
      <x:c r="W317" s="81" t="inlineStr">
        <x:is>
          <x:t xml:space="preserve">Working translation</x:t>
        </x:is>
      </x:c>
      <x:c r="X317" s="81" t="inlineStr">
        <x:is>
          <x:t xml:space="preserve">A - Primary source</x:t>
        </x:is>
      </x:c>
      <x:c r="Y317" s="81" t="inlineStr">
        <x:is>
          <x:t xml:space="preserve">Original Chinese checked against Wang Bi recension on Chinese Wikisource. Vietnamese is Selflo working translation, not a published translation.</x:t>
        </x:is>
      </x:c>
      <x:c r="Z317" s="81" t="inlineStr">
        <x:is>
          <x:t xml:space="preserve">Public domain / likely</x:t>
        </x:is>
      </x:c>
      <x:c r="AA317" s="81" t="inlineStr">
        <x:is>
          <x:t xml:space="preserve">Ancient source text; verify edition/jurisdiction before commercial publication.</x:t>
        </x:is>
      </x:c>
      <x:c r="AB317" s="81" t="inlineStr">
        <x:is>
          <x:t xml:space="preserve">Medium</x:t>
        </x:is>
      </x:c>
      <x:c r="AC317" s="81" t="inlineStr">
        <x:is>
          <x:t xml:space="preserve">Not financial claim.</x:t>
        </x:is>
      </x:c>
      <x:c r="AD317" s="81" t="inlineStr">
        <x:is>
          <x:t xml:space="preserve">Needs editorial review</x:t>
        </x:is>
      </x:c>
      <x:c r="AE317" s="81" t="inlineStr">
        <x:is>
          <x:t xml:space="preserve">Needs semantic dedupe review</x:t>
        </x:is>
      </x:c>
      <x:c r="AF317" s="81" t="str"/>
      <x:c r="AG317" s="81" t="str"/>
      <x:c r="AH317" s="81" t="inlineStr">
        <x:is>
          <x:t xml:space="preserve">No</x:t>
        </x:is>
      </x:c>
      <x:c r="AI317" s="81" t="inlineStr">
        <x:is>
          <x:t xml:space="preserve">Not reviewed</x:t>
        </x:is>
      </x:c>
      <x:c r="AJ317" s="81" t="inlineStr">
        <x:is>
          <x:t xml:space="preserve">Research only</x:t>
        </x:is>
      </x:c>
      <x:c r="AK317" s="81" t="inlineStr">
        <x:is>
          <x:t xml:space="preserve">Research Pool</x:t>
        </x:is>
      </x:c>
      <x:c r="AL317" s="81" t="n">
        <x:v>3</x:v>
      </x:c>
      <x:c r="AM317" s="81" t="inlineStr">
        <x:is>
          <x:t xml:space="preserve">ChatGPT research</x:t>
        </x:is>
      </x:c>
      <x:c r="AN317" s="81" t="inlineStr">
        <x:is>
          <x:t xml:space="preserve">2026-09-18</x:t>
        </x:is>
      </x:c>
      <x:c r="AO317" s="81" t="inlineStr">
        <x:is>
          <x:t xml:space="preserve">Day 3 full-scope audit, chapters 51–81.</x:t>
        </x:is>
      </x:c>
    </x:row>
    <x:row r="318">
      <x:c r="A318" s="81" t="inlineStr">
        <x:is>
          <x:t xml:space="preserve">research.laozi.day3.ch81.136</x:t>
        </x:is>
      </x:c>
      <x:c r="B318" s="81" t="inlineStr">
        <x:is>
          <x:t xml:space="preserve">Collected</x:t>
        </x:is>
      </x:c>
      <x:c r="C318" s="81" t="inlineStr">
        <x:is>
          <x:t xml:space="preserve">Nội tâm &amp; hiểu mình</x:t>
        </x:is>
      </x:c>
      <x:c r="D318" s="81" t="inlineStr">
        <x:is>
          <x:t xml:space="preserve">Day 3 / Laozi 51–81</x:t>
        </x:is>
      </x:c>
      <x:c r="E318" s="81" t="str"/>
      <x:c r="F318" s="81" t="inlineStr">
        <x:is>
          <x:t xml:space="preserve">Tạo giá trị mà không cần gây hại hay tranh hơn</x:t>
        </x:is>
      </x:c>
      <x:c r="G318" s="81" t="inlineStr">
        <x:is>
          <x:t xml:space="preserve">Values</x:t>
        </x:is>
      </x:c>
      <x:c r="H318" s="81" t="str"/>
      <x:c r="I318" s="81" t="str"/>
      <x:c r="J318" s="81" t="str"/>
      <x:c r="K318" s="81" t="inlineStr">
        <x:is>
          <x:t xml:space="preserve">Reframe</x:t>
        </x:is>
      </x:c>
      <x:c r="L318" s="81" t="inlineStr">
        <x:is>
          <x:t xml:space="preserve">Distinguish</x:t>
        </x:is>
      </x:c>
      <x:c r="M318" s="81" t="inlineStr">
        <x:is>
          <x:t xml:space="preserve">Trích đoạn triết học</x:t>
        </x:is>
      </x:c>
      <x:c r="N318" s="81" t="inlineStr">
        <x:is>
          <x:t xml:space="preserve">天之道，利而不害；聖人之道，為而不爭。</x:t>
        </x:is>
      </x:c>
      <x:c r="O318" s="81" t="inlineStr">
        <x:is>
          <x:t xml:space="preserve">Classical Chinese (文言文)</x:t>
        </x:is>
      </x:c>
      <x:c r="P318" s="81" t="inlineStr">
        <x:is>
          <x:t xml:space="preserve">Đường của trời làm lợi mà không hại; đường của người sáng làm mà không tranh.</x:t>
        </x:is>
      </x:c>
      <x:c r="Q318" s="81" t="inlineStr">
        <x:is>
          <x:t xml:space="preserve">Laozi / 老子</x:t>
        </x:is>
      </x:c>
      <x:c r="R318" s="81" t="inlineStr">
        <x:is>
          <x:t xml:space="preserve">Taoism</x:t>
        </x:is>
      </x:c>
      <x:c r="S318" s="81" t="inlineStr">
        <x:is>
          <x:t xml:space="preserve">道德經 / Tao Te Ching</x:t>
        </x:is>
      </x:c>
      <x:c r="T318" s="81" t="inlineStr">
        <x:is>
          <x:t xml:space="preserve">Chapter 81</x:t>
        </x:is>
      </x:c>
      <x:c r="U318" s="81" t="inlineStr">
        <x:is>
          <x:t xml:space="preserve">https://zh.wikisource.org/zh-hant/%E9%81%93%E5%BE%B7%E7%B6%93_(%E7%8E%8B%E5%BC%BC%E6%9C%AC)</x:t>
        </x:is>
      </x:c>
      <x:c r="V318" s="81" t="inlineStr">
        <x:is>
          <x:t xml:space="preserve">Primary text</x:t>
        </x:is>
      </x:c>
      <x:c r="W318" s="81" t="inlineStr">
        <x:is>
          <x:t xml:space="preserve">Working translation</x:t>
        </x:is>
      </x:c>
      <x:c r="X318" s="81" t="inlineStr">
        <x:is>
          <x:t xml:space="preserve">A - Primary source</x:t>
        </x:is>
      </x:c>
      <x:c r="Y318" s="81" t="inlineStr">
        <x:is>
          <x:t xml:space="preserve">Original Chinese checked against Wang Bi recension on Chinese Wikisource. Vietnamese is Selflo working translation, not a published translation.</x:t>
        </x:is>
      </x:c>
      <x:c r="Z318" s="81" t="inlineStr">
        <x:is>
          <x:t xml:space="preserve">Public domain / likely</x:t>
        </x:is>
      </x:c>
      <x:c r="AA318" s="81" t="inlineStr">
        <x:is>
          <x:t xml:space="preserve">Ancient source text; verify edition/jurisdiction before commercial publication.</x:t>
        </x:is>
      </x:c>
      <x:c r="AB318" s="81" t="inlineStr">
        <x:is>
          <x:t xml:space="preserve">High</x:t>
        </x:is>
      </x:c>
      <x:c r="AC318" s="81" t="inlineStr">
        <x:is>
          <x:t xml:space="preserve">Closing principle.</x:t>
        </x:is>
      </x:c>
      <x:c r="AD318" s="81" t="inlineStr">
        <x:is>
          <x:t xml:space="preserve">Needs editorial review</x:t>
        </x:is>
      </x:c>
      <x:c r="AE318" s="81" t="inlineStr">
        <x:is>
          <x:t xml:space="preserve">Needs semantic dedupe review</x:t>
        </x:is>
      </x:c>
      <x:c r="AF318" s="81" t="str"/>
      <x:c r="AG318" s="81" t="str"/>
      <x:c r="AH318" s="81" t="inlineStr">
        <x:is>
          <x:t xml:space="preserve">No</x:t>
        </x:is>
      </x:c>
      <x:c r="AI318" s="81" t="inlineStr">
        <x:is>
          <x:t xml:space="preserve">Not reviewed</x:t>
        </x:is>
      </x:c>
      <x:c r="AJ318" s="81" t="inlineStr">
        <x:is>
          <x:t xml:space="preserve">Research only</x:t>
        </x:is>
      </x:c>
      <x:c r="AK318" s="81" t="inlineStr">
        <x:is>
          <x:t xml:space="preserve">Research Pool</x:t>
        </x:is>
      </x:c>
      <x:c r="AL318" s="81" t="n">
        <x:v>3</x:v>
      </x:c>
      <x:c r="AM318" s="81" t="inlineStr">
        <x:is>
          <x:t xml:space="preserve">ChatGPT research</x:t>
        </x:is>
      </x:c>
      <x:c r="AN318" s="81" t="inlineStr">
        <x:is>
          <x:t xml:space="preserve">2026-09-18</x:t>
        </x:is>
      </x:c>
      <x:c r="AO318" s="81" t="inlineStr">
        <x:is>
          <x:t xml:space="preserve">Day 3 full-scope audit, chapters 51–81.</x:t>
        </x:is>
      </x:c>
    </x:row>
    <x:row r="319">
      <x:c r="A319" s="81" t="inlineStr">
        <x:is>
          <x:t xml:space="preserve">research.zhuangzi.day4.ch01.001</x:t>
        </x:is>
      </x:c>
      <x:c r="B319" s="81" t="inlineStr">
        <x:is>
          <x:t xml:space="preserve">Collected</x:t>
        </x:is>
      </x:c>
      <x:c r="C319" s="81" t="inlineStr">
        <x:is>
          <x:t xml:space="preserve">Nội tâm &amp; hiểu mình</x:t>
        </x:is>
      </x:c>
      <x:c r="D319" s="81" t="inlineStr">
        <x:is>
          <x:t xml:space="preserve">Day 4 / Zhuangzi Inner Chapters 1–7</x:t>
        </x:is>
      </x:c>
      <x:c r="E319" s="81" t="str"/>
      <x:c r="F319" s="81" t="inlineStr">
        <x:is>
          <x:t xml:space="preserve">Một việc lớn cần điều kiện tương xứng</x:t>
        </x:is>
      </x:c>
      <x:c r="G319" s="81" t="inlineStr">
        <x:is>
          <x:t xml:space="preserve">Context</x:t>
        </x:is>
      </x:c>
      <x:c r="H319" s="81" t="str"/>
      <x:c r="I319" s="81" t="str"/>
      <x:c r="J319" s="81" t="str"/>
      <x:c r="K319" s="81" t="inlineStr">
        <x:is>
          <x:t xml:space="preserve">Recognize</x:t>
        </x:is>
      </x:c>
      <x:c r="L319" s="81" t="inlineStr">
        <x:is>
          <x:t xml:space="preserve">Distinguish</x:t>
        </x:is>
      </x:c>
      <x:c r="M319" s="81" t="inlineStr">
        <x:is>
          <x:t xml:space="preserve">Trích đoạn triết học /寓言</x:t>
        </x:is>
      </x:c>
      <x:c r="N319" s="81" t="inlineStr">
        <x:is>
          <x:t xml:space="preserve">水之積也不厚，則其負大舟也无力。</x:t>
        </x:is>
      </x:c>
      <x:c r="O319" s="81" t="inlineStr">
        <x:is>
          <x:t xml:space="preserve">Classical Chinese (文言文)</x:t>
        </x:is>
      </x:c>
      <x:c r="P319" s="81" t="inlineStr">
        <x:is>
          <x:t xml:space="preserve">Nước tích chưa đủ sâu thì chưa đủ sức nâng một con thuyền lớn.</x:t>
        </x:is>
      </x:c>
      <x:c r="Q319" s="81" t="inlineStr">
        <x:is>
          <x:t xml:space="preserve">Zhuangzi / 莊子 (Inner Chapters attribution)</x:t>
        </x:is>
      </x:c>
      <x:c r="R319" s="81" t="inlineStr">
        <x:is>
          <x:t xml:space="preserve">Daoist / China</x:t>
        </x:is>
      </x:c>
      <x:c r="S319" s="81" t="inlineStr">
        <x:is>
          <x:t xml:space="preserve">莊子 / Zhuangzi</x:t>
        </x:is>
      </x:c>
      <x:c r="T319" s="81" t="inlineStr">
        <x:is>
          <x:t xml:space="preserve">Inner Chapter 1 — 逍遙遊</x:t>
        </x:is>
      </x:c>
      <x:c r="U319" s="81" t="inlineStr">
        <x:is>
          <x:t xml:space="preserve">https://zh.wikisource.org/wiki/%E8%8E%8A%E5%AD%90/%E9%80%8D%E9%81%99%E9%81%8A</x:t>
        </x:is>
      </x:c>
      <x:c r="V319" s="81" t="inlineStr">
        <x:is>
          <x:t xml:space="preserve">Primary text</x:t>
        </x:is>
      </x:c>
      <x:c r="W319" s="81" t="inlineStr">
        <x:is>
          <x:t xml:space="preserve">Working translation</x:t>
        </x:is>
      </x:c>
      <x:c r="X319" s="81" t="inlineStr">
        <x:is>
          <x:t xml:space="preserve">A - Primary source</x:t>
        </x:is>
      </x:c>
      <x:c r="Y319" s="81" t="inlineStr">
        <x:is>
          <x:t xml:space="preserve">Original Chinese checked against Chinese Wikisource; chapter structure cross-checked with Chinese Text Project. Vietnamese is Selflo working translation, not a published translation.</x:t>
        </x:is>
      </x:c>
      <x:c r="Z319" s="81" t="inlineStr">
        <x:is>
          <x:t xml:space="preserve">Public domain / likely</x:t>
        </x:is>
      </x:c>
      <x:c r="AA319" s="81" t="inlineStr">
        <x:is>
          <x:t xml:space="preserve">Ancient source text is public domain; verify edition/attribution and jurisdiction before commercial publication.</x:t>
        </x:is>
      </x:c>
      <x:c r="AB319" s="81" t="inlineStr">
        <x:is>
          <x:t xml:space="preserve">High</x:t>
        </x:is>
      </x:c>
      <x:c r="AC319" s="81" t="inlineStr">
        <x:is>
          <x:t xml:space="preserve">Rất hợp Selflo: capacity/context trước self-blame.</x:t>
        </x:is>
      </x:c>
      <x:c r="AD319" s="81" t="inlineStr">
        <x:is>
          <x:t xml:space="preserve">Needs editorial review</x:t>
        </x:is>
      </x:c>
      <x:c r="AE319" s="81" t="inlineStr">
        <x:is>
          <x:t xml:space="preserve">Needs semantic dedupe review</x:t>
        </x:is>
      </x:c>
      <x:c r="AF319" s="81" t="str"/>
      <x:c r="AG319" s="81" t="str"/>
      <x:c r="AH319" s="81" t="inlineStr">
        <x:is>
          <x:t xml:space="preserve">No</x:t>
        </x:is>
      </x:c>
      <x:c r="AI319" s="81" t="inlineStr">
        <x:is>
          <x:t xml:space="preserve">Not reviewed</x:t>
        </x:is>
      </x:c>
      <x:c r="AJ319" s="81" t="inlineStr">
        <x:is>
          <x:t xml:space="preserve">Research only</x:t>
        </x:is>
      </x:c>
      <x:c r="AK319" s="81" t="inlineStr">
        <x:is>
          <x:t xml:space="preserve">Research Pool</x:t>
        </x:is>
      </x:c>
      <x:c r="AL319" s="81" t="n">
        <x:v>4</x:v>
      </x:c>
      <x:c r="AM319" s="81" t="inlineStr">
        <x:is>
          <x:t xml:space="preserve">ChatGPT research</x:t>
        </x:is>
      </x:c>
      <x:c r="AN319" s="81" t="inlineStr">
        <x:is>
          <x:t xml:space="preserve">2026-09-18</x:t>
        </x:is>
      </x:c>
      <x:c r="AO319" s="81" t="inlineStr">
        <x:is>
          <x:t xml:space="preserve">Day 4 full-scope audit of Zhuangzi Inner Chapters 1–7.</x:t>
        </x:is>
      </x:c>
    </x:row>
    <x:row r="320">
      <x:c r="A320" s="81" t="inlineStr">
        <x:is>
          <x:t xml:space="preserve">research.zhuangzi.day4.ch01.002</x:t>
        </x:is>
      </x:c>
      <x:c r="B320" s="81" t="inlineStr">
        <x:is>
          <x:t xml:space="preserve">Collected</x:t>
        </x:is>
      </x:c>
      <x:c r="C320" s="81" t="inlineStr">
        <x:is>
          <x:t xml:space="preserve">Nội tâm &amp; hiểu mình</x:t>
        </x:is>
      </x:c>
      <x:c r="D320" s="81" t="inlineStr">
        <x:is>
          <x:t xml:space="preserve">Day 4 / Zhuangzi Inner Chapters 1–7</x:t>
        </x:is>
      </x:c>
      <x:c r="E320" s="81" t="str"/>
      <x:c r="F320" s="81" t="inlineStr">
        <x:is>
          <x:t xml:space="preserve">Khả năng chưa xuất hiện có thể vì điều kiện chưa đủ</x:t>
        </x:is>
      </x:c>
      <x:c r="G320" s="81" t="inlineStr">
        <x:is>
          <x:t xml:space="preserve">Capacity</x:t>
        </x:is>
      </x:c>
      <x:c r="H320" s="81" t="str"/>
      <x:c r="I320" s="81" t="str"/>
      <x:c r="J320" s="81" t="str"/>
      <x:c r="K320" s="81" t="inlineStr">
        <x:is>
          <x:t xml:space="preserve">Reframe</x:t>
        </x:is>
      </x:c>
      <x:c r="L320" s="81" t="inlineStr">
        <x:is>
          <x:t xml:space="preserve">Recognize</x:t>
        </x:is>
      </x:c>
      <x:c r="M320" s="81" t="inlineStr">
        <x:is>
          <x:t xml:space="preserve">Trích đoạn triết học /寓言</x:t>
        </x:is>
      </x:c>
      <x:c r="N320" s="81" t="inlineStr">
        <x:is>
          <x:t xml:space="preserve">風之積也不厚，則其負大翼也无力。</x:t>
        </x:is>
      </x:c>
      <x:c r="O320" s="81" t="inlineStr">
        <x:is>
          <x:t xml:space="preserve">Classical Chinese (文言文)</x:t>
        </x:is>
      </x:c>
      <x:c r="P320" s="81" t="inlineStr">
        <x:is>
          <x:t xml:space="preserve">Gió tích chưa đủ dày thì chưa đủ sức nâng đôi cánh lớn.</x:t>
        </x:is>
      </x:c>
      <x:c r="Q320" s="81" t="inlineStr">
        <x:is>
          <x:t xml:space="preserve">Zhuangzi / 莊子 (Inner Chapters attribution)</x:t>
        </x:is>
      </x:c>
      <x:c r="R320" s="81" t="inlineStr">
        <x:is>
          <x:t xml:space="preserve">Daoist / China</x:t>
        </x:is>
      </x:c>
      <x:c r="S320" s="81" t="inlineStr">
        <x:is>
          <x:t xml:space="preserve">莊子 / Zhuangzi</x:t>
        </x:is>
      </x:c>
      <x:c r="T320" s="81" t="inlineStr">
        <x:is>
          <x:t xml:space="preserve">Inner Chapter 1 — 逍遙遊</x:t>
        </x:is>
      </x:c>
      <x:c r="U320" s="81" t="inlineStr">
        <x:is>
          <x:t xml:space="preserve">https://zh.wikisource.org/wiki/%E8%8E%8A%E5%AD%90/%E9%80%8D%E9%81%99%E9%81%8A</x:t>
        </x:is>
      </x:c>
      <x:c r="V320" s="81" t="inlineStr">
        <x:is>
          <x:t xml:space="preserve">Primary text</x:t>
        </x:is>
      </x:c>
      <x:c r="W320" s="81" t="inlineStr">
        <x:is>
          <x:t xml:space="preserve">Working translation</x:t>
        </x:is>
      </x:c>
      <x:c r="X320" s="81" t="inlineStr">
        <x:is>
          <x:t xml:space="preserve">A - Primary source</x:t>
        </x:is>
      </x:c>
      <x:c r="Y320" s="81" t="inlineStr">
        <x:is>
          <x:t xml:space="preserve">Original Chinese checked against Chinese Wikisource; chapter structure cross-checked with Chinese Text Project. Vietnamese is Selflo working translation, not a published translation.</x:t>
        </x:is>
      </x:c>
      <x:c r="Z320" s="81" t="inlineStr">
        <x:is>
          <x:t xml:space="preserve">Public domain / likely</x:t>
        </x:is>
      </x:c>
      <x:c r="AA320" s="81" t="inlineStr">
        <x:is>
          <x:t xml:space="preserve">Ancient source text is public domain; verify edition/attribution and jurisdiction before commercial publication.</x:t>
        </x:is>
      </x:c>
      <x:c r="AB320" s="81" t="inlineStr">
        <x:is>
          <x:t xml:space="preserve">High</x:t>
        </x:is>
      </x:c>
      <x:c r="AC320" s="81" t="inlineStr">
        <x:is>
          <x:t xml:space="preserve">Không biến thiếu điều kiện thành lỗi cá nhân.</x:t>
        </x:is>
      </x:c>
      <x:c r="AD320" s="81" t="inlineStr">
        <x:is>
          <x:t xml:space="preserve">Needs editorial review</x:t>
        </x:is>
      </x:c>
      <x:c r="AE320" s="81" t="inlineStr">
        <x:is>
          <x:t xml:space="preserve">Needs semantic dedupe review</x:t>
        </x:is>
      </x:c>
      <x:c r="AF320" s="81" t="str"/>
      <x:c r="AG320" s="81" t="str"/>
      <x:c r="AH320" s="81" t="inlineStr">
        <x:is>
          <x:t xml:space="preserve">No</x:t>
        </x:is>
      </x:c>
      <x:c r="AI320" s="81" t="inlineStr">
        <x:is>
          <x:t xml:space="preserve">Not reviewed</x:t>
        </x:is>
      </x:c>
      <x:c r="AJ320" s="81" t="inlineStr">
        <x:is>
          <x:t xml:space="preserve">Research only</x:t>
        </x:is>
      </x:c>
      <x:c r="AK320" s="81" t="inlineStr">
        <x:is>
          <x:t xml:space="preserve">Research Pool</x:t>
        </x:is>
      </x:c>
      <x:c r="AL320" s="81" t="n">
        <x:v>4</x:v>
      </x:c>
      <x:c r="AM320" s="81" t="inlineStr">
        <x:is>
          <x:t xml:space="preserve">ChatGPT research</x:t>
        </x:is>
      </x:c>
      <x:c r="AN320" s="81" t="inlineStr">
        <x:is>
          <x:t xml:space="preserve">2026-09-18</x:t>
        </x:is>
      </x:c>
      <x:c r="AO320" s="81" t="inlineStr">
        <x:is>
          <x:t xml:space="preserve">Day 4 full-scope audit of Zhuangzi Inner Chapters 1–7.</x:t>
        </x:is>
      </x:c>
    </x:row>
    <x:row r="321">
      <x:c r="A321" s="81" t="inlineStr">
        <x:is>
          <x:t xml:space="preserve">research.zhuangzi.day4.ch01.003</x:t>
        </x:is>
      </x:c>
      <x:c r="B321" s="81" t="inlineStr">
        <x:is>
          <x:t xml:space="preserve">Collected</x:t>
        </x:is>
      </x:c>
      <x:c r="C321" s="81" t="inlineStr">
        <x:is>
          <x:t xml:space="preserve">AI &amp; tương lai</x:t>
        </x:is>
      </x:c>
      <x:c r="D321" s="81" t="inlineStr">
        <x:is>
          <x:t xml:space="preserve">Day 4 / Zhuangzi Inner Chapters 1–7</x:t>
        </x:is>
      </x:c>
      <x:c r="E321" s="81" t="str"/>
      <x:c r="F321" s="81" t="inlineStr">
        <x:is>
          <x:t xml:space="preserve">Góc nhìn bị giới hạn bởi quy mô trải nghiệm</x:t>
        </x:is>
      </x:c>
      <x:c r="G321" s="81" t="inlineStr">
        <x:is>
          <x:t xml:space="preserve">Perspective</x:t>
        </x:is>
      </x:c>
      <x:c r="H321" s="81" t="str"/>
      <x:c r="I321" s="81" t="str"/>
      <x:c r="J321" s="81" t="str"/>
      <x:c r="K321" s="81" t="inlineStr">
        <x:is>
          <x:t xml:space="preserve">Distinguish</x:t>
        </x:is>
      </x:c>
      <x:c r="L321" s="81" t="inlineStr">
        <x:is>
          <x:t xml:space="preserve">Recognize</x:t>
        </x:is>
      </x:c>
      <x:c r="M321" s="81" t="inlineStr">
        <x:is>
          <x:t xml:space="preserve">Trích đoạn triết học /寓言</x:t>
        </x:is>
      </x:c>
      <x:c r="N321" s="81" t="inlineStr">
        <x:is>
          <x:t xml:space="preserve">小知不及大知，小年不及大年。</x:t>
        </x:is>
      </x:c>
      <x:c r="O321" s="81" t="inlineStr">
        <x:is>
          <x:t xml:space="preserve">Classical Chinese (文言文)</x:t>
        </x:is>
      </x:c>
      <x:c r="P321" s="81" t="inlineStr">
        <x:is>
          <x:t xml:space="preserve">Cái biết nhỏ không bao trọn cái biết lớn; nhịp sống ngắn không bao trọn nhịp dài.</x:t>
        </x:is>
      </x:c>
      <x:c r="Q321" s="81" t="inlineStr">
        <x:is>
          <x:t xml:space="preserve">Zhuangzi / 莊子 (Inner Chapters attribution)</x:t>
        </x:is>
      </x:c>
      <x:c r="R321" s="81" t="inlineStr">
        <x:is>
          <x:t xml:space="preserve">Daoist / China</x:t>
        </x:is>
      </x:c>
      <x:c r="S321" s="81" t="inlineStr">
        <x:is>
          <x:t xml:space="preserve">莊子 / Zhuangzi</x:t>
        </x:is>
      </x:c>
      <x:c r="T321" s="81" t="inlineStr">
        <x:is>
          <x:t xml:space="preserve">Inner Chapter 1 — 逍遙遊</x:t>
        </x:is>
      </x:c>
      <x:c r="U321" s="81" t="inlineStr">
        <x:is>
          <x:t xml:space="preserve">https://zh.wikisource.org/wiki/%E8%8E%8A%E5%AD%90/%E9%80%8D%E9%81%99%E9%81%8A</x:t>
        </x:is>
      </x:c>
      <x:c r="V321" s="81" t="inlineStr">
        <x:is>
          <x:t xml:space="preserve">Primary text</x:t>
        </x:is>
      </x:c>
      <x:c r="W321" s="81" t="inlineStr">
        <x:is>
          <x:t xml:space="preserve">Working translation</x:t>
        </x:is>
      </x:c>
      <x:c r="X321" s="81" t="inlineStr">
        <x:is>
          <x:t xml:space="preserve">A - Primary source</x:t>
        </x:is>
      </x:c>
      <x:c r="Y321" s="81" t="inlineStr">
        <x:is>
          <x:t xml:space="preserve">Original Chinese checked against Chinese Wikisource; chapter structure cross-checked with Chinese Text Project. Vietnamese is Selflo working translation, not a published translation.</x:t>
        </x:is>
      </x:c>
      <x:c r="Z321" s="81" t="inlineStr">
        <x:is>
          <x:t xml:space="preserve">Public domain / likely</x:t>
        </x:is>
      </x:c>
      <x:c r="AA321" s="81" t="inlineStr">
        <x:is>
          <x:t xml:space="preserve">Ancient source text is public domain; verify edition/attribution and jurisdiction before commercial publication.</x:t>
        </x:is>
      </x:c>
      <x:c r="AB321" s="81" t="inlineStr">
        <x:is>
          <x:t xml:space="preserve">High</x:t>
        </x:is>
      </x:c>
      <x:c r="AC321" s="81" t="inlineStr">
        <x:is>
          <x:t xml:space="preserve">AI-age judgment.</x:t>
        </x:is>
      </x:c>
      <x:c r="AD321" s="81" t="inlineStr">
        <x:is>
          <x:t xml:space="preserve">Needs editorial review</x:t>
        </x:is>
      </x:c>
      <x:c r="AE321" s="81" t="inlineStr">
        <x:is>
          <x:t xml:space="preserve">Needs semantic dedupe review</x:t>
        </x:is>
      </x:c>
      <x:c r="AF321" s="81" t="str"/>
      <x:c r="AG321" s="81" t="str"/>
      <x:c r="AH321" s="81" t="inlineStr">
        <x:is>
          <x:t xml:space="preserve">No</x:t>
        </x:is>
      </x:c>
      <x:c r="AI321" s="81" t="inlineStr">
        <x:is>
          <x:t xml:space="preserve">Not reviewed</x:t>
        </x:is>
      </x:c>
      <x:c r="AJ321" s="81" t="inlineStr">
        <x:is>
          <x:t xml:space="preserve">Research only</x:t>
        </x:is>
      </x:c>
      <x:c r="AK321" s="81" t="inlineStr">
        <x:is>
          <x:t xml:space="preserve">Research Pool</x:t>
        </x:is>
      </x:c>
      <x:c r="AL321" s="81" t="n">
        <x:v>4</x:v>
      </x:c>
      <x:c r="AM321" s="81" t="inlineStr">
        <x:is>
          <x:t xml:space="preserve">ChatGPT research</x:t>
        </x:is>
      </x:c>
      <x:c r="AN321" s="81" t="inlineStr">
        <x:is>
          <x:t xml:space="preserve">2026-09-18</x:t>
        </x:is>
      </x:c>
      <x:c r="AO321" s="81" t="inlineStr">
        <x:is>
          <x:t xml:space="preserve">Day 4 full-scope audit of Zhuangzi Inner Chapters 1–7.</x:t>
        </x:is>
      </x:c>
    </x:row>
    <x:row r="322">
      <x:c r="A322" s="81" t="inlineStr">
        <x:is>
          <x:t xml:space="preserve">research.zhuangzi.day4.ch01.004</x:t>
        </x:is>
      </x:c>
      <x:c r="B322" s="81" t="inlineStr">
        <x:is>
          <x:t xml:space="preserve">Collected</x:t>
        </x:is>
      </x:c>
      <x:c r="C322" s="81" t="inlineStr">
        <x:is>
          <x:t xml:space="preserve">Nội tâm &amp; hiểu mình</x:t>
        </x:is>
      </x:c>
      <x:c r="D322" s="81" t="inlineStr">
        <x:is>
          <x:t xml:space="preserve">Day 4 / Zhuangzi Inner Chapters 1–7</x:t>
        </x:is>
      </x:c>
      <x:c r="E322" s="81" t="str"/>
      <x:c r="F322" s="81" t="inlineStr">
        <x:is>
          <x:t xml:space="preserve">Không để khen chê hoàn toàn quyết định hướng đi</x:t>
        </x:is>
      </x:c>
      <x:c r="G322" s="81" t="inlineStr">
        <x:is>
          <x:t xml:space="preserve">Self-worth</x:t>
        </x:is>
      </x:c>
      <x:c r="H322" s="81" t="str"/>
      <x:c r="I322" s="81" t="str"/>
      <x:c r="J322" s="81" t="str"/>
      <x:c r="K322" s="81" t="inlineStr">
        <x:is>
          <x:t xml:space="preserve">Return agency</x:t>
        </x:is>
      </x:c>
      <x:c r="L322" s="81" t="inlineStr">
        <x:is>
          <x:t xml:space="preserve">Recognize</x:t>
        </x:is>
      </x:c>
      <x:c r="M322" s="81" t="inlineStr">
        <x:is>
          <x:t xml:space="preserve">Trích đoạn triết học /寓言</x:t>
        </x:is>
      </x:c>
      <x:c r="N322" s="81" t="inlineStr">
        <x:is>
          <x:t xml:space="preserve">舉世而譽之而不加勸，舉世而非之而不加沮。</x:t>
        </x:is>
      </x:c>
      <x:c r="O322" s="81" t="inlineStr">
        <x:is>
          <x:t xml:space="preserve">Classical Chinese (文言文)</x:t>
        </x:is>
      </x:c>
      <x:c r="P322" s="81" t="inlineStr">
        <x:is>
          <x:t xml:space="preserve">Cả đời khen cũng không vì thế mà cố thêm; cả đời chê cũng không vì thế mà nản.</x:t>
        </x:is>
      </x:c>
      <x:c r="Q322" s="81" t="inlineStr">
        <x:is>
          <x:t xml:space="preserve">Zhuangzi / 莊子 (Inner Chapters attribution)</x:t>
        </x:is>
      </x:c>
      <x:c r="R322" s="81" t="inlineStr">
        <x:is>
          <x:t xml:space="preserve">Daoist / China</x:t>
        </x:is>
      </x:c>
      <x:c r="S322" s="81" t="inlineStr">
        <x:is>
          <x:t xml:space="preserve">莊子 / Zhuangzi</x:t>
        </x:is>
      </x:c>
      <x:c r="T322" s="81" t="inlineStr">
        <x:is>
          <x:t xml:space="preserve">Inner Chapter 1 — 逍遙遊</x:t>
        </x:is>
      </x:c>
      <x:c r="U322" s="81" t="inlineStr">
        <x:is>
          <x:t xml:space="preserve">https://zh.wikisource.org/wiki/%E8%8E%8A%E5%AD%90/%E9%80%8D%E9%81%99%E9%81%8A</x:t>
        </x:is>
      </x:c>
      <x:c r="V322" s="81" t="inlineStr">
        <x:is>
          <x:t xml:space="preserve">Primary text</x:t>
        </x:is>
      </x:c>
      <x:c r="W322" s="81" t="inlineStr">
        <x:is>
          <x:t xml:space="preserve">Working translation</x:t>
        </x:is>
      </x:c>
      <x:c r="X322" s="81" t="inlineStr">
        <x:is>
          <x:t xml:space="preserve">A - Primary source</x:t>
        </x:is>
      </x:c>
      <x:c r="Y322" s="81" t="inlineStr">
        <x:is>
          <x:t xml:space="preserve">Original Chinese checked against Chinese Wikisource; chapter structure cross-checked with Chinese Text Project. Vietnamese is Selflo working translation, not a published translation.</x:t>
        </x:is>
      </x:c>
      <x:c r="Z322" s="81" t="inlineStr">
        <x:is>
          <x:t xml:space="preserve">Public domain / likely</x:t>
        </x:is>
      </x:c>
      <x:c r="AA322" s="81" t="inlineStr">
        <x:is>
          <x:t xml:space="preserve">Ancient source text is public domain; verify edition/attribution and jurisdiction before commercial publication.</x:t>
        </x:is>
      </x:c>
      <x:c r="AB322" s="81" t="inlineStr">
        <x:is>
          <x:t xml:space="preserve">High</x:t>
        </x:is>
      </x:c>
      <x:c r="AC322" s="81" t="inlineStr">
        <x:is>
          <x:t xml:space="preserve">Strong; cần tránh biến thành bất cần feedback.</x:t>
        </x:is>
      </x:c>
      <x:c r="AD322" s="81" t="inlineStr">
        <x:is>
          <x:t xml:space="preserve">Needs editorial review</x:t>
        </x:is>
      </x:c>
      <x:c r="AE322" s="81" t="inlineStr">
        <x:is>
          <x:t xml:space="preserve">Needs semantic dedupe review</x:t>
        </x:is>
      </x:c>
      <x:c r="AF322" s="81" t="str"/>
      <x:c r="AG322" s="81" t="str"/>
      <x:c r="AH322" s="81" t="inlineStr">
        <x:is>
          <x:t xml:space="preserve">No</x:t>
        </x:is>
      </x:c>
      <x:c r="AI322" s="81" t="inlineStr">
        <x:is>
          <x:t xml:space="preserve">Not reviewed</x:t>
        </x:is>
      </x:c>
      <x:c r="AJ322" s="81" t="inlineStr">
        <x:is>
          <x:t xml:space="preserve">Research only</x:t>
        </x:is>
      </x:c>
      <x:c r="AK322" s="81" t="inlineStr">
        <x:is>
          <x:t xml:space="preserve">Research Pool</x:t>
        </x:is>
      </x:c>
      <x:c r="AL322" s="81" t="n">
        <x:v>4</x:v>
      </x:c>
      <x:c r="AM322" s="81" t="inlineStr">
        <x:is>
          <x:t xml:space="preserve">ChatGPT research</x:t>
        </x:is>
      </x:c>
      <x:c r="AN322" s="81" t="inlineStr">
        <x:is>
          <x:t xml:space="preserve">2026-09-18</x:t>
        </x:is>
      </x:c>
      <x:c r="AO322" s="81" t="inlineStr">
        <x:is>
          <x:t xml:space="preserve">Day 4 full-scope audit of Zhuangzi Inner Chapters 1–7.</x:t>
        </x:is>
      </x:c>
    </x:row>
    <x:row r="323">
      <x:c r="A323" s="81" t="inlineStr">
        <x:is>
          <x:t xml:space="preserve">research.zhuangzi.day4.ch01.005</x:t>
        </x:is>
      </x:c>
      <x:c r="B323" s="81" t="inlineStr">
        <x:is>
          <x:t xml:space="preserve">Collected</x:t>
        </x:is>
      </x:c>
      <x:c r="C323" s="81" t="inlineStr">
        <x:is>
          <x:t xml:space="preserve">Nội tâm &amp; hiểu mình</x:t>
        </x:is>
      </x:c>
      <x:c r="D323" s="81" t="inlineStr">
        <x:is>
          <x:t xml:space="preserve">Day 4 / Zhuangzi Inner Chapters 1–7</x:t>
        </x:is>
      </x:c>
      <x:c r="E323" s="81" t="str"/>
      <x:c r="F323" s="81" t="inlineStr">
        <x:is>
          <x:t xml:space="preserve">Tên gọi, danh tiếng và thực chất không phải một</x:t>
        </x:is>
      </x:c>
      <x:c r="G323" s="81" t="inlineStr">
        <x:is>
          <x:t xml:space="preserve">Identity</x:t>
        </x:is>
      </x:c>
      <x:c r="H323" s="81" t="str"/>
      <x:c r="I323" s="81" t="str"/>
      <x:c r="J323" s="81" t="str"/>
      <x:c r="K323" s="81" t="inlineStr">
        <x:is>
          <x:t xml:space="preserve">Distinguish</x:t>
        </x:is>
      </x:c>
      <x:c r="L323" s="81" t="inlineStr">
        <x:is>
          <x:t xml:space="preserve">Recognize</x:t>
        </x:is>
      </x:c>
      <x:c r="M323" s="81" t="inlineStr">
        <x:is>
          <x:t xml:space="preserve">Trích đoạn triết học /寓言</x:t>
        </x:is>
      </x:c>
      <x:c r="N323" s="81" t="inlineStr">
        <x:is>
          <x:t xml:space="preserve">名者，實之賓也。</x:t>
        </x:is>
      </x:c>
      <x:c r="O323" s="81" t="inlineStr">
        <x:is>
          <x:t xml:space="preserve">Classical Chinese (文言文)</x:t>
        </x:is>
      </x:c>
      <x:c r="P323" s="81" t="inlineStr">
        <x:is>
          <x:t xml:space="preserve">Danh chỉ là khách của cái thực.</x:t>
        </x:is>
      </x:c>
      <x:c r="Q323" s="81" t="inlineStr">
        <x:is>
          <x:t xml:space="preserve">Zhuangzi / 莊子 (Inner Chapters attribution)</x:t>
        </x:is>
      </x:c>
      <x:c r="R323" s="81" t="inlineStr">
        <x:is>
          <x:t xml:space="preserve">Daoist / China</x:t>
        </x:is>
      </x:c>
      <x:c r="S323" s="81" t="inlineStr">
        <x:is>
          <x:t xml:space="preserve">莊子 / Zhuangzi</x:t>
        </x:is>
      </x:c>
      <x:c r="T323" s="81" t="inlineStr">
        <x:is>
          <x:t xml:space="preserve">Inner Chapter 1 — 逍遙遊</x:t>
        </x:is>
      </x:c>
      <x:c r="U323" s="81" t="inlineStr">
        <x:is>
          <x:t xml:space="preserve">https://zh.wikisource.org/wiki/%E8%8E%8A%E5%AD%90/%E9%80%8D%E9%81%99%E9%81%8A</x:t>
        </x:is>
      </x:c>
      <x:c r="V323" s="81" t="inlineStr">
        <x:is>
          <x:t xml:space="preserve">Primary text</x:t>
        </x:is>
      </x:c>
      <x:c r="W323" s="81" t="inlineStr">
        <x:is>
          <x:t xml:space="preserve">Working translation</x:t>
        </x:is>
      </x:c>
      <x:c r="X323" s="81" t="inlineStr">
        <x:is>
          <x:t xml:space="preserve">A - Primary source</x:t>
        </x:is>
      </x:c>
      <x:c r="Y323" s="81" t="inlineStr">
        <x:is>
          <x:t xml:space="preserve">Original Chinese checked against Chinese Wikisource; chapter structure cross-checked with Chinese Text Project. Vietnamese is Selflo working translation, not a published translation.</x:t>
        </x:is>
      </x:c>
      <x:c r="Z323" s="81" t="inlineStr">
        <x:is>
          <x:t xml:space="preserve">Public domain / likely</x:t>
        </x:is>
      </x:c>
      <x:c r="AA323" s="81" t="inlineStr">
        <x:is>
          <x:t xml:space="preserve">Ancient source text is public domain; verify edition/attribution and jurisdiction before commercial publication.</x:t>
        </x:is>
      </x:c>
      <x:c r="AB323" s="81" t="inlineStr">
        <x:is>
          <x:t xml:space="preserve">High</x:t>
        </x:is>
      </x:c>
      <x:c r="AC323" s="81" t="inlineStr">
        <x:is>
          <x:t xml:space="preserve">Rất gần docs.</x:t>
        </x:is>
      </x:c>
      <x:c r="AD323" s="81" t="inlineStr">
        <x:is>
          <x:t xml:space="preserve">Needs editorial review</x:t>
        </x:is>
      </x:c>
      <x:c r="AE323" s="81" t="inlineStr">
        <x:is>
          <x:t xml:space="preserve">Needs semantic dedupe review</x:t>
        </x:is>
      </x:c>
      <x:c r="AF323" s="81" t="str"/>
      <x:c r="AG323" s="81" t="str"/>
      <x:c r="AH323" s="81" t="inlineStr">
        <x:is>
          <x:t xml:space="preserve">No</x:t>
        </x:is>
      </x:c>
      <x:c r="AI323" s="81" t="inlineStr">
        <x:is>
          <x:t xml:space="preserve">Not reviewed</x:t>
        </x:is>
      </x:c>
      <x:c r="AJ323" s="81" t="inlineStr">
        <x:is>
          <x:t xml:space="preserve">Research only</x:t>
        </x:is>
      </x:c>
      <x:c r="AK323" s="81" t="inlineStr">
        <x:is>
          <x:t xml:space="preserve">Research Pool</x:t>
        </x:is>
      </x:c>
      <x:c r="AL323" s="81" t="n">
        <x:v>4</x:v>
      </x:c>
      <x:c r="AM323" s="81" t="inlineStr">
        <x:is>
          <x:t xml:space="preserve">ChatGPT research</x:t>
        </x:is>
      </x:c>
      <x:c r="AN323" s="81" t="inlineStr">
        <x:is>
          <x:t xml:space="preserve">2026-09-18</x:t>
        </x:is>
      </x:c>
      <x:c r="AO323" s="81" t="inlineStr">
        <x:is>
          <x:t xml:space="preserve">Day 4 full-scope audit of Zhuangzi Inner Chapters 1–7.</x:t>
        </x:is>
      </x:c>
    </x:row>
    <x:row r="324">
      <x:c r="A324" s="81" t="inlineStr">
        <x:is>
          <x:t xml:space="preserve">research.zhuangzi.day4.ch01.006</x:t>
        </x:is>
      </x:c>
      <x:c r="B324" s="81" t="inlineStr">
        <x:is>
          <x:t xml:space="preserve">Collected</x:t>
        </x:is>
      </x:c>
      <x:c r="C324" s="81" t="inlineStr">
        <x:is>
          <x:t xml:space="preserve">Nội tâm &amp; hiểu mình</x:t>
        </x:is>
      </x:c>
      <x:c r="D324" s="81" t="inlineStr">
        <x:is>
          <x:t xml:space="preserve">Day 4 / Zhuangzi Inner Chapters 1–7</x:t>
        </x:is>
      </x:c>
      <x:c r="E324" s="81" t="str"/>
      <x:c r="F324" s="81" t="inlineStr">
        <x:is>
          <x:t xml:space="preserve">Đủ không nhất thiết bằng có thật nhiều</x:t>
        </x:is>
      </x:c>
      <x:c r="G324" s="81" t="inlineStr">
        <x:is>
          <x:t xml:space="preserve">Enoughness</x:t>
        </x:is>
      </x:c>
      <x:c r="H324" s="81" t="str"/>
      <x:c r="I324" s="81" t="str"/>
      <x:c r="J324" s="81" t="str"/>
      <x:c r="K324" s="81" t="inlineStr">
        <x:is>
          <x:t xml:space="preserve">Reframe</x:t>
        </x:is>
      </x:c>
      <x:c r="L324" s="81" t="inlineStr">
        <x:is>
          <x:t xml:space="preserve">Recognize</x:t>
        </x:is>
      </x:c>
      <x:c r="M324" s="81" t="inlineStr">
        <x:is>
          <x:t xml:space="preserve">Trích đoạn triết học /寓言</x:t>
        </x:is>
      </x:c>
      <x:c r="N324" s="81" t="inlineStr">
        <x:is>
          <x:t xml:space="preserve">鷦鷯巢於深林，不過一枝；偃鼠飲河，不過滿腹。</x:t>
        </x:is>
      </x:c>
      <x:c r="O324" s="81" t="inlineStr">
        <x:is>
          <x:t xml:space="preserve">Classical Chinese (文言文)</x:t>
        </x:is>
      </x:c>
      <x:c r="P324" s="81" t="inlineStr">
        <x:is>
          <x:t xml:space="preserve">Chim làm tổ trong rừng sâu cũng chỉ cần một cành; chuột uống sông cũng chỉ đầy một bụng.</x:t>
        </x:is>
      </x:c>
      <x:c r="Q324" s="81" t="inlineStr">
        <x:is>
          <x:t xml:space="preserve">Zhuangzi / 莊子 (Inner Chapters attribution)</x:t>
        </x:is>
      </x:c>
      <x:c r="R324" s="81" t="inlineStr">
        <x:is>
          <x:t xml:space="preserve">Daoist / China</x:t>
        </x:is>
      </x:c>
      <x:c r="S324" s="81" t="inlineStr">
        <x:is>
          <x:t xml:space="preserve">莊子 / Zhuangzi</x:t>
        </x:is>
      </x:c>
      <x:c r="T324" s="81" t="inlineStr">
        <x:is>
          <x:t xml:space="preserve">Inner Chapter 1 — 逍遙遊</x:t>
        </x:is>
      </x:c>
      <x:c r="U324" s="81" t="inlineStr">
        <x:is>
          <x:t xml:space="preserve">https://zh.wikisource.org/wiki/%E8%8E%8A%E5%AD%90/%E9%80%8D%E9%81%99%E9%81%8A</x:t>
        </x:is>
      </x:c>
      <x:c r="V324" s="81" t="inlineStr">
        <x:is>
          <x:t xml:space="preserve">Primary text</x:t>
        </x:is>
      </x:c>
      <x:c r="W324" s="81" t="inlineStr">
        <x:is>
          <x:t xml:space="preserve">Working translation</x:t>
        </x:is>
      </x:c>
      <x:c r="X324" s="81" t="inlineStr">
        <x:is>
          <x:t xml:space="preserve">A - Primary source</x:t>
        </x:is>
      </x:c>
      <x:c r="Y324" s="81" t="inlineStr">
        <x:is>
          <x:t xml:space="preserve">Original Chinese checked against Chinese Wikisource; chapter structure cross-checked with Chinese Text Project. Vietnamese is Selflo working translation, not a published translation.</x:t>
        </x:is>
      </x:c>
      <x:c r="Z324" s="81" t="inlineStr">
        <x:is>
          <x:t xml:space="preserve">Public domain / likely</x:t>
        </x:is>
      </x:c>
      <x:c r="AA324" s="81" t="inlineStr">
        <x:is>
          <x:t xml:space="preserve">Ancient source text is public domain; verify edition/attribution and jurisdiction before commercial publication.</x:t>
        </x:is>
      </x:c>
      <x:c r="AB324" s="81" t="inlineStr">
        <x:is>
          <x:t xml:space="preserve">High</x:t>
        </x:is>
      </x:c>
      <x:c r="AC324" s="81" t="inlineStr">
        <x:is>
          <x:t xml:space="preserve">Strong.</x:t>
        </x:is>
      </x:c>
      <x:c r="AD324" s="81" t="inlineStr">
        <x:is>
          <x:t xml:space="preserve">Needs editorial review</x:t>
        </x:is>
      </x:c>
      <x:c r="AE324" s="81" t="inlineStr">
        <x:is>
          <x:t xml:space="preserve">Needs semantic dedupe review</x:t>
        </x:is>
      </x:c>
      <x:c r="AF324" s="81" t="str"/>
      <x:c r="AG324" s="81" t="str"/>
      <x:c r="AH324" s="81" t="inlineStr">
        <x:is>
          <x:t xml:space="preserve">No</x:t>
        </x:is>
      </x:c>
      <x:c r="AI324" s="81" t="inlineStr">
        <x:is>
          <x:t xml:space="preserve">Not reviewed</x:t>
        </x:is>
      </x:c>
      <x:c r="AJ324" s="81" t="inlineStr">
        <x:is>
          <x:t xml:space="preserve">Research only</x:t>
        </x:is>
      </x:c>
      <x:c r="AK324" s="81" t="inlineStr">
        <x:is>
          <x:t xml:space="preserve">Research Pool</x:t>
        </x:is>
      </x:c>
      <x:c r="AL324" s="81" t="n">
        <x:v>4</x:v>
      </x:c>
      <x:c r="AM324" s="81" t="inlineStr">
        <x:is>
          <x:t xml:space="preserve">ChatGPT research</x:t>
        </x:is>
      </x:c>
      <x:c r="AN324" s="81" t="inlineStr">
        <x:is>
          <x:t xml:space="preserve">2026-09-18</x:t>
        </x:is>
      </x:c>
      <x:c r="AO324" s="81" t="inlineStr">
        <x:is>
          <x:t xml:space="preserve">Day 4 full-scope audit of Zhuangzi Inner Chapters 1–7.</x:t>
        </x:is>
      </x:c>
    </x:row>
    <x:row r="325">
      <x:c r="A325" s="81" t="inlineStr">
        <x:is>
          <x:t xml:space="preserve">research.zhuangzi.day4.ch01.007</x:t>
        </x:is>
      </x:c>
      <x:c r="B325" s="81" t="inlineStr">
        <x:is>
          <x:t xml:space="preserve">Collected</x:t>
        </x:is>
      </x:c>
      <x:c r="C325" s="81" t="inlineStr">
        <x:is>
          <x:t xml:space="preserve">Nội tâm &amp; hiểu mình</x:t>
        </x:is>
      </x:c>
      <x:c r="D325" s="81" t="inlineStr">
        <x:is>
          <x:t xml:space="preserve">Day 4 / Zhuangzi Inner Chapters 1–7</x:t>
        </x:is>
      </x:c>
      <x:c r="E325" s="81" t="str"/>
      <x:c r="F325" s="81" t="inlineStr">
        <x:is>
          <x:t xml:space="preserve">Cùng năng lực có thể tạo giá trị khác trong bối cảnh khác</x:t>
        </x:is>
      </x:c>
      <x:c r="G325" s="81" t="inlineStr">
        <x:is>
          <x:t xml:space="preserve">Context</x:t>
        </x:is>
      </x:c>
      <x:c r="H325" s="81" t="str"/>
      <x:c r="I325" s="81" t="str"/>
      <x:c r="J325" s="81" t="str"/>
      <x:c r="K325" s="81" t="inlineStr">
        <x:is>
          <x:t xml:space="preserve">Distinguish</x:t>
        </x:is>
      </x:c>
      <x:c r="L325" s="81" t="inlineStr">
        <x:is>
          <x:t xml:space="preserve">Recognize</x:t>
        </x:is>
      </x:c>
      <x:c r="M325" s="81" t="inlineStr">
        <x:is>
          <x:t xml:space="preserve">Trích đoạn triết học /寓言</x:t>
        </x:is>
      </x:c>
      <x:c r="N325" s="81" t="inlineStr">
        <x:is>
          <x:t xml:space="preserve">能不龜手，一也；或以封，或不免於洴澼絖，則所用之異也。</x:t>
        </x:is>
      </x:c>
      <x:c r="O325" s="81" t="inlineStr">
        <x:is>
          <x:t xml:space="preserve">Classical Chinese (文言文)</x:t>
        </x:is>
      </x:c>
      <x:c r="P325" s="81" t="inlineStr">
        <x:is>
          <x:t xml:space="preserve">Cùng một khả năng, kết quả khác nhau vì cách và bối cảnh sử dụng khác nhau.</x:t>
        </x:is>
      </x:c>
      <x:c r="Q325" s="81" t="inlineStr">
        <x:is>
          <x:t xml:space="preserve">Zhuangzi / 莊子 (Inner Chapters attribution)</x:t>
        </x:is>
      </x:c>
      <x:c r="R325" s="81" t="inlineStr">
        <x:is>
          <x:t xml:space="preserve">Daoist / China</x:t>
        </x:is>
      </x:c>
      <x:c r="S325" s="81" t="inlineStr">
        <x:is>
          <x:t xml:space="preserve">莊子 / Zhuangzi</x:t>
        </x:is>
      </x:c>
      <x:c r="T325" s="81" t="inlineStr">
        <x:is>
          <x:t xml:space="preserve">Inner Chapter 1 — 逍遙遊</x:t>
        </x:is>
      </x:c>
      <x:c r="U325" s="81" t="inlineStr">
        <x:is>
          <x:t xml:space="preserve">https://zh.wikisource.org/wiki/%E8%8E%8A%E5%AD%90/%E9%80%8D%E9%81%99%E9%81%8A</x:t>
        </x:is>
      </x:c>
      <x:c r="V325" s="81" t="inlineStr">
        <x:is>
          <x:t xml:space="preserve">Primary text</x:t>
        </x:is>
      </x:c>
      <x:c r="W325" s="81" t="inlineStr">
        <x:is>
          <x:t xml:space="preserve">Working translation</x:t>
        </x:is>
      </x:c>
      <x:c r="X325" s="81" t="inlineStr">
        <x:is>
          <x:t xml:space="preserve">A - Primary source</x:t>
        </x:is>
      </x:c>
      <x:c r="Y325" s="81" t="inlineStr">
        <x:is>
          <x:t xml:space="preserve">Original Chinese checked against Chinese Wikisource; chapter structure cross-checked with Chinese Text Project. Vietnamese is Selflo working translation, not a published translation.</x:t>
        </x:is>
      </x:c>
      <x:c r="Z325" s="81" t="inlineStr">
        <x:is>
          <x:t xml:space="preserve">Public domain / likely</x:t>
        </x:is>
      </x:c>
      <x:c r="AA325" s="81" t="inlineStr">
        <x:is>
          <x:t xml:space="preserve">Ancient source text is public domain; verify edition/attribution and jurisdiction before commercial publication.</x:t>
        </x:is>
      </x:c>
      <x:c r="AB325" s="81" t="inlineStr">
        <x:is>
          <x:t xml:space="preserve">High</x:t>
        </x:is>
      </x:c>
      <x:c r="AC325" s="81" t="inlineStr">
        <x:is>
          <x:t xml:space="preserve">Excellent career/identity.</x:t>
        </x:is>
      </x:c>
      <x:c r="AD325" s="81" t="inlineStr">
        <x:is>
          <x:t xml:space="preserve">Needs editorial review</x:t>
        </x:is>
      </x:c>
      <x:c r="AE325" s="81" t="inlineStr">
        <x:is>
          <x:t xml:space="preserve">Needs semantic dedupe review</x:t>
        </x:is>
      </x:c>
      <x:c r="AF325" s="81" t="str"/>
      <x:c r="AG325" s="81" t="str"/>
      <x:c r="AH325" s="81" t="inlineStr">
        <x:is>
          <x:t xml:space="preserve">No</x:t>
        </x:is>
      </x:c>
      <x:c r="AI325" s="81" t="inlineStr">
        <x:is>
          <x:t xml:space="preserve">Not reviewed</x:t>
        </x:is>
      </x:c>
      <x:c r="AJ325" s="81" t="inlineStr">
        <x:is>
          <x:t xml:space="preserve">Research only</x:t>
        </x:is>
      </x:c>
      <x:c r="AK325" s="81" t="inlineStr">
        <x:is>
          <x:t xml:space="preserve">Research Pool</x:t>
        </x:is>
      </x:c>
      <x:c r="AL325" s="81" t="n">
        <x:v>4</x:v>
      </x:c>
      <x:c r="AM325" s="81" t="inlineStr">
        <x:is>
          <x:t xml:space="preserve">ChatGPT research</x:t>
        </x:is>
      </x:c>
      <x:c r="AN325" s="81" t="inlineStr">
        <x:is>
          <x:t xml:space="preserve">2026-09-18</x:t>
        </x:is>
      </x:c>
      <x:c r="AO325" s="81" t="inlineStr">
        <x:is>
          <x:t xml:space="preserve">Day 4 full-scope audit of Zhuangzi Inner Chapters 1–7.</x:t>
        </x:is>
      </x:c>
    </x:row>
    <x:row r="326">
      <x:c r="A326" s="81" t="inlineStr">
        <x:is>
          <x:t xml:space="preserve">research.zhuangzi.day4.ch01.008</x:t>
        </x:is>
      </x:c>
      <x:c r="B326" s="81" t="inlineStr">
        <x:is>
          <x:t xml:space="preserve">Collected</x:t>
        </x:is>
      </x:c>
      <x:c r="C326" s="81" t="inlineStr">
        <x:is>
          <x:t xml:space="preserve">Nội tâm &amp; hiểu mình</x:t>
        </x:is>
      </x:c>
      <x:c r="D326" s="81" t="inlineStr">
        <x:is>
          <x:t xml:space="preserve">Day 4 / Zhuangzi Inner Chapters 1–7</x:t>
        </x:is>
      </x:c>
      <x:c r="E326" s="81" t="str"/>
      <x:c r="F326" s="81" t="inlineStr">
        <x:is>
          <x:t xml:space="preserve">Giá trị không chỉ nằm ở tính hữu dụng được người khác định nghĩa</x:t>
        </x:is>
      </x:c>
      <x:c r="G326" s="81" t="inlineStr">
        <x:is>
          <x:t xml:space="preserve">Self-worth</x:t>
        </x:is>
      </x:c>
      <x:c r="H326" s="81" t="str"/>
      <x:c r="I326" s="81" t="str"/>
      <x:c r="J326" s="81" t="str"/>
      <x:c r="K326" s="81" t="inlineStr">
        <x:is>
          <x:t xml:space="preserve">Reframe</x:t>
        </x:is>
      </x:c>
      <x:c r="L326" s="81" t="inlineStr">
        <x:is>
          <x:t xml:space="preserve">Recognize</x:t>
        </x:is>
      </x:c>
      <x:c r="M326" s="81" t="inlineStr">
        <x:is>
          <x:t xml:space="preserve">Trích đoạn triết học /寓言</x:t>
        </x:is>
      </x:c>
      <x:c r="N326" s="81" t="inlineStr">
        <x:is>
          <x:t xml:space="preserve">无所可用，安所困苦哉！</x:t>
        </x:is>
      </x:c>
      <x:c r="O326" s="81" t="inlineStr">
        <x:is>
          <x:t xml:space="preserve">Classical Chinese (文言文)</x:t>
        </x:is>
      </x:c>
      <x:c r="P326" s="81" t="inlineStr">
        <x:is>
          <x:t xml:space="preserve">Nếu không bị ép phải hữu dụng theo thước đo ấy, còn gì để nó bị làm khổ?</x:t>
        </x:is>
      </x:c>
      <x:c r="Q326" s="81" t="inlineStr">
        <x:is>
          <x:t xml:space="preserve">Zhuangzi / 莊子 (Inner Chapters attribution)</x:t>
        </x:is>
      </x:c>
      <x:c r="R326" s="81" t="inlineStr">
        <x:is>
          <x:t xml:space="preserve">Daoist / China</x:t>
        </x:is>
      </x:c>
      <x:c r="S326" s="81" t="inlineStr">
        <x:is>
          <x:t xml:space="preserve">莊子 / Zhuangzi</x:t>
        </x:is>
      </x:c>
      <x:c r="T326" s="81" t="inlineStr">
        <x:is>
          <x:t xml:space="preserve">Inner Chapter 1 — 逍遙遊</x:t>
        </x:is>
      </x:c>
      <x:c r="U326" s="81" t="inlineStr">
        <x:is>
          <x:t xml:space="preserve">https://zh.wikisource.org/wiki/%E8%8E%8A%E5%AD%90/%E9%80%8D%E9%81%99%E9%81%8A</x:t>
        </x:is>
      </x:c>
      <x:c r="V326" s="81" t="inlineStr">
        <x:is>
          <x:t xml:space="preserve">Primary text</x:t>
        </x:is>
      </x:c>
      <x:c r="W326" s="81" t="inlineStr">
        <x:is>
          <x:t xml:space="preserve">Working translation</x:t>
        </x:is>
      </x:c>
      <x:c r="X326" s="81" t="inlineStr">
        <x:is>
          <x:t xml:space="preserve">A - Primary source</x:t>
        </x:is>
      </x:c>
      <x:c r="Y326" s="81" t="inlineStr">
        <x:is>
          <x:t xml:space="preserve">Original Chinese checked against Chinese Wikisource; chapter structure cross-checked with Chinese Text Project. Vietnamese is Selflo working translation, not a published translation.</x:t>
        </x:is>
      </x:c>
      <x:c r="Z326" s="81" t="inlineStr">
        <x:is>
          <x:t xml:space="preserve">Public domain / likely</x:t>
        </x:is>
      </x:c>
      <x:c r="AA326" s="81" t="inlineStr">
        <x:is>
          <x:t xml:space="preserve">Ancient source text is public domain; verify edition/attribution and jurisdiction before commercial publication.</x:t>
        </x:is>
      </x:c>
      <x:c r="AB326" s="81" t="inlineStr">
        <x:is>
          <x:t xml:space="preserve">High</x:t>
        </x:is>
      </x:c>
      <x:c r="AC326" s="81" t="inlineStr">
        <x:is>
          <x:t xml:space="preserve">Từ story cây vô dụng.</x:t>
        </x:is>
      </x:c>
      <x:c r="AD326" s="81" t="inlineStr">
        <x:is>
          <x:t xml:space="preserve">Needs editorial review</x:t>
        </x:is>
      </x:c>
      <x:c r="AE326" s="81" t="inlineStr">
        <x:is>
          <x:t xml:space="preserve">Needs semantic dedupe review</x:t>
        </x:is>
      </x:c>
      <x:c r="AF326" s="81" t="str"/>
      <x:c r="AG326" s="81" t="str"/>
      <x:c r="AH326" s="81" t="inlineStr">
        <x:is>
          <x:t xml:space="preserve">No</x:t>
        </x:is>
      </x:c>
      <x:c r="AI326" s="81" t="inlineStr">
        <x:is>
          <x:t xml:space="preserve">Not reviewed</x:t>
        </x:is>
      </x:c>
      <x:c r="AJ326" s="81" t="inlineStr">
        <x:is>
          <x:t xml:space="preserve">Research only</x:t>
        </x:is>
      </x:c>
      <x:c r="AK326" s="81" t="inlineStr">
        <x:is>
          <x:t xml:space="preserve">Research Pool</x:t>
        </x:is>
      </x:c>
      <x:c r="AL326" s="81" t="n">
        <x:v>4</x:v>
      </x:c>
      <x:c r="AM326" s="81" t="inlineStr">
        <x:is>
          <x:t xml:space="preserve">ChatGPT research</x:t>
        </x:is>
      </x:c>
      <x:c r="AN326" s="81" t="inlineStr">
        <x:is>
          <x:t xml:space="preserve">2026-09-18</x:t>
        </x:is>
      </x:c>
      <x:c r="AO326" s="81" t="inlineStr">
        <x:is>
          <x:t xml:space="preserve">Day 4 full-scope audit of Zhuangzi Inner Chapters 1–7.</x:t>
        </x:is>
      </x:c>
    </x:row>
    <x:row r="327">
      <x:c r="A327" s="81" t="inlineStr">
        <x:is>
          <x:t xml:space="preserve">research.zhuangzi.day4.ch02.009</x:t>
        </x:is>
      </x:c>
      <x:c r="B327" s="81" t="inlineStr">
        <x:is>
          <x:t xml:space="preserve">Collected</x:t>
        </x:is>
      </x:c>
      <x:c r="C327" s="81" t="inlineStr">
        <x:is>
          <x:t xml:space="preserve">Nội tâm &amp; hiểu mình</x:t>
        </x:is>
      </x:c>
      <x:c r="D327" s="81" t="inlineStr">
        <x:is>
          <x:t xml:space="preserve">Day 4 / Zhuangzi Inner Chapters 1–7</x:t>
        </x:is>
      </x:c>
      <x:c r="E327" s="81" t="str"/>
      <x:c r="F327" s="81" t="inlineStr">
        <x:is>
          <x:t xml:space="preserve">Khoảng cách với cái tôi đang phán xét</x:t>
        </x:is>
      </x:c>
      <x:c r="G327" s="81" t="inlineStr">
        <x:is>
          <x:t xml:space="preserve">Self-distancing</x:t>
        </x:is>
      </x:c>
      <x:c r="H327" s="81" t="str"/>
      <x:c r="I327" s="81" t="str"/>
      <x:c r="J327" s="81" t="str"/>
      <x:c r="K327" s="81" t="inlineStr">
        <x:is>
          <x:t xml:space="preserve">Recognize</x:t>
        </x:is>
      </x:c>
      <x:c r="L327" s="81" t="inlineStr">
        <x:is>
          <x:t xml:space="preserve">Distinguish</x:t>
        </x:is>
      </x:c>
      <x:c r="M327" s="81" t="inlineStr">
        <x:is>
          <x:t xml:space="preserve">Trích đoạn triết học /寓言</x:t>
        </x:is>
      </x:c>
      <x:c r="N327" s="81" t="inlineStr">
        <x:is>
          <x:t xml:space="preserve">今者吾喪我。</x:t>
        </x:is>
      </x:c>
      <x:c r="O327" s="81" t="inlineStr">
        <x:is>
          <x:t xml:space="preserve">Classical Chinese (文言文)</x:t>
        </x:is>
      </x:c>
      <x:c r="P327" s="81" t="inlineStr">
        <x:is>
          <x:t xml:space="preserve">Lúc này, ta đã để cái 'ta' quen thuộc lùi xuống.</x:t>
        </x:is>
      </x:c>
      <x:c r="Q327" s="81" t="inlineStr">
        <x:is>
          <x:t xml:space="preserve">Zhuangzi / 莊子 (Inner Chapters attribution)</x:t>
        </x:is>
      </x:c>
      <x:c r="R327" s="81" t="inlineStr">
        <x:is>
          <x:t xml:space="preserve">Daoist / China</x:t>
        </x:is>
      </x:c>
      <x:c r="S327" s="81" t="inlineStr">
        <x:is>
          <x:t xml:space="preserve">莊子 / Zhuangzi</x:t>
        </x:is>
      </x:c>
      <x:c r="T327" s="81" t="inlineStr">
        <x:is>
          <x:t xml:space="preserve">Inner Chapter 2 — 齊物論</x:t>
        </x:is>
      </x:c>
      <x:c r="U327" s="81" t="inlineStr">
        <x:is>
          <x:t xml:space="preserve">https://zh.wikisource.org/wiki/%E8%8E%8A%E5%AD%90/%E9%BD%8A%E7%89%A9%E8%AB%96</x:t>
        </x:is>
      </x:c>
      <x:c r="V327" s="81" t="inlineStr">
        <x:is>
          <x:t xml:space="preserve">Primary text</x:t>
        </x:is>
      </x:c>
      <x:c r="W327" s="81" t="inlineStr">
        <x:is>
          <x:t xml:space="preserve">Working translation</x:t>
        </x:is>
      </x:c>
      <x:c r="X327" s="81" t="inlineStr">
        <x:is>
          <x:t xml:space="preserve">A - Primary source</x:t>
        </x:is>
      </x:c>
      <x:c r="Y327" s="81" t="inlineStr">
        <x:is>
          <x:t xml:space="preserve">Original Chinese checked against Chinese Wikisource; chapter structure cross-checked with Chinese Text Project. Vietnamese is Selflo working translation, not a published translation.</x:t>
        </x:is>
      </x:c>
      <x:c r="Z327" s="81" t="inlineStr">
        <x:is>
          <x:t xml:space="preserve">Public domain / likely</x:t>
        </x:is>
      </x:c>
      <x:c r="AA327" s="81" t="inlineStr">
        <x:is>
          <x:t xml:space="preserve">Ancient source text is public domain; verify edition/attribution and jurisdiction before commercial publication.</x:t>
        </x:is>
      </x:c>
      <x:c r="AB327" s="81" t="inlineStr">
        <x:is>
          <x:t xml:space="preserve">High</x:t>
        </x:is>
      </x:c>
      <x:c r="AC327" s="81" t="inlineStr">
        <x:is>
          <x:t xml:space="preserve">Cần scholarly nuance.</x:t>
        </x:is>
      </x:c>
      <x:c r="AD327" s="81" t="inlineStr">
        <x:is>
          <x:t xml:space="preserve">Needs editorial review</x:t>
        </x:is>
      </x:c>
      <x:c r="AE327" s="81" t="inlineStr">
        <x:is>
          <x:t xml:space="preserve">Needs semantic dedupe review</x:t>
        </x:is>
      </x:c>
      <x:c r="AF327" s="81" t="str"/>
      <x:c r="AG327" s="81" t="str"/>
      <x:c r="AH327" s="81" t="inlineStr">
        <x:is>
          <x:t xml:space="preserve">No</x:t>
        </x:is>
      </x:c>
      <x:c r="AI327" s="81" t="inlineStr">
        <x:is>
          <x:t xml:space="preserve">Not reviewed</x:t>
        </x:is>
      </x:c>
      <x:c r="AJ327" s="81" t="inlineStr">
        <x:is>
          <x:t xml:space="preserve">Research only</x:t>
        </x:is>
      </x:c>
      <x:c r="AK327" s="81" t="inlineStr">
        <x:is>
          <x:t xml:space="preserve">Research Pool</x:t>
        </x:is>
      </x:c>
      <x:c r="AL327" s="81" t="n">
        <x:v>4</x:v>
      </x:c>
      <x:c r="AM327" s="81" t="inlineStr">
        <x:is>
          <x:t xml:space="preserve">ChatGPT research</x:t>
        </x:is>
      </x:c>
      <x:c r="AN327" s="81" t="inlineStr">
        <x:is>
          <x:t xml:space="preserve">2026-09-18</x:t>
        </x:is>
      </x:c>
      <x:c r="AO327" s="81" t="inlineStr">
        <x:is>
          <x:t xml:space="preserve">Day 4 full-scope audit of Zhuangzi Inner Chapters 1–7.</x:t>
        </x:is>
      </x:c>
    </x:row>
    <x:row r="328">
      <x:c r="A328" s="81" t="inlineStr">
        <x:is>
          <x:t xml:space="preserve">research.zhuangzi.day4.ch02.010</x:t>
        </x:is>
      </x:c>
      <x:c r="B328" s="81" t="inlineStr">
        <x:is>
          <x:t xml:space="preserve">Collected</x:t>
        </x:is>
      </x:c>
      <x:c r="C328" s="81" t="inlineStr">
        <x:is>
          <x:t xml:space="preserve">Nội tâm &amp; hiểu mình</x:t>
        </x:is>
      </x:c>
      <x:c r="D328" s="81" t="inlineStr">
        <x:is>
          <x:t xml:space="preserve">Day 4 / Zhuangzi Inner Chapters 1–7</x:t>
        </x:is>
      </x:c>
      <x:c r="E328" s="81" t="str"/>
      <x:c r="F328" s="81" t="inlineStr">
        <x:is>
          <x:t xml:space="preserve">Cùng một tác động có thể tạo phản ứng khác nhau</x:t>
        </x:is>
      </x:c>
      <x:c r="G328" s="81" t="inlineStr">
        <x:is>
          <x:t xml:space="preserve">Individuality</x:t>
        </x:is>
      </x:c>
      <x:c r="H328" s="81" t="str"/>
      <x:c r="I328" s="81" t="str"/>
      <x:c r="J328" s="81" t="str"/>
      <x:c r="K328" s="81" t="inlineStr">
        <x:is>
          <x:t xml:space="preserve">Reframe</x:t>
        </x:is>
      </x:c>
      <x:c r="L328" s="81" t="inlineStr">
        <x:is>
          <x:t xml:space="preserve">Recognize</x:t>
        </x:is>
      </x:c>
      <x:c r="M328" s="81" t="inlineStr">
        <x:is>
          <x:t xml:space="preserve">Trích đoạn triết học /寓言</x:t>
        </x:is>
      </x:c>
      <x:c r="N328" s="81" t="inlineStr">
        <x:is>
          <x:t xml:space="preserve">夫吹萬不同，而使其自己也。</x:t>
        </x:is>
      </x:c>
      <x:c r="O328" s="81" t="inlineStr">
        <x:is>
          <x:t xml:space="preserve">Classical Chinese (文言文)</x:t>
        </x:is>
      </x:c>
      <x:c r="P328" s="81" t="inlineStr">
        <x:is>
          <x:t xml:space="preserve">Gió đi qua muôn lỗ tạo muôn tiếng khác nhau; mỗi hình thể phát ra âm của chính nó.</x:t>
        </x:is>
      </x:c>
      <x:c r="Q328" s="81" t="inlineStr">
        <x:is>
          <x:t xml:space="preserve">Zhuangzi / 莊子 (Inner Chapters attribution)</x:t>
        </x:is>
      </x:c>
      <x:c r="R328" s="81" t="inlineStr">
        <x:is>
          <x:t xml:space="preserve">Daoist / China</x:t>
        </x:is>
      </x:c>
      <x:c r="S328" s="81" t="inlineStr">
        <x:is>
          <x:t xml:space="preserve">莊子 / Zhuangzi</x:t>
        </x:is>
      </x:c>
      <x:c r="T328" s="81" t="inlineStr">
        <x:is>
          <x:t xml:space="preserve">Inner Chapter 2 — 齊物論</x:t>
        </x:is>
      </x:c>
      <x:c r="U328" s="81" t="inlineStr">
        <x:is>
          <x:t xml:space="preserve">https://zh.wikisource.org/wiki/%E8%8E%8A%E5%AD%90/%E9%BD%8A%E7%89%A9%E8%AB%96</x:t>
        </x:is>
      </x:c>
      <x:c r="V328" s="81" t="inlineStr">
        <x:is>
          <x:t xml:space="preserve">Primary text</x:t>
        </x:is>
      </x:c>
      <x:c r="W328" s="81" t="inlineStr">
        <x:is>
          <x:t xml:space="preserve">Working translation</x:t>
        </x:is>
      </x:c>
      <x:c r="X328" s="81" t="inlineStr">
        <x:is>
          <x:t xml:space="preserve">A - Primary source</x:t>
        </x:is>
      </x:c>
      <x:c r="Y328" s="81" t="inlineStr">
        <x:is>
          <x:t xml:space="preserve">Original Chinese checked against Chinese Wikisource; chapter structure cross-checked with Chinese Text Project. Vietnamese is Selflo working translation, not a published translation.</x:t>
        </x:is>
      </x:c>
      <x:c r="Z328" s="81" t="inlineStr">
        <x:is>
          <x:t xml:space="preserve">Public domain / likely</x:t>
        </x:is>
      </x:c>
      <x:c r="AA328" s="81" t="inlineStr">
        <x:is>
          <x:t xml:space="preserve">Ancient source text is public domain; verify edition/attribution and jurisdiction before commercial publication.</x:t>
        </x:is>
      </x:c>
      <x:c r="AB328" s="81" t="inlineStr">
        <x:is>
          <x:t xml:space="preserve">High</x:t>
        </x:is>
      </x:c>
      <x:c r="AC328" s="81" t="inlineStr">
        <x:is>
          <x:t xml:space="preserve">Không chuẩn hóa trải nghiệm.</x:t>
        </x:is>
      </x:c>
      <x:c r="AD328" s="81" t="inlineStr">
        <x:is>
          <x:t xml:space="preserve">Needs editorial review</x:t>
        </x:is>
      </x:c>
      <x:c r="AE328" s="81" t="inlineStr">
        <x:is>
          <x:t xml:space="preserve">Needs semantic dedupe review</x:t>
        </x:is>
      </x:c>
      <x:c r="AF328" s="81" t="str"/>
      <x:c r="AG328" s="81" t="str"/>
      <x:c r="AH328" s="81" t="inlineStr">
        <x:is>
          <x:t xml:space="preserve">No</x:t>
        </x:is>
      </x:c>
      <x:c r="AI328" s="81" t="inlineStr">
        <x:is>
          <x:t xml:space="preserve">Not reviewed</x:t>
        </x:is>
      </x:c>
      <x:c r="AJ328" s="81" t="inlineStr">
        <x:is>
          <x:t xml:space="preserve">Research only</x:t>
        </x:is>
      </x:c>
      <x:c r="AK328" s="81" t="inlineStr">
        <x:is>
          <x:t xml:space="preserve">Research Pool</x:t>
        </x:is>
      </x:c>
      <x:c r="AL328" s="81" t="n">
        <x:v>4</x:v>
      </x:c>
      <x:c r="AM328" s="81" t="inlineStr">
        <x:is>
          <x:t xml:space="preserve">ChatGPT research</x:t>
        </x:is>
      </x:c>
      <x:c r="AN328" s="81" t="inlineStr">
        <x:is>
          <x:t xml:space="preserve">2026-09-18</x:t>
        </x:is>
      </x:c>
      <x:c r="AO328" s="81" t="inlineStr">
        <x:is>
          <x:t xml:space="preserve">Day 4 full-scope audit of Zhuangzi Inner Chapters 1–7.</x:t>
        </x:is>
      </x:c>
    </x:row>
    <x:row r="329">
      <x:c r="A329" s="81" t="inlineStr">
        <x:is>
          <x:t xml:space="preserve">research.zhuangzi.day4.ch02.011</x:t>
        </x:is>
      </x:c>
      <x:c r="B329" s="81" t="inlineStr">
        <x:is>
          <x:t xml:space="preserve">Collected</x:t>
        </x:is>
      </x:c>
      <x:c r="C329" s="81" t="inlineStr">
        <x:is>
          <x:t xml:space="preserve">Nghỉ ngơi &amp; sức khỏe tinh thần</x:t>
        </x:is>
      </x:c>
      <x:c r="D329" s="81" t="inlineStr">
        <x:is>
          <x:t xml:space="preserve">Day 4 / Zhuangzi Inner Chapters 1–7</x:t>
        </x:is>
      </x:c>
      <x:c r="E329" s="81" t="str"/>
      <x:c r="F329" s="81" t="inlineStr">
        <x:is>
          <x:t xml:space="preserve">Nhận ra sự tranh đấu liên tục bên trong</x:t>
        </x:is>
      </x:c>
      <x:c r="G329" s="81" t="inlineStr">
        <x:is>
          <x:t xml:space="preserve">Mental load</x:t>
        </x:is>
      </x:c>
      <x:c r="H329" s="81" t="str"/>
      <x:c r="I329" s="81" t="str"/>
      <x:c r="J329" s="81" t="str"/>
      <x:c r="K329" s="81" t="inlineStr">
        <x:is>
          <x:t xml:space="preserve">Name</x:t>
        </x:is>
      </x:c>
      <x:c r="L329" s="81" t="inlineStr">
        <x:is>
          <x:t xml:space="preserve">Recognize</x:t>
        </x:is>
      </x:c>
      <x:c r="M329" s="81" t="inlineStr">
        <x:is>
          <x:t xml:space="preserve">Trích đoạn triết học /寓言</x:t>
        </x:is>
      </x:c>
      <x:c r="N329" s="81" t="inlineStr">
        <x:is>
          <x:t xml:space="preserve">日以心鬭。</x:t>
        </x:is>
      </x:c>
      <x:c r="O329" s="81" t="inlineStr">
        <x:is>
          <x:t xml:space="preserve">Classical Chinese (文言文)</x:t>
        </x:is>
      </x:c>
      <x:c r="P329" s="81" t="inlineStr">
        <x:is>
          <x:t xml:space="preserve">Ngày ngày, tâm trí tự giao chiến.</x:t>
        </x:is>
      </x:c>
      <x:c r="Q329" s="81" t="inlineStr">
        <x:is>
          <x:t xml:space="preserve">Zhuangzi / 莊子 (Inner Chapters attribution)</x:t>
        </x:is>
      </x:c>
      <x:c r="R329" s="81" t="inlineStr">
        <x:is>
          <x:t xml:space="preserve">Daoist / China</x:t>
        </x:is>
      </x:c>
      <x:c r="S329" s="81" t="inlineStr">
        <x:is>
          <x:t xml:space="preserve">莊子 / Zhuangzi</x:t>
        </x:is>
      </x:c>
      <x:c r="T329" s="81" t="inlineStr">
        <x:is>
          <x:t xml:space="preserve">Inner Chapter 2 — 齊物論</x:t>
        </x:is>
      </x:c>
      <x:c r="U329" s="81" t="inlineStr">
        <x:is>
          <x:t xml:space="preserve">https://zh.wikisource.org/wiki/%E8%8E%8A%E5%AD%90/%E9%BD%8A%E7%89%A9%E8%AB%96</x:t>
        </x:is>
      </x:c>
      <x:c r="V329" s="81" t="inlineStr">
        <x:is>
          <x:t xml:space="preserve">Primary text</x:t>
        </x:is>
      </x:c>
      <x:c r="W329" s="81" t="inlineStr">
        <x:is>
          <x:t xml:space="preserve">Working translation</x:t>
        </x:is>
      </x:c>
      <x:c r="X329" s="81" t="inlineStr">
        <x:is>
          <x:t xml:space="preserve">A - Primary source</x:t>
        </x:is>
      </x:c>
      <x:c r="Y329" s="81" t="inlineStr">
        <x:is>
          <x:t xml:space="preserve">Original Chinese checked against Chinese Wikisource; chapter structure cross-checked with Chinese Text Project. Vietnamese is Selflo working translation, not a published translation.</x:t>
        </x:is>
      </x:c>
      <x:c r="Z329" s="81" t="inlineStr">
        <x:is>
          <x:t xml:space="preserve">Public domain / likely</x:t>
        </x:is>
      </x:c>
      <x:c r="AA329" s="81" t="inlineStr">
        <x:is>
          <x:t xml:space="preserve">Ancient source text is public domain; verify edition/attribution and jurisdiction before commercial publication.</x:t>
        </x:is>
      </x:c>
      <x:c r="AB329" s="81" t="inlineStr">
        <x:is>
          <x:t xml:space="preserve">High</x:t>
        </x:is>
      </x:c>
      <x:c r="AC329" s="81" t="inlineStr">
        <x:is>
          <x:t xml:space="preserve">Ngắn, mạnh.</x:t>
        </x:is>
      </x:c>
      <x:c r="AD329" s="81" t="inlineStr">
        <x:is>
          <x:t xml:space="preserve">Needs editorial review</x:t>
        </x:is>
      </x:c>
      <x:c r="AE329" s="81" t="inlineStr">
        <x:is>
          <x:t xml:space="preserve">Needs semantic dedupe review</x:t>
        </x:is>
      </x:c>
      <x:c r="AF329" s="81" t="str"/>
      <x:c r="AG329" s="81" t="str"/>
      <x:c r="AH329" s="81" t="inlineStr">
        <x:is>
          <x:t xml:space="preserve">No</x:t>
        </x:is>
      </x:c>
      <x:c r="AI329" s="81" t="inlineStr">
        <x:is>
          <x:t xml:space="preserve">Not reviewed</x:t>
        </x:is>
      </x:c>
      <x:c r="AJ329" s="81" t="inlineStr">
        <x:is>
          <x:t xml:space="preserve">Research only</x:t>
        </x:is>
      </x:c>
      <x:c r="AK329" s="81" t="inlineStr">
        <x:is>
          <x:t xml:space="preserve">Research Pool</x:t>
        </x:is>
      </x:c>
      <x:c r="AL329" s="81" t="n">
        <x:v>4</x:v>
      </x:c>
      <x:c r="AM329" s="81" t="inlineStr">
        <x:is>
          <x:t xml:space="preserve">ChatGPT research</x:t>
        </x:is>
      </x:c>
      <x:c r="AN329" s="81" t="inlineStr">
        <x:is>
          <x:t xml:space="preserve">2026-09-18</x:t>
        </x:is>
      </x:c>
      <x:c r="AO329" s="81" t="inlineStr">
        <x:is>
          <x:t xml:space="preserve">Day 4 full-scope audit of Zhuangzi Inner Chapters 1–7.</x:t>
        </x:is>
      </x:c>
    </x:row>
    <x:row r="330">
      <x:c r="A330" s="81" t="inlineStr">
        <x:is>
          <x:t xml:space="preserve">research.zhuangzi.day4.ch02.012</x:t>
        </x:is>
      </x:c>
      <x:c r="B330" s="81" t="inlineStr">
        <x:is>
          <x:t xml:space="preserve">Collected</x:t>
        </x:is>
      </x:c>
      <x:c r="C330" s="81" t="inlineStr">
        <x:is>
          <x:t xml:space="preserve">Nội tâm &amp; hiểu mình</x:t>
        </x:is>
      </x:c>
      <x:c r="D330" s="81" t="inlineStr">
        <x:is>
          <x:t xml:space="preserve">Day 4 / Zhuangzi Inner Chapters 1–7</x:t>
        </x:is>
      </x:c>
      <x:c r="E330" s="81" t="str"/>
      <x:c r="F330" s="81" t="inlineStr">
        <x:is>
          <x:t xml:space="preserve">Cảm xúc có thể đến trước khi ta hiểu nguồn gốc</x:t>
        </x:is>
      </x:c>
      <x:c r="G330" s="81" t="inlineStr">
        <x:is>
          <x:t xml:space="preserve">Emotion</x:t>
        </x:is>
      </x:c>
      <x:c r="H330" s="81" t="str"/>
      <x:c r="I330" s="81" t="str"/>
      <x:c r="J330" s="81" t="str"/>
      <x:c r="K330" s="81" t="inlineStr">
        <x:is>
          <x:t xml:space="preserve">Name</x:t>
        </x:is>
      </x:c>
      <x:c r="L330" s="81" t="inlineStr">
        <x:is>
          <x:t xml:space="preserve">Recognize</x:t>
        </x:is>
      </x:c>
      <x:c r="M330" s="81" t="inlineStr">
        <x:is>
          <x:t xml:space="preserve">Trích đoạn triết học /寓言</x:t>
        </x:is>
      </x:c>
      <x:c r="N330" s="81" t="inlineStr">
        <x:is>
          <x:t xml:space="preserve">喜怒哀樂……日夜相代乎前，而莫知其所萌。</x:t>
        </x:is>
      </x:c>
      <x:c r="O330" s="81" t="inlineStr">
        <x:is>
          <x:t xml:space="preserve">Classical Chinese (文言文)</x:t>
        </x:is>
      </x:c>
      <x:c r="P330" s="81" t="inlineStr">
        <x:is>
          <x:t xml:space="preserve">Vui, giận, buồn, lo thay nhau ngày đêm, mà ta không phải lúc nào cũng biết chúng khởi từ đâu.</x:t>
        </x:is>
      </x:c>
      <x:c r="Q330" s="81" t="inlineStr">
        <x:is>
          <x:t xml:space="preserve">Zhuangzi / 莊子 (Inner Chapters attribution)</x:t>
        </x:is>
      </x:c>
      <x:c r="R330" s="81" t="inlineStr">
        <x:is>
          <x:t xml:space="preserve">Daoist / China</x:t>
        </x:is>
      </x:c>
      <x:c r="S330" s="81" t="inlineStr">
        <x:is>
          <x:t xml:space="preserve">莊子 / Zhuangzi</x:t>
        </x:is>
      </x:c>
      <x:c r="T330" s="81" t="inlineStr">
        <x:is>
          <x:t xml:space="preserve">Inner Chapter 2 — 齊物論</x:t>
        </x:is>
      </x:c>
      <x:c r="U330" s="81" t="inlineStr">
        <x:is>
          <x:t xml:space="preserve">https://zh.wikisource.org/wiki/%E8%8E%8A%E5%AD%90/%E9%BD%8A%E7%89%A9%E8%AB%96</x:t>
        </x:is>
      </x:c>
      <x:c r="V330" s="81" t="inlineStr">
        <x:is>
          <x:t xml:space="preserve">Primary text</x:t>
        </x:is>
      </x:c>
      <x:c r="W330" s="81" t="inlineStr">
        <x:is>
          <x:t xml:space="preserve">Working translation</x:t>
        </x:is>
      </x:c>
      <x:c r="X330" s="81" t="inlineStr">
        <x:is>
          <x:t xml:space="preserve">A - Primary source</x:t>
        </x:is>
      </x:c>
      <x:c r="Y330" s="81" t="inlineStr">
        <x:is>
          <x:t xml:space="preserve">Original Chinese checked against Chinese Wikisource; chapter structure cross-checked with Chinese Text Project. Vietnamese is Selflo working translation, not a published translation.</x:t>
        </x:is>
      </x:c>
      <x:c r="Z330" s="81" t="inlineStr">
        <x:is>
          <x:t xml:space="preserve">Public domain / likely</x:t>
        </x:is>
      </x:c>
      <x:c r="AA330" s="81" t="inlineStr">
        <x:is>
          <x:t xml:space="preserve">Ancient source text is public domain; verify edition/attribution and jurisdiction before commercial publication.</x:t>
        </x:is>
      </x:c>
      <x:c r="AB330" s="81" t="inlineStr">
        <x:is>
          <x:t xml:space="preserve">High</x:t>
        </x:is>
      </x:c>
      <x:c r="AC330" s="81" t="inlineStr">
        <x:is>
          <x:t xml:space="preserve">Strong self-understanding.</x:t>
        </x:is>
      </x:c>
      <x:c r="AD330" s="81" t="inlineStr">
        <x:is>
          <x:t xml:space="preserve">Needs editorial review</x:t>
        </x:is>
      </x:c>
      <x:c r="AE330" s="81" t="inlineStr">
        <x:is>
          <x:t xml:space="preserve">Needs semantic dedupe review</x:t>
        </x:is>
      </x:c>
      <x:c r="AF330" s="81" t="str"/>
      <x:c r="AG330" s="81" t="str"/>
      <x:c r="AH330" s="81" t="inlineStr">
        <x:is>
          <x:t xml:space="preserve">No</x:t>
        </x:is>
      </x:c>
      <x:c r="AI330" s="81" t="inlineStr">
        <x:is>
          <x:t xml:space="preserve">Not reviewed</x:t>
        </x:is>
      </x:c>
      <x:c r="AJ330" s="81" t="inlineStr">
        <x:is>
          <x:t xml:space="preserve">Research only</x:t>
        </x:is>
      </x:c>
      <x:c r="AK330" s="81" t="inlineStr">
        <x:is>
          <x:t xml:space="preserve">Research Pool</x:t>
        </x:is>
      </x:c>
      <x:c r="AL330" s="81" t="n">
        <x:v>4</x:v>
      </x:c>
      <x:c r="AM330" s="81" t="inlineStr">
        <x:is>
          <x:t xml:space="preserve">ChatGPT research</x:t>
        </x:is>
      </x:c>
      <x:c r="AN330" s="81" t="inlineStr">
        <x:is>
          <x:t xml:space="preserve">2026-09-18</x:t>
        </x:is>
      </x:c>
      <x:c r="AO330" s="81" t="inlineStr">
        <x:is>
          <x:t xml:space="preserve">Day 4 full-scope audit of Zhuangzi Inner Chapters 1–7.</x:t>
        </x:is>
      </x:c>
    </x:row>
    <x:row r="331">
      <x:c r="A331" s="81" t="inlineStr">
        <x:is>
          <x:t xml:space="preserve">research.zhuangzi.day4.ch02.013</x:t>
        </x:is>
      </x:c>
      <x:c r="B331" s="81" t="inlineStr">
        <x:is>
          <x:t xml:space="preserve">Collected</x:t>
        </x:is>
      </x:c>
      <x:c r="C331" s="81" t="inlineStr">
        <x:is>
          <x:t xml:space="preserve">AI &amp; tương lai</x:t>
        </x:is>
      </x:c>
      <x:c r="D331" s="81" t="inlineStr">
        <x:is>
          <x:t xml:space="preserve">Day 4 / Zhuangzi Inner Chapters 1–7</x:t>
        </x:is>
      </x:c>
      <x:c r="E331" s="81" t="str"/>
      <x:c r="F331" s="81" t="inlineStr">
        <x:is>
          <x:t xml:space="preserve">Một việc có thể được nhìn từ nhiều vị trí</x:t>
        </x:is>
      </x:c>
      <x:c r="G331" s="81" t="inlineStr">
        <x:is>
          <x:t xml:space="preserve">Perspective</x:t>
        </x:is>
      </x:c>
      <x:c r="H331" s="81" t="str"/>
      <x:c r="I331" s="81" t="str"/>
      <x:c r="J331" s="81" t="str"/>
      <x:c r="K331" s="81" t="inlineStr">
        <x:is>
          <x:t xml:space="preserve">Distinguish</x:t>
        </x:is>
      </x:c>
      <x:c r="L331" s="81" t="inlineStr">
        <x:is>
          <x:t xml:space="preserve">Recognize</x:t>
        </x:is>
      </x:c>
      <x:c r="M331" s="81" t="inlineStr">
        <x:is>
          <x:t xml:space="preserve">Trích đoạn triết học /寓言</x:t>
        </x:is>
      </x:c>
      <x:c r="N331" s="81" t="inlineStr">
        <x:is>
          <x:t xml:space="preserve">物无非彼，物无非是。</x:t>
        </x:is>
      </x:c>
      <x:c r="O331" s="81" t="inlineStr">
        <x:is>
          <x:t xml:space="preserve">Classical Chinese (文言文)</x:t>
        </x:is>
      </x:c>
      <x:c r="P331" s="81" t="inlineStr">
        <x:is>
          <x:t xml:space="preserve">Không vật nào chỉ là 'phía kia'; cũng không vật nào chỉ là 'phía này'.</x:t>
        </x:is>
      </x:c>
      <x:c r="Q331" s="81" t="inlineStr">
        <x:is>
          <x:t xml:space="preserve">Zhuangzi / 莊子 (Inner Chapters attribution)</x:t>
        </x:is>
      </x:c>
      <x:c r="R331" s="81" t="inlineStr">
        <x:is>
          <x:t xml:space="preserve">Daoist / China</x:t>
        </x:is>
      </x:c>
      <x:c r="S331" s="81" t="inlineStr">
        <x:is>
          <x:t xml:space="preserve">莊子 / Zhuangzi</x:t>
        </x:is>
      </x:c>
      <x:c r="T331" s="81" t="inlineStr">
        <x:is>
          <x:t xml:space="preserve">Inner Chapter 2 — 齊物論</x:t>
        </x:is>
      </x:c>
      <x:c r="U331" s="81" t="inlineStr">
        <x:is>
          <x:t xml:space="preserve">https://zh.wikisource.org/wiki/%E8%8E%8A%E5%AD%90/%E9%BD%8A%E7%89%A9%E8%AB%96</x:t>
        </x:is>
      </x:c>
      <x:c r="V331" s="81" t="inlineStr">
        <x:is>
          <x:t xml:space="preserve">Primary text</x:t>
        </x:is>
      </x:c>
      <x:c r="W331" s="81" t="inlineStr">
        <x:is>
          <x:t xml:space="preserve">Working translation</x:t>
        </x:is>
      </x:c>
      <x:c r="X331" s="81" t="inlineStr">
        <x:is>
          <x:t xml:space="preserve">A - Primary source</x:t>
        </x:is>
      </x:c>
      <x:c r="Y331" s="81" t="inlineStr">
        <x:is>
          <x:t xml:space="preserve">Original Chinese checked against Chinese Wikisource; chapter structure cross-checked with Chinese Text Project. Vietnamese is Selflo working translation, not a published translation.</x:t>
        </x:is>
      </x:c>
      <x:c r="Z331" s="81" t="inlineStr">
        <x:is>
          <x:t xml:space="preserve">Public domain / likely</x:t>
        </x:is>
      </x:c>
      <x:c r="AA331" s="81" t="inlineStr">
        <x:is>
          <x:t xml:space="preserve">Ancient source text is public domain; verify edition/attribution and jurisdiction before commercial publication.</x:t>
        </x:is>
      </x:c>
      <x:c r="AB331" s="81" t="inlineStr">
        <x:is>
          <x:t xml:space="preserve">High</x:t>
        </x:is>
      </x:c>
      <x:c r="AC331" s="81" t="inlineStr">
        <x:is>
          <x:t xml:space="preserve">Strong.</x:t>
        </x:is>
      </x:c>
      <x:c r="AD331" s="81" t="inlineStr">
        <x:is>
          <x:t xml:space="preserve">Needs editorial review</x:t>
        </x:is>
      </x:c>
      <x:c r="AE331" s="81" t="inlineStr">
        <x:is>
          <x:t xml:space="preserve">Needs semantic dedupe review</x:t>
        </x:is>
      </x:c>
      <x:c r="AF331" s="81" t="str"/>
      <x:c r="AG331" s="81" t="str"/>
      <x:c r="AH331" s="81" t="inlineStr">
        <x:is>
          <x:t xml:space="preserve">No</x:t>
        </x:is>
      </x:c>
      <x:c r="AI331" s="81" t="inlineStr">
        <x:is>
          <x:t xml:space="preserve">Not reviewed</x:t>
        </x:is>
      </x:c>
      <x:c r="AJ331" s="81" t="inlineStr">
        <x:is>
          <x:t xml:space="preserve">Research only</x:t>
        </x:is>
      </x:c>
      <x:c r="AK331" s="81" t="inlineStr">
        <x:is>
          <x:t xml:space="preserve">Research Pool</x:t>
        </x:is>
      </x:c>
      <x:c r="AL331" s="81" t="n">
        <x:v>4</x:v>
      </x:c>
      <x:c r="AM331" s="81" t="inlineStr">
        <x:is>
          <x:t xml:space="preserve">ChatGPT research</x:t>
        </x:is>
      </x:c>
      <x:c r="AN331" s="81" t="inlineStr">
        <x:is>
          <x:t xml:space="preserve">2026-09-18</x:t>
        </x:is>
      </x:c>
      <x:c r="AO331" s="81" t="inlineStr">
        <x:is>
          <x:t xml:space="preserve">Day 4 full-scope audit of Zhuangzi Inner Chapters 1–7.</x:t>
        </x:is>
      </x:c>
    </x:row>
    <x:row r="332">
      <x:c r="A332" s="81" t="inlineStr">
        <x:is>
          <x:t xml:space="preserve">research.zhuangzi.day4.ch02.014</x:t>
        </x:is>
      </x:c>
      <x:c r="B332" s="81" t="inlineStr">
        <x:is>
          <x:t xml:space="preserve">Collected</x:t>
        </x:is>
      </x:c>
      <x:c r="C332" s="81" t="inlineStr">
        <x:is>
          <x:t xml:space="preserve">Nội tâm &amp; hiểu mình</x:t>
        </x:is>
      </x:c>
      <x:c r="D332" s="81" t="inlineStr">
        <x:is>
          <x:t xml:space="preserve">Day 4 / Zhuangzi Inner Chapters 1–7</x:t>
        </x:is>
      </x:c>
      <x:c r="E332" s="81" t="str"/>
      <x:c r="F332" s="81" t="inlineStr">
        <x:is>
          <x:t xml:space="preserve">Hai phía định hình lẫn nhau</x:t>
        </x:is>
      </x:c>
      <x:c r="G332" s="81" t="inlineStr">
        <x:is>
          <x:t xml:space="preserve">Relational opposites</x:t>
        </x:is>
      </x:c>
      <x:c r="H332" s="81" t="str"/>
      <x:c r="I332" s="81" t="str"/>
      <x:c r="J332" s="81" t="str"/>
      <x:c r="K332" s="81" t="inlineStr">
        <x:is>
          <x:t xml:space="preserve">Reframe</x:t>
        </x:is>
      </x:c>
      <x:c r="L332" s="81" t="inlineStr">
        <x:is>
          <x:t xml:space="preserve">Recognize</x:t>
        </x:is>
      </x:c>
      <x:c r="M332" s="81" t="inlineStr">
        <x:is>
          <x:t xml:space="preserve">Trích đoạn triết học /寓言</x:t>
        </x:is>
      </x:c>
      <x:c r="N332" s="81" t="inlineStr">
        <x:is>
          <x:t xml:space="preserve">彼出於是，是亦因彼。</x:t>
        </x:is>
      </x:c>
      <x:c r="O332" s="81" t="inlineStr">
        <x:is>
          <x:t xml:space="preserve">Classical Chinese (文言文)</x:t>
        </x:is>
      </x:c>
      <x:c r="P332" s="81" t="inlineStr">
        <x:is>
          <x:t xml:space="preserve">Cái kia nảy từ cái này; cái này cũng nhờ cái kia mà thành.</x:t>
        </x:is>
      </x:c>
      <x:c r="Q332" s="81" t="inlineStr">
        <x:is>
          <x:t xml:space="preserve">Zhuangzi / 莊子 (Inner Chapters attribution)</x:t>
        </x:is>
      </x:c>
      <x:c r="R332" s="81" t="inlineStr">
        <x:is>
          <x:t xml:space="preserve">Daoist / China</x:t>
        </x:is>
      </x:c>
      <x:c r="S332" s="81" t="inlineStr">
        <x:is>
          <x:t xml:space="preserve">莊子 / Zhuangzi</x:t>
        </x:is>
      </x:c>
      <x:c r="T332" s="81" t="inlineStr">
        <x:is>
          <x:t xml:space="preserve">Inner Chapter 2 — 齊物論</x:t>
        </x:is>
      </x:c>
      <x:c r="U332" s="81" t="inlineStr">
        <x:is>
          <x:t xml:space="preserve">https://zh.wikisource.org/wiki/%E8%8E%8A%E5%AD%90/%E9%BD%8A%E7%89%A9%E8%AB%96</x:t>
        </x:is>
      </x:c>
      <x:c r="V332" s="81" t="inlineStr">
        <x:is>
          <x:t xml:space="preserve">Primary text</x:t>
        </x:is>
      </x:c>
      <x:c r="W332" s="81" t="inlineStr">
        <x:is>
          <x:t xml:space="preserve">Working translation</x:t>
        </x:is>
      </x:c>
      <x:c r="X332" s="81" t="inlineStr">
        <x:is>
          <x:t xml:space="preserve">A - Primary source</x:t>
        </x:is>
      </x:c>
      <x:c r="Y332" s="81" t="inlineStr">
        <x:is>
          <x:t xml:space="preserve">Original Chinese checked against Chinese Wikisource; chapter structure cross-checked with Chinese Text Project. Vietnamese is Selflo working translation, not a published translation.</x:t>
        </x:is>
      </x:c>
      <x:c r="Z332" s="81" t="inlineStr">
        <x:is>
          <x:t xml:space="preserve">Public domain / likely</x:t>
        </x:is>
      </x:c>
      <x:c r="AA332" s="81" t="inlineStr">
        <x:is>
          <x:t xml:space="preserve">Ancient source text is public domain; verify edition/attribution and jurisdiction before commercial publication.</x:t>
        </x:is>
      </x:c>
      <x:c r="AB332" s="81" t="inlineStr">
        <x:is>
          <x:t xml:space="preserve">High</x:t>
        </x:is>
      </x:c>
      <x:c r="AC332" s="81" t="inlineStr">
        <x:is>
          <x:t xml:space="preserve">Gần Laozi nhưng Zhuangzi nuance.</x:t>
        </x:is>
      </x:c>
      <x:c r="AD332" s="81" t="inlineStr">
        <x:is>
          <x:t xml:space="preserve">Needs editorial review</x:t>
        </x:is>
      </x:c>
      <x:c r="AE332" s="81" t="inlineStr">
        <x:is>
          <x:t xml:space="preserve">Needs semantic dedupe review</x:t>
        </x:is>
      </x:c>
      <x:c r="AF332" s="81" t="str"/>
      <x:c r="AG332" s="81" t="str"/>
      <x:c r="AH332" s="81" t="inlineStr">
        <x:is>
          <x:t xml:space="preserve">No</x:t>
        </x:is>
      </x:c>
      <x:c r="AI332" s="81" t="inlineStr">
        <x:is>
          <x:t xml:space="preserve">Not reviewed</x:t>
        </x:is>
      </x:c>
      <x:c r="AJ332" s="81" t="inlineStr">
        <x:is>
          <x:t xml:space="preserve">Research only</x:t>
        </x:is>
      </x:c>
      <x:c r="AK332" s="81" t="inlineStr">
        <x:is>
          <x:t xml:space="preserve">Research Pool</x:t>
        </x:is>
      </x:c>
      <x:c r="AL332" s="81" t="n">
        <x:v>4</x:v>
      </x:c>
      <x:c r="AM332" s="81" t="inlineStr">
        <x:is>
          <x:t xml:space="preserve">ChatGPT research</x:t>
        </x:is>
      </x:c>
      <x:c r="AN332" s="81" t="inlineStr">
        <x:is>
          <x:t xml:space="preserve">2026-09-18</x:t>
        </x:is>
      </x:c>
      <x:c r="AO332" s="81" t="inlineStr">
        <x:is>
          <x:t xml:space="preserve">Day 4 full-scope audit of Zhuangzi Inner Chapters 1–7.</x:t>
        </x:is>
      </x:c>
    </x:row>
    <x:row r="333">
      <x:c r="A333" s="81" t="inlineStr">
        <x:is>
          <x:t xml:space="preserve">research.zhuangzi.day4.ch02.015</x:t>
        </x:is>
      </x:c>
      <x:c r="B333" s="81" t="inlineStr">
        <x:is>
          <x:t xml:space="preserve">Collected</x:t>
        </x:is>
      </x:c>
      <x:c r="C333" s="81" t="inlineStr">
        <x:is>
          <x:t xml:space="preserve">AI &amp; tương lai</x:t>
        </x:is>
      </x:c>
      <x:c r="D333" s="81" t="inlineStr">
        <x:is>
          <x:t xml:space="preserve">Day 4 / Zhuangzi Inner Chapters 1–7</x:t>
        </x:is>
      </x:c>
      <x:c r="E333" s="81" t="str"/>
      <x:c r="F333" s="81" t="inlineStr">
        <x:is>
          <x:t xml:space="preserve">Thành tựu/lời đẹp có thể che phần sâu hơn</x:t>
        </x:is>
      </x:c>
      <x:c r="G333" s="81" t="inlineStr">
        <x:is>
          <x:t xml:space="preserve">Judgment</x:t>
        </x:is>
      </x:c>
      <x:c r="H333" s="81" t="str"/>
      <x:c r="I333" s="81" t="str"/>
      <x:c r="J333" s="81" t="str"/>
      <x:c r="K333" s="81" t="inlineStr">
        <x:is>
          <x:t xml:space="preserve">Distinguish</x:t>
        </x:is>
      </x:c>
      <x:c r="L333" s="81" t="inlineStr">
        <x:is>
          <x:t xml:space="preserve">Recognize</x:t>
        </x:is>
      </x:c>
      <x:c r="M333" s="81" t="inlineStr">
        <x:is>
          <x:t xml:space="preserve">Trích đoạn triết học /寓言</x:t>
        </x:is>
      </x:c>
      <x:c r="N333" s="81" t="inlineStr">
        <x:is>
          <x:t xml:space="preserve">道隱於小成，言隱於榮華。</x:t>
        </x:is>
      </x:c>
      <x:c r="O333" s="81" t="inlineStr">
        <x:is>
          <x:t xml:space="preserve">Classical Chinese (文言文)</x:t>
        </x:is>
      </x:c>
      <x:c r="P333" s="81" t="inlineStr">
        <x:is>
          <x:t xml:space="preserve">Đường lớn có thể bị che bởi những thành tựu nhỏ; điều muốn nói có thể bị che bởi lời quá đẹp.</x:t>
        </x:is>
      </x:c>
      <x:c r="Q333" s="81" t="inlineStr">
        <x:is>
          <x:t xml:space="preserve">Zhuangzi / 莊子 (Inner Chapters attribution)</x:t>
        </x:is>
      </x:c>
      <x:c r="R333" s="81" t="inlineStr">
        <x:is>
          <x:t xml:space="preserve">Daoist / China</x:t>
        </x:is>
      </x:c>
      <x:c r="S333" s="81" t="inlineStr">
        <x:is>
          <x:t xml:space="preserve">莊子 / Zhuangzi</x:t>
        </x:is>
      </x:c>
      <x:c r="T333" s="81" t="inlineStr">
        <x:is>
          <x:t xml:space="preserve">Inner Chapter 2 — 齊物論</x:t>
        </x:is>
      </x:c>
      <x:c r="U333" s="81" t="inlineStr">
        <x:is>
          <x:t xml:space="preserve">https://zh.wikisource.org/wiki/%E8%8E%8A%E5%AD%90/%E9%BD%8A%E7%89%A9%E8%AB%96</x:t>
        </x:is>
      </x:c>
      <x:c r="V333" s="81" t="inlineStr">
        <x:is>
          <x:t xml:space="preserve">Primary text</x:t>
        </x:is>
      </x:c>
      <x:c r="W333" s="81" t="inlineStr">
        <x:is>
          <x:t xml:space="preserve">Working translation</x:t>
        </x:is>
      </x:c>
      <x:c r="X333" s="81" t="inlineStr">
        <x:is>
          <x:t xml:space="preserve">A - Primary source</x:t>
        </x:is>
      </x:c>
      <x:c r="Y333" s="81" t="inlineStr">
        <x:is>
          <x:t xml:space="preserve">Original Chinese checked against Chinese Wikisource; chapter structure cross-checked with Chinese Text Project. Vietnamese is Selflo working translation, not a published translation.</x:t>
        </x:is>
      </x:c>
      <x:c r="Z333" s="81" t="inlineStr">
        <x:is>
          <x:t xml:space="preserve">Public domain / likely</x:t>
        </x:is>
      </x:c>
      <x:c r="AA333" s="81" t="inlineStr">
        <x:is>
          <x:t xml:space="preserve">Ancient source text is public domain; verify edition/attribution and jurisdiction before commercial publication.</x:t>
        </x:is>
      </x:c>
      <x:c r="AB333" s="81" t="inlineStr">
        <x:is>
          <x:t xml:space="preserve">High</x:t>
        </x:is>
      </x:c>
      <x:c r="AC333" s="81" t="inlineStr">
        <x:is>
          <x:t xml:space="preserve">AI content literacy.</x:t>
        </x:is>
      </x:c>
      <x:c r="AD333" s="81" t="inlineStr">
        <x:is>
          <x:t xml:space="preserve">Needs editorial review</x:t>
        </x:is>
      </x:c>
      <x:c r="AE333" s="81" t="inlineStr">
        <x:is>
          <x:t xml:space="preserve">Needs semantic dedupe review</x:t>
        </x:is>
      </x:c>
      <x:c r="AF333" s="81" t="str"/>
      <x:c r="AG333" s="81" t="str"/>
      <x:c r="AH333" s="81" t="inlineStr">
        <x:is>
          <x:t xml:space="preserve">No</x:t>
        </x:is>
      </x:c>
      <x:c r="AI333" s="81" t="inlineStr">
        <x:is>
          <x:t xml:space="preserve">Not reviewed</x:t>
        </x:is>
      </x:c>
      <x:c r="AJ333" s="81" t="inlineStr">
        <x:is>
          <x:t xml:space="preserve">Research only</x:t>
        </x:is>
      </x:c>
      <x:c r="AK333" s="81" t="inlineStr">
        <x:is>
          <x:t xml:space="preserve">Research Pool</x:t>
        </x:is>
      </x:c>
      <x:c r="AL333" s="81" t="n">
        <x:v>4</x:v>
      </x:c>
      <x:c r="AM333" s="81" t="inlineStr">
        <x:is>
          <x:t xml:space="preserve">ChatGPT research</x:t>
        </x:is>
      </x:c>
      <x:c r="AN333" s="81" t="inlineStr">
        <x:is>
          <x:t xml:space="preserve">2026-09-18</x:t>
        </x:is>
      </x:c>
      <x:c r="AO333" s="81" t="inlineStr">
        <x:is>
          <x:t xml:space="preserve">Day 4 full-scope audit of Zhuangzi Inner Chapters 1–7.</x:t>
        </x:is>
      </x:c>
    </x:row>
    <x:row r="334">
      <x:c r="A334" s="81" t="inlineStr">
        <x:is>
          <x:t xml:space="preserve">research.zhuangzi.day4.ch02.016</x:t>
        </x:is>
      </x:c>
      <x:c r="B334" s="81" t="inlineStr">
        <x:is>
          <x:t xml:space="preserve">Collected</x:t>
        </x:is>
      </x:c>
      <x:c r="C334" s="81" t="inlineStr">
        <x:is>
          <x:t xml:space="preserve">AI &amp; tương lai</x:t>
        </x:is>
      </x:c>
      <x:c r="D334" s="81" t="inlineStr">
        <x:is>
          <x:t xml:space="preserve">Day 4 / Zhuangzi Inner Chapters 1–7</x:t>
        </x:is>
      </x:c>
      <x:c r="E334" s="81" t="str"/>
      <x:c r="F334" s="81" t="inlineStr">
        <x:is>
          <x:t xml:space="preserve">Framing có thể đổi cảm nhận dù thực chất chưa đổi</x:t>
        </x:is>
      </x:c>
      <x:c r="G334" s="81" t="inlineStr">
        <x:is>
          <x:t xml:space="preserve">Framing</x:t>
        </x:is>
      </x:c>
      <x:c r="H334" s="81" t="str"/>
      <x:c r="I334" s="81" t="str"/>
      <x:c r="J334" s="81" t="str"/>
      <x:c r="K334" s="81" t="inlineStr">
        <x:is>
          <x:t xml:space="preserve">Recognize</x:t>
        </x:is>
      </x:c>
      <x:c r="L334" s="81" t="inlineStr">
        <x:is>
          <x:t xml:space="preserve">Distinguish</x:t>
        </x:is>
      </x:c>
      <x:c r="M334" s="81" t="inlineStr">
        <x:is>
          <x:t xml:space="preserve">Trích đoạn triết học /寓言</x:t>
        </x:is>
      </x:c>
      <x:c r="N334" s="81" t="inlineStr">
        <x:is>
          <x:t xml:space="preserve">名實未虧而喜怒爲用。</x:t>
        </x:is>
      </x:c>
      <x:c r="O334" s="81" t="inlineStr">
        <x:is>
          <x:t xml:space="preserve">Classical Chinese (文言文)</x:t>
        </x:is>
      </x:c>
      <x:c r="P334" s="81" t="inlineStr">
        <x:is>
          <x:t xml:space="preserve">Thực chất không đổi mà cảm xúc đã đổi chỉ vì cách gọi khác đi.</x:t>
        </x:is>
      </x:c>
      <x:c r="Q334" s="81" t="inlineStr">
        <x:is>
          <x:t xml:space="preserve">Zhuangzi / 莊子 (Inner Chapters attribution)</x:t>
        </x:is>
      </x:c>
      <x:c r="R334" s="81" t="inlineStr">
        <x:is>
          <x:t xml:space="preserve">Daoist / China</x:t>
        </x:is>
      </x:c>
      <x:c r="S334" s="81" t="inlineStr">
        <x:is>
          <x:t xml:space="preserve">莊子 / Zhuangzi</x:t>
        </x:is>
      </x:c>
      <x:c r="T334" s="81" t="inlineStr">
        <x:is>
          <x:t xml:space="preserve">Inner Chapter 2 — 齊物論</x:t>
        </x:is>
      </x:c>
      <x:c r="U334" s="81" t="inlineStr">
        <x:is>
          <x:t xml:space="preserve">https://zh.wikisource.org/wiki/%E8%8E%8A%E5%AD%90/%E9%BD%8A%E7%89%A9%E8%AB%96</x:t>
        </x:is>
      </x:c>
      <x:c r="V334" s="81" t="inlineStr">
        <x:is>
          <x:t xml:space="preserve">Primary text</x:t>
        </x:is>
      </x:c>
      <x:c r="W334" s="81" t="inlineStr">
        <x:is>
          <x:t xml:space="preserve">Working translation</x:t>
        </x:is>
      </x:c>
      <x:c r="X334" s="81" t="inlineStr">
        <x:is>
          <x:t xml:space="preserve">A - Primary source</x:t>
        </x:is>
      </x:c>
      <x:c r="Y334" s="81" t="inlineStr">
        <x:is>
          <x:t xml:space="preserve">Original Chinese checked against Chinese Wikisource; chapter structure cross-checked with Chinese Text Project. Vietnamese is Selflo working translation, not a published translation.</x:t>
        </x:is>
      </x:c>
      <x:c r="Z334" s="81" t="inlineStr">
        <x:is>
          <x:t xml:space="preserve">Public domain / likely</x:t>
        </x:is>
      </x:c>
      <x:c r="AA334" s="81" t="inlineStr">
        <x:is>
          <x:t xml:space="preserve">Ancient source text is public domain; verify edition/attribution and jurisdiction before commercial publication.</x:t>
        </x:is>
      </x:c>
      <x:c r="AB334" s="81" t="inlineStr">
        <x:is>
          <x:t xml:space="preserve">High</x:t>
        </x:is>
      </x:c>
      <x:c r="AC334" s="81" t="inlineStr">
        <x:is>
          <x:t xml:space="preserve">Story ba-sáng-bốn-tối.</x:t>
        </x:is>
      </x:c>
      <x:c r="AD334" s="81" t="inlineStr">
        <x:is>
          <x:t xml:space="preserve">Needs editorial review</x:t>
        </x:is>
      </x:c>
      <x:c r="AE334" s="81" t="inlineStr">
        <x:is>
          <x:t xml:space="preserve">Needs semantic dedupe review</x:t>
        </x:is>
      </x:c>
      <x:c r="AF334" s="81" t="str"/>
      <x:c r="AG334" s="81" t="str"/>
      <x:c r="AH334" s="81" t="inlineStr">
        <x:is>
          <x:t xml:space="preserve">No</x:t>
        </x:is>
      </x:c>
      <x:c r="AI334" s="81" t="inlineStr">
        <x:is>
          <x:t xml:space="preserve">Not reviewed</x:t>
        </x:is>
      </x:c>
      <x:c r="AJ334" s="81" t="inlineStr">
        <x:is>
          <x:t xml:space="preserve">Research only</x:t>
        </x:is>
      </x:c>
      <x:c r="AK334" s="81" t="inlineStr">
        <x:is>
          <x:t xml:space="preserve">Research Pool</x:t>
        </x:is>
      </x:c>
      <x:c r="AL334" s="81" t="n">
        <x:v>4</x:v>
      </x:c>
      <x:c r="AM334" s="81" t="inlineStr">
        <x:is>
          <x:t xml:space="preserve">ChatGPT research</x:t>
        </x:is>
      </x:c>
      <x:c r="AN334" s="81" t="inlineStr">
        <x:is>
          <x:t xml:space="preserve">2026-09-18</x:t>
        </x:is>
      </x:c>
      <x:c r="AO334" s="81" t="inlineStr">
        <x:is>
          <x:t xml:space="preserve">Day 4 full-scope audit of Zhuangzi Inner Chapters 1–7.</x:t>
        </x:is>
      </x:c>
    </x:row>
    <x:row r="335">
      <x:c r="A335" s="81" t="inlineStr">
        <x:is>
          <x:t xml:space="preserve">research.zhuangzi.day4.ch02.017</x:t>
        </x:is>
      </x:c>
      <x:c r="B335" s="81" t="inlineStr">
        <x:is>
          <x:t xml:space="preserve">Collected</x:t>
        </x:is>
      </x:c>
      <x:c r="C335" s="81" t="inlineStr">
        <x:is>
          <x:t xml:space="preserve">AI &amp; tương lai</x:t>
        </x:is>
      </x:c>
      <x:c r="D335" s="81" t="inlineStr">
        <x:is>
          <x:t xml:space="preserve">Day 4 / Zhuangzi Inner Chapters 1–7</x:t>
        </x:is>
      </x:c>
      <x:c r="E335" s="81" t="str"/>
      <x:c r="F335" s="81" t="inlineStr">
        <x:is>
          <x:t xml:space="preserve">Nhận ra giới hạn hiểu biết</x:t>
        </x:is>
      </x:c>
      <x:c r="G335" s="81" t="inlineStr">
        <x:is>
          <x:t xml:space="preserve">Judgment</x:t>
        </x:is>
      </x:c>
      <x:c r="H335" s="81" t="str"/>
      <x:c r="I335" s="81" t="str"/>
      <x:c r="J335" s="81" t="str"/>
      <x:c r="K335" s="81" t="inlineStr">
        <x:is>
          <x:t xml:space="preserve">Permit</x:t>
        </x:is>
      </x:c>
      <x:c r="L335" s="81" t="inlineStr">
        <x:is>
          <x:t xml:space="preserve">Recognize</x:t>
        </x:is>
      </x:c>
      <x:c r="M335" s="81" t="inlineStr">
        <x:is>
          <x:t xml:space="preserve">Trích đoạn triết học /寓言</x:t>
        </x:is>
      </x:c>
      <x:c r="N335" s="81" t="inlineStr">
        <x:is>
          <x:t xml:space="preserve">知止其所不知，至矣。</x:t>
        </x:is>
      </x:c>
      <x:c r="O335" s="81" t="inlineStr">
        <x:is>
          <x:t xml:space="preserve">Classical Chinese (文言文)</x:t>
        </x:is>
      </x:c>
      <x:c r="P335" s="81" t="inlineStr">
        <x:is>
          <x:t xml:space="preserve">Biết dừng ở chỗ mình chưa biết là một mức hiểu biết rất cao.</x:t>
        </x:is>
      </x:c>
      <x:c r="Q335" s="81" t="inlineStr">
        <x:is>
          <x:t xml:space="preserve">Zhuangzi / 莊子 (Inner Chapters attribution)</x:t>
        </x:is>
      </x:c>
      <x:c r="R335" s="81" t="inlineStr">
        <x:is>
          <x:t xml:space="preserve">Daoist / China</x:t>
        </x:is>
      </x:c>
      <x:c r="S335" s="81" t="inlineStr">
        <x:is>
          <x:t xml:space="preserve">莊子 / Zhuangzi</x:t>
        </x:is>
      </x:c>
      <x:c r="T335" s="81" t="inlineStr">
        <x:is>
          <x:t xml:space="preserve">Inner Chapter 2 — 齊物論</x:t>
        </x:is>
      </x:c>
      <x:c r="U335" s="81" t="inlineStr">
        <x:is>
          <x:t xml:space="preserve">https://zh.wikisource.org/wiki/%E8%8E%8A%E5%AD%90/%E9%BD%8A%E7%89%A9%E8%AB%96</x:t>
        </x:is>
      </x:c>
      <x:c r="V335" s="81" t="inlineStr">
        <x:is>
          <x:t xml:space="preserve">Primary text</x:t>
        </x:is>
      </x:c>
      <x:c r="W335" s="81" t="inlineStr">
        <x:is>
          <x:t xml:space="preserve">Working translation</x:t>
        </x:is>
      </x:c>
      <x:c r="X335" s="81" t="inlineStr">
        <x:is>
          <x:t xml:space="preserve">A - Primary source</x:t>
        </x:is>
      </x:c>
      <x:c r="Y335" s="81" t="inlineStr">
        <x:is>
          <x:t xml:space="preserve">Original Chinese checked against Chinese Wikisource; chapter structure cross-checked with Chinese Text Project. Vietnamese is Selflo working translation, not a published translation.</x:t>
        </x:is>
      </x:c>
      <x:c r="Z335" s="81" t="inlineStr">
        <x:is>
          <x:t xml:space="preserve">Public domain / likely</x:t>
        </x:is>
      </x:c>
      <x:c r="AA335" s="81" t="inlineStr">
        <x:is>
          <x:t xml:space="preserve">Ancient source text is public domain; verify edition/attribution and jurisdiction before commercial publication.</x:t>
        </x:is>
      </x:c>
      <x:c r="AB335" s="81" t="inlineStr">
        <x:is>
          <x:t xml:space="preserve">High</x:t>
        </x:is>
      </x:c>
      <x:c r="AC335" s="81" t="inlineStr">
        <x:is>
          <x:t xml:space="preserve">Core AI-age.</x:t>
        </x:is>
      </x:c>
      <x:c r="AD335" s="81" t="inlineStr">
        <x:is>
          <x:t xml:space="preserve">Needs editorial review</x:t>
        </x:is>
      </x:c>
      <x:c r="AE335" s="81" t="inlineStr">
        <x:is>
          <x:t xml:space="preserve">Needs semantic dedupe review</x:t>
        </x:is>
      </x:c>
      <x:c r="AF335" s="81" t="str"/>
      <x:c r="AG335" s="81" t="str"/>
      <x:c r="AH335" s="81" t="inlineStr">
        <x:is>
          <x:t xml:space="preserve">No</x:t>
        </x:is>
      </x:c>
      <x:c r="AI335" s="81" t="inlineStr">
        <x:is>
          <x:t xml:space="preserve">Not reviewed</x:t>
        </x:is>
      </x:c>
      <x:c r="AJ335" s="81" t="inlineStr">
        <x:is>
          <x:t xml:space="preserve">Research only</x:t>
        </x:is>
      </x:c>
      <x:c r="AK335" s="81" t="inlineStr">
        <x:is>
          <x:t xml:space="preserve">Research Pool</x:t>
        </x:is>
      </x:c>
      <x:c r="AL335" s="81" t="n">
        <x:v>4</x:v>
      </x:c>
      <x:c r="AM335" s="81" t="inlineStr">
        <x:is>
          <x:t xml:space="preserve">ChatGPT research</x:t>
        </x:is>
      </x:c>
      <x:c r="AN335" s="81" t="inlineStr">
        <x:is>
          <x:t xml:space="preserve">2026-09-18</x:t>
        </x:is>
      </x:c>
      <x:c r="AO335" s="81" t="inlineStr">
        <x:is>
          <x:t xml:space="preserve">Day 4 full-scope audit of Zhuangzi Inner Chapters 1–7.</x:t>
        </x:is>
      </x:c>
    </x:row>
    <x:row r="336">
      <x:c r="A336" s="81" t="inlineStr">
        <x:is>
          <x:t xml:space="preserve">research.zhuangzi.day4.ch02.018</x:t>
        </x:is>
      </x:c>
      <x:c r="B336" s="81" t="inlineStr">
        <x:is>
          <x:t xml:space="preserve">Collected</x:t>
        </x:is>
      </x:c>
      <x:c r="C336" s="81" t="inlineStr">
        <x:is>
          <x:t xml:space="preserve">AI &amp; tương lai</x:t>
        </x:is>
      </x:c>
      <x:c r="D336" s="81" t="inlineStr">
        <x:is>
          <x:t xml:space="preserve">Day 4 / Zhuangzi Inner Chapters 1–7</x:t>
        </x:is>
      </x:c>
      <x:c r="E336" s="81" t="str"/>
      <x:c r="F336" s="81" t="inlineStr">
        <x:is>
          <x:t xml:space="preserve">Giữ chỗ cho bất định trong điều mình tin chắc</x:t>
        </x:is>
      </x:c>
      <x:c r="G336" s="81" t="inlineStr">
        <x:is>
          <x:t xml:space="preserve">Uncertainty</x:t>
        </x:is>
      </x:c>
      <x:c r="H336" s="81" t="str"/>
      <x:c r="I336" s="81" t="str"/>
      <x:c r="J336" s="81" t="str"/>
      <x:c r="K336" s="81" t="inlineStr">
        <x:is>
          <x:t xml:space="preserve">Permit</x:t>
        </x:is>
      </x:c>
      <x:c r="L336" s="81" t="inlineStr">
        <x:is>
          <x:t xml:space="preserve">Recognize</x:t>
        </x:is>
      </x:c>
      <x:c r="M336" s="81" t="inlineStr">
        <x:is>
          <x:t xml:space="preserve">Trích đoạn triết học /寓言</x:t>
        </x:is>
      </x:c>
      <x:c r="N336" s="81" t="inlineStr">
        <x:is>
          <x:t xml:space="preserve">予惡乎知悅生之非惑邪？</x:t>
        </x:is>
      </x:c>
      <x:c r="O336" s="81" t="inlineStr">
        <x:is>
          <x:t xml:space="preserve">Classical Chinese (文言文)</x:t>
        </x:is>
      </x:c>
      <x:c r="P336" s="81" t="inlineStr">
        <x:is>
          <x:t xml:space="preserve">Làm sao ta chắc điều mình đang ưa thích không chứa một phần mê lầm?</x:t>
        </x:is>
      </x:c>
      <x:c r="Q336" s="81" t="inlineStr">
        <x:is>
          <x:t xml:space="preserve">Zhuangzi / 莊子 (Inner Chapters attribution)</x:t>
        </x:is>
      </x:c>
      <x:c r="R336" s="81" t="inlineStr">
        <x:is>
          <x:t xml:space="preserve">Daoist / China</x:t>
        </x:is>
      </x:c>
      <x:c r="S336" s="81" t="inlineStr">
        <x:is>
          <x:t xml:space="preserve">莊子 / Zhuangzi</x:t>
        </x:is>
      </x:c>
      <x:c r="T336" s="81" t="inlineStr">
        <x:is>
          <x:t xml:space="preserve">Inner Chapter 2 — 齊物論</x:t>
        </x:is>
      </x:c>
      <x:c r="U336" s="81" t="inlineStr">
        <x:is>
          <x:t xml:space="preserve">https://zh.wikisource.org/wiki/%E8%8E%8A%E5%AD%90/%E9%BD%8A%E7%89%A9%E8%AB%96</x:t>
        </x:is>
      </x:c>
      <x:c r="V336" s="81" t="inlineStr">
        <x:is>
          <x:t xml:space="preserve">Primary text</x:t>
        </x:is>
      </x:c>
      <x:c r="W336" s="81" t="inlineStr">
        <x:is>
          <x:t xml:space="preserve">Working translation</x:t>
        </x:is>
      </x:c>
      <x:c r="X336" s="81" t="inlineStr">
        <x:is>
          <x:t xml:space="preserve">A - Primary source</x:t>
        </x:is>
      </x:c>
      <x:c r="Y336" s="81" t="inlineStr">
        <x:is>
          <x:t xml:space="preserve">Original Chinese checked against Chinese Wikisource; chapter structure cross-checked with Chinese Text Project. Vietnamese is Selflo working translation, not a published translation.</x:t>
        </x:is>
      </x:c>
      <x:c r="Z336" s="81" t="inlineStr">
        <x:is>
          <x:t xml:space="preserve">Public domain / likely</x:t>
        </x:is>
      </x:c>
      <x:c r="AA336" s="81" t="inlineStr">
        <x:is>
          <x:t xml:space="preserve">Ancient source text is public domain; verify edition/attribution and jurisdiction before commercial publication.</x:t>
        </x:is>
      </x:c>
      <x:c r="AB336" s="81" t="inlineStr">
        <x:is>
          <x:t xml:space="preserve">High</x:t>
        </x:is>
      </x:c>
      <x:c r="AC336" s="81" t="inlineStr">
        <x:is>
          <x:t xml:space="preserve">Không dùng cho crisis/health.</x:t>
        </x:is>
      </x:c>
      <x:c r="AD336" s="81" t="inlineStr">
        <x:is>
          <x:t xml:space="preserve">Needs editorial review</x:t>
        </x:is>
      </x:c>
      <x:c r="AE336" s="81" t="inlineStr">
        <x:is>
          <x:t xml:space="preserve">Needs semantic dedupe review</x:t>
        </x:is>
      </x:c>
      <x:c r="AF336" s="81" t="str"/>
      <x:c r="AG336" s="81" t="str"/>
      <x:c r="AH336" s="81" t="inlineStr">
        <x:is>
          <x:t xml:space="preserve">No</x:t>
        </x:is>
      </x:c>
      <x:c r="AI336" s="81" t="inlineStr">
        <x:is>
          <x:t xml:space="preserve">Not reviewed</x:t>
        </x:is>
      </x:c>
      <x:c r="AJ336" s="81" t="inlineStr">
        <x:is>
          <x:t xml:space="preserve">Research only</x:t>
        </x:is>
      </x:c>
      <x:c r="AK336" s="81" t="inlineStr">
        <x:is>
          <x:t xml:space="preserve">Research Pool</x:t>
        </x:is>
      </x:c>
      <x:c r="AL336" s="81" t="n">
        <x:v>4</x:v>
      </x:c>
      <x:c r="AM336" s="81" t="inlineStr">
        <x:is>
          <x:t xml:space="preserve">ChatGPT research</x:t>
        </x:is>
      </x:c>
      <x:c r="AN336" s="81" t="inlineStr">
        <x:is>
          <x:t xml:space="preserve">2026-09-18</x:t>
        </x:is>
      </x:c>
      <x:c r="AO336" s="81" t="inlineStr">
        <x:is>
          <x:t xml:space="preserve">Day 4 full-scope audit of Zhuangzi Inner Chapters 1–7.</x:t>
        </x:is>
      </x:c>
    </x:row>
    <x:row r="337">
      <x:c r="A337" s="81" t="inlineStr">
        <x:is>
          <x:t xml:space="preserve">research.zhuangzi.day4.ch02.019</x:t>
        </x:is>
      </x:c>
      <x:c r="B337" s="81" t="inlineStr">
        <x:is>
          <x:t xml:space="preserve">Collected</x:t>
        </x:is>
      </x:c>
      <x:c r="C337" s="81" t="inlineStr">
        <x:is>
          <x:t xml:space="preserve">AI &amp; tương lai</x:t>
        </x:is>
      </x:c>
      <x:c r="D337" s="81" t="inlineStr">
        <x:is>
          <x:t xml:space="preserve">Day 4 / Zhuangzi Inner Chapters 1–7</x:t>
        </x:is>
      </x:c>
      <x:c r="E337" s="81" t="str"/>
      <x:c r="F337" s="81" t="inlineStr">
        <x:is>
          <x:t xml:space="preserve">Thắng tranh luận không đồng nghĩa chân lý</x:t>
        </x:is>
      </x:c>
      <x:c r="G337" s="81" t="inlineStr">
        <x:is>
          <x:t xml:space="preserve">Judgment</x:t>
        </x:is>
      </x:c>
      <x:c r="H337" s="81" t="str"/>
      <x:c r="I337" s="81" t="str"/>
      <x:c r="J337" s="81" t="str"/>
      <x:c r="K337" s="81" t="inlineStr">
        <x:is>
          <x:t xml:space="preserve">Distinguish</x:t>
        </x:is>
      </x:c>
      <x:c r="L337" s="81" t="inlineStr">
        <x:is>
          <x:t xml:space="preserve">Recognize</x:t>
        </x:is>
      </x:c>
      <x:c r="M337" s="81" t="inlineStr">
        <x:is>
          <x:t xml:space="preserve">Trích đoạn triết học /寓言</x:t>
        </x:is>
      </x:c>
      <x:c r="N337" s="81" t="inlineStr">
        <x:is>
          <x:t xml:space="preserve">若勝我……若果是也，我果非也邪？</x:t>
        </x:is>
      </x:c>
      <x:c r="O337" s="81" t="inlineStr">
        <x:is>
          <x:t xml:space="preserve">Classical Chinese (文言文)</x:t>
        </x:is>
      </x:c>
      <x:c r="P337" s="81" t="inlineStr">
        <x:is>
          <x:t xml:space="preserve">Nếu bạn thắng tôi trong tranh luận, điều đó có tự chứng minh bạn đúng và tôi sai không?</x:t>
        </x:is>
      </x:c>
      <x:c r="Q337" s="81" t="inlineStr">
        <x:is>
          <x:t xml:space="preserve">Zhuangzi / 莊子 (Inner Chapters attribution)</x:t>
        </x:is>
      </x:c>
      <x:c r="R337" s="81" t="inlineStr">
        <x:is>
          <x:t xml:space="preserve">Daoist / China</x:t>
        </x:is>
      </x:c>
      <x:c r="S337" s="81" t="inlineStr">
        <x:is>
          <x:t xml:space="preserve">莊子 / Zhuangzi</x:t>
        </x:is>
      </x:c>
      <x:c r="T337" s="81" t="inlineStr">
        <x:is>
          <x:t xml:space="preserve">Inner Chapter 2 — 齊物論</x:t>
        </x:is>
      </x:c>
      <x:c r="U337" s="81" t="inlineStr">
        <x:is>
          <x:t xml:space="preserve">https://zh.wikisource.org/wiki/%E8%8E%8A%E5%AD%90/%E9%BD%8A%E7%89%A9%E8%AB%96</x:t>
        </x:is>
      </x:c>
      <x:c r="V337" s="81" t="inlineStr">
        <x:is>
          <x:t xml:space="preserve">Primary text</x:t>
        </x:is>
      </x:c>
      <x:c r="W337" s="81" t="inlineStr">
        <x:is>
          <x:t xml:space="preserve">Working translation</x:t>
        </x:is>
      </x:c>
      <x:c r="X337" s="81" t="inlineStr">
        <x:is>
          <x:t xml:space="preserve">A - Primary source</x:t>
        </x:is>
      </x:c>
      <x:c r="Y337" s="81" t="inlineStr">
        <x:is>
          <x:t xml:space="preserve">Original Chinese checked against Chinese Wikisource; chapter structure cross-checked with Chinese Text Project. Vietnamese is Selflo working translation, not a published translation.</x:t>
        </x:is>
      </x:c>
      <x:c r="Z337" s="81" t="inlineStr">
        <x:is>
          <x:t xml:space="preserve">Public domain / likely</x:t>
        </x:is>
      </x:c>
      <x:c r="AA337" s="81" t="inlineStr">
        <x:is>
          <x:t xml:space="preserve">Ancient source text is public domain; verify edition/attribution and jurisdiction before commercial publication.</x:t>
        </x:is>
      </x:c>
      <x:c r="AB337" s="81" t="inlineStr">
        <x:is>
          <x:t xml:space="preserve">High</x:t>
        </x:is>
      </x:c>
      <x:c r="AC337" s="81" t="inlineStr">
        <x:is>
          <x:t xml:space="preserve">Extremely AI/social-media relevant.</x:t>
        </x:is>
      </x:c>
      <x:c r="AD337" s="81" t="inlineStr">
        <x:is>
          <x:t xml:space="preserve">Needs editorial review</x:t>
        </x:is>
      </x:c>
      <x:c r="AE337" s="81" t="inlineStr">
        <x:is>
          <x:t xml:space="preserve">Needs semantic dedupe review</x:t>
        </x:is>
      </x:c>
      <x:c r="AF337" s="81" t="str"/>
      <x:c r="AG337" s="81" t="str"/>
      <x:c r="AH337" s="81" t="inlineStr">
        <x:is>
          <x:t xml:space="preserve">No</x:t>
        </x:is>
      </x:c>
      <x:c r="AI337" s="81" t="inlineStr">
        <x:is>
          <x:t xml:space="preserve">Not reviewed</x:t>
        </x:is>
      </x:c>
      <x:c r="AJ337" s="81" t="inlineStr">
        <x:is>
          <x:t xml:space="preserve">Research only</x:t>
        </x:is>
      </x:c>
      <x:c r="AK337" s="81" t="inlineStr">
        <x:is>
          <x:t xml:space="preserve">Research Pool</x:t>
        </x:is>
      </x:c>
      <x:c r="AL337" s="81" t="n">
        <x:v>4</x:v>
      </x:c>
      <x:c r="AM337" s="81" t="inlineStr">
        <x:is>
          <x:t xml:space="preserve">ChatGPT research</x:t>
        </x:is>
      </x:c>
      <x:c r="AN337" s="81" t="inlineStr">
        <x:is>
          <x:t xml:space="preserve">2026-09-18</x:t>
        </x:is>
      </x:c>
      <x:c r="AO337" s="81" t="inlineStr">
        <x:is>
          <x:t xml:space="preserve">Day 4 full-scope audit of Zhuangzi Inner Chapters 1–7.</x:t>
        </x:is>
      </x:c>
    </x:row>
    <x:row r="338">
      <x:c r="A338" s="81" t="inlineStr">
        <x:is>
          <x:t xml:space="preserve">research.zhuangzi.day4.ch02.020</x:t>
        </x:is>
      </x:c>
      <x:c r="B338" s="81" t="inlineStr">
        <x:is>
          <x:t xml:space="preserve">Collected</x:t>
        </x:is>
      </x:c>
      <x:c r="C338" s="81" t="inlineStr">
        <x:is>
          <x:t xml:space="preserve">Nội tâm &amp; hiểu mình</x:t>
        </x:is>
      </x:c>
      <x:c r="D338" s="81" t="inlineStr">
        <x:is>
          <x:t xml:space="preserve">Day 4 / Zhuangzi Inner Chapters 1–7</x:t>
        </x:is>
      </x:c>
      <x:c r="E338" s="81" t="str"/>
      <x:c r="F338" s="81" t="inlineStr">
        <x:is>
          <x:t xml:space="preserve">Ranh giới giữa trải nghiệm và bản sắc có thể không đơn giản</x:t>
        </x:is>
      </x:c>
      <x:c r="G338" s="81" t="inlineStr">
        <x:is>
          <x:t xml:space="preserve">Identity</x:t>
        </x:is>
      </x:c>
      <x:c r="H338" s="81" t="str"/>
      <x:c r="I338" s="81" t="str"/>
      <x:c r="J338" s="81" t="str"/>
      <x:c r="K338" s="81" t="inlineStr">
        <x:is>
          <x:t xml:space="preserve">Open question</x:t>
        </x:is>
      </x:c>
      <x:c r="L338" s="81" t="inlineStr">
        <x:is>
          <x:t xml:space="preserve">Recognize</x:t>
        </x:is>
      </x:c>
      <x:c r="M338" s="81" t="inlineStr">
        <x:is>
          <x:t xml:space="preserve">Trích đoạn triết học /寓言</x:t>
        </x:is>
      </x:c>
      <x:c r="N338" s="81" t="inlineStr">
        <x:is>
          <x:t xml:space="preserve">昔者莊周夢爲胡蝶。</x:t>
        </x:is>
      </x:c>
      <x:c r="O338" s="81" t="inlineStr">
        <x:is>
          <x:t xml:space="preserve">Classical Chinese (文言文)</x:t>
        </x:is>
      </x:c>
      <x:c r="P338" s="81" t="inlineStr">
        <x:is>
          <x:t xml:space="preserve">Xưa Trang Chu mơ mình là bướm.</x:t>
        </x:is>
      </x:c>
      <x:c r="Q338" s="81" t="inlineStr">
        <x:is>
          <x:t xml:space="preserve">Zhuangzi / 莊子 (Inner Chapters attribution)</x:t>
        </x:is>
      </x:c>
      <x:c r="R338" s="81" t="inlineStr">
        <x:is>
          <x:t xml:space="preserve">Daoist / China</x:t>
        </x:is>
      </x:c>
      <x:c r="S338" s="81" t="inlineStr">
        <x:is>
          <x:t xml:space="preserve">莊子 / Zhuangzi</x:t>
        </x:is>
      </x:c>
      <x:c r="T338" s="81" t="inlineStr">
        <x:is>
          <x:t xml:space="preserve">Inner Chapter 2 — 齊物論</x:t>
        </x:is>
      </x:c>
      <x:c r="U338" s="81" t="inlineStr">
        <x:is>
          <x:t xml:space="preserve">https://zh.wikisource.org/wiki/%E8%8E%8A%E5%AD%90/%E9%BD%8A%E7%89%A9%E8%AB%96</x:t>
        </x:is>
      </x:c>
      <x:c r="V338" s="81" t="inlineStr">
        <x:is>
          <x:t xml:space="preserve">Primary text</x:t>
        </x:is>
      </x:c>
      <x:c r="W338" s="81" t="inlineStr">
        <x:is>
          <x:t xml:space="preserve">Working translation</x:t>
        </x:is>
      </x:c>
      <x:c r="X338" s="81" t="inlineStr">
        <x:is>
          <x:t xml:space="preserve">A - Primary source</x:t>
        </x:is>
      </x:c>
      <x:c r="Y338" s="81" t="inlineStr">
        <x:is>
          <x:t xml:space="preserve">Original Chinese checked against Chinese Wikisource; chapter structure cross-checked with Chinese Text Project. Vietnamese is Selflo working translation, not a published translation.</x:t>
        </x:is>
      </x:c>
      <x:c r="Z338" s="81" t="inlineStr">
        <x:is>
          <x:t xml:space="preserve">Public domain / likely</x:t>
        </x:is>
      </x:c>
      <x:c r="AA338" s="81" t="inlineStr">
        <x:is>
          <x:t xml:space="preserve">Ancient source text is public domain; verify edition/attribution and jurisdiction before commercial publication.</x:t>
        </x:is>
      </x:c>
      <x:c r="AB338" s="81" t="inlineStr">
        <x:is>
          <x:t xml:space="preserve">High</x:t>
        </x:is>
      </x:c>
      <x:c r="AC338" s="81" t="inlineStr">
        <x:is>
          <x:t xml:space="preserve">Anchor for Butterfly Dream story.</x:t>
        </x:is>
      </x:c>
      <x:c r="AD338" s="81" t="inlineStr">
        <x:is>
          <x:t xml:space="preserve">Needs editorial review</x:t>
        </x:is>
      </x:c>
      <x:c r="AE338" s="81" t="inlineStr">
        <x:is>
          <x:t xml:space="preserve">Needs semantic dedupe review</x:t>
        </x:is>
      </x:c>
      <x:c r="AF338" s="81" t="str"/>
      <x:c r="AG338" s="81" t="str"/>
      <x:c r="AH338" s="81" t="inlineStr">
        <x:is>
          <x:t xml:space="preserve">No</x:t>
        </x:is>
      </x:c>
      <x:c r="AI338" s="81" t="inlineStr">
        <x:is>
          <x:t xml:space="preserve">Not reviewed</x:t>
        </x:is>
      </x:c>
      <x:c r="AJ338" s="81" t="inlineStr">
        <x:is>
          <x:t xml:space="preserve">Research only</x:t>
        </x:is>
      </x:c>
      <x:c r="AK338" s="81" t="inlineStr">
        <x:is>
          <x:t xml:space="preserve">Research Pool</x:t>
        </x:is>
      </x:c>
      <x:c r="AL338" s="81" t="n">
        <x:v>4</x:v>
      </x:c>
      <x:c r="AM338" s="81" t="inlineStr">
        <x:is>
          <x:t xml:space="preserve">ChatGPT research</x:t>
        </x:is>
      </x:c>
      <x:c r="AN338" s="81" t="inlineStr">
        <x:is>
          <x:t xml:space="preserve">2026-09-18</x:t>
        </x:is>
      </x:c>
      <x:c r="AO338" s="81" t="inlineStr">
        <x:is>
          <x:t xml:space="preserve">Day 4 full-scope audit of Zhuangzi Inner Chapters 1–7.</x:t>
        </x:is>
      </x:c>
    </x:row>
    <x:row r="339">
      <x:c r="A339" s="81" t="inlineStr">
        <x:is>
          <x:t xml:space="preserve">research.zhuangzi.day4.ch03.021</x:t>
        </x:is>
      </x:c>
      <x:c r="B339" s="81" t="inlineStr">
        <x:is>
          <x:t xml:space="preserve">Collected</x:t>
        </x:is>
      </x:c>
      <x:c r="C339" s="81" t="inlineStr">
        <x:is>
          <x:t xml:space="preserve">Nội tâm &amp; hiểu mình</x:t>
        </x:is>
      </x:c>
      <x:c r="D339" s="81" t="inlineStr">
        <x:is>
          <x:t xml:space="preserve">Day 4 / Zhuangzi Inner Chapters 1–7</x:t>
        </x:is>
      </x:c>
      <x:c r="E339" s="81" t="str"/>
      <x:c r="F339" s="81" t="inlineStr">
        <x:is>
          <x:t xml:space="preserve">Năng lực chú ý và thời gian là hữu hạn</x:t>
        </x:is>
      </x:c>
      <x:c r="G339" s="81" t="inlineStr">
        <x:is>
          <x:t xml:space="preserve">Limits</x:t>
        </x:is>
      </x:c>
      <x:c r="H339" s="81" t="str"/>
      <x:c r="I339" s="81" t="str"/>
      <x:c r="J339" s="81" t="str"/>
      <x:c r="K339" s="81" t="inlineStr">
        <x:is>
          <x:t xml:space="preserve">Recognize</x:t>
        </x:is>
      </x:c>
      <x:c r="L339" s="81" t="inlineStr">
        <x:is>
          <x:t xml:space="preserve">Distinguish</x:t>
        </x:is>
      </x:c>
      <x:c r="M339" s="81" t="inlineStr">
        <x:is>
          <x:t xml:space="preserve">Trích đoạn triết học /寓言</x:t>
        </x:is>
      </x:c>
      <x:c r="N339" s="81" t="inlineStr">
        <x:is>
          <x:t xml:space="preserve">吾生也有涯，而知也无涯。</x:t>
        </x:is>
      </x:c>
      <x:c r="O339" s="81" t="inlineStr">
        <x:is>
          <x:t xml:space="preserve">Classical Chinese (文言文)</x:t>
        </x:is>
      </x:c>
      <x:c r="P339" s="81" t="inlineStr">
        <x:is>
          <x:t xml:space="preserve">Đời người có giới hạn, còn điều có thể biết thì không có bờ.</x:t>
        </x:is>
      </x:c>
      <x:c r="Q339" s="81" t="inlineStr">
        <x:is>
          <x:t xml:space="preserve">Zhuangzi / 莊子 (Inner Chapters attribution)</x:t>
        </x:is>
      </x:c>
      <x:c r="R339" s="81" t="inlineStr">
        <x:is>
          <x:t xml:space="preserve">Daoist / China</x:t>
        </x:is>
      </x:c>
      <x:c r="S339" s="81" t="inlineStr">
        <x:is>
          <x:t xml:space="preserve">莊子 / Zhuangzi</x:t>
        </x:is>
      </x:c>
      <x:c r="T339" s="81" t="inlineStr">
        <x:is>
          <x:t xml:space="preserve">Inner Chapter 3 — 養生主</x:t>
        </x:is>
      </x:c>
      <x:c r="U339" s="81" t="inlineStr">
        <x:is>
          <x:t xml:space="preserve">https://zh.wikisource.org/wiki/%E8%8E%8A%E5%AD%90/%E9%A4%8A%E7%94%9F%E4%B8%BB</x:t>
        </x:is>
      </x:c>
      <x:c r="V339" s="81" t="inlineStr">
        <x:is>
          <x:t xml:space="preserve">Primary text</x:t>
        </x:is>
      </x:c>
      <x:c r="W339" s="81" t="inlineStr">
        <x:is>
          <x:t xml:space="preserve">Working translation</x:t>
        </x:is>
      </x:c>
      <x:c r="X339" s="81" t="inlineStr">
        <x:is>
          <x:t xml:space="preserve">A - Primary source</x:t>
        </x:is>
      </x:c>
      <x:c r="Y339" s="81" t="inlineStr">
        <x:is>
          <x:t xml:space="preserve">Original Chinese checked against Chinese Wikisource; chapter structure cross-checked with Chinese Text Project. Vietnamese is Selflo working translation, not a published translation.</x:t>
        </x:is>
      </x:c>
      <x:c r="Z339" s="81" t="inlineStr">
        <x:is>
          <x:t xml:space="preserve">Public domain / likely</x:t>
        </x:is>
      </x:c>
      <x:c r="AA339" s="81" t="inlineStr">
        <x:is>
          <x:t xml:space="preserve">Ancient source text is public domain; verify edition/attribution and jurisdiction before commercial publication.</x:t>
        </x:is>
      </x:c>
      <x:c r="AB339" s="81" t="inlineStr">
        <x:is>
          <x:t xml:space="preserve">High</x:t>
        </x:is>
      </x:c>
      <x:c r="AC339" s="81" t="inlineStr">
        <x:is>
          <x:t xml:space="preserve">Core AI-age info abundance.</x:t>
        </x:is>
      </x:c>
      <x:c r="AD339" s="81" t="inlineStr">
        <x:is>
          <x:t xml:space="preserve">Needs editorial review</x:t>
        </x:is>
      </x:c>
      <x:c r="AE339" s="81" t="inlineStr">
        <x:is>
          <x:t xml:space="preserve">Needs semantic dedupe review</x:t>
        </x:is>
      </x:c>
      <x:c r="AF339" s="81" t="str"/>
      <x:c r="AG339" s="81" t="str"/>
      <x:c r="AH339" s="81" t="inlineStr">
        <x:is>
          <x:t xml:space="preserve">No</x:t>
        </x:is>
      </x:c>
      <x:c r="AI339" s="81" t="inlineStr">
        <x:is>
          <x:t xml:space="preserve">Not reviewed</x:t>
        </x:is>
      </x:c>
      <x:c r="AJ339" s="81" t="inlineStr">
        <x:is>
          <x:t xml:space="preserve">Research only</x:t>
        </x:is>
      </x:c>
      <x:c r="AK339" s="81" t="inlineStr">
        <x:is>
          <x:t xml:space="preserve">Research Pool</x:t>
        </x:is>
      </x:c>
      <x:c r="AL339" s="81" t="n">
        <x:v>4</x:v>
      </x:c>
      <x:c r="AM339" s="81" t="inlineStr">
        <x:is>
          <x:t xml:space="preserve">ChatGPT research</x:t>
        </x:is>
      </x:c>
      <x:c r="AN339" s="81" t="inlineStr">
        <x:is>
          <x:t xml:space="preserve">2026-09-18</x:t>
        </x:is>
      </x:c>
      <x:c r="AO339" s="81" t="inlineStr">
        <x:is>
          <x:t xml:space="preserve">Day 4 full-scope audit of Zhuangzi Inner Chapters 1–7.</x:t>
        </x:is>
      </x:c>
    </x:row>
    <x:row r="340">
      <x:c r="A340" s="81" t="inlineStr">
        <x:is>
          <x:t xml:space="preserve">research.zhuangzi.day4.ch03.022</x:t>
        </x:is>
      </x:c>
      <x:c r="B340" s="81" t="inlineStr">
        <x:is>
          <x:t xml:space="preserve">Collected</x:t>
        </x:is>
      </x:c>
      <x:c r="C340" s="81" t="inlineStr">
        <x:is>
          <x:t xml:space="preserve">Nghỉ ngơi &amp; sức khỏe tinh thần</x:t>
        </x:is>
      </x:c>
      <x:c r="D340" s="81" t="inlineStr">
        <x:is>
          <x:t xml:space="preserve">Day 4 / Zhuangzi Inner Chapters 1–7</x:t>
        </x:is>
      </x:c>
      <x:c r="E340" s="81" t="str"/>
      <x:c r="F340" s="81" t="inlineStr">
        <x:is>
          <x:t xml:space="preserve">Không thể tiêu thụ mọi tri thức</x:t>
        </x:is>
      </x:c>
      <x:c r="G340" s="81" t="inlineStr">
        <x:is>
          <x:t xml:space="preserve">Overload</x:t>
        </x:is>
      </x:c>
      <x:c r="H340" s="81" t="str"/>
      <x:c r="I340" s="81" t="str"/>
      <x:c r="J340" s="81" t="str"/>
      <x:c r="K340" s="81" t="inlineStr">
        <x:is>
          <x:t xml:space="preserve">Permit</x:t>
        </x:is>
      </x:c>
      <x:c r="L340" s="81" t="inlineStr">
        <x:is>
          <x:t xml:space="preserve">Recognize</x:t>
        </x:is>
      </x:c>
      <x:c r="M340" s="81" t="inlineStr">
        <x:is>
          <x:t xml:space="preserve">Trích đoạn triết học /寓言</x:t>
        </x:is>
      </x:c>
      <x:c r="N340" s="81" t="inlineStr">
        <x:is>
          <x:t xml:space="preserve">以有涯隨无涯，殆已。</x:t>
        </x:is>
      </x:c>
      <x:c r="O340" s="81" t="inlineStr">
        <x:is>
          <x:t xml:space="preserve">Classical Chinese (文言文)</x:t>
        </x:is>
      </x:c>
      <x:c r="P340" s="81" t="inlineStr">
        <x:is>
          <x:t xml:space="preserve">Lấy cái hữu hạn của mình chạy theo cái vô hạn, dễ rơi vào kiệt sức.</x:t>
        </x:is>
      </x:c>
      <x:c r="Q340" s="81" t="inlineStr">
        <x:is>
          <x:t xml:space="preserve">Zhuangzi / 莊子 (Inner Chapters attribution)</x:t>
        </x:is>
      </x:c>
      <x:c r="R340" s="81" t="inlineStr">
        <x:is>
          <x:t xml:space="preserve">Daoist / China</x:t>
        </x:is>
      </x:c>
      <x:c r="S340" s="81" t="inlineStr">
        <x:is>
          <x:t xml:space="preserve">莊子 / Zhuangzi</x:t>
        </x:is>
      </x:c>
      <x:c r="T340" s="81" t="inlineStr">
        <x:is>
          <x:t xml:space="preserve">Inner Chapter 3 — 養生主</x:t>
        </x:is>
      </x:c>
      <x:c r="U340" s="81" t="inlineStr">
        <x:is>
          <x:t xml:space="preserve">https://zh.wikisource.org/wiki/%E8%8E%8A%E5%AD%90/%E9%A4%8A%E7%94%9F%E4%B8%BB</x:t>
        </x:is>
      </x:c>
      <x:c r="V340" s="81" t="inlineStr">
        <x:is>
          <x:t xml:space="preserve">Primary text</x:t>
        </x:is>
      </x:c>
      <x:c r="W340" s="81" t="inlineStr">
        <x:is>
          <x:t xml:space="preserve">Working translation</x:t>
        </x:is>
      </x:c>
      <x:c r="X340" s="81" t="inlineStr">
        <x:is>
          <x:t xml:space="preserve">A - Primary source</x:t>
        </x:is>
      </x:c>
      <x:c r="Y340" s="81" t="inlineStr">
        <x:is>
          <x:t xml:space="preserve">Original Chinese checked against Chinese Wikisource; chapter structure cross-checked with Chinese Text Project. Vietnamese is Selflo working translation, not a published translation.</x:t>
        </x:is>
      </x:c>
      <x:c r="Z340" s="81" t="inlineStr">
        <x:is>
          <x:t xml:space="preserve">Public domain / likely</x:t>
        </x:is>
      </x:c>
      <x:c r="AA340" s="81" t="inlineStr">
        <x:is>
          <x:t xml:space="preserve">Ancient source text is public domain; verify edition/attribution and jurisdiction before commercial publication.</x:t>
        </x:is>
      </x:c>
      <x:c r="AB340" s="81" t="inlineStr">
        <x:is>
          <x:t xml:space="preserve">High</x:t>
        </x:is>
      </x:c>
      <x:c r="AC340" s="81" t="inlineStr">
        <x:is>
          <x:t xml:space="preserve">Working VI softens 殆.</x:t>
        </x:is>
      </x:c>
      <x:c r="AD340" s="81" t="inlineStr">
        <x:is>
          <x:t xml:space="preserve">Needs editorial review</x:t>
        </x:is>
      </x:c>
      <x:c r="AE340" s="81" t="inlineStr">
        <x:is>
          <x:t xml:space="preserve">Needs semantic dedupe review</x:t>
        </x:is>
      </x:c>
      <x:c r="AF340" s="81" t="str"/>
      <x:c r="AG340" s="81" t="str"/>
      <x:c r="AH340" s="81" t="inlineStr">
        <x:is>
          <x:t xml:space="preserve">No</x:t>
        </x:is>
      </x:c>
      <x:c r="AI340" s="81" t="inlineStr">
        <x:is>
          <x:t xml:space="preserve">Not reviewed</x:t>
        </x:is>
      </x:c>
      <x:c r="AJ340" s="81" t="inlineStr">
        <x:is>
          <x:t xml:space="preserve">Research only</x:t>
        </x:is>
      </x:c>
      <x:c r="AK340" s="81" t="inlineStr">
        <x:is>
          <x:t xml:space="preserve">Research Pool</x:t>
        </x:is>
      </x:c>
      <x:c r="AL340" s="81" t="n">
        <x:v>4</x:v>
      </x:c>
      <x:c r="AM340" s="81" t="inlineStr">
        <x:is>
          <x:t xml:space="preserve">ChatGPT research</x:t>
        </x:is>
      </x:c>
      <x:c r="AN340" s="81" t="inlineStr">
        <x:is>
          <x:t xml:space="preserve">2026-09-18</x:t>
        </x:is>
      </x:c>
      <x:c r="AO340" s="81" t="inlineStr">
        <x:is>
          <x:t xml:space="preserve">Day 4 full-scope audit of Zhuangzi Inner Chapters 1–7.</x:t>
        </x:is>
      </x:c>
    </x:row>
    <x:row r="341">
      <x:c r="A341" s="81" t="inlineStr">
        <x:is>
          <x:t xml:space="preserve">research.zhuangzi.day4.ch03.023</x:t>
        </x:is>
      </x:c>
      <x:c r="B341" s="81" t="inlineStr">
        <x:is>
          <x:t xml:space="preserve">Collected</x:t>
        </x:is>
      </x:c>
      <x:c r="C341" s="81" t="inlineStr">
        <x:is>
          <x:t xml:space="preserve">Công việc &amp; mục đích</x:t>
        </x:is>
      </x:c>
      <x:c r="D341" s="81" t="inlineStr">
        <x:is>
          <x:t xml:space="preserve">Day 4 / Zhuangzi Inner Chapters 1–7</x:t>
        </x:is>
      </x:c>
      <x:c r="E341" s="81" t="str"/>
      <x:c r="F341" s="81" t="inlineStr">
        <x:is>
          <x:t xml:space="preserve">Kỹ năng sâu dần thành hiểu cấu trúc</x:t>
        </x:is>
      </x:c>
      <x:c r="G341" s="81" t="inlineStr">
        <x:is>
          <x:t xml:space="preserve">Mastery</x:t>
        </x:is>
      </x:c>
      <x:c r="H341" s="81" t="str"/>
      <x:c r="I341" s="81" t="str"/>
      <x:c r="J341" s="81" t="str"/>
      <x:c r="K341" s="81" t="inlineStr">
        <x:is>
          <x:t xml:space="preserve">Reframe</x:t>
        </x:is>
      </x:c>
      <x:c r="L341" s="81" t="inlineStr">
        <x:is>
          <x:t xml:space="preserve">Recognize</x:t>
        </x:is>
      </x:c>
      <x:c r="M341" s="81" t="inlineStr">
        <x:is>
          <x:t xml:space="preserve">Trích đoạn triết học /寓言</x:t>
        </x:is>
      </x:c>
      <x:c r="N341" s="81" t="inlineStr">
        <x:is>
          <x:t xml:space="preserve">臣之所好者，道也，進乎技矣。</x:t>
        </x:is>
      </x:c>
      <x:c r="O341" s="81" t="inlineStr">
        <x:is>
          <x:t xml:space="preserve">Classical Chinese (文言文)</x:t>
        </x:is>
      </x:c>
      <x:c r="P341" s="81" t="inlineStr">
        <x:is>
          <x:t xml:space="preserve">Điều tôi theo đuổi không chỉ là kỹ thuật, mà là nguyên lý phía sau kỹ thuật.</x:t>
        </x:is>
      </x:c>
      <x:c r="Q341" s="81" t="inlineStr">
        <x:is>
          <x:t xml:space="preserve">Zhuangzi / 莊子 (Inner Chapters attribution)</x:t>
        </x:is>
      </x:c>
      <x:c r="R341" s="81" t="inlineStr">
        <x:is>
          <x:t xml:space="preserve">Daoist / China</x:t>
        </x:is>
      </x:c>
      <x:c r="S341" s="81" t="inlineStr">
        <x:is>
          <x:t xml:space="preserve">莊子 / Zhuangzi</x:t>
        </x:is>
      </x:c>
      <x:c r="T341" s="81" t="inlineStr">
        <x:is>
          <x:t xml:space="preserve">Inner Chapter 3 — 養生主</x:t>
        </x:is>
      </x:c>
      <x:c r="U341" s="81" t="inlineStr">
        <x:is>
          <x:t xml:space="preserve">https://zh.wikisource.org/wiki/%E8%8E%8A%E5%AD%90/%E9%A4%8A%E7%94%9F%E4%B8%BB</x:t>
        </x:is>
      </x:c>
      <x:c r="V341" s="81" t="inlineStr">
        <x:is>
          <x:t xml:space="preserve">Primary text</x:t>
        </x:is>
      </x:c>
      <x:c r="W341" s="81" t="inlineStr">
        <x:is>
          <x:t xml:space="preserve">Working translation</x:t>
        </x:is>
      </x:c>
      <x:c r="X341" s="81" t="inlineStr">
        <x:is>
          <x:t xml:space="preserve">A - Primary source</x:t>
        </x:is>
      </x:c>
      <x:c r="Y341" s="81" t="inlineStr">
        <x:is>
          <x:t xml:space="preserve">Original Chinese checked against Chinese Wikisource; chapter structure cross-checked with Chinese Text Project. Vietnamese is Selflo working translation, not a published translation.</x:t>
        </x:is>
      </x:c>
      <x:c r="Z341" s="81" t="inlineStr">
        <x:is>
          <x:t xml:space="preserve">Public domain / likely</x:t>
        </x:is>
      </x:c>
      <x:c r="AA341" s="81" t="inlineStr">
        <x:is>
          <x:t xml:space="preserve">Ancient source text is public domain; verify edition/attribution and jurisdiction before commercial publication.</x:t>
        </x:is>
      </x:c>
      <x:c r="AB341" s="81" t="inlineStr">
        <x:is>
          <x:t xml:space="preserve">High</x:t>
        </x:is>
      </x:c>
      <x:c r="AC341" s="81" t="inlineStr">
        <x:is>
          <x:t xml:space="preserve">Cook Ding.</x:t>
        </x:is>
      </x:c>
      <x:c r="AD341" s="81" t="inlineStr">
        <x:is>
          <x:t xml:space="preserve">Needs editorial review</x:t>
        </x:is>
      </x:c>
      <x:c r="AE341" s="81" t="inlineStr">
        <x:is>
          <x:t xml:space="preserve">Needs semantic dedupe review</x:t>
        </x:is>
      </x:c>
      <x:c r="AF341" s="81" t="str"/>
      <x:c r="AG341" s="81" t="str"/>
      <x:c r="AH341" s="81" t="inlineStr">
        <x:is>
          <x:t xml:space="preserve">No</x:t>
        </x:is>
      </x:c>
      <x:c r="AI341" s="81" t="inlineStr">
        <x:is>
          <x:t xml:space="preserve">Not reviewed</x:t>
        </x:is>
      </x:c>
      <x:c r="AJ341" s="81" t="inlineStr">
        <x:is>
          <x:t xml:space="preserve">Research only</x:t>
        </x:is>
      </x:c>
      <x:c r="AK341" s="81" t="inlineStr">
        <x:is>
          <x:t xml:space="preserve">Research Pool</x:t>
        </x:is>
      </x:c>
      <x:c r="AL341" s="81" t="n">
        <x:v>4</x:v>
      </x:c>
      <x:c r="AM341" s="81" t="inlineStr">
        <x:is>
          <x:t xml:space="preserve">ChatGPT research</x:t>
        </x:is>
      </x:c>
      <x:c r="AN341" s="81" t="inlineStr">
        <x:is>
          <x:t xml:space="preserve">2026-09-18</x:t>
        </x:is>
      </x:c>
      <x:c r="AO341" s="81" t="inlineStr">
        <x:is>
          <x:t xml:space="preserve">Day 4 full-scope audit of Zhuangzi Inner Chapters 1–7.</x:t>
        </x:is>
      </x:c>
    </x:row>
    <x:row r="342">
      <x:c r="A342" s="81" t="inlineStr">
        <x:is>
          <x:t xml:space="preserve">research.zhuangzi.day4.ch03.024</x:t>
        </x:is>
      </x:c>
      <x:c r="B342" s="81" t="inlineStr">
        <x:is>
          <x:t xml:space="preserve">Collected</x:t>
        </x:is>
      </x:c>
      <x:c r="C342" s="81" t="inlineStr">
        <x:is>
          <x:t xml:space="preserve">Công việc &amp; mục đích</x:t>
        </x:is>
      </x:c>
      <x:c r="D342" s="81" t="inlineStr">
        <x:is>
          <x:t xml:space="preserve">Day 4 / Zhuangzi Inner Chapters 1–7</x:t>
        </x:is>
      </x:c>
      <x:c r="E342" s="81" t="str"/>
      <x:c r="F342" s="81" t="inlineStr">
        <x:is>
          <x:t xml:space="preserve">Người mới thường thấy toàn bộ vấn đề như một khối</x:t>
        </x:is>
      </x:c>
      <x:c r="G342" s="81" t="inlineStr">
        <x:is>
          <x:t xml:space="preserve">Learning</x:t>
        </x:is>
      </x:c>
      <x:c r="H342" s="81" t="str"/>
      <x:c r="I342" s="81" t="str"/>
      <x:c r="J342" s="81" t="str"/>
      <x:c r="K342" s="81" t="inlineStr">
        <x:is>
          <x:t xml:space="preserve">Recognize</x:t>
        </x:is>
      </x:c>
      <x:c r="L342" s="81" t="inlineStr">
        <x:is>
          <x:t xml:space="preserve">Distinguish</x:t>
        </x:is>
      </x:c>
      <x:c r="M342" s="81" t="inlineStr">
        <x:is>
          <x:t xml:space="preserve">Trích đoạn triết học /寓言</x:t>
        </x:is>
      </x:c>
      <x:c r="N342" s="81" t="inlineStr">
        <x:is>
          <x:t xml:space="preserve">始臣之解牛之時，所見无非牛者。</x:t>
        </x:is>
      </x:c>
      <x:c r="O342" s="81" t="inlineStr">
        <x:is>
          <x:t xml:space="preserve">Classical Chinese (文言文)</x:t>
        </x:is>
      </x:c>
      <x:c r="P342" s="81" t="inlineStr">
        <x:is>
          <x:t xml:space="preserve">Lúc đầu, trước mắt tôi chỉ thấy nguyên cả con bò.</x:t>
        </x:is>
      </x:c>
      <x:c r="Q342" s="81" t="inlineStr">
        <x:is>
          <x:t xml:space="preserve">Zhuangzi / 莊子 (Inner Chapters attribution)</x:t>
        </x:is>
      </x:c>
      <x:c r="R342" s="81" t="inlineStr">
        <x:is>
          <x:t xml:space="preserve">Daoist / China</x:t>
        </x:is>
      </x:c>
      <x:c r="S342" s="81" t="inlineStr">
        <x:is>
          <x:t xml:space="preserve">莊子 / Zhuangzi</x:t>
        </x:is>
      </x:c>
      <x:c r="T342" s="81" t="inlineStr">
        <x:is>
          <x:t xml:space="preserve">Inner Chapter 3 — 養生主</x:t>
        </x:is>
      </x:c>
      <x:c r="U342" s="81" t="inlineStr">
        <x:is>
          <x:t xml:space="preserve">https://zh.wikisource.org/wiki/%E8%8E%8A%E5%AD%90/%E9%A4%8A%E7%94%9F%E4%B8%BB</x:t>
        </x:is>
      </x:c>
      <x:c r="V342" s="81" t="inlineStr">
        <x:is>
          <x:t xml:space="preserve">Primary text</x:t>
        </x:is>
      </x:c>
      <x:c r="W342" s="81" t="inlineStr">
        <x:is>
          <x:t xml:space="preserve">Working translation</x:t>
        </x:is>
      </x:c>
      <x:c r="X342" s="81" t="inlineStr">
        <x:is>
          <x:t xml:space="preserve">A - Primary source</x:t>
        </x:is>
      </x:c>
      <x:c r="Y342" s="81" t="inlineStr">
        <x:is>
          <x:t xml:space="preserve">Original Chinese checked against Chinese Wikisource; chapter structure cross-checked with Chinese Text Project. Vietnamese is Selflo working translation, not a published translation.</x:t>
        </x:is>
      </x:c>
      <x:c r="Z342" s="81" t="inlineStr">
        <x:is>
          <x:t xml:space="preserve">Public domain / likely</x:t>
        </x:is>
      </x:c>
      <x:c r="AA342" s="81" t="inlineStr">
        <x:is>
          <x:t xml:space="preserve">Ancient source text is public domain; verify edition/attribution and jurisdiction before commercial publication.</x:t>
        </x:is>
      </x:c>
      <x:c r="AB342" s="81" t="inlineStr">
        <x:is>
          <x:t xml:space="preserve">High</x:t>
        </x:is>
      </x:c>
      <x:c r="AC342" s="81" t="inlineStr">
        <x:is>
          <x:t xml:space="preserve">Great beginnerhood.</x:t>
        </x:is>
      </x:c>
      <x:c r="AD342" s="81" t="inlineStr">
        <x:is>
          <x:t xml:space="preserve">Needs editorial review</x:t>
        </x:is>
      </x:c>
      <x:c r="AE342" s="81" t="inlineStr">
        <x:is>
          <x:t xml:space="preserve">Needs semantic dedupe review</x:t>
        </x:is>
      </x:c>
      <x:c r="AF342" s="81" t="str"/>
      <x:c r="AG342" s="81" t="str"/>
      <x:c r="AH342" s="81" t="inlineStr">
        <x:is>
          <x:t xml:space="preserve">No</x:t>
        </x:is>
      </x:c>
      <x:c r="AI342" s="81" t="inlineStr">
        <x:is>
          <x:t xml:space="preserve">Not reviewed</x:t>
        </x:is>
      </x:c>
      <x:c r="AJ342" s="81" t="inlineStr">
        <x:is>
          <x:t xml:space="preserve">Research only</x:t>
        </x:is>
      </x:c>
      <x:c r="AK342" s="81" t="inlineStr">
        <x:is>
          <x:t xml:space="preserve">Research Pool</x:t>
        </x:is>
      </x:c>
      <x:c r="AL342" s="81" t="n">
        <x:v>4</x:v>
      </x:c>
      <x:c r="AM342" s="81" t="inlineStr">
        <x:is>
          <x:t xml:space="preserve">ChatGPT research</x:t>
        </x:is>
      </x:c>
      <x:c r="AN342" s="81" t="inlineStr">
        <x:is>
          <x:t xml:space="preserve">2026-09-18</x:t>
        </x:is>
      </x:c>
      <x:c r="AO342" s="81" t="inlineStr">
        <x:is>
          <x:t xml:space="preserve">Day 4 full-scope audit of Zhuangzi Inner Chapters 1–7.</x:t>
        </x:is>
      </x:c>
    </x:row>
    <x:row r="343">
      <x:c r="A343" s="81" t="inlineStr">
        <x:is>
          <x:t xml:space="preserve">research.zhuangzi.day4.ch03.025</x:t>
        </x:is>
      </x:c>
      <x:c r="B343" s="81" t="inlineStr">
        <x:is>
          <x:t xml:space="preserve">Collected</x:t>
        </x:is>
      </x:c>
      <x:c r="C343" s="81" t="inlineStr">
        <x:is>
          <x:t xml:space="preserve">Công việc &amp; mục đích</x:t>
        </x:is>
      </x:c>
      <x:c r="D343" s="81" t="inlineStr">
        <x:is>
          <x:t xml:space="preserve">Day 4 / Zhuangzi Inner Chapters 1–7</x:t>
        </x:is>
      </x:c>
      <x:c r="E343" s="81" t="str"/>
      <x:c r="F343" s="81" t="inlineStr">
        <x:is>
          <x:t xml:space="preserve">Kinh nghiệm làm cấu trúc bên trong trở nên nhìn thấy</x:t>
        </x:is>
      </x:c>
      <x:c r="G343" s="81" t="inlineStr">
        <x:is>
          <x:t xml:space="preserve">Learning</x:t>
        </x:is>
      </x:c>
      <x:c r="H343" s="81" t="str"/>
      <x:c r="I343" s="81" t="str"/>
      <x:c r="J343" s="81" t="str"/>
      <x:c r="K343" s="81" t="inlineStr">
        <x:is>
          <x:t xml:space="preserve">Reframe</x:t>
        </x:is>
      </x:c>
      <x:c r="L343" s="81" t="inlineStr">
        <x:is>
          <x:t xml:space="preserve">Recognize</x:t>
        </x:is>
      </x:c>
      <x:c r="M343" s="81" t="inlineStr">
        <x:is>
          <x:t xml:space="preserve">Trích đoạn triết học /寓言</x:t>
        </x:is>
      </x:c>
      <x:c r="N343" s="81" t="inlineStr">
        <x:is>
          <x:t xml:space="preserve">三年之後，未嘗見全牛也。</x:t>
        </x:is>
      </x:c>
      <x:c r="O343" s="81" t="inlineStr">
        <x:is>
          <x:t xml:space="preserve">Classical Chinese (文言文)</x:t>
        </x:is>
      </x:c>
      <x:c r="P343" s="81" t="inlineStr">
        <x:is>
          <x:t xml:space="preserve">Ba năm sau, tôi không còn chỉ thấy nó như một khối nguyên vẹn nữa.</x:t>
        </x:is>
      </x:c>
      <x:c r="Q343" s="81" t="inlineStr">
        <x:is>
          <x:t xml:space="preserve">Zhuangzi / 莊子 (Inner Chapters attribution)</x:t>
        </x:is>
      </x:c>
      <x:c r="R343" s="81" t="inlineStr">
        <x:is>
          <x:t xml:space="preserve">Daoist / China</x:t>
        </x:is>
      </x:c>
      <x:c r="S343" s="81" t="inlineStr">
        <x:is>
          <x:t xml:space="preserve">莊子 / Zhuangzi</x:t>
        </x:is>
      </x:c>
      <x:c r="T343" s="81" t="inlineStr">
        <x:is>
          <x:t xml:space="preserve">Inner Chapter 3 — 養生主</x:t>
        </x:is>
      </x:c>
      <x:c r="U343" s="81" t="inlineStr">
        <x:is>
          <x:t xml:space="preserve">https://zh.wikisource.org/wiki/%E8%8E%8A%E5%AD%90/%E9%A4%8A%E7%94%9F%E4%B8%BB</x:t>
        </x:is>
      </x:c>
      <x:c r="V343" s="81" t="inlineStr">
        <x:is>
          <x:t xml:space="preserve">Primary text</x:t>
        </x:is>
      </x:c>
      <x:c r="W343" s="81" t="inlineStr">
        <x:is>
          <x:t xml:space="preserve">Working translation</x:t>
        </x:is>
      </x:c>
      <x:c r="X343" s="81" t="inlineStr">
        <x:is>
          <x:t xml:space="preserve">A - Primary source</x:t>
        </x:is>
      </x:c>
      <x:c r="Y343" s="81" t="inlineStr">
        <x:is>
          <x:t xml:space="preserve">Original Chinese checked against Chinese Wikisource; chapter structure cross-checked with Chinese Text Project. Vietnamese is Selflo working translation, not a published translation.</x:t>
        </x:is>
      </x:c>
      <x:c r="Z343" s="81" t="inlineStr">
        <x:is>
          <x:t xml:space="preserve">Public domain / likely</x:t>
        </x:is>
      </x:c>
      <x:c r="AA343" s="81" t="inlineStr">
        <x:is>
          <x:t xml:space="preserve">Ancient source text is public domain; verify edition/attribution and jurisdiction before commercial publication.</x:t>
        </x:is>
      </x:c>
      <x:c r="AB343" s="81" t="inlineStr">
        <x:is>
          <x:t xml:space="preserve">High</x:t>
        </x:is>
      </x:c>
      <x:c r="AC343" s="81" t="inlineStr">
        <x:is>
          <x:t xml:space="preserve">Mastery.</x:t>
        </x:is>
      </x:c>
      <x:c r="AD343" s="81" t="inlineStr">
        <x:is>
          <x:t xml:space="preserve">Needs editorial review</x:t>
        </x:is>
      </x:c>
      <x:c r="AE343" s="81" t="inlineStr">
        <x:is>
          <x:t xml:space="preserve">Needs semantic dedupe review</x:t>
        </x:is>
      </x:c>
      <x:c r="AF343" s="81" t="str"/>
      <x:c r="AG343" s="81" t="str"/>
      <x:c r="AH343" s="81" t="inlineStr">
        <x:is>
          <x:t xml:space="preserve">No</x:t>
        </x:is>
      </x:c>
      <x:c r="AI343" s="81" t="inlineStr">
        <x:is>
          <x:t xml:space="preserve">Not reviewed</x:t>
        </x:is>
      </x:c>
      <x:c r="AJ343" s="81" t="inlineStr">
        <x:is>
          <x:t xml:space="preserve">Research only</x:t>
        </x:is>
      </x:c>
      <x:c r="AK343" s="81" t="inlineStr">
        <x:is>
          <x:t xml:space="preserve">Research Pool</x:t>
        </x:is>
      </x:c>
      <x:c r="AL343" s="81" t="n">
        <x:v>4</x:v>
      </x:c>
      <x:c r="AM343" s="81" t="inlineStr">
        <x:is>
          <x:t xml:space="preserve">ChatGPT research</x:t>
        </x:is>
      </x:c>
      <x:c r="AN343" s="81" t="inlineStr">
        <x:is>
          <x:t xml:space="preserve">2026-09-18</x:t>
        </x:is>
      </x:c>
      <x:c r="AO343" s="81" t="inlineStr">
        <x:is>
          <x:t xml:space="preserve">Day 4 full-scope audit of Zhuangzi Inner Chapters 1–7.</x:t>
        </x:is>
      </x:c>
    </x:row>
    <x:row r="344">
      <x:c r="A344" s="81" t="inlineStr">
        <x:is>
          <x:t xml:space="preserve">research.zhuangzi.day4.ch03.026</x:t>
        </x:is>
      </x:c>
      <x:c r="B344" s="81" t="inlineStr">
        <x:is>
          <x:t xml:space="preserve">Collected</x:t>
        </x:is>
      </x:c>
      <x:c r="C344" s="81" t="inlineStr">
        <x:is>
          <x:t xml:space="preserve">Công việc &amp; mục đích</x:t>
        </x:is>
      </x:c>
      <x:c r="D344" s="81" t="inlineStr">
        <x:is>
          <x:t xml:space="preserve">Day 4 / Zhuangzi Inner Chapters 1–7</x:t>
        </x:is>
      </x:c>
      <x:c r="E344" s="81" t="str"/>
      <x:c r="F344" s="81" t="inlineStr">
        <x:is>
          <x:t xml:space="preserve">Làm việc với cấu trúc thay vì chống toàn bộ hệ</x:t>
        </x:is>
      </x:c>
      <x:c r="G344" s="81" t="inlineStr">
        <x:is>
          <x:t xml:space="preserve">Systems</x:t>
        </x:is>
      </x:c>
      <x:c r="H344" s="81" t="str"/>
      <x:c r="I344" s="81" t="str"/>
      <x:c r="J344" s="81" t="str"/>
      <x:c r="K344" s="81" t="inlineStr">
        <x:is>
          <x:t xml:space="preserve">Reframe</x:t>
        </x:is>
      </x:c>
      <x:c r="L344" s="81" t="inlineStr">
        <x:is>
          <x:t xml:space="preserve">Recognize</x:t>
        </x:is>
      </x:c>
      <x:c r="M344" s="81" t="inlineStr">
        <x:is>
          <x:t xml:space="preserve">Trích đoạn triết học /寓言</x:t>
        </x:is>
      </x:c>
      <x:c r="N344" s="81" t="inlineStr">
        <x:is>
          <x:t xml:space="preserve">依乎天理……因其固然。</x:t>
        </x:is>
      </x:c>
      <x:c r="O344" s="81" t="inlineStr">
        <x:is>
          <x:t xml:space="preserve">Classical Chinese (文言文)</x:t>
        </x:is>
      </x:c>
      <x:c r="P344" s="81" t="inlineStr">
        <x:is>
          <x:t xml:space="preserve">Đi theo cấu trúc vốn có của sự vật, thuận theo chỗ nó vốn như vậy.</x:t>
        </x:is>
      </x:c>
      <x:c r="Q344" s="81" t="inlineStr">
        <x:is>
          <x:t xml:space="preserve">Zhuangzi / 莊子 (Inner Chapters attribution)</x:t>
        </x:is>
      </x:c>
      <x:c r="R344" s="81" t="inlineStr">
        <x:is>
          <x:t xml:space="preserve">Daoist / China</x:t>
        </x:is>
      </x:c>
      <x:c r="S344" s="81" t="inlineStr">
        <x:is>
          <x:t xml:space="preserve">莊子 / Zhuangzi</x:t>
        </x:is>
      </x:c>
      <x:c r="T344" s="81" t="inlineStr">
        <x:is>
          <x:t xml:space="preserve">Inner Chapter 3 — 養生主</x:t>
        </x:is>
      </x:c>
      <x:c r="U344" s="81" t="inlineStr">
        <x:is>
          <x:t xml:space="preserve">https://zh.wikisource.org/wiki/%E8%8E%8A%E5%AD%90/%E9%A4%8A%E7%94%9F%E4%B8%BB</x:t>
        </x:is>
      </x:c>
      <x:c r="V344" s="81" t="inlineStr">
        <x:is>
          <x:t xml:space="preserve">Primary text</x:t>
        </x:is>
      </x:c>
      <x:c r="W344" s="81" t="inlineStr">
        <x:is>
          <x:t xml:space="preserve">Working translation</x:t>
        </x:is>
      </x:c>
      <x:c r="X344" s="81" t="inlineStr">
        <x:is>
          <x:t xml:space="preserve">A - Primary source</x:t>
        </x:is>
      </x:c>
      <x:c r="Y344" s="81" t="inlineStr">
        <x:is>
          <x:t xml:space="preserve">Original Chinese checked against Chinese Wikisource; chapter structure cross-checked with Chinese Text Project. Vietnamese is Selflo working translation, not a published translation.</x:t>
        </x:is>
      </x:c>
      <x:c r="Z344" s="81" t="inlineStr">
        <x:is>
          <x:t xml:space="preserve">Public domain / likely</x:t>
        </x:is>
      </x:c>
      <x:c r="AA344" s="81" t="inlineStr">
        <x:is>
          <x:t xml:space="preserve">Ancient source text is public domain; verify edition/attribution and jurisdiction before commercial publication.</x:t>
        </x:is>
      </x:c>
      <x:c r="AB344" s="81" t="inlineStr">
        <x:is>
          <x:t xml:space="preserve">High</x:t>
        </x:is>
      </x:c>
      <x:c r="AC344" s="81" t="inlineStr">
        <x:is>
          <x:t xml:space="preserve">Strong architecture principle.</x:t>
        </x:is>
      </x:c>
      <x:c r="AD344" s="81" t="inlineStr">
        <x:is>
          <x:t xml:space="preserve">Needs editorial review</x:t>
        </x:is>
      </x:c>
      <x:c r="AE344" s="81" t="inlineStr">
        <x:is>
          <x:t xml:space="preserve">Needs semantic dedupe review</x:t>
        </x:is>
      </x:c>
      <x:c r="AF344" s="81" t="str"/>
      <x:c r="AG344" s="81" t="str"/>
      <x:c r="AH344" s="81" t="inlineStr">
        <x:is>
          <x:t xml:space="preserve">No</x:t>
        </x:is>
      </x:c>
      <x:c r="AI344" s="81" t="inlineStr">
        <x:is>
          <x:t xml:space="preserve">Not reviewed</x:t>
        </x:is>
      </x:c>
      <x:c r="AJ344" s="81" t="inlineStr">
        <x:is>
          <x:t xml:space="preserve">Research only</x:t>
        </x:is>
      </x:c>
      <x:c r="AK344" s="81" t="inlineStr">
        <x:is>
          <x:t xml:space="preserve">Research Pool</x:t>
        </x:is>
      </x:c>
      <x:c r="AL344" s="81" t="n">
        <x:v>4</x:v>
      </x:c>
      <x:c r="AM344" s="81" t="inlineStr">
        <x:is>
          <x:t xml:space="preserve">ChatGPT research</x:t>
        </x:is>
      </x:c>
      <x:c r="AN344" s="81" t="inlineStr">
        <x:is>
          <x:t xml:space="preserve">2026-09-18</x:t>
        </x:is>
      </x:c>
      <x:c r="AO344" s="81" t="inlineStr">
        <x:is>
          <x:t xml:space="preserve">Day 4 full-scope audit of Zhuangzi Inner Chapters 1–7.</x:t>
        </x:is>
      </x:c>
    </x:row>
    <x:row r="345">
      <x:c r="A345" s="81" t="inlineStr">
        <x:is>
          <x:t xml:space="preserve">research.zhuangzi.day4.ch03.027</x:t>
        </x:is>
      </x:c>
      <x:c r="B345" s="81" t="inlineStr">
        <x:is>
          <x:t xml:space="preserve">Collected</x:t>
        </x:is>
      </x:c>
      <x:c r="C345" s="81" t="inlineStr">
        <x:is>
          <x:t xml:space="preserve">Nội tâm &amp; hiểu mình</x:t>
        </x:is>
      </x:c>
      <x:c r="D345" s="81" t="inlineStr">
        <x:is>
          <x:t xml:space="preserve">Day 4 / Zhuangzi Inner Chapters 1–7</x:t>
        </x:is>
      </x:c>
      <x:c r="E345" s="81" t="str"/>
      <x:c r="F345" s="81" t="inlineStr">
        <x:is>
          <x:t xml:space="preserve">Khoảng trống trong hệ có thể quan trọng hơn tăng lực</x:t>
        </x:is>
      </x:c>
      <x:c r="G345" s="81" t="inlineStr">
        <x:is>
          <x:t xml:space="preserve">Space</x:t>
        </x:is>
      </x:c>
      <x:c r="H345" s="81" t="str"/>
      <x:c r="I345" s="81" t="str"/>
      <x:c r="J345" s="81" t="str"/>
      <x:c r="K345" s="81" t="inlineStr">
        <x:is>
          <x:t xml:space="preserve">Recognize</x:t>
        </x:is>
      </x:c>
      <x:c r="L345" s="81" t="inlineStr">
        <x:is>
          <x:t xml:space="preserve">Distinguish</x:t>
        </x:is>
      </x:c>
      <x:c r="M345" s="81" t="inlineStr">
        <x:is>
          <x:t xml:space="preserve">Trích đoạn triết học /寓言</x:t>
        </x:is>
      </x:c>
      <x:c r="N345" s="81" t="inlineStr">
        <x:is>
          <x:t xml:space="preserve">彼節者有間，而刀刃者无厚。</x:t>
        </x:is>
      </x:c>
      <x:c r="O345" s="81" t="inlineStr">
        <x:is>
          <x:t xml:space="preserve">Classical Chinese (文言文)</x:t>
        </x:is>
      </x:c>
      <x:c r="P345" s="81" t="inlineStr">
        <x:is>
          <x:t xml:space="preserve">Giữa các khớp có khoảng; lưỡi dao thì rất mỏng.</x:t>
        </x:is>
      </x:c>
      <x:c r="Q345" s="81" t="inlineStr">
        <x:is>
          <x:t xml:space="preserve">Zhuangzi / 莊子 (Inner Chapters attribution)</x:t>
        </x:is>
      </x:c>
      <x:c r="R345" s="81" t="inlineStr">
        <x:is>
          <x:t xml:space="preserve">Daoist / China</x:t>
        </x:is>
      </x:c>
      <x:c r="S345" s="81" t="inlineStr">
        <x:is>
          <x:t xml:space="preserve">莊子 / Zhuangzi</x:t>
        </x:is>
      </x:c>
      <x:c r="T345" s="81" t="inlineStr">
        <x:is>
          <x:t xml:space="preserve">Inner Chapter 3 — 養生主</x:t>
        </x:is>
      </x:c>
      <x:c r="U345" s="81" t="inlineStr">
        <x:is>
          <x:t xml:space="preserve">https://zh.wikisource.org/wiki/%E8%8E%8A%E5%AD%90/%E9%A4%8A%E7%94%9F%E4%B8%BB</x:t>
        </x:is>
      </x:c>
      <x:c r="V345" s="81" t="inlineStr">
        <x:is>
          <x:t xml:space="preserve">Primary text</x:t>
        </x:is>
      </x:c>
      <x:c r="W345" s="81" t="inlineStr">
        <x:is>
          <x:t xml:space="preserve">Working translation</x:t>
        </x:is>
      </x:c>
      <x:c r="X345" s="81" t="inlineStr">
        <x:is>
          <x:t xml:space="preserve">A - Primary source</x:t>
        </x:is>
      </x:c>
      <x:c r="Y345" s="81" t="inlineStr">
        <x:is>
          <x:t xml:space="preserve">Original Chinese checked against Chinese Wikisource; chapter structure cross-checked with Chinese Text Project. Vietnamese is Selflo working translation, not a published translation.</x:t>
        </x:is>
      </x:c>
      <x:c r="Z345" s="81" t="inlineStr">
        <x:is>
          <x:t xml:space="preserve">Public domain / likely</x:t>
        </x:is>
      </x:c>
      <x:c r="AA345" s="81" t="inlineStr">
        <x:is>
          <x:t xml:space="preserve">Ancient source text is public domain; verify edition/attribution and jurisdiction before commercial publication.</x:t>
        </x:is>
      </x:c>
      <x:c r="AB345" s="81" t="inlineStr">
        <x:is>
          <x:t xml:space="preserve">High</x:t>
        </x:is>
      </x:c>
      <x:c r="AC345" s="81" t="inlineStr">
        <x:is>
          <x:t xml:space="preserve">Selflo 'Ma' adjacency.</x:t>
        </x:is>
      </x:c>
      <x:c r="AD345" s="81" t="inlineStr">
        <x:is>
          <x:t xml:space="preserve">Needs editorial review</x:t>
        </x:is>
      </x:c>
      <x:c r="AE345" s="81" t="inlineStr">
        <x:is>
          <x:t xml:space="preserve">Needs semantic dedupe review</x:t>
        </x:is>
      </x:c>
      <x:c r="AF345" s="81" t="str"/>
      <x:c r="AG345" s="81" t="str"/>
      <x:c r="AH345" s="81" t="inlineStr">
        <x:is>
          <x:t xml:space="preserve">No</x:t>
        </x:is>
      </x:c>
      <x:c r="AI345" s="81" t="inlineStr">
        <x:is>
          <x:t xml:space="preserve">Not reviewed</x:t>
        </x:is>
      </x:c>
      <x:c r="AJ345" s="81" t="inlineStr">
        <x:is>
          <x:t xml:space="preserve">Research only</x:t>
        </x:is>
      </x:c>
      <x:c r="AK345" s="81" t="inlineStr">
        <x:is>
          <x:t xml:space="preserve">Research Pool</x:t>
        </x:is>
      </x:c>
      <x:c r="AL345" s="81" t="n">
        <x:v>4</x:v>
      </x:c>
      <x:c r="AM345" s="81" t="inlineStr">
        <x:is>
          <x:t xml:space="preserve">ChatGPT research</x:t>
        </x:is>
      </x:c>
      <x:c r="AN345" s="81" t="inlineStr">
        <x:is>
          <x:t xml:space="preserve">2026-09-18</x:t>
        </x:is>
      </x:c>
      <x:c r="AO345" s="81" t="inlineStr">
        <x:is>
          <x:t xml:space="preserve">Day 4 full-scope audit of Zhuangzi Inner Chapters 1–7.</x:t>
        </x:is>
      </x:c>
    </x:row>
    <x:row r="346">
      <x:c r="A346" s="81" t="inlineStr">
        <x:is>
          <x:t xml:space="preserve">research.zhuangzi.day4.ch03.028</x:t>
        </x:is>
      </x:c>
      <x:c r="B346" s="81" t="inlineStr">
        <x:is>
          <x:t xml:space="preserve">Collected</x:t>
        </x:is>
      </x:c>
      <x:c r="C346" s="81" t="inlineStr">
        <x:is>
          <x:t xml:space="preserve">Công việc &amp; mục đích</x:t>
        </x:is>
      </x:c>
      <x:c r="D346" s="81" t="inlineStr">
        <x:is>
          <x:t xml:space="preserve">Day 4 / Zhuangzi Inner Chapters 1–7</x:t>
        </x:is>
      </x:c>
      <x:c r="E346" s="81" t="str"/>
      <x:c r="F346" s="81" t="inlineStr">
        <x:is>
          <x:t xml:space="preserve">Thành thạo không xóa sự thận trọng</x:t>
        </x:is>
      </x:c>
      <x:c r="G346" s="81" t="inlineStr">
        <x:is>
          <x:t xml:space="preserve">Mastery</x:t>
        </x:is>
      </x:c>
      <x:c r="H346" s="81" t="str"/>
      <x:c r="I346" s="81" t="str"/>
      <x:c r="J346" s="81" t="str"/>
      <x:c r="K346" s="81" t="inlineStr">
        <x:is>
          <x:t xml:space="preserve">Reframe</x:t>
        </x:is>
      </x:c>
      <x:c r="L346" s="81" t="inlineStr">
        <x:is>
          <x:t xml:space="preserve">Recognize</x:t>
        </x:is>
      </x:c>
      <x:c r="M346" s="81" t="inlineStr">
        <x:is>
          <x:t xml:space="preserve">Trích đoạn triết học /寓言</x:t>
        </x:is>
      </x:c>
      <x:c r="N346" s="81" t="inlineStr">
        <x:is>
          <x:t xml:space="preserve">每至於族，吾見其難爲，怵然爲戒。</x:t>
        </x:is>
      </x:c>
      <x:c r="O346" s="81" t="inlineStr">
        <x:is>
          <x:t xml:space="preserve">Classical Chinese (文言文)</x:t>
        </x:is>
      </x:c>
      <x:c r="P346" s="81" t="inlineStr">
        <x:is>
          <x:t xml:space="preserve">Mỗi khi gặp chỗ khó, tôi nhận ra độ khó và trở nên cẩn trọng.</x:t>
        </x:is>
      </x:c>
      <x:c r="Q346" s="81" t="inlineStr">
        <x:is>
          <x:t xml:space="preserve">Zhuangzi / 莊子 (Inner Chapters attribution)</x:t>
        </x:is>
      </x:c>
      <x:c r="R346" s="81" t="inlineStr">
        <x:is>
          <x:t xml:space="preserve">Daoist / China</x:t>
        </x:is>
      </x:c>
      <x:c r="S346" s="81" t="inlineStr">
        <x:is>
          <x:t xml:space="preserve">莊子 / Zhuangzi</x:t>
        </x:is>
      </x:c>
      <x:c r="T346" s="81" t="inlineStr">
        <x:is>
          <x:t xml:space="preserve">Inner Chapter 3 — 養生主</x:t>
        </x:is>
      </x:c>
      <x:c r="U346" s="81" t="inlineStr">
        <x:is>
          <x:t xml:space="preserve">https://zh.wikisource.org/wiki/%E8%8E%8A%E5%AD%90/%E9%A4%8A%E7%94%9F%E4%B8%BB</x:t>
        </x:is>
      </x:c>
      <x:c r="V346" s="81" t="inlineStr">
        <x:is>
          <x:t xml:space="preserve">Primary text</x:t>
        </x:is>
      </x:c>
      <x:c r="W346" s="81" t="inlineStr">
        <x:is>
          <x:t xml:space="preserve">Working translation</x:t>
        </x:is>
      </x:c>
      <x:c r="X346" s="81" t="inlineStr">
        <x:is>
          <x:t xml:space="preserve">A - Primary source</x:t>
        </x:is>
      </x:c>
      <x:c r="Y346" s="81" t="inlineStr">
        <x:is>
          <x:t xml:space="preserve">Original Chinese checked against Chinese Wikisource; chapter structure cross-checked with Chinese Text Project. Vietnamese is Selflo working translation, not a published translation.</x:t>
        </x:is>
      </x:c>
      <x:c r="Z346" s="81" t="inlineStr">
        <x:is>
          <x:t xml:space="preserve">Public domain / likely</x:t>
        </x:is>
      </x:c>
      <x:c r="AA346" s="81" t="inlineStr">
        <x:is>
          <x:t xml:space="preserve">Ancient source text is public domain; verify edition/attribution and jurisdiction before commercial publication.</x:t>
        </x:is>
      </x:c>
      <x:c r="AB346" s="81" t="inlineStr">
        <x:is>
          <x:t xml:space="preserve">High</x:t>
        </x:is>
      </x:c>
      <x:c r="AC346" s="81" t="inlineStr">
        <x:is>
          <x:t xml:space="preserve">Anti-overconfidence.</x:t>
        </x:is>
      </x:c>
      <x:c r="AD346" s="81" t="inlineStr">
        <x:is>
          <x:t xml:space="preserve">Needs editorial review</x:t>
        </x:is>
      </x:c>
      <x:c r="AE346" s="81" t="inlineStr">
        <x:is>
          <x:t xml:space="preserve">Needs semantic dedupe review</x:t>
        </x:is>
      </x:c>
      <x:c r="AF346" s="81" t="str"/>
      <x:c r="AG346" s="81" t="str"/>
      <x:c r="AH346" s="81" t="inlineStr">
        <x:is>
          <x:t xml:space="preserve">No</x:t>
        </x:is>
      </x:c>
      <x:c r="AI346" s="81" t="inlineStr">
        <x:is>
          <x:t xml:space="preserve">Not reviewed</x:t>
        </x:is>
      </x:c>
      <x:c r="AJ346" s="81" t="inlineStr">
        <x:is>
          <x:t xml:space="preserve">Research only</x:t>
        </x:is>
      </x:c>
      <x:c r="AK346" s="81" t="inlineStr">
        <x:is>
          <x:t xml:space="preserve">Research Pool</x:t>
        </x:is>
      </x:c>
      <x:c r="AL346" s="81" t="n">
        <x:v>4</x:v>
      </x:c>
      <x:c r="AM346" s="81" t="inlineStr">
        <x:is>
          <x:t xml:space="preserve">ChatGPT research</x:t>
        </x:is>
      </x:c>
      <x:c r="AN346" s="81" t="inlineStr">
        <x:is>
          <x:t xml:space="preserve">2026-09-18</x:t>
        </x:is>
      </x:c>
      <x:c r="AO346" s="81" t="inlineStr">
        <x:is>
          <x:t xml:space="preserve">Day 4 full-scope audit of Zhuangzi Inner Chapters 1–7.</x:t>
        </x:is>
      </x:c>
    </x:row>
    <x:row r="347">
      <x:c r="A347" s="81" t="inlineStr">
        <x:is>
          <x:t xml:space="preserve">research.zhuangzi.day4.ch03.029</x:t>
        </x:is>
      </x:c>
      <x:c r="B347" s="81" t="inlineStr">
        <x:is>
          <x:t xml:space="preserve">Collected</x:t>
        </x:is>
      </x:c>
      <x:c r="C347" s="81" t="inlineStr">
        <x:is>
          <x:t xml:space="preserve">Nghỉ ngơi &amp; sức khỏe tinh thần</x:t>
        </x:is>
      </x:c>
      <x:c r="D347" s="81" t="inlineStr">
        <x:is>
          <x:t xml:space="preserve">Day 4 / Zhuangzi Inner Chapters 1–7</x:t>
        </x:is>
      </x:c>
      <x:c r="E347" s="81" t="str"/>
      <x:c r="F347" s="81" t="inlineStr">
        <x:is>
          <x:t xml:space="preserve">Biết kết thúc và rời khỏi công việc</x:t>
        </x:is>
      </x:c>
      <x:c r="G347" s="81" t="inlineStr">
        <x:is>
          <x:t xml:space="preserve">Recovery</x:t>
        </x:is>
      </x:c>
      <x:c r="H347" s="81" t="str"/>
      <x:c r="I347" s="81" t="str"/>
      <x:c r="J347" s="81" t="str"/>
      <x:c r="K347" s="81" t="inlineStr">
        <x:is>
          <x:t xml:space="preserve">Permit</x:t>
        </x:is>
      </x:c>
      <x:c r="L347" s="81" t="inlineStr">
        <x:is>
          <x:t xml:space="preserve">Recognize</x:t>
        </x:is>
      </x:c>
      <x:c r="M347" s="81" t="inlineStr">
        <x:is>
          <x:t xml:space="preserve">Trích đoạn triết học /寓言</x:t>
        </x:is>
      </x:c>
      <x:c r="N347" s="81" t="inlineStr">
        <x:is>
          <x:t xml:space="preserve">善刀而藏之。</x:t>
        </x:is>
      </x:c>
      <x:c r="O347" s="81" t="inlineStr">
        <x:is>
          <x:t xml:space="preserve">Classical Chinese (文言文)</x:t>
        </x:is>
      </x:c>
      <x:c r="P347" s="81" t="inlineStr">
        <x:is>
          <x:t xml:space="preserve">Làm xong thì lau dao và cất đi.</x:t>
        </x:is>
      </x:c>
      <x:c r="Q347" s="81" t="inlineStr">
        <x:is>
          <x:t xml:space="preserve">Zhuangzi / 莊子 (Inner Chapters attribution)</x:t>
        </x:is>
      </x:c>
      <x:c r="R347" s="81" t="inlineStr">
        <x:is>
          <x:t xml:space="preserve">Daoist / China</x:t>
        </x:is>
      </x:c>
      <x:c r="S347" s="81" t="inlineStr">
        <x:is>
          <x:t xml:space="preserve">莊子 / Zhuangzi</x:t>
        </x:is>
      </x:c>
      <x:c r="T347" s="81" t="inlineStr">
        <x:is>
          <x:t xml:space="preserve">Inner Chapter 3 — 養生主</x:t>
        </x:is>
      </x:c>
      <x:c r="U347" s="81" t="inlineStr">
        <x:is>
          <x:t xml:space="preserve">https://zh.wikisource.org/wiki/%E8%8E%8A%E5%AD%90/%E9%A4%8A%E7%94%9F%E4%B8%BB</x:t>
        </x:is>
      </x:c>
      <x:c r="V347" s="81" t="inlineStr">
        <x:is>
          <x:t xml:space="preserve">Primary text</x:t>
        </x:is>
      </x:c>
      <x:c r="W347" s="81" t="inlineStr">
        <x:is>
          <x:t xml:space="preserve">Working translation</x:t>
        </x:is>
      </x:c>
      <x:c r="X347" s="81" t="inlineStr">
        <x:is>
          <x:t xml:space="preserve">A - Primary source</x:t>
        </x:is>
      </x:c>
      <x:c r="Y347" s="81" t="inlineStr">
        <x:is>
          <x:t xml:space="preserve">Original Chinese checked against Chinese Wikisource; chapter structure cross-checked with Chinese Text Project. Vietnamese is Selflo working translation, not a published translation.</x:t>
        </x:is>
      </x:c>
      <x:c r="Z347" s="81" t="inlineStr">
        <x:is>
          <x:t xml:space="preserve">Public domain / likely</x:t>
        </x:is>
      </x:c>
      <x:c r="AA347" s="81" t="inlineStr">
        <x:is>
          <x:t xml:space="preserve">Ancient source text is public domain; verify edition/attribution and jurisdiction before commercial publication.</x:t>
        </x:is>
      </x:c>
      <x:c r="AB347" s="81" t="inlineStr">
        <x:is>
          <x:t xml:space="preserve">High</x:t>
        </x:is>
      </x:c>
      <x:c r="AC347" s="81" t="inlineStr">
        <x:is>
          <x:t xml:space="preserve">Excellent work boundary.</x:t>
        </x:is>
      </x:c>
      <x:c r="AD347" s="81" t="inlineStr">
        <x:is>
          <x:t xml:space="preserve">Needs editorial review</x:t>
        </x:is>
      </x:c>
      <x:c r="AE347" s="81" t="inlineStr">
        <x:is>
          <x:t xml:space="preserve">Needs semantic dedupe review</x:t>
        </x:is>
      </x:c>
      <x:c r="AF347" s="81" t="str"/>
      <x:c r="AG347" s="81" t="str"/>
      <x:c r="AH347" s="81" t="inlineStr">
        <x:is>
          <x:t xml:space="preserve">No</x:t>
        </x:is>
      </x:c>
      <x:c r="AI347" s="81" t="inlineStr">
        <x:is>
          <x:t xml:space="preserve">Not reviewed</x:t>
        </x:is>
      </x:c>
      <x:c r="AJ347" s="81" t="inlineStr">
        <x:is>
          <x:t xml:space="preserve">Research only</x:t>
        </x:is>
      </x:c>
      <x:c r="AK347" s="81" t="inlineStr">
        <x:is>
          <x:t xml:space="preserve">Research Pool</x:t>
        </x:is>
      </x:c>
      <x:c r="AL347" s="81" t="n">
        <x:v>4</x:v>
      </x:c>
      <x:c r="AM347" s="81" t="inlineStr">
        <x:is>
          <x:t xml:space="preserve">ChatGPT research</x:t>
        </x:is>
      </x:c>
      <x:c r="AN347" s="81" t="inlineStr">
        <x:is>
          <x:t xml:space="preserve">2026-09-18</x:t>
        </x:is>
      </x:c>
      <x:c r="AO347" s="81" t="inlineStr">
        <x:is>
          <x:t xml:space="preserve">Day 4 full-scope audit of Zhuangzi Inner Chapters 1–7.</x:t>
        </x:is>
      </x:c>
    </x:row>
    <x:row r="348">
      <x:c r="A348" s="81" t="inlineStr">
        <x:is>
          <x:t xml:space="preserve">research.zhuangzi.day4.ch04.030</x:t>
        </x:is>
      </x:c>
      <x:c r="B348" s="81" t="inlineStr">
        <x:is>
          <x:t xml:space="preserve">Collected</x:t>
        </x:is>
      </x:c>
      <x:c r="C348" s="81" t="inlineStr">
        <x:is>
          <x:t xml:space="preserve">Nội tâm &amp; hiểu mình</x:t>
        </x:is>
      </x:c>
      <x:c r="D348" s="81" t="inlineStr">
        <x:is>
          <x:t xml:space="preserve">Day 4 / Zhuangzi Inner Chapters 1–7</x:t>
        </x:is>
      </x:c>
      <x:c r="E348" s="81" t="str"/>
      <x:c r="F348" s="81" t="inlineStr">
        <x:is>
          <x:t xml:space="preserve">Không cứu người khác bằng một cái mình đang mất nền</x:t>
        </x:is>
      </x:c>
      <x:c r="G348" s="81" t="inlineStr">
        <x:is>
          <x:t xml:space="preserve">Boundaries</x:t>
        </x:is>
      </x:c>
      <x:c r="H348" s="81" t="str"/>
      <x:c r="I348" s="81" t="str"/>
      <x:c r="J348" s="81" t="str"/>
      <x:c r="K348" s="81" t="inlineStr">
        <x:is>
          <x:t xml:space="preserve">Recognize</x:t>
        </x:is>
      </x:c>
      <x:c r="L348" s="81" t="inlineStr">
        <x:is>
          <x:t xml:space="preserve">Distinguish</x:t>
        </x:is>
      </x:c>
      <x:c r="M348" s="81" t="inlineStr">
        <x:is>
          <x:t xml:space="preserve">Trích đoạn triết học /寓言</x:t>
        </x:is>
      </x:c>
      <x:c r="N348" s="81" t="inlineStr">
        <x:is>
          <x:t xml:space="preserve">先存諸己，而後存諸人。</x:t>
        </x:is>
      </x:c>
      <x:c r="O348" s="81" t="inlineStr">
        <x:is>
          <x:t xml:space="preserve">Classical Chinese (文言文)</x:t>
        </x:is>
      </x:c>
      <x:c r="P348" s="81" t="inlineStr">
        <x:is>
          <x:t xml:space="preserve">Trước hết giữ cho điều cần giữ trong mình đứng vững, rồi mới nghĩ đến việc sửa người khác.</x:t>
        </x:is>
      </x:c>
      <x:c r="Q348" s="81" t="inlineStr">
        <x:is>
          <x:t xml:space="preserve">Zhuangzi / 莊子 (Inner Chapters attribution)</x:t>
        </x:is>
      </x:c>
      <x:c r="R348" s="81" t="inlineStr">
        <x:is>
          <x:t xml:space="preserve">Daoist / China</x:t>
        </x:is>
      </x:c>
      <x:c r="S348" s="81" t="inlineStr">
        <x:is>
          <x:t xml:space="preserve">莊子 / Zhuangzi</x:t>
        </x:is>
      </x:c>
      <x:c r="T348" s="81" t="inlineStr">
        <x:is>
          <x:t xml:space="preserve">Inner Chapter 4 — 人間世</x:t>
        </x:is>
      </x:c>
      <x:c r="U348" s="81" t="inlineStr">
        <x:is>
          <x:t xml:space="preserve">https://zh.wikisource.org/wiki/%E8%8E%8A%E5%AD%90/%E4%BA%BA%E9%96%93%E4%B8%96</x:t>
        </x:is>
      </x:c>
      <x:c r="V348" s="81" t="inlineStr">
        <x:is>
          <x:t xml:space="preserve">Primary text</x:t>
        </x:is>
      </x:c>
      <x:c r="W348" s="81" t="inlineStr">
        <x:is>
          <x:t xml:space="preserve">Working translation</x:t>
        </x:is>
      </x:c>
      <x:c r="X348" s="81" t="inlineStr">
        <x:is>
          <x:t xml:space="preserve">A - Primary source</x:t>
        </x:is>
      </x:c>
      <x:c r="Y348" s="81" t="inlineStr">
        <x:is>
          <x:t xml:space="preserve">Original Chinese checked against Chinese Wikisource; chapter structure cross-checked with Chinese Text Project. Vietnamese is Selflo working translation, not a published translation.</x:t>
        </x:is>
      </x:c>
      <x:c r="Z348" s="81" t="inlineStr">
        <x:is>
          <x:t xml:space="preserve">Public domain / likely</x:t>
        </x:is>
      </x:c>
      <x:c r="AA348" s="81" t="inlineStr">
        <x:is>
          <x:t xml:space="preserve">Ancient source text is public domain; verify edition/attribution and jurisdiction before commercial publication.</x:t>
        </x:is>
      </x:c>
      <x:c r="AB348" s="81" t="inlineStr">
        <x:is>
          <x:t xml:space="preserve">High</x:t>
        </x:is>
      </x:c>
      <x:c r="AC348" s="81" t="inlineStr">
        <x:is>
          <x:t xml:space="preserve">Needs careful non-selfish framing.</x:t>
        </x:is>
      </x:c>
      <x:c r="AD348" s="81" t="inlineStr">
        <x:is>
          <x:t xml:space="preserve">Needs editorial review</x:t>
        </x:is>
      </x:c>
      <x:c r="AE348" s="81" t="inlineStr">
        <x:is>
          <x:t xml:space="preserve">Needs semantic dedupe review</x:t>
        </x:is>
      </x:c>
      <x:c r="AF348" s="81" t="str"/>
      <x:c r="AG348" s="81" t="str"/>
      <x:c r="AH348" s="81" t="inlineStr">
        <x:is>
          <x:t xml:space="preserve">No</x:t>
        </x:is>
      </x:c>
      <x:c r="AI348" s="81" t="inlineStr">
        <x:is>
          <x:t xml:space="preserve">Not reviewed</x:t>
        </x:is>
      </x:c>
      <x:c r="AJ348" s="81" t="inlineStr">
        <x:is>
          <x:t xml:space="preserve">Research only</x:t>
        </x:is>
      </x:c>
      <x:c r="AK348" s="81" t="inlineStr">
        <x:is>
          <x:t xml:space="preserve">Research Pool</x:t>
        </x:is>
      </x:c>
      <x:c r="AL348" s="81" t="n">
        <x:v>4</x:v>
      </x:c>
      <x:c r="AM348" s="81" t="inlineStr">
        <x:is>
          <x:t xml:space="preserve">ChatGPT research</x:t>
        </x:is>
      </x:c>
      <x:c r="AN348" s="81" t="inlineStr">
        <x:is>
          <x:t xml:space="preserve">2026-09-18</x:t>
        </x:is>
      </x:c>
      <x:c r="AO348" s="81" t="inlineStr">
        <x:is>
          <x:t xml:space="preserve">Day 4 full-scope audit of Zhuangzi Inner Chapters 1–7.</x:t>
        </x:is>
      </x:c>
    </x:row>
    <x:row r="349">
      <x:c r="A349" s="81" t="inlineStr">
        <x:is>
          <x:t xml:space="preserve">research.zhuangzi.day4.ch04.031</x:t>
        </x:is>
      </x:c>
      <x:c r="B349" s="81" t="inlineStr">
        <x:is>
          <x:t xml:space="preserve">Collected</x:t>
        </x:is>
      </x:c>
      <x:c r="C349" s="81" t="inlineStr">
        <x:is>
          <x:t xml:space="preserve">Nội tâm &amp; hiểu mình</x:t>
        </x:is>
      </x:c>
      <x:c r="D349" s="81" t="inlineStr">
        <x:is>
          <x:t xml:space="preserve">Day 4 / Zhuangzi Inner Chapters 1–7</x:t>
        </x:is>
      </x:c>
      <x:c r="E349" s="81" t="str"/>
      <x:c r="F349" s="81" t="inlineStr">
        <x:is>
          <x:t xml:space="preserve">Năng lực bị lệch khi bị danh và cạnh tranh dẫn dắt</x:t>
        </x:is>
      </x:c>
      <x:c r="G349" s="81" t="inlineStr">
        <x:is>
          <x:t xml:space="preserve">Values</x:t>
        </x:is>
      </x:c>
      <x:c r="H349" s="81" t="str"/>
      <x:c r="I349" s="81" t="str"/>
      <x:c r="J349" s="81" t="str"/>
      <x:c r="K349" s="81" t="inlineStr">
        <x:is>
          <x:t xml:space="preserve">Distinguish</x:t>
        </x:is>
      </x:c>
      <x:c r="L349" s="81" t="inlineStr">
        <x:is>
          <x:t xml:space="preserve">Recognize</x:t>
        </x:is>
      </x:c>
      <x:c r="M349" s="81" t="inlineStr">
        <x:is>
          <x:t xml:space="preserve">Trích đoạn triết học /寓言</x:t>
        </x:is>
      </x:c>
      <x:c r="N349" s="81" t="inlineStr">
        <x:is>
          <x:t xml:space="preserve">德蕩乎名，知出乎爭。</x:t>
        </x:is>
      </x:c>
      <x:c r="O349" s="81" t="inlineStr">
        <x:is>
          <x:t xml:space="preserve">Classical Chinese (文言文)</x:t>
        </x:is>
      </x:c>
      <x:c r="P349" s="81" t="inlineStr">
        <x:is>
          <x:t xml:space="preserve">Đức có thể bị cuốn bởi danh; trí có thể biến thành công cụ tranh hơn.</x:t>
        </x:is>
      </x:c>
      <x:c r="Q349" s="81" t="inlineStr">
        <x:is>
          <x:t xml:space="preserve">Zhuangzi / 莊子 (Inner Chapters attribution)</x:t>
        </x:is>
      </x:c>
      <x:c r="R349" s="81" t="inlineStr">
        <x:is>
          <x:t xml:space="preserve">Daoist / China</x:t>
        </x:is>
      </x:c>
      <x:c r="S349" s="81" t="inlineStr">
        <x:is>
          <x:t xml:space="preserve">莊子 / Zhuangzi</x:t>
        </x:is>
      </x:c>
      <x:c r="T349" s="81" t="inlineStr">
        <x:is>
          <x:t xml:space="preserve">Inner Chapter 4 — 人間世</x:t>
        </x:is>
      </x:c>
      <x:c r="U349" s="81" t="inlineStr">
        <x:is>
          <x:t xml:space="preserve">https://zh.wikisource.org/wiki/%E8%8E%8A%E5%AD%90/%E4%BA%BA%E9%96%93%E4%B8%96</x:t>
        </x:is>
      </x:c>
      <x:c r="V349" s="81" t="inlineStr">
        <x:is>
          <x:t xml:space="preserve">Primary text</x:t>
        </x:is>
      </x:c>
      <x:c r="W349" s="81" t="inlineStr">
        <x:is>
          <x:t xml:space="preserve">Working translation</x:t>
        </x:is>
      </x:c>
      <x:c r="X349" s="81" t="inlineStr">
        <x:is>
          <x:t xml:space="preserve">A - Primary source</x:t>
        </x:is>
      </x:c>
      <x:c r="Y349" s="81" t="inlineStr">
        <x:is>
          <x:t xml:space="preserve">Original Chinese checked against Chinese Wikisource; chapter structure cross-checked with Chinese Text Project. Vietnamese is Selflo working translation, not a published translation.</x:t>
        </x:is>
      </x:c>
      <x:c r="Z349" s="81" t="inlineStr">
        <x:is>
          <x:t xml:space="preserve">Public domain / likely</x:t>
        </x:is>
      </x:c>
      <x:c r="AA349" s="81" t="inlineStr">
        <x:is>
          <x:t xml:space="preserve">Ancient source text is public domain; verify edition/attribution and jurisdiction before commercial publication.</x:t>
        </x:is>
      </x:c>
      <x:c r="AB349" s="81" t="inlineStr">
        <x:is>
          <x:t xml:space="preserve">High</x:t>
        </x:is>
      </x:c>
      <x:c r="AC349" s="81" t="inlineStr">
        <x:is>
          <x:t xml:space="preserve">Strong.</x:t>
        </x:is>
      </x:c>
      <x:c r="AD349" s="81" t="inlineStr">
        <x:is>
          <x:t xml:space="preserve">Needs editorial review</x:t>
        </x:is>
      </x:c>
      <x:c r="AE349" s="81" t="inlineStr">
        <x:is>
          <x:t xml:space="preserve">Needs semantic dedupe review</x:t>
        </x:is>
      </x:c>
      <x:c r="AF349" s="81" t="str"/>
      <x:c r="AG349" s="81" t="str"/>
      <x:c r="AH349" s="81" t="inlineStr">
        <x:is>
          <x:t xml:space="preserve">No</x:t>
        </x:is>
      </x:c>
      <x:c r="AI349" s="81" t="inlineStr">
        <x:is>
          <x:t xml:space="preserve">Not reviewed</x:t>
        </x:is>
      </x:c>
      <x:c r="AJ349" s="81" t="inlineStr">
        <x:is>
          <x:t xml:space="preserve">Research only</x:t>
        </x:is>
      </x:c>
      <x:c r="AK349" s="81" t="inlineStr">
        <x:is>
          <x:t xml:space="preserve">Research Pool</x:t>
        </x:is>
      </x:c>
      <x:c r="AL349" s="81" t="n">
        <x:v>4</x:v>
      </x:c>
      <x:c r="AM349" s="81" t="inlineStr">
        <x:is>
          <x:t xml:space="preserve">ChatGPT research</x:t>
        </x:is>
      </x:c>
      <x:c r="AN349" s="81" t="inlineStr">
        <x:is>
          <x:t xml:space="preserve">2026-09-18</x:t>
        </x:is>
      </x:c>
      <x:c r="AO349" s="81" t="inlineStr">
        <x:is>
          <x:t xml:space="preserve">Day 4 full-scope audit of Zhuangzi Inner Chapters 1–7.</x:t>
        </x:is>
      </x:c>
    </x:row>
    <x:row r="350">
      <x:c r="A350" s="81" t="inlineStr">
        <x:is>
          <x:t xml:space="preserve">research.zhuangzi.day4.ch04.032</x:t>
        </x:is>
      </x:c>
      <x:c r="B350" s="81" t="inlineStr">
        <x:is>
          <x:t xml:space="preserve">Collected</x:t>
        </x:is>
      </x:c>
      <x:c r="C350" s="81" t="inlineStr">
        <x:is>
          <x:t xml:space="preserve">Công việc &amp; mục đích</x:t>
        </x:is>
      </x:c>
      <x:c r="D350" s="81" t="inlineStr">
        <x:is>
          <x:t xml:space="preserve">Day 4 / Zhuangzi Inner Chapters 1–7</x:t>
        </x:is>
      </x:c>
      <x:c r="E350" s="81" t="str"/>
      <x:c r="F350" s="81" t="inlineStr">
        <x:is>
          <x:t xml:space="preserve">Giải pháp cùng logic với vấn đề có thể khuếch đại nó</x:t>
        </x:is>
      </x:c>
      <x:c r="G350" s="81" t="inlineStr">
        <x:is>
          <x:t xml:space="preserve">Systems</x:t>
        </x:is>
      </x:c>
      <x:c r="H350" s="81" t="str"/>
      <x:c r="I350" s="81" t="str"/>
      <x:c r="J350" s="81" t="str"/>
      <x:c r="K350" s="81" t="inlineStr">
        <x:is>
          <x:t xml:space="preserve">Reframe</x:t>
        </x:is>
      </x:c>
      <x:c r="L350" s="81" t="inlineStr">
        <x:is>
          <x:t xml:space="preserve">Recognize</x:t>
        </x:is>
      </x:c>
      <x:c r="M350" s="81" t="inlineStr">
        <x:is>
          <x:t xml:space="preserve">Trích đoạn triết học /寓言</x:t>
        </x:is>
      </x:c>
      <x:c r="N350" s="81" t="inlineStr">
        <x:is>
          <x:t xml:space="preserve">是以火救火，以水救水，名之曰益多。</x:t>
        </x:is>
      </x:c>
      <x:c r="O350" s="81" t="inlineStr">
        <x:is>
          <x:t xml:space="preserve">Classical Chinese (文言文)</x:t>
        </x:is>
      </x:c>
      <x:c r="P350" s="81" t="inlineStr">
        <x:is>
          <x:t xml:space="preserve">Lấy lửa cứu lửa, lấy nước cứu nước — đôi khi cách sửa chỉ làm vấn đề nhiều thêm.</x:t>
        </x:is>
      </x:c>
      <x:c r="Q350" s="81" t="inlineStr">
        <x:is>
          <x:t xml:space="preserve">Zhuangzi / 莊子 (Inner Chapters attribution)</x:t>
        </x:is>
      </x:c>
      <x:c r="R350" s="81" t="inlineStr">
        <x:is>
          <x:t xml:space="preserve">Daoist / China</x:t>
        </x:is>
      </x:c>
      <x:c r="S350" s="81" t="inlineStr">
        <x:is>
          <x:t xml:space="preserve">莊子 / Zhuangzi</x:t>
        </x:is>
      </x:c>
      <x:c r="T350" s="81" t="inlineStr">
        <x:is>
          <x:t xml:space="preserve">Inner Chapter 4 — 人間世</x:t>
        </x:is>
      </x:c>
      <x:c r="U350" s="81" t="inlineStr">
        <x:is>
          <x:t xml:space="preserve">https://zh.wikisource.org/wiki/%E8%8E%8A%E5%AD%90/%E4%BA%BA%E9%96%93%E4%B8%96</x:t>
        </x:is>
      </x:c>
      <x:c r="V350" s="81" t="inlineStr">
        <x:is>
          <x:t xml:space="preserve">Primary text</x:t>
        </x:is>
      </x:c>
      <x:c r="W350" s="81" t="inlineStr">
        <x:is>
          <x:t xml:space="preserve">Working translation</x:t>
        </x:is>
      </x:c>
      <x:c r="X350" s="81" t="inlineStr">
        <x:is>
          <x:t xml:space="preserve">A - Primary source</x:t>
        </x:is>
      </x:c>
      <x:c r="Y350" s="81" t="inlineStr">
        <x:is>
          <x:t xml:space="preserve">Original Chinese checked against Chinese Wikisource; chapter structure cross-checked with Chinese Text Project. Vietnamese is Selflo working translation, not a published translation.</x:t>
        </x:is>
      </x:c>
      <x:c r="Z350" s="81" t="inlineStr">
        <x:is>
          <x:t xml:space="preserve">Public domain / likely</x:t>
        </x:is>
      </x:c>
      <x:c r="AA350" s="81" t="inlineStr">
        <x:is>
          <x:t xml:space="preserve">Ancient source text is public domain; verify edition/attribution and jurisdiction before commercial publication.</x:t>
        </x:is>
      </x:c>
      <x:c r="AB350" s="81" t="inlineStr">
        <x:is>
          <x:t xml:space="preserve">High</x:t>
        </x:is>
      </x:c>
      <x:c r="AC350" s="81" t="inlineStr">
        <x:is>
          <x:t xml:space="preserve">Excellent.</x:t>
        </x:is>
      </x:c>
      <x:c r="AD350" s="81" t="inlineStr">
        <x:is>
          <x:t xml:space="preserve">Needs editorial review</x:t>
        </x:is>
      </x:c>
      <x:c r="AE350" s="81" t="inlineStr">
        <x:is>
          <x:t xml:space="preserve">Needs semantic dedupe review</x:t>
        </x:is>
      </x:c>
      <x:c r="AF350" s="81" t="str"/>
      <x:c r="AG350" s="81" t="str"/>
      <x:c r="AH350" s="81" t="inlineStr">
        <x:is>
          <x:t xml:space="preserve">No</x:t>
        </x:is>
      </x:c>
      <x:c r="AI350" s="81" t="inlineStr">
        <x:is>
          <x:t xml:space="preserve">Not reviewed</x:t>
        </x:is>
      </x:c>
      <x:c r="AJ350" s="81" t="inlineStr">
        <x:is>
          <x:t xml:space="preserve">Research only</x:t>
        </x:is>
      </x:c>
      <x:c r="AK350" s="81" t="inlineStr">
        <x:is>
          <x:t xml:space="preserve">Research Pool</x:t>
        </x:is>
      </x:c>
      <x:c r="AL350" s="81" t="n">
        <x:v>4</x:v>
      </x:c>
      <x:c r="AM350" s="81" t="inlineStr">
        <x:is>
          <x:t xml:space="preserve">ChatGPT research</x:t>
        </x:is>
      </x:c>
      <x:c r="AN350" s="81" t="inlineStr">
        <x:is>
          <x:t xml:space="preserve">2026-09-18</x:t>
        </x:is>
      </x:c>
      <x:c r="AO350" s="81" t="inlineStr">
        <x:is>
          <x:t xml:space="preserve">Day 4 full-scope audit of Zhuangzi Inner Chapters 1–7.</x:t>
        </x:is>
      </x:c>
    </x:row>
    <x:row r="351">
      <x:c r="A351" s="81" t="inlineStr">
        <x:is>
          <x:t xml:space="preserve">research.zhuangzi.day4.ch04.033</x:t>
        </x:is>
      </x:c>
      <x:c r="B351" s="81" t="inlineStr">
        <x:is>
          <x:t xml:space="preserve">Collected</x:t>
        </x:is>
      </x:c>
      <x:c r="C351" s="81" t="inlineStr">
        <x:is>
          <x:t xml:space="preserve">AI &amp; tương lai</x:t>
        </x:is>
      </x:c>
      <x:c r="D351" s="81" t="inlineStr">
        <x:is>
          <x:t xml:space="preserve">Day 4 / Zhuangzi Inner Chapters 1–7</x:t>
        </x:is>
      </x:c>
      <x:c r="E351" s="81" t="str"/>
      <x:c r="F351" s="81" t="inlineStr">
        <x:is>
          <x:t xml:space="preserve">Tạo khoảng trống trước khi nhồi thêm câu trả lời</x:t>
        </x:is>
      </x:c>
      <x:c r="G351" s="81" t="inlineStr">
        <x:is>
          <x:t xml:space="preserve">Attention</x:t>
        </x:is>
      </x:c>
      <x:c r="H351" s="81" t="str"/>
      <x:c r="I351" s="81" t="str"/>
      <x:c r="J351" s="81" t="str"/>
      <x:c r="K351" s="81" t="inlineStr">
        <x:is>
          <x:t xml:space="preserve">Reframe</x:t>
        </x:is>
      </x:c>
      <x:c r="L351" s="81" t="inlineStr">
        <x:is>
          <x:t xml:space="preserve">Recognize</x:t>
        </x:is>
      </x:c>
      <x:c r="M351" s="81" t="inlineStr">
        <x:is>
          <x:t xml:space="preserve">Trích đoạn triết học /寓言</x:t>
        </x:is>
      </x:c>
      <x:c r="N351" s="81" t="inlineStr">
        <x:is>
          <x:t xml:space="preserve">唯道集虚。虚者，心齋也。</x:t>
        </x:is>
      </x:c>
      <x:c r="O351" s="81" t="inlineStr">
        <x:is>
          <x:t xml:space="preserve">Classical Chinese (文言文)</x:t>
        </x:is>
      </x:c>
      <x:c r="P351" s="81" t="inlineStr">
        <x:is>
          <x:t xml:space="preserve">Khoảng trống là nơi điều mới có thể hội tụ; văn bản gọi đó là 'tâm trai'.</x:t>
        </x:is>
      </x:c>
      <x:c r="Q351" s="81" t="inlineStr">
        <x:is>
          <x:t xml:space="preserve">Zhuangzi / 莊子 (Inner Chapters attribution)</x:t>
        </x:is>
      </x:c>
      <x:c r="R351" s="81" t="inlineStr">
        <x:is>
          <x:t xml:space="preserve">Daoist / China</x:t>
        </x:is>
      </x:c>
      <x:c r="S351" s="81" t="inlineStr">
        <x:is>
          <x:t xml:space="preserve">莊子 / Zhuangzi</x:t>
        </x:is>
      </x:c>
      <x:c r="T351" s="81" t="inlineStr">
        <x:is>
          <x:t xml:space="preserve">Inner Chapter 4 — 人間世</x:t>
        </x:is>
      </x:c>
      <x:c r="U351" s="81" t="inlineStr">
        <x:is>
          <x:t xml:space="preserve">https://zh.wikisource.org/wiki/%E8%8E%8A%E5%AD%90/%E4%BA%BA%E9%96%93%E4%B8%96</x:t>
        </x:is>
      </x:c>
      <x:c r="V351" s="81" t="inlineStr">
        <x:is>
          <x:t xml:space="preserve">Primary text</x:t>
        </x:is>
      </x:c>
      <x:c r="W351" s="81" t="inlineStr">
        <x:is>
          <x:t xml:space="preserve">Working translation</x:t>
        </x:is>
      </x:c>
      <x:c r="X351" s="81" t="inlineStr">
        <x:is>
          <x:t xml:space="preserve">A - Primary source</x:t>
        </x:is>
      </x:c>
      <x:c r="Y351" s="81" t="inlineStr">
        <x:is>
          <x:t xml:space="preserve">Original Chinese checked against Chinese Wikisource; chapter structure cross-checked with Chinese Text Project. Vietnamese is Selflo working translation, not a published translation.</x:t>
        </x:is>
      </x:c>
      <x:c r="Z351" s="81" t="inlineStr">
        <x:is>
          <x:t xml:space="preserve">Public domain / likely</x:t>
        </x:is>
      </x:c>
      <x:c r="AA351" s="81" t="inlineStr">
        <x:is>
          <x:t xml:space="preserve">Ancient source text is public domain; verify edition/attribution and jurisdiction before commercial publication.</x:t>
        </x:is>
      </x:c>
      <x:c r="AB351" s="81" t="inlineStr">
        <x:is>
          <x:t xml:space="preserve">High</x:t>
        </x:is>
      </x:c>
      <x:c r="AC351" s="81" t="inlineStr">
        <x:is>
          <x:t xml:space="preserve">Very Selflo/AI-age.</x:t>
        </x:is>
      </x:c>
      <x:c r="AD351" s="81" t="inlineStr">
        <x:is>
          <x:t xml:space="preserve">Needs editorial review</x:t>
        </x:is>
      </x:c>
      <x:c r="AE351" s="81" t="inlineStr">
        <x:is>
          <x:t xml:space="preserve">Needs semantic dedupe review</x:t>
        </x:is>
      </x:c>
      <x:c r="AF351" s="81" t="str"/>
      <x:c r="AG351" s="81" t="str"/>
      <x:c r="AH351" s="81" t="inlineStr">
        <x:is>
          <x:t xml:space="preserve">No</x:t>
        </x:is>
      </x:c>
      <x:c r="AI351" s="81" t="inlineStr">
        <x:is>
          <x:t xml:space="preserve">Not reviewed</x:t>
        </x:is>
      </x:c>
      <x:c r="AJ351" s="81" t="inlineStr">
        <x:is>
          <x:t xml:space="preserve">Research only</x:t>
        </x:is>
      </x:c>
      <x:c r="AK351" s="81" t="inlineStr">
        <x:is>
          <x:t xml:space="preserve">Research Pool</x:t>
        </x:is>
      </x:c>
      <x:c r="AL351" s="81" t="n">
        <x:v>4</x:v>
      </x:c>
      <x:c r="AM351" s="81" t="inlineStr">
        <x:is>
          <x:t xml:space="preserve">ChatGPT research</x:t>
        </x:is>
      </x:c>
      <x:c r="AN351" s="81" t="inlineStr">
        <x:is>
          <x:t xml:space="preserve">2026-09-18</x:t>
        </x:is>
      </x:c>
      <x:c r="AO351" s="81" t="inlineStr">
        <x:is>
          <x:t xml:space="preserve">Day 4 full-scope audit of Zhuangzi Inner Chapters 1–7.</x:t>
        </x:is>
      </x:c>
    </x:row>
    <x:row r="352">
      <x:c r="A352" s="81" t="inlineStr">
        <x:is>
          <x:t xml:space="preserve">research.zhuangzi.day4.ch04.034</x:t>
        </x:is>
      </x:c>
      <x:c r="B352" s="81" t="inlineStr">
        <x:is>
          <x:t xml:space="preserve">Collected</x:t>
        </x:is>
      </x:c>
      <x:c r="C352" s="81" t="inlineStr">
        <x:is>
          <x:t xml:space="preserve">Nội tâm &amp; hiểu mình</x:t>
        </x:is>
      </x:c>
      <x:c r="D352" s="81" t="inlineStr">
        <x:is>
          <x:t xml:space="preserve">Day 4 / Zhuangzi Inner Chapters 1–7</x:t>
        </x:is>
      </x:c>
      <x:c r="E352" s="81" t="str"/>
      <x:c r="F352" s="81" t="inlineStr">
        <x:is>
          <x:t xml:space="preserve">Khoảng trống có thể làm điều vốn có trở nên thấy được</x:t>
        </x:is>
      </x:c>
      <x:c r="G352" s="81" t="inlineStr">
        <x:is>
          <x:t xml:space="preserve">Clarity</x:t>
        </x:is>
      </x:c>
      <x:c r="H352" s="81" t="str"/>
      <x:c r="I352" s="81" t="str"/>
      <x:c r="J352" s="81" t="str"/>
      <x:c r="K352" s="81" t="inlineStr">
        <x:is>
          <x:t xml:space="preserve">Recognize</x:t>
        </x:is>
      </x:c>
      <x:c r="L352" s="81" t="inlineStr">
        <x:is>
          <x:t xml:space="preserve">Distinguish</x:t>
        </x:is>
      </x:c>
      <x:c r="M352" s="81" t="inlineStr">
        <x:is>
          <x:t xml:space="preserve">Trích đoạn triết học /寓言</x:t>
        </x:is>
      </x:c>
      <x:c r="N352" s="81" t="inlineStr">
        <x:is>
          <x:t xml:space="preserve">虚室生白。</x:t>
        </x:is>
      </x:c>
      <x:c r="O352" s="81" t="inlineStr">
        <x:is>
          <x:t xml:space="preserve">Classical Chinese (文言文)</x:t>
        </x:is>
      </x:c>
      <x:c r="P352" s="81" t="inlineStr">
        <x:is>
          <x:t xml:space="preserve">Căn phòng trống thì ánh sáng hiện ra.</x:t>
        </x:is>
      </x:c>
      <x:c r="Q352" s="81" t="inlineStr">
        <x:is>
          <x:t xml:space="preserve">Zhuangzi / 莊子 (Inner Chapters attribution)</x:t>
        </x:is>
      </x:c>
      <x:c r="R352" s="81" t="inlineStr">
        <x:is>
          <x:t xml:space="preserve">Daoist / China</x:t>
        </x:is>
      </x:c>
      <x:c r="S352" s="81" t="inlineStr">
        <x:is>
          <x:t xml:space="preserve">莊子 / Zhuangzi</x:t>
        </x:is>
      </x:c>
      <x:c r="T352" s="81" t="inlineStr">
        <x:is>
          <x:t xml:space="preserve">Inner Chapter 4 — 人間世</x:t>
        </x:is>
      </x:c>
      <x:c r="U352" s="81" t="inlineStr">
        <x:is>
          <x:t xml:space="preserve">https://zh.wikisource.org/wiki/%E8%8E%8A%E5%AD%90/%E4%BA%BA%E9%96%93%E4%B8%96</x:t>
        </x:is>
      </x:c>
      <x:c r="V352" s="81" t="inlineStr">
        <x:is>
          <x:t xml:space="preserve">Primary text</x:t>
        </x:is>
      </x:c>
      <x:c r="W352" s="81" t="inlineStr">
        <x:is>
          <x:t xml:space="preserve">Working translation</x:t>
        </x:is>
      </x:c>
      <x:c r="X352" s="81" t="inlineStr">
        <x:is>
          <x:t xml:space="preserve">A - Primary source</x:t>
        </x:is>
      </x:c>
      <x:c r="Y352" s="81" t="inlineStr">
        <x:is>
          <x:t xml:space="preserve">Original Chinese checked against Chinese Wikisource; chapter structure cross-checked with Chinese Text Project. Vietnamese is Selflo working translation, not a published translation.</x:t>
        </x:is>
      </x:c>
      <x:c r="Z352" s="81" t="inlineStr">
        <x:is>
          <x:t xml:space="preserve">Public domain / likely</x:t>
        </x:is>
      </x:c>
      <x:c r="AA352" s="81" t="inlineStr">
        <x:is>
          <x:t xml:space="preserve">Ancient source text is public domain; verify edition/attribution and jurisdiction before commercial publication.</x:t>
        </x:is>
      </x:c>
      <x:c r="AB352" s="81" t="inlineStr">
        <x:is>
          <x:t xml:space="preserve">High</x:t>
        </x:is>
      </x:c>
      <x:c r="AC352" s="81" t="inlineStr">
        <x:is>
          <x:t xml:space="preserve">Very Selflo; possible inspiration for existing light quote.</x:t>
        </x:is>
      </x:c>
      <x:c r="AD352" s="81" t="inlineStr">
        <x:is>
          <x:t xml:space="preserve">Needs editorial review</x:t>
        </x:is>
      </x:c>
      <x:c r="AE352" s="81" t="inlineStr">
        <x:is>
          <x:t xml:space="preserve">Needs semantic dedupe review</x:t>
        </x:is>
      </x:c>
      <x:c r="AF352" s="81" t="str"/>
      <x:c r="AG352" s="81" t="str"/>
      <x:c r="AH352" s="81" t="inlineStr">
        <x:is>
          <x:t xml:space="preserve">No</x:t>
        </x:is>
      </x:c>
      <x:c r="AI352" s="81" t="inlineStr">
        <x:is>
          <x:t xml:space="preserve">Not reviewed</x:t>
        </x:is>
      </x:c>
      <x:c r="AJ352" s="81" t="inlineStr">
        <x:is>
          <x:t xml:space="preserve">Research only</x:t>
        </x:is>
      </x:c>
      <x:c r="AK352" s="81" t="inlineStr">
        <x:is>
          <x:t xml:space="preserve">Research Pool</x:t>
        </x:is>
      </x:c>
      <x:c r="AL352" s="81" t="n">
        <x:v>4</x:v>
      </x:c>
      <x:c r="AM352" s="81" t="inlineStr">
        <x:is>
          <x:t xml:space="preserve">ChatGPT research</x:t>
        </x:is>
      </x:c>
      <x:c r="AN352" s="81" t="inlineStr">
        <x:is>
          <x:t xml:space="preserve">2026-09-18</x:t>
        </x:is>
      </x:c>
      <x:c r="AO352" s="81" t="inlineStr">
        <x:is>
          <x:t xml:space="preserve">Day 4 full-scope audit of Zhuangzi Inner Chapters 1–7.</x:t>
        </x:is>
      </x:c>
    </x:row>
    <x:row r="353">
      <x:c r="A353" s="81" t="inlineStr">
        <x:is>
          <x:t xml:space="preserve">research.zhuangzi.day4.ch04.035</x:t>
        </x:is>
      </x:c>
      <x:c r="B353" s="81" t="inlineStr">
        <x:is>
          <x:t xml:space="preserve">Collected</x:t>
        </x:is>
      </x:c>
      <x:c r="C353" s="81" t="inlineStr">
        <x:is>
          <x:t xml:space="preserve">Quan hệ</x:t>
        </x:is>
      </x:c>
      <x:c r="D353" s="81" t="inlineStr">
        <x:is>
          <x:t xml:space="preserve">Day 4 / Zhuangzi Inner Chapters 1–7</x:t>
        </x:is>
      </x:c>
      <x:c r="E353" s="81" t="str"/>
      <x:c r="F353" s="81" t="inlineStr">
        <x:is>
          <x:t xml:space="preserve">Lời truyền đi có thể làm tình huống đổi khác</x:t>
        </x:is>
      </x:c>
      <x:c r="G353" s="81" t="inlineStr">
        <x:is>
          <x:t xml:space="preserve">Communication</x:t>
        </x:is>
      </x:c>
      <x:c r="H353" s="81" t="str"/>
      <x:c r="I353" s="81" t="str"/>
      <x:c r="J353" s="81" t="str"/>
      <x:c r="K353" s="81" t="inlineStr">
        <x:is>
          <x:t xml:space="preserve">Recognize</x:t>
        </x:is>
      </x:c>
      <x:c r="L353" s="81" t="inlineStr">
        <x:is>
          <x:t xml:space="preserve">Distinguish</x:t>
        </x:is>
      </x:c>
      <x:c r="M353" s="81" t="inlineStr">
        <x:is>
          <x:t xml:space="preserve">Trích đoạn triết học /寓言</x:t>
        </x:is>
      </x:c>
      <x:c r="N353" s="81" t="inlineStr">
        <x:is>
          <x:t xml:space="preserve">言者，風波也。</x:t>
        </x:is>
      </x:c>
      <x:c r="O353" s="81" t="inlineStr">
        <x:is>
          <x:t xml:space="preserve">Classical Chinese (文言文)</x:t>
        </x:is>
      </x:c>
      <x:c r="P353" s="81" t="inlineStr">
        <x:is>
          <x:t xml:space="preserve">Lời nói có thể tạo sóng.</x:t>
        </x:is>
      </x:c>
      <x:c r="Q353" s="81" t="inlineStr">
        <x:is>
          <x:t xml:space="preserve">Zhuangzi / 莊子 (Inner Chapters attribution)</x:t>
        </x:is>
      </x:c>
      <x:c r="R353" s="81" t="inlineStr">
        <x:is>
          <x:t xml:space="preserve">Daoist / China</x:t>
        </x:is>
      </x:c>
      <x:c r="S353" s="81" t="inlineStr">
        <x:is>
          <x:t xml:space="preserve">莊子 / Zhuangzi</x:t>
        </x:is>
      </x:c>
      <x:c r="T353" s="81" t="inlineStr">
        <x:is>
          <x:t xml:space="preserve">Inner Chapter 4 — 人間世</x:t>
        </x:is>
      </x:c>
      <x:c r="U353" s="81" t="inlineStr">
        <x:is>
          <x:t xml:space="preserve">https://zh.wikisource.org/wiki/%E8%8E%8A%E5%AD%90/%E4%BA%BA%E9%96%93%E4%B8%96</x:t>
        </x:is>
      </x:c>
      <x:c r="V353" s="81" t="inlineStr">
        <x:is>
          <x:t xml:space="preserve">Primary text</x:t>
        </x:is>
      </x:c>
      <x:c r="W353" s="81" t="inlineStr">
        <x:is>
          <x:t xml:space="preserve">Working translation</x:t>
        </x:is>
      </x:c>
      <x:c r="X353" s="81" t="inlineStr">
        <x:is>
          <x:t xml:space="preserve">A - Primary source</x:t>
        </x:is>
      </x:c>
      <x:c r="Y353" s="81" t="inlineStr">
        <x:is>
          <x:t xml:space="preserve">Original Chinese checked against Chinese Wikisource; chapter structure cross-checked with Chinese Text Project. Vietnamese is Selflo working translation, not a published translation.</x:t>
        </x:is>
      </x:c>
      <x:c r="Z353" s="81" t="inlineStr">
        <x:is>
          <x:t xml:space="preserve">Public domain / likely</x:t>
        </x:is>
      </x:c>
      <x:c r="AA353" s="81" t="inlineStr">
        <x:is>
          <x:t xml:space="preserve">Ancient source text is public domain; verify edition/attribution and jurisdiction before commercial publication.</x:t>
        </x:is>
      </x:c>
      <x:c r="AB353" s="81" t="inlineStr">
        <x:is>
          <x:t xml:space="preserve">High</x:t>
        </x:is>
      </x:c>
      <x:c r="AC353" s="81" t="inlineStr">
        <x:is>
          <x:t xml:space="preserve">Context needed.</x:t>
        </x:is>
      </x:c>
      <x:c r="AD353" s="81" t="inlineStr">
        <x:is>
          <x:t xml:space="preserve">Needs editorial review</x:t>
        </x:is>
      </x:c>
      <x:c r="AE353" s="81" t="inlineStr">
        <x:is>
          <x:t xml:space="preserve">Needs semantic dedupe review</x:t>
        </x:is>
      </x:c>
      <x:c r="AF353" s="81" t="str"/>
      <x:c r="AG353" s="81" t="str"/>
      <x:c r="AH353" s="81" t="inlineStr">
        <x:is>
          <x:t xml:space="preserve">No</x:t>
        </x:is>
      </x:c>
      <x:c r="AI353" s="81" t="inlineStr">
        <x:is>
          <x:t xml:space="preserve">Not reviewed</x:t>
        </x:is>
      </x:c>
      <x:c r="AJ353" s="81" t="inlineStr">
        <x:is>
          <x:t xml:space="preserve">Research only</x:t>
        </x:is>
      </x:c>
      <x:c r="AK353" s="81" t="inlineStr">
        <x:is>
          <x:t xml:space="preserve">Research Pool</x:t>
        </x:is>
      </x:c>
      <x:c r="AL353" s="81" t="n">
        <x:v>4</x:v>
      </x:c>
      <x:c r="AM353" s="81" t="inlineStr">
        <x:is>
          <x:t xml:space="preserve">ChatGPT research</x:t>
        </x:is>
      </x:c>
      <x:c r="AN353" s="81" t="inlineStr">
        <x:is>
          <x:t xml:space="preserve">2026-09-18</x:t>
        </x:is>
      </x:c>
      <x:c r="AO353" s="81" t="inlineStr">
        <x:is>
          <x:t xml:space="preserve">Day 4 full-scope audit of Zhuangzi Inner Chapters 1–7.</x:t>
        </x:is>
      </x:c>
    </x:row>
    <x:row r="354">
      <x:c r="A354" s="81" t="inlineStr">
        <x:is>
          <x:t xml:space="preserve">research.zhuangzi.day4.ch04.036</x:t>
        </x:is>
      </x:c>
      <x:c r="B354" s="81" t="inlineStr">
        <x:is>
          <x:t xml:space="preserve">Collected</x:t>
        </x:is>
      </x:c>
      <x:c r="C354" s="81" t="inlineStr">
        <x:is>
          <x:t xml:space="preserve">Nội tâm &amp; hiểu mình</x:t>
        </x:is>
      </x:c>
      <x:c r="D354" s="81" t="inlineStr">
        <x:is>
          <x:t xml:space="preserve">Day 4 / Zhuangzi Inner Chapters 1–7</x:t>
        </x:is>
      </x:c>
      <x:c r="E354" s="81" t="str"/>
      <x:c r="F354" s="81" t="inlineStr">
        <x:is>
          <x:t xml:space="preserve">Cường độ cảm xúc có thể làm lời đánh giá quá mức</x:t>
        </x:is>
      </x:c>
      <x:c r="G354" s="81" t="inlineStr">
        <x:is>
          <x:t xml:space="preserve">Emotion</x:t>
        </x:is>
      </x:c>
      <x:c r="H354" s="81" t="str"/>
      <x:c r="I354" s="81" t="str"/>
      <x:c r="J354" s="81" t="str"/>
      <x:c r="K354" s="81" t="inlineStr">
        <x:is>
          <x:t xml:space="preserve">Recognize</x:t>
        </x:is>
      </x:c>
      <x:c r="L354" s="81" t="inlineStr">
        <x:is>
          <x:t xml:space="preserve">Distinguish</x:t>
        </x:is>
      </x:c>
      <x:c r="M354" s="81" t="inlineStr">
        <x:is>
          <x:t xml:space="preserve">Trích đoạn triết học /寓言</x:t>
        </x:is>
      </x:c>
      <x:c r="N354" s="81" t="inlineStr">
        <x:is>
          <x:t xml:space="preserve">兩喜必多溢美之言，兩怒必多溢惡之言。</x:t>
        </x:is>
      </x:c>
      <x:c r="O354" s="81" t="inlineStr">
        <x:is>
          <x:t xml:space="preserve">Classical Chinese (文言文)</x:t>
        </x:is>
      </x:c>
      <x:c r="P354" s="81" t="inlineStr">
        <x:is>
          <x:t xml:space="preserve">Khi quá vui ta dễ nói quá đẹp; khi quá giận ta dễ nói quá xấu.</x:t>
        </x:is>
      </x:c>
      <x:c r="Q354" s="81" t="inlineStr">
        <x:is>
          <x:t xml:space="preserve">Zhuangzi / 莊子 (Inner Chapters attribution)</x:t>
        </x:is>
      </x:c>
      <x:c r="R354" s="81" t="inlineStr">
        <x:is>
          <x:t xml:space="preserve">Daoist / China</x:t>
        </x:is>
      </x:c>
      <x:c r="S354" s="81" t="inlineStr">
        <x:is>
          <x:t xml:space="preserve">莊子 / Zhuangzi</x:t>
        </x:is>
      </x:c>
      <x:c r="T354" s="81" t="inlineStr">
        <x:is>
          <x:t xml:space="preserve">Inner Chapter 4 — 人間世</x:t>
        </x:is>
      </x:c>
      <x:c r="U354" s="81" t="inlineStr">
        <x:is>
          <x:t xml:space="preserve">https://zh.wikisource.org/wiki/%E8%8E%8A%E5%AD%90/%E4%BA%BA%E9%96%93%E4%B8%96</x:t>
        </x:is>
      </x:c>
      <x:c r="V354" s="81" t="inlineStr">
        <x:is>
          <x:t xml:space="preserve">Primary text</x:t>
        </x:is>
      </x:c>
      <x:c r="W354" s="81" t="inlineStr">
        <x:is>
          <x:t xml:space="preserve">Working translation</x:t>
        </x:is>
      </x:c>
      <x:c r="X354" s="81" t="inlineStr">
        <x:is>
          <x:t xml:space="preserve">A - Primary source</x:t>
        </x:is>
      </x:c>
      <x:c r="Y354" s="81" t="inlineStr">
        <x:is>
          <x:t xml:space="preserve">Original Chinese checked against Chinese Wikisource; chapter structure cross-checked with Chinese Text Project. Vietnamese is Selflo working translation, not a published translation.</x:t>
        </x:is>
      </x:c>
      <x:c r="Z354" s="81" t="inlineStr">
        <x:is>
          <x:t xml:space="preserve">Public domain / likely</x:t>
        </x:is>
      </x:c>
      <x:c r="AA354" s="81" t="inlineStr">
        <x:is>
          <x:t xml:space="preserve">Ancient source text is public domain; verify edition/attribution and jurisdiction before commercial publication.</x:t>
        </x:is>
      </x:c>
      <x:c r="AB354" s="81" t="inlineStr">
        <x:is>
          <x:t xml:space="preserve">High</x:t>
        </x:is>
      </x:c>
      <x:c r="AC354" s="81" t="inlineStr">
        <x:is>
          <x:t xml:space="preserve">Strong workplace/relationship.</x:t>
        </x:is>
      </x:c>
      <x:c r="AD354" s="81" t="inlineStr">
        <x:is>
          <x:t xml:space="preserve">Needs editorial review</x:t>
        </x:is>
      </x:c>
      <x:c r="AE354" s="81" t="inlineStr">
        <x:is>
          <x:t xml:space="preserve">Needs semantic dedupe review</x:t>
        </x:is>
      </x:c>
      <x:c r="AF354" s="81" t="str"/>
      <x:c r="AG354" s="81" t="str"/>
      <x:c r="AH354" s="81" t="inlineStr">
        <x:is>
          <x:t xml:space="preserve">No</x:t>
        </x:is>
      </x:c>
      <x:c r="AI354" s="81" t="inlineStr">
        <x:is>
          <x:t xml:space="preserve">Not reviewed</x:t>
        </x:is>
      </x:c>
      <x:c r="AJ354" s="81" t="inlineStr">
        <x:is>
          <x:t xml:space="preserve">Research only</x:t>
        </x:is>
      </x:c>
      <x:c r="AK354" s="81" t="inlineStr">
        <x:is>
          <x:t xml:space="preserve">Research Pool</x:t>
        </x:is>
      </x:c>
      <x:c r="AL354" s="81" t="n">
        <x:v>4</x:v>
      </x:c>
      <x:c r="AM354" s="81" t="inlineStr">
        <x:is>
          <x:t xml:space="preserve">ChatGPT research</x:t>
        </x:is>
      </x:c>
      <x:c r="AN354" s="81" t="inlineStr">
        <x:is>
          <x:t xml:space="preserve">2026-09-18</x:t>
        </x:is>
      </x:c>
      <x:c r="AO354" s="81" t="inlineStr">
        <x:is>
          <x:t xml:space="preserve">Day 4 full-scope audit of Zhuangzi Inner Chapters 1–7.</x:t>
        </x:is>
      </x:c>
    </x:row>
    <x:row r="355">
      <x:c r="A355" s="81" t="inlineStr">
        <x:is>
          <x:t xml:space="preserve">research.zhuangzi.day4.ch04.037</x:t>
        </x:is>
      </x:c>
      <x:c r="B355" s="81" t="inlineStr">
        <x:is>
          <x:t xml:space="preserve">Collected</x:t>
        </x:is>
      </x:c>
      <x:c r="C355" s="81" t="inlineStr">
        <x:is>
          <x:t xml:space="preserve">Công việc &amp; mục đích</x:t>
        </x:is>
      </x:c>
      <x:c r="D355" s="81" t="inlineStr">
        <x:is>
          <x:t xml:space="preserve">Day 4 / Zhuangzi Inner Chapters 1–7</x:t>
        </x:is>
      </x:c>
      <x:c r="E355" s="81" t="str"/>
      <x:c r="F355" s="81" t="inlineStr">
        <x:is>
          <x:t xml:space="preserve">Áp lực thúc kết quả có thể làm việc lệch đi</x:t>
        </x:is>
      </x:c>
      <x:c r="G355" s="81" t="inlineStr">
        <x:is>
          <x:t xml:space="preserve">Work pressure</x:t>
        </x:is>
      </x:c>
      <x:c r="H355" s="81" t="str"/>
      <x:c r="I355" s="81" t="str"/>
      <x:c r="J355" s="81" t="str"/>
      <x:c r="K355" s="81" t="inlineStr">
        <x:is>
          <x:t xml:space="preserve">Reframe</x:t>
        </x:is>
      </x:c>
      <x:c r="L355" s="81" t="inlineStr">
        <x:is>
          <x:t xml:space="preserve">Recognize</x:t>
        </x:is>
      </x:c>
      <x:c r="M355" s="81" t="inlineStr">
        <x:is>
          <x:t xml:space="preserve">Trích đoạn triết học /寓言</x:t>
        </x:is>
      </x:c>
      <x:c r="N355" s="81" t="inlineStr">
        <x:is>
          <x:t xml:space="preserve">无遷令，无勸成。</x:t>
        </x:is>
      </x:c>
      <x:c r="O355" s="81" t="inlineStr">
        <x:is>
          <x:t xml:space="preserve">Classical Chinese (文言文)</x:t>
        </x:is>
      </x:c>
      <x:c r="P355" s="81" t="inlineStr">
        <x:is>
          <x:t xml:space="preserve">Đừng liên tục đổi mệnh lệnh; đừng cưỡng ép kết quả phải thành.</x:t>
        </x:is>
      </x:c>
      <x:c r="Q355" s="81" t="inlineStr">
        <x:is>
          <x:t xml:space="preserve">Zhuangzi / 莊子 (Inner Chapters attribution)</x:t>
        </x:is>
      </x:c>
      <x:c r="R355" s="81" t="inlineStr">
        <x:is>
          <x:t xml:space="preserve">Daoist / China</x:t>
        </x:is>
      </x:c>
      <x:c r="S355" s="81" t="inlineStr">
        <x:is>
          <x:t xml:space="preserve">莊子 / Zhuangzi</x:t>
        </x:is>
      </x:c>
      <x:c r="T355" s="81" t="inlineStr">
        <x:is>
          <x:t xml:space="preserve">Inner Chapter 4 — 人間世</x:t>
        </x:is>
      </x:c>
      <x:c r="U355" s="81" t="inlineStr">
        <x:is>
          <x:t xml:space="preserve">https://zh.wikisource.org/wiki/%E8%8E%8A%E5%AD%90/%E4%BA%BA%E9%96%93%E4%B8%96</x:t>
        </x:is>
      </x:c>
      <x:c r="V355" s="81" t="inlineStr">
        <x:is>
          <x:t xml:space="preserve">Primary text</x:t>
        </x:is>
      </x:c>
      <x:c r="W355" s="81" t="inlineStr">
        <x:is>
          <x:t xml:space="preserve">Working translation</x:t>
        </x:is>
      </x:c>
      <x:c r="X355" s="81" t="inlineStr">
        <x:is>
          <x:t xml:space="preserve">A - Primary source</x:t>
        </x:is>
      </x:c>
      <x:c r="Y355" s="81" t="inlineStr">
        <x:is>
          <x:t xml:space="preserve">Original Chinese checked against Chinese Wikisource; chapter structure cross-checked with Chinese Text Project. Vietnamese is Selflo working translation, not a published translation.</x:t>
        </x:is>
      </x:c>
      <x:c r="Z355" s="81" t="inlineStr">
        <x:is>
          <x:t xml:space="preserve">Public domain / likely</x:t>
        </x:is>
      </x:c>
      <x:c r="AA355" s="81" t="inlineStr">
        <x:is>
          <x:t xml:space="preserve">Ancient source text is public domain; verify edition/attribution and jurisdiction before commercial publication.</x:t>
        </x:is>
      </x:c>
      <x:c r="AB355" s="81" t="inlineStr">
        <x:is>
          <x:t xml:space="preserve">High</x:t>
        </x:is>
      </x:c>
      <x:c r="AC355" s="81" t="inlineStr">
        <x:is>
          <x:t xml:space="preserve">Ancient governance context.</x:t>
        </x:is>
      </x:c>
      <x:c r="AD355" s="81" t="inlineStr">
        <x:is>
          <x:t xml:space="preserve">Needs editorial review</x:t>
        </x:is>
      </x:c>
      <x:c r="AE355" s="81" t="inlineStr">
        <x:is>
          <x:t xml:space="preserve">Needs semantic dedupe review</x:t>
        </x:is>
      </x:c>
      <x:c r="AF355" s="81" t="str"/>
      <x:c r="AG355" s="81" t="str"/>
      <x:c r="AH355" s="81" t="inlineStr">
        <x:is>
          <x:t xml:space="preserve">No</x:t>
        </x:is>
      </x:c>
      <x:c r="AI355" s="81" t="inlineStr">
        <x:is>
          <x:t xml:space="preserve">Not reviewed</x:t>
        </x:is>
      </x:c>
      <x:c r="AJ355" s="81" t="inlineStr">
        <x:is>
          <x:t xml:space="preserve">Research only</x:t>
        </x:is>
      </x:c>
      <x:c r="AK355" s="81" t="inlineStr">
        <x:is>
          <x:t xml:space="preserve">Research Pool</x:t>
        </x:is>
      </x:c>
      <x:c r="AL355" s="81" t="n">
        <x:v>4</x:v>
      </x:c>
      <x:c r="AM355" s="81" t="inlineStr">
        <x:is>
          <x:t xml:space="preserve">ChatGPT research</x:t>
        </x:is>
      </x:c>
      <x:c r="AN355" s="81" t="inlineStr">
        <x:is>
          <x:t xml:space="preserve">2026-09-18</x:t>
        </x:is>
      </x:c>
      <x:c r="AO355" s="81" t="inlineStr">
        <x:is>
          <x:t xml:space="preserve">Day 4 full-scope audit of Zhuangzi Inner Chapters 1–7.</x:t>
        </x:is>
      </x:c>
    </x:row>
    <x:row r="356">
      <x:c r="A356" s="81" t="inlineStr">
        <x:is>
          <x:t xml:space="preserve">research.zhuangzi.day4.ch04.038</x:t>
        </x:is>
      </x:c>
      <x:c r="B356" s="81" t="inlineStr">
        <x:is>
          <x:t xml:space="preserve">Collected</x:t>
        </x:is>
      </x:c>
      <x:c r="C356" s="81" t="inlineStr">
        <x:is>
          <x:t xml:space="preserve">Nội tâm &amp; hiểu mình</x:t>
        </x:is>
      </x:c>
      <x:c r="D356" s="81" t="inlineStr">
        <x:is>
          <x:t xml:space="preserve">Day 4 / Zhuangzi Inner Chapters 1–7</x:t>
        </x:is>
      </x:c>
      <x:c r="E356" s="81" t="str"/>
      <x:c r="F356" s="81" t="inlineStr">
        <x:is>
          <x:t xml:space="preserve">Không đáp ứng một thước đo có thể bảo vệ một giá trị khác</x:t>
        </x:is>
      </x:c>
      <x:c r="G356" s="81" t="inlineStr">
        <x:is>
          <x:t xml:space="preserve">Self-worth</x:t>
        </x:is>
      </x:c>
      <x:c r="H356" s="81" t="str"/>
      <x:c r="I356" s="81" t="str"/>
      <x:c r="J356" s="81" t="str"/>
      <x:c r="K356" s="81" t="inlineStr">
        <x:is>
          <x:t xml:space="preserve">Reframe</x:t>
        </x:is>
      </x:c>
      <x:c r="L356" s="81" t="inlineStr">
        <x:is>
          <x:t xml:space="preserve">Recognize</x:t>
        </x:is>
      </x:c>
      <x:c r="M356" s="81" t="inlineStr">
        <x:is>
          <x:t xml:space="preserve">Trích đoạn triết học /寓言</x:t>
        </x:is>
      </x:c>
      <x:c r="N356" s="81" t="inlineStr">
        <x:is>
          <x:t xml:space="preserve">无所可用，故能若是之壽。</x:t>
        </x:is>
      </x:c>
      <x:c r="O356" s="81" t="inlineStr">
        <x:is>
          <x:t xml:space="preserve">Classical Chinese (文言文)</x:t>
        </x:is>
      </x:c>
      <x:c r="P356" s="81" t="inlineStr">
        <x:is>
          <x:t xml:space="preserve">Vì không bị coi là hữu dụng theo cách thông thường, cây mới sống lâu đến vậy.</x:t>
        </x:is>
      </x:c>
      <x:c r="Q356" s="81" t="inlineStr">
        <x:is>
          <x:t xml:space="preserve">Zhuangzi / 莊子 (Inner Chapters attribution)</x:t>
        </x:is>
      </x:c>
      <x:c r="R356" s="81" t="inlineStr">
        <x:is>
          <x:t xml:space="preserve">Daoist / China</x:t>
        </x:is>
      </x:c>
      <x:c r="S356" s="81" t="inlineStr">
        <x:is>
          <x:t xml:space="preserve">莊子 / Zhuangzi</x:t>
        </x:is>
      </x:c>
      <x:c r="T356" s="81" t="inlineStr">
        <x:is>
          <x:t xml:space="preserve">Inner Chapter 4 — 人間世</x:t>
        </x:is>
      </x:c>
      <x:c r="U356" s="81" t="inlineStr">
        <x:is>
          <x:t xml:space="preserve">https://zh.wikisource.org/wiki/%E8%8E%8A%E5%AD%90/%E4%BA%BA%E9%96%93%E4%B8%96</x:t>
        </x:is>
      </x:c>
      <x:c r="V356" s="81" t="inlineStr">
        <x:is>
          <x:t xml:space="preserve">Primary text</x:t>
        </x:is>
      </x:c>
      <x:c r="W356" s="81" t="inlineStr">
        <x:is>
          <x:t xml:space="preserve">Working translation</x:t>
        </x:is>
      </x:c>
      <x:c r="X356" s="81" t="inlineStr">
        <x:is>
          <x:t xml:space="preserve">A - Primary source</x:t>
        </x:is>
      </x:c>
      <x:c r="Y356" s="81" t="inlineStr">
        <x:is>
          <x:t xml:space="preserve">Original Chinese checked against Chinese Wikisource; chapter structure cross-checked with Chinese Text Project. Vietnamese is Selflo working translation, not a published translation.</x:t>
        </x:is>
      </x:c>
      <x:c r="Z356" s="81" t="inlineStr">
        <x:is>
          <x:t xml:space="preserve">Public domain / likely</x:t>
        </x:is>
      </x:c>
      <x:c r="AA356" s="81" t="inlineStr">
        <x:is>
          <x:t xml:space="preserve">Ancient source text is public domain; verify edition/attribution and jurisdiction before commercial publication.</x:t>
        </x:is>
      </x:c>
      <x:c r="AB356" s="81" t="inlineStr">
        <x:is>
          <x:t xml:space="preserve">High</x:t>
        </x:is>
      </x:c>
      <x:c r="AC356" s="81" t="inlineStr">
        <x:is>
          <x:t xml:space="preserve">Useless Tree.</x:t>
        </x:is>
      </x:c>
      <x:c r="AD356" s="81" t="inlineStr">
        <x:is>
          <x:t xml:space="preserve">Needs editorial review</x:t>
        </x:is>
      </x:c>
      <x:c r="AE356" s="81" t="inlineStr">
        <x:is>
          <x:t xml:space="preserve">Needs semantic dedupe review</x:t>
        </x:is>
      </x:c>
      <x:c r="AF356" s="81" t="str"/>
      <x:c r="AG356" s="81" t="str"/>
      <x:c r="AH356" s="81" t="inlineStr">
        <x:is>
          <x:t xml:space="preserve">No</x:t>
        </x:is>
      </x:c>
      <x:c r="AI356" s="81" t="inlineStr">
        <x:is>
          <x:t xml:space="preserve">Not reviewed</x:t>
        </x:is>
      </x:c>
      <x:c r="AJ356" s="81" t="inlineStr">
        <x:is>
          <x:t xml:space="preserve">Research only</x:t>
        </x:is>
      </x:c>
      <x:c r="AK356" s="81" t="inlineStr">
        <x:is>
          <x:t xml:space="preserve">Research Pool</x:t>
        </x:is>
      </x:c>
      <x:c r="AL356" s="81" t="n">
        <x:v>4</x:v>
      </x:c>
      <x:c r="AM356" s="81" t="inlineStr">
        <x:is>
          <x:t xml:space="preserve">ChatGPT research</x:t>
        </x:is>
      </x:c>
      <x:c r="AN356" s="81" t="inlineStr">
        <x:is>
          <x:t xml:space="preserve">2026-09-18</x:t>
        </x:is>
      </x:c>
      <x:c r="AO356" s="81" t="inlineStr">
        <x:is>
          <x:t xml:space="preserve">Day 4 full-scope audit of Zhuangzi Inner Chapters 1–7.</x:t>
        </x:is>
      </x:c>
    </x:row>
    <x:row r="357">
      <x:c r="A357" s="81" t="inlineStr">
        <x:is>
          <x:t xml:space="preserve">research.zhuangzi.day4.ch04.039</x:t>
        </x:is>
      </x:c>
      <x:c r="B357" s="81" t="inlineStr">
        <x:is>
          <x:t xml:space="preserve">Collected</x:t>
        </x:is>
      </x:c>
      <x:c r="C357" s="81" t="inlineStr">
        <x:is>
          <x:t xml:space="preserve">Nội tâm &amp; hiểu mình</x:t>
        </x:is>
      </x:c>
      <x:c r="D357" s="81" t="inlineStr">
        <x:is>
          <x:t xml:space="preserve">Day 4 / Zhuangzi Inner Chapters 1–7</x:t>
        </x:is>
      </x:c>
      <x:c r="E357" s="81" t="str"/>
      <x:c r="F357" s="81" t="inlineStr">
        <x:is>
          <x:t xml:space="preserve">Không phải mọi giá trị đều hiện dưới dạng năng suất</x:t>
        </x:is>
      </x:c>
      <x:c r="G357" s="81" t="inlineStr">
        <x:is>
          <x:t xml:space="preserve">Values</x:t>
        </x:is>
      </x:c>
      <x:c r="H357" s="81" t="str"/>
      <x:c r="I357" s="81" t="str"/>
      <x:c r="J357" s="81" t="str"/>
      <x:c r="K357" s="81" t="inlineStr">
        <x:is>
          <x:t xml:space="preserve">Distinguish</x:t>
        </x:is>
      </x:c>
      <x:c r="L357" s="81" t="inlineStr">
        <x:is>
          <x:t xml:space="preserve">Recognize</x:t>
        </x:is>
      </x:c>
      <x:c r="M357" s="81" t="inlineStr">
        <x:is>
          <x:t xml:space="preserve">Trích đoạn triết học /寓言</x:t>
        </x:is>
      </x:c>
      <x:c r="N357" s="81" t="inlineStr">
        <x:is>
          <x:t xml:space="preserve">人皆知有用之用，而莫知无用之用也。</x:t>
        </x:is>
      </x:c>
      <x:c r="O357" s="81" t="inlineStr">
        <x:is>
          <x:t xml:space="preserve">Classical Chinese (文言文)</x:t>
        </x:is>
      </x:c>
      <x:c r="P357" s="81" t="inlineStr">
        <x:is>
          <x:t xml:space="preserve">Ai cũng biết cái lợi của hữu dụng; ít người thấy cái lợi của điều bị gọi là vô dụng.</x:t>
        </x:is>
      </x:c>
      <x:c r="Q357" s="81" t="inlineStr">
        <x:is>
          <x:t xml:space="preserve">Zhuangzi / 莊子 (Inner Chapters attribution)</x:t>
        </x:is>
      </x:c>
      <x:c r="R357" s="81" t="inlineStr">
        <x:is>
          <x:t xml:space="preserve">Daoist / China</x:t>
        </x:is>
      </x:c>
      <x:c r="S357" s="81" t="inlineStr">
        <x:is>
          <x:t xml:space="preserve">莊子 / Zhuangzi</x:t>
        </x:is>
      </x:c>
      <x:c r="T357" s="81" t="inlineStr">
        <x:is>
          <x:t xml:space="preserve">Inner Chapter 4 — 人間世</x:t>
        </x:is>
      </x:c>
      <x:c r="U357" s="81" t="inlineStr">
        <x:is>
          <x:t xml:space="preserve">https://zh.wikisource.org/wiki/%E8%8E%8A%E5%AD%90/%E4%BA%BA%E9%96%93%E4%B8%96</x:t>
        </x:is>
      </x:c>
      <x:c r="V357" s="81" t="inlineStr">
        <x:is>
          <x:t xml:space="preserve">Primary text</x:t>
        </x:is>
      </x:c>
      <x:c r="W357" s="81" t="inlineStr">
        <x:is>
          <x:t xml:space="preserve">Working translation</x:t>
        </x:is>
      </x:c>
      <x:c r="X357" s="81" t="inlineStr">
        <x:is>
          <x:t xml:space="preserve">A - Primary source</x:t>
        </x:is>
      </x:c>
      <x:c r="Y357" s="81" t="inlineStr">
        <x:is>
          <x:t xml:space="preserve">Original Chinese checked against Chinese Wikisource; chapter structure cross-checked with Chinese Text Project. Vietnamese is Selflo working translation, not a published translation.</x:t>
        </x:is>
      </x:c>
      <x:c r="Z357" s="81" t="inlineStr">
        <x:is>
          <x:t xml:space="preserve">Public domain / likely</x:t>
        </x:is>
      </x:c>
      <x:c r="AA357" s="81" t="inlineStr">
        <x:is>
          <x:t xml:space="preserve">Ancient source text is public domain; verify edition/attribution and jurisdiction before commercial publication.</x:t>
        </x:is>
      </x:c>
      <x:c r="AB357" s="81" t="inlineStr">
        <x:is>
          <x:t xml:space="preserve">High</x:t>
        </x:is>
      </x:c>
      <x:c r="AC357" s="81" t="inlineStr">
        <x:is>
          <x:t xml:space="preserve">Core Selflo.</x:t>
        </x:is>
      </x:c>
      <x:c r="AD357" s="81" t="inlineStr">
        <x:is>
          <x:t xml:space="preserve">Needs editorial review</x:t>
        </x:is>
      </x:c>
      <x:c r="AE357" s="81" t="inlineStr">
        <x:is>
          <x:t xml:space="preserve">Needs semantic dedupe review</x:t>
        </x:is>
      </x:c>
      <x:c r="AF357" s="81" t="str"/>
      <x:c r="AG357" s="81" t="str"/>
      <x:c r="AH357" s="81" t="inlineStr">
        <x:is>
          <x:t xml:space="preserve">No</x:t>
        </x:is>
      </x:c>
      <x:c r="AI357" s="81" t="inlineStr">
        <x:is>
          <x:t xml:space="preserve">Not reviewed</x:t>
        </x:is>
      </x:c>
      <x:c r="AJ357" s="81" t="inlineStr">
        <x:is>
          <x:t xml:space="preserve">Research only</x:t>
        </x:is>
      </x:c>
      <x:c r="AK357" s="81" t="inlineStr">
        <x:is>
          <x:t xml:space="preserve">Research Pool</x:t>
        </x:is>
      </x:c>
      <x:c r="AL357" s="81" t="n">
        <x:v>4</x:v>
      </x:c>
      <x:c r="AM357" s="81" t="inlineStr">
        <x:is>
          <x:t xml:space="preserve">ChatGPT research</x:t>
        </x:is>
      </x:c>
      <x:c r="AN357" s="81" t="inlineStr">
        <x:is>
          <x:t xml:space="preserve">2026-09-18</x:t>
        </x:is>
      </x:c>
      <x:c r="AO357" s="81" t="inlineStr">
        <x:is>
          <x:t xml:space="preserve">Day 4 full-scope audit of Zhuangzi Inner Chapters 1–7.</x:t>
        </x:is>
      </x:c>
    </x:row>
    <x:row r="358">
      <x:c r="A358" s="81" t="inlineStr">
        <x:is>
          <x:t xml:space="preserve">research.zhuangzi.day4.ch05.040</x:t>
        </x:is>
      </x:c>
      <x:c r="B358" s="81" t="inlineStr">
        <x:is>
          <x:t xml:space="preserve">Collected</x:t>
        </x:is>
      </x:c>
      <x:c r="C358" s="81" t="inlineStr">
        <x:is>
          <x:t xml:space="preserve">Nội tâm &amp; hiểu mình</x:t>
        </x:is>
      </x:c>
      <x:c r="D358" s="81" t="inlineStr">
        <x:is>
          <x:t xml:space="preserve">Day 4 / Zhuangzi Inner Chapters 1–7</x:t>
        </x:is>
      </x:c>
      <x:c r="E358" s="81" t="str"/>
      <x:c r="F358" s="81" t="inlineStr">
        <x:is>
          <x:t xml:space="preserve">Sự lắng xuống giúp thấy rõ hơn</x:t>
        </x:is>
      </x:c>
      <x:c r="G358" s="81" t="inlineStr">
        <x:is>
          <x:t xml:space="preserve">Clarity</x:t>
        </x:is>
      </x:c>
      <x:c r="H358" s="81" t="str"/>
      <x:c r="I358" s="81" t="str"/>
      <x:c r="J358" s="81" t="str"/>
      <x:c r="K358" s="81" t="inlineStr">
        <x:is>
          <x:t xml:space="preserve">Reframe</x:t>
        </x:is>
      </x:c>
      <x:c r="L358" s="81" t="inlineStr">
        <x:is>
          <x:t xml:space="preserve">Recognize</x:t>
        </x:is>
      </x:c>
      <x:c r="M358" s="81" t="inlineStr">
        <x:is>
          <x:t xml:space="preserve">Trích đoạn triết học /寓言</x:t>
        </x:is>
      </x:c>
      <x:c r="N358" s="81" t="inlineStr">
        <x:is>
          <x:t xml:space="preserve">人莫鑑於流水而鑑於止水。</x:t>
        </x:is>
      </x:c>
      <x:c r="O358" s="81" t="inlineStr">
        <x:is>
          <x:t xml:space="preserve">Classical Chinese (文言文)</x:t>
        </x:is>
      </x:c>
      <x:c r="P358" s="81" t="inlineStr">
        <x:is>
          <x:t xml:space="preserve">Người ta không soi mình trong nước chảy mà soi trong nước lặng.</x:t>
        </x:is>
      </x:c>
      <x:c r="Q358" s="81" t="inlineStr">
        <x:is>
          <x:t xml:space="preserve">Zhuangzi / 莊子 (Inner Chapters attribution)</x:t>
        </x:is>
      </x:c>
      <x:c r="R358" s="81" t="inlineStr">
        <x:is>
          <x:t xml:space="preserve">Daoist / China</x:t>
        </x:is>
      </x:c>
      <x:c r="S358" s="81" t="inlineStr">
        <x:is>
          <x:t xml:space="preserve">莊子 / Zhuangzi</x:t>
        </x:is>
      </x:c>
      <x:c r="T358" s="81" t="inlineStr">
        <x:is>
          <x:t xml:space="preserve">Inner Chapter 5 — 德充符</x:t>
        </x:is>
      </x:c>
      <x:c r="U358" s="81" t="inlineStr">
        <x:is>
          <x:t xml:space="preserve">https://zh.wikisource.org/wiki/%E8%8E%8A%E5%AD%90/%E5%BE%B7%E5%85%85%E7%AC%A6</x:t>
        </x:is>
      </x:c>
      <x:c r="V358" s="81" t="inlineStr">
        <x:is>
          <x:t xml:space="preserve">Primary text</x:t>
        </x:is>
      </x:c>
      <x:c r="W358" s="81" t="inlineStr">
        <x:is>
          <x:t xml:space="preserve">Working translation</x:t>
        </x:is>
      </x:c>
      <x:c r="X358" s="81" t="inlineStr">
        <x:is>
          <x:t xml:space="preserve">A - Primary source</x:t>
        </x:is>
      </x:c>
      <x:c r="Y358" s="81" t="inlineStr">
        <x:is>
          <x:t xml:space="preserve">Original Chinese checked against Chinese Wikisource; chapter structure cross-checked with Chinese Text Project. Vietnamese is Selflo working translation, not a published translation.</x:t>
        </x:is>
      </x:c>
      <x:c r="Z358" s="81" t="inlineStr">
        <x:is>
          <x:t xml:space="preserve">Public domain / likely</x:t>
        </x:is>
      </x:c>
      <x:c r="AA358" s="81" t="inlineStr">
        <x:is>
          <x:t xml:space="preserve">Ancient source text is public domain; verify edition/attribution and jurisdiction before commercial publication.</x:t>
        </x:is>
      </x:c>
      <x:c r="AB358" s="81" t="inlineStr">
        <x:is>
          <x:t xml:space="preserve">High</x:t>
        </x:is>
      </x:c>
      <x:c r="AC358" s="81" t="inlineStr">
        <x:is>
          <x:t xml:space="preserve">Strong.</x:t>
        </x:is>
      </x:c>
      <x:c r="AD358" s="81" t="inlineStr">
        <x:is>
          <x:t xml:space="preserve">Needs editorial review</x:t>
        </x:is>
      </x:c>
      <x:c r="AE358" s="81" t="inlineStr">
        <x:is>
          <x:t xml:space="preserve">Needs semantic dedupe review</x:t>
        </x:is>
      </x:c>
      <x:c r="AF358" s="81" t="str"/>
      <x:c r="AG358" s="81" t="str"/>
      <x:c r="AH358" s="81" t="inlineStr">
        <x:is>
          <x:t xml:space="preserve">No</x:t>
        </x:is>
      </x:c>
      <x:c r="AI358" s="81" t="inlineStr">
        <x:is>
          <x:t xml:space="preserve">Not reviewed</x:t>
        </x:is>
      </x:c>
      <x:c r="AJ358" s="81" t="inlineStr">
        <x:is>
          <x:t xml:space="preserve">Research only</x:t>
        </x:is>
      </x:c>
      <x:c r="AK358" s="81" t="inlineStr">
        <x:is>
          <x:t xml:space="preserve">Research Pool</x:t>
        </x:is>
      </x:c>
      <x:c r="AL358" s="81" t="n">
        <x:v>4</x:v>
      </x:c>
      <x:c r="AM358" s="81" t="inlineStr">
        <x:is>
          <x:t xml:space="preserve">ChatGPT research</x:t>
        </x:is>
      </x:c>
      <x:c r="AN358" s="81" t="inlineStr">
        <x:is>
          <x:t xml:space="preserve">2026-09-18</x:t>
        </x:is>
      </x:c>
      <x:c r="AO358" s="81" t="inlineStr">
        <x:is>
          <x:t xml:space="preserve">Day 4 full-scope audit of Zhuangzi Inner Chapters 1–7.</x:t>
        </x:is>
      </x:c>
    </x:row>
    <x:row r="359">
      <x:c r="A359" s="81" t="inlineStr">
        <x:is>
          <x:t xml:space="preserve">research.zhuangzi.day4.ch05.041</x:t>
        </x:is>
      </x:c>
      <x:c r="B359" s="81" t="inlineStr">
        <x:is>
          <x:t xml:space="preserve">Collected</x:t>
        </x:is>
      </x:c>
      <x:c r="C359" s="81" t="inlineStr">
        <x:is>
          <x:t xml:space="preserve">Quan hệ</x:t>
        </x:is>
      </x:c>
      <x:c r="D359" s="81" t="inlineStr">
        <x:is>
          <x:t xml:space="preserve">Day 4 / Zhuangzi Inner Chapters 1–7</x:t>
        </x:is>
      </x:c>
      <x:c r="E359" s="81" t="str"/>
      <x:c r="F359" s="81" t="inlineStr">
        <x:is>
          <x:t xml:space="preserve">Một trạng thái bên trong có thể tạo không gian cho người khác</x:t>
        </x:is>
      </x:c>
      <x:c r="G359" s="81" t="inlineStr">
        <x:is>
          <x:t xml:space="preserve">Presence</x:t>
        </x:is>
      </x:c>
      <x:c r="H359" s="81" t="str"/>
      <x:c r="I359" s="81" t="str"/>
      <x:c r="J359" s="81" t="str"/>
      <x:c r="K359" s="81" t="inlineStr">
        <x:is>
          <x:t xml:space="preserve">Reframe</x:t>
        </x:is>
      </x:c>
      <x:c r="L359" s="81" t="inlineStr">
        <x:is>
          <x:t xml:space="preserve">Recognize</x:t>
        </x:is>
      </x:c>
      <x:c r="M359" s="81" t="inlineStr">
        <x:is>
          <x:t xml:space="preserve">Trích đoạn triết học /寓言</x:t>
        </x:is>
      </x:c>
      <x:c r="N359" s="81" t="inlineStr">
        <x:is>
          <x:t xml:space="preserve">唯止，能止衆止。</x:t>
        </x:is>
      </x:c>
      <x:c r="O359" s="81" t="inlineStr">
        <x:is>
          <x:t xml:space="preserve">Classical Chinese (文言文)</x:t>
        </x:is>
      </x:c>
      <x:c r="P359" s="81" t="inlineStr">
        <x:is>
          <x:t xml:space="preserve">Chính sự tĩnh có thể làm những thứ khác cùng lắng lại.</x:t>
        </x:is>
      </x:c>
      <x:c r="Q359" s="81" t="inlineStr">
        <x:is>
          <x:t xml:space="preserve">Zhuangzi / 莊子 (Inner Chapters attribution)</x:t>
        </x:is>
      </x:c>
      <x:c r="R359" s="81" t="inlineStr">
        <x:is>
          <x:t xml:space="preserve">Daoist / China</x:t>
        </x:is>
      </x:c>
      <x:c r="S359" s="81" t="inlineStr">
        <x:is>
          <x:t xml:space="preserve">莊子 / Zhuangzi</x:t>
        </x:is>
      </x:c>
      <x:c r="T359" s="81" t="inlineStr">
        <x:is>
          <x:t xml:space="preserve">Inner Chapter 5 — 德充符</x:t>
        </x:is>
      </x:c>
      <x:c r="U359" s="81" t="inlineStr">
        <x:is>
          <x:t xml:space="preserve">https://zh.wikisource.org/wiki/%E8%8E%8A%E5%AD%90/%E5%BE%B7%E5%85%85%E7%AC%A6</x:t>
        </x:is>
      </x:c>
      <x:c r="V359" s="81" t="inlineStr">
        <x:is>
          <x:t xml:space="preserve">Primary text</x:t>
        </x:is>
      </x:c>
      <x:c r="W359" s="81" t="inlineStr">
        <x:is>
          <x:t xml:space="preserve">Working translation</x:t>
        </x:is>
      </x:c>
      <x:c r="X359" s="81" t="inlineStr">
        <x:is>
          <x:t xml:space="preserve">A - Primary source</x:t>
        </x:is>
      </x:c>
      <x:c r="Y359" s="81" t="inlineStr">
        <x:is>
          <x:t xml:space="preserve">Original Chinese checked against Chinese Wikisource; chapter structure cross-checked with Chinese Text Project. Vietnamese is Selflo working translation, not a published translation.</x:t>
        </x:is>
      </x:c>
      <x:c r="Z359" s="81" t="inlineStr">
        <x:is>
          <x:t xml:space="preserve">Public domain / likely</x:t>
        </x:is>
      </x:c>
      <x:c r="AA359" s="81" t="inlineStr">
        <x:is>
          <x:t xml:space="preserve">Ancient source text is public domain; verify edition/attribution and jurisdiction before commercial publication.</x:t>
        </x:is>
      </x:c>
      <x:c r="AB359" s="81" t="inlineStr">
        <x:is>
          <x:t xml:space="preserve">High</x:t>
        </x:is>
      </x:c>
      <x:c r="AC359" s="81" t="inlineStr">
        <x:is>
          <x:t xml:space="preserve">Do not promise calming others.</x:t>
        </x:is>
      </x:c>
      <x:c r="AD359" s="81" t="inlineStr">
        <x:is>
          <x:t xml:space="preserve">Needs editorial review</x:t>
        </x:is>
      </x:c>
      <x:c r="AE359" s="81" t="inlineStr">
        <x:is>
          <x:t xml:space="preserve">Needs semantic dedupe review</x:t>
        </x:is>
      </x:c>
      <x:c r="AF359" s="81" t="str"/>
      <x:c r="AG359" s="81" t="str"/>
      <x:c r="AH359" s="81" t="inlineStr">
        <x:is>
          <x:t xml:space="preserve">No</x:t>
        </x:is>
      </x:c>
      <x:c r="AI359" s="81" t="inlineStr">
        <x:is>
          <x:t xml:space="preserve">Not reviewed</x:t>
        </x:is>
      </x:c>
      <x:c r="AJ359" s="81" t="inlineStr">
        <x:is>
          <x:t xml:space="preserve">Research only</x:t>
        </x:is>
      </x:c>
      <x:c r="AK359" s="81" t="inlineStr">
        <x:is>
          <x:t xml:space="preserve">Research Pool</x:t>
        </x:is>
      </x:c>
      <x:c r="AL359" s="81" t="n">
        <x:v>4</x:v>
      </x:c>
      <x:c r="AM359" s="81" t="inlineStr">
        <x:is>
          <x:t xml:space="preserve">ChatGPT research</x:t>
        </x:is>
      </x:c>
      <x:c r="AN359" s="81" t="inlineStr">
        <x:is>
          <x:t xml:space="preserve">2026-09-18</x:t>
        </x:is>
      </x:c>
      <x:c r="AO359" s="81" t="inlineStr">
        <x:is>
          <x:t xml:space="preserve">Day 4 full-scope audit of Zhuangzi Inner Chapters 1–7.</x:t>
        </x:is>
      </x:c>
    </x:row>
    <x:row r="360">
      <x:c r="A360" s="81" t="inlineStr">
        <x:is>
          <x:t xml:space="preserve">research.zhuangzi.day4.ch05.042</x:t>
        </x:is>
      </x:c>
      <x:c r="B360" s="81" t="inlineStr">
        <x:is>
          <x:t xml:space="preserve">Collected</x:t>
        </x:is>
      </x:c>
      <x:c r="C360" s="81" t="inlineStr">
        <x:is>
          <x:t xml:space="preserve">Quan hệ</x:t>
        </x:is>
      </x:c>
      <x:c r="D360" s="81" t="inlineStr">
        <x:is>
          <x:t xml:space="preserve">Day 4 / Zhuangzi Inner Chapters 1–7</x:t>
        </x:is>
      </x:c>
      <x:c r="E360" s="81" t="str"/>
      <x:c r="F360" s="81" t="inlineStr">
        <x:is>
          <x:t xml:space="preserve">Một nơi quan hệ tốt có thể không đóng khung người bằng thiếu hụt</x:t>
        </x:is>
      </x:c>
      <x:c r="G360" s="81" t="inlineStr">
        <x:is>
          <x:t xml:space="preserve">Belonging</x:t>
        </x:is>
      </x:c>
      <x:c r="H360" s="81" t="str"/>
      <x:c r="I360" s="81" t="str"/>
      <x:c r="J360" s="81" t="str"/>
      <x:c r="K360" s="81" t="inlineStr">
        <x:is>
          <x:t xml:space="preserve">Recognize</x:t>
        </x:is>
      </x:c>
      <x:c r="L360" s="81" t="inlineStr">
        <x:is>
          <x:t xml:space="preserve">Distinguish</x:t>
        </x:is>
      </x:c>
      <x:c r="M360" s="81" t="inlineStr">
        <x:is>
          <x:t xml:space="preserve">Trích đoạn triết học /寓言</x:t>
        </x:is>
      </x:c>
      <x:c r="N360" s="81" t="inlineStr">
        <x:is>
          <x:t xml:space="preserve">吾與夫子遊，十九年矣，而未嘗知吾兀者也。</x:t>
        </x:is>
      </x:c>
      <x:c r="O360" s="81" t="inlineStr">
        <x:is>
          <x:t xml:space="preserve">Classical Chinese (文言文)</x:t>
        </x:is>
      </x:c>
      <x:c r="P360" s="81" t="inlineStr">
        <x:is>
          <x:t xml:space="preserve">Ta ở cùng thầy mười chín năm mà gần như quên mất mình là người cụt chân.</x:t>
        </x:is>
      </x:c>
      <x:c r="Q360" s="81" t="inlineStr">
        <x:is>
          <x:t xml:space="preserve">Zhuangzi / 莊子 (Inner Chapters attribution)</x:t>
        </x:is>
      </x:c>
      <x:c r="R360" s="81" t="inlineStr">
        <x:is>
          <x:t xml:space="preserve">Daoist / China</x:t>
        </x:is>
      </x:c>
      <x:c r="S360" s="81" t="inlineStr">
        <x:is>
          <x:t xml:space="preserve">莊子 / Zhuangzi</x:t>
        </x:is>
      </x:c>
      <x:c r="T360" s="81" t="inlineStr">
        <x:is>
          <x:t xml:space="preserve">Inner Chapter 5 — 德充符</x:t>
        </x:is>
      </x:c>
      <x:c r="U360" s="81" t="inlineStr">
        <x:is>
          <x:t xml:space="preserve">https://zh.wikisource.org/wiki/%E8%8E%8A%E5%AD%90/%E5%BE%B7%E5%85%85%E7%AC%A6</x:t>
        </x:is>
      </x:c>
      <x:c r="V360" s="81" t="inlineStr">
        <x:is>
          <x:t xml:space="preserve">Primary text</x:t>
        </x:is>
      </x:c>
      <x:c r="W360" s="81" t="inlineStr">
        <x:is>
          <x:t xml:space="preserve">Working translation</x:t>
        </x:is>
      </x:c>
      <x:c r="X360" s="81" t="inlineStr">
        <x:is>
          <x:t xml:space="preserve">A - Primary source</x:t>
        </x:is>
      </x:c>
      <x:c r="Y360" s="81" t="inlineStr">
        <x:is>
          <x:t xml:space="preserve">Original Chinese checked against Chinese Wikisource; chapter structure cross-checked with Chinese Text Project. Vietnamese is Selflo working translation, not a published translation.</x:t>
        </x:is>
      </x:c>
      <x:c r="Z360" s="81" t="inlineStr">
        <x:is>
          <x:t xml:space="preserve">Public domain / likely</x:t>
        </x:is>
      </x:c>
      <x:c r="AA360" s="81" t="inlineStr">
        <x:is>
          <x:t xml:space="preserve">Ancient source text is public domain; verify edition/attribution and jurisdiction before commercial publication.</x:t>
        </x:is>
      </x:c>
      <x:c r="AB360" s="81" t="inlineStr">
        <x:is>
          <x:t xml:space="preserve">High</x:t>
        </x:is>
      </x:c>
      <x:c r="AC360" s="81" t="inlineStr">
        <x:is>
          <x:t xml:space="preserve">Disability language needs sensitive editorial review.</x:t>
        </x:is>
      </x:c>
      <x:c r="AD360" s="81" t="inlineStr">
        <x:is>
          <x:t xml:space="preserve">Needs editorial review</x:t>
        </x:is>
      </x:c>
      <x:c r="AE360" s="81" t="inlineStr">
        <x:is>
          <x:t xml:space="preserve">Needs semantic dedupe review</x:t>
        </x:is>
      </x:c>
      <x:c r="AF360" s="81" t="str"/>
      <x:c r="AG360" s="81" t="str"/>
      <x:c r="AH360" s="81" t="inlineStr">
        <x:is>
          <x:t xml:space="preserve">No</x:t>
        </x:is>
      </x:c>
      <x:c r="AI360" s="81" t="inlineStr">
        <x:is>
          <x:t xml:space="preserve">Not reviewed</x:t>
        </x:is>
      </x:c>
      <x:c r="AJ360" s="81" t="inlineStr">
        <x:is>
          <x:t xml:space="preserve">Research only</x:t>
        </x:is>
      </x:c>
      <x:c r="AK360" s="81" t="inlineStr">
        <x:is>
          <x:t xml:space="preserve">Research Pool</x:t>
        </x:is>
      </x:c>
      <x:c r="AL360" s="81" t="n">
        <x:v>4</x:v>
      </x:c>
      <x:c r="AM360" s="81" t="inlineStr">
        <x:is>
          <x:t xml:space="preserve">ChatGPT research</x:t>
        </x:is>
      </x:c>
      <x:c r="AN360" s="81" t="inlineStr">
        <x:is>
          <x:t xml:space="preserve">2026-09-18</x:t>
        </x:is>
      </x:c>
      <x:c r="AO360" s="81" t="inlineStr">
        <x:is>
          <x:t xml:space="preserve">Day 4 full-scope audit of Zhuangzi Inner Chapters 1–7.</x:t>
        </x:is>
      </x:c>
    </x:row>
    <x:row r="361">
      <x:c r="A361" s="81" t="inlineStr">
        <x:is>
          <x:t xml:space="preserve">research.zhuangzi.day4.ch05.043</x:t>
        </x:is>
      </x:c>
      <x:c r="B361" s="81" t="inlineStr">
        <x:is>
          <x:t xml:space="preserve">Collected</x:t>
        </x:is>
      </x:c>
      <x:c r="C361" s="81" t="inlineStr">
        <x:is>
          <x:t xml:space="preserve">Nội tâm &amp; hiểu mình</x:t>
        </x:is>
      </x:c>
      <x:c r="D361" s="81" t="inlineStr">
        <x:is>
          <x:t xml:space="preserve">Day 4 / Zhuangzi Inner Chapters 1–7</x:t>
        </x:is>
      </x:c>
      <x:c r="E361" s="81" t="str"/>
      <x:c r="F361" s="81" t="inlineStr">
        <x:is>
          <x:t xml:space="preserve">Con người không thể bị thu gọn vào hình thức bên ngoài</x:t>
        </x:is>
      </x:c>
      <x:c r="G361" s="81" t="inlineStr">
        <x:is>
          <x:t xml:space="preserve">Identity</x:t>
        </x:is>
      </x:c>
      <x:c r="H361" s="81" t="str"/>
      <x:c r="I361" s="81" t="str"/>
      <x:c r="J361" s="81" t="str"/>
      <x:c r="K361" s="81" t="inlineStr">
        <x:is>
          <x:t xml:space="preserve">Distinguish</x:t>
        </x:is>
      </x:c>
      <x:c r="L361" s="81" t="inlineStr">
        <x:is>
          <x:t xml:space="preserve">Recognize</x:t>
        </x:is>
      </x:c>
      <x:c r="M361" s="81" t="inlineStr">
        <x:is>
          <x:t xml:space="preserve">Trích đoạn triết học /寓言</x:t>
        </x:is>
      </x:c>
      <x:c r="N361" s="81" t="inlineStr">
        <x:is>
          <x:t xml:space="preserve">今子與我遊於形骸之內，而子索我於形骸之外。</x:t>
        </x:is>
      </x:c>
      <x:c r="O361" s="81" t="inlineStr">
        <x:is>
          <x:t xml:space="preserve">Classical Chinese (文言文)</x:t>
        </x:is>
      </x:c>
      <x:c r="P361" s="81" t="inlineStr">
        <x:is>
          <x:t xml:space="preserve">Ta gặp nhau ở phần bên trong, sao ông lại tìm ta ở hình hài bên ngoài?</x:t>
        </x:is>
      </x:c>
      <x:c r="Q361" s="81" t="inlineStr">
        <x:is>
          <x:t xml:space="preserve">Zhuangzi / 莊子 (Inner Chapters attribution)</x:t>
        </x:is>
      </x:c>
      <x:c r="R361" s="81" t="inlineStr">
        <x:is>
          <x:t xml:space="preserve">Daoist / China</x:t>
        </x:is>
      </x:c>
      <x:c r="S361" s="81" t="inlineStr">
        <x:is>
          <x:t xml:space="preserve">莊子 / Zhuangzi</x:t>
        </x:is>
      </x:c>
      <x:c r="T361" s="81" t="inlineStr">
        <x:is>
          <x:t xml:space="preserve">Inner Chapter 5 — 德充符</x:t>
        </x:is>
      </x:c>
      <x:c r="U361" s="81" t="inlineStr">
        <x:is>
          <x:t xml:space="preserve">https://zh.wikisource.org/wiki/%E8%8E%8A%E5%AD%90/%E5%BE%B7%E5%85%85%E7%AC%A6</x:t>
        </x:is>
      </x:c>
      <x:c r="V361" s="81" t="inlineStr">
        <x:is>
          <x:t xml:space="preserve">Primary text</x:t>
        </x:is>
      </x:c>
      <x:c r="W361" s="81" t="inlineStr">
        <x:is>
          <x:t xml:space="preserve">Working translation</x:t>
        </x:is>
      </x:c>
      <x:c r="X361" s="81" t="inlineStr">
        <x:is>
          <x:t xml:space="preserve">A - Primary source</x:t>
        </x:is>
      </x:c>
      <x:c r="Y361" s="81" t="inlineStr">
        <x:is>
          <x:t xml:space="preserve">Original Chinese checked against Chinese Wikisource; chapter structure cross-checked with Chinese Text Project. Vietnamese is Selflo working translation, not a published translation.</x:t>
        </x:is>
      </x:c>
      <x:c r="Z361" s="81" t="inlineStr">
        <x:is>
          <x:t xml:space="preserve">Public domain / likely</x:t>
        </x:is>
      </x:c>
      <x:c r="AA361" s="81" t="inlineStr">
        <x:is>
          <x:t xml:space="preserve">Ancient source text is public domain; verify edition/attribution and jurisdiction before commercial publication.</x:t>
        </x:is>
      </x:c>
      <x:c r="AB361" s="81" t="inlineStr">
        <x:is>
          <x:t xml:space="preserve">High</x:t>
        </x:is>
      </x:c>
      <x:c r="AC361" s="81" t="inlineStr">
        <x:is>
          <x:t xml:space="preserve">Sensitive but powerful.</x:t>
        </x:is>
      </x:c>
      <x:c r="AD361" s="81" t="inlineStr">
        <x:is>
          <x:t xml:space="preserve">Needs editorial review</x:t>
        </x:is>
      </x:c>
      <x:c r="AE361" s="81" t="inlineStr">
        <x:is>
          <x:t xml:space="preserve">Needs semantic dedupe review</x:t>
        </x:is>
      </x:c>
      <x:c r="AF361" s="81" t="str"/>
      <x:c r="AG361" s="81" t="str"/>
      <x:c r="AH361" s="81" t="inlineStr">
        <x:is>
          <x:t xml:space="preserve">No</x:t>
        </x:is>
      </x:c>
      <x:c r="AI361" s="81" t="inlineStr">
        <x:is>
          <x:t xml:space="preserve">Not reviewed</x:t>
        </x:is>
      </x:c>
      <x:c r="AJ361" s="81" t="inlineStr">
        <x:is>
          <x:t xml:space="preserve">Research only</x:t>
        </x:is>
      </x:c>
      <x:c r="AK361" s="81" t="inlineStr">
        <x:is>
          <x:t xml:space="preserve">Research Pool</x:t>
        </x:is>
      </x:c>
      <x:c r="AL361" s="81" t="n">
        <x:v>4</x:v>
      </x:c>
      <x:c r="AM361" s="81" t="inlineStr">
        <x:is>
          <x:t xml:space="preserve">ChatGPT research</x:t>
        </x:is>
      </x:c>
      <x:c r="AN361" s="81" t="inlineStr">
        <x:is>
          <x:t xml:space="preserve">2026-09-18</x:t>
        </x:is>
      </x:c>
      <x:c r="AO361" s="81" t="inlineStr">
        <x:is>
          <x:t xml:space="preserve">Day 4 full-scope audit of Zhuangzi Inner Chapters 1–7.</x:t>
        </x:is>
      </x:c>
    </x:row>
    <x:row r="362">
      <x:c r="A362" s="81" t="inlineStr">
        <x:is>
          <x:t xml:space="preserve">research.zhuangzi.day4.ch05.044</x:t>
        </x:is>
      </x:c>
      <x:c r="B362" s="81" t="inlineStr">
        <x:is>
          <x:t xml:space="preserve">Collected</x:t>
        </x:is>
      </x:c>
      <x:c r="C362" s="81" t="inlineStr">
        <x:is>
          <x:t xml:space="preserve">Nội tâm &amp; hiểu mình</x:t>
        </x:is>
      </x:c>
      <x:c r="D362" s="81" t="inlineStr">
        <x:is>
          <x:t xml:space="preserve">Day 4 / Zhuangzi Inner Chapters 1–7</x:t>
        </x:is>
      </x:c>
      <x:c r="E362" s="81" t="str"/>
      <x:c r="F362" s="81" t="inlineStr">
        <x:is>
          <x:t xml:space="preserve">Giá trị quan hệ không chỉ đến từ performance</x:t>
        </x:is>
      </x:c>
      <x:c r="G362" s="81" t="inlineStr">
        <x:is>
          <x:t xml:space="preserve">Self-worth</x:t>
        </x:is>
      </x:c>
      <x:c r="H362" s="81" t="str"/>
      <x:c r="I362" s="81" t="str"/>
      <x:c r="J362" s="81" t="str"/>
      <x:c r="K362" s="81" t="inlineStr">
        <x:is>
          <x:t xml:space="preserve">Reframe</x:t>
        </x:is>
      </x:c>
      <x:c r="L362" s="81" t="inlineStr">
        <x:is>
          <x:t xml:space="preserve">Recognize</x:t>
        </x:is>
      </x:c>
      <x:c r="M362" s="81" t="inlineStr">
        <x:is>
          <x:t xml:space="preserve">Trích đoạn triết học /寓言</x:t>
        </x:is>
      </x:c>
      <x:c r="N362" s="81" t="inlineStr">
        <x:is>
          <x:t xml:space="preserve">未言而信，无功而親。</x:t>
        </x:is>
      </x:c>
      <x:c r="O362" s="81" t="inlineStr">
        <x:is>
          <x:t xml:space="preserve">Classical Chinese (文言文)</x:t>
        </x:is>
      </x:c>
      <x:c r="P362" s="81" t="inlineStr">
        <x:is>
          <x:t xml:space="preserve">Chưa cần nói nhiều đã được tin; chưa cần lập công vẫn được gần gũi.</x:t>
        </x:is>
      </x:c>
      <x:c r="Q362" s="81" t="inlineStr">
        <x:is>
          <x:t xml:space="preserve">Zhuangzi / 莊子 (Inner Chapters attribution)</x:t>
        </x:is>
      </x:c>
      <x:c r="R362" s="81" t="inlineStr">
        <x:is>
          <x:t xml:space="preserve">Daoist / China</x:t>
        </x:is>
      </x:c>
      <x:c r="S362" s="81" t="inlineStr">
        <x:is>
          <x:t xml:space="preserve">莊子 / Zhuangzi</x:t>
        </x:is>
      </x:c>
      <x:c r="T362" s="81" t="inlineStr">
        <x:is>
          <x:t xml:space="preserve">Inner Chapter 5 — 德充符</x:t>
        </x:is>
      </x:c>
      <x:c r="U362" s="81" t="inlineStr">
        <x:is>
          <x:t xml:space="preserve">https://zh.wikisource.org/wiki/%E8%8E%8A%E5%AD%90/%E5%BE%B7%E5%85%85%E7%AC%A6</x:t>
        </x:is>
      </x:c>
      <x:c r="V362" s="81" t="inlineStr">
        <x:is>
          <x:t xml:space="preserve">Primary text</x:t>
        </x:is>
      </x:c>
      <x:c r="W362" s="81" t="inlineStr">
        <x:is>
          <x:t xml:space="preserve">Working translation</x:t>
        </x:is>
      </x:c>
      <x:c r="X362" s="81" t="inlineStr">
        <x:is>
          <x:t xml:space="preserve">A - Primary source</x:t>
        </x:is>
      </x:c>
      <x:c r="Y362" s="81" t="inlineStr">
        <x:is>
          <x:t xml:space="preserve">Original Chinese checked against Chinese Wikisource; chapter structure cross-checked with Chinese Text Project. Vietnamese is Selflo working translation, not a published translation.</x:t>
        </x:is>
      </x:c>
      <x:c r="Z362" s="81" t="inlineStr">
        <x:is>
          <x:t xml:space="preserve">Public domain / likely</x:t>
        </x:is>
      </x:c>
      <x:c r="AA362" s="81" t="inlineStr">
        <x:is>
          <x:t xml:space="preserve">Ancient source text is public domain; verify edition/attribution and jurisdiction before commercial publication.</x:t>
        </x:is>
      </x:c>
      <x:c r="AB362" s="81" t="inlineStr">
        <x:is>
          <x:t xml:space="preserve">High</x:t>
        </x:is>
      </x:c>
      <x:c r="AC362" s="81" t="inlineStr">
        <x:is>
          <x:t xml:space="preserve">From Aitai Tuo.</x:t>
        </x:is>
      </x:c>
      <x:c r="AD362" s="81" t="inlineStr">
        <x:is>
          <x:t xml:space="preserve">Needs editorial review</x:t>
        </x:is>
      </x:c>
      <x:c r="AE362" s="81" t="inlineStr">
        <x:is>
          <x:t xml:space="preserve">Needs semantic dedupe review</x:t>
        </x:is>
      </x:c>
      <x:c r="AF362" s="81" t="str"/>
      <x:c r="AG362" s="81" t="str"/>
      <x:c r="AH362" s="81" t="inlineStr">
        <x:is>
          <x:t xml:space="preserve">No</x:t>
        </x:is>
      </x:c>
      <x:c r="AI362" s="81" t="inlineStr">
        <x:is>
          <x:t xml:space="preserve">Not reviewed</x:t>
        </x:is>
      </x:c>
      <x:c r="AJ362" s="81" t="inlineStr">
        <x:is>
          <x:t xml:space="preserve">Research only</x:t>
        </x:is>
      </x:c>
      <x:c r="AK362" s="81" t="inlineStr">
        <x:is>
          <x:t xml:space="preserve">Research Pool</x:t>
        </x:is>
      </x:c>
      <x:c r="AL362" s="81" t="n">
        <x:v>4</x:v>
      </x:c>
      <x:c r="AM362" s="81" t="inlineStr">
        <x:is>
          <x:t xml:space="preserve">ChatGPT research</x:t>
        </x:is>
      </x:c>
      <x:c r="AN362" s="81" t="inlineStr">
        <x:is>
          <x:t xml:space="preserve">2026-09-18</x:t>
        </x:is>
      </x:c>
      <x:c r="AO362" s="81" t="inlineStr">
        <x:is>
          <x:t xml:space="preserve">Day 4 full-scope audit of Zhuangzi Inner Chapters 1–7.</x:t>
        </x:is>
      </x:c>
    </x:row>
    <x:row r="363">
      <x:c r="A363" s="81" t="inlineStr">
        <x:is>
          <x:t xml:space="preserve">research.zhuangzi.day4.ch05.045</x:t>
        </x:is>
      </x:c>
      <x:c r="B363" s="81" t="inlineStr">
        <x:is>
          <x:t xml:space="preserve">Collected</x:t>
        </x:is>
      </x:c>
      <x:c r="C363" s="81" t="inlineStr">
        <x:is>
          <x:t xml:space="preserve">Nội tâm &amp; hiểu mình</x:t>
        </x:is>
      </x:c>
      <x:c r="D363" s="81" t="inlineStr">
        <x:is>
          <x:t xml:space="preserve">Day 4 / Zhuangzi Inner Chapters 1–7</x:t>
        </x:is>
      </x:c>
      <x:c r="E363" s="81" t="str"/>
      <x:c r="F363" s="81" t="inlineStr">
        <x:is>
          <x:t xml:space="preserve">Giá trị bên trong có thể thay đổi điều ta chú ý ở bên ngoài</x:t>
        </x:is>
      </x:c>
      <x:c r="G363" s="81" t="inlineStr">
        <x:is>
          <x:t xml:space="preserve">Identity</x:t>
        </x:is>
      </x:c>
      <x:c r="H363" s="81" t="str"/>
      <x:c r="I363" s="81" t="str"/>
      <x:c r="J363" s="81" t="str"/>
      <x:c r="K363" s="81" t="inlineStr">
        <x:is>
          <x:t xml:space="preserve">Reframe</x:t>
        </x:is>
      </x:c>
      <x:c r="L363" s="81" t="inlineStr">
        <x:is>
          <x:t xml:space="preserve">Recognize</x:t>
        </x:is>
      </x:c>
      <x:c r="M363" s="81" t="inlineStr">
        <x:is>
          <x:t xml:space="preserve">Trích đoạn triết học /寓言</x:t>
        </x:is>
      </x:c>
      <x:c r="N363" s="81" t="inlineStr">
        <x:is>
          <x:t xml:space="preserve">德有所長而形有所忘。</x:t>
        </x:is>
      </x:c>
      <x:c r="O363" s="81" t="inlineStr">
        <x:is>
          <x:t xml:space="preserve">Classical Chinese (文言文)</x:t>
        </x:is>
      </x:c>
      <x:c r="P363" s="81" t="inlineStr">
        <x:is>
          <x:t xml:space="preserve">Khi phẩm chất bên trong đủ lớn, hình thức có thể thôi chiếm toàn bộ sự chú ý.</x:t>
        </x:is>
      </x:c>
      <x:c r="Q363" s="81" t="inlineStr">
        <x:is>
          <x:t xml:space="preserve">Zhuangzi / 莊子 (Inner Chapters attribution)</x:t>
        </x:is>
      </x:c>
      <x:c r="R363" s="81" t="inlineStr">
        <x:is>
          <x:t xml:space="preserve">Daoist / China</x:t>
        </x:is>
      </x:c>
      <x:c r="S363" s="81" t="inlineStr">
        <x:is>
          <x:t xml:space="preserve">莊子 / Zhuangzi</x:t>
        </x:is>
      </x:c>
      <x:c r="T363" s="81" t="inlineStr">
        <x:is>
          <x:t xml:space="preserve">Inner Chapter 5 — 德充符</x:t>
        </x:is>
      </x:c>
      <x:c r="U363" s="81" t="inlineStr">
        <x:is>
          <x:t xml:space="preserve">https://zh.wikisource.org/wiki/%E8%8E%8A%E5%AD%90/%E5%BE%B7%E5%85%85%E7%AC%A6</x:t>
        </x:is>
      </x:c>
      <x:c r="V363" s="81" t="inlineStr">
        <x:is>
          <x:t xml:space="preserve">Primary text</x:t>
        </x:is>
      </x:c>
      <x:c r="W363" s="81" t="inlineStr">
        <x:is>
          <x:t xml:space="preserve">Working translation</x:t>
        </x:is>
      </x:c>
      <x:c r="X363" s="81" t="inlineStr">
        <x:is>
          <x:t xml:space="preserve">A - Primary source</x:t>
        </x:is>
      </x:c>
      <x:c r="Y363" s="81" t="inlineStr">
        <x:is>
          <x:t xml:space="preserve">Original Chinese checked against Chinese Wikisource; chapter structure cross-checked with Chinese Text Project. Vietnamese is Selflo working translation, not a published translation.</x:t>
        </x:is>
      </x:c>
      <x:c r="Z363" s="81" t="inlineStr">
        <x:is>
          <x:t xml:space="preserve">Public domain / likely</x:t>
        </x:is>
      </x:c>
      <x:c r="AA363" s="81" t="inlineStr">
        <x:is>
          <x:t xml:space="preserve">Ancient source text is public domain; verify edition/attribution and jurisdiction before commercial publication.</x:t>
        </x:is>
      </x:c>
      <x:c r="AB363" s="81" t="inlineStr">
        <x:is>
          <x:t xml:space="preserve">High</x:t>
        </x:is>
      </x:c>
      <x:c r="AC363" s="81" t="inlineStr">
        <x:is>
          <x:t xml:space="preserve">Sensitive.</x:t>
        </x:is>
      </x:c>
      <x:c r="AD363" s="81" t="inlineStr">
        <x:is>
          <x:t xml:space="preserve">Needs editorial review</x:t>
        </x:is>
      </x:c>
      <x:c r="AE363" s="81" t="inlineStr">
        <x:is>
          <x:t xml:space="preserve">Needs semantic dedupe review</x:t>
        </x:is>
      </x:c>
      <x:c r="AF363" s="81" t="str"/>
      <x:c r="AG363" s="81" t="str"/>
      <x:c r="AH363" s="81" t="inlineStr">
        <x:is>
          <x:t xml:space="preserve">No</x:t>
        </x:is>
      </x:c>
      <x:c r="AI363" s="81" t="inlineStr">
        <x:is>
          <x:t xml:space="preserve">Not reviewed</x:t>
        </x:is>
      </x:c>
      <x:c r="AJ363" s="81" t="inlineStr">
        <x:is>
          <x:t xml:space="preserve">Research only</x:t>
        </x:is>
      </x:c>
      <x:c r="AK363" s="81" t="inlineStr">
        <x:is>
          <x:t xml:space="preserve">Research Pool</x:t>
        </x:is>
      </x:c>
      <x:c r="AL363" s="81" t="n">
        <x:v>4</x:v>
      </x:c>
      <x:c r="AM363" s="81" t="inlineStr">
        <x:is>
          <x:t xml:space="preserve">ChatGPT research</x:t>
        </x:is>
      </x:c>
      <x:c r="AN363" s="81" t="inlineStr">
        <x:is>
          <x:t xml:space="preserve">2026-09-18</x:t>
        </x:is>
      </x:c>
      <x:c r="AO363" s="81" t="inlineStr">
        <x:is>
          <x:t xml:space="preserve">Day 4 full-scope audit of Zhuangzi Inner Chapters 1–7.</x:t>
        </x:is>
      </x:c>
    </x:row>
    <x:row r="364">
      <x:c r="A364" s="81" t="inlineStr">
        <x:is>
          <x:t xml:space="preserve">research.zhuangzi.day4.ch05.046</x:t>
        </x:is>
      </x:c>
      <x:c r="B364" s="81" t="inlineStr">
        <x:is>
          <x:t xml:space="preserve">Collected</x:t>
        </x:is>
      </x:c>
      <x:c r="C364" s="81" t="inlineStr">
        <x:is>
          <x:t xml:space="preserve">Nội tâm &amp; hiểu mình</x:t>
        </x:is>
      </x:c>
      <x:c r="D364" s="81" t="inlineStr">
        <x:is>
          <x:t xml:space="preserve">Day 4 / Zhuangzi Inner Chapters 1–7</x:t>
        </x:is>
      </x:c>
      <x:c r="E364" s="81" t="str"/>
      <x:c r="F364" s="81" t="inlineStr">
        <x:is>
          <x:t xml:space="preserve">Không phải mọi phán xét nội tâm đều cần được nuôi tiếp</x:t>
        </x:is>
      </x:c>
      <x:c r="G364" s="81" t="inlineStr">
        <x:is>
          <x:t xml:space="preserve">Self-compassion</x:t>
        </x:is>
      </x:c>
      <x:c r="H364" s="81" t="str"/>
      <x:c r="I364" s="81" t="str"/>
      <x:c r="J364" s="81" t="str"/>
      <x:c r="K364" s="81" t="inlineStr">
        <x:is>
          <x:t xml:space="preserve">Permit</x:t>
        </x:is>
      </x:c>
      <x:c r="L364" s="81" t="inlineStr">
        <x:is>
          <x:t xml:space="preserve">Recognize</x:t>
        </x:is>
      </x:c>
      <x:c r="M364" s="81" t="inlineStr">
        <x:is>
          <x:t xml:space="preserve">Trích đoạn triết học /寓言</x:t>
        </x:is>
      </x:c>
      <x:c r="N364" s="81" t="inlineStr">
        <x:is>
          <x:t xml:space="preserve">无以好惡內傷其身。</x:t>
        </x:is>
      </x:c>
      <x:c r="O364" s="81" t="inlineStr">
        <x:is>
          <x:t xml:space="preserve">Classical Chinese (文言文)</x:t>
        </x:is>
      </x:c>
      <x:c r="P364" s="81" t="inlineStr">
        <x:is>
          <x:t xml:space="preserve">Đừng để thích-ghét bên trong trở thành thứ liên tục làm tổn thương chính mình.</x:t>
        </x:is>
      </x:c>
      <x:c r="Q364" s="81" t="inlineStr">
        <x:is>
          <x:t xml:space="preserve">Zhuangzi / 莊子 (Inner Chapters attribution)</x:t>
        </x:is>
      </x:c>
      <x:c r="R364" s="81" t="inlineStr">
        <x:is>
          <x:t xml:space="preserve">Daoist / China</x:t>
        </x:is>
      </x:c>
      <x:c r="S364" s="81" t="inlineStr">
        <x:is>
          <x:t xml:space="preserve">莊子 / Zhuangzi</x:t>
        </x:is>
      </x:c>
      <x:c r="T364" s="81" t="inlineStr">
        <x:is>
          <x:t xml:space="preserve">Inner Chapter 5 — 德充符</x:t>
        </x:is>
      </x:c>
      <x:c r="U364" s="81" t="inlineStr">
        <x:is>
          <x:t xml:space="preserve">https://zh.wikisource.org/wiki/%E8%8E%8A%E5%AD%90/%E5%BE%B7%E5%85%85%E7%AC%A6</x:t>
        </x:is>
      </x:c>
      <x:c r="V364" s="81" t="inlineStr">
        <x:is>
          <x:t xml:space="preserve">Primary text</x:t>
        </x:is>
      </x:c>
      <x:c r="W364" s="81" t="inlineStr">
        <x:is>
          <x:t xml:space="preserve">Working translation</x:t>
        </x:is>
      </x:c>
      <x:c r="X364" s="81" t="inlineStr">
        <x:is>
          <x:t xml:space="preserve">A - Primary source</x:t>
        </x:is>
      </x:c>
      <x:c r="Y364" s="81" t="inlineStr">
        <x:is>
          <x:t xml:space="preserve">Original Chinese checked against Chinese Wikisource; chapter structure cross-checked with Chinese Text Project. Vietnamese is Selflo working translation, not a published translation.</x:t>
        </x:is>
      </x:c>
      <x:c r="Z364" s="81" t="inlineStr">
        <x:is>
          <x:t xml:space="preserve">Public domain / likely</x:t>
        </x:is>
      </x:c>
      <x:c r="AA364" s="81" t="inlineStr">
        <x:is>
          <x:t xml:space="preserve">Ancient source text is public domain; verify edition/attribution and jurisdiction before commercial publication.</x:t>
        </x:is>
      </x:c>
      <x:c r="AB364" s="81" t="inlineStr">
        <x:is>
          <x:t xml:space="preserve">Medium</x:t>
        </x:is>
      </x:c>
      <x:c r="AC364" s="81" t="inlineStr">
        <x:is>
          <x:t xml:space="preserve">More directive than usual.</x:t>
        </x:is>
      </x:c>
      <x:c r="AD364" s="81" t="inlineStr">
        <x:is>
          <x:t xml:space="preserve">Needs editorial review</x:t>
        </x:is>
      </x:c>
      <x:c r="AE364" s="81" t="inlineStr">
        <x:is>
          <x:t xml:space="preserve">Needs semantic dedupe review</x:t>
        </x:is>
      </x:c>
      <x:c r="AF364" s="81" t="str"/>
      <x:c r="AG364" s="81" t="str"/>
      <x:c r="AH364" s="81" t="inlineStr">
        <x:is>
          <x:t xml:space="preserve">No</x:t>
        </x:is>
      </x:c>
      <x:c r="AI364" s="81" t="inlineStr">
        <x:is>
          <x:t xml:space="preserve">Not reviewed</x:t>
        </x:is>
      </x:c>
      <x:c r="AJ364" s="81" t="inlineStr">
        <x:is>
          <x:t xml:space="preserve">Research only</x:t>
        </x:is>
      </x:c>
      <x:c r="AK364" s="81" t="inlineStr">
        <x:is>
          <x:t xml:space="preserve">Research Pool</x:t>
        </x:is>
      </x:c>
      <x:c r="AL364" s="81" t="n">
        <x:v>4</x:v>
      </x:c>
      <x:c r="AM364" s="81" t="inlineStr">
        <x:is>
          <x:t xml:space="preserve">ChatGPT research</x:t>
        </x:is>
      </x:c>
      <x:c r="AN364" s="81" t="inlineStr">
        <x:is>
          <x:t xml:space="preserve">2026-09-18</x:t>
        </x:is>
      </x:c>
      <x:c r="AO364" s="81" t="inlineStr">
        <x:is>
          <x:t xml:space="preserve">Day 4 full-scope audit of Zhuangzi Inner Chapters 1–7.</x:t>
        </x:is>
      </x:c>
    </x:row>
    <x:row r="365">
      <x:c r="A365" s="81" t="inlineStr">
        <x:is>
          <x:t xml:space="preserve">research.zhuangzi.day4.ch06.047</x:t>
        </x:is>
      </x:c>
      <x:c r="B365" s="81" t="inlineStr">
        <x:is>
          <x:t xml:space="preserve">Collected</x:t>
        </x:is>
      </x:c>
      <x:c r="C365" s="81" t="inlineStr">
        <x:is>
          <x:t xml:space="preserve">AI &amp; tương lai</x:t>
        </x:is>
      </x:c>
      <x:c r="D365" s="81" t="inlineStr">
        <x:is>
          <x:t xml:space="preserve">Day 4 / Zhuangzi Inner Chapters 1–7</x:t>
        </x:is>
      </x:c>
      <x:c r="E365" s="81" t="str"/>
      <x:c r="F365" s="81" t="inlineStr">
        <x:is>
          <x:t xml:space="preserve">Tri thức tốt cũng biết chừa chỗ cho chưa biết</x:t>
        </x:is>
      </x:c>
      <x:c r="G365" s="81" t="inlineStr">
        <x:is>
          <x:t xml:space="preserve">Judgment</x:t>
        </x:is>
      </x:c>
      <x:c r="H365" s="81" t="str"/>
      <x:c r="I365" s="81" t="str"/>
      <x:c r="J365" s="81" t="str"/>
      <x:c r="K365" s="81" t="inlineStr">
        <x:is>
          <x:t xml:space="preserve">Reframe</x:t>
        </x:is>
      </x:c>
      <x:c r="L365" s="81" t="inlineStr">
        <x:is>
          <x:t xml:space="preserve">Recognize</x:t>
        </x:is>
      </x:c>
      <x:c r="M365" s="81" t="inlineStr">
        <x:is>
          <x:t xml:space="preserve">Trích đoạn triết học /寓言</x:t>
        </x:is>
      </x:c>
      <x:c r="N365" s="81" t="inlineStr">
        <x:is>
          <x:t xml:space="preserve">以其知之所知，以養其知之所不知。</x:t>
        </x:is>
      </x:c>
      <x:c r="O365" s="81" t="inlineStr">
        <x:is>
          <x:t xml:space="preserve">Classical Chinese (文言文)</x:t>
        </x:is>
      </x:c>
      <x:c r="P365" s="81" t="inlineStr">
        <x:is>
          <x:t xml:space="preserve">Dùng điều mình biết để nuôi khả năng ở cùng điều mình chưa biết.</x:t>
        </x:is>
      </x:c>
      <x:c r="Q365" s="81" t="inlineStr">
        <x:is>
          <x:t xml:space="preserve">Zhuangzi / 莊子 (Inner Chapters attribution)</x:t>
        </x:is>
      </x:c>
      <x:c r="R365" s="81" t="inlineStr">
        <x:is>
          <x:t xml:space="preserve">Daoist / China</x:t>
        </x:is>
      </x:c>
      <x:c r="S365" s="81" t="inlineStr">
        <x:is>
          <x:t xml:space="preserve">莊子 / Zhuangzi</x:t>
        </x:is>
      </x:c>
      <x:c r="T365" s="81" t="inlineStr">
        <x:is>
          <x:t xml:space="preserve">Inner Chapter 6 — 大宗師</x:t>
        </x:is>
      </x:c>
      <x:c r="U365" s="81" t="inlineStr">
        <x:is>
          <x:t xml:space="preserve">https://zh.wikisource.org/wiki/%E8%8E%8A%E5%AD%90/%E5%A4%A7%E5%AE%97%E5%B8%AB</x:t>
        </x:is>
      </x:c>
      <x:c r="V365" s="81" t="inlineStr">
        <x:is>
          <x:t xml:space="preserve">Primary text</x:t>
        </x:is>
      </x:c>
      <x:c r="W365" s="81" t="inlineStr">
        <x:is>
          <x:t xml:space="preserve">Working translation</x:t>
        </x:is>
      </x:c>
      <x:c r="X365" s="81" t="inlineStr">
        <x:is>
          <x:t xml:space="preserve">A - Primary source</x:t>
        </x:is>
      </x:c>
      <x:c r="Y365" s="81" t="inlineStr">
        <x:is>
          <x:t xml:space="preserve">Original Chinese checked against Chinese Wikisource; chapter structure cross-checked with Chinese Text Project. Vietnamese is Selflo working translation, not a published translation.</x:t>
        </x:is>
      </x:c>
      <x:c r="Z365" s="81" t="inlineStr">
        <x:is>
          <x:t xml:space="preserve">Public domain / likely</x:t>
        </x:is>
      </x:c>
      <x:c r="AA365" s="81" t="inlineStr">
        <x:is>
          <x:t xml:space="preserve">Ancient source text is public domain; verify edition/attribution and jurisdiction before commercial publication.</x:t>
        </x:is>
      </x:c>
      <x:c r="AB365" s="81" t="inlineStr">
        <x:is>
          <x:t xml:space="preserve">High</x:t>
        </x:is>
      </x:c>
      <x:c r="AC365" s="81" t="inlineStr">
        <x:is>
          <x:t xml:space="preserve">Excellent AI-age.</x:t>
        </x:is>
      </x:c>
      <x:c r="AD365" s="81" t="inlineStr">
        <x:is>
          <x:t xml:space="preserve">Needs editorial review</x:t>
        </x:is>
      </x:c>
      <x:c r="AE365" s="81" t="inlineStr">
        <x:is>
          <x:t xml:space="preserve">Needs semantic dedupe review</x:t>
        </x:is>
      </x:c>
      <x:c r="AF365" s="81" t="str"/>
      <x:c r="AG365" s="81" t="str"/>
      <x:c r="AH365" s="81" t="inlineStr">
        <x:is>
          <x:t xml:space="preserve">No</x:t>
        </x:is>
      </x:c>
      <x:c r="AI365" s="81" t="inlineStr">
        <x:is>
          <x:t xml:space="preserve">Not reviewed</x:t>
        </x:is>
      </x:c>
      <x:c r="AJ365" s="81" t="inlineStr">
        <x:is>
          <x:t xml:space="preserve">Research only</x:t>
        </x:is>
      </x:c>
      <x:c r="AK365" s="81" t="inlineStr">
        <x:is>
          <x:t xml:space="preserve">Research Pool</x:t>
        </x:is>
      </x:c>
      <x:c r="AL365" s="81" t="n">
        <x:v>4</x:v>
      </x:c>
      <x:c r="AM365" s="81" t="inlineStr">
        <x:is>
          <x:t xml:space="preserve">ChatGPT research</x:t>
        </x:is>
      </x:c>
      <x:c r="AN365" s="81" t="inlineStr">
        <x:is>
          <x:t xml:space="preserve">2026-09-18</x:t>
        </x:is>
      </x:c>
      <x:c r="AO365" s="81" t="inlineStr">
        <x:is>
          <x:t xml:space="preserve">Day 4 full-scope audit of Zhuangzi Inner Chapters 1–7.</x:t>
        </x:is>
      </x:c>
    </x:row>
    <x:row r="366">
      <x:c r="A366" s="81" t="inlineStr">
        <x:is>
          <x:t xml:space="preserve">research.zhuangzi.day4.ch06.048</x:t>
        </x:is>
      </x:c>
      <x:c r="B366" s="81" t="inlineStr">
        <x:is>
          <x:t xml:space="preserve">Collected</x:t>
        </x:is>
      </x:c>
      <x:c r="C366" s="81" t="inlineStr">
        <x:is>
          <x:t xml:space="preserve">AI &amp; tương lai</x:t>
        </x:is>
      </x:c>
      <x:c r="D366" s="81" t="inlineStr">
        <x:is>
          <x:t xml:space="preserve">Day 4 / Zhuangzi Inner Chapters 1–7</x:t>
        </x:is>
      </x:c>
      <x:c r="E366" s="81" t="str"/>
      <x:c r="F366" s="81" t="inlineStr">
        <x:is>
          <x:t xml:space="preserve">Phán đoán phụ thuộc bối cảnh</x:t>
        </x:is>
      </x:c>
      <x:c r="G366" s="81" t="inlineStr">
        <x:is>
          <x:t xml:space="preserve">Uncertainty</x:t>
        </x:is>
      </x:c>
      <x:c r="H366" s="81" t="str"/>
      <x:c r="I366" s="81" t="str"/>
      <x:c r="J366" s="81" t="str"/>
      <x:c r="K366" s="81" t="inlineStr">
        <x:is>
          <x:t xml:space="preserve">Recognize</x:t>
        </x:is>
      </x:c>
      <x:c r="L366" s="81" t="inlineStr">
        <x:is>
          <x:t xml:space="preserve">Distinguish</x:t>
        </x:is>
      </x:c>
      <x:c r="M366" s="81" t="inlineStr">
        <x:is>
          <x:t xml:space="preserve">Trích đoạn triết học /寓言</x:t>
        </x:is>
      </x:c>
      <x:c r="N366" s="81" t="inlineStr">
        <x:is>
          <x:t xml:space="preserve">知有所待而後當，其所待者特未定也。</x:t>
        </x:is>
      </x:c>
      <x:c r="O366" s="81" t="inlineStr">
        <x:is>
          <x:t xml:space="preserve">Classical Chinese (文言文)</x:t>
        </x:is>
      </x:c>
      <x:c r="P366" s="81" t="inlineStr">
        <x:is>
          <x:t xml:space="preserve">Điều ta gọi là biết đúng còn phụ thuộc những điều kiện mà chính chúng chưa chắc đã cố định.</x:t>
        </x:is>
      </x:c>
      <x:c r="Q366" s="81" t="inlineStr">
        <x:is>
          <x:t xml:space="preserve">Zhuangzi / 莊子 (Inner Chapters attribution)</x:t>
        </x:is>
      </x:c>
      <x:c r="R366" s="81" t="inlineStr">
        <x:is>
          <x:t xml:space="preserve">Daoist / China</x:t>
        </x:is>
      </x:c>
      <x:c r="S366" s="81" t="inlineStr">
        <x:is>
          <x:t xml:space="preserve">莊子 / Zhuangzi</x:t>
        </x:is>
      </x:c>
      <x:c r="T366" s="81" t="inlineStr">
        <x:is>
          <x:t xml:space="preserve">Inner Chapter 6 — 大宗師</x:t>
        </x:is>
      </x:c>
      <x:c r="U366" s="81" t="inlineStr">
        <x:is>
          <x:t xml:space="preserve">https://zh.wikisource.org/wiki/%E8%8E%8A%E5%AD%90/%E5%A4%A7%E5%AE%97%E5%B8%AB</x:t>
        </x:is>
      </x:c>
      <x:c r="V366" s="81" t="inlineStr">
        <x:is>
          <x:t xml:space="preserve">Primary text</x:t>
        </x:is>
      </x:c>
      <x:c r="W366" s="81" t="inlineStr">
        <x:is>
          <x:t xml:space="preserve">Working translation</x:t>
        </x:is>
      </x:c>
      <x:c r="X366" s="81" t="inlineStr">
        <x:is>
          <x:t xml:space="preserve">A - Primary source</x:t>
        </x:is>
      </x:c>
      <x:c r="Y366" s="81" t="inlineStr">
        <x:is>
          <x:t xml:space="preserve">Original Chinese checked against Chinese Wikisource; chapter structure cross-checked with Chinese Text Project. Vietnamese is Selflo working translation, not a published translation.</x:t>
        </x:is>
      </x:c>
      <x:c r="Z366" s="81" t="inlineStr">
        <x:is>
          <x:t xml:space="preserve">Public domain / likely</x:t>
        </x:is>
      </x:c>
      <x:c r="AA366" s="81" t="inlineStr">
        <x:is>
          <x:t xml:space="preserve">Ancient source text is public domain; verify edition/attribution and jurisdiction before commercial publication.</x:t>
        </x:is>
      </x:c>
      <x:c r="AB366" s="81" t="inlineStr">
        <x:is>
          <x:t xml:space="preserve">High</x:t>
        </x:is>
      </x:c>
      <x:c r="AC366" s="81" t="inlineStr">
        <x:is>
          <x:t xml:space="preserve">Strong.</x:t>
        </x:is>
      </x:c>
      <x:c r="AD366" s="81" t="inlineStr">
        <x:is>
          <x:t xml:space="preserve">Needs editorial review</x:t>
        </x:is>
      </x:c>
      <x:c r="AE366" s="81" t="inlineStr">
        <x:is>
          <x:t xml:space="preserve">Needs semantic dedupe review</x:t>
        </x:is>
      </x:c>
      <x:c r="AF366" s="81" t="str"/>
      <x:c r="AG366" s="81" t="str"/>
      <x:c r="AH366" s="81" t="inlineStr">
        <x:is>
          <x:t xml:space="preserve">No</x:t>
        </x:is>
      </x:c>
      <x:c r="AI366" s="81" t="inlineStr">
        <x:is>
          <x:t xml:space="preserve">Not reviewed</x:t>
        </x:is>
      </x:c>
      <x:c r="AJ366" s="81" t="inlineStr">
        <x:is>
          <x:t xml:space="preserve">Research only</x:t>
        </x:is>
      </x:c>
      <x:c r="AK366" s="81" t="inlineStr">
        <x:is>
          <x:t xml:space="preserve">Research Pool</x:t>
        </x:is>
      </x:c>
      <x:c r="AL366" s="81" t="n">
        <x:v>4</x:v>
      </x:c>
      <x:c r="AM366" s="81" t="inlineStr">
        <x:is>
          <x:t xml:space="preserve">ChatGPT research</x:t>
        </x:is>
      </x:c>
      <x:c r="AN366" s="81" t="inlineStr">
        <x:is>
          <x:t xml:space="preserve">2026-09-18</x:t>
        </x:is>
      </x:c>
      <x:c r="AO366" s="81" t="inlineStr">
        <x:is>
          <x:t xml:space="preserve">Day 4 full-scope audit of Zhuangzi Inner Chapters 1–7.</x:t>
        </x:is>
      </x:c>
    </x:row>
    <x:row r="367">
      <x:c r="A367" s="81" t="inlineStr">
        <x:is>
          <x:t xml:space="preserve">research.zhuangzi.day4.ch06.049</x:t>
        </x:is>
      </x:c>
      <x:c r="B367" s="81" t="inlineStr">
        <x:is>
          <x:t xml:space="preserve">Collected</x:t>
        </x:is>
      </x:c>
      <x:c r="C367" s="81" t="inlineStr">
        <x:is>
          <x:t xml:space="preserve">Nội tâm &amp; hiểu mình</x:t>
        </x:is>
      </x:c>
      <x:c r="D367" s="81" t="inlineStr">
        <x:is>
          <x:t xml:space="preserve">Day 4 / Zhuangzi Inner Chapters 1–7</x:t>
        </x:is>
      </x:c>
      <x:c r="E367" s="81" t="str"/>
      <x:c r="F367" s="81" t="inlineStr">
        <x:is>
          <x:t xml:space="preserve">Thành tựu không đáng nếu đổi bằng mất mình</x:t>
        </x:is>
      </x:c>
      <x:c r="G367" s="81" t="inlineStr">
        <x:is>
          <x:t xml:space="preserve">Identity</x:t>
        </x:is>
      </x:c>
      <x:c r="H367" s="81" t="str"/>
      <x:c r="I367" s="81" t="str"/>
      <x:c r="J367" s="81" t="str"/>
      <x:c r="K367" s="81" t="inlineStr">
        <x:is>
          <x:t xml:space="preserve">Distinguish</x:t>
        </x:is>
      </x:c>
      <x:c r="L367" s="81" t="inlineStr">
        <x:is>
          <x:t xml:space="preserve">Recognize</x:t>
        </x:is>
      </x:c>
      <x:c r="M367" s="81" t="inlineStr">
        <x:is>
          <x:t xml:space="preserve">Trích đoạn triết học /寓言</x:t>
        </x:is>
      </x:c>
      <x:c r="N367" s="81" t="inlineStr">
        <x:is>
          <x:t xml:space="preserve">行名失己，非士也。</x:t>
        </x:is>
      </x:c>
      <x:c r="O367" s="81" t="inlineStr">
        <x:is>
          <x:t xml:space="preserve">Classical Chinese (文言文)</x:t>
        </x:is>
      </x:c>
      <x:c r="P367" s="81" t="inlineStr">
        <x:is>
          <x:t xml:space="preserve">Chạy theo danh mà đánh mất mình không phải là thành tựu.</x:t>
        </x:is>
      </x:c>
      <x:c r="Q367" s="81" t="inlineStr">
        <x:is>
          <x:t xml:space="preserve">Zhuangzi / 莊子 (Inner Chapters attribution)</x:t>
        </x:is>
      </x:c>
      <x:c r="R367" s="81" t="inlineStr">
        <x:is>
          <x:t xml:space="preserve">Daoist / China</x:t>
        </x:is>
      </x:c>
      <x:c r="S367" s="81" t="inlineStr">
        <x:is>
          <x:t xml:space="preserve">莊子 / Zhuangzi</x:t>
        </x:is>
      </x:c>
      <x:c r="T367" s="81" t="inlineStr">
        <x:is>
          <x:t xml:space="preserve">Inner Chapter 6 — 大宗師</x:t>
        </x:is>
      </x:c>
      <x:c r="U367" s="81" t="inlineStr">
        <x:is>
          <x:t xml:space="preserve">https://zh.wikisource.org/wiki/%E8%8E%8A%E5%AD%90/%E5%A4%A7%E5%AE%97%E5%B8%AB</x:t>
        </x:is>
      </x:c>
      <x:c r="V367" s="81" t="inlineStr">
        <x:is>
          <x:t xml:space="preserve">Primary text</x:t>
        </x:is>
      </x:c>
      <x:c r="W367" s="81" t="inlineStr">
        <x:is>
          <x:t xml:space="preserve">Working translation</x:t>
        </x:is>
      </x:c>
      <x:c r="X367" s="81" t="inlineStr">
        <x:is>
          <x:t xml:space="preserve">A - Primary source</x:t>
        </x:is>
      </x:c>
      <x:c r="Y367" s="81" t="inlineStr">
        <x:is>
          <x:t xml:space="preserve">Original Chinese checked against Chinese Wikisource; chapter structure cross-checked with Chinese Text Project. Vietnamese is Selflo working translation, not a published translation.</x:t>
        </x:is>
      </x:c>
      <x:c r="Z367" s="81" t="inlineStr">
        <x:is>
          <x:t xml:space="preserve">Public domain / likely</x:t>
        </x:is>
      </x:c>
      <x:c r="AA367" s="81" t="inlineStr">
        <x:is>
          <x:t xml:space="preserve">Ancient source text is public domain; verify edition/attribution and jurisdiction before commercial publication.</x:t>
        </x:is>
      </x:c>
      <x:c r="AB367" s="81" t="inlineStr">
        <x:is>
          <x:t xml:space="preserve">High</x:t>
        </x:is>
      </x:c>
      <x:c r="AC367" s="81" t="inlineStr">
        <x:is>
          <x:t xml:space="preserve">Career relevance.</x:t>
        </x:is>
      </x:c>
      <x:c r="AD367" s="81" t="inlineStr">
        <x:is>
          <x:t xml:space="preserve">Needs editorial review</x:t>
        </x:is>
      </x:c>
      <x:c r="AE367" s="81" t="inlineStr">
        <x:is>
          <x:t xml:space="preserve">Needs semantic dedupe review</x:t>
        </x:is>
      </x:c>
      <x:c r="AF367" s="81" t="str"/>
      <x:c r="AG367" s="81" t="str"/>
      <x:c r="AH367" s="81" t="inlineStr">
        <x:is>
          <x:t xml:space="preserve">No</x:t>
        </x:is>
      </x:c>
      <x:c r="AI367" s="81" t="inlineStr">
        <x:is>
          <x:t xml:space="preserve">Not reviewed</x:t>
        </x:is>
      </x:c>
      <x:c r="AJ367" s="81" t="inlineStr">
        <x:is>
          <x:t xml:space="preserve">Research only</x:t>
        </x:is>
      </x:c>
      <x:c r="AK367" s="81" t="inlineStr">
        <x:is>
          <x:t xml:space="preserve">Research Pool</x:t>
        </x:is>
      </x:c>
      <x:c r="AL367" s="81" t="n">
        <x:v>4</x:v>
      </x:c>
      <x:c r="AM367" s="81" t="inlineStr">
        <x:is>
          <x:t xml:space="preserve">ChatGPT research</x:t>
        </x:is>
      </x:c>
      <x:c r="AN367" s="81" t="inlineStr">
        <x:is>
          <x:t xml:space="preserve">2026-09-18</x:t>
        </x:is>
      </x:c>
      <x:c r="AO367" s="81" t="inlineStr">
        <x:is>
          <x:t xml:space="preserve">Day 4 full-scope audit of Zhuangzi Inner Chapters 1–7.</x:t>
        </x:is>
      </x:c>
    </x:row>
    <x:row r="368">
      <x:c r="A368" s="81" t="inlineStr">
        <x:is>
          <x:t xml:space="preserve">research.zhuangzi.day4.ch06.050</x:t>
        </x:is>
      </x:c>
      <x:c r="B368" s="81" t="inlineStr">
        <x:is>
          <x:t xml:space="preserve">Collected</x:t>
        </x:is>
      </x:c>
      <x:c r="C368" s="81" t="inlineStr">
        <x:is>
          <x:t xml:space="preserve">Nội tâm &amp; hiểu mình</x:t>
        </x:is>
      </x:c>
      <x:c r="D368" s="81" t="inlineStr">
        <x:is>
          <x:t xml:space="preserve">Day 4 / Zhuangzi Inner Chapters 1–7</x:t>
        </x:is>
      </x:c>
      <x:c r="E368" s="81" t="str"/>
      <x:c r="F368" s="81" t="inlineStr">
        <x:is>
          <x:t xml:space="preserve">Hỗ trợ khẩn cấp không thay thế một môi trường sống phù hợp</x:t>
        </x:is>
      </x:c>
      <x:c r="G368" s="81" t="inlineStr">
        <x:is>
          <x:t xml:space="preserve">Context</x:t>
        </x:is>
      </x:c>
      <x:c r="H368" s="81" t="str"/>
      <x:c r="I368" s="81" t="str"/>
      <x:c r="J368" s="81" t="str"/>
      <x:c r="K368" s="81" t="inlineStr">
        <x:is>
          <x:t xml:space="preserve">Reframe</x:t>
        </x:is>
      </x:c>
      <x:c r="L368" s="81" t="inlineStr">
        <x:is>
          <x:t xml:space="preserve">Recognize</x:t>
        </x:is>
      </x:c>
      <x:c r="M368" s="81" t="inlineStr">
        <x:is>
          <x:t xml:space="preserve">Trích đoạn triết học /寓言</x:t>
        </x:is>
      </x:c>
      <x:c r="N368" s="81" t="inlineStr">
        <x:is>
          <x:t xml:space="preserve">相濡以沫，不如相忘於江湖。</x:t>
        </x:is>
      </x:c>
      <x:c r="O368" s="81" t="inlineStr">
        <x:is>
          <x:t xml:space="preserve">Classical Chinese (文言文)</x:t>
        </x:is>
      </x:c>
      <x:c r="P368" s="81" t="inlineStr">
        <x:is>
          <x:t xml:space="preserve">Hai con cá trên cạn làm ướt nhau để sống; nhưng được quên nhau trong sông hồ còn hơn.</x:t>
        </x:is>
      </x:c>
      <x:c r="Q368" s="81" t="inlineStr">
        <x:is>
          <x:t xml:space="preserve">Zhuangzi / 莊子 (Inner Chapters attribution)</x:t>
        </x:is>
      </x:c>
      <x:c r="R368" s="81" t="inlineStr">
        <x:is>
          <x:t xml:space="preserve">Daoist / China</x:t>
        </x:is>
      </x:c>
      <x:c r="S368" s="81" t="inlineStr">
        <x:is>
          <x:t xml:space="preserve">莊子 / Zhuangzi</x:t>
        </x:is>
      </x:c>
      <x:c r="T368" s="81" t="inlineStr">
        <x:is>
          <x:t xml:space="preserve">Inner Chapter 6 — 大宗師</x:t>
        </x:is>
      </x:c>
      <x:c r="U368" s="81" t="inlineStr">
        <x:is>
          <x:t xml:space="preserve">https://zh.wikisource.org/wiki/%E8%8E%8A%E5%AD%90/%E5%A4%A7%E5%AE%97%E5%B8%AB</x:t>
        </x:is>
      </x:c>
      <x:c r="V368" s="81" t="inlineStr">
        <x:is>
          <x:t xml:space="preserve">Primary text</x:t>
        </x:is>
      </x:c>
      <x:c r="W368" s="81" t="inlineStr">
        <x:is>
          <x:t xml:space="preserve">Working translation</x:t>
        </x:is>
      </x:c>
      <x:c r="X368" s="81" t="inlineStr">
        <x:is>
          <x:t xml:space="preserve">A - Primary source</x:t>
        </x:is>
      </x:c>
      <x:c r="Y368" s="81" t="inlineStr">
        <x:is>
          <x:t xml:space="preserve">Original Chinese checked against Chinese Wikisource; chapter structure cross-checked with Chinese Text Project. Vietnamese is Selflo working translation, not a published translation.</x:t>
        </x:is>
      </x:c>
      <x:c r="Z368" s="81" t="inlineStr">
        <x:is>
          <x:t xml:space="preserve">Public domain / likely</x:t>
        </x:is>
      </x:c>
      <x:c r="AA368" s="81" t="inlineStr">
        <x:is>
          <x:t xml:space="preserve">Ancient source text is public domain; verify edition/attribution and jurisdiction before commercial publication.</x:t>
        </x:is>
      </x:c>
      <x:c r="AB368" s="81" t="inlineStr">
        <x:is>
          <x:t xml:space="preserve">High</x:t>
        </x:is>
      </x:c>
      <x:c r="AC368" s="81" t="inlineStr">
        <x:is>
          <x:t xml:space="preserve">Excellent systems/self-compassion.</x:t>
        </x:is>
      </x:c>
      <x:c r="AD368" s="81" t="inlineStr">
        <x:is>
          <x:t xml:space="preserve">Needs editorial review</x:t>
        </x:is>
      </x:c>
      <x:c r="AE368" s="81" t="inlineStr">
        <x:is>
          <x:t xml:space="preserve">Needs semantic dedupe review</x:t>
        </x:is>
      </x:c>
      <x:c r="AF368" s="81" t="str"/>
      <x:c r="AG368" s="81" t="str"/>
      <x:c r="AH368" s="81" t="inlineStr">
        <x:is>
          <x:t xml:space="preserve">No</x:t>
        </x:is>
      </x:c>
      <x:c r="AI368" s="81" t="inlineStr">
        <x:is>
          <x:t xml:space="preserve">Not reviewed</x:t>
        </x:is>
      </x:c>
      <x:c r="AJ368" s="81" t="inlineStr">
        <x:is>
          <x:t xml:space="preserve">Research only</x:t>
        </x:is>
      </x:c>
      <x:c r="AK368" s="81" t="inlineStr">
        <x:is>
          <x:t xml:space="preserve">Research Pool</x:t>
        </x:is>
      </x:c>
      <x:c r="AL368" s="81" t="n">
        <x:v>4</x:v>
      </x:c>
      <x:c r="AM368" s="81" t="inlineStr">
        <x:is>
          <x:t xml:space="preserve">ChatGPT research</x:t>
        </x:is>
      </x:c>
      <x:c r="AN368" s="81" t="inlineStr">
        <x:is>
          <x:t xml:space="preserve">2026-09-18</x:t>
        </x:is>
      </x:c>
      <x:c r="AO368" s="81" t="inlineStr">
        <x:is>
          <x:t xml:space="preserve">Day 4 full-scope audit of Zhuangzi Inner Chapters 1–7.</x:t>
        </x:is>
      </x:c>
    </x:row>
    <x:row r="369">
      <x:c r="A369" s="81" t="inlineStr">
        <x:is>
          <x:t xml:space="preserve">research.zhuangzi.day4.ch06.051</x:t>
        </x:is>
      </x:c>
      <x:c r="B369" s="81" t="inlineStr">
        <x:is>
          <x:t xml:space="preserve">Collected</x:t>
        </x:is>
      </x:c>
      <x:c r="C369" s="81" t="inlineStr">
        <x:is>
          <x:t xml:space="preserve">AI &amp; tương lai</x:t>
        </x:is>
      </x:c>
      <x:c r="D369" s="81" t="inlineStr">
        <x:is>
          <x:t xml:space="preserve">Day 4 / Zhuangzi Inner Chapters 1–7</x:t>
        </x:is>
      </x:c>
      <x:c r="E369" s="81" t="str"/>
      <x:c r="F369" s="81" t="inlineStr">
        <x:is>
          <x:t xml:space="preserve">Không cần biết toàn bộ kết quả mới có thể sống phần hiện tại</x:t>
        </x:is>
      </x:c>
      <x:c r="G369" s="81" t="inlineStr">
        <x:is>
          <x:t xml:space="preserve">Uncertainty</x:t>
        </x:is>
      </x:c>
      <x:c r="H369" s="81" t="str"/>
      <x:c r="I369" s="81" t="str"/>
      <x:c r="J369" s="81" t="str"/>
      <x:c r="K369" s="81" t="inlineStr">
        <x:is>
          <x:t xml:space="preserve">Permit</x:t>
        </x:is>
      </x:c>
      <x:c r="L369" s="81" t="inlineStr">
        <x:is>
          <x:t xml:space="preserve">Recognize</x:t>
        </x:is>
      </x:c>
      <x:c r="M369" s="81" t="inlineStr">
        <x:is>
          <x:t xml:space="preserve">Trích đoạn triết học /寓言</x:t>
        </x:is>
      </x:c>
      <x:c r="N369" s="81" t="inlineStr">
        <x:is>
          <x:t xml:space="preserve">不忘其所始，不求其所終。</x:t>
        </x:is>
      </x:c>
      <x:c r="O369" s="81" t="inlineStr">
        <x:is>
          <x:t xml:space="preserve">Classical Chinese (文言文)</x:t>
        </x:is>
      </x:c>
      <x:c r="P369" s="81" t="inlineStr">
        <x:is>
          <x:t xml:space="preserve">Không quên nơi mình bắt đầu, cũng không đòi biết trước điểm cuối.</x:t>
        </x:is>
      </x:c>
      <x:c r="Q369" s="81" t="inlineStr">
        <x:is>
          <x:t xml:space="preserve">Zhuangzi / 莊子 (Inner Chapters attribution)</x:t>
        </x:is>
      </x:c>
      <x:c r="R369" s="81" t="inlineStr">
        <x:is>
          <x:t xml:space="preserve">Daoist / China</x:t>
        </x:is>
      </x:c>
      <x:c r="S369" s="81" t="inlineStr">
        <x:is>
          <x:t xml:space="preserve">莊子 / Zhuangzi</x:t>
        </x:is>
      </x:c>
      <x:c r="T369" s="81" t="inlineStr">
        <x:is>
          <x:t xml:space="preserve">Inner Chapter 6 — 大宗師</x:t>
        </x:is>
      </x:c>
      <x:c r="U369" s="81" t="inlineStr">
        <x:is>
          <x:t xml:space="preserve">https://zh.wikisource.org/wiki/%E8%8E%8A%E5%AD%90/%E5%A4%A7%E5%AE%97%E5%B8%AB</x:t>
        </x:is>
      </x:c>
      <x:c r="V369" s="81" t="inlineStr">
        <x:is>
          <x:t xml:space="preserve">Primary text</x:t>
        </x:is>
      </x:c>
      <x:c r="W369" s="81" t="inlineStr">
        <x:is>
          <x:t xml:space="preserve">Working translation</x:t>
        </x:is>
      </x:c>
      <x:c r="X369" s="81" t="inlineStr">
        <x:is>
          <x:t xml:space="preserve">A - Primary source</x:t>
        </x:is>
      </x:c>
      <x:c r="Y369" s="81" t="inlineStr">
        <x:is>
          <x:t xml:space="preserve">Original Chinese checked against Chinese Wikisource; chapter structure cross-checked with Chinese Text Project. Vietnamese is Selflo working translation, not a published translation.</x:t>
        </x:is>
      </x:c>
      <x:c r="Z369" s="81" t="inlineStr">
        <x:is>
          <x:t xml:space="preserve">Public domain / likely</x:t>
        </x:is>
      </x:c>
      <x:c r="AA369" s="81" t="inlineStr">
        <x:is>
          <x:t xml:space="preserve">Ancient source text is public domain; verify edition/attribution and jurisdiction before commercial publication.</x:t>
        </x:is>
      </x:c>
      <x:c r="AB369" s="81" t="inlineStr">
        <x:is>
          <x:t xml:space="preserve">High</x:t>
        </x:is>
      </x:c>
      <x:c r="AC369" s="81" t="inlineStr">
        <x:is>
          <x:t xml:space="preserve">Strong.</x:t>
        </x:is>
      </x:c>
      <x:c r="AD369" s="81" t="inlineStr">
        <x:is>
          <x:t xml:space="preserve">Needs editorial review</x:t>
        </x:is>
      </x:c>
      <x:c r="AE369" s="81" t="inlineStr">
        <x:is>
          <x:t xml:space="preserve">Needs semantic dedupe review</x:t>
        </x:is>
      </x:c>
      <x:c r="AF369" s="81" t="str"/>
      <x:c r="AG369" s="81" t="str"/>
      <x:c r="AH369" s="81" t="inlineStr">
        <x:is>
          <x:t xml:space="preserve">No</x:t>
        </x:is>
      </x:c>
      <x:c r="AI369" s="81" t="inlineStr">
        <x:is>
          <x:t xml:space="preserve">Not reviewed</x:t>
        </x:is>
      </x:c>
      <x:c r="AJ369" s="81" t="inlineStr">
        <x:is>
          <x:t xml:space="preserve">Research only</x:t>
        </x:is>
      </x:c>
      <x:c r="AK369" s="81" t="inlineStr">
        <x:is>
          <x:t xml:space="preserve">Research Pool</x:t>
        </x:is>
      </x:c>
      <x:c r="AL369" s="81" t="n">
        <x:v>4</x:v>
      </x:c>
      <x:c r="AM369" s="81" t="inlineStr">
        <x:is>
          <x:t xml:space="preserve">ChatGPT research</x:t>
        </x:is>
      </x:c>
      <x:c r="AN369" s="81" t="inlineStr">
        <x:is>
          <x:t xml:space="preserve">2026-09-18</x:t>
        </x:is>
      </x:c>
      <x:c r="AO369" s="81" t="inlineStr">
        <x:is>
          <x:t xml:space="preserve">Day 4 full-scope audit of Zhuangzi Inner Chapters 1–7.</x:t>
        </x:is>
      </x:c>
    </x:row>
    <x:row r="370">
      <x:c r="A370" s="81" t="inlineStr">
        <x:is>
          <x:t xml:space="preserve">research.zhuangzi.day4.ch06.052</x:t>
        </x:is>
      </x:c>
      <x:c r="B370" s="81" t="inlineStr">
        <x:is>
          <x:t xml:space="preserve">Collected</x:t>
        </x:is>
      </x:c>
      <x:c r="C370" s="81" t="inlineStr">
        <x:is>
          <x:t xml:space="preserve">Nội tâm &amp; hiểu mình</x:t>
        </x:is>
      </x:c>
      <x:c r="D370" s="81" t="inlineStr">
        <x:is>
          <x:t xml:space="preserve">Day 4 / Zhuangzi Inner Chapters 1–7</x:t>
        </x:is>
      </x:c>
      <x:c r="E370" s="81" t="str"/>
      <x:c r="F370" s="81" t="inlineStr">
        <x:is>
          <x:t xml:space="preserve">Môi trường tốt có thể làm hỗ trợ trở nên ít phô hiện</x:t>
        </x:is>
      </x:c>
      <x:c r="G370" s="81" t="inlineStr">
        <x:is>
          <x:t xml:space="preserve">Environment</x:t>
        </x:is>
      </x:c>
      <x:c r="H370" s="81" t="str"/>
      <x:c r="I370" s="81" t="str"/>
      <x:c r="J370" s="81" t="str"/>
      <x:c r="K370" s="81" t="inlineStr">
        <x:is>
          <x:t xml:space="preserve">Reframe</x:t>
        </x:is>
      </x:c>
      <x:c r="L370" s="81" t="inlineStr">
        <x:is>
          <x:t xml:space="preserve">Recognize</x:t>
        </x:is>
      </x:c>
      <x:c r="M370" s="81" t="inlineStr">
        <x:is>
          <x:t xml:space="preserve">Trích đoạn triết học /寓言</x:t>
        </x:is>
      </x:c>
      <x:c r="N370" s="81" t="inlineStr">
        <x:is>
          <x:t xml:space="preserve">魚相忘乎江湖，人相忘乎道術。</x:t>
        </x:is>
      </x:c>
      <x:c r="O370" s="81" t="inlineStr">
        <x:is>
          <x:t xml:space="preserve">Classical Chinese (文言文)</x:t>
        </x:is>
      </x:c>
      <x:c r="P370" s="81" t="inlineStr">
        <x:is>
          <x:t xml:space="preserve">Cá ở trong sông hồ đến mức quên nước; người ở trong một nền sống phù hợp có thể thôi phải gồng để tồn tại.</x:t>
        </x:is>
      </x:c>
      <x:c r="Q370" s="81" t="inlineStr">
        <x:is>
          <x:t xml:space="preserve">Zhuangzi / 莊子 (Inner Chapters attribution)</x:t>
        </x:is>
      </x:c>
      <x:c r="R370" s="81" t="inlineStr">
        <x:is>
          <x:t xml:space="preserve">Daoist / China</x:t>
        </x:is>
      </x:c>
      <x:c r="S370" s="81" t="inlineStr">
        <x:is>
          <x:t xml:space="preserve">莊子 / Zhuangzi</x:t>
        </x:is>
      </x:c>
      <x:c r="T370" s="81" t="inlineStr">
        <x:is>
          <x:t xml:space="preserve">Inner Chapter 6 — 大宗師</x:t>
        </x:is>
      </x:c>
      <x:c r="U370" s="81" t="inlineStr">
        <x:is>
          <x:t xml:space="preserve">https://zh.wikisource.org/wiki/%E8%8E%8A%E5%AD%90/%E5%A4%A7%E5%AE%97%E5%B8%AB</x:t>
        </x:is>
      </x:c>
      <x:c r="V370" s="81" t="inlineStr">
        <x:is>
          <x:t xml:space="preserve">Primary text</x:t>
        </x:is>
      </x:c>
      <x:c r="W370" s="81" t="inlineStr">
        <x:is>
          <x:t xml:space="preserve">Working translation</x:t>
        </x:is>
      </x:c>
      <x:c r="X370" s="81" t="inlineStr">
        <x:is>
          <x:t xml:space="preserve">A - Primary source</x:t>
        </x:is>
      </x:c>
      <x:c r="Y370" s="81" t="inlineStr">
        <x:is>
          <x:t xml:space="preserve">Original Chinese checked against Chinese Wikisource; chapter structure cross-checked with Chinese Text Project. Vietnamese is Selflo working translation, not a published translation.</x:t>
        </x:is>
      </x:c>
      <x:c r="Z370" s="81" t="inlineStr">
        <x:is>
          <x:t xml:space="preserve">Public domain / likely</x:t>
        </x:is>
      </x:c>
      <x:c r="AA370" s="81" t="inlineStr">
        <x:is>
          <x:t xml:space="preserve">Ancient source text is public domain; verify edition/attribution and jurisdiction before commercial publication.</x:t>
        </x:is>
      </x:c>
      <x:c r="AB370" s="81" t="inlineStr">
        <x:is>
          <x:t xml:space="preserve">High</x:t>
        </x:is>
      </x:c>
      <x:c r="AC370" s="81" t="inlineStr">
        <x:is>
          <x:t xml:space="preserve">Working VI interpretive.</x:t>
        </x:is>
      </x:c>
      <x:c r="AD370" s="81" t="inlineStr">
        <x:is>
          <x:t xml:space="preserve">Needs editorial review</x:t>
        </x:is>
      </x:c>
      <x:c r="AE370" s="81" t="inlineStr">
        <x:is>
          <x:t xml:space="preserve">Needs semantic dedupe review</x:t>
        </x:is>
      </x:c>
      <x:c r="AF370" s="81" t="str"/>
      <x:c r="AG370" s="81" t="str"/>
      <x:c r="AH370" s="81" t="inlineStr">
        <x:is>
          <x:t xml:space="preserve">No</x:t>
        </x:is>
      </x:c>
      <x:c r="AI370" s="81" t="inlineStr">
        <x:is>
          <x:t xml:space="preserve">Not reviewed</x:t>
        </x:is>
      </x:c>
      <x:c r="AJ370" s="81" t="inlineStr">
        <x:is>
          <x:t xml:space="preserve">Research only</x:t>
        </x:is>
      </x:c>
      <x:c r="AK370" s="81" t="inlineStr">
        <x:is>
          <x:t xml:space="preserve">Research Pool</x:t>
        </x:is>
      </x:c>
      <x:c r="AL370" s="81" t="n">
        <x:v>4</x:v>
      </x:c>
      <x:c r="AM370" s="81" t="inlineStr">
        <x:is>
          <x:t xml:space="preserve">ChatGPT research</x:t>
        </x:is>
      </x:c>
      <x:c r="AN370" s="81" t="inlineStr">
        <x:is>
          <x:t xml:space="preserve">2026-09-18</x:t>
        </x:is>
      </x:c>
      <x:c r="AO370" s="81" t="inlineStr">
        <x:is>
          <x:t xml:space="preserve">Day 4 full-scope audit of Zhuangzi Inner Chapters 1–7.</x:t>
        </x:is>
      </x:c>
    </x:row>
    <x:row r="371">
      <x:c r="A371" s="81" t="inlineStr">
        <x:is>
          <x:t xml:space="preserve">research.zhuangzi.day4.ch06.053</x:t>
        </x:is>
      </x:c>
      <x:c r="B371" s="81" t="inlineStr">
        <x:is>
          <x:t xml:space="preserve">Collected</x:t>
        </x:is>
      </x:c>
      <x:c r="C371" s="81" t="inlineStr">
        <x:is>
          <x:t xml:space="preserve">Nội tâm &amp; hiểu mình</x:t>
        </x:is>
      </x:c>
      <x:c r="D371" s="81" t="inlineStr">
        <x:is>
          <x:t xml:space="preserve">Day 4 / Zhuangzi Inner Chapters 1–7</x:t>
        </x:is>
      </x:c>
      <x:c r="E371" s="81" t="str"/>
      <x:c r="F371" s="81" t="inlineStr">
        <x:is>
          <x:t xml:space="preserve">Tạm buông các nhãn và cấu trúc quen thuộc</x:t>
        </x:is>
      </x:c>
      <x:c r="G371" s="81" t="inlineStr">
        <x:is>
          <x:t xml:space="preserve">Self-distancing</x:t>
        </x:is>
      </x:c>
      <x:c r="H371" s="81" t="str"/>
      <x:c r="I371" s="81" t="str"/>
      <x:c r="J371" s="81" t="str"/>
      <x:c r="K371" s="81" t="inlineStr">
        <x:is>
          <x:t xml:space="preserve">Open question</x:t>
        </x:is>
      </x:c>
      <x:c r="L371" s="81" t="inlineStr">
        <x:is>
          <x:t xml:space="preserve">Recognize</x:t>
        </x:is>
      </x:c>
      <x:c r="M371" s="81" t="inlineStr">
        <x:is>
          <x:t xml:space="preserve">Trích đoạn triết học /寓言</x:t>
        </x:is>
      </x:c>
      <x:c r="N371" s="81" t="inlineStr">
        <x:is>
          <x:t xml:space="preserve">回坐忘矣。</x:t>
        </x:is>
      </x:c>
      <x:c r="O371" s="81" t="inlineStr">
        <x:is>
          <x:t xml:space="preserve">Classical Chinese (文言文)</x:t>
        </x:is>
      </x:c>
      <x:c r="P371" s="81" t="inlineStr">
        <x:is>
          <x:t xml:space="preserve">Nhan Hồi nói: 'Con đã ngồi mà quên.'</x:t>
        </x:is>
      </x:c>
      <x:c r="Q371" s="81" t="inlineStr">
        <x:is>
          <x:t xml:space="preserve">Zhuangzi / 莊子 (Inner Chapters attribution)</x:t>
        </x:is>
      </x:c>
      <x:c r="R371" s="81" t="inlineStr">
        <x:is>
          <x:t xml:space="preserve">Daoist / China</x:t>
        </x:is>
      </x:c>
      <x:c r="S371" s="81" t="inlineStr">
        <x:is>
          <x:t xml:space="preserve">莊子 / Zhuangzi</x:t>
        </x:is>
      </x:c>
      <x:c r="T371" s="81" t="inlineStr">
        <x:is>
          <x:t xml:space="preserve">Inner Chapter 6 — 大宗師</x:t>
        </x:is>
      </x:c>
      <x:c r="U371" s="81" t="inlineStr">
        <x:is>
          <x:t xml:space="preserve">https://zh.wikisource.org/wiki/%E8%8E%8A%E5%AD%90/%E5%A4%A7%E5%AE%97%E5%B8%AB</x:t>
        </x:is>
      </x:c>
      <x:c r="V371" s="81" t="inlineStr">
        <x:is>
          <x:t xml:space="preserve">Primary text</x:t>
        </x:is>
      </x:c>
      <x:c r="W371" s="81" t="inlineStr">
        <x:is>
          <x:t xml:space="preserve">Working translation</x:t>
        </x:is>
      </x:c>
      <x:c r="X371" s="81" t="inlineStr">
        <x:is>
          <x:t xml:space="preserve">A - Primary source</x:t>
        </x:is>
      </x:c>
      <x:c r="Y371" s="81" t="inlineStr">
        <x:is>
          <x:t xml:space="preserve">Original Chinese checked against Chinese Wikisource; chapter structure cross-checked with Chinese Text Project. Vietnamese is Selflo working translation, not a published translation.</x:t>
        </x:is>
      </x:c>
      <x:c r="Z371" s="81" t="inlineStr">
        <x:is>
          <x:t xml:space="preserve">Public domain / likely</x:t>
        </x:is>
      </x:c>
      <x:c r="AA371" s="81" t="inlineStr">
        <x:is>
          <x:t xml:space="preserve">Ancient source text is public domain; verify edition/attribution and jurisdiction before commercial publication.</x:t>
        </x:is>
      </x:c>
      <x:c r="AB371" s="81" t="inlineStr">
        <x:is>
          <x:t xml:space="preserve">Medium</x:t>
        </x:is>
      </x:c>
      <x:c r="AC371" s="81" t="inlineStr">
        <x:is>
          <x:t xml:space="preserve">Needs context; don't prescribe meditation.</x:t>
        </x:is>
      </x:c>
      <x:c r="AD371" s="81" t="inlineStr">
        <x:is>
          <x:t xml:space="preserve">Needs editorial review</x:t>
        </x:is>
      </x:c>
      <x:c r="AE371" s="81" t="inlineStr">
        <x:is>
          <x:t xml:space="preserve">Needs semantic dedupe review</x:t>
        </x:is>
      </x:c>
      <x:c r="AF371" s="81" t="str"/>
      <x:c r="AG371" s="81" t="str"/>
      <x:c r="AH371" s="81" t="inlineStr">
        <x:is>
          <x:t xml:space="preserve">No</x:t>
        </x:is>
      </x:c>
      <x:c r="AI371" s="81" t="inlineStr">
        <x:is>
          <x:t xml:space="preserve">Not reviewed</x:t>
        </x:is>
      </x:c>
      <x:c r="AJ371" s="81" t="inlineStr">
        <x:is>
          <x:t xml:space="preserve">Research only</x:t>
        </x:is>
      </x:c>
      <x:c r="AK371" s="81" t="inlineStr">
        <x:is>
          <x:t xml:space="preserve">Research Pool</x:t>
        </x:is>
      </x:c>
      <x:c r="AL371" s="81" t="n">
        <x:v>4</x:v>
      </x:c>
      <x:c r="AM371" s="81" t="inlineStr">
        <x:is>
          <x:t xml:space="preserve">ChatGPT research</x:t>
        </x:is>
      </x:c>
      <x:c r="AN371" s="81" t="inlineStr">
        <x:is>
          <x:t xml:space="preserve">2026-09-18</x:t>
        </x:is>
      </x:c>
      <x:c r="AO371" s="81" t="inlineStr">
        <x:is>
          <x:t xml:space="preserve">Day 4 full-scope audit of Zhuangzi Inner Chapters 1–7.</x:t>
        </x:is>
      </x:c>
    </x:row>
    <x:row r="372">
      <x:c r="A372" s="81" t="inlineStr">
        <x:is>
          <x:t xml:space="preserve">research.zhuangzi.day4.ch06.054</x:t>
        </x:is>
      </x:c>
      <x:c r="B372" s="81" t="inlineStr">
        <x:is>
          <x:t xml:space="preserve">Collected</x:t>
        </x:is>
      </x:c>
      <x:c r="C372" s="81" t="inlineStr">
        <x:is>
          <x:t xml:space="preserve">AI &amp; tương lai</x:t>
        </x:is>
      </x:c>
      <x:c r="D372" s="81" t="inlineStr">
        <x:is>
          <x:t xml:space="preserve">Day 4 / Zhuangzi Inner Chapters 1–7</x:t>
        </x:is>
      </x:c>
      <x:c r="E372" s="81" t="str"/>
      <x:c r="F372" s="81" t="inlineStr">
        <x:is>
          <x:t xml:space="preserve">Không phải mọi khó khăn đều có một thủ phạm đơn giản</x:t>
        </x:is>
      </x:c>
      <x:c r="G372" s="81" t="inlineStr">
        <x:is>
          <x:t xml:space="preserve">Uncertainty</x:t>
        </x:is>
      </x:c>
      <x:c r="H372" s="81" t="str"/>
      <x:c r="I372" s="81" t="str"/>
      <x:c r="J372" s="81" t="str"/>
      <x:c r="K372" s="81" t="inlineStr">
        <x:is>
          <x:t xml:space="preserve">Permit</x:t>
        </x:is>
      </x:c>
      <x:c r="L372" s="81" t="inlineStr">
        <x:is>
          <x:t xml:space="preserve">Recognize</x:t>
        </x:is>
      </x:c>
      <x:c r="M372" s="81" t="inlineStr">
        <x:is>
          <x:t xml:space="preserve">Trích đoạn triết học /寓言</x:t>
        </x:is>
      </x:c>
      <x:c r="N372" s="81" t="inlineStr">
        <x:is>
          <x:t xml:space="preserve">求其爲之者而不得也。</x:t>
        </x:is>
      </x:c>
      <x:c r="O372" s="81" t="inlineStr">
        <x:is>
          <x:t xml:space="preserve">Classical Chinese (文言文)</x:t>
        </x:is>
      </x:c>
      <x:c r="P372" s="81" t="inlineStr">
        <x:is>
          <x:t xml:space="preserve">Ta tìm một nguyên nhân đơn nhất cho cảnh ngộ này mà không tìm thấy.</x:t>
        </x:is>
      </x:c>
      <x:c r="Q372" s="81" t="inlineStr">
        <x:is>
          <x:t xml:space="preserve">Zhuangzi / 莊子 (Inner Chapters attribution)</x:t>
        </x:is>
      </x:c>
      <x:c r="R372" s="81" t="inlineStr">
        <x:is>
          <x:t xml:space="preserve">Daoist / China</x:t>
        </x:is>
      </x:c>
      <x:c r="S372" s="81" t="inlineStr">
        <x:is>
          <x:t xml:space="preserve">莊子 / Zhuangzi</x:t>
        </x:is>
      </x:c>
      <x:c r="T372" s="81" t="inlineStr">
        <x:is>
          <x:t xml:space="preserve">Inner Chapter 6 — 大宗師</x:t>
        </x:is>
      </x:c>
      <x:c r="U372" s="81" t="inlineStr">
        <x:is>
          <x:t xml:space="preserve">https://zh.wikisource.org/wiki/%E8%8E%8A%E5%AD%90/%E5%A4%A7%E5%AE%97%E5%B8%AB</x:t>
        </x:is>
      </x:c>
      <x:c r="V372" s="81" t="inlineStr">
        <x:is>
          <x:t xml:space="preserve">Primary text</x:t>
        </x:is>
      </x:c>
      <x:c r="W372" s="81" t="inlineStr">
        <x:is>
          <x:t xml:space="preserve">Working translation</x:t>
        </x:is>
      </x:c>
      <x:c r="X372" s="81" t="inlineStr">
        <x:is>
          <x:t xml:space="preserve">A - Primary source</x:t>
        </x:is>
      </x:c>
      <x:c r="Y372" s="81" t="inlineStr">
        <x:is>
          <x:t xml:space="preserve">Original Chinese checked against Chinese Wikisource; chapter structure cross-checked with Chinese Text Project. Vietnamese is Selflo working translation, not a published translation.</x:t>
        </x:is>
      </x:c>
      <x:c r="Z372" s="81" t="inlineStr">
        <x:is>
          <x:t xml:space="preserve">Public domain / likely</x:t>
        </x:is>
      </x:c>
      <x:c r="AA372" s="81" t="inlineStr">
        <x:is>
          <x:t xml:space="preserve">Ancient source text is public domain; verify edition/attribution and jurisdiction before commercial publication.</x:t>
        </x:is>
      </x:c>
      <x:c r="AB372" s="81" t="inlineStr">
        <x:is>
          <x:t xml:space="preserve">High</x:t>
        </x:is>
      </x:c>
      <x:c r="AC372" s="81" t="inlineStr">
        <x:is>
          <x:t xml:space="preserve">From Zisang poverty story.</x:t>
        </x:is>
      </x:c>
      <x:c r="AD372" s="81" t="inlineStr">
        <x:is>
          <x:t xml:space="preserve">Needs editorial review</x:t>
        </x:is>
      </x:c>
      <x:c r="AE372" s="81" t="inlineStr">
        <x:is>
          <x:t xml:space="preserve">Needs semantic dedupe review</x:t>
        </x:is>
      </x:c>
      <x:c r="AF372" s="81" t="str"/>
      <x:c r="AG372" s="81" t="str"/>
      <x:c r="AH372" s="81" t="inlineStr">
        <x:is>
          <x:t xml:space="preserve">No</x:t>
        </x:is>
      </x:c>
      <x:c r="AI372" s="81" t="inlineStr">
        <x:is>
          <x:t xml:space="preserve">Not reviewed</x:t>
        </x:is>
      </x:c>
      <x:c r="AJ372" s="81" t="inlineStr">
        <x:is>
          <x:t xml:space="preserve">Research only</x:t>
        </x:is>
      </x:c>
      <x:c r="AK372" s="81" t="inlineStr">
        <x:is>
          <x:t xml:space="preserve">Research Pool</x:t>
        </x:is>
      </x:c>
      <x:c r="AL372" s="81" t="n">
        <x:v>4</x:v>
      </x:c>
      <x:c r="AM372" s="81" t="inlineStr">
        <x:is>
          <x:t xml:space="preserve">ChatGPT research</x:t>
        </x:is>
      </x:c>
      <x:c r="AN372" s="81" t="inlineStr">
        <x:is>
          <x:t xml:space="preserve">2026-09-18</x:t>
        </x:is>
      </x:c>
      <x:c r="AO372" s="81" t="inlineStr">
        <x:is>
          <x:t xml:space="preserve">Day 4 full-scope audit of Zhuangzi Inner Chapters 1–7.</x:t>
        </x:is>
      </x:c>
    </x:row>
    <x:row r="373">
      <x:c r="A373" s="81" t="inlineStr">
        <x:is>
          <x:t xml:space="preserve">research.zhuangzi.day4.ch07.055</x:t>
        </x:is>
      </x:c>
      <x:c r="B373" s="81" t="inlineStr">
        <x:is>
          <x:t xml:space="preserve">Collected</x:t>
        </x:is>
      </x:c>
      <x:c r="C373" s="81" t="inlineStr">
        <x:is>
          <x:t xml:space="preserve">AI &amp; tương lai</x:t>
        </x:is>
      </x:c>
      <x:c r="D373" s="81" t="inlineStr">
        <x:is>
          <x:t xml:space="preserve">Day 4 / Zhuangzi Inner Chapters 1–7</x:t>
        </x:is>
      </x:c>
      <x:c r="E373" s="81" t="str"/>
      <x:c r="F373" s="81" t="inlineStr">
        <x:is>
          <x:t xml:space="preserve">Không biết có thể là câu trả lời trung thực</x:t>
        </x:is>
      </x:c>
      <x:c r="G373" s="81" t="inlineStr">
        <x:is>
          <x:t xml:space="preserve">Judgment</x:t>
        </x:is>
      </x:c>
      <x:c r="H373" s="81" t="str"/>
      <x:c r="I373" s="81" t="str"/>
      <x:c r="J373" s="81" t="str"/>
      <x:c r="K373" s="81" t="inlineStr">
        <x:is>
          <x:t xml:space="preserve">Permit</x:t>
        </x:is>
      </x:c>
      <x:c r="L373" s="81" t="inlineStr">
        <x:is>
          <x:t xml:space="preserve">Recognize</x:t>
        </x:is>
      </x:c>
      <x:c r="M373" s="81" t="inlineStr">
        <x:is>
          <x:t xml:space="preserve">Trích đoạn triết học /寓言</x:t>
        </x:is>
      </x:c>
      <x:c r="N373" s="81" t="inlineStr">
        <x:is>
          <x:t xml:space="preserve">四問而四不知。</x:t>
        </x:is>
      </x:c>
      <x:c r="O373" s="81" t="inlineStr">
        <x:is>
          <x:t xml:space="preserve">Classical Chinese (文言文)</x:t>
        </x:is>
      </x:c>
      <x:c r="P373" s="81" t="inlineStr">
        <x:is>
          <x:t xml:space="preserve">Bốn lần hỏi, bốn lần đáp: không biết.</x:t>
        </x:is>
      </x:c>
      <x:c r="Q373" s="81" t="inlineStr">
        <x:is>
          <x:t xml:space="preserve">Zhuangzi / 莊子 (Inner Chapters attribution)</x:t>
        </x:is>
      </x:c>
      <x:c r="R373" s="81" t="inlineStr">
        <x:is>
          <x:t xml:space="preserve">Daoist / China</x:t>
        </x:is>
      </x:c>
      <x:c r="S373" s="81" t="inlineStr">
        <x:is>
          <x:t xml:space="preserve">莊子 / Zhuangzi</x:t>
        </x:is>
      </x:c>
      <x:c r="T373" s="81" t="inlineStr">
        <x:is>
          <x:t xml:space="preserve">Inner Chapter 7 — 應帝王</x:t>
        </x:is>
      </x:c>
      <x:c r="U373" s="81" t="inlineStr">
        <x:is>
          <x:t xml:space="preserve">https://zh.wikisource.org/wiki/%E8%8E%8A%E5%AD%90/%E6%87%89%E5%B8%9D%E7%8E%8B</x:t>
        </x:is>
      </x:c>
      <x:c r="V373" s="81" t="inlineStr">
        <x:is>
          <x:t xml:space="preserve">Primary text</x:t>
        </x:is>
      </x:c>
      <x:c r="W373" s="81" t="inlineStr">
        <x:is>
          <x:t xml:space="preserve">Working translation</x:t>
        </x:is>
      </x:c>
      <x:c r="X373" s="81" t="inlineStr">
        <x:is>
          <x:t xml:space="preserve">A - Primary source</x:t>
        </x:is>
      </x:c>
      <x:c r="Y373" s="81" t="inlineStr">
        <x:is>
          <x:t xml:space="preserve">Original Chinese checked against Chinese Wikisource; chapter structure cross-checked with Chinese Text Project. Vietnamese is Selflo working translation, not a published translation.</x:t>
        </x:is>
      </x:c>
      <x:c r="Z373" s="81" t="inlineStr">
        <x:is>
          <x:t xml:space="preserve">Public domain / likely</x:t>
        </x:is>
      </x:c>
      <x:c r="AA373" s="81" t="inlineStr">
        <x:is>
          <x:t xml:space="preserve">Ancient source text is public domain; verify edition/attribution and jurisdiction before commercial publication.</x:t>
        </x:is>
      </x:c>
      <x:c r="AB373" s="81" t="inlineStr">
        <x:is>
          <x:t xml:space="preserve">High</x:t>
        </x:is>
      </x:c>
      <x:c r="AC373" s="81" t="inlineStr">
        <x:is>
          <x:t xml:space="preserve">Core.</x:t>
        </x:is>
      </x:c>
      <x:c r="AD373" s="81" t="inlineStr">
        <x:is>
          <x:t xml:space="preserve">Needs editorial review</x:t>
        </x:is>
      </x:c>
      <x:c r="AE373" s="81" t="inlineStr">
        <x:is>
          <x:t xml:space="preserve">Needs semantic dedupe review</x:t>
        </x:is>
      </x:c>
      <x:c r="AF373" s="81" t="str"/>
      <x:c r="AG373" s="81" t="str"/>
      <x:c r="AH373" s="81" t="inlineStr">
        <x:is>
          <x:t xml:space="preserve">No</x:t>
        </x:is>
      </x:c>
      <x:c r="AI373" s="81" t="inlineStr">
        <x:is>
          <x:t xml:space="preserve">Not reviewed</x:t>
        </x:is>
      </x:c>
      <x:c r="AJ373" s="81" t="inlineStr">
        <x:is>
          <x:t xml:space="preserve">Research only</x:t>
        </x:is>
      </x:c>
      <x:c r="AK373" s="81" t="inlineStr">
        <x:is>
          <x:t xml:space="preserve">Research Pool</x:t>
        </x:is>
      </x:c>
      <x:c r="AL373" s="81" t="n">
        <x:v>4</x:v>
      </x:c>
      <x:c r="AM373" s="81" t="inlineStr">
        <x:is>
          <x:t xml:space="preserve">ChatGPT research</x:t>
        </x:is>
      </x:c>
      <x:c r="AN373" s="81" t="inlineStr">
        <x:is>
          <x:t xml:space="preserve">2026-09-18</x:t>
        </x:is>
      </x:c>
      <x:c r="AO373" s="81" t="inlineStr">
        <x:is>
          <x:t xml:space="preserve">Day 4 full-scope audit of Zhuangzi Inner Chapters 1–7.</x:t>
        </x:is>
      </x:c>
    </x:row>
    <x:row r="374">
      <x:c r="A374" s="81" t="inlineStr">
        <x:is>
          <x:t xml:space="preserve">research.zhuangzi.day4.ch07.056</x:t>
        </x:is>
      </x:c>
      <x:c r="B374" s="81" t="inlineStr">
        <x:is>
          <x:t xml:space="preserve">Collected</x:t>
        </x:is>
      </x:c>
      <x:c r="C374" s="81" t="inlineStr">
        <x:is>
          <x:t xml:space="preserve">AI &amp; tương lai</x:t>
        </x:is>
      </x:c>
      <x:c r="D374" s="81" t="inlineStr">
        <x:is>
          <x:t xml:space="preserve">Day 4 / Zhuangzi Inner Chapters 1–7</x:t>
        </x:is>
      </x:c>
      <x:c r="E374" s="81" t="str"/>
      <x:c r="F374" s="81" t="inlineStr">
        <x:is>
          <x:t xml:space="preserve">Quan sát trước khi áp mô hình của mình</x:t>
        </x:is>
      </x:c>
      <x:c r="G374" s="81" t="inlineStr">
        <x:is>
          <x:t xml:space="preserve">Judgment</x:t>
        </x:is>
      </x:c>
      <x:c r="H374" s="81" t="str"/>
      <x:c r="I374" s="81" t="str"/>
      <x:c r="J374" s="81" t="str"/>
      <x:c r="K374" s="81" t="inlineStr">
        <x:is>
          <x:t xml:space="preserve">Recognize</x:t>
        </x:is>
      </x:c>
      <x:c r="L374" s="81" t="inlineStr">
        <x:is>
          <x:t xml:space="preserve">Distinguish</x:t>
        </x:is>
      </x:c>
      <x:c r="M374" s="81" t="inlineStr">
        <x:is>
          <x:t xml:space="preserve">Trích đoạn triết học /寓言</x:t>
        </x:is>
      </x:c>
      <x:c r="N374" s="81" t="inlineStr">
        <x:is>
          <x:t xml:space="preserve">順物自然而无容私焉。</x:t>
        </x:is>
      </x:c>
      <x:c r="O374" s="81" t="inlineStr">
        <x:is>
          <x:t xml:space="preserve">Classical Chinese (文言文)</x:t>
        </x:is>
      </x:c>
      <x:c r="P374" s="81" t="inlineStr">
        <x:is>
          <x:t xml:space="preserve">Thuận theo điều đang là, bớt nhét ý riêng của mình vào đó.</x:t>
        </x:is>
      </x:c>
      <x:c r="Q374" s="81" t="inlineStr">
        <x:is>
          <x:t xml:space="preserve">Zhuangzi / 莊子 (Inner Chapters attribution)</x:t>
        </x:is>
      </x:c>
      <x:c r="R374" s="81" t="inlineStr">
        <x:is>
          <x:t xml:space="preserve">Daoist / China</x:t>
        </x:is>
      </x:c>
      <x:c r="S374" s="81" t="inlineStr">
        <x:is>
          <x:t xml:space="preserve">莊子 / Zhuangzi</x:t>
        </x:is>
      </x:c>
      <x:c r="T374" s="81" t="inlineStr">
        <x:is>
          <x:t xml:space="preserve">Inner Chapter 7 — 應帝王</x:t>
        </x:is>
      </x:c>
      <x:c r="U374" s="81" t="inlineStr">
        <x:is>
          <x:t xml:space="preserve">https://zh.wikisource.org/wiki/%E8%8E%8A%E5%AD%90/%E6%87%89%E5%B8%9D%E7%8E%8B</x:t>
        </x:is>
      </x:c>
      <x:c r="V374" s="81" t="inlineStr">
        <x:is>
          <x:t xml:space="preserve">Primary text</x:t>
        </x:is>
      </x:c>
      <x:c r="W374" s="81" t="inlineStr">
        <x:is>
          <x:t xml:space="preserve">Working translation</x:t>
        </x:is>
      </x:c>
      <x:c r="X374" s="81" t="inlineStr">
        <x:is>
          <x:t xml:space="preserve">A - Primary source</x:t>
        </x:is>
      </x:c>
      <x:c r="Y374" s="81" t="inlineStr">
        <x:is>
          <x:t xml:space="preserve">Original Chinese checked against Chinese Wikisource; chapter structure cross-checked with Chinese Text Project. Vietnamese is Selflo working translation, not a published translation.</x:t>
        </x:is>
      </x:c>
      <x:c r="Z374" s="81" t="inlineStr">
        <x:is>
          <x:t xml:space="preserve">Public domain / likely</x:t>
        </x:is>
      </x:c>
      <x:c r="AA374" s="81" t="inlineStr">
        <x:is>
          <x:t xml:space="preserve">Ancient source text is public domain; verify edition/attribution and jurisdiction before commercial publication.</x:t>
        </x:is>
      </x:c>
      <x:c r="AB374" s="81" t="inlineStr">
        <x:is>
          <x:t xml:space="preserve">High</x:t>
        </x:is>
      </x:c>
      <x:c r="AC374" s="81" t="inlineStr">
        <x:is>
          <x:t xml:space="preserve">AI/product design.</x:t>
        </x:is>
      </x:c>
      <x:c r="AD374" s="81" t="inlineStr">
        <x:is>
          <x:t xml:space="preserve">Needs editorial review</x:t>
        </x:is>
      </x:c>
      <x:c r="AE374" s="81" t="inlineStr">
        <x:is>
          <x:t xml:space="preserve">Needs semantic dedupe review</x:t>
        </x:is>
      </x:c>
      <x:c r="AF374" s="81" t="str"/>
      <x:c r="AG374" s="81" t="str"/>
      <x:c r="AH374" s="81" t="inlineStr">
        <x:is>
          <x:t xml:space="preserve">No</x:t>
        </x:is>
      </x:c>
      <x:c r="AI374" s="81" t="inlineStr">
        <x:is>
          <x:t xml:space="preserve">Not reviewed</x:t>
        </x:is>
      </x:c>
      <x:c r="AJ374" s="81" t="inlineStr">
        <x:is>
          <x:t xml:space="preserve">Research only</x:t>
        </x:is>
      </x:c>
      <x:c r="AK374" s="81" t="inlineStr">
        <x:is>
          <x:t xml:space="preserve">Research Pool</x:t>
        </x:is>
      </x:c>
      <x:c r="AL374" s="81" t="n">
        <x:v>4</x:v>
      </x:c>
      <x:c r="AM374" s="81" t="inlineStr">
        <x:is>
          <x:t xml:space="preserve">ChatGPT research</x:t>
        </x:is>
      </x:c>
      <x:c r="AN374" s="81" t="inlineStr">
        <x:is>
          <x:t xml:space="preserve">2026-09-18</x:t>
        </x:is>
      </x:c>
      <x:c r="AO374" s="81" t="inlineStr">
        <x:is>
          <x:t xml:space="preserve">Day 4 full-scope audit of Zhuangzi Inner Chapters 1–7.</x:t>
        </x:is>
      </x:c>
    </x:row>
    <x:row r="375">
      <x:c r="A375" s="81" t="inlineStr">
        <x:is>
          <x:t xml:space="preserve">research.zhuangzi.day4.ch07.057</x:t>
        </x:is>
      </x:c>
      <x:c r="B375" s="81" t="inlineStr">
        <x:is>
          <x:t xml:space="preserve">Collected</x:t>
        </x:is>
      </x:c>
      <x:c r="C375" s="81" t="inlineStr">
        <x:is>
          <x:t xml:space="preserve">Công việc &amp; mục đích</x:t>
        </x:is>
      </x:c>
      <x:c r="D375" s="81" t="inlineStr">
        <x:is>
          <x:t xml:space="preserve">Day 4 / Zhuangzi Inner Chapters 1–7</x:t>
        </x:is>
      </x:c>
      <x:c r="E375" s="81" t="str"/>
      <x:c r="F375" s="81" t="inlineStr">
        <x:is>
          <x:t xml:space="preserve">Đóng góp không cần trở thành toàn bộ bản sắc</x:t>
        </x:is>
      </x:c>
      <x:c r="G375" s="81" t="inlineStr">
        <x:is>
          <x:t xml:space="preserve">Achievement</x:t>
        </x:is>
      </x:c>
      <x:c r="H375" s="81" t="str"/>
      <x:c r="I375" s="81" t="str"/>
      <x:c r="J375" s="81" t="str"/>
      <x:c r="K375" s="81" t="inlineStr">
        <x:is>
          <x:t xml:space="preserve">Distinguish</x:t>
        </x:is>
      </x:c>
      <x:c r="L375" s="81" t="inlineStr">
        <x:is>
          <x:t xml:space="preserve">Recognize</x:t>
        </x:is>
      </x:c>
      <x:c r="M375" s="81" t="inlineStr">
        <x:is>
          <x:t xml:space="preserve">Trích đoạn triết học /寓言</x:t>
        </x:is>
      </x:c>
      <x:c r="N375" s="81" t="inlineStr">
        <x:is>
          <x:t xml:space="preserve">功蓋天下而似不自己。</x:t>
        </x:is>
      </x:c>
      <x:c r="O375" s="81" t="inlineStr">
        <x:is>
          <x:t xml:space="preserve">Classical Chinese (文言文)</x:t>
        </x:is>
      </x:c>
      <x:c r="P375" s="81" t="inlineStr">
        <x:is>
          <x:t xml:space="preserve">Làm được việc lớn mà không biến công lao thành cái tôi.</x:t>
        </x:is>
      </x:c>
      <x:c r="Q375" s="81" t="inlineStr">
        <x:is>
          <x:t xml:space="preserve">Zhuangzi / 莊子 (Inner Chapters attribution)</x:t>
        </x:is>
      </x:c>
      <x:c r="R375" s="81" t="inlineStr">
        <x:is>
          <x:t xml:space="preserve">Daoist / China</x:t>
        </x:is>
      </x:c>
      <x:c r="S375" s="81" t="inlineStr">
        <x:is>
          <x:t xml:space="preserve">莊子 / Zhuangzi</x:t>
        </x:is>
      </x:c>
      <x:c r="T375" s="81" t="inlineStr">
        <x:is>
          <x:t xml:space="preserve">Inner Chapter 7 — 應帝王</x:t>
        </x:is>
      </x:c>
      <x:c r="U375" s="81" t="inlineStr">
        <x:is>
          <x:t xml:space="preserve">https://zh.wikisource.org/wiki/%E8%8E%8A%E5%AD%90/%E6%87%89%E5%B8%9D%E7%8E%8B</x:t>
        </x:is>
      </x:c>
      <x:c r="V375" s="81" t="inlineStr">
        <x:is>
          <x:t xml:space="preserve">Primary text</x:t>
        </x:is>
      </x:c>
      <x:c r="W375" s="81" t="inlineStr">
        <x:is>
          <x:t xml:space="preserve">Working translation</x:t>
        </x:is>
      </x:c>
      <x:c r="X375" s="81" t="inlineStr">
        <x:is>
          <x:t xml:space="preserve">A - Primary source</x:t>
        </x:is>
      </x:c>
      <x:c r="Y375" s="81" t="inlineStr">
        <x:is>
          <x:t xml:space="preserve">Original Chinese checked against Chinese Wikisource; chapter structure cross-checked with Chinese Text Project. Vietnamese is Selflo working translation, not a published translation.</x:t>
        </x:is>
      </x:c>
      <x:c r="Z375" s="81" t="inlineStr">
        <x:is>
          <x:t xml:space="preserve">Public domain / likely</x:t>
        </x:is>
      </x:c>
      <x:c r="AA375" s="81" t="inlineStr">
        <x:is>
          <x:t xml:space="preserve">Ancient source text is public domain; verify edition/attribution and jurisdiction before commercial publication.</x:t>
        </x:is>
      </x:c>
      <x:c r="AB375" s="81" t="inlineStr">
        <x:is>
          <x:t xml:space="preserve">High</x:t>
        </x:is>
      </x:c>
      <x:c r="AC375" s="81" t="inlineStr">
        <x:is>
          <x:t xml:space="preserve">Strong.</x:t>
        </x:is>
      </x:c>
      <x:c r="AD375" s="81" t="inlineStr">
        <x:is>
          <x:t xml:space="preserve">Needs editorial review</x:t>
        </x:is>
      </x:c>
      <x:c r="AE375" s="81" t="inlineStr">
        <x:is>
          <x:t xml:space="preserve">Needs semantic dedupe review</x:t>
        </x:is>
      </x:c>
      <x:c r="AF375" s="81" t="str"/>
      <x:c r="AG375" s="81" t="str"/>
      <x:c r="AH375" s="81" t="inlineStr">
        <x:is>
          <x:t xml:space="preserve">No</x:t>
        </x:is>
      </x:c>
      <x:c r="AI375" s="81" t="inlineStr">
        <x:is>
          <x:t xml:space="preserve">Not reviewed</x:t>
        </x:is>
      </x:c>
      <x:c r="AJ375" s="81" t="inlineStr">
        <x:is>
          <x:t xml:space="preserve">Research only</x:t>
        </x:is>
      </x:c>
      <x:c r="AK375" s="81" t="inlineStr">
        <x:is>
          <x:t xml:space="preserve">Research Pool</x:t>
        </x:is>
      </x:c>
      <x:c r="AL375" s="81" t="n">
        <x:v>4</x:v>
      </x:c>
      <x:c r="AM375" s="81" t="inlineStr">
        <x:is>
          <x:t xml:space="preserve">ChatGPT research</x:t>
        </x:is>
      </x:c>
      <x:c r="AN375" s="81" t="inlineStr">
        <x:is>
          <x:t xml:space="preserve">2026-09-18</x:t>
        </x:is>
      </x:c>
      <x:c r="AO375" s="81" t="inlineStr">
        <x:is>
          <x:t xml:space="preserve">Day 4 full-scope audit of Zhuangzi Inner Chapters 1–7.</x:t>
        </x:is>
      </x:c>
    </x:row>
    <x:row r="376">
      <x:c r="A376" s="81" t="inlineStr">
        <x:is>
          <x:t xml:space="preserve">research.zhuangzi.day4.ch07.058</x:t>
        </x:is>
      </x:c>
      <x:c r="B376" s="81" t="inlineStr">
        <x:is>
          <x:t xml:space="preserve">Collected</x:t>
        </x:is>
      </x:c>
      <x:c r="C376" s="81" t="inlineStr">
        <x:is>
          <x:t xml:space="preserve">Nội tâm &amp; hiểu mình</x:t>
        </x:is>
      </x:c>
      <x:c r="D376" s="81" t="inlineStr">
        <x:is>
          <x:t xml:space="preserve">Day 4 / Zhuangzi Inner Chapters 1–7</x:t>
        </x:is>
      </x:c>
      <x:c r="E376" s="81" t="str"/>
      <x:c r="F376" s="81" t="inlineStr">
        <x:is>
          <x:t xml:space="preserve">Hỗ trợ không quyết định niềm vui thay người khác</x:t>
        </x:is>
      </x:c>
      <x:c r="G376" s="81" t="inlineStr">
        <x:is>
          <x:t xml:space="preserve">Agency</x:t>
        </x:is>
      </x:c>
      <x:c r="H376" s="81" t="str"/>
      <x:c r="I376" s="81" t="str"/>
      <x:c r="J376" s="81" t="str"/>
      <x:c r="K376" s="81" t="inlineStr">
        <x:is>
          <x:t xml:space="preserve">Return agency</x:t>
        </x:is>
      </x:c>
      <x:c r="L376" s="81" t="inlineStr">
        <x:is>
          <x:t xml:space="preserve">Recognize</x:t>
        </x:is>
      </x:c>
      <x:c r="M376" s="81" t="inlineStr">
        <x:is>
          <x:t xml:space="preserve">Trích đoạn triết học /寓言</x:t>
        </x:is>
      </x:c>
      <x:c r="N376" s="81" t="inlineStr">
        <x:is>
          <x:t xml:space="preserve">使物自喜。</x:t>
        </x:is>
      </x:c>
      <x:c r="O376" s="81" t="inlineStr">
        <x:is>
          <x:t xml:space="preserve">Classical Chinese (文言文)</x:t>
        </x:is>
      </x:c>
      <x:c r="P376" s="81" t="inlineStr">
        <x:is>
          <x:t xml:space="preserve">Để mỗi sự vật có chỗ tự tìm được niềm vui của nó.</x:t>
        </x:is>
      </x:c>
      <x:c r="Q376" s="81" t="inlineStr">
        <x:is>
          <x:t xml:space="preserve">Zhuangzi / 莊子 (Inner Chapters attribution)</x:t>
        </x:is>
      </x:c>
      <x:c r="R376" s="81" t="inlineStr">
        <x:is>
          <x:t xml:space="preserve">Daoist / China</x:t>
        </x:is>
      </x:c>
      <x:c r="S376" s="81" t="inlineStr">
        <x:is>
          <x:t xml:space="preserve">莊子 / Zhuangzi</x:t>
        </x:is>
      </x:c>
      <x:c r="T376" s="81" t="inlineStr">
        <x:is>
          <x:t xml:space="preserve">Inner Chapter 7 — 應帝王</x:t>
        </x:is>
      </x:c>
      <x:c r="U376" s="81" t="inlineStr">
        <x:is>
          <x:t xml:space="preserve">https://zh.wikisource.org/wiki/%E8%8E%8A%E5%AD%90/%E6%87%89%E5%B8%9D%E7%8E%8B</x:t>
        </x:is>
      </x:c>
      <x:c r="V376" s="81" t="inlineStr">
        <x:is>
          <x:t xml:space="preserve">Primary text</x:t>
        </x:is>
      </x:c>
      <x:c r="W376" s="81" t="inlineStr">
        <x:is>
          <x:t xml:space="preserve">Working translation</x:t>
        </x:is>
      </x:c>
      <x:c r="X376" s="81" t="inlineStr">
        <x:is>
          <x:t xml:space="preserve">A - Primary source</x:t>
        </x:is>
      </x:c>
      <x:c r="Y376" s="81" t="inlineStr">
        <x:is>
          <x:t xml:space="preserve">Original Chinese checked against Chinese Wikisource; chapter structure cross-checked with Chinese Text Project. Vietnamese is Selflo working translation, not a published translation.</x:t>
        </x:is>
      </x:c>
      <x:c r="Z376" s="81" t="inlineStr">
        <x:is>
          <x:t xml:space="preserve">Public domain / likely</x:t>
        </x:is>
      </x:c>
      <x:c r="AA376" s="81" t="inlineStr">
        <x:is>
          <x:t xml:space="preserve">Ancient source text is public domain; verify edition/attribution and jurisdiction before commercial publication.</x:t>
        </x:is>
      </x:c>
      <x:c r="AB376" s="81" t="inlineStr">
        <x:is>
          <x:t xml:space="preserve">High</x:t>
        </x:is>
      </x:c>
      <x:c r="AC376" s="81" t="inlineStr">
        <x:is>
          <x:t xml:space="preserve">Core Selflo.</x:t>
        </x:is>
      </x:c>
      <x:c r="AD376" s="81" t="inlineStr">
        <x:is>
          <x:t xml:space="preserve">Needs editorial review</x:t>
        </x:is>
      </x:c>
      <x:c r="AE376" s="81" t="inlineStr">
        <x:is>
          <x:t xml:space="preserve">Needs semantic dedupe review</x:t>
        </x:is>
      </x:c>
      <x:c r="AF376" s="81" t="str"/>
      <x:c r="AG376" s="81" t="str"/>
      <x:c r="AH376" s="81" t="inlineStr">
        <x:is>
          <x:t xml:space="preserve">No</x:t>
        </x:is>
      </x:c>
      <x:c r="AI376" s="81" t="inlineStr">
        <x:is>
          <x:t xml:space="preserve">Not reviewed</x:t>
        </x:is>
      </x:c>
      <x:c r="AJ376" s="81" t="inlineStr">
        <x:is>
          <x:t xml:space="preserve">Research only</x:t>
        </x:is>
      </x:c>
      <x:c r="AK376" s="81" t="inlineStr">
        <x:is>
          <x:t xml:space="preserve">Research Pool</x:t>
        </x:is>
      </x:c>
      <x:c r="AL376" s="81" t="n">
        <x:v>4</x:v>
      </x:c>
      <x:c r="AM376" s="81" t="inlineStr">
        <x:is>
          <x:t xml:space="preserve">ChatGPT research</x:t>
        </x:is>
      </x:c>
      <x:c r="AN376" s="81" t="inlineStr">
        <x:is>
          <x:t xml:space="preserve">2026-09-18</x:t>
        </x:is>
      </x:c>
      <x:c r="AO376" s="81" t="inlineStr">
        <x:is>
          <x:t xml:space="preserve">Day 4 full-scope audit of Zhuangzi Inner Chapters 1–7.</x:t>
        </x:is>
      </x:c>
    </x:row>
    <x:row r="377">
      <x:c r="A377" s="81" t="inlineStr">
        <x:is>
          <x:t xml:space="preserve">research.zhuangzi.day4.ch07.059</x:t>
        </x:is>
      </x:c>
      <x:c r="B377" s="81" t="inlineStr">
        <x:is>
          <x:t xml:space="preserve">Collected</x:t>
        </x:is>
      </x:c>
      <x:c r="C377" s="81" t="inlineStr">
        <x:is>
          <x:t xml:space="preserve">AI &amp; tương lai</x:t>
        </x:is>
      </x:c>
      <x:c r="D377" s="81" t="inlineStr">
        <x:is>
          <x:t xml:space="preserve">Day 4 / Zhuangzi Inner Chapters 1–7</x:t>
        </x:is>
      </x:c>
      <x:c r="E377" s="81" t="str"/>
      <x:c r="F377" s="81" t="inlineStr">
        <x:is>
          <x:t xml:space="preserve">Không cần giữ mọi trải nghiệm lại để kiểm soát</x:t>
        </x:is>
      </x:c>
      <x:c r="G377" s="81" t="inlineStr">
        <x:is>
          <x:t xml:space="preserve">Attention</x:t>
        </x:is>
      </x:c>
      <x:c r="H377" s="81" t="str"/>
      <x:c r="I377" s="81" t="str"/>
      <x:c r="J377" s="81" t="str"/>
      <x:c r="K377" s="81" t="inlineStr">
        <x:is>
          <x:t xml:space="preserve">Reframe</x:t>
        </x:is>
      </x:c>
      <x:c r="L377" s="81" t="inlineStr">
        <x:is>
          <x:t xml:space="preserve">Recognize</x:t>
        </x:is>
      </x:c>
      <x:c r="M377" s="81" t="inlineStr">
        <x:is>
          <x:t xml:space="preserve">Trích đoạn triết học /寓言</x:t>
        </x:is>
      </x:c>
      <x:c r="N377" s="81" t="inlineStr">
        <x:is>
          <x:t xml:space="preserve">至人之用心若鏡，不將不迎，應而不藏。</x:t>
        </x:is>
      </x:c>
      <x:c r="O377" s="81" t="inlineStr">
        <x:is>
          <x:t xml:space="preserve">Classical Chinese (文言文)</x:t>
        </x:is>
      </x:c>
      <x:c r="P377" s="81" t="inlineStr">
        <x:is>
          <x:t xml:space="preserve">Tâm như gương: không kéo điều chưa đến, không giữ điều đã qua; gặp thì phản chiếu.</x:t>
        </x:is>
      </x:c>
      <x:c r="Q377" s="81" t="inlineStr">
        <x:is>
          <x:t xml:space="preserve">Zhuangzi / 莊子 (Inner Chapters attribution)</x:t>
        </x:is>
      </x:c>
      <x:c r="R377" s="81" t="inlineStr">
        <x:is>
          <x:t xml:space="preserve">Daoist / China</x:t>
        </x:is>
      </x:c>
      <x:c r="S377" s="81" t="inlineStr">
        <x:is>
          <x:t xml:space="preserve">莊子 / Zhuangzi</x:t>
        </x:is>
      </x:c>
      <x:c r="T377" s="81" t="inlineStr">
        <x:is>
          <x:t xml:space="preserve">Inner Chapter 7 — 應帝王</x:t>
        </x:is>
      </x:c>
      <x:c r="U377" s="81" t="inlineStr">
        <x:is>
          <x:t xml:space="preserve">https://zh.wikisource.org/wiki/%E8%8E%8A%E5%AD%90/%E6%87%89%E5%B8%9D%E7%8E%8B</x:t>
        </x:is>
      </x:c>
      <x:c r="V377" s="81" t="inlineStr">
        <x:is>
          <x:t xml:space="preserve">Primary text</x:t>
        </x:is>
      </x:c>
      <x:c r="W377" s="81" t="inlineStr">
        <x:is>
          <x:t xml:space="preserve">Working translation</x:t>
        </x:is>
      </x:c>
      <x:c r="X377" s="81" t="inlineStr">
        <x:is>
          <x:t xml:space="preserve">A - Primary source</x:t>
        </x:is>
      </x:c>
      <x:c r="Y377" s="81" t="inlineStr">
        <x:is>
          <x:t xml:space="preserve">Original Chinese checked against Chinese Wikisource; chapter structure cross-checked with Chinese Text Project. Vietnamese is Selflo working translation, not a published translation.</x:t>
        </x:is>
      </x:c>
      <x:c r="Z377" s="81" t="inlineStr">
        <x:is>
          <x:t xml:space="preserve">Public domain / likely</x:t>
        </x:is>
      </x:c>
      <x:c r="AA377" s="81" t="inlineStr">
        <x:is>
          <x:t xml:space="preserve">Ancient source text is public domain; verify edition/attribution and jurisdiction before commercial publication.</x:t>
        </x:is>
      </x:c>
      <x:c r="AB377" s="81" t="inlineStr">
        <x:is>
          <x:t xml:space="preserve">High</x:t>
        </x:is>
      </x:c>
      <x:c r="AC377" s="81" t="inlineStr">
        <x:is>
          <x:t xml:space="preserve">Strong; not mental-health promise.</x:t>
        </x:is>
      </x:c>
      <x:c r="AD377" s="81" t="inlineStr">
        <x:is>
          <x:t xml:space="preserve">Needs editorial review</x:t>
        </x:is>
      </x:c>
      <x:c r="AE377" s="81" t="inlineStr">
        <x:is>
          <x:t xml:space="preserve">Needs semantic dedupe review</x:t>
        </x:is>
      </x:c>
      <x:c r="AF377" s="81" t="str"/>
      <x:c r="AG377" s="81" t="str"/>
      <x:c r="AH377" s="81" t="inlineStr">
        <x:is>
          <x:t xml:space="preserve">No</x:t>
        </x:is>
      </x:c>
      <x:c r="AI377" s="81" t="inlineStr">
        <x:is>
          <x:t xml:space="preserve">Not reviewed</x:t>
        </x:is>
      </x:c>
      <x:c r="AJ377" s="81" t="inlineStr">
        <x:is>
          <x:t xml:space="preserve">Research only</x:t>
        </x:is>
      </x:c>
      <x:c r="AK377" s="81" t="inlineStr">
        <x:is>
          <x:t xml:space="preserve">Research Pool</x:t>
        </x:is>
      </x:c>
      <x:c r="AL377" s="81" t="n">
        <x:v>4</x:v>
      </x:c>
      <x:c r="AM377" s="81" t="inlineStr">
        <x:is>
          <x:t xml:space="preserve">ChatGPT research</x:t>
        </x:is>
      </x:c>
      <x:c r="AN377" s="81" t="inlineStr">
        <x:is>
          <x:t xml:space="preserve">2026-09-18</x:t>
        </x:is>
      </x:c>
      <x:c r="AO377" s="81" t="inlineStr">
        <x:is>
          <x:t xml:space="preserve">Day 4 full-scope audit of Zhuangzi Inner Chapters 1–7.</x:t>
        </x:is>
      </x:c>
    </x:row>
    <x:row r="378">
      <x:c r="A378" s="81" t="inlineStr">
        <x:is>
          <x:t xml:space="preserve">research.zhuangzi.day4.ch07.060</x:t>
        </x:is>
      </x:c>
      <x:c r="B378" s="81" t="inlineStr">
        <x:is>
          <x:t xml:space="preserve">Collected</x:t>
        </x:is>
      </x:c>
      <x:c r="C378" s="81" t="inlineStr">
        <x:is>
          <x:t xml:space="preserve">Nội tâm &amp; hiểu mình</x:t>
        </x:is>
      </x:c>
      <x:c r="D378" s="81" t="inlineStr">
        <x:is>
          <x:t xml:space="preserve">Day 4 / Zhuangzi Inner Chapters 1–7</x:t>
        </x:is>
      </x:c>
      <x:c r="E378" s="81" t="str"/>
      <x:c r="F378" s="81" t="inlineStr">
        <x:is>
          <x:t xml:space="preserve">Cải thiện theo chuẩn của mình có thể phá điều vốn đang sống theo cách khác</x:t>
        </x:is>
      </x:c>
      <x:c r="G378" s="81" t="inlineStr">
        <x:is>
          <x:t xml:space="preserve">Control</x:t>
        </x:is>
      </x:c>
      <x:c r="H378" s="81" t="str"/>
      <x:c r="I378" s="81" t="str"/>
      <x:c r="J378" s="81" t="str"/>
      <x:c r="K378" s="81" t="inlineStr">
        <x:is>
          <x:t xml:space="preserve">Distinguish</x:t>
        </x:is>
      </x:c>
      <x:c r="L378" s="81" t="inlineStr">
        <x:is>
          <x:t xml:space="preserve">Recognize</x:t>
        </x:is>
      </x:c>
      <x:c r="M378" s="81" t="inlineStr">
        <x:is>
          <x:t xml:space="preserve">Trích đoạn triết học /寓言</x:t>
        </x:is>
      </x:c>
      <x:c r="N378" s="81" t="inlineStr">
        <x:is>
          <x:t xml:space="preserve">日鑿一竅，七日而渾沌死。</x:t>
        </x:is>
      </x:c>
      <x:c r="O378" s="81" t="inlineStr">
        <x:is>
          <x:t xml:space="preserve">Classical Chinese (文言文)</x:t>
        </x:is>
      </x:c>
      <x:c r="P378" s="81" t="inlineStr">
        <x:is>
          <x:t xml:space="preserve">Mỗi ngày khoan cho Hỗn Độn một lỗ; đến ngày thứ bảy, Hỗn Độn chết.</x:t>
        </x:is>
      </x:c>
      <x:c r="Q378" s="81" t="inlineStr">
        <x:is>
          <x:t xml:space="preserve">Zhuangzi / 莊子 (Inner Chapters attribution)</x:t>
        </x:is>
      </x:c>
      <x:c r="R378" s="81" t="inlineStr">
        <x:is>
          <x:t xml:space="preserve">Daoist / China</x:t>
        </x:is>
      </x:c>
      <x:c r="S378" s="81" t="inlineStr">
        <x:is>
          <x:t xml:space="preserve">莊子 / Zhuangzi</x:t>
        </x:is>
      </x:c>
      <x:c r="T378" s="81" t="inlineStr">
        <x:is>
          <x:t xml:space="preserve">Inner Chapter 7 — 應帝王</x:t>
        </x:is>
      </x:c>
      <x:c r="U378" s="81" t="inlineStr">
        <x:is>
          <x:t xml:space="preserve">https://zh.wikisource.org/wiki/%E8%8E%8A%E5%AD%90/%E6%87%89%E5%B8%9D%E7%8E%8B</x:t>
        </x:is>
      </x:c>
      <x:c r="V378" s="81" t="inlineStr">
        <x:is>
          <x:t xml:space="preserve">Primary text</x:t>
        </x:is>
      </x:c>
      <x:c r="W378" s="81" t="inlineStr">
        <x:is>
          <x:t xml:space="preserve">Working translation</x:t>
        </x:is>
      </x:c>
      <x:c r="X378" s="81" t="inlineStr">
        <x:is>
          <x:t xml:space="preserve">A - Primary source</x:t>
        </x:is>
      </x:c>
      <x:c r="Y378" s="81" t="inlineStr">
        <x:is>
          <x:t xml:space="preserve">Original Chinese checked against Chinese Wikisource; chapter structure cross-checked with Chinese Text Project. Vietnamese is Selflo working translation, not a published translation.</x:t>
        </x:is>
      </x:c>
      <x:c r="Z378" s="81" t="inlineStr">
        <x:is>
          <x:t xml:space="preserve">Public domain / likely</x:t>
        </x:is>
      </x:c>
      <x:c r="AA378" s="81" t="inlineStr">
        <x:is>
          <x:t xml:space="preserve">Ancient source text is public domain; verify edition/attribution and jurisdiction before commercial publication.</x:t>
        </x:is>
      </x:c>
      <x:c r="AB378" s="81" t="inlineStr">
        <x:is>
          <x:t xml:space="preserve">High</x:t>
        </x:is>
      </x:c>
      <x:c r="AC378" s="81" t="inlineStr">
        <x:is>
          <x:t xml:space="preserve">Anchor for Hundun story.</x:t>
        </x:is>
      </x:c>
      <x:c r="AD378" s="81" t="inlineStr">
        <x:is>
          <x:t xml:space="preserve">Needs editorial review</x:t>
        </x:is>
      </x:c>
      <x:c r="AE378" s="81" t="inlineStr">
        <x:is>
          <x:t xml:space="preserve">Needs semantic dedupe review</x:t>
        </x:is>
      </x:c>
      <x:c r="AF378" s="81" t="str"/>
      <x:c r="AG378" s="81" t="str"/>
      <x:c r="AH378" s="81" t="inlineStr">
        <x:is>
          <x:t xml:space="preserve">No</x:t>
        </x:is>
      </x:c>
      <x:c r="AI378" s="81" t="inlineStr">
        <x:is>
          <x:t xml:space="preserve">Not reviewed</x:t>
        </x:is>
      </x:c>
      <x:c r="AJ378" s="81" t="inlineStr">
        <x:is>
          <x:t xml:space="preserve">Research only</x:t>
        </x:is>
      </x:c>
      <x:c r="AK378" s="81" t="inlineStr">
        <x:is>
          <x:t xml:space="preserve">Research Pool</x:t>
        </x:is>
      </x:c>
      <x:c r="AL378" s="81" t="n">
        <x:v>4</x:v>
      </x:c>
      <x:c r="AM378" s="81" t="inlineStr">
        <x:is>
          <x:t xml:space="preserve">ChatGPT research</x:t>
        </x:is>
      </x:c>
      <x:c r="AN378" s="81" t="inlineStr">
        <x:is>
          <x:t xml:space="preserve">2026-09-18</x:t>
        </x:is>
      </x:c>
      <x:c r="AO378" s="81" t="inlineStr">
        <x:is>
          <x:t xml:space="preserve">Day 4 full-scope audit of Zhuangzi Inner Chapters 1–7.</x:t>
        </x:is>
      </x:c>
    </x:row>
    <x:row r="379">
      <x:c r="A379" s="81" t="inlineStr">
        <x:is>
          <x:t xml:space="preserve">research.liezi.day5.ch01.001</x:t>
        </x:is>
      </x:c>
      <x:c r="B379" s="81" t="inlineStr">
        <x:is>
          <x:t xml:space="preserve">Collected</x:t>
        </x:is>
      </x:c>
      <x:c r="C379" s="81" t="inlineStr">
        <x:is>
          <x:t xml:space="preserve">Nội tâm &amp; hiểu mình</x:t>
        </x:is>
      </x:c>
      <x:c r="D379" s="81" t="inlineStr">
        <x:is>
          <x:t xml:space="preserve">Day 5 / Liezi — full 8 chapters</x:t>
        </x:is>
      </x:c>
      <x:c r="E379" s="81" t="str"/>
      <x:c r="F379" s="81" t="inlineStr">
        <x:is>
          <x:t xml:space="preserve">Thay đổi là một phần của tồn tại</x:t>
        </x:is>
      </x:c>
      <x:c r="G379" s="81" t="inlineStr">
        <x:is>
          <x:t xml:space="preserve">Change</x:t>
        </x:is>
      </x:c>
      <x:c r="H379" s="81" t="str"/>
      <x:c r="I379" s="81" t="str"/>
      <x:c r="J379" s="81" t="str"/>
      <x:c r="K379" s="81" t="inlineStr">
        <x:is>
          <x:t xml:space="preserve">Recognize</x:t>
        </x:is>
      </x:c>
      <x:c r="L379" s="81" t="inlineStr">
        <x:is>
          <x:t xml:space="preserve">Distinguish</x:t>
        </x:is>
      </x:c>
      <x:c r="M379" s="81" t="inlineStr">
        <x:is>
          <x:t xml:space="preserve">Trích đoạn triết học / 寓言</x:t>
        </x:is>
      </x:c>
      <x:c r="N379" s="81" t="inlineStr">
        <x:is>
          <x:t xml:space="preserve">生者不能不生，化者不能不化。</x:t>
        </x:is>
      </x:c>
      <x:c r="O379" s="81" t="inlineStr">
        <x:is>
          <x:t xml:space="preserve">Classical Chinese (文言文)</x:t>
        </x:is>
      </x:c>
      <x:c r="P379" s="81" t="inlineStr">
        <x:is>
          <x:t xml:space="preserve">Cái đang sống không thể đứng ngoài sinh thành; cái đang biến đổi không thể đứng ngoài biến đổi.</x:t>
        </x:is>
      </x:c>
      <x:c r="Q379" s="81" t="inlineStr">
        <x:is>
          <x:t xml:space="preserve">Liezi / 列子 (received text; attribution debated)</x:t>
        </x:is>
      </x:c>
      <x:c r="R379" s="81" t="inlineStr">
        <x:is>
          <x:t xml:space="preserve">Daoist / China</x:t>
        </x:is>
      </x:c>
      <x:c r="S379" s="81" t="inlineStr">
        <x:is>
          <x:t xml:space="preserve">列子 / Liezi</x:t>
        </x:is>
      </x:c>
      <x:c r="T379" s="81" t="inlineStr">
        <x:is>
          <x:t xml:space="preserve">Chapter 1 — 天瑞</x:t>
        </x:is>
      </x:c>
      <x:c r="U379" s="81" t="inlineStr">
        <x:is>
          <x:t xml:space="preserve">https://ctext.org/liezi/zh</x:t>
        </x:is>
      </x:c>
      <x:c r="V379" s="81" t="inlineStr">
        <x:is>
          <x:t xml:space="preserve">Primary text / digital corpus</x:t>
        </x:is>
      </x:c>
      <x:c r="W379" s="81" t="inlineStr">
        <x:is>
          <x:t xml:space="preserve">Working translation</x:t>
        </x:is>
      </x:c>
      <x:c r="X379" s="81" t="inlineStr">
        <x:is>
          <x:t xml:space="preserve">A - Primary source</x:t>
        </x:is>
      </x:c>
      <x:c r="Y379" s="81" t="inlineStr">
        <x:is>
          <x:t xml:space="preserve">Original Classical Chinese collected from the received Liezi tradition and cross-checked against Chinese Text Project chapter structure. Vietnamese is Selflo working translation; not a published translation.</x:t>
        </x:is>
      </x:c>
      <x:c r="Z379" s="81" t="inlineStr">
        <x:is>
          <x:t xml:space="preserve">Public domain ancient text / edition terms to verify</x:t>
        </x:is>
      </x:c>
      <x:c r="AA379" s="81" t="inlineStr">
        <x:is>
          <x:t xml:space="preserve">Ancient text is public domain; do not copy modern copyrighted translations/commentaries. Attribution and textual history require editorial caution.</x:t>
        </x:is>
      </x:c>
      <x:c r="AB379" s="81" t="inlineStr">
        <x:is>
          <x:t xml:space="preserve">High</x:t>
        </x:is>
      </x:c>
      <x:c r="AC379" s="81" t="inlineStr">
        <x:is>
          <x:t xml:space="preserve">Giữ như principle về impermanence, không dùng định mệnh luận.</x:t>
        </x:is>
      </x:c>
      <x:c r="AD379" s="81" t="inlineStr">
        <x:is>
          <x:t xml:space="preserve">Needs editorial review</x:t>
        </x:is>
      </x:c>
      <x:c r="AE379" s="81" t="inlineStr">
        <x:is>
          <x:t xml:space="preserve">Needs semantic dedupe review</x:t>
        </x:is>
      </x:c>
      <x:c r="AF379" s="81" t="str"/>
      <x:c r="AG379" s="81" t="str"/>
      <x:c r="AH379" s="81" t="inlineStr">
        <x:is>
          <x:t xml:space="preserve">No</x:t>
        </x:is>
      </x:c>
      <x:c r="AI379" s="81" t="inlineStr">
        <x:is>
          <x:t xml:space="preserve">Not reviewed</x:t>
        </x:is>
      </x:c>
      <x:c r="AJ379" s="81" t="inlineStr">
        <x:is>
          <x:t xml:space="preserve">Research only</x:t>
        </x:is>
      </x:c>
      <x:c r="AK379" s="81" t="inlineStr">
        <x:is>
          <x:t xml:space="preserve">Research Pool</x:t>
        </x:is>
      </x:c>
      <x:c r="AL379" s="81" t="n">
        <x:v>5</x:v>
      </x:c>
      <x:c r="AM379" s="81" t="inlineStr">
        <x:is>
          <x:t xml:space="preserve">ChatGPT research</x:t>
        </x:is>
      </x:c>
      <x:c r="AN379" s="81" t="inlineStr">
        <x:is>
          <x:t xml:space="preserve">2026-09-18</x:t>
        </x:is>
      </x:c>
      <x:c r="AO379" s="81" t="inlineStr">
        <x:is>
          <x:t xml:space="preserve">Day 5 full-scope first-pass audit of all 8 Liezi chapters.</x:t>
        </x:is>
      </x:c>
    </x:row>
    <x:row r="380">
      <x:c r="A380" s="81" t="inlineStr">
        <x:is>
          <x:t xml:space="preserve">research.liezi.day5.ch01.002</x:t>
        </x:is>
      </x:c>
      <x:c r="B380" s="81" t="inlineStr">
        <x:is>
          <x:t xml:space="preserve">Collected</x:t>
        </x:is>
      </x:c>
      <x:c r="C380" s="81" t="inlineStr">
        <x:is>
          <x:t xml:space="preserve">Nội tâm &amp; hiểu mình</x:t>
        </x:is>
      </x:c>
      <x:c r="D380" s="81" t="inlineStr">
        <x:is>
          <x:t xml:space="preserve">Day 5 / Liezi — full 8 chapters</x:t>
        </x:is>
      </x:c>
      <x:c r="E380" s="81" t="str"/>
      <x:c r="F380" s="81" t="inlineStr">
        <x:is>
          <x:t xml:space="preserve">Mọi trạng thái đều đang chuyển</x:t>
        </x:is>
      </x:c>
      <x:c r="G380" s="81" t="inlineStr">
        <x:is>
          <x:t xml:space="preserve">Change</x:t>
        </x:is>
      </x:c>
      <x:c r="H380" s="81" t="str"/>
      <x:c r="I380" s="81" t="str"/>
      <x:c r="J380" s="81" t="str"/>
      <x:c r="K380" s="81" t="inlineStr">
        <x:is>
          <x:t xml:space="preserve">Reframe</x:t>
        </x:is>
      </x:c>
      <x:c r="L380" s="81" t="inlineStr">
        <x:is>
          <x:t xml:space="preserve">Recognize</x:t>
        </x:is>
      </x:c>
      <x:c r="M380" s="81" t="inlineStr">
        <x:is>
          <x:t xml:space="preserve">Trích đoạn triết học / 寓言</x:t>
        </x:is>
      </x:c>
      <x:c r="N380" s="81" t="inlineStr">
        <x:is>
          <x:t xml:space="preserve">常生常化者，無時不生，無時不化。</x:t>
        </x:is>
      </x:c>
      <x:c r="O380" s="81" t="inlineStr">
        <x:is>
          <x:t xml:space="preserve">Classical Chinese (文言文)</x:t>
        </x:is>
      </x:c>
      <x:c r="P380" s="81" t="inlineStr">
        <x:is>
          <x:t xml:space="preserve">Sự sống và biến đổi không ngừng diễn ra; không có lúc nào hoàn toàn đứng yên.</x:t>
        </x:is>
      </x:c>
      <x:c r="Q380" s="81" t="inlineStr">
        <x:is>
          <x:t xml:space="preserve">Liezi / 列子 (received text; attribution debated)</x:t>
        </x:is>
      </x:c>
      <x:c r="R380" s="81" t="inlineStr">
        <x:is>
          <x:t xml:space="preserve">Daoist / China</x:t>
        </x:is>
      </x:c>
      <x:c r="S380" s="81" t="inlineStr">
        <x:is>
          <x:t xml:space="preserve">列子 / Liezi</x:t>
        </x:is>
      </x:c>
      <x:c r="T380" s="81" t="inlineStr">
        <x:is>
          <x:t xml:space="preserve">Chapter 1 — 天瑞</x:t>
        </x:is>
      </x:c>
      <x:c r="U380" s="81" t="inlineStr">
        <x:is>
          <x:t xml:space="preserve">https://ctext.org/liezi/zh</x:t>
        </x:is>
      </x:c>
      <x:c r="V380" s="81" t="inlineStr">
        <x:is>
          <x:t xml:space="preserve">Primary text / digital corpus</x:t>
        </x:is>
      </x:c>
      <x:c r="W380" s="81" t="inlineStr">
        <x:is>
          <x:t xml:space="preserve">Working translation</x:t>
        </x:is>
      </x:c>
      <x:c r="X380" s="81" t="inlineStr">
        <x:is>
          <x:t xml:space="preserve">A - Primary source</x:t>
        </x:is>
      </x:c>
      <x:c r="Y380" s="81" t="inlineStr">
        <x:is>
          <x:t xml:space="preserve">Original Classical Chinese collected from the received Liezi tradition and cross-checked against Chinese Text Project chapter structure. Vietnamese is Selflo working translation; not a published translation.</x:t>
        </x:is>
      </x:c>
      <x:c r="Z380" s="81" t="inlineStr">
        <x:is>
          <x:t xml:space="preserve">Public domain ancient text / edition terms to verify</x:t>
        </x:is>
      </x:c>
      <x:c r="AA380" s="81" t="inlineStr">
        <x:is>
          <x:t xml:space="preserve">Ancient text is public domain; do not copy modern copyrighted translations/commentaries. Attribution and textual history require editorial caution.</x:t>
        </x:is>
      </x:c>
      <x:c r="AB380" s="81" t="inlineStr">
        <x:is>
          <x:t xml:space="preserve">High</x:t>
        </x:is>
      </x:c>
      <x:c r="AC380" s="81" t="inlineStr">
        <x:is>
          <x:t xml:space="preserve">Phù hợp recovery/identity.</x:t>
        </x:is>
      </x:c>
      <x:c r="AD380" s="81" t="inlineStr">
        <x:is>
          <x:t xml:space="preserve">Needs editorial review</x:t>
        </x:is>
      </x:c>
      <x:c r="AE380" s="81" t="inlineStr">
        <x:is>
          <x:t xml:space="preserve">Needs semantic dedupe review</x:t>
        </x:is>
      </x:c>
      <x:c r="AF380" s="81" t="str"/>
      <x:c r="AG380" s="81" t="str"/>
      <x:c r="AH380" s="81" t="inlineStr">
        <x:is>
          <x:t xml:space="preserve">No</x:t>
        </x:is>
      </x:c>
      <x:c r="AI380" s="81" t="inlineStr">
        <x:is>
          <x:t xml:space="preserve">Not reviewed</x:t>
        </x:is>
      </x:c>
      <x:c r="AJ380" s="81" t="inlineStr">
        <x:is>
          <x:t xml:space="preserve">Research only</x:t>
        </x:is>
      </x:c>
      <x:c r="AK380" s="81" t="inlineStr">
        <x:is>
          <x:t xml:space="preserve">Research Pool</x:t>
        </x:is>
      </x:c>
      <x:c r="AL380" s="81" t="n">
        <x:v>5</x:v>
      </x:c>
      <x:c r="AM380" s="81" t="inlineStr">
        <x:is>
          <x:t xml:space="preserve">ChatGPT research</x:t>
        </x:is>
      </x:c>
      <x:c r="AN380" s="81" t="inlineStr">
        <x:is>
          <x:t xml:space="preserve">2026-09-18</x:t>
        </x:is>
      </x:c>
      <x:c r="AO380" s="81" t="inlineStr">
        <x:is>
          <x:t xml:space="preserve">Day 5 full-scope first-pass audit of all 8 Liezi chapters.</x:t>
        </x:is>
      </x:c>
    </x:row>
    <x:row r="381">
      <x:c r="A381" s="81" t="inlineStr">
        <x:is>
          <x:t xml:space="preserve">research.liezi.day5.ch01.003</x:t>
        </x:is>
      </x:c>
      <x:c r="B381" s="81" t="inlineStr">
        <x:is>
          <x:t xml:space="preserve">Collected</x:t>
        </x:is>
      </x:c>
      <x:c r="C381" s="81" t="inlineStr">
        <x:is>
          <x:t xml:space="preserve">Nội tâm &amp; hiểu mình</x:t>
        </x:is>
      </x:c>
      <x:c r="D381" s="81" t="inlineStr">
        <x:is>
          <x:t xml:space="preserve">Day 5 / Liezi — full 8 chapters</x:t>
        </x:is>
      </x:c>
      <x:c r="E381" s="81" t="str"/>
      <x:c r="F381" s="81" t="inlineStr">
        <x:is>
          <x:t xml:space="preserve">Điều nhìn thấy có thể có nền chưa nhìn thấy</x:t>
        </x:is>
      </x:c>
      <x:c r="G381" s="81" t="inlineStr">
        <x:is>
          <x:t xml:space="preserve">Context</x:t>
        </x:is>
      </x:c>
      <x:c r="H381" s="81" t="str"/>
      <x:c r="I381" s="81" t="str"/>
      <x:c r="J381" s="81" t="str"/>
      <x:c r="K381" s="81" t="inlineStr">
        <x:is>
          <x:t xml:space="preserve">Reframe</x:t>
        </x:is>
      </x:c>
      <x:c r="L381" s="81" t="inlineStr">
        <x:is>
          <x:t xml:space="preserve">Recognize</x:t>
        </x:is>
      </x:c>
      <x:c r="M381" s="81" t="inlineStr">
        <x:is>
          <x:t xml:space="preserve">Trích đoạn triết học / 寓言</x:t>
        </x:is>
      </x:c>
      <x:c r="N381" s="81" t="inlineStr">
        <x:is>
          <x:t xml:space="preserve">有形者生於無形。</x:t>
        </x:is>
      </x:c>
      <x:c r="O381" s="81" t="inlineStr">
        <x:is>
          <x:t xml:space="preserve">Classical Chinese (文言文)</x:t>
        </x:is>
      </x:c>
      <x:c r="P381" s="81" t="inlineStr">
        <x:is>
          <x:t xml:space="preserve">Cái có hình nảy sinh từ cái chưa có hình.</x:t>
        </x:is>
      </x:c>
      <x:c r="Q381" s="81" t="inlineStr">
        <x:is>
          <x:t xml:space="preserve">Liezi / 列子 (received text; attribution debated)</x:t>
        </x:is>
      </x:c>
      <x:c r="R381" s="81" t="inlineStr">
        <x:is>
          <x:t xml:space="preserve">Daoist / China</x:t>
        </x:is>
      </x:c>
      <x:c r="S381" s="81" t="inlineStr">
        <x:is>
          <x:t xml:space="preserve">列子 / Liezi</x:t>
        </x:is>
      </x:c>
      <x:c r="T381" s="81" t="inlineStr">
        <x:is>
          <x:t xml:space="preserve">Chapter 1 — 天瑞</x:t>
        </x:is>
      </x:c>
      <x:c r="U381" s="81" t="inlineStr">
        <x:is>
          <x:t xml:space="preserve">https://ctext.org/liezi/zh</x:t>
        </x:is>
      </x:c>
      <x:c r="V381" s="81" t="inlineStr">
        <x:is>
          <x:t xml:space="preserve">Primary text / digital corpus</x:t>
        </x:is>
      </x:c>
      <x:c r="W381" s="81" t="inlineStr">
        <x:is>
          <x:t xml:space="preserve">Working translation</x:t>
        </x:is>
      </x:c>
      <x:c r="X381" s="81" t="inlineStr">
        <x:is>
          <x:t xml:space="preserve">A - Primary source</x:t>
        </x:is>
      </x:c>
      <x:c r="Y381" s="81" t="inlineStr">
        <x:is>
          <x:t xml:space="preserve">Original Classical Chinese collected from the received Liezi tradition and cross-checked against Chinese Text Project chapter structure. Vietnamese is Selflo working translation; not a published translation.</x:t>
        </x:is>
      </x:c>
      <x:c r="Z381" s="81" t="inlineStr">
        <x:is>
          <x:t xml:space="preserve">Public domain ancient text / edition terms to verify</x:t>
        </x:is>
      </x:c>
      <x:c r="AA381" s="81" t="inlineStr">
        <x:is>
          <x:t xml:space="preserve">Ancient text is public domain; do not copy modern copyrighted translations/commentaries. Attribution and textual history require editorial caution.</x:t>
        </x:is>
      </x:c>
      <x:c r="AB381" s="81" t="inlineStr">
        <x:is>
          <x:t xml:space="preserve">Medium</x:t>
        </x:is>
      </x:c>
      <x:c r="AC381" s="81" t="inlineStr">
        <x:is>
          <x:t xml:space="preserve">Siêu hình; research pool.</x:t>
        </x:is>
      </x:c>
      <x:c r="AD381" s="81" t="inlineStr">
        <x:is>
          <x:t xml:space="preserve">Needs editorial review</x:t>
        </x:is>
      </x:c>
      <x:c r="AE381" s="81" t="inlineStr">
        <x:is>
          <x:t xml:space="preserve">Needs semantic dedupe review</x:t>
        </x:is>
      </x:c>
      <x:c r="AF381" s="81" t="str"/>
      <x:c r="AG381" s="81" t="str"/>
      <x:c r="AH381" s="81" t="inlineStr">
        <x:is>
          <x:t xml:space="preserve">No</x:t>
        </x:is>
      </x:c>
      <x:c r="AI381" s="81" t="inlineStr">
        <x:is>
          <x:t xml:space="preserve">Not reviewed</x:t>
        </x:is>
      </x:c>
      <x:c r="AJ381" s="81" t="inlineStr">
        <x:is>
          <x:t xml:space="preserve">Research only</x:t>
        </x:is>
      </x:c>
      <x:c r="AK381" s="81" t="inlineStr">
        <x:is>
          <x:t xml:space="preserve">Research Pool</x:t>
        </x:is>
      </x:c>
      <x:c r="AL381" s="81" t="n">
        <x:v>5</x:v>
      </x:c>
      <x:c r="AM381" s="81" t="inlineStr">
        <x:is>
          <x:t xml:space="preserve">ChatGPT research</x:t>
        </x:is>
      </x:c>
      <x:c r="AN381" s="81" t="inlineStr">
        <x:is>
          <x:t xml:space="preserve">2026-09-18</x:t>
        </x:is>
      </x:c>
      <x:c r="AO381" s="81" t="inlineStr">
        <x:is>
          <x:t xml:space="preserve">Day 5 full-scope first-pass audit of all 8 Liezi chapters.</x:t>
        </x:is>
      </x:c>
    </x:row>
    <x:row r="382">
      <x:c r="A382" s="81" t="inlineStr">
        <x:is>
          <x:t xml:space="preserve">research.liezi.day5.ch01.004</x:t>
        </x:is>
      </x:c>
      <x:c r="B382" s="81" t="inlineStr">
        <x:is>
          <x:t xml:space="preserve">Collected</x:t>
        </x:is>
      </x:c>
      <x:c r="C382" s="81" t="inlineStr">
        <x:is>
          <x:t xml:space="preserve">Nội tâm &amp; hiểu mình</x:t>
        </x:is>
      </x:c>
      <x:c r="D382" s="81" t="inlineStr">
        <x:is>
          <x:t xml:space="preserve">Day 5 / Liezi — full 8 chapters</x:t>
        </x:is>
      </x:c>
      <x:c r="E382" s="81" t="str"/>
      <x:c r="F382" s="81" t="inlineStr">
        <x:is>
          <x:t xml:space="preserve">Giới hạn và hữu hạn</x:t>
        </x:is>
      </x:c>
      <x:c r="G382" s="81" t="inlineStr">
        <x:is>
          <x:t xml:space="preserve">Impermanence</x:t>
        </x:is>
      </x:c>
      <x:c r="H382" s="81" t="str"/>
      <x:c r="I382" s="81" t="str"/>
      <x:c r="J382" s="81" t="str"/>
      <x:c r="K382" s="81" t="inlineStr">
        <x:is>
          <x:t xml:space="preserve">Recognize</x:t>
        </x:is>
      </x:c>
      <x:c r="L382" s="81" t="inlineStr">
        <x:is>
          <x:t xml:space="preserve">Distinguish</x:t>
        </x:is>
      </x:c>
      <x:c r="M382" s="81" t="inlineStr">
        <x:is>
          <x:t xml:space="preserve">Trích đoạn triết học / 寓言</x:t>
        </x:is>
      </x:c>
      <x:c r="N382" s="81" t="inlineStr">
        <x:is>
          <x:t xml:space="preserve">形，必終者也。</x:t>
        </x:is>
      </x:c>
      <x:c r="O382" s="81" t="inlineStr">
        <x:is>
          <x:t xml:space="preserve">Classical Chinese (文言文)</x:t>
        </x:is>
      </x:c>
      <x:c r="P382" s="81" t="inlineStr">
        <x:is>
          <x:t xml:space="preserve">Hình thể nào rồi cũng có điểm kết thúc.</x:t>
        </x:is>
      </x:c>
      <x:c r="Q382" s="81" t="inlineStr">
        <x:is>
          <x:t xml:space="preserve">Liezi / 列子 (received text; attribution debated)</x:t>
        </x:is>
      </x:c>
      <x:c r="R382" s="81" t="inlineStr">
        <x:is>
          <x:t xml:space="preserve">Daoist / China</x:t>
        </x:is>
      </x:c>
      <x:c r="S382" s="81" t="inlineStr">
        <x:is>
          <x:t xml:space="preserve">列子 / Liezi</x:t>
        </x:is>
      </x:c>
      <x:c r="T382" s="81" t="inlineStr">
        <x:is>
          <x:t xml:space="preserve">Chapter 1 — 天瑞</x:t>
        </x:is>
      </x:c>
      <x:c r="U382" s="81" t="inlineStr">
        <x:is>
          <x:t xml:space="preserve">https://ctext.org/liezi/zh</x:t>
        </x:is>
      </x:c>
      <x:c r="V382" s="81" t="inlineStr">
        <x:is>
          <x:t xml:space="preserve">Primary text / digital corpus</x:t>
        </x:is>
      </x:c>
      <x:c r="W382" s="81" t="inlineStr">
        <x:is>
          <x:t xml:space="preserve">Working translation</x:t>
        </x:is>
      </x:c>
      <x:c r="X382" s="81" t="inlineStr">
        <x:is>
          <x:t xml:space="preserve">A - Primary source</x:t>
        </x:is>
      </x:c>
      <x:c r="Y382" s="81" t="inlineStr">
        <x:is>
          <x:t xml:space="preserve">Original Classical Chinese collected from the received Liezi tradition and cross-checked against Chinese Text Project chapter structure. Vietnamese is Selflo working translation; not a published translation.</x:t>
        </x:is>
      </x:c>
      <x:c r="Z382" s="81" t="inlineStr">
        <x:is>
          <x:t xml:space="preserve">Public domain ancient text / edition terms to verify</x:t>
        </x:is>
      </x:c>
      <x:c r="AA382" s="81" t="inlineStr">
        <x:is>
          <x:t xml:space="preserve">Ancient text is public domain; do not copy modern copyrighted translations/commentaries. Attribution and textual history require editorial caution.</x:t>
        </x:is>
      </x:c>
      <x:c r="AB382" s="81" t="inlineStr">
        <x:is>
          <x:t xml:space="preserve">Medium</x:t>
        </x:is>
      </x:c>
      <x:c r="AC382" s="81" t="inlineStr">
        <x:is>
          <x:t xml:space="preserve">Không dùng cho user đang crisis.</x:t>
        </x:is>
      </x:c>
      <x:c r="AD382" s="81" t="inlineStr">
        <x:is>
          <x:t xml:space="preserve">Needs editorial review</x:t>
        </x:is>
      </x:c>
      <x:c r="AE382" s="81" t="inlineStr">
        <x:is>
          <x:t xml:space="preserve">Needs semantic dedupe review</x:t>
        </x:is>
      </x:c>
      <x:c r="AF382" s="81" t="str"/>
      <x:c r="AG382" s="81" t="str"/>
      <x:c r="AH382" s="81" t="inlineStr">
        <x:is>
          <x:t xml:space="preserve">No</x:t>
        </x:is>
      </x:c>
      <x:c r="AI382" s="81" t="inlineStr">
        <x:is>
          <x:t xml:space="preserve">Not reviewed</x:t>
        </x:is>
      </x:c>
      <x:c r="AJ382" s="81" t="inlineStr">
        <x:is>
          <x:t xml:space="preserve">Research only</x:t>
        </x:is>
      </x:c>
      <x:c r="AK382" s="81" t="inlineStr">
        <x:is>
          <x:t xml:space="preserve">Research Pool</x:t>
        </x:is>
      </x:c>
      <x:c r="AL382" s="81" t="n">
        <x:v>5</x:v>
      </x:c>
      <x:c r="AM382" s="81" t="inlineStr">
        <x:is>
          <x:t xml:space="preserve">ChatGPT research</x:t>
        </x:is>
      </x:c>
      <x:c r="AN382" s="81" t="inlineStr">
        <x:is>
          <x:t xml:space="preserve">2026-09-18</x:t>
        </x:is>
      </x:c>
      <x:c r="AO382" s="81" t="inlineStr">
        <x:is>
          <x:t xml:space="preserve">Day 5 full-scope first-pass audit of all 8 Liezi chapters.</x:t>
        </x:is>
      </x:c>
    </x:row>
    <x:row r="383">
      <x:c r="A383" s="81" t="inlineStr">
        <x:is>
          <x:t xml:space="preserve">research.liezi.day5.ch01.005</x:t>
        </x:is>
      </x:c>
      <x:c r="B383" s="81" t="inlineStr">
        <x:is>
          <x:t xml:space="preserve">Collected</x:t>
        </x:is>
      </x:c>
      <x:c r="C383" s="81" t="inlineStr">
        <x:is>
          <x:t xml:space="preserve">Nội tâm &amp; hiểu mình</x:t>
        </x:is>
      </x:c>
      <x:c r="D383" s="81" t="inlineStr">
        <x:is>
          <x:t xml:space="preserve">Day 5 / Liezi — full 8 chapters</x:t>
        </x:is>
      </x:c>
      <x:c r="E383" s="81" t="str"/>
      <x:c r="F383" s="81" t="inlineStr">
        <x:is>
          <x:t xml:space="preserve">Con người không chỉ là một thước đo vật chất</x:t>
        </x:is>
      </x:c>
      <x:c r="G383" s="81" t="inlineStr">
        <x:is>
          <x:t xml:space="preserve">Identity</x:t>
        </x:is>
      </x:c>
      <x:c r="H383" s="81" t="str"/>
      <x:c r="I383" s="81" t="str"/>
      <x:c r="J383" s="81" t="str"/>
      <x:c r="K383" s="81" t="inlineStr">
        <x:is>
          <x:t xml:space="preserve">Distinguish</x:t>
        </x:is>
      </x:c>
      <x:c r="L383" s="81" t="inlineStr">
        <x:is>
          <x:t xml:space="preserve">Recognize</x:t>
        </x:is>
      </x:c>
      <x:c r="M383" s="81" t="inlineStr">
        <x:is>
          <x:t xml:space="preserve">Trích đoạn triết học / 寓言</x:t>
        </x:is>
      </x:c>
      <x:c r="N383" s="81" t="inlineStr">
        <x:is>
          <x:t xml:space="preserve">精神者，天之分；骨骸者，地之分。</x:t>
        </x:is>
      </x:c>
      <x:c r="O383" s="81" t="inlineStr">
        <x:is>
          <x:t xml:space="preserve">Classical Chinese (文言文)</x:t>
        </x:is>
      </x:c>
      <x:c r="P383" s="81" t="inlineStr">
        <x:is>
          <x:t xml:space="preserve">Văn bản phân biệt phần tinh thần và phần hình thể như hai phương diện khác nhau của đời sống.</x:t>
        </x:is>
      </x:c>
      <x:c r="Q383" s="81" t="inlineStr">
        <x:is>
          <x:t xml:space="preserve">Liezi / 列子 (received text; attribution debated)</x:t>
        </x:is>
      </x:c>
      <x:c r="R383" s="81" t="inlineStr">
        <x:is>
          <x:t xml:space="preserve">Daoist / China</x:t>
        </x:is>
      </x:c>
      <x:c r="S383" s="81" t="inlineStr">
        <x:is>
          <x:t xml:space="preserve">列子 / Liezi</x:t>
        </x:is>
      </x:c>
      <x:c r="T383" s="81" t="inlineStr">
        <x:is>
          <x:t xml:space="preserve">Chapter 1 — 天瑞</x:t>
        </x:is>
      </x:c>
      <x:c r="U383" s="81" t="inlineStr">
        <x:is>
          <x:t xml:space="preserve">https://ctext.org/liezi/zh</x:t>
        </x:is>
      </x:c>
      <x:c r="V383" s="81" t="inlineStr">
        <x:is>
          <x:t xml:space="preserve">Primary text / digital corpus</x:t>
        </x:is>
      </x:c>
      <x:c r="W383" s="81" t="inlineStr">
        <x:is>
          <x:t xml:space="preserve">Working translation</x:t>
        </x:is>
      </x:c>
      <x:c r="X383" s="81" t="inlineStr">
        <x:is>
          <x:t xml:space="preserve">A - Primary source</x:t>
        </x:is>
      </x:c>
      <x:c r="Y383" s="81" t="inlineStr">
        <x:is>
          <x:t xml:space="preserve">Original Classical Chinese collected from the received Liezi tradition and cross-checked against Chinese Text Project chapter structure. Vietnamese is Selflo working translation; not a published translation.</x:t>
        </x:is>
      </x:c>
      <x:c r="Z383" s="81" t="inlineStr">
        <x:is>
          <x:t xml:space="preserve">Public domain ancient text / edition terms to verify</x:t>
        </x:is>
      </x:c>
      <x:c r="AA383" s="81" t="inlineStr">
        <x:is>
          <x:t xml:space="preserve">Ancient text is public domain; do not copy modern copyrighted translations/commentaries. Attribution and textual history require editorial caution.</x:t>
        </x:is>
      </x:c>
      <x:c r="AB383" s="81" t="inlineStr">
        <x:is>
          <x:t xml:space="preserve">Medium</x:t>
        </x:is>
      </x:c>
      <x:c r="AC383" s="81" t="inlineStr">
        <x:is>
          <x:t xml:space="preserve">Ancient cosmology.</x:t>
        </x:is>
      </x:c>
      <x:c r="AD383" s="81" t="inlineStr">
        <x:is>
          <x:t xml:space="preserve">Needs editorial review</x:t>
        </x:is>
      </x:c>
      <x:c r="AE383" s="81" t="inlineStr">
        <x:is>
          <x:t xml:space="preserve">Needs semantic dedupe review</x:t>
        </x:is>
      </x:c>
      <x:c r="AF383" s="81" t="str"/>
      <x:c r="AG383" s="81" t="str"/>
      <x:c r="AH383" s="81" t="inlineStr">
        <x:is>
          <x:t xml:space="preserve">No</x:t>
        </x:is>
      </x:c>
      <x:c r="AI383" s="81" t="inlineStr">
        <x:is>
          <x:t xml:space="preserve">Not reviewed</x:t>
        </x:is>
      </x:c>
      <x:c r="AJ383" s="81" t="inlineStr">
        <x:is>
          <x:t xml:space="preserve">Research only</x:t>
        </x:is>
      </x:c>
      <x:c r="AK383" s="81" t="inlineStr">
        <x:is>
          <x:t xml:space="preserve">Research Pool</x:t>
        </x:is>
      </x:c>
      <x:c r="AL383" s="81" t="n">
        <x:v>5</x:v>
      </x:c>
      <x:c r="AM383" s="81" t="inlineStr">
        <x:is>
          <x:t xml:space="preserve">ChatGPT research</x:t>
        </x:is>
      </x:c>
      <x:c r="AN383" s="81" t="inlineStr">
        <x:is>
          <x:t xml:space="preserve">2026-09-18</x:t>
        </x:is>
      </x:c>
      <x:c r="AO383" s="81" t="inlineStr">
        <x:is>
          <x:t xml:space="preserve">Day 5 full-scope first-pass audit of all 8 Liezi chapters.</x:t>
        </x:is>
      </x:c>
    </x:row>
    <x:row r="384">
      <x:c r="A384" s="81" t="inlineStr">
        <x:is>
          <x:t xml:space="preserve">research.liezi.day5.ch01.006</x:t>
        </x:is>
      </x:c>
      <x:c r="B384" s="81" t="inlineStr">
        <x:is>
          <x:t xml:space="preserve">Collected</x:t>
        </x:is>
      </x:c>
      <x:c r="C384" s="81" t="inlineStr">
        <x:is>
          <x:t xml:space="preserve">Nội tâm &amp; hiểu mình</x:t>
        </x:is>
      </x:c>
      <x:c r="D384" s="81" t="inlineStr">
        <x:is>
          <x:t xml:space="preserve">Day 5 / Liezi — full 8 chapters</x:t>
        </x:is>
      </x:c>
      <x:c r="E384" s="81" t="str"/>
      <x:c r="F384" s="81" t="inlineStr">
        <x:is>
          <x:t xml:space="preserve">Một trải nghiệm có thể chứa hai mặt</x:t>
        </x:is>
      </x:c>
      <x:c r="G384" s="81" t="inlineStr">
        <x:is>
          <x:t xml:space="preserve">Complexity</x:t>
        </x:is>
      </x:c>
      <x:c r="H384" s="81" t="str"/>
      <x:c r="I384" s="81" t="str"/>
      <x:c r="J384" s="81" t="str"/>
      <x:c r="K384" s="81" t="inlineStr">
        <x:is>
          <x:t xml:space="preserve">Distinguish</x:t>
        </x:is>
      </x:c>
      <x:c r="L384" s="81" t="inlineStr">
        <x:is>
          <x:t xml:space="preserve">Recognize</x:t>
        </x:is>
      </x:c>
      <x:c r="M384" s="81" t="inlineStr">
        <x:is>
          <x:t xml:space="preserve">Trích đoạn triết học / 寓言</x:t>
        </x:is>
      </x:c>
      <x:c r="N384" s="81" t="inlineStr">
        <x:is>
          <x:t xml:space="preserve">人胥知生之樂，未知生之苦。</x:t>
        </x:is>
      </x:c>
      <x:c r="O384" s="81" t="inlineStr">
        <x:is>
          <x:t xml:space="preserve">Classical Chinese (文言文)</x:t>
        </x:is>
      </x:c>
      <x:c r="P384" s="81" t="inlineStr">
        <x:is>
          <x:t xml:space="preserve">Người ta thường biết niềm vui của sống, nhưng không phải lúc nào cũng nhìn thấy phần nhọc của sống.</x:t>
        </x:is>
      </x:c>
      <x:c r="Q384" s="81" t="inlineStr">
        <x:is>
          <x:t xml:space="preserve">Liezi / 列子 (received text; attribution debated)</x:t>
        </x:is>
      </x:c>
      <x:c r="R384" s="81" t="inlineStr">
        <x:is>
          <x:t xml:space="preserve">Daoist / China</x:t>
        </x:is>
      </x:c>
      <x:c r="S384" s="81" t="inlineStr">
        <x:is>
          <x:t xml:space="preserve">列子 / Liezi</x:t>
        </x:is>
      </x:c>
      <x:c r="T384" s="81" t="inlineStr">
        <x:is>
          <x:t xml:space="preserve">Chapter 1 — 天瑞</x:t>
        </x:is>
      </x:c>
      <x:c r="U384" s="81" t="inlineStr">
        <x:is>
          <x:t xml:space="preserve">https://ctext.org/liezi/zh</x:t>
        </x:is>
      </x:c>
      <x:c r="V384" s="81" t="inlineStr">
        <x:is>
          <x:t xml:space="preserve">Primary text / digital corpus</x:t>
        </x:is>
      </x:c>
      <x:c r="W384" s="81" t="inlineStr">
        <x:is>
          <x:t xml:space="preserve">Working translation</x:t>
        </x:is>
      </x:c>
      <x:c r="X384" s="81" t="inlineStr">
        <x:is>
          <x:t xml:space="preserve">A - Primary source</x:t>
        </x:is>
      </x:c>
      <x:c r="Y384" s="81" t="inlineStr">
        <x:is>
          <x:t xml:space="preserve">Original Classical Chinese collected from the received Liezi tradition and cross-checked against Chinese Text Project chapter structure. Vietnamese is Selflo working translation; not a published translation.</x:t>
        </x:is>
      </x:c>
      <x:c r="Z384" s="81" t="inlineStr">
        <x:is>
          <x:t xml:space="preserve">Public domain ancient text / edition terms to verify</x:t>
        </x:is>
      </x:c>
      <x:c r="AA384" s="81" t="inlineStr">
        <x:is>
          <x:t xml:space="preserve">Ancient text is public domain; do not copy modern copyrighted translations/commentaries. Attribution and textual history require editorial caution.</x:t>
        </x:is>
      </x:c>
      <x:c r="AB384" s="81" t="inlineStr">
        <x:is>
          <x:t xml:space="preserve">High</x:t>
        </x:is>
      </x:c>
      <x:c r="AC384" s="81" t="inlineStr">
        <x:is>
          <x:t xml:space="preserve">Không dùng để bi quan hóa.</x:t>
        </x:is>
      </x:c>
      <x:c r="AD384" s="81" t="inlineStr">
        <x:is>
          <x:t xml:space="preserve">Needs editorial review</x:t>
        </x:is>
      </x:c>
      <x:c r="AE384" s="81" t="inlineStr">
        <x:is>
          <x:t xml:space="preserve">Needs semantic dedupe review</x:t>
        </x:is>
      </x:c>
      <x:c r="AF384" s="81" t="str"/>
      <x:c r="AG384" s="81" t="str"/>
      <x:c r="AH384" s="81" t="inlineStr">
        <x:is>
          <x:t xml:space="preserve">No</x:t>
        </x:is>
      </x:c>
      <x:c r="AI384" s="81" t="inlineStr">
        <x:is>
          <x:t xml:space="preserve">Not reviewed</x:t>
        </x:is>
      </x:c>
      <x:c r="AJ384" s="81" t="inlineStr">
        <x:is>
          <x:t xml:space="preserve">Research only</x:t>
        </x:is>
      </x:c>
      <x:c r="AK384" s="81" t="inlineStr">
        <x:is>
          <x:t xml:space="preserve">Research Pool</x:t>
        </x:is>
      </x:c>
      <x:c r="AL384" s="81" t="n">
        <x:v>5</x:v>
      </x:c>
      <x:c r="AM384" s="81" t="inlineStr">
        <x:is>
          <x:t xml:space="preserve">ChatGPT research</x:t>
        </x:is>
      </x:c>
      <x:c r="AN384" s="81" t="inlineStr">
        <x:is>
          <x:t xml:space="preserve">2026-09-18</x:t>
        </x:is>
      </x:c>
      <x:c r="AO384" s="81" t="inlineStr">
        <x:is>
          <x:t xml:space="preserve">Day 5 full-scope first-pass audit of all 8 Liezi chapters.</x:t>
        </x:is>
      </x:c>
    </x:row>
    <x:row r="385">
      <x:c r="A385" s="81" t="inlineStr">
        <x:is>
          <x:t xml:space="preserve">research.liezi.day5.ch01.007</x:t>
        </x:is>
      </x:c>
      <x:c r="B385" s="81" t="inlineStr">
        <x:is>
          <x:t xml:space="preserve">Collected</x:t>
        </x:is>
      </x:c>
      <x:c r="C385" s="81" t="inlineStr">
        <x:is>
          <x:t xml:space="preserve">Nội tâm &amp; hiểu mình</x:t>
        </x:is>
      </x:c>
      <x:c r="D385" s="81" t="inlineStr">
        <x:is>
          <x:t xml:space="preserve">Day 5 / Liezi — full 8 chapters</x:t>
        </x:is>
      </x:c>
      <x:c r="E385" s="81" t="str"/>
      <x:c r="F385" s="81" t="inlineStr">
        <x:is>
          <x:t xml:space="preserve">Một giai đoạn mất cái này có thể mở cái khác</x:t>
        </x:is>
      </x:c>
      <x:c r="G385" s="81" t="inlineStr">
        <x:is>
          <x:t xml:space="preserve">Life stages</x:t>
        </x:is>
      </x:c>
      <x:c r="H385" s="81" t="str"/>
      <x:c r="I385" s="81" t="str"/>
      <x:c r="J385" s="81" t="str"/>
      <x:c r="K385" s="81" t="inlineStr">
        <x:is>
          <x:t xml:space="preserve">Reframe</x:t>
        </x:is>
      </x:c>
      <x:c r="L385" s="81" t="inlineStr">
        <x:is>
          <x:t xml:space="preserve">Recognize</x:t>
        </x:is>
      </x:c>
      <x:c r="M385" s="81" t="inlineStr">
        <x:is>
          <x:t xml:space="preserve">Trích đoạn triết học / 寓言</x:t>
        </x:is>
      </x:c>
      <x:c r="N385" s="81" t="inlineStr">
        <x:is>
          <x:t xml:space="preserve">知老之憊，未知老之佚。</x:t>
        </x:is>
      </x:c>
      <x:c r="O385" s="81" t="inlineStr">
        <x:is>
          <x:t xml:space="preserve">Classical Chinese (文言文)</x:t>
        </x:is>
      </x:c>
      <x:c r="P385" s="81" t="inlineStr">
        <x:is>
          <x:t xml:space="preserve">Ta thấy sự mỏi của tuổi già, nhưng có thể bỏ sót phần được buông khỏi một số gánh nặng.</x:t>
        </x:is>
      </x:c>
      <x:c r="Q385" s="81" t="inlineStr">
        <x:is>
          <x:t xml:space="preserve">Liezi / 列子 (received text; attribution debated)</x:t>
        </x:is>
      </x:c>
      <x:c r="R385" s="81" t="inlineStr">
        <x:is>
          <x:t xml:space="preserve">Daoist / China</x:t>
        </x:is>
      </x:c>
      <x:c r="S385" s="81" t="inlineStr">
        <x:is>
          <x:t xml:space="preserve">列子 / Liezi</x:t>
        </x:is>
      </x:c>
      <x:c r="T385" s="81" t="inlineStr">
        <x:is>
          <x:t xml:space="preserve">Chapter 1 — 天瑞</x:t>
        </x:is>
      </x:c>
      <x:c r="U385" s="81" t="inlineStr">
        <x:is>
          <x:t xml:space="preserve">https://ctext.org/liezi/zh</x:t>
        </x:is>
      </x:c>
      <x:c r="V385" s="81" t="inlineStr">
        <x:is>
          <x:t xml:space="preserve">Primary text / digital corpus</x:t>
        </x:is>
      </x:c>
      <x:c r="W385" s="81" t="inlineStr">
        <x:is>
          <x:t xml:space="preserve">Working translation</x:t>
        </x:is>
      </x:c>
      <x:c r="X385" s="81" t="inlineStr">
        <x:is>
          <x:t xml:space="preserve">A - Primary source</x:t>
        </x:is>
      </x:c>
      <x:c r="Y385" s="81" t="inlineStr">
        <x:is>
          <x:t xml:space="preserve">Original Classical Chinese collected from the received Liezi tradition and cross-checked against Chinese Text Project chapter structure. Vietnamese is Selflo working translation; not a published translation.</x:t>
        </x:is>
      </x:c>
      <x:c r="Z385" s="81" t="inlineStr">
        <x:is>
          <x:t xml:space="preserve">Public domain ancient text / edition terms to verify</x:t>
        </x:is>
      </x:c>
      <x:c r="AA385" s="81" t="inlineStr">
        <x:is>
          <x:t xml:space="preserve">Ancient text is public domain; do not copy modern copyrighted translations/commentaries. Attribution and textual history require editorial caution.</x:t>
        </x:is>
      </x:c>
      <x:c r="AB385" s="81" t="inlineStr">
        <x:is>
          <x:t xml:space="preserve">Medium</x:t>
        </x:is>
      </x:c>
      <x:c r="AC385" s="81" t="inlineStr">
        <x:is>
          <x:t xml:space="preserve">Cần tránh romanticize aging.</x:t>
        </x:is>
      </x:c>
      <x:c r="AD385" s="81" t="inlineStr">
        <x:is>
          <x:t xml:space="preserve">Needs editorial review</x:t>
        </x:is>
      </x:c>
      <x:c r="AE385" s="81" t="inlineStr">
        <x:is>
          <x:t xml:space="preserve">Needs semantic dedupe review</x:t>
        </x:is>
      </x:c>
      <x:c r="AF385" s="81" t="str"/>
      <x:c r="AG385" s="81" t="str"/>
      <x:c r="AH385" s="81" t="inlineStr">
        <x:is>
          <x:t xml:space="preserve">No</x:t>
        </x:is>
      </x:c>
      <x:c r="AI385" s="81" t="inlineStr">
        <x:is>
          <x:t xml:space="preserve">Not reviewed</x:t>
        </x:is>
      </x:c>
      <x:c r="AJ385" s="81" t="inlineStr">
        <x:is>
          <x:t xml:space="preserve">Research only</x:t>
        </x:is>
      </x:c>
      <x:c r="AK385" s="81" t="inlineStr">
        <x:is>
          <x:t xml:space="preserve">Research Pool</x:t>
        </x:is>
      </x:c>
      <x:c r="AL385" s="81" t="n">
        <x:v>5</x:v>
      </x:c>
      <x:c r="AM385" s="81" t="inlineStr">
        <x:is>
          <x:t xml:space="preserve">ChatGPT research</x:t>
        </x:is>
      </x:c>
      <x:c r="AN385" s="81" t="inlineStr">
        <x:is>
          <x:t xml:space="preserve">2026-09-18</x:t>
        </x:is>
      </x:c>
      <x:c r="AO385" s="81" t="inlineStr">
        <x:is>
          <x:t xml:space="preserve">Day 5 full-scope first-pass audit of all 8 Liezi chapters.</x:t>
        </x:is>
      </x:c>
    </x:row>
    <x:row r="386">
      <x:c r="A386" s="81" t="inlineStr">
        <x:is>
          <x:t xml:space="preserve">research.liezi.day5.ch01.008</x:t>
        </x:is>
      </x:c>
      <x:c r="B386" s="81" t="inlineStr">
        <x:is>
          <x:t xml:space="preserve">Collected</x:t>
        </x:is>
      </x:c>
      <x:c r="C386" s="81" t="inlineStr">
        <x:is>
          <x:t xml:space="preserve">Nội tâm &amp; hiểu mình</x:t>
        </x:is>
      </x:c>
      <x:c r="D386" s="81" t="inlineStr">
        <x:is>
          <x:t xml:space="preserve">Day 5 / Liezi — full 8 chapters</x:t>
        </x:is>
      </x:c>
      <x:c r="E386" s="81" t="str"/>
      <x:c r="F386" s="81" t="inlineStr">
        <x:is>
          <x:t xml:space="preserve">Không ai hay công cụ nào tối ưu cho mọi mục đích</x:t>
        </x:is>
      </x:c>
      <x:c r="G386" s="81" t="inlineStr">
        <x:is>
          <x:t xml:space="preserve">Limits</x:t>
        </x:is>
      </x:c>
      <x:c r="H386" s="81" t="str"/>
      <x:c r="I386" s="81" t="str"/>
      <x:c r="J386" s="81" t="str"/>
      <x:c r="K386" s="81" t="inlineStr">
        <x:is>
          <x:t xml:space="preserve">Distinguish</x:t>
        </x:is>
      </x:c>
      <x:c r="L386" s="81" t="inlineStr">
        <x:is>
          <x:t xml:space="preserve">Recognize</x:t>
        </x:is>
      </x:c>
      <x:c r="M386" s="81" t="inlineStr">
        <x:is>
          <x:t xml:space="preserve">Trích đoạn triết học / 寓言</x:t>
        </x:is>
      </x:c>
      <x:c r="N386" s="81" t="inlineStr">
        <x:is>
          <x:t xml:space="preserve">天地無全功，聖人無全能，萬物無全用。</x:t>
        </x:is>
      </x:c>
      <x:c r="O386" s="81" t="inlineStr">
        <x:is>
          <x:t xml:space="preserve">Classical Chinese (文言文)</x:t>
        </x:is>
      </x:c>
      <x:c r="P386" s="81" t="inlineStr">
        <x:is>
          <x:t xml:space="preserve">Trời đất không làm trọn mọi việc; người sáng không có mọi năng lực; không vật nào hữu dụng cho mọi việc.</x:t>
        </x:is>
      </x:c>
      <x:c r="Q386" s="81" t="inlineStr">
        <x:is>
          <x:t xml:space="preserve">Liezi / 列子 (received text; attribution debated)</x:t>
        </x:is>
      </x:c>
      <x:c r="R386" s="81" t="inlineStr">
        <x:is>
          <x:t xml:space="preserve">Daoist / China</x:t>
        </x:is>
      </x:c>
      <x:c r="S386" s="81" t="inlineStr">
        <x:is>
          <x:t xml:space="preserve">列子 / Liezi</x:t>
        </x:is>
      </x:c>
      <x:c r="T386" s="81" t="inlineStr">
        <x:is>
          <x:t xml:space="preserve">Chapter 1 — 天瑞</x:t>
        </x:is>
      </x:c>
      <x:c r="U386" s="81" t="inlineStr">
        <x:is>
          <x:t xml:space="preserve">https://ctext.org/liezi/zh</x:t>
        </x:is>
      </x:c>
      <x:c r="V386" s="81" t="inlineStr">
        <x:is>
          <x:t xml:space="preserve">Primary text / digital corpus</x:t>
        </x:is>
      </x:c>
      <x:c r="W386" s="81" t="inlineStr">
        <x:is>
          <x:t xml:space="preserve">Working translation</x:t>
        </x:is>
      </x:c>
      <x:c r="X386" s="81" t="inlineStr">
        <x:is>
          <x:t xml:space="preserve">A - Primary source</x:t>
        </x:is>
      </x:c>
      <x:c r="Y386" s="81" t="inlineStr">
        <x:is>
          <x:t xml:space="preserve">Original Classical Chinese collected from the received Liezi tradition and cross-checked against Chinese Text Project chapter structure. Vietnamese is Selflo working translation; not a published translation.</x:t>
        </x:is>
      </x:c>
      <x:c r="Z386" s="81" t="inlineStr">
        <x:is>
          <x:t xml:space="preserve">Public domain ancient text / edition terms to verify</x:t>
        </x:is>
      </x:c>
      <x:c r="AA386" s="81" t="inlineStr">
        <x:is>
          <x:t xml:space="preserve">Ancient text is public domain; do not copy modern copyrighted translations/commentaries. Attribution and textual history require editorial caution.</x:t>
        </x:is>
      </x:c>
      <x:c r="AB386" s="81" t="inlineStr">
        <x:is>
          <x:t xml:space="preserve">High</x:t>
        </x:is>
      </x:c>
      <x:c r="AC386" s="81" t="inlineStr">
        <x:is>
          <x:t xml:space="preserve">Rất hợp AI-age/tool limits.</x:t>
        </x:is>
      </x:c>
      <x:c r="AD386" s="81" t="inlineStr">
        <x:is>
          <x:t xml:space="preserve">Needs editorial review</x:t>
        </x:is>
      </x:c>
      <x:c r="AE386" s="81" t="inlineStr">
        <x:is>
          <x:t xml:space="preserve">Needs semantic dedupe review</x:t>
        </x:is>
      </x:c>
      <x:c r="AF386" s="81" t="str"/>
      <x:c r="AG386" s="81" t="str"/>
      <x:c r="AH386" s="81" t="inlineStr">
        <x:is>
          <x:t xml:space="preserve">No</x:t>
        </x:is>
      </x:c>
      <x:c r="AI386" s="81" t="inlineStr">
        <x:is>
          <x:t xml:space="preserve">Not reviewed</x:t>
        </x:is>
      </x:c>
      <x:c r="AJ386" s="81" t="inlineStr">
        <x:is>
          <x:t xml:space="preserve">Research only</x:t>
        </x:is>
      </x:c>
      <x:c r="AK386" s="81" t="inlineStr">
        <x:is>
          <x:t xml:space="preserve">Research Pool</x:t>
        </x:is>
      </x:c>
      <x:c r="AL386" s="81" t="n">
        <x:v>5</x:v>
      </x:c>
      <x:c r="AM386" s="81" t="inlineStr">
        <x:is>
          <x:t xml:space="preserve">ChatGPT research</x:t>
        </x:is>
      </x:c>
      <x:c r="AN386" s="81" t="inlineStr">
        <x:is>
          <x:t xml:space="preserve">2026-09-18</x:t>
        </x:is>
      </x:c>
      <x:c r="AO386" s="81" t="inlineStr">
        <x:is>
          <x:t xml:space="preserve">Day 5 full-scope first-pass audit of all 8 Liezi chapters.</x:t>
        </x:is>
      </x:c>
    </x:row>
    <x:row r="387">
      <x:c r="A387" s="81" t="inlineStr">
        <x:is>
          <x:t xml:space="preserve">research.liezi.day5.ch01.009</x:t>
        </x:is>
      </x:c>
      <x:c r="B387" s="81" t="inlineStr">
        <x:is>
          <x:t xml:space="preserve">Collected</x:t>
        </x:is>
      </x:c>
      <x:c r="C387" s="81" t="inlineStr">
        <x:is>
          <x:t xml:space="preserve">Nội tâm &amp; hiểu mình</x:t>
        </x:is>
      </x:c>
      <x:c r="D387" s="81" t="inlineStr">
        <x:is>
          <x:t xml:space="preserve">Day 5 / Liezi — full 8 chapters</x:t>
        </x:is>
      </x:c>
      <x:c r="E387" s="81" t="str"/>
      <x:c r="F387" s="81" t="inlineStr">
        <x:is>
          <x:t xml:space="preserve">Vai trò khác nhau cần tiêu chí khác nhau</x:t>
        </x:is>
      </x:c>
      <x:c r="G387" s="81" t="inlineStr">
        <x:is>
          <x:t xml:space="preserve">Context</x:t>
        </x:is>
      </x:c>
      <x:c r="H387" s="81" t="str"/>
      <x:c r="I387" s="81" t="str"/>
      <x:c r="J387" s="81" t="str"/>
      <x:c r="K387" s="81" t="inlineStr">
        <x:is>
          <x:t xml:space="preserve">Distinguish</x:t>
        </x:is>
      </x:c>
      <x:c r="L387" s="81" t="inlineStr">
        <x:is>
          <x:t xml:space="preserve">Recognize</x:t>
        </x:is>
      </x:c>
      <x:c r="M387" s="81" t="inlineStr">
        <x:is>
          <x:t xml:space="preserve">Trích đoạn triết học / 寓言</x:t>
        </x:is>
      </x:c>
      <x:c r="N387" s="81" t="inlineStr">
        <x:is>
          <x:t xml:space="preserve">故天職生覆，地職形載，聖職教化，物職所宜。</x:t>
        </x:is>
      </x:c>
      <x:c r="O387" s="81" t="inlineStr">
        <x:is>
          <x:t xml:space="preserve">Classical Chinese (文言文)</x:t>
        </x:is>
      </x:c>
      <x:c r="P387" s="81" t="inlineStr">
        <x:is>
          <x:t xml:space="preserve">Mỗi phần có việc phù hợp với nó; không cần một phần gánh mọi chức năng.</x:t>
        </x:is>
      </x:c>
      <x:c r="Q387" s="81" t="inlineStr">
        <x:is>
          <x:t xml:space="preserve">Liezi / 列子 (received text; attribution debated)</x:t>
        </x:is>
      </x:c>
      <x:c r="R387" s="81" t="inlineStr">
        <x:is>
          <x:t xml:space="preserve">Daoist / China</x:t>
        </x:is>
      </x:c>
      <x:c r="S387" s="81" t="inlineStr">
        <x:is>
          <x:t xml:space="preserve">列子 / Liezi</x:t>
        </x:is>
      </x:c>
      <x:c r="T387" s="81" t="inlineStr">
        <x:is>
          <x:t xml:space="preserve">Chapter 1 — 天瑞</x:t>
        </x:is>
      </x:c>
      <x:c r="U387" s="81" t="inlineStr">
        <x:is>
          <x:t xml:space="preserve">https://ctext.org/liezi/zh</x:t>
        </x:is>
      </x:c>
      <x:c r="V387" s="81" t="inlineStr">
        <x:is>
          <x:t xml:space="preserve">Primary text / digital corpus</x:t>
        </x:is>
      </x:c>
      <x:c r="W387" s="81" t="inlineStr">
        <x:is>
          <x:t xml:space="preserve">Working translation</x:t>
        </x:is>
      </x:c>
      <x:c r="X387" s="81" t="inlineStr">
        <x:is>
          <x:t xml:space="preserve">A - Primary source</x:t>
        </x:is>
      </x:c>
      <x:c r="Y387" s="81" t="inlineStr">
        <x:is>
          <x:t xml:space="preserve">Original Classical Chinese collected from the received Liezi tradition and cross-checked against Chinese Text Project chapter structure. Vietnamese is Selflo working translation; not a published translation.</x:t>
        </x:is>
      </x:c>
      <x:c r="Z387" s="81" t="inlineStr">
        <x:is>
          <x:t xml:space="preserve">Public domain ancient text / edition terms to verify</x:t>
        </x:is>
      </x:c>
      <x:c r="AA387" s="81" t="inlineStr">
        <x:is>
          <x:t xml:space="preserve">Ancient text is public domain; do not copy modern copyrighted translations/commentaries. Attribution and textual history require editorial caution.</x:t>
        </x:is>
      </x:c>
      <x:c r="AB387" s="81" t="inlineStr">
        <x:is>
          <x:t xml:space="preserve">High</x:t>
        </x:is>
      </x:c>
      <x:c r="AC387" s="81" t="inlineStr">
        <x:is>
          <x:t xml:space="preserve">Systems/role clarity.</x:t>
        </x:is>
      </x:c>
      <x:c r="AD387" s="81" t="inlineStr">
        <x:is>
          <x:t xml:space="preserve">Needs editorial review</x:t>
        </x:is>
      </x:c>
      <x:c r="AE387" s="81" t="inlineStr">
        <x:is>
          <x:t xml:space="preserve">Needs semantic dedupe review</x:t>
        </x:is>
      </x:c>
      <x:c r="AF387" s="81" t="str"/>
      <x:c r="AG387" s="81" t="str"/>
      <x:c r="AH387" s="81" t="inlineStr">
        <x:is>
          <x:t xml:space="preserve">No</x:t>
        </x:is>
      </x:c>
      <x:c r="AI387" s="81" t="inlineStr">
        <x:is>
          <x:t xml:space="preserve">Not reviewed</x:t>
        </x:is>
      </x:c>
      <x:c r="AJ387" s="81" t="inlineStr">
        <x:is>
          <x:t xml:space="preserve">Research only</x:t>
        </x:is>
      </x:c>
      <x:c r="AK387" s="81" t="inlineStr">
        <x:is>
          <x:t xml:space="preserve">Research Pool</x:t>
        </x:is>
      </x:c>
      <x:c r="AL387" s="81" t="n">
        <x:v>5</x:v>
      </x:c>
      <x:c r="AM387" s="81" t="inlineStr">
        <x:is>
          <x:t xml:space="preserve">ChatGPT research</x:t>
        </x:is>
      </x:c>
      <x:c r="AN387" s="81" t="inlineStr">
        <x:is>
          <x:t xml:space="preserve">2026-09-18</x:t>
        </x:is>
      </x:c>
      <x:c r="AO387" s="81" t="inlineStr">
        <x:is>
          <x:t xml:space="preserve">Day 5 full-scope first-pass audit of all 8 Liezi chapters.</x:t>
        </x:is>
      </x:c>
    </x:row>
    <x:row r="388">
      <x:c r="A388" s="81" t="inlineStr">
        <x:is>
          <x:t xml:space="preserve">research.liezi.day5.ch01.010</x:t>
        </x:is>
      </x:c>
      <x:c r="B388" s="81" t="inlineStr">
        <x:is>
          <x:t xml:space="preserve">Collected</x:t>
        </x:is>
      </x:c>
      <x:c r="C388" s="81" t="inlineStr">
        <x:is>
          <x:t xml:space="preserve">Nội tâm &amp; hiểu mình</x:t>
        </x:is>
      </x:c>
      <x:c r="D388" s="81" t="inlineStr">
        <x:is>
          <x:t xml:space="preserve">Day 5 / Liezi — full 8 chapters</x:t>
        </x:is>
      </x:c>
      <x:c r="E388" s="81" t="str"/>
      <x:c r="F388" s="81" t="inlineStr">
        <x:is>
          <x:t xml:space="preserve">Không trạng thái hữu hình nào là vĩnh viễn</x:t>
        </x:is>
      </x:c>
      <x:c r="G388" s="81" t="inlineStr">
        <x:is>
          <x:t xml:space="preserve">Impermanence</x:t>
        </x:is>
      </x:c>
      <x:c r="H388" s="81" t="str"/>
      <x:c r="I388" s="81" t="str"/>
      <x:c r="J388" s="81" t="str"/>
      <x:c r="K388" s="81" t="inlineStr">
        <x:is>
          <x:t xml:space="preserve">Recognize</x:t>
        </x:is>
      </x:c>
      <x:c r="L388" s="81" t="inlineStr">
        <x:is>
          <x:t xml:space="preserve">Distinguish</x:t>
        </x:is>
      </x:c>
      <x:c r="M388" s="81" t="inlineStr">
        <x:is>
          <x:t xml:space="preserve">Trích đoạn triết học / 寓言</x:t>
        </x:is>
      </x:c>
      <x:c r="N388" s="81" t="inlineStr">
        <x:is>
          <x:t xml:space="preserve">有生則復於不生，有形則復於無形。</x:t>
        </x:is>
      </x:c>
      <x:c r="O388" s="81" t="inlineStr">
        <x:is>
          <x:t xml:space="preserve">Classical Chinese (文言文)</x:t>
        </x:is>
      </x:c>
      <x:c r="P388" s="81" t="inlineStr">
        <x:is>
          <x:t xml:space="preserve">Có sinh rồi có lúc trở về không sinh; có hình rồi có lúc trở về không hình.</x:t>
        </x:is>
      </x:c>
      <x:c r="Q388" s="81" t="inlineStr">
        <x:is>
          <x:t xml:space="preserve">Liezi / 列子 (received text; attribution debated)</x:t>
        </x:is>
      </x:c>
      <x:c r="R388" s="81" t="inlineStr">
        <x:is>
          <x:t xml:space="preserve">Daoist / China</x:t>
        </x:is>
      </x:c>
      <x:c r="S388" s="81" t="inlineStr">
        <x:is>
          <x:t xml:space="preserve">列子 / Liezi</x:t>
        </x:is>
      </x:c>
      <x:c r="T388" s="81" t="inlineStr">
        <x:is>
          <x:t xml:space="preserve">Chapter 1 — 天瑞</x:t>
        </x:is>
      </x:c>
      <x:c r="U388" s="81" t="inlineStr">
        <x:is>
          <x:t xml:space="preserve">https://ctext.org/liezi/zh</x:t>
        </x:is>
      </x:c>
      <x:c r="V388" s="81" t="inlineStr">
        <x:is>
          <x:t xml:space="preserve">Primary text / digital corpus</x:t>
        </x:is>
      </x:c>
      <x:c r="W388" s="81" t="inlineStr">
        <x:is>
          <x:t xml:space="preserve">Working translation</x:t>
        </x:is>
      </x:c>
      <x:c r="X388" s="81" t="inlineStr">
        <x:is>
          <x:t xml:space="preserve">A - Primary source</x:t>
        </x:is>
      </x:c>
      <x:c r="Y388" s="81" t="inlineStr">
        <x:is>
          <x:t xml:space="preserve">Original Classical Chinese collected from the received Liezi tradition and cross-checked against Chinese Text Project chapter structure. Vietnamese is Selflo working translation; not a published translation.</x:t>
        </x:is>
      </x:c>
      <x:c r="Z388" s="81" t="inlineStr">
        <x:is>
          <x:t xml:space="preserve">Public domain ancient text / edition terms to verify</x:t>
        </x:is>
      </x:c>
      <x:c r="AA388" s="81" t="inlineStr">
        <x:is>
          <x:t xml:space="preserve">Ancient text is public domain; do not copy modern copyrighted translations/commentaries. Attribution and textual history require editorial caution.</x:t>
        </x:is>
      </x:c>
      <x:c r="AB388" s="81" t="inlineStr">
        <x:is>
          <x:t xml:space="preserve">Medium</x:t>
        </x:is>
      </x:c>
      <x:c r="AC388" s="81" t="inlineStr">
        <x:is>
          <x:t xml:space="preserve">Metaphysical.</x:t>
        </x:is>
      </x:c>
      <x:c r="AD388" s="81" t="inlineStr">
        <x:is>
          <x:t xml:space="preserve">Needs editorial review</x:t>
        </x:is>
      </x:c>
      <x:c r="AE388" s="81" t="inlineStr">
        <x:is>
          <x:t xml:space="preserve">Needs semantic dedupe review</x:t>
        </x:is>
      </x:c>
      <x:c r="AF388" s="81" t="str"/>
      <x:c r="AG388" s="81" t="str"/>
      <x:c r="AH388" s="81" t="inlineStr">
        <x:is>
          <x:t xml:space="preserve">No</x:t>
        </x:is>
      </x:c>
      <x:c r="AI388" s="81" t="inlineStr">
        <x:is>
          <x:t xml:space="preserve">Not reviewed</x:t>
        </x:is>
      </x:c>
      <x:c r="AJ388" s="81" t="inlineStr">
        <x:is>
          <x:t xml:space="preserve">Research only</x:t>
        </x:is>
      </x:c>
      <x:c r="AK388" s="81" t="inlineStr">
        <x:is>
          <x:t xml:space="preserve">Research Pool</x:t>
        </x:is>
      </x:c>
      <x:c r="AL388" s="81" t="n">
        <x:v>5</x:v>
      </x:c>
      <x:c r="AM388" s="81" t="inlineStr">
        <x:is>
          <x:t xml:space="preserve">ChatGPT research</x:t>
        </x:is>
      </x:c>
      <x:c r="AN388" s="81" t="inlineStr">
        <x:is>
          <x:t xml:space="preserve">2026-09-18</x:t>
        </x:is>
      </x:c>
      <x:c r="AO388" s="81" t="inlineStr">
        <x:is>
          <x:t xml:space="preserve">Day 5 full-scope first-pass audit of all 8 Liezi chapters.</x:t>
        </x:is>
      </x:c>
    </x:row>
    <x:row r="389">
      <x:c r="A389" s="81" t="inlineStr">
        <x:is>
          <x:t xml:space="preserve">research.liezi.day5.ch01.011</x:t>
        </x:is>
      </x:c>
      <x:c r="B389" s="81" t="inlineStr">
        <x:is>
          <x:t xml:space="preserve">Collected</x:t>
        </x:is>
      </x:c>
      <x:c r="C389" s="81" t="inlineStr">
        <x:is>
          <x:t xml:space="preserve">Nội tâm &amp; hiểu mình</x:t>
        </x:is>
      </x:c>
      <x:c r="D389" s="81" t="inlineStr">
        <x:is>
          <x:t xml:space="preserve">Day 5 / Liezi — full 8 chapters</x:t>
        </x:is>
      </x:c>
      <x:c r="E389" s="81" t="str"/>
      <x:c r="F389" s="81" t="inlineStr">
        <x:is>
          <x:t xml:space="preserve">Hai phía của một quá trình</x:t>
        </x:is>
      </x:c>
      <x:c r="G389" s="81" t="inlineStr">
        <x:is>
          <x:t xml:space="preserve">Opposites</x:t>
        </x:is>
      </x:c>
      <x:c r="H389" s="81" t="str"/>
      <x:c r="I389" s="81" t="str"/>
      <x:c r="J389" s="81" t="str"/>
      <x:c r="K389" s="81" t="inlineStr">
        <x:is>
          <x:t xml:space="preserve">Reframe</x:t>
        </x:is>
      </x:c>
      <x:c r="L389" s="81" t="inlineStr">
        <x:is>
          <x:t xml:space="preserve">Recognize</x:t>
        </x:is>
      </x:c>
      <x:c r="M389" s="81" t="inlineStr">
        <x:is>
          <x:t xml:space="preserve">Trích đoạn triết học / 寓言</x:t>
        </x:is>
      </x:c>
      <x:c r="N389" s="81" t="inlineStr">
        <x:is>
          <x:t xml:space="preserve">死之與生，一往一反。</x:t>
        </x:is>
      </x:c>
      <x:c r="O389" s="81" t="inlineStr">
        <x:is>
          <x:t xml:space="preserve">Classical Chinese (文言文)</x:t>
        </x:is>
      </x:c>
      <x:c r="P389" s="81" t="inlineStr">
        <x:is>
          <x:t xml:space="preserve">Sống và chết được văn bản nhìn như hai chiều của một quá trình biến đổi.</x:t>
        </x:is>
      </x:c>
      <x:c r="Q389" s="81" t="inlineStr">
        <x:is>
          <x:t xml:space="preserve">Liezi / 列子 (received text; attribution debated)</x:t>
        </x:is>
      </x:c>
      <x:c r="R389" s="81" t="inlineStr">
        <x:is>
          <x:t xml:space="preserve">Daoist / China</x:t>
        </x:is>
      </x:c>
      <x:c r="S389" s="81" t="inlineStr">
        <x:is>
          <x:t xml:space="preserve">列子 / Liezi</x:t>
        </x:is>
      </x:c>
      <x:c r="T389" s="81" t="inlineStr">
        <x:is>
          <x:t xml:space="preserve">Chapter 1 — 天瑞</x:t>
        </x:is>
      </x:c>
      <x:c r="U389" s="81" t="inlineStr">
        <x:is>
          <x:t xml:space="preserve">https://ctext.org/liezi/zh</x:t>
        </x:is>
      </x:c>
      <x:c r="V389" s="81" t="inlineStr">
        <x:is>
          <x:t xml:space="preserve">Primary text / digital corpus</x:t>
        </x:is>
      </x:c>
      <x:c r="W389" s="81" t="inlineStr">
        <x:is>
          <x:t xml:space="preserve">Working translation</x:t>
        </x:is>
      </x:c>
      <x:c r="X389" s="81" t="inlineStr">
        <x:is>
          <x:t xml:space="preserve">A - Primary source</x:t>
        </x:is>
      </x:c>
      <x:c r="Y389" s="81" t="inlineStr">
        <x:is>
          <x:t xml:space="preserve">Original Classical Chinese collected from the received Liezi tradition and cross-checked against Chinese Text Project chapter structure. Vietnamese is Selflo working translation; not a published translation.</x:t>
        </x:is>
      </x:c>
      <x:c r="Z389" s="81" t="inlineStr">
        <x:is>
          <x:t xml:space="preserve">Public domain ancient text / edition terms to verify</x:t>
        </x:is>
      </x:c>
      <x:c r="AA389" s="81" t="inlineStr">
        <x:is>
          <x:t xml:space="preserve">Ancient text is public domain; do not copy modern copyrighted translations/commentaries. Attribution and textual history require editorial caution.</x:t>
        </x:is>
      </x:c>
      <x:c r="AB389" s="81" t="inlineStr">
        <x:is>
          <x:t xml:space="preserve">Low</x:t>
        </x:is>
      </x:c>
      <x:c r="AC389" s="81" t="inlineStr">
        <x:is>
          <x:t xml:space="preserve">Không release chung; death-sensitive.</x:t>
        </x:is>
      </x:c>
      <x:c r="AD389" s="81" t="inlineStr">
        <x:is>
          <x:t xml:space="preserve">Needs editorial review</x:t>
        </x:is>
      </x:c>
      <x:c r="AE389" s="81" t="inlineStr">
        <x:is>
          <x:t xml:space="preserve">Needs semantic dedupe review</x:t>
        </x:is>
      </x:c>
      <x:c r="AF389" s="81" t="str"/>
      <x:c r="AG389" s="81" t="str"/>
      <x:c r="AH389" s="81" t="inlineStr">
        <x:is>
          <x:t xml:space="preserve">No</x:t>
        </x:is>
      </x:c>
      <x:c r="AI389" s="81" t="inlineStr">
        <x:is>
          <x:t xml:space="preserve">Not reviewed</x:t>
        </x:is>
      </x:c>
      <x:c r="AJ389" s="81" t="inlineStr">
        <x:is>
          <x:t xml:space="preserve">Research only</x:t>
        </x:is>
      </x:c>
      <x:c r="AK389" s="81" t="inlineStr">
        <x:is>
          <x:t xml:space="preserve">Research Pool</x:t>
        </x:is>
      </x:c>
      <x:c r="AL389" s="81" t="n">
        <x:v>5</x:v>
      </x:c>
      <x:c r="AM389" s="81" t="inlineStr">
        <x:is>
          <x:t xml:space="preserve">ChatGPT research</x:t>
        </x:is>
      </x:c>
      <x:c r="AN389" s="81" t="inlineStr">
        <x:is>
          <x:t xml:space="preserve">2026-09-18</x:t>
        </x:is>
      </x:c>
      <x:c r="AO389" s="81" t="inlineStr">
        <x:is>
          <x:t xml:space="preserve">Day 5 full-scope first-pass audit of all 8 Liezi chapters.</x:t>
        </x:is>
      </x:c>
    </x:row>
    <x:row r="390">
      <x:c r="A390" s="81" t="inlineStr">
        <x:is>
          <x:t xml:space="preserve">research.liezi.day5.ch01.012</x:t>
        </x:is>
      </x:c>
      <x:c r="B390" s="81" t="inlineStr">
        <x:is>
          <x:t xml:space="preserve">Collected</x:t>
        </x:is>
      </x:c>
      <x:c r="C390" s="81" t="inlineStr">
        <x:is>
          <x:t xml:space="preserve">Nội tâm &amp; hiểu mình</x:t>
        </x:is>
      </x:c>
      <x:c r="D390" s="81" t="inlineStr">
        <x:is>
          <x:t xml:space="preserve">Day 5 / Liezi — full 8 chapters</x:t>
        </x:is>
      </x:c>
      <x:c r="E390" s="81" t="str"/>
      <x:c r="F390" s="81" t="inlineStr">
        <x:is>
          <x:t xml:space="preserve">Tan rã không nhất thiết chỉ là kết thúc</x:t>
        </x:is>
      </x:c>
      <x:c r="G390" s="81" t="inlineStr">
        <x:is>
          <x:t xml:space="preserve">Change</x:t>
        </x:is>
      </x:c>
      <x:c r="H390" s="81" t="str"/>
      <x:c r="I390" s="81" t="str"/>
      <x:c r="J390" s="81" t="str"/>
      <x:c r="K390" s="81" t="inlineStr">
        <x:is>
          <x:t xml:space="preserve">Reframe</x:t>
        </x:is>
      </x:c>
      <x:c r="L390" s="81" t="inlineStr">
        <x:is>
          <x:t xml:space="preserve">Recognize</x:t>
        </x:is>
      </x:c>
      <x:c r="M390" s="81" t="inlineStr">
        <x:is>
          <x:t xml:space="preserve">Trích đoạn triết học / 寓言</x:t>
        </x:is>
      </x:c>
      <x:c r="N390" s="81" t="inlineStr">
        <x:is>
          <x:t xml:space="preserve">聚則成形，散則成始。</x:t>
        </x:is>
      </x:c>
      <x:c r="O390" s="81" t="inlineStr">
        <x:is>
          <x:t xml:space="preserve">Classical Chinese (文言文)</x:t>
        </x:is>
      </x:c>
      <x:c r="P390" s="81" t="inlineStr">
        <x:is>
          <x:t xml:space="preserve">Tụ lại thì thành hình; tan ra lại trở về một khởi điểm khác.</x:t>
        </x:is>
      </x:c>
      <x:c r="Q390" s="81" t="inlineStr">
        <x:is>
          <x:t xml:space="preserve">Liezi / 列子 (received text; attribution debated)</x:t>
        </x:is>
      </x:c>
      <x:c r="R390" s="81" t="inlineStr">
        <x:is>
          <x:t xml:space="preserve">Daoist / China</x:t>
        </x:is>
      </x:c>
      <x:c r="S390" s="81" t="inlineStr">
        <x:is>
          <x:t xml:space="preserve">列子 / Liezi</x:t>
        </x:is>
      </x:c>
      <x:c r="T390" s="81" t="inlineStr">
        <x:is>
          <x:t xml:space="preserve">Chapter 1 — 天瑞</x:t>
        </x:is>
      </x:c>
      <x:c r="U390" s="81" t="inlineStr">
        <x:is>
          <x:t xml:space="preserve">https://ctext.org/liezi/zh</x:t>
        </x:is>
      </x:c>
      <x:c r="V390" s="81" t="inlineStr">
        <x:is>
          <x:t xml:space="preserve">Primary text / digital corpus</x:t>
        </x:is>
      </x:c>
      <x:c r="W390" s="81" t="inlineStr">
        <x:is>
          <x:t xml:space="preserve">Working translation</x:t>
        </x:is>
      </x:c>
      <x:c r="X390" s="81" t="inlineStr">
        <x:is>
          <x:t xml:space="preserve">A - Primary source</x:t>
        </x:is>
      </x:c>
      <x:c r="Y390" s="81" t="inlineStr">
        <x:is>
          <x:t xml:space="preserve">Original Classical Chinese collected from the received Liezi tradition and cross-checked against Chinese Text Project chapter structure. Vietnamese is Selflo working translation; not a published translation.</x:t>
        </x:is>
      </x:c>
      <x:c r="Z390" s="81" t="inlineStr">
        <x:is>
          <x:t xml:space="preserve">Public domain ancient text / edition terms to verify</x:t>
        </x:is>
      </x:c>
      <x:c r="AA390" s="81" t="inlineStr">
        <x:is>
          <x:t xml:space="preserve">Ancient text is public domain; do not copy modern copyrighted translations/commentaries. Attribution and textual history require editorial caution.</x:t>
        </x:is>
      </x:c>
      <x:c r="AB390" s="81" t="inlineStr">
        <x:is>
          <x:t xml:space="preserve">Medium</x:t>
        </x:is>
      </x:c>
      <x:c r="AC390" s="81" t="inlineStr">
        <x:is>
          <x:t xml:space="preserve">Metaphysical.</x:t>
        </x:is>
      </x:c>
      <x:c r="AD390" s="81" t="inlineStr">
        <x:is>
          <x:t xml:space="preserve">Needs editorial review</x:t>
        </x:is>
      </x:c>
      <x:c r="AE390" s="81" t="inlineStr">
        <x:is>
          <x:t xml:space="preserve">Needs semantic dedupe review</x:t>
        </x:is>
      </x:c>
      <x:c r="AF390" s="81" t="str"/>
      <x:c r="AG390" s="81" t="str"/>
      <x:c r="AH390" s="81" t="inlineStr">
        <x:is>
          <x:t xml:space="preserve">No</x:t>
        </x:is>
      </x:c>
      <x:c r="AI390" s="81" t="inlineStr">
        <x:is>
          <x:t xml:space="preserve">Not reviewed</x:t>
        </x:is>
      </x:c>
      <x:c r="AJ390" s="81" t="inlineStr">
        <x:is>
          <x:t xml:space="preserve">Research only</x:t>
        </x:is>
      </x:c>
      <x:c r="AK390" s="81" t="inlineStr">
        <x:is>
          <x:t xml:space="preserve">Research Pool</x:t>
        </x:is>
      </x:c>
      <x:c r="AL390" s="81" t="n">
        <x:v>5</x:v>
      </x:c>
      <x:c r="AM390" s="81" t="inlineStr">
        <x:is>
          <x:t xml:space="preserve">ChatGPT research</x:t>
        </x:is>
      </x:c>
      <x:c r="AN390" s="81" t="inlineStr">
        <x:is>
          <x:t xml:space="preserve">2026-09-18</x:t>
        </x:is>
      </x:c>
      <x:c r="AO390" s="81" t="inlineStr">
        <x:is>
          <x:t xml:space="preserve">Day 5 full-scope first-pass audit of all 8 Liezi chapters.</x:t>
        </x:is>
      </x:c>
    </x:row>
    <x:row r="391">
      <x:c r="A391" s="81" t="inlineStr">
        <x:is>
          <x:t xml:space="preserve">research.liezi.day5.ch02.013</x:t>
        </x:is>
      </x:c>
      <x:c r="B391" s="81" t="inlineStr">
        <x:is>
          <x:t xml:space="preserve">Collected</x:t>
        </x:is>
      </x:c>
      <x:c r="C391" s="81" t="inlineStr">
        <x:is>
          <x:t xml:space="preserve">Công việc &amp; mục đích</x:t>
        </x:is>
      </x:c>
      <x:c r="D391" s="81" t="inlineStr">
        <x:is>
          <x:t xml:space="preserve">Day 5 / Liezi — full 8 chapters</x:t>
        </x:is>
      </x:c>
      <x:c r="E391" s="81" t="str"/>
      <x:c r="F391" s="81" t="inlineStr">
        <x:is>
          <x:t xml:space="preserve">Kết quả đúng chưa chắc nghĩa là đã hiểu</x:t>
        </x:is>
      </x:c>
      <x:c r="G391" s="81" t="inlineStr">
        <x:is>
          <x:t xml:space="preserve">Learning</x:t>
        </x:is>
      </x:c>
      <x:c r="H391" s="81" t="str"/>
      <x:c r="I391" s="81" t="str"/>
      <x:c r="J391" s="81" t="str"/>
      <x:c r="K391" s="81" t="inlineStr">
        <x:is>
          <x:t xml:space="preserve">Recognize</x:t>
        </x:is>
      </x:c>
      <x:c r="L391" s="81" t="inlineStr">
        <x:is>
          <x:t xml:space="preserve">Distinguish</x:t>
        </x:is>
      </x:c>
      <x:c r="M391" s="81" t="inlineStr">
        <x:is>
          <x:t xml:space="preserve">Trích đoạn triết học / 寓言</x:t>
        </x:is>
      </x:c>
      <x:c r="N391" s="81" t="inlineStr">
        <x:is>
          <x:t xml:space="preserve">列子學射，中矣，請於關尹子。</x:t>
        </x:is>
      </x:c>
      <x:c r="O391" s="81" t="inlineStr">
        <x:is>
          <x:t xml:space="preserve">Classical Chinese (文言文)</x:t>
        </x:is>
      </x:c>
      <x:c r="P391" s="81" t="inlineStr">
        <x:is>
          <x:t xml:space="preserve">Liệt Tử bắn trúng rồi đi hỏi Quan Doãn Tử.</x:t>
        </x:is>
      </x:c>
      <x:c r="Q391" s="81" t="inlineStr">
        <x:is>
          <x:t xml:space="preserve">Liezi / 列子 (received text; attribution debated)</x:t>
        </x:is>
      </x:c>
      <x:c r="R391" s="81" t="inlineStr">
        <x:is>
          <x:t xml:space="preserve">Daoist / China</x:t>
        </x:is>
      </x:c>
      <x:c r="S391" s="81" t="inlineStr">
        <x:is>
          <x:t xml:space="preserve">列子 / Liezi</x:t>
        </x:is>
      </x:c>
      <x:c r="T391" s="81" t="inlineStr">
        <x:is>
          <x:t xml:space="preserve">Chapter 2 — 黃帝</x:t>
        </x:is>
      </x:c>
      <x:c r="U391" s="81" t="inlineStr">
        <x:is>
          <x:t xml:space="preserve">https://ctext.org/liezi/zh</x:t>
        </x:is>
      </x:c>
      <x:c r="V391" s="81" t="inlineStr">
        <x:is>
          <x:t xml:space="preserve">Primary text / digital corpus</x:t>
        </x:is>
      </x:c>
      <x:c r="W391" s="81" t="inlineStr">
        <x:is>
          <x:t xml:space="preserve">Working translation</x:t>
        </x:is>
      </x:c>
      <x:c r="X391" s="81" t="inlineStr">
        <x:is>
          <x:t xml:space="preserve">A - Primary source</x:t>
        </x:is>
      </x:c>
      <x:c r="Y391" s="81" t="inlineStr">
        <x:is>
          <x:t xml:space="preserve">Original Classical Chinese collected from the received Liezi tradition and cross-checked against Chinese Text Project chapter structure. Vietnamese is Selflo working translation; not a published translation.</x:t>
        </x:is>
      </x:c>
      <x:c r="Z391" s="81" t="inlineStr">
        <x:is>
          <x:t xml:space="preserve">Public domain ancient text / edition terms to verify</x:t>
        </x:is>
      </x:c>
      <x:c r="AA391" s="81" t="inlineStr">
        <x:is>
          <x:t xml:space="preserve">Ancient text is public domain; do not copy modern copyrighted translations/commentaries. Attribution and textual history require editorial caution.</x:t>
        </x:is>
      </x:c>
      <x:c r="AB391" s="81" t="inlineStr">
        <x:is>
          <x:t xml:space="preserve">High</x:t>
        </x:is>
      </x:c>
      <x:c r="AC391" s="81" t="inlineStr">
        <x:is>
          <x:t xml:space="preserve">Anchor story: hitting target.</x:t>
        </x:is>
      </x:c>
      <x:c r="AD391" s="81" t="inlineStr">
        <x:is>
          <x:t xml:space="preserve">Needs editorial review</x:t>
        </x:is>
      </x:c>
      <x:c r="AE391" s="81" t="inlineStr">
        <x:is>
          <x:t xml:space="preserve">Needs semantic dedupe review</x:t>
        </x:is>
      </x:c>
      <x:c r="AF391" s="81" t="str"/>
      <x:c r="AG391" s="81" t="str"/>
      <x:c r="AH391" s="81" t="inlineStr">
        <x:is>
          <x:t xml:space="preserve">No</x:t>
        </x:is>
      </x:c>
      <x:c r="AI391" s="81" t="inlineStr">
        <x:is>
          <x:t xml:space="preserve">Not reviewed</x:t>
        </x:is>
      </x:c>
      <x:c r="AJ391" s="81" t="inlineStr">
        <x:is>
          <x:t xml:space="preserve">Research only</x:t>
        </x:is>
      </x:c>
      <x:c r="AK391" s="81" t="inlineStr">
        <x:is>
          <x:t xml:space="preserve">Research Pool</x:t>
        </x:is>
      </x:c>
      <x:c r="AL391" s="81" t="n">
        <x:v>5</x:v>
      </x:c>
      <x:c r="AM391" s="81" t="inlineStr">
        <x:is>
          <x:t xml:space="preserve">ChatGPT research</x:t>
        </x:is>
      </x:c>
      <x:c r="AN391" s="81" t="inlineStr">
        <x:is>
          <x:t xml:space="preserve">2026-09-18</x:t>
        </x:is>
      </x:c>
      <x:c r="AO391" s="81" t="inlineStr">
        <x:is>
          <x:t xml:space="preserve">Day 5 full-scope first-pass audit of all 8 Liezi chapters.</x:t>
        </x:is>
      </x:c>
    </x:row>
    <x:row r="392">
      <x:c r="A392" s="81" t="inlineStr">
        <x:is>
          <x:t xml:space="preserve">research.liezi.day5.ch02.014</x:t>
        </x:is>
      </x:c>
      <x:c r="B392" s="81" t="inlineStr">
        <x:is>
          <x:t xml:space="preserve">Collected</x:t>
        </x:is>
      </x:c>
      <x:c r="C392" s="81" t="inlineStr">
        <x:is>
          <x:t xml:space="preserve">AI &amp; tương lai</x:t>
        </x:is>
      </x:c>
      <x:c r="D392" s="81" t="inlineStr">
        <x:is>
          <x:t xml:space="preserve">Day 5 / Liezi — full 8 chapters</x:t>
        </x:is>
      </x:c>
      <x:c r="E392" s="81" t="str"/>
      <x:c r="F392" s="81" t="inlineStr">
        <x:is>
          <x:t xml:space="preserve">Kết quả và hiểu nguyên nhân là hai việc khác nhau</x:t>
        </x:is>
      </x:c>
      <x:c r="G392" s="81" t="inlineStr">
        <x:is>
          <x:t xml:space="preserve">Judgment</x:t>
        </x:is>
      </x:c>
      <x:c r="H392" s="81" t="str"/>
      <x:c r="I392" s="81" t="str"/>
      <x:c r="J392" s="81" t="str"/>
      <x:c r="K392" s="81" t="inlineStr">
        <x:is>
          <x:t xml:space="preserve">Distinguish</x:t>
        </x:is>
      </x:c>
      <x:c r="L392" s="81" t="inlineStr">
        <x:is>
          <x:t xml:space="preserve">Recognize</x:t>
        </x:is>
      </x:c>
      <x:c r="M392" s="81" t="inlineStr">
        <x:is>
          <x:t xml:space="preserve">Trích đoạn triết học / 寓言</x:t>
        </x:is>
      </x:c>
      <x:c r="N392" s="81" t="inlineStr">
        <x:is>
          <x:t xml:space="preserve">子知子之所以中者乎？</x:t>
        </x:is>
      </x:c>
      <x:c r="O392" s="81" t="inlineStr">
        <x:is>
          <x:t xml:space="preserve">Classical Chinese (文言文)</x:t>
        </x:is>
      </x:c>
      <x:c r="P392" s="81" t="inlineStr">
        <x:is>
          <x:t xml:space="preserve">Anh có biết vì sao mình bắn trúng không?</x:t>
        </x:is>
      </x:c>
      <x:c r="Q392" s="81" t="inlineStr">
        <x:is>
          <x:t xml:space="preserve">Liezi / 列子 (received text; attribution debated)</x:t>
        </x:is>
      </x:c>
      <x:c r="R392" s="81" t="inlineStr">
        <x:is>
          <x:t xml:space="preserve">Daoist / China</x:t>
        </x:is>
      </x:c>
      <x:c r="S392" s="81" t="inlineStr">
        <x:is>
          <x:t xml:space="preserve">列子 / Liezi</x:t>
        </x:is>
      </x:c>
      <x:c r="T392" s="81" t="inlineStr">
        <x:is>
          <x:t xml:space="preserve">Chapter 2 — 黃帝</x:t>
        </x:is>
      </x:c>
      <x:c r="U392" s="81" t="inlineStr">
        <x:is>
          <x:t xml:space="preserve">https://ctext.org/liezi/zh</x:t>
        </x:is>
      </x:c>
      <x:c r="V392" s="81" t="inlineStr">
        <x:is>
          <x:t xml:space="preserve">Primary text / digital corpus</x:t>
        </x:is>
      </x:c>
      <x:c r="W392" s="81" t="inlineStr">
        <x:is>
          <x:t xml:space="preserve">Working translation</x:t>
        </x:is>
      </x:c>
      <x:c r="X392" s="81" t="inlineStr">
        <x:is>
          <x:t xml:space="preserve">A - Primary source</x:t>
        </x:is>
      </x:c>
      <x:c r="Y392" s="81" t="inlineStr">
        <x:is>
          <x:t xml:space="preserve">Original Classical Chinese collected from the received Liezi tradition and cross-checked against Chinese Text Project chapter structure. Vietnamese is Selflo working translation; not a published translation.</x:t>
        </x:is>
      </x:c>
      <x:c r="Z392" s="81" t="inlineStr">
        <x:is>
          <x:t xml:space="preserve">Public domain ancient text / edition terms to verify</x:t>
        </x:is>
      </x:c>
      <x:c r="AA392" s="81" t="inlineStr">
        <x:is>
          <x:t xml:space="preserve">Ancient text is public domain; do not copy modern copyrighted translations/commentaries. Attribution and textual history require editorial caution.</x:t>
        </x:is>
      </x:c>
      <x:c r="AB392" s="81" t="inlineStr">
        <x:is>
          <x:t xml:space="preserve">High</x:t>
        </x:is>
      </x:c>
      <x:c r="AC392" s="81" t="inlineStr">
        <x:is>
          <x:t xml:space="preserve">Rất hợp AI/model evaluation.</x:t>
        </x:is>
      </x:c>
      <x:c r="AD392" s="81" t="inlineStr">
        <x:is>
          <x:t xml:space="preserve">Needs editorial review</x:t>
        </x:is>
      </x:c>
      <x:c r="AE392" s="81" t="inlineStr">
        <x:is>
          <x:t xml:space="preserve">Needs semantic dedupe review</x:t>
        </x:is>
      </x:c>
      <x:c r="AF392" s="81" t="str"/>
      <x:c r="AG392" s="81" t="str"/>
      <x:c r="AH392" s="81" t="inlineStr">
        <x:is>
          <x:t xml:space="preserve">No</x:t>
        </x:is>
      </x:c>
      <x:c r="AI392" s="81" t="inlineStr">
        <x:is>
          <x:t xml:space="preserve">Not reviewed</x:t>
        </x:is>
      </x:c>
      <x:c r="AJ392" s="81" t="inlineStr">
        <x:is>
          <x:t xml:space="preserve">Research only</x:t>
        </x:is>
      </x:c>
      <x:c r="AK392" s="81" t="inlineStr">
        <x:is>
          <x:t xml:space="preserve">Research Pool</x:t>
        </x:is>
      </x:c>
      <x:c r="AL392" s="81" t="n">
        <x:v>5</x:v>
      </x:c>
      <x:c r="AM392" s="81" t="inlineStr">
        <x:is>
          <x:t xml:space="preserve">ChatGPT research</x:t>
        </x:is>
      </x:c>
      <x:c r="AN392" s="81" t="inlineStr">
        <x:is>
          <x:t xml:space="preserve">2026-09-18</x:t>
        </x:is>
      </x:c>
      <x:c r="AO392" s="81" t="inlineStr">
        <x:is>
          <x:t xml:space="preserve">Day 5 full-scope first-pass audit of all 8 Liezi chapters.</x:t>
        </x:is>
      </x:c>
    </x:row>
    <x:row r="393">
      <x:c r="A393" s="81" t="inlineStr">
        <x:is>
          <x:t xml:space="preserve">research.liezi.day5.ch02.015</x:t>
        </x:is>
      </x:c>
      <x:c r="B393" s="81" t="inlineStr">
        <x:is>
          <x:t xml:space="preserve">Collected</x:t>
        </x:is>
      </x:c>
      <x:c r="C393" s="81" t="inlineStr">
        <x:is>
          <x:t xml:space="preserve">AI &amp; tương lai</x:t>
        </x:is>
      </x:c>
      <x:c r="D393" s="81" t="inlineStr">
        <x:is>
          <x:t xml:space="preserve">Day 5 / Liezi — full 8 chapters</x:t>
        </x:is>
      </x:c>
      <x:c r="E393" s="81" t="str"/>
      <x:c r="F393" s="81" t="inlineStr">
        <x:is>
          <x:t xml:space="preserve">Không biết có thể là câu trả lời trung thực</x:t>
        </x:is>
      </x:c>
      <x:c r="G393" s="81" t="inlineStr">
        <x:is>
          <x:t xml:space="preserve">Judgment</x:t>
        </x:is>
      </x:c>
      <x:c r="H393" s="81" t="str"/>
      <x:c r="I393" s="81" t="str"/>
      <x:c r="J393" s="81" t="str"/>
      <x:c r="K393" s="81" t="inlineStr">
        <x:is>
          <x:t xml:space="preserve">Permit</x:t>
        </x:is>
      </x:c>
      <x:c r="L393" s="81" t="inlineStr">
        <x:is>
          <x:t xml:space="preserve">Recognize</x:t>
        </x:is>
      </x:c>
      <x:c r="M393" s="81" t="inlineStr">
        <x:is>
          <x:t xml:space="preserve">Trích đoạn triết học / 寓言</x:t>
        </x:is>
      </x:c>
      <x:c r="N393" s="81" t="inlineStr">
        <x:is>
          <x:t xml:space="preserve">弗知也。</x:t>
        </x:is>
      </x:c>
      <x:c r="O393" s="81" t="inlineStr">
        <x:is>
          <x:t xml:space="preserve">Classical Chinese (文言文)</x:t>
        </x:is>
      </x:c>
      <x:c r="P393" s="81" t="inlineStr">
        <x:is>
          <x:t xml:space="preserve">Không biết.</x:t>
        </x:is>
      </x:c>
      <x:c r="Q393" s="81" t="inlineStr">
        <x:is>
          <x:t xml:space="preserve">Liezi / 列子 (received text; attribution debated)</x:t>
        </x:is>
      </x:c>
      <x:c r="R393" s="81" t="inlineStr">
        <x:is>
          <x:t xml:space="preserve">Daoist / China</x:t>
        </x:is>
      </x:c>
      <x:c r="S393" s="81" t="inlineStr">
        <x:is>
          <x:t xml:space="preserve">列子 / Liezi</x:t>
        </x:is>
      </x:c>
      <x:c r="T393" s="81" t="inlineStr">
        <x:is>
          <x:t xml:space="preserve">Chapter 2 — 黃帝</x:t>
        </x:is>
      </x:c>
      <x:c r="U393" s="81" t="inlineStr">
        <x:is>
          <x:t xml:space="preserve">https://ctext.org/liezi/zh</x:t>
        </x:is>
      </x:c>
      <x:c r="V393" s="81" t="inlineStr">
        <x:is>
          <x:t xml:space="preserve">Primary text / digital corpus</x:t>
        </x:is>
      </x:c>
      <x:c r="W393" s="81" t="inlineStr">
        <x:is>
          <x:t xml:space="preserve">Working translation</x:t>
        </x:is>
      </x:c>
      <x:c r="X393" s="81" t="inlineStr">
        <x:is>
          <x:t xml:space="preserve">A - Primary source</x:t>
        </x:is>
      </x:c>
      <x:c r="Y393" s="81" t="inlineStr">
        <x:is>
          <x:t xml:space="preserve">Original Classical Chinese collected from the received Liezi tradition and cross-checked against Chinese Text Project chapter structure. Vietnamese is Selflo working translation; not a published translation.</x:t>
        </x:is>
      </x:c>
      <x:c r="Z393" s="81" t="inlineStr">
        <x:is>
          <x:t xml:space="preserve">Public domain ancient text / edition terms to verify</x:t>
        </x:is>
      </x:c>
      <x:c r="AA393" s="81" t="inlineStr">
        <x:is>
          <x:t xml:space="preserve">Ancient text is public domain; do not copy modern copyrighted translations/commentaries. Attribution and textual history require editorial caution.</x:t>
        </x:is>
      </x:c>
      <x:c r="AB393" s="81" t="inlineStr">
        <x:is>
          <x:t xml:space="preserve">High</x:t>
        </x:is>
      </x:c>
      <x:c r="AC393" s="81" t="inlineStr">
        <x:is>
          <x:t xml:space="preserve">Core Selflo.</x:t>
        </x:is>
      </x:c>
      <x:c r="AD393" s="81" t="inlineStr">
        <x:is>
          <x:t xml:space="preserve">Needs editorial review</x:t>
        </x:is>
      </x:c>
      <x:c r="AE393" s="81" t="inlineStr">
        <x:is>
          <x:t xml:space="preserve">Needs semantic dedupe review</x:t>
        </x:is>
      </x:c>
      <x:c r="AF393" s="81" t="str"/>
      <x:c r="AG393" s="81" t="str"/>
      <x:c r="AH393" s="81" t="inlineStr">
        <x:is>
          <x:t xml:space="preserve">No</x:t>
        </x:is>
      </x:c>
      <x:c r="AI393" s="81" t="inlineStr">
        <x:is>
          <x:t xml:space="preserve">Not reviewed</x:t>
        </x:is>
      </x:c>
      <x:c r="AJ393" s="81" t="inlineStr">
        <x:is>
          <x:t xml:space="preserve">Research only</x:t>
        </x:is>
      </x:c>
      <x:c r="AK393" s="81" t="inlineStr">
        <x:is>
          <x:t xml:space="preserve">Research Pool</x:t>
        </x:is>
      </x:c>
      <x:c r="AL393" s="81" t="n">
        <x:v>5</x:v>
      </x:c>
      <x:c r="AM393" s="81" t="inlineStr">
        <x:is>
          <x:t xml:space="preserve">ChatGPT research</x:t>
        </x:is>
      </x:c>
      <x:c r="AN393" s="81" t="inlineStr">
        <x:is>
          <x:t xml:space="preserve">2026-09-18</x:t>
        </x:is>
      </x:c>
      <x:c r="AO393" s="81" t="inlineStr">
        <x:is>
          <x:t xml:space="preserve">Day 5 full-scope first-pass audit of all 8 Liezi chapters.</x:t>
        </x:is>
      </x:c>
    </x:row>
    <x:row r="394">
      <x:c r="A394" s="81" t="inlineStr">
        <x:is>
          <x:t xml:space="preserve">research.liezi.day5.ch02.016</x:t>
        </x:is>
      </x:c>
      <x:c r="B394" s="81" t="inlineStr">
        <x:is>
          <x:t xml:space="preserve">Collected</x:t>
        </x:is>
      </x:c>
      <x:c r="C394" s="81" t="inlineStr">
        <x:is>
          <x:t xml:space="preserve">Công việc &amp; mục đích</x:t>
        </x:is>
      </x:c>
      <x:c r="D394" s="81" t="inlineStr">
        <x:is>
          <x:t xml:space="preserve">Day 5 / Liezi — full 8 chapters</x:t>
        </x:is>
      </x:c>
      <x:c r="E394" s="81" t="str"/>
      <x:c r="F394" s="81" t="inlineStr">
        <x:is>
          <x:t xml:space="preserve">Một lần thành công không chứng minh mastery</x:t>
        </x:is>
      </x:c>
      <x:c r="G394" s="81" t="inlineStr">
        <x:is>
          <x:t xml:space="preserve">Learning</x:t>
        </x:is>
      </x:c>
      <x:c r="H394" s="81" t="str"/>
      <x:c r="I394" s="81" t="str"/>
      <x:c r="J394" s="81" t="str"/>
      <x:c r="K394" s="81" t="inlineStr">
        <x:is>
          <x:t xml:space="preserve">Distinguish</x:t>
        </x:is>
      </x:c>
      <x:c r="L394" s="81" t="inlineStr">
        <x:is>
          <x:t xml:space="preserve">Recognize</x:t>
        </x:is>
      </x:c>
      <x:c r="M394" s="81" t="inlineStr">
        <x:is>
          <x:t xml:space="preserve">Trích đoạn triết học / 寓言</x:t>
        </x:is>
      </x:c>
      <x:c r="N394" s="81" t="inlineStr">
        <x:is>
          <x:t xml:space="preserve">知之未也。</x:t>
        </x:is>
      </x:c>
      <x:c r="O394" s="81" t="inlineStr">
        <x:is>
          <x:t xml:space="preserve">Classical Chinese (文言文)</x:t>
        </x:is>
      </x:c>
      <x:c r="P394" s="81" t="inlineStr">
        <x:is>
          <x:t xml:space="preserve">Vẫn chưa thật sự biết.</x:t>
        </x:is>
      </x:c>
      <x:c r="Q394" s="81" t="inlineStr">
        <x:is>
          <x:t xml:space="preserve">Liezi / 列子 (received text; attribution debated)</x:t>
        </x:is>
      </x:c>
      <x:c r="R394" s="81" t="inlineStr">
        <x:is>
          <x:t xml:space="preserve">Daoist / China</x:t>
        </x:is>
      </x:c>
      <x:c r="S394" s="81" t="inlineStr">
        <x:is>
          <x:t xml:space="preserve">列子 / Liezi</x:t>
        </x:is>
      </x:c>
      <x:c r="T394" s="81" t="inlineStr">
        <x:is>
          <x:t xml:space="preserve">Chapter 2 — 黃帝</x:t>
        </x:is>
      </x:c>
      <x:c r="U394" s="81" t="inlineStr">
        <x:is>
          <x:t xml:space="preserve">https://ctext.org/liezi/zh</x:t>
        </x:is>
      </x:c>
      <x:c r="V394" s="81" t="inlineStr">
        <x:is>
          <x:t xml:space="preserve">Primary text / digital corpus</x:t>
        </x:is>
      </x:c>
      <x:c r="W394" s="81" t="inlineStr">
        <x:is>
          <x:t xml:space="preserve">Working translation</x:t>
        </x:is>
      </x:c>
      <x:c r="X394" s="81" t="inlineStr">
        <x:is>
          <x:t xml:space="preserve">A - Primary source</x:t>
        </x:is>
      </x:c>
      <x:c r="Y394" s="81" t="inlineStr">
        <x:is>
          <x:t xml:space="preserve">Original Classical Chinese collected from the received Liezi tradition and cross-checked against Chinese Text Project chapter structure. Vietnamese is Selflo working translation; not a published translation.</x:t>
        </x:is>
      </x:c>
      <x:c r="Z394" s="81" t="inlineStr">
        <x:is>
          <x:t xml:space="preserve">Public domain ancient text / edition terms to verify</x:t>
        </x:is>
      </x:c>
      <x:c r="AA394" s="81" t="inlineStr">
        <x:is>
          <x:t xml:space="preserve">Ancient text is public domain; do not copy modern copyrighted translations/commentaries. Attribution and textual history require editorial caution.</x:t>
        </x:is>
      </x:c>
      <x:c r="AB394" s="81" t="inlineStr">
        <x:is>
          <x:t xml:space="preserve">High</x:t>
        </x:is>
      </x:c>
      <x:c r="AC394" s="81" t="inlineStr">
        <x:is>
          <x:t xml:space="preserve">Strong.</x:t>
        </x:is>
      </x:c>
      <x:c r="AD394" s="81" t="inlineStr">
        <x:is>
          <x:t xml:space="preserve">Needs editorial review</x:t>
        </x:is>
      </x:c>
      <x:c r="AE394" s="81" t="inlineStr">
        <x:is>
          <x:t xml:space="preserve">Needs semantic dedupe review</x:t>
        </x:is>
      </x:c>
      <x:c r="AF394" s="81" t="str"/>
      <x:c r="AG394" s="81" t="str"/>
      <x:c r="AH394" s="81" t="inlineStr">
        <x:is>
          <x:t xml:space="preserve">No</x:t>
        </x:is>
      </x:c>
      <x:c r="AI394" s="81" t="inlineStr">
        <x:is>
          <x:t xml:space="preserve">Not reviewed</x:t>
        </x:is>
      </x:c>
      <x:c r="AJ394" s="81" t="inlineStr">
        <x:is>
          <x:t xml:space="preserve">Research only</x:t>
        </x:is>
      </x:c>
      <x:c r="AK394" s="81" t="inlineStr">
        <x:is>
          <x:t xml:space="preserve">Research Pool</x:t>
        </x:is>
      </x:c>
      <x:c r="AL394" s="81" t="n">
        <x:v>5</x:v>
      </x:c>
      <x:c r="AM394" s="81" t="inlineStr">
        <x:is>
          <x:t xml:space="preserve">ChatGPT research</x:t>
        </x:is>
      </x:c>
      <x:c r="AN394" s="81" t="inlineStr">
        <x:is>
          <x:t xml:space="preserve">2026-09-18</x:t>
        </x:is>
      </x:c>
      <x:c r="AO394" s="81" t="inlineStr">
        <x:is>
          <x:t xml:space="preserve">Day 5 full-scope first-pass audit of all 8 Liezi chapters.</x:t>
        </x:is>
      </x:c>
    </x:row>
    <x:row r="395">
      <x:c r="A395" s="81" t="inlineStr">
        <x:is>
          <x:t xml:space="preserve">research.liezi.day5.ch02.017</x:t>
        </x:is>
      </x:c>
      <x:c r="B395" s="81" t="inlineStr">
        <x:is>
          <x:t xml:space="preserve">Collected</x:t>
        </x:is>
      </x:c>
      <x:c r="C395" s="81" t="inlineStr">
        <x:is>
          <x:t xml:space="preserve">Công việc &amp; mục đích</x:t>
        </x:is>
      </x:c>
      <x:c r="D395" s="81" t="inlineStr">
        <x:is>
          <x:t xml:space="preserve">Day 5 / Liezi — full 8 chapters</x:t>
        </x:is>
      </x:c>
      <x:c r="E395" s="81" t="str"/>
      <x:c r="F395" s="81" t="inlineStr">
        <x:is>
          <x:t xml:space="preserve">Thành thạo có thể giảm cảm giác cưỡng ép</x:t>
        </x:is>
      </x:c>
      <x:c r="G395" s="81" t="inlineStr">
        <x:is>
          <x:t xml:space="preserve">Mastery</x:t>
        </x:is>
      </x:c>
      <x:c r="H395" s="81" t="str"/>
      <x:c r="I395" s="81" t="str"/>
      <x:c r="J395" s="81" t="str"/>
      <x:c r="K395" s="81" t="inlineStr">
        <x:is>
          <x:t xml:space="preserve">Reframe</x:t>
        </x:is>
      </x:c>
      <x:c r="L395" s="81" t="inlineStr">
        <x:is>
          <x:t xml:space="preserve">Recognize</x:t>
        </x:is>
      </x:c>
      <x:c r="M395" s="81" t="inlineStr">
        <x:is>
          <x:t xml:space="preserve">Trích đoạn triết học / 寓言</x:t>
        </x:is>
      </x:c>
      <x:c r="N395" s="81" t="inlineStr">
        <x:is>
          <x:t xml:space="preserve">至為為無為，至言為無言，至射為不射。</x:t>
        </x:is>
      </x:c>
      <x:c r="O395" s="81" t="inlineStr">
        <x:is>
          <x:t xml:space="preserve">Classical Chinese (文言文)</x:t>
        </x:is>
      </x:c>
      <x:c r="P395" s="81" t="inlineStr">
        <x:is>
          <x:t xml:space="preserve">Ở mức sâu, hành động không còn là cưỡng làm; lời không còn cần phô lời; bắn không còn chỉ là cố bắn.</x:t>
        </x:is>
      </x:c>
      <x:c r="Q395" s="81" t="inlineStr">
        <x:is>
          <x:t xml:space="preserve">Liezi / 列子 (received text; attribution debated)</x:t>
        </x:is>
      </x:c>
      <x:c r="R395" s="81" t="inlineStr">
        <x:is>
          <x:t xml:space="preserve">Daoist / China</x:t>
        </x:is>
      </x:c>
      <x:c r="S395" s="81" t="inlineStr">
        <x:is>
          <x:t xml:space="preserve">列子 / Liezi</x:t>
        </x:is>
      </x:c>
      <x:c r="T395" s="81" t="inlineStr">
        <x:is>
          <x:t xml:space="preserve">Chapter 2 — 黃帝</x:t>
        </x:is>
      </x:c>
      <x:c r="U395" s="81" t="inlineStr">
        <x:is>
          <x:t xml:space="preserve">https://ctext.org/liezi/zh</x:t>
        </x:is>
      </x:c>
      <x:c r="V395" s="81" t="inlineStr">
        <x:is>
          <x:t xml:space="preserve">Primary text / digital corpus</x:t>
        </x:is>
      </x:c>
      <x:c r="W395" s="81" t="inlineStr">
        <x:is>
          <x:t xml:space="preserve">Working translation</x:t>
        </x:is>
      </x:c>
      <x:c r="X395" s="81" t="inlineStr">
        <x:is>
          <x:t xml:space="preserve">A - Primary source</x:t>
        </x:is>
      </x:c>
      <x:c r="Y395" s="81" t="inlineStr">
        <x:is>
          <x:t xml:space="preserve">Original Classical Chinese collected from the received Liezi tradition and cross-checked against Chinese Text Project chapter structure. Vietnamese is Selflo working translation; not a published translation.</x:t>
        </x:is>
      </x:c>
      <x:c r="Z395" s="81" t="inlineStr">
        <x:is>
          <x:t xml:space="preserve">Public domain ancient text / edition terms to verify</x:t>
        </x:is>
      </x:c>
      <x:c r="AA395" s="81" t="inlineStr">
        <x:is>
          <x:t xml:space="preserve">Ancient text is public domain; do not copy modern copyrighted translations/commentaries. Attribution and textual history require editorial caution.</x:t>
        </x:is>
      </x:c>
      <x:c r="AB395" s="81" t="inlineStr">
        <x:is>
          <x:t xml:space="preserve">Medium</x:t>
        </x:is>
      </x:c>
      <x:c r="AC395" s="81" t="inlineStr">
        <x:is>
          <x:t xml:space="preserve">Daoist paradox.</x:t>
        </x:is>
      </x:c>
      <x:c r="AD395" s="81" t="inlineStr">
        <x:is>
          <x:t xml:space="preserve">Needs editorial review</x:t>
        </x:is>
      </x:c>
      <x:c r="AE395" s="81" t="inlineStr">
        <x:is>
          <x:t xml:space="preserve">Needs semantic dedupe review</x:t>
        </x:is>
      </x:c>
      <x:c r="AF395" s="81" t="str"/>
      <x:c r="AG395" s="81" t="str"/>
      <x:c r="AH395" s="81" t="inlineStr">
        <x:is>
          <x:t xml:space="preserve">No</x:t>
        </x:is>
      </x:c>
      <x:c r="AI395" s="81" t="inlineStr">
        <x:is>
          <x:t xml:space="preserve">Not reviewed</x:t>
        </x:is>
      </x:c>
      <x:c r="AJ395" s="81" t="inlineStr">
        <x:is>
          <x:t xml:space="preserve">Research only</x:t>
        </x:is>
      </x:c>
      <x:c r="AK395" s="81" t="inlineStr">
        <x:is>
          <x:t xml:space="preserve">Research Pool</x:t>
        </x:is>
      </x:c>
      <x:c r="AL395" s="81" t="n">
        <x:v>5</x:v>
      </x:c>
      <x:c r="AM395" s="81" t="inlineStr">
        <x:is>
          <x:t xml:space="preserve">ChatGPT research</x:t>
        </x:is>
      </x:c>
      <x:c r="AN395" s="81" t="inlineStr">
        <x:is>
          <x:t xml:space="preserve">2026-09-18</x:t>
        </x:is>
      </x:c>
      <x:c r="AO395" s="81" t="inlineStr">
        <x:is>
          <x:t xml:space="preserve">Day 5 full-scope first-pass audit of all 8 Liezi chapters.</x:t>
        </x:is>
      </x:c>
    </x:row>
    <x:row r="396">
      <x:c r="A396" s="81" t="inlineStr">
        <x:is>
          <x:t xml:space="preserve">research.liezi.day5.ch02.018</x:t>
        </x:is>
      </x:c>
      <x:c r="B396" s="81" t="inlineStr">
        <x:is>
          <x:t xml:space="preserve">Collected</x:t>
        </x:is>
      </x:c>
      <x:c r="C396" s="81" t="inlineStr">
        <x:is>
          <x:t xml:space="preserve">Nội tâm &amp; hiểu mình</x:t>
        </x:is>
      </x:c>
      <x:c r="D396" s="81" t="inlineStr">
        <x:is>
          <x:t xml:space="preserve">Day 5 / Liezi — full 8 chapters</x:t>
        </x:is>
      </x:c>
      <x:c r="E396" s="81" t="str"/>
      <x:c r="F396" s="81" t="inlineStr">
        <x:is>
          <x:t xml:space="preserve">Tự hiểu cần cả bên trong lẫn bối cảnh</x:t>
        </x:is>
      </x:c>
      <x:c r="G396" s="81" t="inlineStr">
        <x:is>
          <x:t xml:space="preserve">Self-understanding</x:t>
        </x:is>
      </x:c>
      <x:c r="H396" s="81" t="str"/>
      <x:c r="I396" s="81" t="str"/>
      <x:c r="J396" s="81" t="str"/>
      <x:c r="K396" s="81" t="inlineStr">
        <x:is>
          <x:t xml:space="preserve">Recognize</x:t>
        </x:is>
      </x:c>
      <x:c r="L396" s="81" t="inlineStr">
        <x:is>
          <x:t xml:space="preserve">Distinguish</x:t>
        </x:is>
      </x:c>
      <x:c r="M396" s="81" t="inlineStr">
        <x:is>
          <x:t xml:space="preserve">Trích đoạn triết học / 寓言</x:t>
        </x:is>
      </x:c>
      <x:c r="N396" s="81" t="inlineStr">
        <x:is>
          <x:t xml:space="preserve">內觀其身，外觀其物。</x:t>
        </x:is>
      </x:c>
      <x:c r="O396" s="81" t="inlineStr">
        <x:is>
          <x:t xml:space="preserve">Classical Chinese (文言文)</x:t>
        </x:is>
      </x:c>
      <x:c r="P396" s="81" t="inlineStr">
        <x:is>
          <x:t xml:space="preserve">Nhìn vào mình, đồng thời nhìn ra hoàn cảnh.</x:t>
        </x:is>
      </x:c>
      <x:c r="Q396" s="81" t="inlineStr">
        <x:is>
          <x:t xml:space="preserve">Liezi / 列子 (received text; attribution debated)</x:t>
        </x:is>
      </x:c>
      <x:c r="R396" s="81" t="inlineStr">
        <x:is>
          <x:t xml:space="preserve">Daoist / China</x:t>
        </x:is>
      </x:c>
      <x:c r="S396" s="81" t="inlineStr">
        <x:is>
          <x:t xml:space="preserve">列子 / Liezi</x:t>
        </x:is>
      </x:c>
      <x:c r="T396" s="81" t="inlineStr">
        <x:is>
          <x:t xml:space="preserve">Chapter 2 — 黃帝</x:t>
        </x:is>
      </x:c>
      <x:c r="U396" s="81" t="inlineStr">
        <x:is>
          <x:t xml:space="preserve">https://ctext.org/liezi/zh</x:t>
        </x:is>
      </x:c>
      <x:c r="V396" s="81" t="inlineStr">
        <x:is>
          <x:t xml:space="preserve">Primary text / digital corpus</x:t>
        </x:is>
      </x:c>
      <x:c r="W396" s="81" t="inlineStr">
        <x:is>
          <x:t xml:space="preserve">Working translation</x:t>
        </x:is>
      </x:c>
      <x:c r="X396" s="81" t="inlineStr">
        <x:is>
          <x:t xml:space="preserve">A - Primary source</x:t>
        </x:is>
      </x:c>
      <x:c r="Y396" s="81" t="inlineStr">
        <x:is>
          <x:t xml:space="preserve">Original Classical Chinese collected from the received Liezi tradition and cross-checked against Chinese Text Project chapter structure. Vietnamese is Selflo working translation; not a published translation.</x:t>
        </x:is>
      </x:c>
      <x:c r="Z396" s="81" t="inlineStr">
        <x:is>
          <x:t xml:space="preserve">Public domain ancient text / edition terms to verify</x:t>
        </x:is>
      </x:c>
      <x:c r="AA396" s="81" t="inlineStr">
        <x:is>
          <x:t xml:space="preserve">Ancient text is public domain; do not copy modern copyrighted translations/commentaries. Attribution and textual history require editorial caution.</x:t>
        </x:is>
      </x:c>
      <x:c r="AB396" s="81" t="inlineStr">
        <x:is>
          <x:t xml:space="preserve">High</x:t>
        </x:is>
      </x:c>
      <x:c r="AC396" s="81" t="inlineStr">
        <x:is>
          <x:t xml:space="preserve">Excellent.</x:t>
        </x:is>
      </x:c>
      <x:c r="AD396" s="81" t="inlineStr">
        <x:is>
          <x:t xml:space="preserve">Needs editorial review</x:t>
        </x:is>
      </x:c>
      <x:c r="AE396" s="81" t="inlineStr">
        <x:is>
          <x:t xml:space="preserve">Needs semantic dedupe review</x:t>
        </x:is>
      </x:c>
      <x:c r="AF396" s="81" t="str"/>
      <x:c r="AG396" s="81" t="str"/>
      <x:c r="AH396" s="81" t="inlineStr">
        <x:is>
          <x:t xml:space="preserve">No</x:t>
        </x:is>
      </x:c>
      <x:c r="AI396" s="81" t="inlineStr">
        <x:is>
          <x:t xml:space="preserve">Not reviewed</x:t>
        </x:is>
      </x:c>
      <x:c r="AJ396" s="81" t="inlineStr">
        <x:is>
          <x:t xml:space="preserve">Research only</x:t>
        </x:is>
      </x:c>
      <x:c r="AK396" s="81" t="inlineStr">
        <x:is>
          <x:t xml:space="preserve">Research Pool</x:t>
        </x:is>
      </x:c>
      <x:c r="AL396" s="81" t="n">
        <x:v>5</x:v>
      </x:c>
      <x:c r="AM396" s="81" t="inlineStr">
        <x:is>
          <x:t xml:space="preserve">ChatGPT research</x:t>
        </x:is>
      </x:c>
      <x:c r="AN396" s="81" t="inlineStr">
        <x:is>
          <x:t xml:space="preserve">2026-09-18</x:t>
        </x:is>
      </x:c>
      <x:c r="AO396" s="81" t="inlineStr">
        <x:is>
          <x:t xml:space="preserve">Day 5 full-scope first-pass audit of all 8 Liezi chapters.</x:t>
        </x:is>
      </x:c>
    </x:row>
    <x:row r="397">
      <x:c r="A397" s="81" t="inlineStr">
        <x:is>
          <x:t xml:space="preserve">research.liezi.day5.ch02.019</x:t>
        </x:is>
      </x:c>
      <x:c r="B397" s="81" t="inlineStr">
        <x:is>
          <x:t xml:space="preserve">Collected</x:t>
        </x:is>
      </x:c>
      <x:c r="C397" s="81" t="inlineStr">
        <x:is>
          <x:t xml:space="preserve">AI &amp; tương lai</x:t>
        </x:is>
      </x:c>
      <x:c r="D397" s="81" t="inlineStr">
        <x:is>
          <x:t xml:space="preserve">Day 5 / Liezi — full 8 chapters</x:t>
        </x:is>
      </x:c>
      <x:c r="E397" s="81" t="str"/>
      <x:c r="F397" s="81" t="inlineStr">
        <x:is>
          <x:t xml:space="preserve">Góc nhìn khác có thể mở phần bị bỏ sót</x:t>
        </x:is>
      </x:c>
      <x:c r="G397" s="81" t="inlineStr">
        <x:is>
          <x:t xml:space="preserve">Perspective</x:t>
        </x:is>
      </x:c>
      <x:c r="H397" s="81" t="str"/>
      <x:c r="I397" s="81" t="str"/>
      <x:c r="J397" s="81" t="str"/>
      <x:c r="K397" s="81" t="inlineStr">
        <x:is>
          <x:t xml:space="preserve">Reframe</x:t>
        </x:is>
      </x:c>
      <x:c r="L397" s="81" t="inlineStr">
        <x:is>
          <x:t xml:space="preserve">Recognize</x:t>
        </x:is>
      </x:c>
      <x:c r="M397" s="81" t="inlineStr">
        <x:is>
          <x:t xml:space="preserve">Trích đoạn triết học / 寓言</x:t>
        </x:is>
      </x:c>
      <x:c r="N397" s="81" t="inlineStr">
        <x:is>
          <x:t xml:space="preserve">知人之所不知，見人之所不見。</x:t>
        </x:is>
      </x:c>
      <x:c r="O397" s="81" t="inlineStr">
        <x:is>
          <x:t xml:space="preserve">Classical Chinese (文言文)</x:t>
        </x:is>
      </x:c>
      <x:c r="P397" s="81" t="inlineStr">
        <x:is>
          <x:t xml:space="preserve">Thấy điều người khác chưa thấy, biết điều người khác chưa biết.</x:t>
        </x:is>
      </x:c>
      <x:c r="Q397" s="81" t="inlineStr">
        <x:is>
          <x:t xml:space="preserve">Liezi / 列子 (received text; attribution debated)</x:t>
        </x:is>
      </x:c>
      <x:c r="R397" s="81" t="inlineStr">
        <x:is>
          <x:t xml:space="preserve">Daoist / China</x:t>
        </x:is>
      </x:c>
      <x:c r="S397" s="81" t="inlineStr">
        <x:is>
          <x:t xml:space="preserve">列子 / Liezi</x:t>
        </x:is>
      </x:c>
      <x:c r="T397" s="81" t="inlineStr">
        <x:is>
          <x:t xml:space="preserve">Chapter 2 — 黃帝</x:t>
        </x:is>
      </x:c>
      <x:c r="U397" s="81" t="inlineStr">
        <x:is>
          <x:t xml:space="preserve">https://ctext.org/liezi/zh</x:t>
        </x:is>
      </x:c>
      <x:c r="V397" s="81" t="inlineStr">
        <x:is>
          <x:t xml:space="preserve">Primary text / digital corpus</x:t>
        </x:is>
      </x:c>
      <x:c r="W397" s="81" t="inlineStr">
        <x:is>
          <x:t xml:space="preserve">Working translation</x:t>
        </x:is>
      </x:c>
      <x:c r="X397" s="81" t="inlineStr">
        <x:is>
          <x:t xml:space="preserve">A - Primary source</x:t>
        </x:is>
      </x:c>
      <x:c r="Y397" s="81" t="inlineStr">
        <x:is>
          <x:t xml:space="preserve">Original Classical Chinese collected from the received Liezi tradition and cross-checked against Chinese Text Project chapter structure. Vietnamese is Selflo working translation; not a published translation.</x:t>
        </x:is>
      </x:c>
      <x:c r="Z397" s="81" t="inlineStr">
        <x:is>
          <x:t xml:space="preserve">Public domain ancient text / edition terms to verify</x:t>
        </x:is>
      </x:c>
      <x:c r="AA397" s="81" t="inlineStr">
        <x:is>
          <x:t xml:space="preserve">Ancient text is public domain; do not copy modern copyrighted translations/commentaries. Attribution and textual history require editorial caution.</x:t>
        </x:is>
      </x:c>
      <x:c r="AB397" s="81" t="inlineStr">
        <x:is>
          <x:t xml:space="preserve">Medium</x:t>
        </x:is>
      </x:c>
      <x:c r="AC397" s="81" t="inlineStr">
        <x:is>
          <x:t xml:space="preserve">Không biến thành superiority.</x:t>
        </x:is>
      </x:c>
      <x:c r="AD397" s="81" t="inlineStr">
        <x:is>
          <x:t xml:space="preserve">Needs editorial review</x:t>
        </x:is>
      </x:c>
      <x:c r="AE397" s="81" t="inlineStr">
        <x:is>
          <x:t xml:space="preserve">Needs semantic dedupe review</x:t>
        </x:is>
      </x:c>
      <x:c r="AF397" s="81" t="str"/>
      <x:c r="AG397" s="81" t="str"/>
      <x:c r="AH397" s="81" t="inlineStr">
        <x:is>
          <x:t xml:space="preserve">No</x:t>
        </x:is>
      </x:c>
      <x:c r="AI397" s="81" t="inlineStr">
        <x:is>
          <x:t xml:space="preserve">Not reviewed</x:t>
        </x:is>
      </x:c>
      <x:c r="AJ397" s="81" t="inlineStr">
        <x:is>
          <x:t xml:space="preserve">Research only</x:t>
        </x:is>
      </x:c>
      <x:c r="AK397" s="81" t="inlineStr">
        <x:is>
          <x:t xml:space="preserve">Research Pool</x:t>
        </x:is>
      </x:c>
      <x:c r="AL397" s="81" t="n">
        <x:v>5</x:v>
      </x:c>
      <x:c r="AM397" s="81" t="inlineStr">
        <x:is>
          <x:t xml:space="preserve">ChatGPT research</x:t>
        </x:is>
      </x:c>
      <x:c r="AN397" s="81" t="inlineStr">
        <x:is>
          <x:t xml:space="preserve">2026-09-18</x:t>
        </x:is>
      </x:c>
      <x:c r="AO397" s="81" t="inlineStr">
        <x:is>
          <x:t xml:space="preserve">Day 5 full-scope first-pass audit of all 8 Liezi chapters.</x:t>
        </x:is>
      </x:c>
    </x:row>
    <x:row r="398">
      <x:c r="A398" s="81" t="inlineStr">
        <x:is>
          <x:t xml:space="preserve">research.liezi.day5.ch02.020</x:t>
        </x:is>
      </x:c>
      <x:c r="B398" s="81" t="inlineStr">
        <x:is>
          <x:t xml:space="preserve">Collected</x:t>
        </x:is>
      </x:c>
      <x:c r="C398" s="81" t="inlineStr">
        <x:is>
          <x:t xml:space="preserve">Nội tâm &amp; hiểu mình</x:t>
        </x:is>
      </x:c>
      <x:c r="D398" s="81" t="inlineStr">
        <x:is>
          <x:t xml:space="preserve">Day 5 / Liezi — full 8 chapters</x:t>
        </x:is>
      </x:c>
      <x:c r="E398" s="81" t="str"/>
      <x:c r="F398" s="81" t="inlineStr">
        <x:is>
          <x:t xml:space="preserve">Bản sắc không nhất thiết là một vật cố định</x:t>
        </x:is>
      </x:c>
      <x:c r="G398" s="81" t="inlineStr">
        <x:is>
          <x:t xml:space="preserve">Identity</x:t>
        </x:is>
      </x:c>
      <x:c r="H398" s="81" t="str"/>
      <x:c r="I398" s="81" t="str"/>
      <x:c r="J398" s="81" t="str"/>
      <x:c r="K398" s="81" t="inlineStr">
        <x:is>
          <x:t xml:space="preserve">Open question</x:t>
        </x:is>
      </x:c>
      <x:c r="L398" s="81" t="inlineStr">
        <x:is>
          <x:t xml:space="preserve">Recognize</x:t>
        </x:is>
      </x:c>
      <x:c r="M398" s="81" t="inlineStr">
        <x:is>
          <x:t xml:space="preserve">Trích đoạn triết học / 寓言</x:t>
        </x:is>
      </x:c>
      <x:c r="N398" s="81" t="inlineStr">
        <x:is>
          <x:t xml:space="preserve">精神入其門，骨骸反其根，我尚何存？</x:t>
        </x:is>
      </x:c>
      <x:c r="O398" s="81" t="inlineStr">
        <x:is>
          <x:t xml:space="preserve">Classical Chinese (文言文)</x:t>
        </x:is>
      </x:c>
      <x:c r="P398" s="81" t="inlineStr">
        <x:is>
          <x:t xml:space="preserve">Khi các phần của mình trở về nguồn của chúng, 'cái tôi' cố định còn ở đâu?</x:t>
        </x:is>
      </x:c>
      <x:c r="Q398" s="81" t="inlineStr">
        <x:is>
          <x:t xml:space="preserve">Liezi / 列子 (received text; attribution debated)</x:t>
        </x:is>
      </x:c>
      <x:c r="R398" s="81" t="inlineStr">
        <x:is>
          <x:t xml:space="preserve">Daoist / China</x:t>
        </x:is>
      </x:c>
      <x:c r="S398" s="81" t="inlineStr">
        <x:is>
          <x:t xml:space="preserve">列子 / Liezi</x:t>
        </x:is>
      </x:c>
      <x:c r="T398" s="81" t="inlineStr">
        <x:is>
          <x:t xml:space="preserve">Chapter 2 — 黃帝</x:t>
        </x:is>
      </x:c>
      <x:c r="U398" s="81" t="inlineStr">
        <x:is>
          <x:t xml:space="preserve">https://ctext.org/liezi/zh</x:t>
        </x:is>
      </x:c>
      <x:c r="V398" s="81" t="inlineStr">
        <x:is>
          <x:t xml:space="preserve">Primary text / digital corpus</x:t>
        </x:is>
      </x:c>
      <x:c r="W398" s="81" t="inlineStr">
        <x:is>
          <x:t xml:space="preserve">Working translation</x:t>
        </x:is>
      </x:c>
      <x:c r="X398" s="81" t="inlineStr">
        <x:is>
          <x:t xml:space="preserve">A - Primary source</x:t>
        </x:is>
      </x:c>
      <x:c r="Y398" s="81" t="inlineStr">
        <x:is>
          <x:t xml:space="preserve">Original Classical Chinese collected from the received Liezi tradition and cross-checked against Chinese Text Project chapter structure. Vietnamese is Selflo working translation; not a published translation.</x:t>
        </x:is>
      </x:c>
      <x:c r="Z398" s="81" t="inlineStr">
        <x:is>
          <x:t xml:space="preserve">Public domain ancient text / edition terms to verify</x:t>
        </x:is>
      </x:c>
      <x:c r="AA398" s="81" t="inlineStr">
        <x:is>
          <x:t xml:space="preserve">Ancient text is public domain; do not copy modern copyrighted translations/commentaries. Attribution and textual history require editorial caution.</x:t>
        </x:is>
      </x:c>
      <x:c r="AB398" s="81" t="inlineStr">
        <x:is>
          <x:t xml:space="preserve">Medium</x:t>
        </x:is>
      </x:c>
      <x:c r="AC398" s="81" t="inlineStr">
        <x:is>
          <x:t xml:space="preserve">Metaphysical.</x:t>
        </x:is>
      </x:c>
      <x:c r="AD398" s="81" t="inlineStr">
        <x:is>
          <x:t xml:space="preserve">Needs editorial review</x:t>
        </x:is>
      </x:c>
      <x:c r="AE398" s="81" t="inlineStr">
        <x:is>
          <x:t xml:space="preserve">Needs semantic dedupe review</x:t>
        </x:is>
      </x:c>
      <x:c r="AF398" s="81" t="str"/>
      <x:c r="AG398" s="81" t="str"/>
      <x:c r="AH398" s="81" t="inlineStr">
        <x:is>
          <x:t xml:space="preserve">No</x:t>
        </x:is>
      </x:c>
      <x:c r="AI398" s="81" t="inlineStr">
        <x:is>
          <x:t xml:space="preserve">Not reviewed</x:t>
        </x:is>
      </x:c>
      <x:c r="AJ398" s="81" t="inlineStr">
        <x:is>
          <x:t xml:space="preserve">Research only</x:t>
        </x:is>
      </x:c>
      <x:c r="AK398" s="81" t="inlineStr">
        <x:is>
          <x:t xml:space="preserve">Research Pool</x:t>
        </x:is>
      </x:c>
      <x:c r="AL398" s="81" t="n">
        <x:v>5</x:v>
      </x:c>
      <x:c r="AM398" s="81" t="inlineStr">
        <x:is>
          <x:t xml:space="preserve">ChatGPT research</x:t>
        </x:is>
      </x:c>
      <x:c r="AN398" s="81" t="inlineStr">
        <x:is>
          <x:t xml:space="preserve">2026-09-18</x:t>
        </x:is>
      </x:c>
      <x:c r="AO398" s="81" t="inlineStr">
        <x:is>
          <x:t xml:space="preserve">Day 5 full-scope first-pass audit of all 8 Liezi chapters.</x:t>
        </x:is>
      </x:c>
    </x:row>
    <x:row r="399">
      <x:c r="A399" s="81" t="inlineStr">
        <x:is>
          <x:t xml:space="preserve">research.liezi.day5.ch02.021</x:t>
        </x:is>
      </x:c>
      <x:c r="B399" s="81" t="inlineStr">
        <x:is>
          <x:t xml:space="preserve">Collected</x:t>
        </x:is>
      </x:c>
      <x:c r="C399" s="81" t="inlineStr">
        <x:is>
          <x:t xml:space="preserve">AI &amp; tương lai</x:t>
        </x:is>
      </x:c>
      <x:c r="D399" s="81" t="inlineStr">
        <x:is>
          <x:t xml:space="preserve">Day 5 / Liezi — full 8 chapters</x:t>
        </x:is>
      </x:c>
      <x:c r="E399" s="81" t="str"/>
      <x:c r="F399" s="81" t="inlineStr">
        <x:is>
          <x:t xml:space="preserve">Ranh giới góc nhìn có thể mềm hơn ta tưởng</x:t>
        </x:is>
      </x:c>
      <x:c r="G399" s="81" t="inlineStr">
        <x:is>
          <x:t xml:space="preserve">Perspective</x:t>
        </x:is>
      </x:c>
      <x:c r="H399" s="81" t="str"/>
      <x:c r="I399" s="81" t="str"/>
      <x:c r="J399" s="81" t="str"/>
      <x:c r="K399" s="81" t="inlineStr">
        <x:is>
          <x:t xml:space="preserve">Open question</x:t>
        </x:is>
      </x:c>
      <x:c r="L399" s="81" t="inlineStr">
        <x:is>
          <x:t xml:space="preserve">Recognize</x:t>
        </x:is>
      </x:c>
      <x:c r="M399" s="81" t="inlineStr">
        <x:is>
          <x:t xml:space="preserve">Trích đoạn triết học / 寓言</x:t>
        </x:is>
      </x:c>
      <x:c r="N399" s="81" t="inlineStr">
        <x:is>
          <x:t xml:space="preserve">不知夫人之為我，我之為夫人也。</x:t>
        </x:is>
      </x:c>
      <x:c r="O399" s="81" t="inlineStr">
        <x:is>
          <x:t xml:space="preserve">Classical Chinese (文言文)</x:t>
        </x:is>
      </x:c>
      <x:c r="P399" s="81" t="inlineStr">
        <x:is>
          <x:t xml:space="preserve">Không còn dễ phân ranh tuyệt đối giữa 'ta' và 'người kia'.</x:t>
        </x:is>
      </x:c>
      <x:c r="Q399" s="81" t="inlineStr">
        <x:is>
          <x:t xml:space="preserve">Liezi / 列子 (received text; attribution debated)</x:t>
        </x:is>
      </x:c>
      <x:c r="R399" s="81" t="inlineStr">
        <x:is>
          <x:t xml:space="preserve">Daoist / China</x:t>
        </x:is>
      </x:c>
      <x:c r="S399" s="81" t="inlineStr">
        <x:is>
          <x:t xml:space="preserve">列子 / Liezi</x:t>
        </x:is>
      </x:c>
      <x:c r="T399" s="81" t="inlineStr">
        <x:is>
          <x:t xml:space="preserve">Chapter 2 — 黃帝</x:t>
        </x:is>
      </x:c>
      <x:c r="U399" s="81" t="inlineStr">
        <x:is>
          <x:t xml:space="preserve">https://ctext.org/liezi/zh</x:t>
        </x:is>
      </x:c>
      <x:c r="V399" s="81" t="inlineStr">
        <x:is>
          <x:t xml:space="preserve">Primary text / digital corpus</x:t>
        </x:is>
      </x:c>
      <x:c r="W399" s="81" t="inlineStr">
        <x:is>
          <x:t xml:space="preserve">Working translation</x:t>
        </x:is>
      </x:c>
      <x:c r="X399" s="81" t="inlineStr">
        <x:is>
          <x:t xml:space="preserve">A - Primary source</x:t>
        </x:is>
      </x:c>
      <x:c r="Y399" s="81" t="inlineStr">
        <x:is>
          <x:t xml:space="preserve">Original Classical Chinese collected from the received Liezi tradition and cross-checked against Chinese Text Project chapter structure. Vietnamese is Selflo working translation; not a published translation.</x:t>
        </x:is>
      </x:c>
      <x:c r="Z399" s="81" t="inlineStr">
        <x:is>
          <x:t xml:space="preserve">Public domain ancient text / edition terms to verify</x:t>
        </x:is>
      </x:c>
      <x:c r="AA399" s="81" t="inlineStr">
        <x:is>
          <x:t xml:space="preserve">Ancient text is public domain; do not copy modern copyrighted translations/commentaries. Attribution and textual history require editorial caution.</x:t>
        </x:is>
      </x:c>
      <x:c r="AB399" s="81" t="inlineStr">
        <x:is>
          <x:t xml:space="preserve">Medium</x:t>
        </x:is>
      </x:c>
      <x:c r="AC399" s="81" t="inlineStr">
        <x:is>
          <x:t xml:space="preserve">Needs context.</x:t>
        </x:is>
      </x:c>
      <x:c r="AD399" s="81" t="inlineStr">
        <x:is>
          <x:t xml:space="preserve">Needs editorial review</x:t>
        </x:is>
      </x:c>
      <x:c r="AE399" s="81" t="inlineStr">
        <x:is>
          <x:t xml:space="preserve">Needs semantic dedupe review</x:t>
        </x:is>
      </x:c>
      <x:c r="AF399" s="81" t="str"/>
      <x:c r="AG399" s="81" t="str"/>
      <x:c r="AH399" s="81" t="inlineStr">
        <x:is>
          <x:t xml:space="preserve">No</x:t>
        </x:is>
      </x:c>
      <x:c r="AI399" s="81" t="inlineStr">
        <x:is>
          <x:t xml:space="preserve">Not reviewed</x:t>
        </x:is>
      </x:c>
      <x:c r="AJ399" s="81" t="inlineStr">
        <x:is>
          <x:t xml:space="preserve">Research only</x:t>
        </x:is>
      </x:c>
      <x:c r="AK399" s="81" t="inlineStr">
        <x:is>
          <x:t xml:space="preserve">Research Pool</x:t>
        </x:is>
      </x:c>
      <x:c r="AL399" s="81" t="n">
        <x:v>5</x:v>
      </x:c>
      <x:c r="AM399" s="81" t="inlineStr">
        <x:is>
          <x:t xml:space="preserve">ChatGPT research</x:t>
        </x:is>
      </x:c>
      <x:c r="AN399" s="81" t="inlineStr">
        <x:is>
          <x:t xml:space="preserve">2026-09-18</x:t>
        </x:is>
      </x:c>
      <x:c r="AO399" s="81" t="inlineStr">
        <x:is>
          <x:t xml:space="preserve">Day 5 full-scope first-pass audit of all 8 Liezi chapters.</x:t>
        </x:is>
      </x:c>
    </x:row>
    <x:row r="400">
      <x:c r="A400" s="81" t="inlineStr">
        <x:is>
          <x:t xml:space="preserve">research.liezi.day5.ch02.022</x:t>
        </x:is>
      </x:c>
      <x:c r="B400" s="81" t="inlineStr">
        <x:is>
          <x:t xml:space="preserve">Collected</x:t>
        </x:is>
      </x:c>
      <x:c r="C400" s="81" t="inlineStr">
        <x:is>
          <x:t xml:space="preserve">Nội tâm &amp; hiểu mình</x:t>
        </x:is>
      </x:c>
      <x:c r="D400" s="81" t="inlineStr">
        <x:is>
          <x:t xml:space="preserve">Day 5 / Liezi — full 8 chapters</x:t>
        </x:is>
      </x:c>
      <x:c r="E400" s="81" t="str"/>
      <x:c r="F400" s="81" t="inlineStr">
        <x:is>
          <x:t xml:space="preserve">Căng cứng và phản ứng có thể ảnh hưởng cách ta đi qua va chạm</x:t>
        </x:is>
      </x:c>
      <x:c r="G400" s="81" t="inlineStr">
        <x:is>
          <x:t xml:space="preserve">Flexibility</x:t>
        </x:is>
      </x:c>
      <x:c r="H400" s="81" t="str"/>
      <x:c r="I400" s="81" t="str"/>
      <x:c r="J400" s="81" t="str"/>
      <x:c r="K400" s="81" t="inlineStr">
        <x:is>
          <x:t xml:space="preserve">Reframe</x:t>
        </x:is>
      </x:c>
      <x:c r="L400" s="81" t="inlineStr">
        <x:is>
          <x:t xml:space="preserve">Recognize</x:t>
        </x:is>
      </x:c>
      <x:c r="M400" s="81" t="inlineStr">
        <x:is>
          <x:t xml:space="preserve">Trích đoạn triết học / 寓言</x:t>
        </x:is>
      </x:c>
      <x:c r="N400" s="81" t="inlineStr">
        <x:is>
          <x:t xml:space="preserve">醉者之墜車，雖疾不死。</x:t>
        </x:is>
      </x:c>
      <x:c r="O400" s="81" t="inlineStr">
        <x:is>
          <x:t xml:space="preserve">Classical Chinese (文言文)</x:t>
        </x:is>
      </x:c>
      <x:c r="P400" s="81" t="inlineStr">
        <x:is>
          <x:t xml:space="preserve">Văn bản kể người say ngã xe mà ít bị tổn thương để minh họa trạng thái không căng cứng chống lại biến cố.</x:t>
        </x:is>
      </x:c>
      <x:c r="Q400" s="81" t="inlineStr">
        <x:is>
          <x:t xml:space="preserve">Liezi / 列子 (received text; attribution debated)</x:t>
        </x:is>
      </x:c>
      <x:c r="R400" s="81" t="inlineStr">
        <x:is>
          <x:t xml:space="preserve">Daoist / China</x:t>
        </x:is>
      </x:c>
      <x:c r="S400" s="81" t="inlineStr">
        <x:is>
          <x:t xml:space="preserve">列子 / Liezi</x:t>
        </x:is>
      </x:c>
      <x:c r="T400" s="81" t="inlineStr">
        <x:is>
          <x:t xml:space="preserve">Chapter 2 — 黃帝</x:t>
        </x:is>
      </x:c>
      <x:c r="U400" s="81" t="inlineStr">
        <x:is>
          <x:t xml:space="preserve">https://ctext.org/liezi/zh</x:t>
        </x:is>
      </x:c>
      <x:c r="V400" s="81" t="inlineStr">
        <x:is>
          <x:t xml:space="preserve">Primary text / digital corpus</x:t>
        </x:is>
      </x:c>
      <x:c r="W400" s="81" t="inlineStr">
        <x:is>
          <x:t xml:space="preserve">Working translation</x:t>
        </x:is>
      </x:c>
      <x:c r="X400" s="81" t="inlineStr">
        <x:is>
          <x:t xml:space="preserve">A - Primary source</x:t>
        </x:is>
      </x:c>
      <x:c r="Y400" s="81" t="inlineStr">
        <x:is>
          <x:t xml:space="preserve">Original Classical Chinese collected from the received Liezi tradition and cross-checked against Chinese Text Project chapter structure. Vietnamese is Selflo working translation; not a published translation.</x:t>
        </x:is>
      </x:c>
      <x:c r="Z400" s="81" t="inlineStr">
        <x:is>
          <x:t xml:space="preserve">Public domain ancient text / edition terms to verify</x:t>
        </x:is>
      </x:c>
      <x:c r="AA400" s="81" t="inlineStr">
        <x:is>
          <x:t xml:space="preserve">Ancient text is public domain; do not copy modern copyrighted translations/commentaries. Attribution and textual history require editorial caution.</x:t>
        </x:is>
      </x:c>
      <x:c r="AB400" s="81" t="inlineStr">
        <x:is>
          <x:t xml:space="preserve">Low</x:t>
        </x:is>
      </x:c>
      <x:c r="AC400" s="81" t="inlineStr">
        <x:is>
          <x:t xml:space="preserve">Không dùng như health/safety claim.</x:t>
        </x:is>
      </x:c>
      <x:c r="AD400" s="81" t="inlineStr">
        <x:is>
          <x:t xml:space="preserve">Needs editorial review</x:t>
        </x:is>
      </x:c>
      <x:c r="AE400" s="81" t="inlineStr">
        <x:is>
          <x:t xml:space="preserve">Needs semantic dedupe review</x:t>
        </x:is>
      </x:c>
      <x:c r="AF400" s="81" t="str"/>
      <x:c r="AG400" s="81" t="str"/>
      <x:c r="AH400" s="81" t="inlineStr">
        <x:is>
          <x:t xml:space="preserve">No</x:t>
        </x:is>
      </x:c>
      <x:c r="AI400" s="81" t="inlineStr">
        <x:is>
          <x:t xml:space="preserve">Not reviewed</x:t>
        </x:is>
      </x:c>
      <x:c r="AJ400" s="81" t="inlineStr">
        <x:is>
          <x:t xml:space="preserve">Research only</x:t>
        </x:is>
      </x:c>
      <x:c r="AK400" s="81" t="inlineStr">
        <x:is>
          <x:t xml:space="preserve">Research Pool</x:t>
        </x:is>
      </x:c>
      <x:c r="AL400" s="81" t="n">
        <x:v>5</x:v>
      </x:c>
      <x:c r="AM400" s="81" t="inlineStr">
        <x:is>
          <x:t xml:space="preserve">ChatGPT research</x:t>
        </x:is>
      </x:c>
      <x:c r="AN400" s="81" t="inlineStr">
        <x:is>
          <x:t xml:space="preserve">2026-09-18</x:t>
        </x:is>
      </x:c>
      <x:c r="AO400" s="81" t="inlineStr">
        <x:is>
          <x:t xml:space="preserve">Day 5 full-scope first-pass audit of all 8 Liezi chapters.</x:t>
        </x:is>
      </x:c>
    </x:row>
    <x:row r="401">
      <x:c r="A401" s="81" t="inlineStr">
        <x:is>
          <x:t xml:space="preserve">research.liezi.day5.ch02.023</x:t>
        </x:is>
      </x:c>
      <x:c r="B401" s="81" t="inlineStr">
        <x:is>
          <x:t xml:space="preserve">Collected</x:t>
        </x:is>
      </x:c>
      <x:c r="C401" s="81" t="inlineStr">
        <x:is>
          <x:t xml:space="preserve">Nghỉ ngơi &amp; sức khỏe tinh thần</x:t>
        </x:is>
      </x:c>
      <x:c r="D401" s="81" t="inlineStr">
        <x:is>
          <x:t xml:space="preserve">Day 5 / Liezi — full 8 chapters</x:t>
        </x:is>
      </x:c>
      <x:c r="E401" s="81" t="str"/>
      <x:c r="F401" s="81" t="inlineStr">
        <x:is>
          <x:t xml:space="preserve">Sợ hãi có thể làm trải nghiệm bị phân mảnh</x:t>
        </x:is>
      </x:c>
      <x:c r="G401" s="81" t="inlineStr">
        <x:is>
          <x:t xml:space="preserve">Fear</x:t>
        </x:is>
      </x:c>
      <x:c r="H401" s="81" t="str"/>
      <x:c r="I401" s="81" t="str"/>
      <x:c r="J401" s="81" t="str"/>
      <x:c r="K401" s="81" t="inlineStr">
        <x:is>
          <x:t xml:space="preserve">Recognize</x:t>
        </x:is>
      </x:c>
      <x:c r="L401" s="81" t="inlineStr">
        <x:is>
          <x:t xml:space="preserve">Distinguish</x:t>
        </x:is>
      </x:c>
      <x:c r="M401" s="81" t="inlineStr">
        <x:is>
          <x:t xml:space="preserve">Trích đoạn triết học / 寓言</x:t>
        </x:is>
      </x:c>
      <x:c r="N401" s="81" t="inlineStr">
        <x:is>
          <x:t xml:space="preserve">其神全也。</x:t>
        </x:is>
      </x:c>
      <x:c r="O401" s="81" t="inlineStr">
        <x:is>
          <x:t xml:space="preserve">Classical Chinese (文言文)</x:t>
        </x:is>
      </x:c>
      <x:c r="P401" s="81" t="inlineStr">
        <x:is>
          <x:t xml:space="preserve">Câu chuyện giải thích bằng hình ảnh một trạng thái 'thần toàn' — không bị nỗi sợ chia cắt.</x:t>
        </x:is>
      </x:c>
      <x:c r="Q401" s="81" t="inlineStr">
        <x:is>
          <x:t xml:space="preserve">Liezi / 列子 (received text; attribution debated)</x:t>
        </x:is>
      </x:c>
      <x:c r="R401" s="81" t="inlineStr">
        <x:is>
          <x:t xml:space="preserve">Daoist / China</x:t>
        </x:is>
      </x:c>
      <x:c r="S401" s="81" t="inlineStr">
        <x:is>
          <x:t xml:space="preserve">列子 / Liezi</x:t>
        </x:is>
      </x:c>
      <x:c r="T401" s="81" t="inlineStr">
        <x:is>
          <x:t xml:space="preserve">Chapter 2 — 黃帝</x:t>
        </x:is>
      </x:c>
      <x:c r="U401" s="81" t="inlineStr">
        <x:is>
          <x:t xml:space="preserve">https://ctext.org/liezi/zh</x:t>
        </x:is>
      </x:c>
      <x:c r="V401" s="81" t="inlineStr">
        <x:is>
          <x:t xml:space="preserve">Primary text / digital corpus</x:t>
        </x:is>
      </x:c>
      <x:c r="W401" s="81" t="inlineStr">
        <x:is>
          <x:t xml:space="preserve">Working translation</x:t>
        </x:is>
      </x:c>
      <x:c r="X401" s="81" t="inlineStr">
        <x:is>
          <x:t xml:space="preserve">A - Primary source</x:t>
        </x:is>
      </x:c>
      <x:c r="Y401" s="81" t="inlineStr">
        <x:is>
          <x:t xml:space="preserve">Original Classical Chinese collected from the received Liezi tradition and cross-checked against Chinese Text Project chapter structure. Vietnamese is Selflo working translation; not a published translation.</x:t>
        </x:is>
      </x:c>
      <x:c r="Z401" s="81" t="inlineStr">
        <x:is>
          <x:t xml:space="preserve">Public domain ancient text / edition terms to verify</x:t>
        </x:is>
      </x:c>
      <x:c r="AA401" s="81" t="inlineStr">
        <x:is>
          <x:t xml:space="preserve">Ancient text is public domain; do not copy modern copyrighted translations/commentaries. Attribution and textual history require editorial caution.</x:t>
        </x:is>
      </x:c>
      <x:c r="AB401" s="81" t="inlineStr">
        <x:is>
          <x:t xml:space="preserve">Medium</x:t>
        </x:is>
      </x:c>
      <x:c r="AC401" s="81" t="inlineStr">
        <x:is>
          <x:t xml:space="preserve">Ancient explanatory model.</x:t>
        </x:is>
      </x:c>
      <x:c r="AD401" s="81" t="inlineStr">
        <x:is>
          <x:t xml:space="preserve">Needs editorial review</x:t>
        </x:is>
      </x:c>
      <x:c r="AE401" s="81" t="inlineStr">
        <x:is>
          <x:t xml:space="preserve">Needs semantic dedupe review</x:t>
        </x:is>
      </x:c>
      <x:c r="AF401" s="81" t="str"/>
      <x:c r="AG401" s="81" t="str"/>
      <x:c r="AH401" s="81" t="inlineStr">
        <x:is>
          <x:t xml:space="preserve">No</x:t>
        </x:is>
      </x:c>
      <x:c r="AI401" s="81" t="inlineStr">
        <x:is>
          <x:t xml:space="preserve">Not reviewed</x:t>
        </x:is>
      </x:c>
      <x:c r="AJ401" s="81" t="inlineStr">
        <x:is>
          <x:t xml:space="preserve">Research only</x:t>
        </x:is>
      </x:c>
      <x:c r="AK401" s="81" t="inlineStr">
        <x:is>
          <x:t xml:space="preserve">Research Pool</x:t>
        </x:is>
      </x:c>
      <x:c r="AL401" s="81" t="n">
        <x:v>5</x:v>
      </x:c>
      <x:c r="AM401" s="81" t="inlineStr">
        <x:is>
          <x:t xml:space="preserve">ChatGPT research</x:t>
        </x:is>
      </x:c>
      <x:c r="AN401" s="81" t="inlineStr">
        <x:is>
          <x:t xml:space="preserve">2026-09-18</x:t>
        </x:is>
      </x:c>
      <x:c r="AO401" s="81" t="inlineStr">
        <x:is>
          <x:t xml:space="preserve">Day 5 full-scope first-pass audit of all 8 Liezi chapters.</x:t>
        </x:is>
      </x:c>
    </x:row>
    <x:row r="402">
      <x:c r="A402" s="81" t="inlineStr">
        <x:is>
          <x:t xml:space="preserve">research.liezi.day5.ch03.024</x:t>
        </x:is>
      </x:c>
      <x:c r="B402" s="81" t="inlineStr">
        <x:is>
          <x:t xml:space="preserve">Collected</x:t>
        </x:is>
      </x:c>
      <x:c r="C402" s="81" t="inlineStr">
        <x:is>
          <x:t xml:space="preserve">Nội tâm &amp; hiểu mình</x:t>
        </x:is>
      </x:c>
      <x:c r="D402" s="81" t="inlineStr">
        <x:is>
          <x:t xml:space="preserve">Day 5 / Liezi — full 8 chapters</x:t>
        </x:is>
      </x:c>
      <x:c r="E402" s="81" t="str"/>
      <x:c r="F402" s="81" t="inlineStr">
        <x:is>
          <x:t xml:space="preserve">Một lý tưởng về tâm ít bị kéo đi</x:t>
        </x:is>
      </x:c>
      <x:c r="G402" s="81" t="inlineStr">
        <x:is>
          <x:t xml:space="preserve">Attention</x:t>
        </x:is>
      </x:c>
      <x:c r="H402" s="81" t="str"/>
      <x:c r="I402" s="81" t="str"/>
      <x:c r="J402" s="81" t="str"/>
      <x:c r="K402" s="81" t="inlineStr">
        <x:is>
          <x:t xml:space="preserve">Reframe</x:t>
        </x:is>
      </x:c>
      <x:c r="L402" s="81" t="inlineStr">
        <x:is>
          <x:t xml:space="preserve">Recognize</x:t>
        </x:is>
      </x:c>
      <x:c r="M402" s="81" t="inlineStr">
        <x:is>
          <x:t xml:space="preserve">Trích đoạn triết học / 寓言</x:t>
        </x:is>
      </x:c>
      <x:c r="N402" s="81" t="inlineStr">
        <x:is>
          <x:t xml:space="preserve">古之真人，其寢不夢，其覺無憂。</x:t>
        </x:is>
      </x:c>
      <x:c r="O402" s="81" t="inlineStr">
        <x:is>
          <x:t xml:space="preserve">Classical Chinese (文言文)</x:t>
        </x:is>
      </x:c>
      <x:c r="P402" s="81" t="inlineStr">
        <x:is>
          <x:t xml:space="preserve">Văn bản hình dung người sống sâu đến mức ngủ không bị mộng quấy và thức không bị lo kéo.</x:t>
        </x:is>
      </x:c>
      <x:c r="Q402" s="81" t="inlineStr">
        <x:is>
          <x:t xml:space="preserve">Liezi / 列子 (received text; attribution debated)</x:t>
        </x:is>
      </x:c>
      <x:c r="R402" s="81" t="inlineStr">
        <x:is>
          <x:t xml:space="preserve">Daoist / China</x:t>
        </x:is>
      </x:c>
      <x:c r="S402" s="81" t="inlineStr">
        <x:is>
          <x:t xml:space="preserve">列子 / Liezi</x:t>
        </x:is>
      </x:c>
      <x:c r="T402" s="81" t="inlineStr">
        <x:is>
          <x:t xml:space="preserve">Chapter 3 — 周穆王</x:t>
        </x:is>
      </x:c>
      <x:c r="U402" s="81" t="inlineStr">
        <x:is>
          <x:t xml:space="preserve">https://ctext.org/liezi/zh</x:t>
        </x:is>
      </x:c>
      <x:c r="V402" s="81" t="inlineStr">
        <x:is>
          <x:t xml:space="preserve">Primary text / digital corpus</x:t>
        </x:is>
      </x:c>
      <x:c r="W402" s="81" t="inlineStr">
        <x:is>
          <x:t xml:space="preserve">Working translation</x:t>
        </x:is>
      </x:c>
      <x:c r="X402" s="81" t="inlineStr">
        <x:is>
          <x:t xml:space="preserve">A - Primary source</x:t>
        </x:is>
      </x:c>
      <x:c r="Y402" s="81" t="inlineStr">
        <x:is>
          <x:t xml:space="preserve">Original Classical Chinese collected from the received Liezi tradition and cross-checked against Chinese Text Project chapter structure. Vietnamese is Selflo working translation; not a published translation.</x:t>
        </x:is>
      </x:c>
      <x:c r="Z402" s="81" t="inlineStr">
        <x:is>
          <x:t xml:space="preserve">Public domain ancient text / edition terms to verify</x:t>
        </x:is>
      </x:c>
      <x:c r="AA402" s="81" t="inlineStr">
        <x:is>
          <x:t xml:space="preserve">Ancient text is public domain; do not copy modern copyrighted translations/commentaries. Attribution and textual history require editorial caution.</x:t>
        </x:is>
      </x:c>
      <x:c r="AB402" s="81" t="inlineStr">
        <x:is>
          <x:t xml:space="preserve">Low</x:t>
        </x:is>
      </x:c>
      <x:c r="AC402" s="81" t="inlineStr">
        <x:is>
          <x:t xml:space="preserve">Không dùng như sleep/mental-health promise.</x:t>
        </x:is>
      </x:c>
      <x:c r="AD402" s="81" t="inlineStr">
        <x:is>
          <x:t xml:space="preserve">Needs editorial review</x:t>
        </x:is>
      </x:c>
      <x:c r="AE402" s="81" t="inlineStr">
        <x:is>
          <x:t xml:space="preserve">Needs semantic dedupe review</x:t>
        </x:is>
      </x:c>
      <x:c r="AF402" s="81" t="str"/>
      <x:c r="AG402" s="81" t="str"/>
      <x:c r="AH402" s="81" t="inlineStr">
        <x:is>
          <x:t xml:space="preserve">No</x:t>
        </x:is>
      </x:c>
      <x:c r="AI402" s="81" t="inlineStr">
        <x:is>
          <x:t xml:space="preserve">Not reviewed</x:t>
        </x:is>
      </x:c>
      <x:c r="AJ402" s="81" t="inlineStr">
        <x:is>
          <x:t xml:space="preserve">Research only</x:t>
        </x:is>
      </x:c>
      <x:c r="AK402" s="81" t="inlineStr">
        <x:is>
          <x:t xml:space="preserve">Research Pool</x:t>
        </x:is>
      </x:c>
      <x:c r="AL402" s="81" t="n">
        <x:v>5</x:v>
      </x:c>
      <x:c r="AM402" s="81" t="inlineStr">
        <x:is>
          <x:t xml:space="preserve">ChatGPT research</x:t>
        </x:is>
      </x:c>
      <x:c r="AN402" s="81" t="inlineStr">
        <x:is>
          <x:t xml:space="preserve">2026-09-18</x:t>
        </x:is>
      </x:c>
      <x:c r="AO402" s="81" t="inlineStr">
        <x:is>
          <x:t xml:space="preserve">Day 5 full-scope first-pass audit of all 8 Liezi chapters.</x:t>
        </x:is>
      </x:c>
    </x:row>
    <x:row r="403">
      <x:c r="A403" s="81" t="inlineStr">
        <x:is>
          <x:t xml:space="preserve">research.liezi.day5.ch03.025</x:t>
        </x:is>
      </x:c>
      <x:c r="B403" s="81" t="inlineStr">
        <x:is>
          <x:t xml:space="preserve">Collected</x:t>
        </x:is>
      </x:c>
      <x:c r="C403" s="81" t="inlineStr">
        <x:is>
          <x:t xml:space="preserve">AI &amp; tương lai</x:t>
        </x:is>
      </x:c>
      <x:c r="D403" s="81" t="inlineStr">
        <x:is>
          <x:t xml:space="preserve">Day 5 / Liezi — full 8 chapters</x:t>
        </x:is>
      </x:c>
      <x:c r="E403" s="81" t="str"/>
      <x:c r="F403" s="81" t="inlineStr">
        <x:is>
          <x:t xml:space="preserve">Một hệ quy chiếu khác có thể làm chuẩn hiện tại bớt tuyệt đối</x:t>
        </x:is>
      </x:c>
      <x:c r="G403" s="81" t="inlineStr">
        <x:is>
          <x:t xml:space="preserve">Perspective</x:t>
        </x:is>
      </x:c>
      <x:c r="H403" s="81" t="str"/>
      <x:c r="I403" s="81" t="str"/>
      <x:c r="J403" s="81" t="str"/>
      <x:c r="K403" s="81" t="inlineStr">
        <x:is>
          <x:t xml:space="preserve">Open question</x:t>
        </x:is>
      </x:c>
      <x:c r="L403" s="81" t="inlineStr">
        <x:is>
          <x:t xml:space="preserve">Recognize</x:t>
        </x:is>
      </x:c>
      <x:c r="M403" s="81" t="inlineStr">
        <x:is>
          <x:t xml:space="preserve">Trích đoạn triết học / 寓言</x:t>
        </x:is>
      </x:c>
      <x:c r="N403" s="81" t="inlineStr">
        <x:is>
          <x:t xml:space="preserve">西極之南隅有國焉，不知境界之所接。</x:t>
        </x:is>
      </x:c>
      <x:c r="O403" s="81" t="inlineStr">
        <x:is>
          <x:t xml:space="preserve">Classical Chinese (文言文)</x:t>
        </x:is>
      </x:c>
      <x:c r="P403" s="81" t="inlineStr">
        <x:is>
          <x:t xml:space="preserve">Câu chuyện mở một vùng đất không rõ biên giới để đặt người đọc vào một thế giới khác chuẩn quen thuộc.</x:t>
        </x:is>
      </x:c>
      <x:c r="Q403" s="81" t="inlineStr">
        <x:is>
          <x:t xml:space="preserve">Liezi / 列子 (received text; attribution debated)</x:t>
        </x:is>
      </x:c>
      <x:c r="R403" s="81" t="inlineStr">
        <x:is>
          <x:t xml:space="preserve">Daoist / China</x:t>
        </x:is>
      </x:c>
      <x:c r="S403" s="81" t="inlineStr">
        <x:is>
          <x:t xml:space="preserve">列子 / Liezi</x:t>
        </x:is>
      </x:c>
      <x:c r="T403" s="81" t="inlineStr">
        <x:is>
          <x:t xml:space="preserve">Chapter 3 — 周穆王</x:t>
        </x:is>
      </x:c>
      <x:c r="U403" s="81" t="inlineStr">
        <x:is>
          <x:t xml:space="preserve">https://ctext.org/liezi/zh</x:t>
        </x:is>
      </x:c>
      <x:c r="V403" s="81" t="inlineStr">
        <x:is>
          <x:t xml:space="preserve">Primary text / digital corpus</x:t>
        </x:is>
      </x:c>
      <x:c r="W403" s="81" t="inlineStr">
        <x:is>
          <x:t xml:space="preserve">Working translation</x:t>
        </x:is>
      </x:c>
      <x:c r="X403" s="81" t="inlineStr">
        <x:is>
          <x:t xml:space="preserve">A - Primary source</x:t>
        </x:is>
      </x:c>
      <x:c r="Y403" s="81" t="inlineStr">
        <x:is>
          <x:t xml:space="preserve">Original Classical Chinese collected from the received Liezi tradition and cross-checked against Chinese Text Project chapter structure. Vietnamese is Selflo working translation; not a published translation.</x:t>
        </x:is>
      </x:c>
      <x:c r="Z403" s="81" t="inlineStr">
        <x:is>
          <x:t xml:space="preserve">Public domain ancient text / edition terms to verify</x:t>
        </x:is>
      </x:c>
      <x:c r="AA403" s="81" t="inlineStr">
        <x:is>
          <x:t xml:space="preserve">Ancient text is public domain; do not copy modern copyrighted translations/commentaries. Attribution and textual history require editorial caution.</x:t>
        </x:is>
      </x:c>
      <x:c r="AB403" s="81" t="inlineStr">
        <x:is>
          <x:t xml:space="preserve">Medium</x:t>
        </x:is>
      </x:c>
      <x:c r="AC403" s="81" t="inlineStr">
        <x:is>
          <x:t xml:space="preserve">Fantasy setting.</x:t>
        </x:is>
      </x:c>
      <x:c r="AD403" s="81" t="inlineStr">
        <x:is>
          <x:t xml:space="preserve">Needs editorial review</x:t>
        </x:is>
      </x:c>
      <x:c r="AE403" s="81" t="inlineStr">
        <x:is>
          <x:t xml:space="preserve">Needs semantic dedupe review</x:t>
        </x:is>
      </x:c>
      <x:c r="AF403" s="81" t="str"/>
      <x:c r="AG403" s="81" t="str"/>
      <x:c r="AH403" s="81" t="inlineStr">
        <x:is>
          <x:t xml:space="preserve">No</x:t>
        </x:is>
      </x:c>
      <x:c r="AI403" s="81" t="inlineStr">
        <x:is>
          <x:t xml:space="preserve">Not reviewed</x:t>
        </x:is>
      </x:c>
      <x:c r="AJ403" s="81" t="inlineStr">
        <x:is>
          <x:t xml:space="preserve">Research only</x:t>
        </x:is>
      </x:c>
      <x:c r="AK403" s="81" t="inlineStr">
        <x:is>
          <x:t xml:space="preserve">Research Pool</x:t>
        </x:is>
      </x:c>
      <x:c r="AL403" s="81" t="n">
        <x:v>5</x:v>
      </x:c>
      <x:c r="AM403" s="81" t="inlineStr">
        <x:is>
          <x:t xml:space="preserve">ChatGPT research</x:t>
        </x:is>
      </x:c>
      <x:c r="AN403" s="81" t="inlineStr">
        <x:is>
          <x:t xml:space="preserve">2026-09-18</x:t>
        </x:is>
      </x:c>
      <x:c r="AO403" s="81" t="inlineStr">
        <x:is>
          <x:t xml:space="preserve">Day 5 full-scope first-pass audit of all 8 Liezi chapters.</x:t>
        </x:is>
      </x:c>
    </x:row>
    <x:row r="404">
      <x:c r="A404" s="81" t="inlineStr">
        <x:is>
          <x:t xml:space="preserve">research.liezi.day5.ch03.026</x:t>
        </x:is>
      </x:c>
      <x:c r="B404" s="81" t="inlineStr">
        <x:is>
          <x:t xml:space="preserve">Collected</x:t>
        </x:is>
      </x:c>
      <x:c r="C404" s="81" t="inlineStr">
        <x:is>
          <x:t xml:space="preserve">Nội tâm &amp; hiểu mình</x:t>
        </x:is>
      </x:c>
      <x:c r="D404" s="81" t="inlineStr">
        <x:is>
          <x:t xml:space="preserve">Day 5 / Liezi — full 8 chapters</x:t>
        </x:is>
      </x:c>
      <x:c r="E404" s="81" t="str"/>
      <x:c r="F404" s="81" t="inlineStr">
        <x:is>
          <x:t xml:space="preserve">Một cách sống khác chuẩn của mình không mặc định kém hơn</x:t>
        </x:is>
      </x:c>
      <x:c r="G404" s="81" t="inlineStr">
        <x:is>
          <x:t xml:space="preserve">Values</x:t>
        </x:is>
      </x:c>
      <x:c r="H404" s="81" t="str"/>
      <x:c r="I404" s="81" t="str"/>
      <x:c r="J404" s="81" t="str"/>
      <x:c r="K404" s="81" t="inlineStr">
        <x:is>
          <x:t xml:space="preserve">Reframe</x:t>
        </x:is>
      </x:c>
      <x:c r="L404" s="81" t="inlineStr">
        <x:is>
          <x:t xml:space="preserve">Recognize</x:t>
        </x:is>
      </x:c>
      <x:c r="M404" s="81" t="inlineStr">
        <x:is>
          <x:t xml:space="preserve">Trích đoạn triết học / 寓言</x:t>
        </x:is>
      </x:c>
      <x:c r="N404" s="81" t="inlineStr">
        <x:is>
          <x:t xml:space="preserve">其民不食不衣而多樂。</x:t>
        </x:is>
      </x:c>
      <x:c r="O404" s="81" t="inlineStr">
        <x:is>
          <x:t xml:space="preserve">Classical Chinese (文言文)</x:t>
        </x:is>
      </x:c>
      <x:c r="P404" s="81" t="inlineStr">
        <x:is>
          <x:t xml:space="preserve">Người ở đó được kể là không sống theo các nhu cầu và chuẩn quen thuộc nhưng vẫn vui.</x:t>
        </x:is>
      </x:c>
      <x:c r="Q404" s="81" t="inlineStr">
        <x:is>
          <x:t xml:space="preserve">Liezi / 列子 (received text; attribution debated)</x:t>
        </x:is>
      </x:c>
      <x:c r="R404" s="81" t="inlineStr">
        <x:is>
          <x:t xml:space="preserve">Daoist / China</x:t>
        </x:is>
      </x:c>
      <x:c r="S404" s="81" t="inlineStr">
        <x:is>
          <x:t xml:space="preserve">列子 / Liezi</x:t>
        </x:is>
      </x:c>
      <x:c r="T404" s="81" t="inlineStr">
        <x:is>
          <x:t xml:space="preserve">Chapter 3 — 周穆王</x:t>
        </x:is>
      </x:c>
      <x:c r="U404" s="81" t="inlineStr">
        <x:is>
          <x:t xml:space="preserve">https://ctext.org/liezi/zh</x:t>
        </x:is>
      </x:c>
      <x:c r="V404" s="81" t="inlineStr">
        <x:is>
          <x:t xml:space="preserve">Primary text / digital corpus</x:t>
        </x:is>
      </x:c>
      <x:c r="W404" s="81" t="inlineStr">
        <x:is>
          <x:t xml:space="preserve">Working translation</x:t>
        </x:is>
      </x:c>
      <x:c r="X404" s="81" t="inlineStr">
        <x:is>
          <x:t xml:space="preserve">A - Primary source</x:t>
        </x:is>
      </x:c>
      <x:c r="Y404" s="81" t="inlineStr">
        <x:is>
          <x:t xml:space="preserve">Original Classical Chinese collected from the received Liezi tradition and cross-checked against Chinese Text Project chapter structure. Vietnamese is Selflo working translation; not a published translation.</x:t>
        </x:is>
      </x:c>
      <x:c r="Z404" s="81" t="inlineStr">
        <x:is>
          <x:t xml:space="preserve">Public domain ancient text / edition terms to verify</x:t>
        </x:is>
      </x:c>
      <x:c r="AA404" s="81" t="inlineStr">
        <x:is>
          <x:t xml:space="preserve">Ancient text is public domain; do not copy modern copyrighted translations/commentaries. Attribution and textual history require editorial caution.</x:t>
        </x:is>
      </x:c>
      <x:c r="AB404" s="81" t="inlineStr">
        <x:is>
          <x:t xml:space="preserve">Low</x:t>
        </x:is>
      </x:c>
      <x:c r="AC404" s="81" t="inlineStr">
        <x:is>
          <x:t xml:space="preserve">Mythic; not empirical.</x:t>
        </x:is>
      </x:c>
      <x:c r="AD404" s="81" t="inlineStr">
        <x:is>
          <x:t xml:space="preserve">Needs editorial review</x:t>
        </x:is>
      </x:c>
      <x:c r="AE404" s="81" t="inlineStr">
        <x:is>
          <x:t xml:space="preserve">Needs semantic dedupe review</x:t>
        </x:is>
      </x:c>
      <x:c r="AF404" s="81" t="str"/>
      <x:c r="AG404" s="81" t="str"/>
      <x:c r="AH404" s="81" t="inlineStr">
        <x:is>
          <x:t xml:space="preserve">No</x:t>
        </x:is>
      </x:c>
      <x:c r="AI404" s="81" t="inlineStr">
        <x:is>
          <x:t xml:space="preserve">Not reviewed</x:t>
        </x:is>
      </x:c>
      <x:c r="AJ404" s="81" t="inlineStr">
        <x:is>
          <x:t xml:space="preserve">Research only</x:t>
        </x:is>
      </x:c>
      <x:c r="AK404" s="81" t="inlineStr">
        <x:is>
          <x:t xml:space="preserve">Research Pool</x:t>
        </x:is>
      </x:c>
      <x:c r="AL404" s="81" t="n">
        <x:v>5</x:v>
      </x:c>
      <x:c r="AM404" s="81" t="inlineStr">
        <x:is>
          <x:t xml:space="preserve">ChatGPT research</x:t>
        </x:is>
      </x:c>
      <x:c r="AN404" s="81" t="inlineStr">
        <x:is>
          <x:t xml:space="preserve">2026-09-18</x:t>
        </x:is>
      </x:c>
      <x:c r="AO404" s="81" t="inlineStr">
        <x:is>
          <x:t xml:space="preserve">Day 5 full-scope first-pass audit of all 8 Liezi chapters.</x:t>
        </x:is>
      </x:c>
    </x:row>
    <x:row r="405">
      <x:c r="A405" s="81" t="inlineStr">
        <x:is>
          <x:t xml:space="preserve">research.liezi.day5.ch03.027</x:t>
        </x:is>
      </x:c>
      <x:c r="B405" s="81" t="inlineStr">
        <x:is>
          <x:t xml:space="preserve">Collected</x:t>
        </x:is>
      </x:c>
      <x:c r="C405" s="81" t="inlineStr">
        <x:is>
          <x:t xml:space="preserve">Nội tâm &amp; hiểu mình</x:t>
        </x:is>
      </x:c>
      <x:c r="D405" s="81" t="inlineStr">
        <x:is>
          <x:t xml:space="preserve">Day 5 / Liezi — full 8 chapters</x:t>
        </x:is>
      </x:c>
      <x:c r="E405" s="81" t="str"/>
      <x:c r="F405" s="81" t="inlineStr">
        <x:is>
          <x:t xml:space="preserve">Trải nghiệm lớn không xóa tính hữu hạn</x:t>
        </x:is>
      </x:c>
      <x:c r="G405" s="81" t="inlineStr">
        <x:is>
          <x:t xml:space="preserve">Meaning</x:t>
        </x:is>
      </x:c>
      <x:c r="H405" s="81" t="str"/>
      <x:c r="I405" s="81" t="str"/>
      <x:c r="J405" s="81" t="str"/>
      <x:c r="K405" s="81" t="inlineStr">
        <x:is>
          <x:t xml:space="preserve">Recognize</x:t>
        </x:is>
      </x:c>
      <x:c r="L405" s="81" t="inlineStr">
        <x:is>
          <x:t xml:space="preserve">Distinguish</x:t>
        </x:is>
      </x:c>
      <x:c r="M405" s="81" t="inlineStr">
        <x:is>
          <x:t xml:space="preserve">Trích đoạn triết học / 寓言</x:t>
        </x:is>
      </x:c>
      <x:c r="N405" s="81" t="inlineStr">
        <x:is>
          <x:t xml:space="preserve">穆王幾神人哉！能窮當身之樂，猶百年乃徂，世以為登假焉。</x:t>
        </x:is>
      </x:c>
      <x:c r="O405" s="81" t="inlineStr">
        <x:is>
          <x:t xml:space="preserve">Classical Chinese (文言文)</x:t>
        </x:is>
      </x:c>
      <x:c r="P405" s="81" t="inlineStr">
        <x:is>
          <x:t xml:space="preserve">Câu chuyện dùng chuyến đi của Chu Mục Vương để hỏi về trải nghiệm, ký ức và giới hạn của đời người.</x:t>
        </x:is>
      </x:c>
      <x:c r="Q405" s="81" t="inlineStr">
        <x:is>
          <x:t xml:space="preserve">Liezi / 列子 (received text; attribution debated)</x:t>
        </x:is>
      </x:c>
      <x:c r="R405" s="81" t="inlineStr">
        <x:is>
          <x:t xml:space="preserve">Daoist / China</x:t>
        </x:is>
      </x:c>
      <x:c r="S405" s="81" t="inlineStr">
        <x:is>
          <x:t xml:space="preserve">列子 / Liezi</x:t>
        </x:is>
      </x:c>
      <x:c r="T405" s="81" t="inlineStr">
        <x:is>
          <x:t xml:space="preserve">Chapter 3 — 周穆王</x:t>
        </x:is>
      </x:c>
      <x:c r="U405" s="81" t="inlineStr">
        <x:is>
          <x:t xml:space="preserve">https://ctext.org/liezi/zh</x:t>
        </x:is>
      </x:c>
      <x:c r="V405" s="81" t="inlineStr">
        <x:is>
          <x:t xml:space="preserve">Primary text / digital corpus</x:t>
        </x:is>
      </x:c>
      <x:c r="W405" s="81" t="inlineStr">
        <x:is>
          <x:t xml:space="preserve">Working translation</x:t>
        </x:is>
      </x:c>
      <x:c r="X405" s="81" t="inlineStr">
        <x:is>
          <x:t xml:space="preserve">A - Primary source</x:t>
        </x:is>
      </x:c>
      <x:c r="Y405" s="81" t="inlineStr">
        <x:is>
          <x:t xml:space="preserve">Original Classical Chinese collected from the received Liezi tradition and cross-checked against Chinese Text Project chapter structure. Vietnamese is Selflo working translation; not a published translation.</x:t>
        </x:is>
      </x:c>
      <x:c r="Z405" s="81" t="inlineStr">
        <x:is>
          <x:t xml:space="preserve">Public domain ancient text / edition terms to verify</x:t>
        </x:is>
      </x:c>
      <x:c r="AA405" s="81" t="inlineStr">
        <x:is>
          <x:t xml:space="preserve">Ancient text is public domain; do not copy modern copyrighted translations/commentaries. Attribution and textual history require editorial caution.</x:t>
        </x:is>
      </x:c>
      <x:c r="AB405" s="81" t="inlineStr">
        <x:is>
          <x:t xml:space="preserve">Medium</x:t>
        </x:is>
      </x:c>
      <x:c r="AC405" s="81" t="inlineStr">
        <x:is>
          <x:t xml:space="preserve">Mythic narrative.</x:t>
        </x:is>
      </x:c>
      <x:c r="AD405" s="81" t="inlineStr">
        <x:is>
          <x:t xml:space="preserve">Needs editorial review</x:t>
        </x:is>
      </x:c>
      <x:c r="AE405" s="81" t="inlineStr">
        <x:is>
          <x:t xml:space="preserve">Needs semantic dedupe review</x:t>
        </x:is>
      </x:c>
      <x:c r="AF405" s="81" t="str"/>
      <x:c r="AG405" s="81" t="str"/>
      <x:c r="AH405" s="81" t="inlineStr">
        <x:is>
          <x:t xml:space="preserve">No</x:t>
        </x:is>
      </x:c>
      <x:c r="AI405" s="81" t="inlineStr">
        <x:is>
          <x:t xml:space="preserve">Not reviewed</x:t>
        </x:is>
      </x:c>
      <x:c r="AJ405" s="81" t="inlineStr">
        <x:is>
          <x:t xml:space="preserve">Research only</x:t>
        </x:is>
      </x:c>
      <x:c r="AK405" s="81" t="inlineStr">
        <x:is>
          <x:t xml:space="preserve">Research Pool</x:t>
        </x:is>
      </x:c>
      <x:c r="AL405" s="81" t="n">
        <x:v>5</x:v>
      </x:c>
      <x:c r="AM405" s="81" t="inlineStr">
        <x:is>
          <x:t xml:space="preserve">ChatGPT research</x:t>
        </x:is>
      </x:c>
      <x:c r="AN405" s="81" t="inlineStr">
        <x:is>
          <x:t xml:space="preserve">2026-09-18</x:t>
        </x:is>
      </x:c>
      <x:c r="AO405" s="81" t="inlineStr">
        <x:is>
          <x:t xml:space="preserve">Day 5 full-scope first-pass audit of all 8 Liezi chapters.</x:t>
        </x:is>
      </x:c>
    </x:row>
    <x:row r="406">
      <x:c r="A406" s="81" t="inlineStr">
        <x:is>
          <x:t xml:space="preserve">research.liezi.day5.ch03.028</x:t>
        </x:is>
      </x:c>
      <x:c r="B406" s="81" t="inlineStr">
        <x:is>
          <x:t xml:space="preserve">Collected</x:t>
        </x:is>
      </x:c>
      <x:c r="C406" s="81" t="inlineStr">
        <x:is>
          <x:t xml:space="preserve">Nội tâm &amp; hiểu mình</x:t>
        </x:is>
      </x:c>
      <x:c r="D406" s="81" t="inlineStr">
        <x:is>
          <x:t xml:space="preserve">Day 5 / Liezi — full 8 chapters</x:t>
        </x:is>
      </x:c>
      <x:c r="E406" s="81" t="str"/>
      <x:c r="F406" s="81" t="inlineStr">
        <x:is>
          <x:t xml:space="preserve">Trải nghiệm chủ quan có thể rất thật dù khó kiểm chứng</x:t>
        </x:is>
      </x:c>
      <x:c r="G406" s="81" t="inlineStr">
        <x:is>
          <x:t xml:space="preserve">Experience</x:t>
        </x:is>
      </x:c>
      <x:c r="H406" s="81" t="str"/>
      <x:c r="I406" s="81" t="str"/>
      <x:c r="J406" s="81" t="str"/>
      <x:c r="K406" s="81" t="inlineStr">
        <x:is>
          <x:t xml:space="preserve">Distinguish</x:t>
        </x:is>
      </x:c>
      <x:c r="L406" s="81" t="inlineStr">
        <x:is>
          <x:t xml:space="preserve">Recognize</x:t>
        </x:is>
      </x:c>
      <x:c r="M406" s="81" t="inlineStr">
        <x:is>
          <x:t xml:space="preserve">Trích đoạn triết học / 寓言</x:t>
        </x:is>
      </x:c>
      <x:c r="N406" s="81" t="inlineStr">
        <x:is>
          <x:t xml:space="preserve">化人之宮……王實以為清都紫微，鈞天廣樂，帝之所居。</x:t>
        </x:is>
      </x:c>
      <x:c r="O406" s="81" t="inlineStr">
        <x:is>
          <x:t xml:space="preserve">Classical Chinese (文言文)</x:t>
        </x:is>
      </x:c>
      <x:c r="P406" s="81" t="inlineStr">
        <x:is>
          <x:t xml:space="preserve">Những gì Mục Vương trải qua chân thực đến mức ông xem đó như một thế giới khác.</x:t>
        </x:is>
      </x:c>
      <x:c r="Q406" s="81" t="inlineStr">
        <x:is>
          <x:t xml:space="preserve">Liezi / 列子 (received text; attribution debated)</x:t>
        </x:is>
      </x:c>
      <x:c r="R406" s="81" t="inlineStr">
        <x:is>
          <x:t xml:space="preserve">Daoist / China</x:t>
        </x:is>
      </x:c>
      <x:c r="S406" s="81" t="inlineStr">
        <x:is>
          <x:t xml:space="preserve">列子 / Liezi</x:t>
        </x:is>
      </x:c>
      <x:c r="T406" s="81" t="inlineStr">
        <x:is>
          <x:t xml:space="preserve">Chapter 3 — 周穆王</x:t>
        </x:is>
      </x:c>
      <x:c r="U406" s="81" t="inlineStr">
        <x:is>
          <x:t xml:space="preserve">https://ctext.org/liezi/zh</x:t>
        </x:is>
      </x:c>
      <x:c r="V406" s="81" t="inlineStr">
        <x:is>
          <x:t xml:space="preserve">Primary text / digital corpus</x:t>
        </x:is>
      </x:c>
      <x:c r="W406" s="81" t="inlineStr">
        <x:is>
          <x:t xml:space="preserve">Working translation</x:t>
        </x:is>
      </x:c>
      <x:c r="X406" s="81" t="inlineStr">
        <x:is>
          <x:t xml:space="preserve">A - Primary source</x:t>
        </x:is>
      </x:c>
      <x:c r="Y406" s="81" t="inlineStr">
        <x:is>
          <x:t xml:space="preserve">Original Classical Chinese collected from the received Liezi tradition and cross-checked against Chinese Text Project chapter structure. Vietnamese is Selflo working translation; not a published translation.</x:t>
        </x:is>
      </x:c>
      <x:c r="Z406" s="81" t="inlineStr">
        <x:is>
          <x:t xml:space="preserve">Public domain ancient text / edition terms to verify</x:t>
        </x:is>
      </x:c>
      <x:c r="AA406" s="81" t="inlineStr">
        <x:is>
          <x:t xml:space="preserve">Ancient text is public domain; do not copy modern copyrighted translations/commentaries. Attribution and textual history require editorial caution.</x:t>
        </x:is>
      </x:c>
      <x:c r="AB406" s="81" t="inlineStr">
        <x:is>
          <x:t xml:space="preserve">Medium</x:t>
        </x:is>
      </x:c>
      <x:c r="AC406" s="81" t="inlineStr">
        <x:is>
          <x:t xml:space="preserve">Không xác nhận supernatural.</x:t>
        </x:is>
      </x:c>
      <x:c r="AD406" s="81" t="inlineStr">
        <x:is>
          <x:t xml:space="preserve">Needs editorial review</x:t>
        </x:is>
      </x:c>
      <x:c r="AE406" s="81" t="inlineStr">
        <x:is>
          <x:t xml:space="preserve">Needs semantic dedupe review</x:t>
        </x:is>
      </x:c>
      <x:c r="AF406" s="81" t="str"/>
      <x:c r="AG406" s="81" t="str"/>
      <x:c r="AH406" s="81" t="inlineStr">
        <x:is>
          <x:t xml:space="preserve">No</x:t>
        </x:is>
      </x:c>
      <x:c r="AI406" s="81" t="inlineStr">
        <x:is>
          <x:t xml:space="preserve">Not reviewed</x:t>
        </x:is>
      </x:c>
      <x:c r="AJ406" s="81" t="inlineStr">
        <x:is>
          <x:t xml:space="preserve">Research only</x:t>
        </x:is>
      </x:c>
      <x:c r="AK406" s="81" t="inlineStr">
        <x:is>
          <x:t xml:space="preserve">Research Pool</x:t>
        </x:is>
      </x:c>
      <x:c r="AL406" s="81" t="n">
        <x:v>5</x:v>
      </x:c>
      <x:c r="AM406" s="81" t="inlineStr">
        <x:is>
          <x:t xml:space="preserve">ChatGPT research</x:t>
        </x:is>
      </x:c>
      <x:c r="AN406" s="81" t="inlineStr">
        <x:is>
          <x:t xml:space="preserve">2026-09-18</x:t>
        </x:is>
      </x:c>
      <x:c r="AO406" s="81" t="inlineStr">
        <x:is>
          <x:t xml:space="preserve">Day 5 full-scope first-pass audit of all 8 Liezi chapters.</x:t>
        </x:is>
      </x:c>
    </x:row>
    <x:row r="407">
      <x:c r="A407" s="81" t="inlineStr">
        <x:is>
          <x:t xml:space="preserve">research.liezi.day5.ch04.029</x:t>
        </x:is>
      </x:c>
      <x:c r="B407" s="81" t="inlineStr">
        <x:is>
          <x:t xml:space="preserve">Collected</x:t>
        </x:is>
      </x:c>
      <x:c r="C407" s="81" t="inlineStr">
        <x:is>
          <x:t xml:space="preserve">Nội tâm &amp; hiểu mình</x:t>
        </x:is>
      </x:c>
      <x:c r="D407" s="81" t="inlineStr">
        <x:is>
          <x:t xml:space="preserve">Day 5 / Liezi — full 8 chapters</x:t>
        </x:is>
      </x:c>
      <x:c r="E407" s="81" t="str"/>
      <x:c r="F407" s="81" t="inlineStr">
        <x:is>
          <x:t xml:space="preserve">Ngay người được xem là hiểu biết vẫn có lúc ưu tư</x:t>
        </x:is>
      </x:c>
      <x:c r="G407" s="81" t="inlineStr">
        <x:is>
          <x:t xml:space="preserve">Emotion</x:t>
        </x:is>
      </x:c>
      <x:c r="H407" s="81" t="str"/>
      <x:c r="I407" s="81" t="str"/>
      <x:c r="J407" s="81" t="str"/>
      <x:c r="K407" s="81" t="inlineStr">
        <x:is>
          <x:t xml:space="preserve">Normalize</x:t>
        </x:is>
      </x:c>
      <x:c r="L407" s="81" t="inlineStr">
        <x:is>
          <x:t xml:space="preserve">Recognize</x:t>
        </x:is>
      </x:c>
      <x:c r="M407" s="81" t="inlineStr">
        <x:is>
          <x:t xml:space="preserve">Trích đoạn triết học / 寓言</x:t>
        </x:is>
      </x:c>
      <x:c r="N407" s="81" t="inlineStr">
        <x:is>
          <x:t xml:space="preserve">仲尼閒居，子貢入侍，而有憂色。</x:t>
        </x:is>
      </x:c>
      <x:c r="O407" s="81" t="inlineStr">
        <x:is>
          <x:t xml:space="preserve">Classical Chinese (文言文)</x:t>
        </x:is>
      </x:c>
      <x:c r="P407" s="81" t="inlineStr">
        <x:is>
          <x:t xml:space="preserve">Khổng Tử trong câu chuyện ngồi yên nhưng mang vẻ ưu tư.</x:t>
        </x:is>
      </x:c>
      <x:c r="Q407" s="81" t="inlineStr">
        <x:is>
          <x:t xml:space="preserve">Liezi / 列子 (received text; attribution debated)</x:t>
        </x:is>
      </x:c>
      <x:c r="R407" s="81" t="inlineStr">
        <x:is>
          <x:t xml:space="preserve">Daoist / China</x:t>
        </x:is>
      </x:c>
      <x:c r="S407" s="81" t="inlineStr">
        <x:is>
          <x:t xml:space="preserve">列子 / Liezi</x:t>
        </x:is>
      </x:c>
      <x:c r="T407" s="81" t="inlineStr">
        <x:is>
          <x:t xml:space="preserve">Chapter 4 — 仲尼</x:t>
        </x:is>
      </x:c>
      <x:c r="U407" s="81" t="inlineStr">
        <x:is>
          <x:t xml:space="preserve">https://ctext.org/liezi/zh</x:t>
        </x:is>
      </x:c>
      <x:c r="V407" s="81" t="inlineStr">
        <x:is>
          <x:t xml:space="preserve">Primary text / digital corpus</x:t>
        </x:is>
      </x:c>
      <x:c r="W407" s="81" t="inlineStr">
        <x:is>
          <x:t xml:space="preserve">Working translation</x:t>
        </x:is>
      </x:c>
      <x:c r="X407" s="81" t="inlineStr">
        <x:is>
          <x:t xml:space="preserve">A - Primary source</x:t>
        </x:is>
      </x:c>
      <x:c r="Y407" s="81" t="inlineStr">
        <x:is>
          <x:t xml:space="preserve">Original Classical Chinese collected from the received Liezi tradition and cross-checked against Chinese Text Project chapter structure. Vietnamese is Selflo working translation; not a published translation.</x:t>
        </x:is>
      </x:c>
      <x:c r="Z407" s="81" t="inlineStr">
        <x:is>
          <x:t xml:space="preserve">Public domain ancient text / edition terms to verify</x:t>
        </x:is>
      </x:c>
      <x:c r="AA407" s="81" t="inlineStr">
        <x:is>
          <x:t xml:space="preserve">Ancient text is public domain; do not copy modern copyrighted translations/commentaries. Attribution and textual history require editorial caution.</x:t>
        </x:is>
      </x:c>
      <x:c r="AB407" s="81" t="inlineStr">
        <x:is>
          <x:t xml:space="preserve">High</x:t>
        </x:is>
      </x:c>
      <x:c r="AC407" s="81" t="inlineStr">
        <x:is>
          <x:t xml:space="preserve">Literary character, not historical transcript.</x:t>
        </x:is>
      </x:c>
      <x:c r="AD407" s="81" t="inlineStr">
        <x:is>
          <x:t xml:space="preserve">Needs editorial review</x:t>
        </x:is>
      </x:c>
      <x:c r="AE407" s="81" t="inlineStr">
        <x:is>
          <x:t xml:space="preserve">Needs semantic dedupe review</x:t>
        </x:is>
      </x:c>
      <x:c r="AF407" s="81" t="str"/>
      <x:c r="AG407" s="81" t="str"/>
      <x:c r="AH407" s="81" t="inlineStr">
        <x:is>
          <x:t xml:space="preserve">No</x:t>
        </x:is>
      </x:c>
      <x:c r="AI407" s="81" t="inlineStr">
        <x:is>
          <x:t xml:space="preserve">Not reviewed</x:t>
        </x:is>
      </x:c>
      <x:c r="AJ407" s="81" t="inlineStr">
        <x:is>
          <x:t xml:space="preserve">Research only</x:t>
        </x:is>
      </x:c>
      <x:c r="AK407" s="81" t="inlineStr">
        <x:is>
          <x:t xml:space="preserve">Research Pool</x:t>
        </x:is>
      </x:c>
      <x:c r="AL407" s="81" t="n">
        <x:v>5</x:v>
      </x:c>
      <x:c r="AM407" s="81" t="inlineStr">
        <x:is>
          <x:t xml:space="preserve">ChatGPT research</x:t>
        </x:is>
      </x:c>
      <x:c r="AN407" s="81" t="inlineStr">
        <x:is>
          <x:t xml:space="preserve">2026-09-18</x:t>
        </x:is>
      </x:c>
      <x:c r="AO407" s="81" t="inlineStr">
        <x:is>
          <x:t xml:space="preserve">Day 5 full-scope first-pass audit of all 8 Liezi chapters.</x:t>
        </x:is>
      </x:c>
    </x:row>
    <x:row r="408">
      <x:c r="A408" s="81" t="inlineStr">
        <x:is>
          <x:t xml:space="preserve">research.liezi.day5.ch04.030</x:t>
        </x:is>
      </x:c>
      <x:c r="B408" s="81" t="inlineStr">
        <x:is>
          <x:t xml:space="preserve">Collected</x:t>
        </x:is>
      </x:c>
      <x:c r="C408" s="81" t="inlineStr">
        <x:is>
          <x:t xml:space="preserve">Nghỉ ngơi &amp; sức khỏe tinh thần</x:t>
        </x:is>
      </x:c>
      <x:c r="D408" s="81" t="inlineStr">
        <x:is>
          <x:t xml:space="preserve">Day 5 / Liezi — full 8 chapters</x:t>
        </x:is>
      </x:c>
      <x:c r="E408" s="81" t="str"/>
      <x:c r="F408" s="81" t="inlineStr">
        <x:is>
          <x:t xml:space="preserve">Không phải càng theo đuổi cảm giác tốt càng có nó</x:t>
        </x:is>
      </x:c>
      <x:c r="G408" s="81" t="inlineStr">
        <x:is>
          <x:t xml:space="preserve">Wellbeing</x:t>
        </x:is>
      </x:c>
      <x:c r="H408" s="81" t="str"/>
      <x:c r="I408" s="81" t="str"/>
      <x:c r="J408" s="81" t="str"/>
      <x:c r="K408" s="81" t="inlineStr">
        <x:is>
          <x:t xml:space="preserve">Reframe</x:t>
        </x:is>
      </x:c>
      <x:c r="L408" s="81" t="inlineStr">
        <x:is>
          <x:t xml:space="preserve">Recognize</x:t>
        </x:is>
      </x:c>
      <x:c r="M408" s="81" t="inlineStr">
        <x:is>
          <x:t xml:space="preserve">Trích đoạn triết học / 寓言</x:t>
        </x:is>
      </x:c>
      <x:c r="N408" s="81" t="inlineStr">
        <x:is>
          <x:t xml:space="preserve">無樂無知，是真樂真知。</x:t>
        </x:is>
      </x:c>
      <x:c r="O408" s="81" t="inlineStr">
        <x:is>
          <x:t xml:space="preserve">Classical Chinese (文言文)</x:t>
        </x:is>
      </x:c>
      <x:c r="P408" s="81" t="inlineStr">
        <x:is>
          <x:t xml:space="preserve">Văn bản nghịch lý rằng không chạy theo cảm giác 'vui' hay phô cái 'biết' mới có thể chạm một kiểu vui và biết sâu hơn.</x:t>
        </x:is>
      </x:c>
      <x:c r="Q408" s="81" t="inlineStr">
        <x:is>
          <x:t xml:space="preserve">Liezi / 列子 (received text; attribution debated)</x:t>
        </x:is>
      </x:c>
      <x:c r="R408" s="81" t="inlineStr">
        <x:is>
          <x:t xml:space="preserve">Daoist / China</x:t>
        </x:is>
      </x:c>
      <x:c r="S408" s="81" t="inlineStr">
        <x:is>
          <x:t xml:space="preserve">列子 / Liezi</x:t>
        </x:is>
      </x:c>
      <x:c r="T408" s="81" t="inlineStr">
        <x:is>
          <x:t xml:space="preserve">Chapter 4 — 仲尼</x:t>
        </x:is>
      </x:c>
      <x:c r="U408" s="81" t="inlineStr">
        <x:is>
          <x:t xml:space="preserve">https://ctext.org/liezi/zh</x:t>
        </x:is>
      </x:c>
      <x:c r="V408" s="81" t="inlineStr">
        <x:is>
          <x:t xml:space="preserve">Primary text / digital corpus</x:t>
        </x:is>
      </x:c>
      <x:c r="W408" s="81" t="inlineStr">
        <x:is>
          <x:t xml:space="preserve">Working translation</x:t>
        </x:is>
      </x:c>
      <x:c r="X408" s="81" t="inlineStr">
        <x:is>
          <x:t xml:space="preserve">A - Primary source</x:t>
        </x:is>
      </x:c>
      <x:c r="Y408" s="81" t="inlineStr">
        <x:is>
          <x:t xml:space="preserve">Original Classical Chinese collected from the received Liezi tradition and cross-checked against Chinese Text Project chapter structure. Vietnamese is Selflo working translation; not a published translation.</x:t>
        </x:is>
      </x:c>
      <x:c r="Z408" s="81" t="inlineStr">
        <x:is>
          <x:t xml:space="preserve">Public domain ancient text / edition terms to verify</x:t>
        </x:is>
      </x:c>
      <x:c r="AA408" s="81" t="inlineStr">
        <x:is>
          <x:t xml:space="preserve">Ancient text is public domain; do not copy modern copyrighted translations/commentaries. Attribution and textual history require editorial caution.</x:t>
        </x:is>
      </x:c>
      <x:c r="AB408" s="81" t="inlineStr">
        <x:is>
          <x:t xml:space="preserve">Medium</x:t>
        </x:is>
      </x:c>
      <x:c r="AC408" s="81" t="inlineStr">
        <x:is>
          <x:t xml:space="preserve">Paradoxical.</x:t>
        </x:is>
      </x:c>
      <x:c r="AD408" s="81" t="inlineStr">
        <x:is>
          <x:t xml:space="preserve">Needs editorial review</x:t>
        </x:is>
      </x:c>
      <x:c r="AE408" s="81" t="inlineStr">
        <x:is>
          <x:t xml:space="preserve">Needs semantic dedupe review</x:t>
        </x:is>
      </x:c>
      <x:c r="AF408" s="81" t="str"/>
      <x:c r="AG408" s="81" t="str"/>
      <x:c r="AH408" s="81" t="inlineStr">
        <x:is>
          <x:t xml:space="preserve">No</x:t>
        </x:is>
      </x:c>
      <x:c r="AI408" s="81" t="inlineStr">
        <x:is>
          <x:t xml:space="preserve">Not reviewed</x:t>
        </x:is>
      </x:c>
      <x:c r="AJ408" s="81" t="inlineStr">
        <x:is>
          <x:t xml:space="preserve">Research only</x:t>
        </x:is>
      </x:c>
      <x:c r="AK408" s="81" t="inlineStr">
        <x:is>
          <x:t xml:space="preserve">Research Pool</x:t>
        </x:is>
      </x:c>
      <x:c r="AL408" s="81" t="n">
        <x:v>5</x:v>
      </x:c>
      <x:c r="AM408" s="81" t="inlineStr">
        <x:is>
          <x:t xml:space="preserve">ChatGPT research</x:t>
        </x:is>
      </x:c>
      <x:c r="AN408" s="81" t="inlineStr">
        <x:is>
          <x:t xml:space="preserve">2026-09-18</x:t>
        </x:is>
      </x:c>
      <x:c r="AO408" s="81" t="inlineStr">
        <x:is>
          <x:t xml:space="preserve">Day 5 full-scope first-pass audit of all 8 Liezi chapters.</x:t>
        </x:is>
      </x:c>
    </x:row>
    <x:row r="409">
      <x:c r="A409" s="81" t="inlineStr">
        <x:is>
          <x:t xml:space="preserve">research.liezi.day5.ch04.031</x:t>
        </x:is>
      </x:c>
      <x:c r="B409" s="81" t="inlineStr">
        <x:is>
          <x:t xml:space="preserve">Collected</x:t>
        </x:is>
      </x:c>
      <x:c r="C409" s="81" t="inlineStr">
        <x:is>
          <x:t xml:space="preserve">AI &amp; tương lai</x:t>
        </x:is>
      </x:c>
      <x:c r="D409" s="81" t="inlineStr">
        <x:is>
          <x:t xml:space="preserve">Day 5 / Liezi — full 8 chapters</x:t>
        </x:is>
      </x:c>
      <x:c r="E409" s="81" t="str"/>
      <x:c r="F409" s="81" t="inlineStr">
        <x:is>
          <x:t xml:space="preserve">Khả năng phát ngôn khác hiểu biết</x:t>
        </x:is>
      </x:c>
      <x:c r="G409" s="81" t="inlineStr">
        <x:is>
          <x:t xml:space="preserve">Judgment</x:t>
        </x:is>
      </x:c>
      <x:c r="H409" s="81" t="str"/>
      <x:c r="I409" s="81" t="str"/>
      <x:c r="J409" s="81" t="str"/>
      <x:c r="K409" s="81" t="inlineStr">
        <x:is>
          <x:t xml:space="preserve">Distinguish</x:t>
        </x:is>
      </x:c>
      <x:c r="L409" s="81" t="inlineStr">
        <x:is>
          <x:t xml:space="preserve">Recognize</x:t>
        </x:is>
      </x:c>
      <x:c r="M409" s="81" t="inlineStr">
        <x:is>
          <x:t xml:space="preserve">Trích đoạn triết học / 寓言</x:t>
        </x:is>
      </x:c>
      <x:c r="N409" s="81" t="inlineStr">
        <x:is>
          <x:t xml:space="preserve">知之者不言，言之者不知。</x:t>
        </x:is>
      </x:c>
      <x:c r="O409" s="81" t="inlineStr">
        <x:is>
          <x:t xml:space="preserve">Classical Chinese (文言文)</x:t>
        </x:is>
      </x:c>
      <x:c r="P409" s="81" t="inlineStr">
        <x:is>
          <x:t xml:space="preserve">Người thật biết không nhất thiết nói nhiều; nói nhiều không tự chứng minh biết.</x:t>
        </x:is>
      </x:c>
      <x:c r="Q409" s="81" t="inlineStr">
        <x:is>
          <x:t xml:space="preserve">Liezi / 列子 (received text; attribution debated)</x:t>
        </x:is>
      </x:c>
      <x:c r="R409" s="81" t="inlineStr">
        <x:is>
          <x:t xml:space="preserve">Daoist / China</x:t>
        </x:is>
      </x:c>
      <x:c r="S409" s="81" t="inlineStr">
        <x:is>
          <x:t xml:space="preserve">列子 / Liezi</x:t>
        </x:is>
      </x:c>
      <x:c r="T409" s="81" t="inlineStr">
        <x:is>
          <x:t xml:space="preserve">Chapter 4 — 仲尼</x:t>
        </x:is>
      </x:c>
      <x:c r="U409" s="81" t="inlineStr">
        <x:is>
          <x:t xml:space="preserve">https://ctext.org/liezi/zh</x:t>
        </x:is>
      </x:c>
      <x:c r="V409" s="81" t="inlineStr">
        <x:is>
          <x:t xml:space="preserve">Primary text / digital corpus</x:t>
        </x:is>
      </x:c>
      <x:c r="W409" s="81" t="inlineStr">
        <x:is>
          <x:t xml:space="preserve">Working translation</x:t>
        </x:is>
      </x:c>
      <x:c r="X409" s="81" t="inlineStr">
        <x:is>
          <x:t xml:space="preserve">A - Primary source</x:t>
        </x:is>
      </x:c>
      <x:c r="Y409" s="81" t="inlineStr">
        <x:is>
          <x:t xml:space="preserve">Original Classical Chinese collected from the received Liezi tradition and cross-checked against Chinese Text Project chapter structure. Vietnamese is Selflo working translation; not a published translation.</x:t>
        </x:is>
      </x:c>
      <x:c r="Z409" s="81" t="inlineStr">
        <x:is>
          <x:t xml:space="preserve">Public domain ancient text / edition terms to verify</x:t>
        </x:is>
      </x:c>
      <x:c r="AA409" s="81" t="inlineStr">
        <x:is>
          <x:t xml:space="preserve">Ancient text is public domain; do not copy modern copyrighted translations/commentaries. Attribution and textual history require editorial caution.</x:t>
        </x:is>
      </x:c>
      <x:c r="AB409" s="81" t="inlineStr">
        <x:is>
          <x:t xml:space="preserve">High</x:t>
        </x:is>
      </x:c>
      <x:c r="AC409" s="81" t="inlineStr">
        <x:is>
          <x:t xml:space="preserve">Overlap Laozi; provenance/dedupe needed.</x:t>
        </x:is>
      </x:c>
      <x:c r="AD409" s="81" t="inlineStr">
        <x:is>
          <x:t xml:space="preserve">Needs editorial review</x:t>
        </x:is>
      </x:c>
      <x:c r="AE409" s="81" t="inlineStr">
        <x:is>
          <x:t xml:space="preserve">Needs semantic dedupe review</x:t>
        </x:is>
      </x:c>
      <x:c r="AF409" s="81" t="str"/>
      <x:c r="AG409" s="81" t="str"/>
      <x:c r="AH409" s="81" t="inlineStr">
        <x:is>
          <x:t xml:space="preserve">No</x:t>
        </x:is>
      </x:c>
      <x:c r="AI409" s="81" t="inlineStr">
        <x:is>
          <x:t xml:space="preserve">Not reviewed</x:t>
        </x:is>
      </x:c>
      <x:c r="AJ409" s="81" t="inlineStr">
        <x:is>
          <x:t xml:space="preserve">Research only</x:t>
        </x:is>
      </x:c>
      <x:c r="AK409" s="81" t="inlineStr">
        <x:is>
          <x:t xml:space="preserve">Research Pool</x:t>
        </x:is>
      </x:c>
      <x:c r="AL409" s="81" t="n">
        <x:v>5</x:v>
      </x:c>
      <x:c r="AM409" s="81" t="inlineStr">
        <x:is>
          <x:t xml:space="preserve">ChatGPT research</x:t>
        </x:is>
      </x:c>
      <x:c r="AN409" s="81" t="inlineStr">
        <x:is>
          <x:t xml:space="preserve">2026-09-18</x:t>
        </x:is>
      </x:c>
      <x:c r="AO409" s="81" t="inlineStr">
        <x:is>
          <x:t xml:space="preserve">Day 5 full-scope first-pass audit of all 8 Liezi chapters.</x:t>
        </x:is>
      </x:c>
    </x:row>
    <x:row r="410">
      <x:c r="A410" s="81" t="inlineStr">
        <x:is>
          <x:t xml:space="preserve">research.liezi.day5.ch04.032</x:t>
        </x:is>
      </x:c>
      <x:c r="B410" s="81" t="inlineStr">
        <x:is>
          <x:t xml:space="preserve">Collected</x:t>
        </x:is>
      </x:c>
      <x:c r="C410" s="81" t="inlineStr">
        <x:is>
          <x:t xml:space="preserve">AI &amp; tương lai</x:t>
        </x:is>
      </x:c>
      <x:c r="D410" s="81" t="inlineStr">
        <x:is>
          <x:t xml:space="preserve">Day 5 / Liezi — full 8 chapters</x:t>
        </x:is>
      </x:c>
      <x:c r="E410" s="81" t="str"/>
      <x:c r="F410" s="81" t="inlineStr">
        <x:is>
          <x:t xml:space="preserve">Nhiều thông tin không mặc định tốt hơn</x:t>
        </x:is>
      </x:c>
      <x:c r="G410" s="81" t="inlineStr">
        <x:is>
          <x:t xml:space="preserve">Information overload</x:t>
        </x:is>
      </x:c>
      <x:c r="H410" s="81" t="str"/>
      <x:c r="I410" s="81" t="str"/>
      <x:c r="J410" s="81" t="str"/>
      <x:c r="K410" s="81" t="inlineStr">
        <x:is>
          <x:t xml:space="preserve">Distinguish</x:t>
        </x:is>
      </x:c>
      <x:c r="L410" s="81" t="inlineStr">
        <x:is>
          <x:t xml:space="preserve">Recognize</x:t>
        </x:is>
      </x:c>
      <x:c r="M410" s="81" t="inlineStr">
        <x:is>
          <x:t xml:space="preserve">Trích đoạn triết học / 寓言</x:t>
        </x:is>
      </x:c>
      <x:c r="N410" s="81" t="inlineStr">
        <x:is>
          <x:t xml:space="preserve">多知為敗。</x:t>
        </x:is>
      </x:c>
      <x:c r="O410" s="81" t="inlineStr">
        <x:is>
          <x:t xml:space="preserve">Classical Chinese (文言文)</x:t>
        </x:is>
      </x:c>
      <x:c r="P410" s="81" t="inlineStr">
        <x:is>
          <x:t xml:space="preserve">Biết quá nhiều theo kiểu chất chồng có thể trở thành một dạng vướng.</x:t>
        </x:is>
      </x:c>
      <x:c r="Q410" s="81" t="inlineStr">
        <x:is>
          <x:t xml:space="preserve">Liezi / 列子 (received text; attribution debated)</x:t>
        </x:is>
      </x:c>
      <x:c r="R410" s="81" t="inlineStr">
        <x:is>
          <x:t xml:space="preserve">Daoist / China</x:t>
        </x:is>
      </x:c>
      <x:c r="S410" s="81" t="inlineStr">
        <x:is>
          <x:t xml:space="preserve">列子 / Liezi</x:t>
        </x:is>
      </x:c>
      <x:c r="T410" s="81" t="inlineStr">
        <x:is>
          <x:t xml:space="preserve">Chapter 4 — 仲尼</x:t>
        </x:is>
      </x:c>
      <x:c r="U410" s="81" t="inlineStr">
        <x:is>
          <x:t xml:space="preserve">https://ctext.org/liezi/zh</x:t>
        </x:is>
      </x:c>
      <x:c r="V410" s="81" t="inlineStr">
        <x:is>
          <x:t xml:space="preserve">Primary text / digital corpus</x:t>
        </x:is>
      </x:c>
      <x:c r="W410" s="81" t="inlineStr">
        <x:is>
          <x:t xml:space="preserve">Working translation</x:t>
        </x:is>
      </x:c>
      <x:c r="X410" s="81" t="inlineStr">
        <x:is>
          <x:t xml:space="preserve">A - Primary source</x:t>
        </x:is>
      </x:c>
      <x:c r="Y410" s="81" t="inlineStr">
        <x:is>
          <x:t xml:space="preserve">Original Classical Chinese collected from the received Liezi tradition and cross-checked against Chinese Text Project chapter structure. Vietnamese is Selflo working translation; not a published translation.</x:t>
        </x:is>
      </x:c>
      <x:c r="Z410" s="81" t="inlineStr">
        <x:is>
          <x:t xml:space="preserve">Public domain ancient text / edition terms to verify</x:t>
        </x:is>
      </x:c>
      <x:c r="AA410" s="81" t="inlineStr">
        <x:is>
          <x:t xml:space="preserve">Ancient text is public domain; do not copy modern copyrighted translations/commentaries. Attribution and textual history require editorial caution.</x:t>
        </x:is>
      </x:c>
      <x:c r="AB410" s="81" t="inlineStr">
        <x:is>
          <x:t xml:space="preserve">High</x:t>
        </x:is>
      </x:c>
      <x:c r="AC410" s="81" t="inlineStr">
        <x:is>
          <x:t xml:space="preserve">AI-age.</x:t>
        </x:is>
      </x:c>
      <x:c r="AD410" s="81" t="inlineStr">
        <x:is>
          <x:t xml:space="preserve">Needs editorial review</x:t>
        </x:is>
      </x:c>
      <x:c r="AE410" s="81" t="inlineStr">
        <x:is>
          <x:t xml:space="preserve">Needs semantic dedupe review</x:t>
        </x:is>
      </x:c>
      <x:c r="AF410" s="81" t="str"/>
      <x:c r="AG410" s="81" t="str"/>
      <x:c r="AH410" s="81" t="inlineStr">
        <x:is>
          <x:t xml:space="preserve">No</x:t>
        </x:is>
      </x:c>
      <x:c r="AI410" s="81" t="inlineStr">
        <x:is>
          <x:t xml:space="preserve">Not reviewed</x:t>
        </x:is>
      </x:c>
      <x:c r="AJ410" s="81" t="inlineStr">
        <x:is>
          <x:t xml:space="preserve">Research only</x:t>
        </x:is>
      </x:c>
      <x:c r="AK410" s="81" t="inlineStr">
        <x:is>
          <x:t xml:space="preserve">Research Pool</x:t>
        </x:is>
      </x:c>
      <x:c r="AL410" s="81" t="n">
        <x:v>5</x:v>
      </x:c>
      <x:c r="AM410" s="81" t="inlineStr">
        <x:is>
          <x:t xml:space="preserve">ChatGPT research</x:t>
        </x:is>
      </x:c>
      <x:c r="AN410" s="81" t="inlineStr">
        <x:is>
          <x:t xml:space="preserve">2026-09-18</x:t>
        </x:is>
      </x:c>
      <x:c r="AO410" s="81" t="inlineStr">
        <x:is>
          <x:t xml:space="preserve">Day 5 full-scope first-pass audit of all 8 Liezi chapters.</x:t>
        </x:is>
      </x:c>
    </x:row>
    <x:row r="411">
      <x:c r="A411" s="81" t="inlineStr">
        <x:is>
          <x:t xml:space="preserve">research.liezi.day5.ch04.033</x:t>
        </x:is>
      </x:c>
      <x:c r="B411" s="81" t="inlineStr">
        <x:is>
          <x:t xml:space="preserve">Collected</x:t>
        </x:is>
      </x:c>
      <x:c r="C411" s="81" t="inlineStr">
        <x:is>
          <x:t xml:space="preserve">Nội tâm &amp; hiểu mình</x:t>
        </x:is>
      </x:c>
      <x:c r="D411" s="81" t="inlineStr">
        <x:is>
          <x:t xml:space="preserve">Day 5 / Liezi — full 8 chapters</x:t>
        </x:is>
      </x:c>
      <x:c r="E411" s="81" t="str"/>
      <x:c r="F411" s="81" t="inlineStr">
        <x:is>
          <x:t xml:space="preserve">Sức mạnh cần tự giới hạn</x:t>
        </x:is>
      </x:c>
      <x:c r="G411" s="81" t="inlineStr">
        <x:is>
          <x:t xml:space="preserve">Power</x:t>
        </x:is>
      </x:c>
      <x:c r="H411" s="81" t="str"/>
      <x:c r="I411" s="81" t="str"/>
      <x:c r="J411" s="81" t="str"/>
      <x:c r="K411" s="81" t="inlineStr">
        <x:is>
          <x:t xml:space="preserve">Reframe</x:t>
        </x:is>
      </x:c>
      <x:c r="L411" s="81" t="inlineStr">
        <x:is>
          <x:t xml:space="preserve">Recognize</x:t>
        </x:is>
      </x:c>
      <x:c r="M411" s="81" t="inlineStr">
        <x:is>
          <x:t xml:space="preserve">Trích đoạn triết học / 寓言</x:t>
        </x:is>
      </x:c>
      <x:c r="N411" s="81" t="inlineStr">
        <x:is>
          <x:t xml:space="preserve">善持勝者，以強為弱。</x:t>
        </x:is>
      </x:c>
      <x:c r="O411" s="81" t="inlineStr">
        <x:is>
          <x:t xml:space="preserve">Classical Chinese (文言文)</x:t>
        </x:is>
      </x:c>
      <x:c r="P411" s="81" t="inlineStr">
        <x:is>
          <x:t xml:space="preserve">Người biết giữ phần thắng có thể xem cái mạnh như cái cần được tiết chế.</x:t>
        </x:is>
      </x:c>
      <x:c r="Q411" s="81" t="inlineStr">
        <x:is>
          <x:t xml:space="preserve">Liezi / 列子 (received text; attribution debated)</x:t>
        </x:is>
      </x:c>
      <x:c r="R411" s="81" t="inlineStr">
        <x:is>
          <x:t xml:space="preserve">Daoist / China</x:t>
        </x:is>
      </x:c>
      <x:c r="S411" s="81" t="inlineStr">
        <x:is>
          <x:t xml:space="preserve">列子 / Liezi</x:t>
        </x:is>
      </x:c>
      <x:c r="T411" s="81" t="inlineStr">
        <x:is>
          <x:t xml:space="preserve">Chapter 4 — 仲尼</x:t>
        </x:is>
      </x:c>
      <x:c r="U411" s="81" t="inlineStr">
        <x:is>
          <x:t xml:space="preserve">https://ctext.org/liezi/zh</x:t>
        </x:is>
      </x:c>
      <x:c r="V411" s="81" t="inlineStr">
        <x:is>
          <x:t xml:space="preserve">Primary text / digital corpus</x:t>
        </x:is>
      </x:c>
      <x:c r="W411" s="81" t="inlineStr">
        <x:is>
          <x:t xml:space="preserve">Working translation</x:t>
        </x:is>
      </x:c>
      <x:c r="X411" s="81" t="inlineStr">
        <x:is>
          <x:t xml:space="preserve">A - Primary source</x:t>
        </x:is>
      </x:c>
      <x:c r="Y411" s="81" t="inlineStr">
        <x:is>
          <x:t xml:space="preserve">Original Classical Chinese collected from the received Liezi tradition and cross-checked against Chinese Text Project chapter structure. Vietnamese is Selflo working translation; not a published translation.</x:t>
        </x:is>
      </x:c>
      <x:c r="Z411" s="81" t="inlineStr">
        <x:is>
          <x:t xml:space="preserve">Public domain ancient text / edition terms to verify</x:t>
        </x:is>
      </x:c>
      <x:c r="AA411" s="81" t="inlineStr">
        <x:is>
          <x:t xml:space="preserve">Ancient text is public domain; do not copy modern copyrighted translations/commentaries. Attribution and textual history require editorial caution.</x:t>
        </x:is>
      </x:c>
      <x:c r="AB411" s="81" t="inlineStr">
        <x:is>
          <x:t xml:space="preserve">Medium</x:t>
        </x:is>
      </x:c>
      <x:c r="AC411" s="81" t="inlineStr">
        <x:is>
          <x:t xml:space="preserve">Ancient context.</x:t>
        </x:is>
      </x:c>
      <x:c r="AD411" s="81" t="inlineStr">
        <x:is>
          <x:t xml:space="preserve">Needs editorial review</x:t>
        </x:is>
      </x:c>
      <x:c r="AE411" s="81" t="inlineStr">
        <x:is>
          <x:t xml:space="preserve">Needs semantic dedupe review</x:t>
        </x:is>
      </x:c>
      <x:c r="AF411" s="81" t="str"/>
      <x:c r="AG411" s="81" t="str"/>
      <x:c r="AH411" s="81" t="inlineStr">
        <x:is>
          <x:t xml:space="preserve">No</x:t>
        </x:is>
      </x:c>
      <x:c r="AI411" s="81" t="inlineStr">
        <x:is>
          <x:t xml:space="preserve">Not reviewed</x:t>
        </x:is>
      </x:c>
      <x:c r="AJ411" s="81" t="inlineStr">
        <x:is>
          <x:t xml:space="preserve">Research only</x:t>
        </x:is>
      </x:c>
      <x:c r="AK411" s="81" t="inlineStr">
        <x:is>
          <x:t xml:space="preserve">Research Pool</x:t>
        </x:is>
      </x:c>
      <x:c r="AL411" s="81" t="n">
        <x:v>5</x:v>
      </x:c>
      <x:c r="AM411" s="81" t="inlineStr">
        <x:is>
          <x:t xml:space="preserve">ChatGPT research</x:t>
        </x:is>
      </x:c>
      <x:c r="AN411" s="81" t="inlineStr">
        <x:is>
          <x:t xml:space="preserve">2026-09-18</x:t>
        </x:is>
      </x:c>
      <x:c r="AO411" s="81" t="inlineStr">
        <x:is>
          <x:t xml:space="preserve">Day 5 full-scope first-pass audit of all 8 Liezi chapters.</x:t>
        </x:is>
      </x:c>
    </x:row>
    <x:row r="412">
      <x:c r="A412" s="81" t="inlineStr">
        <x:is>
          <x:t xml:space="preserve">research.liezi.day5.ch04.034</x:t>
        </x:is>
      </x:c>
      <x:c r="B412" s="81" t="inlineStr">
        <x:is>
          <x:t xml:space="preserve">Collected</x:t>
        </x:is>
      </x:c>
      <x:c r="C412" s="81" t="inlineStr">
        <x:is>
          <x:t xml:space="preserve">Quan hệ</x:t>
        </x:is>
      </x:c>
      <x:c r="D412" s="81" t="inlineStr">
        <x:is>
          <x:t xml:space="preserve">Day 5 / Liezi — full 8 chapters</x:t>
        </x:is>
      </x:c>
      <x:c r="E412" s="81" t="str"/>
      <x:c r="F412" s="81" t="inlineStr">
        <x:is>
          <x:t xml:space="preserve">Biết khi nào nói và khi nào không nói</x:t>
        </x:is>
      </x:c>
      <x:c r="G412" s="81" t="inlineStr">
        <x:is>
          <x:t xml:space="preserve">Communication</x:t>
        </x:is>
      </x:c>
      <x:c r="H412" s="81" t="str"/>
      <x:c r="I412" s="81" t="str"/>
      <x:c r="J412" s="81" t="str"/>
      <x:c r="K412" s="81" t="inlineStr">
        <x:is>
          <x:t xml:space="preserve">Distinguish</x:t>
        </x:is>
      </x:c>
      <x:c r="L412" s="81" t="inlineStr">
        <x:is>
          <x:t xml:space="preserve">Recognize</x:t>
        </x:is>
      </x:c>
      <x:c r="M412" s="81" t="inlineStr">
        <x:is>
          <x:t xml:space="preserve">Trích đoạn triết học / 寓言</x:t>
        </x:is>
      </x:c>
      <x:c r="N412" s="81" t="inlineStr">
        <x:is>
          <x:t xml:space="preserve">弗知而言為不智，知而不言為不忠。</x:t>
        </x:is>
      </x:c>
      <x:c r="O412" s="81" t="inlineStr">
        <x:is>
          <x:t xml:space="preserve">Classical Chinese (文言文)</x:t>
        </x:is>
      </x:c>
      <x:c r="P412" s="81" t="inlineStr">
        <x:is>
          <x:t xml:space="preserve">Không biết mà nói là thiếu sáng suốt; biết mà im trong nơi cần nói cũng có thể thiếu trách nhiệm.</x:t>
        </x:is>
      </x:c>
      <x:c r="Q412" s="81" t="inlineStr">
        <x:is>
          <x:t xml:space="preserve">Liezi / 列子 (received text; attribution debated)</x:t>
        </x:is>
      </x:c>
      <x:c r="R412" s="81" t="inlineStr">
        <x:is>
          <x:t xml:space="preserve">Daoist / China</x:t>
        </x:is>
      </x:c>
      <x:c r="S412" s="81" t="inlineStr">
        <x:is>
          <x:t xml:space="preserve">列子 / Liezi</x:t>
        </x:is>
      </x:c>
      <x:c r="T412" s="81" t="inlineStr">
        <x:is>
          <x:t xml:space="preserve">Chapter 4 — 仲尼</x:t>
        </x:is>
      </x:c>
      <x:c r="U412" s="81" t="inlineStr">
        <x:is>
          <x:t xml:space="preserve">https://ctext.org/liezi/zh</x:t>
        </x:is>
      </x:c>
      <x:c r="V412" s="81" t="inlineStr">
        <x:is>
          <x:t xml:space="preserve">Primary text / digital corpus</x:t>
        </x:is>
      </x:c>
      <x:c r="W412" s="81" t="inlineStr">
        <x:is>
          <x:t xml:space="preserve">Working translation</x:t>
        </x:is>
      </x:c>
      <x:c r="X412" s="81" t="inlineStr">
        <x:is>
          <x:t xml:space="preserve">A - Primary source</x:t>
        </x:is>
      </x:c>
      <x:c r="Y412" s="81" t="inlineStr">
        <x:is>
          <x:t xml:space="preserve">Original Classical Chinese collected from the received Liezi tradition and cross-checked against Chinese Text Project chapter structure. Vietnamese is Selflo working translation; not a published translation.</x:t>
        </x:is>
      </x:c>
      <x:c r="Z412" s="81" t="inlineStr">
        <x:is>
          <x:t xml:space="preserve">Public domain ancient text / edition terms to verify</x:t>
        </x:is>
      </x:c>
      <x:c r="AA412" s="81" t="inlineStr">
        <x:is>
          <x:t xml:space="preserve">Ancient text is public domain; do not copy modern copyrighted translations/commentaries. Attribution and textual history require editorial caution.</x:t>
        </x:is>
      </x:c>
      <x:c r="AB412" s="81" t="inlineStr">
        <x:is>
          <x:t xml:space="preserve">High</x:t>
        </x:is>
      </x:c>
      <x:c r="AC412" s="81" t="inlineStr">
        <x:is>
          <x:t xml:space="preserve">Useful nuance vs silence.</x:t>
        </x:is>
      </x:c>
      <x:c r="AD412" s="81" t="inlineStr">
        <x:is>
          <x:t xml:space="preserve">Needs editorial review</x:t>
        </x:is>
      </x:c>
      <x:c r="AE412" s="81" t="inlineStr">
        <x:is>
          <x:t xml:space="preserve">Needs semantic dedupe review</x:t>
        </x:is>
      </x:c>
      <x:c r="AF412" s="81" t="str"/>
      <x:c r="AG412" s="81" t="str"/>
      <x:c r="AH412" s="81" t="inlineStr">
        <x:is>
          <x:t xml:space="preserve">No</x:t>
        </x:is>
      </x:c>
      <x:c r="AI412" s="81" t="inlineStr">
        <x:is>
          <x:t xml:space="preserve">Not reviewed</x:t>
        </x:is>
      </x:c>
      <x:c r="AJ412" s="81" t="inlineStr">
        <x:is>
          <x:t xml:space="preserve">Research only</x:t>
        </x:is>
      </x:c>
      <x:c r="AK412" s="81" t="inlineStr">
        <x:is>
          <x:t xml:space="preserve">Research Pool</x:t>
        </x:is>
      </x:c>
      <x:c r="AL412" s="81" t="n">
        <x:v>5</x:v>
      </x:c>
      <x:c r="AM412" s="81" t="inlineStr">
        <x:is>
          <x:t xml:space="preserve">ChatGPT research</x:t>
        </x:is>
      </x:c>
      <x:c r="AN412" s="81" t="inlineStr">
        <x:is>
          <x:t xml:space="preserve">2026-09-18</x:t>
        </x:is>
      </x:c>
      <x:c r="AO412" s="81" t="inlineStr">
        <x:is>
          <x:t xml:space="preserve">Day 5 full-scope first-pass audit of all 8 Liezi chapters.</x:t>
        </x:is>
      </x:c>
    </x:row>
    <x:row r="413">
      <x:c r="A413" s="81" t="inlineStr">
        <x:is>
          <x:t xml:space="preserve">research.liezi.day5.ch04.035</x:t>
        </x:is>
      </x:c>
      <x:c r="B413" s="81" t="inlineStr">
        <x:is>
          <x:t xml:space="preserve">Collected</x:t>
        </x:is>
      </x:c>
      <x:c r="C413" s="81" t="inlineStr">
        <x:is>
          <x:t xml:space="preserve">Nội tâm &amp; hiểu mình</x:t>
        </x:is>
      </x:c>
      <x:c r="D413" s="81" t="inlineStr">
        <x:is>
          <x:t xml:space="preserve">Day 5 / Liezi — full 8 chapters</x:t>
        </x:is>
      </x:c>
      <x:c r="E413" s="81" t="str"/>
      <x:c r="F413" s="81" t="inlineStr">
        <x:is>
          <x:t xml:space="preserve">Không có một response template đúng cho mọi bối cảnh</x:t>
        </x:is>
      </x:c>
      <x:c r="G413" s="81" t="inlineStr">
        <x:is>
          <x:t xml:space="preserve">Context</x:t>
        </x:is>
      </x:c>
      <x:c r="H413" s="81" t="str"/>
      <x:c r="I413" s="81" t="str"/>
      <x:c r="J413" s="81" t="str"/>
      <x:c r="K413" s="81" t="inlineStr">
        <x:is>
          <x:t xml:space="preserve">Distinguish</x:t>
        </x:is>
      </x:c>
      <x:c r="L413" s="81" t="inlineStr">
        <x:is>
          <x:t xml:space="preserve">Recognize</x:t>
        </x:is>
      </x:c>
      <x:c r="M413" s="81" t="inlineStr">
        <x:is>
          <x:t xml:space="preserve">Trích đoạn triết học / 寓言</x:t>
        </x:is>
      </x:c>
      <x:c r="N413" s="81" t="inlineStr">
        <x:is>
          <x:t xml:space="preserve">言無常是，行無常宜。</x:t>
        </x:is>
      </x:c>
      <x:c r="O413" s="81" t="inlineStr">
        <x:is>
          <x:t xml:space="preserve">Classical Chinese (文言文)</x:t>
        </x:is>
      </x:c>
      <x:c r="P413" s="81" t="inlineStr">
        <x:is>
          <x:t xml:space="preserve">Lời không có một 'đúng' cố định cho mọi cảnh; hành động không có một 'hợp' cố định cho mọi lúc.</x:t>
        </x:is>
      </x:c>
      <x:c r="Q413" s="81" t="inlineStr">
        <x:is>
          <x:t xml:space="preserve">Liezi / 列子 (received text; attribution debated)</x:t>
        </x:is>
      </x:c>
      <x:c r="R413" s="81" t="inlineStr">
        <x:is>
          <x:t xml:space="preserve">Daoist / China</x:t>
        </x:is>
      </x:c>
      <x:c r="S413" s="81" t="inlineStr">
        <x:is>
          <x:t xml:space="preserve">列子 / Liezi</x:t>
        </x:is>
      </x:c>
      <x:c r="T413" s="81" t="inlineStr">
        <x:is>
          <x:t xml:space="preserve">Chapter 4 — 仲尼</x:t>
        </x:is>
      </x:c>
      <x:c r="U413" s="81" t="inlineStr">
        <x:is>
          <x:t xml:space="preserve">https://ctext.org/liezi/zh</x:t>
        </x:is>
      </x:c>
      <x:c r="V413" s="81" t="inlineStr">
        <x:is>
          <x:t xml:space="preserve">Primary text / digital corpus</x:t>
        </x:is>
      </x:c>
      <x:c r="W413" s="81" t="inlineStr">
        <x:is>
          <x:t xml:space="preserve">Working translation</x:t>
        </x:is>
      </x:c>
      <x:c r="X413" s="81" t="inlineStr">
        <x:is>
          <x:t xml:space="preserve">A - Primary source</x:t>
        </x:is>
      </x:c>
      <x:c r="Y413" s="81" t="inlineStr">
        <x:is>
          <x:t xml:space="preserve">Original Classical Chinese collected from the received Liezi tradition and cross-checked against Chinese Text Project chapter structure. Vietnamese is Selflo working translation; not a published translation.</x:t>
        </x:is>
      </x:c>
      <x:c r="Z413" s="81" t="inlineStr">
        <x:is>
          <x:t xml:space="preserve">Public domain ancient text / edition terms to verify</x:t>
        </x:is>
      </x:c>
      <x:c r="AA413" s="81" t="inlineStr">
        <x:is>
          <x:t xml:space="preserve">Ancient text is public domain; do not copy modern copyrighted translations/commentaries. Attribution and textual history require editorial caution.</x:t>
        </x:is>
      </x:c>
      <x:c r="AB413" s="81" t="inlineStr">
        <x:is>
          <x:t xml:space="preserve">High</x:t>
        </x:is>
      </x:c>
      <x:c r="AC413" s="81" t="inlineStr">
        <x:is>
          <x:t xml:space="preserve">Core Selflo.</x:t>
        </x:is>
      </x:c>
      <x:c r="AD413" s="81" t="inlineStr">
        <x:is>
          <x:t xml:space="preserve">Needs editorial review</x:t>
        </x:is>
      </x:c>
      <x:c r="AE413" s="81" t="inlineStr">
        <x:is>
          <x:t xml:space="preserve">Needs semantic dedupe review</x:t>
        </x:is>
      </x:c>
      <x:c r="AF413" s="81" t="str"/>
      <x:c r="AG413" s="81" t="str"/>
      <x:c r="AH413" s="81" t="inlineStr">
        <x:is>
          <x:t xml:space="preserve">No</x:t>
        </x:is>
      </x:c>
      <x:c r="AI413" s="81" t="inlineStr">
        <x:is>
          <x:t xml:space="preserve">Not reviewed</x:t>
        </x:is>
      </x:c>
      <x:c r="AJ413" s="81" t="inlineStr">
        <x:is>
          <x:t xml:space="preserve">Research only</x:t>
        </x:is>
      </x:c>
      <x:c r="AK413" s="81" t="inlineStr">
        <x:is>
          <x:t xml:space="preserve">Research Pool</x:t>
        </x:is>
      </x:c>
      <x:c r="AL413" s="81" t="n">
        <x:v>5</x:v>
      </x:c>
      <x:c r="AM413" s="81" t="inlineStr">
        <x:is>
          <x:t xml:space="preserve">ChatGPT research</x:t>
        </x:is>
      </x:c>
      <x:c r="AN413" s="81" t="inlineStr">
        <x:is>
          <x:t xml:space="preserve">2026-09-18</x:t>
        </x:is>
      </x:c>
      <x:c r="AO413" s="81" t="inlineStr">
        <x:is>
          <x:t xml:space="preserve">Day 5 full-scope first-pass audit of all 8 Liezi chapters.</x:t>
        </x:is>
      </x:c>
    </x:row>
    <x:row r="414">
      <x:c r="A414" s="81" t="inlineStr">
        <x:is>
          <x:t xml:space="preserve">research.liezi.day5.ch04.036</x:t>
        </x:is>
      </x:c>
      <x:c r="B414" s="81" t="inlineStr">
        <x:is>
          <x:t xml:space="preserve">Collected</x:t>
        </x:is>
      </x:c>
      <x:c r="C414" s="81" t="inlineStr">
        <x:is>
          <x:t xml:space="preserve">Nội tâm &amp; hiểu mình</x:t>
        </x:is>
      </x:c>
      <x:c r="D414" s="81" t="inlineStr">
        <x:is>
          <x:t xml:space="preserve">Day 5 / Liezi — full 8 chapters</x:t>
        </x:is>
      </x:c>
      <x:c r="E414" s="81" t="str"/>
      <x:c r="F414" s="81" t="inlineStr">
        <x:is>
          <x:t xml:space="preserve">Phù hợp bối cảnh hơn công thức</x:t>
        </x:is>
      </x:c>
      <x:c r="G414" s="81" t="inlineStr">
        <x:is>
          <x:t xml:space="preserve">Context</x:t>
        </x:is>
      </x:c>
      <x:c r="H414" s="81" t="str"/>
      <x:c r="I414" s="81" t="str"/>
      <x:c r="J414" s="81" t="str"/>
      <x:c r="K414" s="81" t="inlineStr">
        <x:is>
          <x:t xml:space="preserve">Recognize</x:t>
        </x:is>
      </x:c>
      <x:c r="L414" s="81" t="inlineStr">
        <x:is>
          <x:t xml:space="preserve">Distinguish</x:t>
        </x:is>
      </x:c>
      <x:c r="M414" s="81" t="inlineStr">
        <x:is>
          <x:t xml:space="preserve">Trích đoạn triết học / 寓言</x:t>
        </x:is>
      </x:c>
      <x:c r="N414" s="81" t="inlineStr">
        <x:is>
          <x:t xml:space="preserve">唯當為貴。</x:t>
        </x:is>
      </x:c>
      <x:c r="O414" s="81" t="inlineStr">
        <x:is>
          <x:t xml:space="preserve">Classical Chinese (文言文)</x:t>
        </x:is>
      </x:c>
      <x:c r="P414" s="81" t="inlineStr">
        <x:is>
          <x:t xml:space="preserve">Điều đáng quý là sự phù hợp với tình huống.</x:t>
        </x:is>
      </x:c>
      <x:c r="Q414" s="81" t="inlineStr">
        <x:is>
          <x:t xml:space="preserve">Liezi / 列子 (received text; attribution debated)</x:t>
        </x:is>
      </x:c>
      <x:c r="R414" s="81" t="inlineStr">
        <x:is>
          <x:t xml:space="preserve">Daoist / China</x:t>
        </x:is>
      </x:c>
      <x:c r="S414" s="81" t="inlineStr">
        <x:is>
          <x:t xml:space="preserve">列子 / Liezi</x:t>
        </x:is>
      </x:c>
      <x:c r="T414" s="81" t="inlineStr">
        <x:is>
          <x:t xml:space="preserve">Chapter 4 — 仲尼</x:t>
        </x:is>
      </x:c>
      <x:c r="U414" s="81" t="inlineStr">
        <x:is>
          <x:t xml:space="preserve">https://ctext.org/liezi/zh</x:t>
        </x:is>
      </x:c>
      <x:c r="V414" s="81" t="inlineStr">
        <x:is>
          <x:t xml:space="preserve">Primary text / digital corpus</x:t>
        </x:is>
      </x:c>
      <x:c r="W414" s="81" t="inlineStr">
        <x:is>
          <x:t xml:space="preserve">Working translation</x:t>
        </x:is>
      </x:c>
      <x:c r="X414" s="81" t="inlineStr">
        <x:is>
          <x:t xml:space="preserve">A - Primary source</x:t>
        </x:is>
      </x:c>
      <x:c r="Y414" s="81" t="inlineStr">
        <x:is>
          <x:t xml:space="preserve">Original Classical Chinese collected from the received Liezi tradition and cross-checked against Chinese Text Project chapter structure. Vietnamese is Selflo working translation; not a published translation.</x:t>
        </x:is>
      </x:c>
      <x:c r="Z414" s="81" t="inlineStr">
        <x:is>
          <x:t xml:space="preserve">Public domain ancient text / edition terms to verify</x:t>
        </x:is>
      </x:c>
      <x:c r="AA414" s="81" t="inlineStr">
        <x:is>
          <x:t xml:space="preserve">Ancient text is public domain; do not copy modern copyrighted translations/commentaries. Attribution and textual history require editorial caution.</x:t>
        </x:is>
      </x:c>
      <x:c r="AB414" s="81" t="inlineStr">
        <x:is>
          <x:t xml:space="preserve">High</x:t>
        </x:is>
      </x:c>
      <x:c r="AC414" s="81" t="inlineStr">
        <x:is>
          <x:t xml:space="preserve">Short; editorial candidate.</x:t>
        </x:is>
      </x:c>
      <x:c r="AD414" s="81" t="inlineStr">
        <x:is>
          <x:t xml:space="preserve">Needs editorial review</x:t>
        </x:is>
      </x:c>
      <x:c r="AE414" s="81" t="inlineStr">
        <x:is>
          <x:t xml:space="preserve">Needs semantic dedupe review</x:t>
        </x:is>
      </x:c>
      <x:c r="AF414" s="81" t="str"/>
      <x:c r="AG414" s="81" t="str"/>
      <x:c r="AH414" s="81" t="inlineStr">
        <x:is>
          <x:t xml:space="preserve">No</x:t>
        </x:is>
      </x:c>
      <x:c r="AI414" s="81" t="inlineStr">
        <x:is>
          <x:t xml:space="preserve">Not reviewed</x:t>
        </x:is>
      </x:c>
      <x:c r="AJ414" s="81" t="inlineStr">
        <x:is>
          <x:t xml:space="preserve">Research only</x:t>
        </x:is>
      </x:c>
      <x:c r="AK414" s="81" t="inlineStr">
        <x:is>
          <x:t xml:space="preserve">Research Pool</x:t>
        </x:is>
      </x:c>
      <x:c r="AL414" s="81" t="n">
        <x:v>5</x:v>
      </x:c>
      <x:c r="AM414" s="81" t="inlineStr">
        <x:is>
          <x:t xml:space="preserve">ChatGPT research</x:t>
        </x:is>
      </x:c>
      <x:c r="AN414" s="81" t="inlineStr">
        <x:is>
          <x:t xml:space="preserve">2026-09-18</x:t>
        </x:is>
      </x:c>
      <x:c r="AO414" s="81" t="inlineStr">
        <x:is>
          <x:t xml:space="preserve">Day 5 full-scope first-pass audit of all 8 Liezi chapters.</x:t>
        </x:is>
      </x:c>
    </x:row>
    <x:row r="415">
      <x:c r="A415" s="81" t="inlineStr">
        <x:is>
          <x:t xml:space="preserve">research.liezi.day5.ch05.037</x:t>
        </x:is>
      </x:c>
      <x:c r="B415" s="81" t="inlineStr">
        <x:is>
          <x:t xml:space="preserve">Collected</x:t>
        </x:is>
      </x:c>
      <x:c r="C415" s="81" t="inlineStr">
        <x:is>
          <x:t xml:space="preserve">Nội tâm &amp; hiểu mình</x:t>
        </x:is>
      </x:c>
      <x:c r="D415" s="81" t="inlineStr">
        <x:is>
          <x:t xml:space="preserve">Day 5 / Liezi — full 8 chapters</x:t>
        </x:is>
      </x:c>
      <x:c r="E415" s="81" t="str"/>
      <x:c r="F415" s="81" t="inlineStr">
        <x:is>
          <x:t xml:space="preserve">Không hoàn hảo không chỉ thuộc về cá nhân</x:t>
        </x:is>
      </x:c>
      <x:c r="G415" s="81" t="inlineStr">
        <x:is>
          <x:t xml:space="preserve">Self-compassion</x:t>
        </x:is>
      </x:c>
      <x:c r="H415" s="81" t="str"/>
      <x:c r="I415" s="81" t="str"/>
      <x:c r="J415" s="81" t="str"/>
      <x:c r="K415" s="81" t="inlineStr">
        <x:is>
          <x:t xml:space="preserve">Reframe</x:t>
        </x:is>
      </x:c>
      <x:c r="L415" s="81" t="inlineStr">
        <x:is>
          <x:t xml:space="preserve">Recognize</x:t>
        </x:is>
      </x:c>
      <x:c r="M415" s="81" t="inlineStr">
        <x:is>
          <x:t xml:space="preserve">Trích đoạn triết học / 寓言</x:t>
        </x:is>
      </x:c>
      <x:c r="N415" s="81" t="inlineStr">
        <x:is>
          <x:t xml:space="preserve">天地亦物也。物有不足，故昔者女媧氏煉五色石以補其闕。</x:t>
        </x:is>
      </x:c>
      <x:c r="O415" s="81" t="inlineStr">
        <x:is>
          <x:t xml:space="preserve">Classical Chinese (文言文)</x:t>
        </x:is>
      </x:c>
      <x:c r="P415" s="81" t="inlineStr">
        <x:is>
          <x:t xml:space="preserve">Ngay trời đất trong truyện cũng được hình dung có chỗ thiếu và cần được vá.</x:t>
        </x:is>
      </x:c>
      <x:c r="Q415" s="81" t="inlineStr">
        <x:is>
          <x:t xml:space="preserve">Liezi / 列子 (received text; attribution debated)</x:t>
        </x:is>
      </x:c>
      <x:c r="R415" s="81" t="inlineStr">
        <x:is>
          <x:t xml:space="preserve">Daoist / China</x:t>
        </x:is>
      </x:c>
      <x:c r="S415" s="81" t="inlineStr">
        <x:is>
          <x:t xml:space="preserve">列子 / Liezi</x:t>
        </x:is>
      </x:c>
      <x:c r="T415" s="81" t="inlineStr">
        <x:is>
          <x:t xml:space="preserve">Chapter 5 — 湯問</x:t>
        </x:is>
      </x:c>
      <x:c r="U415" s="81" t="inlineStr">
        <x:is>
          <x:t xml:space="preserve">https://ctext.org/liezi/zh</x:t>
        </x:is>
      </x:c>
      <x:c r="V415" s="81" t="inlineStr">
        <x:is>
          <x:t xml:space="preserve">Primary text / digital corpus</x:t>
        </x:is>
      </x:c>
      <x:c r="W415" s="81" t="inlineStr">
        <x:is>
          <x:t xml:space="preserve">Working translation</x:t>
        </x:is>
      </x:c>
      <x:c r="X415" s="81" t="inlineStr">
        <x:is>
          <x:t xml:space="preserve">A - Primary source</x:t>
        </x:is>
      </x:c>
      <x:c r="Y415" s="81" t="inlineStr">
        <x:is>
          <x:t xml:space="preserve">Original Classical Chinese collected from the received Liezi tradition and cross-checked against Chinese Text Project chapter structure. Vietnamese is Selflo working translation; not a published translation.</x:t>
        </x:is>
      </x:c>
      <x:c r="Z415" s="81" t="inlineStr">
        <x:is>
          <x:t xml:space="preserve">Public domain ancient text / edition terms to verify</x:t>
        </x:is>
      </x:c>
      <x:c r="AA415" s="81" t="inlineStr">
        <x:is>
          <x:t xml:space="preserve">Ancient text is public domain; do not copy modern copyrighted translations/commentaries. Attribution and textual history require editorial caution.</x:t>
        </x:is>
      </x:c>
      <x:c r="AB415" s="81" t="inlineStr">
        <x:is>
          <x:t xml:space="preserve">Medium</x:t>
        </x:is>
      </x:c>
      <x:c r="AC415" s="81" t="inlineStr">
        <x:is>
          <x:t xml:space="preserve">Mythic story.</x:t>
        </x:is>
      </x:c>
      <x:c r="AD415" s="81" t="inlineStr">
        <x:is>
          <x:t xml:space="preserve">Needs editorial review</x:t>
        </x:is>
      </x:c>
      <x:c r="AE415" s="81" t="inlineStr">
        <x:is>
          <x:t xml:space="preserve">Needs semantic dedupe review</x:t>
        </x:is>
      </x:c>
      <x:c r="AF415" s="81" t="str"/>
      <x:c r="AG415" s="81" t="str"/>
      <x:c r="AH415" s="81" t="inlineStr">
        <x:is>
          <x:t xml:space="preserve">No</x:t>
        </x:is>
      </x:c>
      <x:c r="AI415" s="81" t="inlineStr">
        <x:is>
          <x:t xml:space="preserve">Not reviewed</x:t>
        </x:is>
      </x:c>
      <x:c r="AJ415" s="81" t="inlineStr">
        <x:is>
          <x:t xml:space="preserve">Research only</x:t>
        </x:is>
      </x:c>
      <x:c r="AK415" s="81" t="inlineStr">
        <x:is>
          <x:t xml:space="preserve">Research Pool</x:t>
        </x:is>
      </x:c>
      <x:c r="AL415" s="81" t="n">
        <x:v>5</x:v>
      </x:c>
      <x:c r="AM415" s="81" t="inlineStr">
        <x:is>
          <x:t xml:space="preserve">ChatGPT research</x:t>
        </x:is>
      </x:c>
      <x:c r="AN415" s="81" t="inlineStr">
        <x:is>
          <x:t xml:space="preserve">2026-09-18</x:t>
        </x:is>
      </x:c>
      <x:c r="AO415" s="81" t="inlineStr">
        <x:is>
          <x:t xml:space="preserve">Day 5 full-scope first-pass audit of all 8 Liezi chapters.</x:t>
        </x:is>
      </x:c>
    </x:row>
    <x:row r="416">
      <x:c r="A416" s="81" t="inlineStr">
        <x:is>
          <x:t xml:space="preserve">research.liezi.day5.ch05.038</x:t>
        </x:is>
      </x:c>
      <x:c r="B416" s="81" t="inlineStr">
        <x:is>
          <x:t xml:space="preserve">Collected</x:t>
        </x:is>
      </x:c>
      <x:c r="C416" s="81" t="inlineStr">
        <x:is>
          <x:t xml:space="preserve">Nghỉ ngơi &amp; sức khỏe tinh thần</x:t>
        </x:is>
      </x:c>
      <x:c r="D416" s="81" t="inlineStr">
        <x:is>
          <x:t xml:space="preserve">Day 5 / Liezi — full 8 chapters</x:t>
        </x:is>
      </x:c>
      <x:c r="E416" s="81" t="str"/>
      <x:c r="F416" s="81" t="inlineStr">
        <x:is>
          <x:t xml:space="preserve">Lo lắng có thể chiếm trọn đời sống ngay cả khi điều lo chưa xảy ra</x:t>
        </x:is>
      </x:c>
      <x:c r="G416" s="81" t="inlineStr">
        <x:is>
          <x:t xml:space="preserve">Worry</x:t>
        </x:is>
      </x:c>
      <x:c r="H416" s="81" t="str"/>
      <x:c r="I416" s="81" t="str"/>
      <x:c r="J416" s="81" t="str"/>
      <x:c r="K416" s="81" t="inlineStr">
        <x:is>
          <x:t xml:space="preserve">Name</x:t>
        </x:is>
      </x:c>
      <x:c r="L416" s="81" t="inlineStr">
        <x:is>
          <x:t xml:space="preserve">Recognize</x:t>
        </x:is>
      </x:c>
      <x:c r="M416" s="81" t="inlineStr">
        <x:is>
          <x:t xml:space="preserve">Trích đoạn triết học / 寓言</x:t>
        </x:is>
      </x:c>
      <x:c r="N416" s="81" t="inlineStr">
        <x:is>
          <x:t xml:space="preserve">杞國有人憂天地崩墜，身亡所寄，廢寢食者。</x:t>
        </x:is>
      </x:c>
      <x:c r="O416" s="81" t="inlineStr">
        <x:is>
          <x:t xml:space="preserve">Classical Chinese (文言文)</x:t>
        </x:is>
      </x:c>
      <x:c r="P416" s="81" t="inlineStr">
        <x:is>
          <x:t xml:space="preserve">Có người nước Kỷ lo trời đất sụp đổ đến mức bỏ ăn bỏ ngủ.</x:t>
        </x:is>
      </x:c>
      <x:c r="Q416" s="81" t="inlineStr">
        <x:is>
          <x:t xml:space="preserve">Liezi / 列子 (received text; attribution debated)</x:t>
        </x:is>
      </x:c>
      <x:c r="R416" s="81" t="inlineStr">
        <x:is>
          <x:t xml:space="preserve">Daoist / China</x:t>
        </x:is>
      </x:c>
      <x:c r="S416" s="81" t="inlineStr">
        <x:is>
          <x:t xml:space="preserve">列子 / Liezi</x:t>
        </x:is>
      </x:c>
      <x:c r="T416" s="81" t="inlineStr">
        <x:is>
          <x:t xml:space="preserve">Chapter 5 — 湯問</x:t>
        </x:is>
      </x:c>
      <x:c r="U416" s="81" t="inlineStr">
        <x:is>
          <x:t xml:space="preserve">https://ctext.org/liezi/zh</x:t>
        </x:is>
      </x:c>
      <x:c r="V416" s="81" t="inlineStr">
        <x:is>
          <x:t xml:space="preserve">Primary text / digital corpus</x:t>
        </x:is>
      </x:c>
      <x:c r="W416" s="81" t="inlineStr">
        <x:is>
          <x:t xml:space="preserve">Working translation</x:t>
        </x:is>
      </x:c>
      <x:c r="X416" s="81" t="inlineStr">
        <x:is>
          <x:t xml:space="preserve">A - Primary source</x:t>
        </x:is>
      </x:c>
      <x:c r="Y416" s="81" t="inlineStr">
        <x:is>
          <x:t xml:space="preserve">Original Classical Chinese collected from the received Liezi tradition and cross-checked against Chinese Text Project chapter structure. Vietnamese is Selflo working translation; not a published translation.</x:t>
        </x:is>
      </x:c>
      <x:c r="Z416" s="81" t="inlineStr">
        <x:is>
          <x:t xml:space="preserve">Public domain ancient text / edition terms to verify</x:t>
        </x:is>
      </x:c>
      <x:c r="AA416" s="81" t="inlineStr">
        <x:is>
          <x:t xml:space="preserve">Ancient text is public domain; do not copy modern copyrighted translations/commentaries. Attribution and textual history require editorial caution.</x:t>
        </x:is>
      </x:c>
      <x:c r="AB416" s="81" t="inlineStr">
        <x:is>
          <x:t xml:space="preserve">High</x:t>
        </x:is>
      </x:c>
      <x:c r="AC416" s="81" t="inlineStr">
        <x:is>
          <x:t xml:space="preserve">Anchor 杞人憂天; don't trivialize anxiety.</x:t>
        </x:is>
      </x:c>
      <x:c r="AD416" s="81" t="inlineStr">
        <x:is>
          <x:t xml:space="preserve">Needs editorial review</x:t>
        </x:is>
      </x:c>
      <x:c r="AE416" s="81" t="inlineStr">
        <x:is>
          <x:t xml:space="preserve">Needs semantic dedupe review</x:t>
        </x:is>
      </x:c>
      <x:c r="AF416" s="81" t="str"/>
      <x:c r="AG416" s="81" t="str"/>
      <x:c r="AH416" s="81" t="inlineStr">
        <x:is>
          <x:t xml:space="preserve">No</x:t>
        </x:is>
      </x:c>
      <x:c r="AI416" s="81" t="inlineStr">
        <x:is>
          <x:t xml:space="preserve">Not reviewed</x:t>
        </x:is>
      </x:c>
      <x:c r="AJ416" s="81" t="inlineStr">
        <x:is>
          <x:t xml:space="preserve">Research only</x:t>
        </x:is>
      </x:c>
      <x:c r="AK416" s="81" t="inlineStr">
        <x:is>
          <x:t xml:space="preserve">Research Pool</x:t>
        </x:is>
      </x:c>
      <x:c r="AL416" s="81" t="n">
        <x:v>5</x:v>
      </x:c>
      <x:c r="AM416" s="81" t="inlineStr">
        <x:is>
          <x:t xml:space="preserve">ChatGPT research</x:t>
        </x:is>
      </x:c>
      <x:c r="AN416" s="81" t="inlineStr">
        <x:is>
          <x:t xml:space="preserve">2026-09-18</x:t>
        </x:is>
      </x:c>
      <x:c r="AO416" s="81" t="inlineStr">
        <x:is>
          <x:t xml:space="preserve">Day 5 full-scope first-pass audit of all 8 Liezi chapters.</x:t>
        </x:is>
      </x:c>
    </x:row>
    <x:row r="417">
      <x:c r="A417" s="81" t="inlineStr">
        <x:is>
          <x:t xml:space="preserve">research.liezi.day5.ch05.039</x:t>
        </x:is>
      </x:c>
      <x:c r="B417" s="81" t="inlineStr">
        <x:is>
          <x:t xml:space="preserve">Collected</x:t>
        </x:is>
      </x:c>
      <x:c r="C417" s="81" t="inlineStr">
        <x:is>
          <x:t xml:space="preserve">Nghỉ ngơi &amp; sức khỏe tinh thần</x:t>
        </x:is>
      </x:c>
      <x:c r="D417" s="81" t="inlineStr">
        <x:is>
          <x:t xml:space="preserve">Day 5 / Liezi — full 8 chapters</x:t>
        </x:is>
      </x:c>
      <x:c r="E417" s="81" t="str"/>
      <x:c r="F417" s="81" t="inlineStr">
        <x:is>
          <x:t xml:space="preserve">Thông tin có thể thay đổi cách một nỗi lo được nhìn</x:t>
        </x:is>
      </x:c>
      <x:c r="G417" s="81" t="inlineStr">
        <x:is>
          <x:t xml:space="preserve">Worry</x:t>
        </x:is>
      </x:c>
      <x:c r="H417" s="81" t="str"/>
      <x:c r="I417" s="81" t="str"/>
      <x:c r="J417" s="81" t="str"/>
      <x:c r="K417" s="81" t="inlineStr">
        <x:is>
          <x:t xml:space="preserve">Reframe</x:t>
        </x:is>
      </x:c>
      <x:c r="L417" s="81" t="inlineStr">
        <x:is>
          <x:t xml:space="preserve">Recognize</x:t>
        </x:is>
      </x:c>
      <x:c r="M417" s="81" t="inlineStr">
        <x:is>
          <x:t xml:space="preserve">Trích đoạn triết học / 寓言</x:t>
        </x:is>
      </x:c>
      <x:c r="N417" s="81" t="inlineStr">
        <x:is>
          <x:t xml:space="preserve">天，積氣耳，亡處亡氣。</x:t>
        </x:is>
      </x:c>
      <x:c r="O417" s="81" t="inlineStr">
        <x:is>
          <x:t xml:space="preserve">Classical Chinese (文言文)</x:t>
        </x:is>
      </x:c>
      <x:c r="P417" s="81" t="inlineStr">
        <x:is>
          <x:t xml:space="preserve">Người đối thoại giải thích bầu trời theo mô hình tự nhiên thời cổ để làm nỗi lo bớt tuyệt đối.</x:t>
        </x:is>
      </x:c>
      <x:c r="Q417" s="81" t="inlineStr">
        <x:is>
          <x:t xml:space="preserve">Liezi / 列子 (received text; attribution debated)</x:t>
        </x:is>
      </x:c>
      <x:c r="R417" s="81" t="inlineStr">
        <x:is>
          <x:t xml:space="preserve">Daoist / China</x:t>
        </x:is>
      </x:c>
      <x:c r="S417" s="81" t="inlineStr">
        <x:is>
          <x:t xml:space="preserve">列子 / Liezi</x:t>
        </x:is>
      </x:c>
      <x:c r="T417" s="81" t="inlineStr">
        <x:is>
          <x:t xml:space="preserve">Chapter 5 — 湯問</x:t>
        </x:is>
      </x:c>
      <x:c r="U417" s="81" t="inlineStr">
        <x:is>
          <x:t xml:space="preserve">https://ctext.org/liezi/zh</x:t>
        </x:is>
      </x:c>
      <x:c r="V417" s="81" t="inlineStr">
        <x:is>
          <x:t xml:space="preserve">Primary text / digital corpus</x:t>
        </x:is>
      </x:c>
      <x:c r="W417" s="81" t="inlineStr">
        <x:is>
          <x:t xml:space="preserve">Working translation</x:t>
        </x:is>
      </x:c>
      <x:c r="X417" s="81" t="inlineStr">
        <x:is>
          <x:t xml:space="preserve">A - Primary source</x:t>
        </x:is>
      </x:c>
      <x:c r="Y417" s="81" t="inlineStr">
        <x:is>
          <x:t xml:space="preserve">Original Classical Chinese collected from the received Liezi tradition and cross-checked against Chinese Text Project chapter structure. Vietnamese is Selflo working translation; not a published translation.</x:t>
        </x:is>
      </x:c>
      <x:c r="Z417" s="81" t="inlineStr">
        <x:is>
          <x:t xml:space="preserve">Public domain ancient text / edition terms to verify</x:t>
        </x:is>
      </x:c>
      <x:c r="AA417" s="81" t="inlineStr">
        <x:is>
          <x:t xml:space="preserve">Ancient text is public domain; do not copy modern copyrighted translations/commentaries. Attribution and textual history require editorial caution.</x:t>
        </x:is>
      </x:c>
      <x:c r="AB417" s="81" t="inlineStr">
        <x:is>
          <x:t xml:space="preserve">Medium</x:t>
        </x:is>
      </x:c>
      <x:c r="AC417" s="81" t="inlineStr">
        <x:is>
          <x:t xml:space="preserve">Ancient cosmology is not modern science.</x:t>
        </x:is>
      </x:c>
      <x:c r="AD417" s="81" t="inlineStr">
        <x:is>
          <x:t xml:space="preserve">Needs editorial review</x:t>
        </x:is>
      </x:c>
      <x:c r="AE417" s="81" t="inlineStr">
        <x:is>
          <x:t xml:space="preserve">Needs semantic dedupe review</x:t>
        </x:is>
      </x:c>
      <x:c r="AF417" s="81" t="str"/>
      <x:c r="AG417" s="81" t="str"/>
      <x:c r="AH417" s="81" t="inlineStr">
        <x:is>
          <x:t xml:space="preserve">No</x:t>
        </x:is>
      </x:c>
      <x:c r="AI417" s="81" t="inlineStr">
        <x:is>
          <x:t xml:space="preserve">Not reviewed</x:t>
        </x:is>
      </x:c>
      <x:c r="AJ417" s="81" t="inlineStr">
        <x:is>
          <x:t xml:space="preserve">Research only</x:t>
        </x:is>
      </x:c>
      <x:c r="AK417" s="81" t="inlineStr">
        <x:is>
          <x:t xml:space="preserve">Research Pool</x:t>
        </x:is>
      </x:c>
      <x:c r="AL417" s="81" t="n">
        <x:v>5</x:v>
      </x:c>
      <x:c r="AM417" s="81" t="inlineStr">
        <x:is>
          <x:t xml:space="preserve">ChatGPT research</x:t>
        </x:is>
      </x:c>
      <x:c r="AN417" s="81" t="inlineStr">
        <x:is>
          <x:t xml:space="preserve">2026-09-18</x:t>
        </x:is>
      </x:c>
      <x:c r="AO417" s="81" t="inlineStr">
        <x:is>
          <x:t xml:space="preserve">Day 5 full-scope first-pass audit of all 8 Liezi chapters.</x:t>
        </x:is>
      </x:c>
    </x:row>
    <x:row r="418">
      <x:c r="A418" s="81" t="inlineStr">
        <x:is>
          <x:t xml:space="preserve">research.liezi.day5.ch05.040</x:t>
        </x:is>
      </x:c>
      <x:c r="B418" s="81" t="inlineStr">
        <x:is>
          <x:t xml:space="preserve">Collected</x:t>
        </x:is>
      </x:c>
      <x:c r="C418" s="81" t="inlineStr">
        <x:is>
          <x:t xml:space="preserve">Nghỉ ngơi &amp; sức khỏe tinh thần</x:t>
        </x:is>
      </x:c>
      <x:c r="D418" s="81" t="inlineStr">
        <x:is>
          <x:t xml:space="preserve">Day 5 / Liezi — full 8 chapters</x:t>
        </x:is>
      </x:c>
      <x:c r="E418" s="81" t="str"/>
      <x:c r="F418" s="81" t="inlineStr">
        <x:is>
          <x:t xml:space="preserve">Kiểm tra giả định phía sau nỗi lo</x:t>
        </x:is>
      </x:c>
      <x:c r="G418" s="81" t="inlineStr">
        <x:is>
          <x:t xml:space="preserve">Worry</x:t>
        </x:is>
      </x:c>
      <x:c r="H418" s="81" t="str"/>
      <x:c r="I418" s="81" t="str"/>
      <x:c r="J418" s="81" t="str"/>
      <x:c r="K418" s="81" t="inlineStr">
        <x:is>
          <x:t xml:space="preserve">Open question</x:t>
        </x:is>
      </x:c>
      <x:c r="L418" s="81" t="inlineStr">
        <x:is>
          <x:t xml:space="preserve">Recognize</x:t>
        </x:is>
      </x:c>
      <x:c r="M418" s="81" t="inlineStr">
        <x:is>
          <x:t xml:space="preserve">Trích đoạn triết học / 寓言</x:t>
        </x:is>
      </x:c>
      <x:c r="N418" s="81" t="inlineStr">
        <x:is>
          <x:t xml:space="preserve">奈何憂崩墜乎？</x:t>
        </x:is>
      </x:c>
      <x:c r="O418" s="81" t="inlineStr">
        <x:is>
          <x:t xml:space="preserve">Classical Chinese (文言文)</x:t>
        </x:is>
      </x:c>
      <x:c r="P418" s="81" t="inlineStr">
        <x:is>
          <x:t xml:space="preserve">Vì sao phải để nỗi lo sụp đổ ấy chiếm lấy mình?</x:t>
        </x:is>
      </x:c>
      <x:c r="Q418" s="81" t="inlineStr">
        <x:is>
          <x:t xml:space="preserve">Liezi / 列子 (received text; attribution debated)</x:t>
        </x:is>
      </x:c>
      <x:c r="R418" s="81" t="inlineStr">
        <x:is>
          <x:t xml:space="preserve">Daoist / China</x:t>
        </x:is>
      </x:c>
      <x:c r="S418" s="81" t="inlineStr">
        <x:is>
          <x:t xml:space="preserve">列子 / Liezi</x:t>
        </x:is>
      </x:c>
      <x:c r="T418" s="81" t="inlineStr">
        <x:is>
          <x:t xml:space="preserve">Chapter 5 — 湯問</x:t>
        </x:is>
      </x:c>
      <x:c r="U418" s="81" t="inlineStr">
        <x:is>
          <x:t xml:space="preserve">https://ctext.org/liezi/zh</x:t>
        </x:is>
      </x:c>
      <x:c r="V418" s="81" t="inlineStr">
        <x:is>
          <x:t xml:space="preserve">Primary text / digital corpus</x:t>
        </x:is>
      </x:c>
      <x:c r="W418" s="81" t="inlineStr">
        <x:is>
          <x:t xml:space="preserve">Working translation</x:t>
        </x:is>
      </x:c>
      <x:c r="X418" s="81" t="inlineStr">
        <x:is>
          <x:t xml:space="preserve">A - Primary source</x:t>
        </x:is>
      </x:c>
      <x:c r="Y418" s="81" t="inlineStr">
        <x:is>
          <x:t xml:space="preserve">Original Classical Chinese collected from the received Liezi tradition and cross-checked against Chinese Text Project chapter structure. Vietnamese is Selflo working translation; not a published translation.</x:t>
        </x:is>
      </x:c>
      <x:c r="Z418" s="81" t="inlineStr">
        <x:is>
          <x:t xml:space="preserve">Public domain ancient text / edition terms to verify</x:t>
        </x:is>
      </x:c>
      <x:c r="AA418" s="81" t="inlineStr">
        <x:is>
          <x:t xml:space="preserve">Ancient text is public domain; do not copy modern copyrighted translations/commentaries. Attribution and textual history require editorial caution.</x:t>
        </x:is>
      </x:c>
      <x:c r="AB418" s="81" t="inlineStr">
        <x:is>
          <x:t xml:space="preserve">High</x:t>
        </x:is>
      </x:c>
      <x:c r="AC418" s="81" t="inlineStr">
        <x:is>
          <x:t xml:space="preserve">Needs gentle tone.</x:t>
        </x:is>
      </x:c>
      <x:c r="AD418" s="81" t="inlineStr">
        <x:is>
          <x:t xml:space="preserve">Needs editorial review</x:t>
        </x:is>
      </x:c>
      <x:c r="AE418" s="81" t="inlineStr">
        <x:is>
          <x:t xml:space="preserve">Needs semantic dedupe review</x:t>
        </x:is>
      </x:c>
      <x:c r="AF418" s="81" t="str"/>
      <x:c r="AG418" s="81" t="str"/>
      <x:c r="AH418" s="81" t="inlineStr">
        <x:is>
          <x:t xml:space="preserve">No</x:t>
        </x:is>
      </x:c>
      <x:c r="AI418" s="81" t="inlineStr">
        <x:is>
          <x:t xml:space="preserve">Not reviewed</x:t>
        </x:is>
      </x:c>
      <x:c r="AJ418" s="81" t="inlineStr">
        <x:is>
          <x:t xml:space="preserve">Research only</x:t>
        </x:is>
      </x:c>
      <x:c r="AK418" s="81" t="inlineStr">
        <x:is>
          <x:t xml:space="preserve">Research Pool</x:t>
        </x:is>
      </x:c>
      <x:c r="AL418" s="81" t="n">
        <x:v>5</x:v>
      </x:c>
      <x:c r="AM418" s="81" t="inlineStr">
        <x:is>
          <x:t xml:space="preserve">ChatGPT research</x:t>
        </x:is>
      </x:c>
      <x:c r="AN418" s="81" t="inlineStr">
        <x:is>
          <x:t xml:space="preserve">2026-09-18</x:t>
        </x:is>
      </x:c>
      <x:c r="AO418" s="81" t="inlineStr">
        <x:is>
          <x:t xml:space="preserve">Day 5 full-scope first-pass audit of all 8 Liezi chapters.</x:t>
        </x:is>
      </x:c>
    </x:row>
    <x:row r="419">
      <x:c r="A419" s="81" t="inlineStr">
        <x:is>
          <x:t xml:space="preserve">research.liezi.day5.ch05.041</x:t>
        </x:is>
      </x:c>
      <x:c r="B419" s="81" t="inlineStr">
        <x:is>
          <x:t xml:space="preserve">Collected</x:t>
        </x:is>
      </x:c>
      <x:c r="C419" s="81" t="inlineStr">
        <x:is>
          <x:t xml:space="preserve">Nội tâm &amp; hiểu mình</x:t>
        </x:is>
      </x:c>
      <x:c r="D419" s="81" t="inlineStr">
        <x:is>
          <x:t xml:space="preserve">Day 5 / Liezi — full 8 chapters</x:t>
        </x:is>
      </x:c>
      <x:c r="E419" s="81" t="str"/>
      <x:c r="F419" s="81" t="inlineStr">
        <x:is>
          <x:t xml:space="preserve">Một việc rất lớn có thể được nhìn qua chuỗi đóng góp dài hơn một đời</x:t>
        </x:is>
      </x:c>
      <x:c r="G419" s="81" t="inlineStr">
        <x:is>
          <x:t xml:space="preserve">Persistence</x:t>
        </x:is>
      </x:c>
      <x:c r="H419" s="81" t="str"/>
      <x:c r="I419" s="81" t="str"/>
      <x:c r="J419" s="81" t="str"/>
      <x:c r="K419" s="81" t="inlineStr">
        <x:is>
          <x:t xml:space="preserve">Reframe</x:t>
        </x:is>
      </x:c>
      <x:c r="L419" s="81" t="inlineStr">
        <x:is>
          <x:t xml:space="preserve">Recognize</x:t>
        </x:is>
      </x:c>
      <x:c r="M419" s="81" t="inlineStr">
        <x:is>
          <x:t xml:space="preserve">Trích đoạn triết học / 寓言</x:t>
        </x:is>
      </x:c>
      <x:c r="N419" s="81" t="inlineStr">
        <x:is>
          <x:t xml:space="preserve">愚公移山。</x:t>
        </x:is>
      </x:c>
      <x:c r="O419" s="81" t="inlineStr">
        <x:is>
          <x:t xml:space="preserve">Classical Chinese (文言文)</x:t>
        </x:is>
      </x:c>
      <x:c r="P419" s="81" t="inlineStr">
        <x:is>
          <x:t xml:space="preserve">Ngu Công dời núi.</x:t>
        </x:is>
      </x:c>
      <x:c r="Q419" s="81" t="inlineStr">
        <x:is>
          <x:t xml:space="preserve">Liezi / 列子 (received text; attribution debated)</x:t>
        </x:is>
      </x:c>
      <x:c r="R419" s="81" t="inlineStr">
        <x:is>
          <x:t xml:space="preserve">Daoist / China</x:t>
        </x:is>
      </x:c>
      <x:c r="S419" s="81" t="inlineStr">
        <x:is>
          <x:t xml:space="preserve">列子 / Liezi</x:t>
        </x:is>
      </x:c>
      <x:c r="T419" s="81" t="inlineStr">
        <x:is>
          <x:t xml:space="preserve">Chapter 5 — 湯問</x:t>
        </x:is>
      </x:c>
      <x:c r="U419" s="81" t="inlineStr">
        <x:is>
          <x:t xml:space="preserve">https://ctext.org/liezi/zh</x:t>
        </x:is>
      </x:c>
      <x:c r="V419" s="81" t="inlineStr">
        <x:is>
          <x:t xml:space="preserve">Primary text / digital corpus</x:t>
        </x:is>
      </x:c>
      <x:c r="W419" s="81" t="inlineStr">
        <x:is>
          <x:t xml:space="preserve">Working translation</x:t>
        </x:is>
      </x:c>
      <x:c r="X419" s="81" t="inlineStr">
        <x:is>
          <x:t xml:space="preserve">A - Primary source</x:t>
        </x:is>
      </x:c>
      <x:c r="Y419" s="81" t="inlineStr">
        <x:is>
          <x:t xml:space="preserve">Original Classical Chinese collected from the received Liezi tradition and cross-checked against Chinese Text Project chapter structure. Vietnamese is Selflo working translation; not a published translation.</x:t>
        </x:is>
      </x:c>
      <x:c r="Z419" s="81" t="inlineStr">
        <x:is>
          <x:t xml:space="preserve">Public domain ancient text / edition terms to verify</x:t>
        </x:is>
      </x:c>
      <x:c r="AA419" s="81" t="inlineStr">
        <x:is>
          <x:t xml:space="preserve">Ancient text is public domain; do not copy modern copyrighted translations/commentaries. Attribution and textual history require editorial caution.</x:t>
        </x:is>
      </x:c>
      <x:c r="AB419" s="81" t="inlineStr">
        <x:is>
          <x:t xml:space="preserve">High</x:t>
        </x:is>
      </x:c>
      <x:c r="AC419" s="81" t="inlineStr">
        <x:is>
          <x:t xml:space="preserve">Story anchor; avoid hustle framing.</x:t>
        </x:is>
      </x:c>
      <x:c r="AD419" s="81" t="inlineStr">
        <x:is>
          <x:t xml:space="preserve">Needs editorial review</x:t>
        </x:is>
      </x:c>
      <x:c r="AE419" s="81" t="inlineStr">
        <x:is>
          <x:t xml:space="preserve">Needs semantic dedupe review</x:t>
        </x:is>
      </x:c>
      <x:c r="AF419" s="81" t="str"/>
      <x:c r="AG419" s="81" t="str"/>
      <x:c r="AH419" s="81" t="inlineStr">
        <x:is>
          <x:t xml:space="preserve">No</x:t>
        </x:is>
      </x:c>
      <x:c r="AI419" s="81" t="inlineStr">
        <x:is>
          <x:t xml:space="preserve">Not reviewed</x:t>
        </x:is>
      </x:c>
      <x:c r="AJ419" s="81" t="inlineStr">
        <x:is>
          <x:t xml:space="preserve">Research only</x:t>
        </x:is>
      </x:c>
      <x:c r="AK419" s="81" t="inlineStr">
        <x:is>
          <x:t xml:space="preserve">Research Pool</x:t>
        </x:is>
      </x:c>
      <x:c r="AL419" s="81" t="n">
        <x:v>5</x:v>
      </x:c>
      <x:c r="AM419" s="81" t="inlineStr">
        <x:is>
          <x:t xml:space="preserve">ChatGPT research</x:t>
        </x:is>
      </x:c>
      <x:c r="AN419" s="81" t="inlineStr">
        <x:is>
          <x:t xml:space="preserve">2026-09-18</x:t>
        </x:is>
      </x:c>
      <x:c r="AO419" s="81" t="inlineStr">
        <x:is>
          <x:t xml:space="preserve">Day 5 full-scope first-pass audit of all 8 Liezi chapters.</x:t>
        </x:is>
      </x:c>
    </x:row>
    <x:row r="420">
      <x:c r="A420" s="81" t="inlineStr">
        <x:is>
          <x:t xml:space="preserve">research.liezi.day5.ch05.042</x:t>
        </x:is>
      </x:c>
      <x:c r="B420" s="81" t="inlineStr">
        <x:is>
          <x:t xml:space="preserve">Collected</x:t>
        </x:is>
      </x:c>
      <x:c r="C420" s="81" t="inlineStr">
        <x:is>
          <x:t xml:space="preserve">Nội tâm &amp; hiểu mình</x:t>
        </x:is>
      </x:c>
      <x:c r="D420" s="81" t="inlineStr">
        <x:is>
          <x:t xml:space="preserve">Day 5 / Liezi — full 8 chapters</x:t>
        </x:is>
      </x:c>
      <x:c r="E420" s="81" t="str"/>
      <x:c r="F420" s="81" t="inlineStr">
        <x:is>
          <x:t xml:space="preserve">Không phải mọi mục tiêu phải hoàn thành trong một đời</x:t>
        </x:is>
      </x:c>
      <x:c r="G420" s="81" t="inlineStr">
        <x:is>
          <x:t xml:space="preserve">Long horizon</x:t>
        </x:is>
      </x:c>
      <x:c r="H420" s="81" t="str"/>
      <x:c r="I420" s="81" t="str"/>
      <x:c r="J420" s="81" t="str"/>
      <x:c r="K420" s="81" t="inlineStr">
        <x:is>
          <x:t xml:space="preserve">Reframe</x:t>
        </x:is>
      </x:c>
      <x:c r="L420" s="81" t="inlineStr">
        <x:is>
          <x:t xml:space="preserve">Recognize</x:t>
        </x:is>
      </x:c>
      <x:c r="M420" s="81" t="inlineStr">
        <x:is>
          <x:t xml:space="preserve">Trích đoạn triết học / 寓言</x:t>
        </x:is>
      </x:c>
      <x:c r="N420" s="81" t="inlineStr">
        <x:is>
          <x:t xml:space="preserve">雖我之死，有子存焉；子又生孫，孫又生子。</x:t>
        </x:is>
      </x:c>
      <x:c r="O420" s="81" t="inlineStr">
        <x:is>
          <x:t xml:space="preserve">Classical Chinese (文言文)</x:t>
        </x:is>
      </x:c>
      <x:c r="P420" s="81" t="inlineStr">
        <x:is>
          <x:t xml:space="preserve">Tôi mất đi vẫn có người tiếp nối; một việc có thể vượt khỏi thời gian của một cá nhân.</x:t>
        </x:is>
      </x:c>
      <x:c r="Q420" s="81" t="inlineStr">
        <x:is>
          <x:t xml:space="preserve">Liezi / 列子 (received text; attribution debated)</x:t>
        </x:is>
      </x:c>
      <x:c r="R420" s="81" t="inlineStr">
        <x:is>
          <x:t xml:space="preserve">Daoist / China</x:t>
        </x:is>
      </x:c>
      <x:c r="S420" s="81" t="inlineStr">
        <x:is>
          <x:t xml:space="preserve">列子 / Liezi</x:t>
        </x:is>
      </x:c>
      <x:c r="T420" s="81" t="inlineStr">
        <x:is>
          <x:t xml:space="preserve">Chapter 5 — 湯問</x:t>
        </x:is>
      </x:c>
      <x:c r="U420" s="81" t="inlineStr">
        <x:is>
          <x:t xml:space="preserve">https://ctext.org/liezi/zh</x:t>
        </x:is>
      </x:c>
      <x:c r="V420" s="81" t="inlineStr">
        <x:is>
          <x:t xml:space="preserve">Primary text / digital corpus</x:t>
        </x:is>
      </x:c>
      <x:c r="W420" s="81" t="inlineStr">
        <x:is>
          <x:t xml:space="preserve">Working translation</x:t>
        </x:is>
      </x:c>
      <x:c r="X420" s="81" t="inlineStr">
        <x:is>
          <x:t xml:space="preserve">A - Primary source</x:t>
        </x:is>
      </x:c>
      <x:c r="Y420" s="81" t="inlineStr">
        <x:is>
          <x:t xml:space="preserve">Original Classical Chinese collected from the received Liezi tradition and cross-checked against Chinese Text Project chapter structure. Vietnamese is Selflo working translation; not a published translation.</x:t>
        </x:is>
      </x:c>
      <x:c r="Z420" s="81" t="inlineStr">
        <x:is>
          <x:t xml:space="preserve">Public domain ancient text / edition terms to verify</x:t>
        </x:is>
      </x:c>
      <x:c r="AA420" s="81" t="inlineStr">
        <x:is>
          <x:t xml:space="preserve">Ancient text is public domain; do not copy modern copyrighted translations/commentaries. Attribution and textual history require editorial caution.</x:t>
        </x:is>
      </x:c>
      <x:c r="AB420" s="81" t="inlineStr">
        <x:is>
          <x:t xml:space="preserve">High</x:t>
        </x:is>
      </x:c>
      <x:c r="AC420" s="81" t="inlineStr">
        <x:is>
          <x:t xml:space="preserve">Collective/time-scale lens.</x:t>
        </x:is>
      </x:c>
      <x:c r="AD420" s="81" t="inlineStr">
        <x:is>
          <x:t xml:space="preserve">Needs editorial review</x:t>
        </x:is>
      </x:c>
      <x:c r="AE420" s="81" t="inlineStr">
        <x:is>
          <x:t xml:space="preserve">Needs semantic dedupe review</x:t>
        </x:is>
      </x:c>
      <x:c r="AF420" s="81" t="str"/>
      <x:c r="AG420" s="81" t="str"/>
      <x:c r="AH420" s="81" t="inlineStr">
        <x:is>
          <x:t xml:space="preserve">No</x:t>
        </x:is>
      </x:c>
      <x:c r="AI420" s="81" t="inlineStr">
        <x:is>
          <x:t xml:space="preserve">Not reviewed</x:t>
        </x:is>
      </x:c>
      <x:c r="AJ420" s="81" t="inlineStr">
        <x:is>
          <x:t xml:space="preserve">Research only</x:t>
        </x:is>
      </x:c>
      <x:c r="AK420" s="81" t="inlineStr">
        <x:is>
          <x:t xml:space="preserve">Research Pool</x:t>
        </x:is>
      </x:c>
      <x:c r="AL420" s="81" t="n">
        <x:v>5</x:v>
      </x:c>
      <x:c r="AM420" s="81" t="inlineStr">
        <x:is>
          <x:t xml:space="preserve">ChatGPT research</x:t>
        </x:is>
      </x:c>
      <x:c r="AN420" s="81" t="inlineStr">
        <x:is>
          <x:t xml:space="preserve">2026-09-18</x:t>
        </x:is>
      </x:c>
      <x:c r="AO420" s="81" t="inlineStr">
        <x:is>
          <x:t xml:space="preserve">Day 5 full-scope first-pass audit of all 8 Liezi chapters.</x:t>
        </x:is>
      </x:c>
    </x:row>
    <x:row r="421">
      <x:c r="A421" s="81" t="inlineStr">
        <x:is>
          <x:t xml:space="preserve">research.liezi.day5.ch05.043</x:t>
        </x:is>
      </x:c>
      <x:c r="B421" s="81" t="inlineStr">
        <x:is>
          <x:t xml:space="preserve">Collected</x:t>
        </x:is>
      </x:c>
      <x:c r="C421" s="81" t="inlineStr">
        <x:is>
          <x:t xml:space="preserve">AI &amp; tương lai</x:t>
        </x:is>
      </x:c>
      <x:c r="D421" s="81" t="inlineStr">
        <x:is>
          <x:t xml:space="preserve">Day 5 / Liezi — full 8 chapters</x:t>
        </x:is>
      </x:c>
      <x:c r="E421" s="81" t="str"/>
      <x:c r="F421" s="81" t="inlineStr">
        <x:is>
          <x:t xml:space="preserve">Một vấn đề lớn có thể hữu hạn dù cảm giác ban đầu là vô tận</x:t>
        </x:is>
      </x:c>
      <x:c r="G421" s="81" t="inlineStr">
        <x:is>
          <x:t xml:space="preserve">Perspective</x:t>
        </x:is>
      </x:c>
      <x:c r="H421" s="81" t="str"/>
      <x:c r="I421" s="81" t="str"/>
      <x:c r="J421" s="81" t="str"/>
      <x:c r="K421" s="81" t="inlineStr">
        <x:is>
          <x:t xml:space="preserve">Reframe</x:t>
        </x:is>
      </x:c>
      <x:c r="L421" s="81" t="inlineStr">
        <x:is>
          <x:t xml:space="preserve">Recognize</x:t>
        </x:is>
      </x:c>
      <x:c r="M421" s="81" t="inlineStr">
        <x:is>
          <x:t xml:space="preserve">Trích đoạn triết học / 寓言</x:t>
        </x:is>
      </x:c>
      <x:c r="N421" s="81" t="inlineStr">
        <x:is>
          <x:t xml:space="preserve">而山不加增，何苦而不平？</x:t>
        </x:is>
      </x:c>
      <x:c r="O421" s="81" t="inlineStr">
        <x:is>
          <x:t xml:space="preserve">Classical Chinese (文言文)</x:t>
        </x:is>
      </x:c>
      <x:c r="P421" s="81" t="inlineStr">
        <x:is>
          <x:t xml:space="preserve">Núi không lớn thêm; vì sao phải mặc định việc ấy không thể đổi?</x:t>
        </x:is>
      </x:c>
      <x:c r="Q421" s="81" t="inlineStr">
        <x:is>
          <x:t xml:space="preserve">Liezi / 列子 (received text; attribution debated)</x:t>
        </x:is>
      </x:c>
      <x:c r="R421" s="81" t="inlineStr">
        <x:is>
          <x:t xml:space="preserve">Daoist / China</x:t>
        </x:is>
      </x:c>
      <x:c r="S421" s="81" t="inlineStr">
        <x:is>
          <x:t xml:space="preserve">列子 / Liezi</x:t>
        </x:is>
      </x:c>
      <x:c r="T421" s="81" t="inlineStr">
        <x:is>
          <x:t xml:space="preserve">Chapter 5 — 湯問</x:t>
        </x:is>
      </x:c>
      <x:c r="U421" s="81" t="inlineStr">
        <x:is>
          <x:t xml:space="preserve">https://ctext.org/liezi/zh</x:t>
        </x:is>
      </x:c>
      <x:c r="V421" s="81" t="inlineStr">
        <x:is>
          <x:t xml:space="preserve">Primary text / digital corpus</x:t>
        </x:is>
      </x:c>
      <x:c r="W421" s="81" t="inlineStr">
        <x:is>
          <x:t xml:space="preserve">Working translation</x:t>
        </x:is>
      </x:c>
      <x:c r="X421" s="81" t="inlineStr">
        <x:is>
          <x:t xml:space="preserve">A - Primary source</x:t>
        </x:is>
      </x:c>
      <x:c r="Y421" s="81" t="inlineStr">
        <x:is>
          <x:t xml:space="preserve">Original Classical Chinese collected from the received Liezi tradition and cross-checked against Chinese Text Project chapter structure. Vietnamese is Selflo working translation; not a published translation.</x:t>
        </x:is>
      </x:c>
      <x:c r="Z421" s="81" t="inlineStr">
        <x:is>
          <x:t xml:space="preserve">Public domain ancient text / edition terms to verify</x:t>
        </x:is>
      </x:c>
      <x:c r="AA421" s="81" t="inlineStr">
        <x:is>
          <x:t xml:space="preserve">Ancient text is public domain; do not copy modern copyrighted translations/commentaries. Attribution and textual history require editorial caution.</x:t>
        </x:is>
      </x:c>
      <x:c r="AB421" s="81" t="inlineStr">
        <x:is>
          <x:t xml:space="preserve">Medium</x:t>
        </x:is>
      </x:c>
      <x:c r="AC421" s="81" t="inlineStr">
        <x:is>
          <x:t xml:space="preserve">Mythic.</x:t>
        </x:is>
      </x:c>
      <x:c r="AD421" s="81" t="inlineStr">
        <x:is>
          <x:t xml:space="preserve">Needs editorial review</x:t>
        </x:is>
      </x:c>
      <x:c r="AE421" s="81" t="inlineStr">
        <x:is>
          <x:t xml:space="preserve">Needs semantic dedupe review</x:t>
        </x:is>
      </x:c>
      <x:c r="AF421" s="81" t="str"/>
      <x:c r="AG421" s="81" t="str"/>
      <x:c r="AH421" s="81" t="inlineStr">
        <x:is>
          <x:t xml:space="preserve">No</x:t>
        </x:is>
      </x:c>
      <x:c r="AI421" s="81" t="inlineStr">
        <x:is>
          <x:t xml:space="preserve">Not reviewed</x:t>
        </x:is>
      </x:c>
      <x:c r="AJ421" s="81" t="inlineStr">
        <x:is>
          <x:t xml:space="preserve">Research only</x:t>
        </x:is>
      </x:c>
      <x:c r="AK421" s="81" t="inlineStr">
        <x:is>
          <x:t xml:space="preserve">Research Pool</x:t>
        </x:is>
      </x:c>
      <x:c r="AL421" s="81" t="n">
        <x:v>5</x:v>
      </x:c>
      <x:c r="AM421" s="81" t="inlineStr">
        <x:is>
          <x:t xml:space="preserve">ChatGPT research</x:t>
        </x:is>
      </x:c>
      <x:c r="AN421" s="81" t="inlineStr">
        <x:is>
          <x:t xml:space="preserve">2026-09-18</x:t>
        </x:is>
      </x:c>
      <x:c r="AO421" s="81" t="inlineStr">
        <x:is>
          <x:t xml:space="preserve">Day 5 full-scope first-pass audit of all 8 Liezi chapters.</x:t>
        </x:is>
      </x:c>
    </x:row>
    <x:row r="422">
      <x:c r="A422" s="81" t="inlineStr">
        <x:is>
          <x:t xml:space="preserve">research.liezi.day5.ch05.044</x:t>
        </x:is>
      </x:c>
      <x:c r="B422" s="81" t="inlineStr">
        <x:is>
          <x:t xml:space="preserve">Collected</x:t>
        </x:is>
      </x:c>
      <x:c r="C422" s="81" t="inlineStr">
        <x:is>
          <x:t xml:space="preserve">AI &amp; tương lai</x:t>
        </x:is>
      </x:c>
      <x:c r="D422" s="81" t="inlineStr">
        <x:is>
          <x:t xml:space="preserve">Day 5 / Liezi — full 8 chapters</x:t>
        </x:is>
      </x:c>
      <x:c r="E422" s="81" t="str"/>
      <x:c r="F422" s="81" t="inlineStr">
        <x:is>
          <x:t xml:space="preserve">Hai quan sát hợp lý có thể dẫn đến kết luận khác nhau</x:t>
        </x:is>
      </x:c>
      <x:c r="G422" s="81" t="inlineStr">
        <x:is>
          <x:t xml:space="preserve">Judgment</x:t>
        </x:is>
      </x:c>
      <x:c r="H422" s="81" t="str"/>
      <x:c r="I422" s="81" t="str"/>
      <x:c r="J422" s="81" t="str"/>
      <x:c r="K422" s="81" t="inlineStr">
        <x:is>
          <x:t xml:space="preserve">Distinguish</x:t>
        </x:is>
      </x:c>
      <x:c r="L422" s="81" t="inlineStr">
        <x:is>
          <x:t xml:space="preserve">Recognize</x:t>
        </x:is>
      </x:c>
      <x:c r="M422" s="81" t="inlineStr">
        <x:is>
          <x:t xml:space="preserve">Trích đoạn triết học / 寓言</x:t>
        </x:is>
      </x:c>
      <x:c r="N422" s="81" t="inlineStr">
        <x:is>
          <x:t xml:space="preserve">兩小兒辯日。</x:t>
        </x:is>
      </x:c>
      <x:c r="O422" s="81" t="inlineStr">
        <x:is>
          <x:t xml:space="preserve">Classical Chinese (文言文)</x:t>
        </x:is>
      </x:c>
      <x:c r="P422" s="81" t="inlineStr">
        <x:is>
          <x:t xml:space="preserve">Hai đứa trẻ tranh luận về mặt trời.</x:t>
        </x:is>
      </x:c>
      <x:c r="Q422" s="81" t="inlineStr">
        <x:is>
          <x:t xml:space="preserve">Liezi / 列子 (received text; attribution debated)</x:t>
        </x:is>
      </x:c>
      <x:c r="R422" s="81" t="inlineStr">
        <x:is>
          <x:t xml:space="preserve">Daoist / China</x:t>
        </x:is>
      </x:c>
      <x:c r="S422" s="81" t="inlineStr">
        <x:is>
          <x:t xml:space="preserve">列子 / Liezi</x:t>
        </x:is>
      </x:c>
      <x:c r="T422" s="81" t="inlineStr">
        <x:is>
          <x:t xml:space="preserve">Chapter 5 — 湯問</x:t>
        </x:is>
      </x:c>
      <x:c r="U422" s="81" t="inlineStr">
        <x:is>
          <x:t xml:space="preserve">https://ctext.org/liezi/zh</x:t>
        </x:is>
      </x:c>
      <x:c r="V422" s="81" t="inlineStr">
        <x:is>
          <x:t xml:space="preserve">Primary text / digital corpus</x:t>
        </x:is>
      </x:c>
      <x:c r="W422" s="81" t="inlineStr">
        <x:is>
          <x:t xml:space="preserve">Working translation</x:t>
        </x:is>
      </x:c>
      <x:c r="X422" s="81" t="inlineStr">
        <x:is>
          <x:t xml:space="preserve">A - Primary source</x:t>
        </x:is>
      </x:c>
      <x:c r="Y422" s="81" t="inlineStr">
        <x:is>
          <x:t xml:space="preserve">Original Classical Chinese collected from the received Liezi tradition and cross-checked against Chinese Text Project chapter structure. Vietnamese is Selflo working translation; not a published translation.</x:t>
        </x:is>
      </x:c>
      <x:c r="Z422" s="81" t="inlineStr">
        <x:is>
          <x:t xml:space="preserve">Public domain ancient text / edition terms to verify</x:t>
        </x:is>
      </x:c>
      <x:c r="AA422" s="81" t="inlineStr">
        <x:is>
          <x:t xml:space="preserve">Ancient text is public domain; do not copy modern copyrighted translations/commentaries. Attribution and textual history require editorial caution.</x:t>
        </x:is>
      </x:c>
      <x:c r="AB422" s="81" t="inlineStr">
        <x:is>
          <x:t xml:space="preserve">High</x:t>
        </x:is>
      </x:c>
      <x:c r="AC422" s="81" t="inlineStr">
        <x:is>
          <x:t xml:space="preserve">Story anchor.</x:t>
        </x:is>
      </x:c>
      <x:c r="AD422" s="81" t="inlineStr">
        <x:is>
          <x:t xml:space="preserve">Needs editorial review</x:t>
        </x:is>
      </x:c>
      <x:c r="AE422" s="81" t="inlineStr">
        <x:is>
          <x:t xml:space="preserve">Needs semantic dedupe review</x:t>
        </x:is>
      </x:c>
      <x:c r="AF422" s="81" t="str"/>
      <x:c r="AG422" s="81" t="str"/>
      <x:c r="AH422" s="81" t="inlineStr">
        <x:is>
          <x:t xml:space="preserve">No</x:t>
        </x:is>
      </x:c>
      <x:c r="AI422" s="81" t="inlineStr">
        <x:is>
          <x:t xml:space="preserve">Not reviewed</x:t>
        </x:is>
      </x:c>
      <x:c r="AJ422" s="81" t="inlineStr">
        <x:is>
          <x:t xml:space="preserve">Research only</x:t>
        </x:is>
      </x:c>
      <x:c r="AK422" s="81" t="inlineStr">
        <x:is>
          <x:t xml:space="preserve">Research Pool</x:t>
        </x:is>
      </x:c>
      <x:c r="AL422" s="81" t="n">
        <x:v>5</x:v>
      </x:c>
      <x:c r="AM422" s="81" t="inlineStr">
        <x:is>
          <x:t xml:space="preserve">ChatGPT research</x:t>
        </x:is>
      </x:c>
      <x:c r="AN422" s="81" t="inlineStr">
        <x:is>
          <x:t xml:space="preserve">2026-09-18</x:t>
        </x:is>
      </x:c>
      <x:c r="AO422" s="81" t="inlineStr">
        <x:is>
          <x:t xml:space="preserve">Day 5 full-scope first-pass audit of all 8 Liezi chapters.</x:t>
        </x:is>
      </x:c>
    </x:row>
    <x:row r="423">
      <x:c r="A423" s="81" t="inlineStr">
        <x:is>
          <x:t xml:space="preserve">research.liezi.day5.ch05.045</x:t>
        </x:is>
      </x:c>
      <x:c r="B423" s="81" t="inlineStr">
        <x:is>
          <x:t xml:space="preserve">Collected</x:t>
        </x:is>
      </x:c>
      <x:c r="C423" s="81" t="inlineStr">
        <x:is>
          <x:t xml:space="preserve">AI &amp; tương lai</x:t>
        </x:is>
      </x:c>
      <x:c r="D423" s="81" t="inlineStr">
        <x:is>
          <x:t xml:space="preserve">Day 5 / Liezi — full 8 chapters</x:t>
        </x:is>
      </x:c>
      <x:c r="E423" s="81" t="str"/>
      <x:c r="F423" s="81" t="inlineStr">
        <x:is>
          <x:t xml:space="preserve">Uy tín không đồng nghĩa biết mọi câu trả lời</x:t>
        </x:is>
      </x:c>
      <x:c r="G423" s="81" t="inlineStr">
        <x:is>
          <x:t xml:space="preserve">Judgment</x:t>
        </x:is>
      </x:c>
      <x:c r="H423" s="81" t="str"/>
      <x:c r="I423" s="81" t="str"/>
      <x:c r="J423" s="81" t="str"/>
      <x:c r="K423" s="81" t="inlineStr">
        <x:is>
          <x:t xml:space="preserve">Permit</x:t>
        </x:is>
      </x:c>
      <x:c r="L423" s="81" t="inlineStr">
        <x:is>
          <x:t xml:space="preserve">Recognize</x:t>
        </x:is>
      </x:c>
      <x:c r="M423" s="81" t="inlineStr">
        <x:is>
          <x:t xml:space="preserve">Trích đoạn triết học / 寓言</x:t>
        </x:is>
      </x:c>
      <x:c r="N423" s="81" t="inlineStr">
        <x:is>
          <x:t xml:space="preserve">孰為汝多知乎？</x:t>
        </x:is>
      </x:c>
      <x:c r="O423" s="81" t="inlineStr">
        <x:is>
          <x:t xml:space="preserve">Classical Chinese (文言文)</x:t>
        </x:is>
      </x:c>
      <x:c r="P423" s="81" t="inlineStr">
        <x:is>
          <x:t xml:space="preserve">Ai nói rằng ông biết mọi điều?</x:t>
        </x:is>
      </x:c>
      <x:c r="Q423" s="81" t="inlineStr">
        <x:is>
          <x:t xml:space="preserve">Liezi / 列子 (received text; attribution debated)</x:t>
        </x:is>
      </x:c>
      <x:c r="R423" s="81" t="inlineStr">
        <x:is>
          <x:t xml:space="preserve">Daoist / China</x:t>
        </x:is>
      </x:c>
      <x:c r="S423" s="81" t="inlineStr">
        <x:is>
          <x:t xml:space="preserve">列子 / Liezi</x:t>
        </x:is>
      </x:c>
      <x:c r="T423" s="81" t="inlineStr">
        <x:is>
          <x:t xml:space="preserve">Chapter 5 — 湯問</x:t>
        </x:is>
      </x:c>
      <x:c r="U423" s="81" t="inlineStr">
        <x:is>
          <x:t xml:space="preserve">https://ctext.org/liezi/zh</x:t>
        </x:is>
      </x:c>
      <x:c r="V423" s="81" t="inlineStr">
        <x:is>
          <x:t xml:space="preserve">Primary text / digital corpus</x:t>
        </x:is>
      </x:c>
      <x:c r="W423" s="81" t="inlineStr">
        <x:is>
          <x:t xml:space="preserve">Working translation</x:t>
        </x:is>
      </x:c>
      <x:c r="X423" s="81" t="inlineStr">
        <x:is>
          <x:t xml:space="preserve">A - Primary source</x:t>
        </x:is>
      </x:c>
      <x:c r="Y423" s="81" t="inlineStr">
        <x:is>
          <x:t xml:space="preserve">Original Classical Chinese collected from the received Liezi tradition and cross-checked against Chinese Text Project chapter structure. Vietnamese is Selflo working translation; not a published translation.</x:t>
        </x:is>
      </x:c>
      <x:c r="Z423" s="81" t="inlineStr">
        <x:is>
          <x:t xml:space="preserve">Public domain ancient text / edition terms to verify</x:t>
        </x:is>
      </x:c>
      <x:c r="AA423" s="81" t="inlineStr">
        <x:is>
          <x:t xml:space="preserve">Ancient text is public domain; do not copy modern copyrighted translations/commentaries. Attribution and textual history require editorial caution.</x:t>
        </x:is>
      </x:c>
      <x:c r="AB423" s="81" t="inlineStr">
        <x:is>
          <x:t xml:space="preserve">High</x:t>
        </x:is>
      </x:c>
      <x:c r="AC423" s="81" t="inlineStr">
        <x:is>
          <x:t xml:space="preserve">Strong AI/expert humility.</x:t>
        </x:is>
      </x:c>
      <x:c r="AD423" s="81" t="inlineStr">
        <x:is>
          <x:t xml:space="preserve">Needs editorial review</x:t>
        </x:is>
      </x:c>
      <x:c r="AE423" s="81" t="inlineStr">
        <x:is>
          <x:t xml:space="preserve">Needs semantic dedupe review</x:t>
        </x:is>
      </x:c>
      <x:c r="AF423" s="81" t="str"/>
      <x:c r="AG423" s="81" t="str"/>
      <x:c r="AH423" s="81" t="inlineStr">
        <x:is>
          <x:t xml:space="preserve">No</x:t>
        </x:is>
      </x:c>
      <x:c r="AI423" s="81" t="inlineStr">
        <x:is>
          <x:t xml:space="preserve">Not reviewed</x:t>
        </x:is>
      </x:c>
      <x:c r="AJ423" s="81" t="inlineStr">
        <x:is>
          <x:t xml:space="preserve">Research only</x:t>
        </x:is>
      </x:c>
      <x:c r="AK423" s="81" t="inlineStr">
        <x:is>
          <x:t xml:space="preserve">Research Pool</x:t>
        </x:is>
      </x:c>
      <x:c r="AL423" s="81" t="n">
        <x:v>5</x:v>
      </x:c>
      <x:c r="AM423" s="81" t="inlineStr">
        <x:is>
          <x:t xml:space="preserve">ChatGPT research</x:t>
        </x:is>
      </x:c>
      <x:c r="AN423" s="81" t="inlineStr">
        <x:is>
          <x:t xml:space="preserve">2026-09-18</x:t>
        </x:is>
      </x:c>
      <x:c r="AO423" s="81" t="inlineStr">
        <x:is>
          <x:t xml:space="preserve">Day 5 full-scope first-pass audit of all 8 Liezi chapters.</x:t>
        </x:is>
      </x:c>
    </x:row>
    <x:row r="424">
      <x:c r="A424" s="81" t="inlineStr">
        <x:is>
          <x:t xml:space="preserve">research.liezi.day5.ch05.046</x:t>
        </x:is>
      </x:c>
      <x:c r="B424" s="81" t="inlineStr">
        <x:is>
          <x:t xml:space="preserve">Collected</x:t>
        </x:is>
      </x:c>
      <x:c r="C424" s="81" t="inlineStr">
        <x:is>
          <x:t xml:space="preserve">Quan hệ</x:t>
        </x:is>
      </x:c>
      <x:c r="D424" s="81" t="inlineStr">
        <x:is>
          <x:t xml:space="preserve">Day 5 / Liezi — full 8 chapters</x:t>
        </x:is>
      </x:c>
      <x:c r="E424" s="81" t="str"/>
      <x:c r="F424" s="81" t="inlineStr">
        <x:is>
          <x:t xml:space="preserve">Được hiểu là một năng lực quan hệ riêng</x:t>
        </x:is>
      </x:c>
      <x:c r="G424" s="81" t="inlineStr">
        <x:is>
          <x:t xml:space="preserve">Listening</x:t>
        </x:is>
      </x:c>
      <x:c r="H424" s="81" t="str"/>
      <x:c r="I424" s="81" t="str"/>
      <x:c r="J424" s="81" t="str"/>
      <x:c r="K424" s="81" t="inlineStr">
        <x:is>
          <x:t xml:space="preserve">Recognize</x:t>
        </x:is>
      </x:c>
      <x:c r="L424" s="81" t="inlineStr">
        <x:is>
          <x:t xml:space="preserve">Distinguish</x:t>
        </x:is>
      </x:c>
      <x:c r="M424" s="81" t="inlineStr">
        <x:is>
          <x:t xml:space="preserve">Trích đoạn triết học / 寓言</x:t>
        </x:is>
      </x:c>
      <x:c r="N424" s="81" t="inlineStr">
        <x:is>
          <x:t xml:space="preserve">伯牙善鼓琴，鍾子期善聽。</x:t>
        </x:is>
      </x:c>
      <x:c r="O424" s="81" t="inlineStr">
        <x:is>
          <x:t xml:space="preserve">Classical Chinese (文言文)</x:t>
        </x:is>
      </x:c>
      <x:c r="P424" s="81" t="inlineStr">
        <x:is>
          <x:t xml:space="preserve">Bá Nha giỏi gảy đàn, Chung Tử Kỳ giỏi lắng nghe.</x:t>
        </x:is>
      </x:c>
      <x:c r="Q424" s="81" t="inlineStr">
        <x:is>
          <x:t xml:space="preserve">Liezi / 列子 (received text; attribution debated)</x:t>
        </x:is>
      </x:c>
      <x:c r="R424" s="81" t="inlineStr">
        <x:is>
          <x:t xml:space="preserve">Daoist / China</x:t>
        </x:is>
      </x:c>
      <x:c r="S424" s="81" t="inlineStr">
        <x:is>
          <x:t xml:space="preserve">列子 / Liezi</x:t>
        </x:is>
      </x:c>
      <x:c r="T424" s="81" t="inlineStr">
        <x:is>
          <x:t xml:space="preserve">Chapter 5 — 湯問</x:t>
        </x:is>
      </x:c>
      <x:c r="U424" s="81" t="inlineStr">
        <x:is>
          <x:t xml:space="preserve">https://ctext.org/liezi/zh</x:t>
        </x:is>
      </x:c>
      <x:c r="V424" s="81" t="inlineStr">
        <x:is>
          <x:t xml:space="preserve">Primary text / digital corpus</x:t>
        </x:is>
      </x:c>
      <x:c r="W424" s="81" t="inlineStr">
        <x:is>
          <x:t xml:space="preserve">Working translation</x:t>
        </x:is>
      </x:c>
      <x:c r="X424" s="81" t="inlineStr">
        <x:is>
          <x:t xml:space="preserve">A - Primary source</x:t>
        </x:is>
      </x:c>
      <x:c r="Y424" s="81" t="inlineStr">
        <x:is>
          <x:t xml:space="preserve">Original Classical Chinese collected from the received Liezi tradition and cross-checked against Chinese Text Project chapter structure. Vietnamese is Selflo working translation; not a published translation.</x:t>
        </x:is>
      </x:c>
      <x:c r="Z424" s="81" t="inlineStr">
        <x:is>
          <x:t xml:space="preserve">Public domain ancient text / edition terms to verify</x:t>
        </x:is>
      </x:c>
      <x:c r="AA424" s="81" t="inlineStr">
        <x:is>
          <x:t xml:space="preserve">Ancient text is public domain; do not copy modern copyrighted translations/commentaries. Attribution and textual history require editorial caution.</x:t>
        </x:is>
      </x:c>
      <x:c r="AB424" s="81" t="inlineStr">
        <x:is>
          <x:t xml:space="preserve">High</x:t>
        </x:is>
      </x:c>
      <x:c r="AC424" s="81" t="inlineStr">
        <x:is>
          <x:t xml:space="preserve">Story anchor.</x:t>
        </x:is>
      </x:c>
      <x:c r="AD424" s="81" t="inlineStr">
        <x:is>
          <x:t xml:space="preserve">Needs editorial review</x:t>
        </x:is>
      </x:c>
      <x:c r="AE424" s="81" t="inlineStr">
        <x:is>
          <x:t xml:space="preserve">Needs semantic dedupe review</x:t>
        </x:is>
      </x:c>
      <x:c r="AF424" s="81" t="str"/>
      <x:c r="AG424" s="81" t="str"/>
      <x:c r="AH424" s="81" t="inlineStr">
        <x:is>
          <x:t xml:space="preserve">No</x:t>
        </x:is>
      </x:c>
      <x:c r="AI424" s="81" t="inlineStr">
        <x:is>
          <x:t xml:space="preserve">Not reviewed</x:t>
        </x:is>
      </x:c>
      <x:c r="AJ424" s="81" t="inlineStr">
        <x:is>
          <x:t xml:space="preserve">Research only</x:t>
        </x:is>
      </x:c>
      <x:c r="AK424" s="81" t="inlineStr">
        <x:is>
          <x:t xml:space="preserve">Research Pool</x:t>
        </x:is>
      </x:c>
      <x:c r="AL424" s="81" t="n">
        <x:v>5</x:v>
      </x:c>
      <x:c r="AM424" s="81" t="inlineStr">
        <x:is>
          <x:t xml:space="preserve">ChatGPT research</x:t>
        </x:is>
      </x:c>
      <x:c r="AN424" s="81" t="inlineStr">
        <x:is>
          <x:t xml:space="preserve">2026-09-18</x:t>
        </x:is>
      </x:c>
      <x:c r="AO424" s="81" t="inlineStr">
        <x:is>
          <x:t xml:space="preserve">Day 5 full-scope first-pass audit of all 8 Liezi chapters.</x:t>
        </x:is>
      </x:c>
    </x:row>
    <x:row r="425">
      <x:c r="A425" s="81" t="inlineStr">
        <x:is>
          <x:t xml:space="preserve">research.liezi.day5.ch05.047</x:t>
        </x:is>
      </x:c>
      <x:c r="B425" s="81" t="inlineStr">
        <x:is>
          <x:t xml:space="preserve">Collected</x:t>
        </x:is>
      </x:c>
      <x:c r="C425" s="81" t="inlineStr">
        <x:is>
          <x:t xml:space="preserve">Quan hệ</x:t>
        </x:is>
      </x:c>
      <x:c r="D425" s="81" t="inlineStr">
        <x:is>
          <x:t xml:space="preserve">Day 5 / Liezi — full 8 chapters</x:t>
        </x:is>
      </x:c>
      <x:c r="E425" s="81" t="str"/>
      <x:c r="F425" s="81" t="inlineStr">
        <x:is>
          <x:t xml:space="preserve">Lắng nghe không chỉ là nghe chữ</x:t>
        </x:is>
      </x:c>
      <x:c r="G425" s="81" t="inlineStr">
        <x:is>
          <x:t xml:space="preserve">Listening</x:t>
        </x:is>
      </x:c>
      <x:c r="H425" s="81" t="str"/>
      <x:c r="I425" s="81" t="str"/>
      <x:c r="J425" s="81" t="str"/>
      <x:c r="K425" s="81" t="inlineStr">
        <x:is>
          <x:t xml:space="preserve">Reframe</x:t>
        </x:is>
      </x:c>
      <x:c r="L425" s="81" t="inlineStr">
        <x:is>
          <x:t xml:space="preserve">Recognize</x:t>
        </x:is>
      </x:c>
      <x:c r="M425" s="81" t="inlineStr">
        <x:is>
          <x:t xml:space="preserve">Trích đoạn triết học / 寓言</x:t>
        </x:is>
      </x:c>
      <x:c r="N425" s="81" t="inlineStr">
        <x:is>
          <x:t xml:space="preserve">曲每奏，鍾子期輒窮其趣。</x:t>
        </x:is>
      </x:c>
      <x:c r="O425" s="81" t="inlineStr">
        <x:is>
          <x:t xml:space="preserve">Classical Chinese (文言文)</x:t>
        </x:is>
      </x:c>
      <x:c r="P425" s="81" t="inlineStr">
        <x:is>
          <x:t xml:space="preserve">Mỗi khúc đàn, Chung Tử Kỳ đều nghe ra điều Bá Nha gửi trong đó.</x:t>
        </x:is>
      </x:c>
      <x:c r="Q425" s="81" t="inlineStr">
        <x:is>
          <x:t xml:space="preserve">Liezi / 列子 (received text; attribution debated)</x:t>
        </x:is>
      </x:c>
      <x:c r="R425" s="81" t="inlineStr">
        <x:is>
          <x:t xml:space="preserve">Daoist / China</x:t>
        </x:is>
      </x:c>
      <x:c r="S425" s="81" t="inlineStr">
        <x:is>
          <x:t xml:space="preserve">列子 / Liezi</x:t>
        </x:is>
      </x:c>
      <x:c r="T425" s="81" t="inlineStr">
        <x:is>
          <x:t xml:space="preserve">Chapter 5 — 湯問</x:t>
        </x:is>
      </x:c>
      <x:c r="U425" s="81" t="inlineStr">
        <x:is>
          <x:t xml:space="preserve">https://ctext.org/liezi/zh</x:t>
        </x:is>
      </x:c>
      <x:c r="V425" s="81" t="inlineStr">
        <x:is>
          <x:t xml:space="preserve">Primary text / digital corpus</x:t>
        </x:is>
      </x:c>
      <x:c r="W425" s="81" t="inlineStr">
        <x:is>
          <x:t xml:space="preserve">Working translation</x:t>
        </x:is>
      </x:c>
      <x:c r="X425" s="81" t="inlineStr">
        <x:is>
          <x:t xml:space="preserve">A - Primary source</x:t>
        </x:is>
      </x:c>
      <x:c r="Y425" s="81" t="inlineStr">
        <x:is>
          <x:t xml:space="preserve">Original Classical Chinese collected from the received Liezi tradition and cross-checked against Chinese Text Project chapter structure. Vietnamese is Selflo working translation; not a published translation.</x:t>
        </x:is>
      </x:c>
      <x:c r="Z425" s="81" t="inlineStr">
        <x:is>
          <x:t xml:space="preserve">Public domain ancient text / edition terms to verify</x:t>
        </x:is>
      </x:c>
      <x:c r="AA425" s="81" t="inlineStr">
        <x:is>
          <x:t xml:space="preserve">Ancient text is public domain; do not copy modern copyrighted translations/commentaries. Attribution and textual history require editorial caution.</x:t>
        </x:is>
      </x:c>
      <x:c r="AB425" s="81" t="inlineStr">
        <x:is>
          <x:t xml:space="preserve">High</x:t>
        </x:is>
      </x:c>
      <x:c r="AC425" s="81" t="inlineStr">
        <x:is>
          <x:t xml:space="preserve">Strong.</x:t>
        </x:is>
      </x:c>
      <x:c r="AD425" s="81" t="inlineStr">
        <x:is>
          <x:t xml:space="preserve">Needs editorial review</x:t>
        </x:is>
      </x:c>
      <x:c r="AE425" s="81" t="inlineStr">
        <x:is>
          <x:t xml:space="preserve">Needs semantic dedupe review</x:t>
        </x:is>
      </x:c>
      <x:c r="AF425" s="81" t="str"/>
      <x:c r="AG425" s="81" t="str"/>
      <x:c r="AH425" s="81" t="inlineStr">
        <x:is>
          <x:t xml:space="preserve">No</x:t>
        </x:is>
      </x:c>
      <x:c r="AI425" s="81" t="inlineStr">
        <x:is>
          <x:t xml:space="preserve">Not reviewed</x:t>
        </x:is>
      </x:c>
      <x:c r="AJ425" s="81" t="inlineStr">
        <x:is>
          <x:t xml:space="preserve">Research only</x:t>
        </x:is>
      </x:c>
      <x:c r="AK425" s="81" t="inlineStr">
        <x:is>
          <x:t xml:space="preserve">Research Pool</x:t>
        </x:is>
      </x:c>
      <x:c r="AL425" s="81" t="n">
        <x:v>5</x:v>
      </x:c>
      <x:c r="AM425" s="81" t="inlineStr">
        <x:is>
          <x:t xml:space="preserve">ChatGPT research</x:t>
        </x:is>
      </x:c>
      <x:c r="AN425" s="81" t="inlineStr">
        <x:is>
          <x:t xml:space="preserve">2026-09-18</x:t>
        </x:is>
      </x:c>
      <x:c r="AO425" s="81" t="inlineStr">
        <x:is>
          <x:t xml:space="preserve">Day 5 full-scope first-pass audit of all 8 Liezi chapters.</x:t>
        </x:is>
      </x:c>
    </x:row>
    <x:row r="426">
      <x:c r="A426" s="81" t="inlineStr">
        <x:is>
          <x:t xml:space="preserve">research.liezi.day5.ch05.048</x:t>
        </x:is>
      </x:c>
      <x:c r="B426" s="81" t="inlineStr">
        <x:is>
          <x:t xml:space="preserve">Collected</x:t>
        </x:is>
      </x:c>
      <x:c r="C426" s="81" t="inlineStr">
        <x:is>
          <x:t xml:space="preserve">Quan hệ</x:t>
        </x:is>
      </x:c>
      <x:c r="D426" s="81" t="inlineStr">
        <x:is>
          <x:t xml:space="preserve">Day 5 / Liezi — full 8 chapters</x:t>
        </x:is>
      </x:c>
      <x:c r="E426" s="81" t="str"/>
      <x:c r="F426" s="81" t="inlineStr">
        <x:is>
          <x:t xml:space="preserve">Có những lúc được hiểu khiến phần mình đang mang trở nên thấy được</x:t>
        </x:is>
      </x:c>
      <x:c r="G426" s="81" t="inlineStr">
        <x:is>
          <x:t xml:space="preserve">Belonging</x:t>
        </x:is>
      </x:c>
      <x:c r="H426" s="81" t="str"/>
      <x:c r="I426" s="81" t="str"/>
      <x:c r="J426" s="81" t="str"/>
      <x:c r="K426" s="81" t="inlineStr">
        <x:is>
          <x:t xml:space="preserve">Recognize</x:t>
        </x:is>
      </x:c>
      <x:c r="L426" s="81" t="inlineStr">
        <x:is>
          <x:t xml:space="preserve">Distinguish</x:t>
        </x:is>
      </x:c>
      <x:c r="M426" s="81" t="inlineStr">
        <x:is>
          <x:t xml:space="preserve">Trích đoạn triết học / 寓言</x:t>
        </x:is>
      </x:c>
      <x:c r="N426" s="81" t="inlineStr">
        <x:is>
          <x:t xml:space="preserve">吾於何逃聲哉？</x:t>
        </x:is>
      </x:c>
      <x:c r="O426" s="81" t="inlineStr">
        <x:is>
          <x:t xml:space="preserve">Classical Chinese (文言文)</x:t>
        </x:is>
      </x:c>
      <x:c r="P426" s="81" t="inlineStr">
        <x:is>
          <x:t xml:space="preserve">Ta có thể giấu tiếng lòng ấy ở đâu?</x:t>
        </x:is>
      </x:c>
      <x:c r="Q426" s="81" t="inlineStr">
        <x:is>
          <x:t xml:space="preserve">Liezi / 列子 (received text; attribution debated)</x:t>
        </x:is>
      </x:c>
      <x:c r="R426" s="81" t="inlineStr">
        <x:is>
          <x:t xml:space="preserve">Daoist / China</x:t>
        </x:is>
      </x:c>
      <x:c r="S426" s="81" t="inlineStr">
        <x:is>
          <x:t xml:space="preserve">列子 / Liezi</x:t>
        </x:is>
      </x:c>
      <x:c r="T426" s="81" t="inlineStr">
        <x:is>
          <x:t xml:space="preserve">Chapter 5 — 湯問</x:t>
        </x:is>
      </x:c>
      <x:c r="U426" s="81" t="inlineStr">
        <x:is>
          <x:t xml:space="preserve">https://ctext.org/liezi/zh</x:t>
        </x:is>
      </x:c>
      <x:c r="V426" s="81" t="inlineStr">
        <x:is>
          <x:t xml:space="preserve">Primary text / digital corpus</x:t>
        </x:is>
      </x:c>
      <x:c r="W426" s="81" t="inlineStr">
        <x:is>
          <x:t xml:space="preserve">Working translation</x:t>
        </x:is>
      </x:c>
      <x:c r="X426" s="81" t="inlineStr">
        <x:is>
          <x:t xml:space="preserve">A - Primary source</x:t>
        </x:is>
      </x:c>
      <x:c r="Y426" s="81" t="inlineStr">
        <x:is>
          <x:t xml:space="preserve">Original Classical Chinese collected from the received Liezi tradition and cross-checked against Chinese Text Project chapter structure. Vietnamese is Selflo working translation; not a published translation.</x:t>
        </x:is>
      </x:c>
      <x:c r="Z426" s="81" t="inlineStr">
        <x:is>
          <x:t xml:space="preserve">Public domain ancient text / edition terms to verify</x:t>
        </x:is>
      </x:c>
      <x:c r="AA426" s="81" t="inlineStr">
        <x:is>
          <x:t xml:space="preserve">Ancient text is public domain; do not copy modern copyrighted translations/commentaries. Attribution and textual history require editorial caution.</x:t>
        </x:is>
      </x:c>
      <x:c r="AB426" s="81" t="inlineStr">
        <x:is>
          <x:t xml:space="preserve">High</x:t>
        </x:is>
      </x:c>
      <x:c r="AC426" s="81" t="inlineStr">
        <x:is>
          <x:t xml:space="preserve">Poetic.</x:t>
        </x:is>
      </x:c>
      <x:c r="AD426" s="81" t="inlineStr">
        <x:is>
          <x:t xml:space="preserve">Needs editorial review</x:t>
        </x:is>
      </x:c>
      <x:c r="AE426" s="81" t="inlineStr">
        <x:is>
          <x:t xml:space="preserve">Needs semantic dedupe review</x:t>
        </x:is>
      </x:c>
      <x:c r="AF426" s="81" t="str"/>
      <x:c r="AG426" s="81" t="str"/>
      <x:c r="AH426" s="81" t="inlineStr">
        <x:is>
          <x:t xml:space="preserve">No</x:t>
        </x:is>
      </x:c>
      <x:c r="AI426" s="81" t="inlineStr">
        <x:is>
          <x:t xml:space="preserve">Not reviewed</x:t>
        </x:is>
      </x:c>
      <x:c r="AJ426" s="81" t="inlineStr">
        <x:is>
          <x:t xml:space="preserve">Research only</x:t>
        </x:is>
      </x:c>
      <x:c r="AK426" s="81" t="inlineStr">
        <x:is>
          <x:t xml:space="preserve">Research Pool</x:t>
        </x:is>
      </x:c>
      <x:c r="AL426" s="81" t="n">
        <x:v>5</x:v>
      </x:c>
      <x:c r="AM426" s="81" t="inlineStr">
        <x:is>
          <x:t xml:space="preserve">ChatGPT research</x:t>
        </x:is>
      </x:c>
      <x:c r="AN426" s="81" t="inlineStr">
        <x:is>
          <x:t xml:space="preserve">2026-09-18</x:t>
        </x:is>
      </x:c>
      <x:c r="AO426" s="81" t="inlineStr">
        <x:is>
          <x:t xml:space="preserve">Day 5 full-scope first-pass audit of all 8 Liezi chapters.</x:t>
        </x:is>
      </x:c>
    </x:row>
    <x:row r="427">
      <x:c r="A427" s="81" t="inlineStr">
        <x:is>
          <x:t xml:space="preserve">research.liezi.day5.ch06.049</x:t>
        </x:is>
      </x:c>
      <x:c r="B427" s="81" t="inlineStr">
        <x:is>
          <x:t xml:space="preserve">Collected</x:t>
        </x:is>
      </x:c>
      <x:c r="C427" s="81" t="inlineStr">
        <x:is>
          <x:t xml:space="preserve">Nội tâm &amp; hiểu mình</x:t>
        </x:is>
      </x:c>
      <x:c r="D427" s="81" t="inlineStr">
        <x:is>
          <x:t xml:space="preserve">Day 5 / Liezi — full 8 chapters</x:t>
        </x:is>
      </x:c>
      <x:c r="E427" s="81" t="str"/>
      <x:c r="F427" s="81" t="inlineStr">
        <x:is>
          <x:t xml:space="preserve">Kết quả có bao nhiêu phần từ nỗ lực, bao nhiêu phần từ điều kiện?</x:t>
        </x:is>
      </x:c>
      <x:c r="G427" s="81" t="inlineStr">
        <x:is>
          <x:t xml:space="preserve">Agency</x:t>
        </x:is>
      </x:c>
      <x:c r="H427" s="81" t="str"/>
      <x:c r="I427" s="81" t="str"/>
      <x:c r="J427" s="81" t="str"/>
      <x:c r="K427" s="81" t="inlineStr">
        <x:is>
          <x:t xml:space="preserve">Open question</x:t>
        </x:is>
      </x:c>
      <x:c r="L427" s="81" t="inlineStr">
        <x:is>
          <x:t xml:space="preserve">Recognize</x:t>
        </x:is>
      </x:c>
      <x:c r="M427" s="81" t="inlineStr">
        <x:is>
          <x:t xml:space="preserve">Trích đoạn triết học / 寓言</x:t>
        </x:is>
      </x:c>
      <x:c r="N427" s="81" t="inlineStr">
        <x:is>
          <x:t xml:space="preserve">力謂命曰：若之功奚若我哉？</x:t>
        </x:is>
      </x:c>
      <x:c r="O427" s="81" t="inlineStr">
        <x:is>
          <x:t xml:space="preserve">Classical Chinese (文言文)</x:t>
        </x:is>
      </x:c>
      <x:c r="P427" s="81" t="inlineStr">
        <x:is>
          <x:t xml:space="preserve">Sức lực hỏi Số mệnh: công của anh sao bằng tôi?</x:t>
        </x:is>
      </x:c>
      <x:c r="Q427" s="81" t="inlineStr">
        <x:is>
          <x:t xml:space="preserve">Liezi / 列子 (received text; attribution debated)</x:t>
        </x:is>
      </x:c>
      <x:c r="R427" s="81" t="inlineStr">
        <x:is>
          <x:t xml:space="preserve">Daoist / China</x:t>
        </x:is>
      </x:c>
      <x:c r="S427" s="81" t="inlineStr">
        <x:is>
          <x:t xml:space="preserve">列子 / Liezi</x:t>
        </x:is>
      </x:c>
      <x:c r="T427" s="81" t="inlineStr">
        <x:is>
          <x:t xml:space="preserve">Chapter 6 — 力命</x:t>
        </x:is>
      </x:c>
      <x:c r="U427" s="81" t="inlineStr">
        <x:is>
          <x:t xml:space="preserve">https://ctext.org/liezi/zh</x:t>
        </x:is>
      </x:c>
      <x:c r="V427" s="81" t="inlineStr">
        <x:is>
          <x:t xml:space="preserve">Primary text / digital corpus</x:t>
        </x:is>
      </x:c>
      <x:c r="W427" s="81" t="inlineStr">
        <x:is>
          <x:t xml:space="preserve">Working translation</x:t>
        </x:is>
      </x:c>
      <x:c r="X427" s="81" t="inlineStr">
        <x:is>
          <x:t xml:space="preserve">A - Primary source</x:t>
        </x:is>
      </x:c>
      <x:c r="Y427" s="81" t="inlineStr">
        <x:is>
          <x:t xml:space="preserve">Original Classical Chinese collected from the received Liezi tradition and cross-checked against Chinese Text Project chapter structure. Vietnamese is Selflo working translation; not a published translation.</x:t>
        </x:is>
      </x:c>
      <x:c r="Z427" s="81" t="inlineStr">
        <x:is>
          <x:t xml:space="preserve">Public domain ancient text / edition terms to verify</x:t>
        </x:is>
      </x:c>
      <x:c r="AA427" s="81" t="inlineStr">
        <x:is>
          <x:t xml:space="preserve">Ancient text is public domain; do not copy modern copyrighted translations/commentaries. Attribution and textual history require editorial caution.</x:t>
        </x:is>
      </x:c>
      <x:c r="AB427" s="81" t="inlineStr">
        <x:is>
          <x:t xml:space="preserve">High</x:t>
        </x:is>
      </x:c>
      <x:c r="AC427" s="81" t="inlineStr">
        <x:is>
          <x:t xml:space="preserve">Useful distinction; don't endorse fatalism.</x:t>
        </x:is>
      </x:c>
      <x:c r="AD427" s="81" t="inlineStr">
        <x:is>
          <x:t xml:space="preserve">Needs editorial review</x:t>
        </x:is>
      </x:c>
      <x:c r="AE427" s="81" t="inlineStr">
        <x:is>
          <x:t xml:space="preserve">Needs semantic dedupe review</x:t>
        </x:is>
      </x:c>
      <x:c r="AF427" s="81" t="str"/>
      <x:c r="AG427" s="81" t="str"/>
      <x:c r="AH427" s="81" t="inlineStr">
        <x:is>
          <x:t xml:space="preserve">No</x:t>
        </x:is>
      </x:c>
      <x:c r="AI427" s="81" t="inlineStr">
        <x:is>
          <x:t xml:space="preserve">Not reviewed</x:t>
        </x:is>
      </x:c>
      <x:c r="AJ427" s="81" t="inlineStr">
        <x:is>
          <x:t xml:space="preserve">Research only</x:t>
        </x:is>
      </x:c>
      <x:c r="AK427" s="81" t="inlineStr">
        <x:is>
          <x:t xml:space="preserve">Research Pool</x:t>
        </x:is>
      </x:c>
      <x:c r="AL427" s="81" t="n">
        <x:v>5</x:v>
      </x:c>
      <x:c r="AM427" s="81" t="inlineStr">
        <x:is>
          <x:t xml:space="preserve">ChatGPT research</x:t>
        </x:is>
      </x:c>
      <x:c r="AN427" s="81" t="inlineStr">
        <x:is>
          <x:t xml:space="preserve">2026-09-18</x:t>
        </x:is>
      </x:c>
      <x:c r="AO427" s="81" t="inlineStr">
        <x:is>
          <x:t xml:space="preserve">Day 5 full-scope first-pass audit of all 8 Liezi chapters.</x:t>
        </x:is>
      </x:c>
    </x:row>
    <x:row r="428">
      <x:c r="A428" s="81" t="inlineStr">
        <x:is>
          <x:t xml:space="preserve">research.liezi.day5.ch06.050</x:t>
        </x:is>
      </x:c>
      <x:c r="B428" s="81" t="inlineStr">
        <x:is>
          <x:t xml:space="preserve">Collected</x:t>
        </x:is>
      </x:c>
      <x:c r="C428" s="81" t="inlineStr">
        <x:is>
          <x:t xml:space="preserve">Nội tâm &amp; hiểu mình</x:t>
        </x:is>
      </x:c>
      <x:c r="D428" s="81" t="inlineStr">
        <x:is>
          <x:t xml:space="preserve">Day 5 / Liezi — full 8 chapters</x:t>
        </x:is>
      </x:c>
      <x:c r="E428" s="81" t="str"/>
      <x:c r="F428" s="81" t="inlineStr">
        <x:is>
          <x:t xml:space="preserve">Không quy mọi kết quả về effort cá nhân</x:t>
        </x:is>
      </x:c>
      <x:c r="G428" s="81" t="inlineStr">
        <x:is>
          <x:t xml:space="preserve">Context</x:t>
        </x:is>
      </x:c>
      <x:c r="H428" s="81" t="str"/>
      <x:c r="I428" s="81" t="str"/>
      <x:c r="J428" s="81" t="str"/>
      <x:c r="K428" s="81" t="inlineStr">
        <x:is>
          <x:t xml:space="preserve">Distinguish</x:t>
        </x:is>
      </x:c>
      <x:c r="L428" s="81" t="inlineStr">
        <x:is>
          <x:t xml:space="preserve">Recognize</x:t>
        </x:is>
      </x:c>
      <x:c r="M428" s="81" t="inlineStr">
        <x:is>
          <x:t xml:space="preserve">Trích đoạn triết học / 寓言</x:t>
        </x:is>
      </x:c>
      <x:c r="N428" s="81" t="inlineStr">
        <x:is>
          <x:t xml:space="preserve">壽夭窮達，貴賤貧富，我力之所能哉？</x:t>
        </x:is>
      </x:c>
      <x:c r="O428" s="81" t="inlineStr">
        <x:is>
          <x:t xml:space="preserve">Classical Chinese (文言文)</x:t>
        </x:is>
      </x:c>
      <x:c r="P428" s="81" t="inlineStr">
        <x:is>
          <x:t xml:space="preserve">Sống lâu-ngắn, thuận-nghịch, giàu-nghèo — có thật tất cả đều do sức mình làm ra?</x:t>
        </x:is>
      </x:c>
      <x:c r="Q428" s="81" t="inlineStr">
        <x:is>
          <x:t xml:space="preserve">Liezi / 列子 (received text; attribution debated)</x:t>
        </x:is>
      </x:c>
      <x:c r="R428" s="81" t="inlineStr">
        <x:is>
          <x:t xml:space="preserve">Daoist / China</x:t>
        </x:is>
      </x:c>
      <x:c r="S428" s="81" t="inlineStr">
        <x:is>
          <x:t xml:space="preserve">列子 / Liezi</x:t>
        </x:is>
      </x:c>
      <x:c r="T428" s="81" t="inlineStr">
        <x:is>
          <x:t xml:space="preserve">Chapter 6 — 力命</x:t>
        </x:is>
      </x:c>
      <x:c r="U428" s="81" t="inlineStr">
        <x:is>
          <x:t xml:space="preserve">https://ctext.org/liezi/zh</x:t>
        </x:is>
      </x:c>
      <x:c r="V428" s="81" t="inlineStr">
        <x:is>
          <x:t xml:space="preserve">Primary text / digital corpus</x:t>
        </x:is>
      </x:c>
      <x:c r="W428" s="81" t="inlineStr">
        <x:is>
          <x:t xml:space="preserve">Working translation</x:t>
        </x:is>
      </x:c>
      <x:c r="X428" s="81" t="inlineStr">
        <x:is>
          <x:t xml:space="preserve">A - Primary source</x:t>
        </x:is>
      </x:c>
      <x:c r="Y428" s="81" t="inlineStr">
        <x:is>
          <x:t xml:space="preserve">Original Classical Chinese collected from the received Liezi tradition and cross-checked against Chinese Text Project chapter structure. Vietnamese is Selflo working translation; not a published translation.</x:t>
        </x:is>
      </x:c>
      <x:c r="Z428" s="81" t="inlineStr">
        <x:is>
          <x:t xml:space="preserve">Public domain ancient text / edition terms to verify</x:t>
        </x:is>
      </x:c>
      <x:c r="AA428" s="81" t="inlineStr">
        <x:is>
          <x:t xml:space="preserve">Ancient text is public domain; do not copy modern copyrighted translations/commentaries. Attribution and textual history require editorial caution.</x:t>
        </x:is>
      </x:c>
      <x:c r="AB428" s="81" t="inlineStr">
        <x:is>
          <x:t xml:space="preserve">High</x:t>
        </x:is>
      </x:c>
      <x:c r="AC428" s="81" t="inlineStr">
        <x:is>
          <x:t xml:space="preserve">Core self-compassion/system context.</x:t>
        </x:is>
      </x:c>
      <x:c r="AD428" s="81" t="inlineStr">
        <x:is>
          <x:t xml:space="preserve">Needs editorial review</x:t>
        </x:is>
      </x:c>
      <x:c r="AE428" s="81" t="inlineStr">
        <x:is>
          <x:t xml:space="preserve">Needs semantic dedupe review</x:t>
        </x:is>
      </x:c>
      <x:c r="AF428" s="81" t="str"/>
      <x:c r="AG428" s="81" t="str"/>
      <x:c r="AH428" s="81" t="inlineStr">
        <x:is>
          <x:t xml:space="preserve">No</x:t>
        </x:is>
      </x:c>
      <x:c r="AI428" s="81" t="inlineStr">
        <x:is>
          <x:t xml:space="preserve">Not reviewed</x:t>
        </x:is>
      </x:c>
      <x:c r="AJ428" s="81" t="inlineStr">
        <x:is>
          <x:t xml:space="preserve">Research only</x:t>
        </x:is>
      </x:c>
      <x:c r="AK428" s="81" t="inlineStr">
        <x:is>
          <x:t xml:space="preserve">Research Pool</x:t>
        </x:is>
      </x:c>
      <x:c r="AL428" s="81" t="n">
        <x:v>5</x:v>
      </x:c>
      <x:c r="AM428" s="81" t="inlineStr">
        <x:is>
          <x:t xml:space="preserve">ChatGPT research</x:t>
        </x:is>
      </x:c>
      <x:c r="AN428" s="81" t="inlineStr">
        <x:is>
          <x:t xml:space="preserve">2026-09-18</x:t>
        </x:is>
      </x:c>
      <x:c r="AO428" s="81" t="inlineStr">
        <x:is>
          <x:t xml:space="preserve">Day 5 full-scope first-pass audit of all 8 Liezi chapters.</x:t>
        </x:is>
      </x:c>
    </x:row>
    <x:row r="429">
      <x:c r="A429" s="81" t="inlineStr">
        <x:is>
          <x:t xml:space="preserve">research.liezi.day5.ch06.051</x:t>
        </x:is>
      </x:c>
      <x:c r="B429" s="81" t="inlineStr">
        <x:is>
          <x:t xml:space="preserve">Collected</x:t>
        </x:is>
      </x:c>
      <x:c r="C429" s="81" t="inlineStr">
        <x:is>
          <x:t xml:space="preserve">Nội tâm &amp; hiểu mình</x:t>
        </x:is>
      </x:c>
      <x:c r="D429" s="81" t="inlineStr">
        <x:is>
          <x:t xml:space="preserve">Day 5 / Liezi — full 8 chapters</x:t>
        </x:is>
      </x:c>
      <x:c r="E429" s="81" t="str"/>
      <x:c r="F429" s="81" t="inlineStr">
        <x:is>
          <x:t xml:space="preserve">Có phần của đời không nằm trong quyền kiểm soát</x:t>
        </x:is>
      </x:c>
      <x:c r="G429" s="81" t="inlineStr">
        <x:is>
          <x:t xml:space="preserve">Control</x:t>
        </x:is>
      </x:c>
      <x:c r="H429" s="81" t="str"/>
      <x:c r="I429" s="81" t="str"/>
      <x:c r="J429" s="81" t="str"/>
      <x:c r="K429" s="81" t="inlineStr">
        <x:is>
          <x:t xml:space="preserve">Recognize</x:t>
        </x:is>
      </x:c>
      <x:c r="L429" s="81" t="inlineStr">
        <x:is>
          <x:t xml:space="preserve">Distinguish</x:t>
        </x:is>
      </x:c>
      <x:c r="M429" s="81" t="inlineStr">
        <x:is>
          <x:t xml:space="preserve">Trích đoạn triết học / 寓言</x:t>
        </x:is>
      </x:c>
      <x:c r="N429" s="81" t="inlineStr">
        <x:is>
          <x:t xml:space="preserve">自壽自夭，自窮自達，自貴自賤，自富自貧。</x:t>
        </x:is>
      </x:c>
      <x:c r="O429" s="81" t="inlineStr">
        <x:is>
          <x:t xml:space="preserve">Classical Chinese (文言文)</x:t>
        </x:is>
      </x:c>
      <x:c r="P429" s="81" t="inlineStr">
        <x:is>
          <x:t xml:space="preserve">Văn bản đẩy câu hỏi về những biến số không hoàn toàn nằm trong quyền điều khiển cá nhân.</x:t>
        </x:is>
      </x:c>
      <x:c r="Q429" s="81" t="inlineStr">
        <x:is>
          <x:t xml:space="preserve">Liezi / 列子 (received text; attribution debated)</x:t>
        </x:is>
      </x:c>
      <x:c r="R429" s="81" t="inlineStr">
        <x:is>
          <x:t xml:space="preserve">Daoist / China</x:t>
        </x:is>
      </x:c>
      <x:c r="S429" s="81" t="inlineStr">
        <x:is>
          <x:t xml:space="preserve">列子 / Liezi</x:t>
        </x:is>
      </x:c>
      <x:c r="T429" s="81" t="inlineStr">
        <x:is>
          <x:t xml:space="preserve">Chapter 6 — 力命</x:t>
        </x:is>
      </x:c>
      <x:c r="U429" s="81" t="inlineStr">
        <x:is>
          <x:t xml:space="preserve">https://ctext.org/liezi/zh</x:t>
        </x:is>
      </x:c>
      <x:c r="V429" s="81" t="inlineStr">
        <x:is>
          <x:t xml:space="preserve">Primary text / digital corpus</x:t>
        </x:is>
      </x:c>
      <x:c r="W429" s="81" t="inlineStr">
        <x:is>
          <x:t xml:space="preserve">Working translation</x:t>
        </x:is>
      </x:c>
      <x:c r="X429" s="81" t="inlineStr">
        <x:is>
          <x:t xml:space="preserve">A - Primary source</x:t>
        </x:is>
      </x:c>
      <x:c r="Y429" s="81" t="inlineStr">
        <x:is>
          <x:t xml:space="preserve">Original Classical Chinese collected from the received Liezi tradition and cross-checked against Chinese Text Project chapter structure. Vietnamese is Selflo working translation; not a published translation.</x:t>
        </x:is>
      </x:c>
      <x:c r="Z429" s="81" t="inlineStr">
        <x:is>
          <x:t xml:space="preserve">Public domain ancient text / edition terms to verify</x:t>
        </x:is>
      </x:c>
      <x:c r="AA429" s="81" t="inlineStr">
        <x:is>
          <x:t xml:space="preserve">Ancient text is public domain; do not copy modern copyrighted translations/commentaries. Attribution and textual history require editorial caution.</x:t>
        </x:is>
      </x:c>
      <x:c r="AB429" s="81" t="inlineStr">
        <x:is>
          <x:t xml:space="preserve">High</x:t>
        </x:is>
      </x:c>
      <x:c r="AC429" s="81" t="inlineStr">
        <x:is>
          <x:t xml:space="preserve">Fatalistic source; editorial nuance required.</x:t>
        </x:is>
      </x:c>
      <x:c r="AD429" s="81" t="inlineStr">
        <x:is>
          <x:t xml:space="preserve">Needs editorial review</x:t>
        </x:is>
      </x:c>
      <x:c r="AE429" s="81" t="inlineStr">
        <x:is>
          <x:t xml:space="preserve">Needs semantic dedupe review</x:t>
        </x:is>
      </x:c>
      <x:c r="AF429" s="81" t="str"/>
      <x:c r="AG429" s="81" t="str"/>
      <x:c r="AH429" s="81" t="inlineStr">
        <x:is>
          <x:t xml:space="preserve">No</x:t>
        </x:is>
      </x:c>
      <x:c r="AI429" s="81" t="inlineStr">
        <x:is>
          <x:t xml:space="preserve">Not reviewed</x:t>
        </x:is>
      </x:c>
      <x:c r="AJ429" s="81" t="inlineStr">
        <x:is>
          <x:t xml:space="preserve">Research only</x:t>
        </x:is>
      </x:c>
      <x:c r="AK429" s="81" t="inlineStr">
        <x:is>
          <x:t xml:space="preserve">Research Pool</x:t>
        </x:is>
      </x:c>
      <x:c r="AL429" s="81" t="n">
        <x:v>5</x:v>
      </x:c>
      <x:c r="AM429" s="81" t="inlineStr">
        <x:is>
          <x:t xml:space="preserve">ChatGPT research</x:t>
        </x:is>
      </x:c>
      <x:c r="AN429" s="81" t="inlineStr">
        <x:is>
          <x:t xml:space="preserve">2026-09-18</x:t>
        </x:is>
      </x:c>
      <x:c r="AO429" s="81" t="inlineStr">
        <x:is>
          <x:t xml:space="preserve">Day 5 full-scope first-pass audit of all 8 Liezi chapters.</x:t>
        </x:is>
      </x:c>
    </x:row>
    <x:row r="430">
      <x:c r="A430" s="81" t="inlineStr">
        <x:is>
          <x:t xml:space="preserve">research.liezi.day5.ch06.052</x:t>
        </x:is>
      </x:c>
      <x:c r="B430" s="81" t="inlineStr">
        <x:is>
          <x:t xml:space="preserve">Collected</x:t>
        </x:is>
      </x:c>
      <x:c r="C430" s="81" t="inlineStr">
        <x:is>
          <x:t xml:space="preserve">Nội tâm &amp; hiểu mình</x:t>
        </x:is>
      </x:c>
      <x:c r="D430" s="81" t="inlineStr">
        <x:is>
          <x:t xml:space="preserve">Day 5 / Liezi — full 8 chapters</x:t>
        </x:is>
      </x:c>
      <x:c r="E430" s="81" t="str"/>
      <x:c r="F430" s="81" t="inlineStr">
        <x:is>
          <x:t xml:space="preserve">Không nhận toàn bộ công/lỗi cho thứ vượt quyền mình</x:t>
        </x:is>
      </x:c>
      <x:c r="G430" s="81" t="inlineStr">
        <x:is>
          <x:t xml:space="preserve">Self-blame</x:t>
        </x:is>
      </x:c>
      <x:c r="H430" s="81" t="str"/>
      <x:c r="I430" s="81" t="str"/>
      <x:c r="J430" s="81" t="str"/>
      <x:c r="K430" s="81" t="inlineStr">
        <x:is>
          <x:t xml:space="preserve">Reframe</x:t>
        </x:is>
      </x:c>
      <x:c r="L430" s="81" t="inlineStr">
        <x:is>
          <x:t xml:space="preserve">Recognize</x:t>
        </x:is>
      </x:c>
      <x:c r="M430" s="81" t="inlineStr">
        <x:is>
          <x:t xml:space="preserve">Trích đoạn triết học / 寓言</x:t>
        </x:is>
      </x:c>
      <x:c r="N430" s="81" t="inlineStr">
        <x:is>
          <x:t xml:space="preserve">汝奚功於物而欲比朕？</x:t>
        </x:is>
      </x:c>
      <x:c r="O430" s="81" t="inlineStr">
        <x:is>
          <x:t xml:space="preserve">Classical Chinese (文言文)</x:t>
        </x:is>
      </x:c>
      <x:c r="P430" s="81" t="inlineStr">
        <x:is>
          <x:t xml:space="preserve">Nếu không kiểm soát mọi kết quả, vì sao nhận hết công hoặc hết lỗi về mình?</x:t>
        </x:is>
      </x:c>
      <x:c r="Q430" s="81" t="inlineStr">
        <x:is>
          <x:t xml:space="preserve">Liezi / 列子 (received text; attribution debated)</x:t>
        </x:is>
      </x:c>
      <x:c r="R430" s="81" t="inlineStr">
        <x:is>
          <x:t xml:space="preserve">Daoist / China</x:t>
        </x:is>
      </x:c>
      <x:c r="S430" s="81" t="inlineStr">
        <x:is>
          <x:t xml:space="preserve">列子 / Liezi</x:t>
        </x:is>
      </x:c>
      <x:c r="T430" s="81" t="inlineStr">
        <x:is>
          <x:t xml:space="preserve">Chapter 6 — 力命</x:t>
        </x:is>
      </x:c>
      <x:c r="U430" s="81" t="inlineStr">
        <x:is>
          <x:t xml:space="preserve">https://ctext.org/liezi/zh</x:t>
        </x:is>
      </x:c>
      <x:c r="V430" s="81" t="inlineStr">
        <x:is>
          <x:t xml:space="preserve">Primary text / digital corpus</x:t>
        </x:is>
      </x:c>
      <x:c r="W430" s="81" t="inlineStr">
        <x:is>
          <x:t xml:space="preserve">Working translation</x:t>
        </x:is>
      </x:c>
      <x:c r="X430" s="81" t="inlineStr">
        <x:is>
          <x:t xml:space="preserve">A - Primary source</x:t>
        </x:is>
      </x:c>
      <x:c r="Y430" s="81" t="inlineStr">
        <x:is>
          <x:t xml:space="preserve">Original Classical Chinese collected from the received Liezi tradition and cross-checked against Chinese Text Project chapter structure. Vietnamese is Selflo working translation; not a published translation.</x:t>
        </x:is>
      </x:c>
      <x:c r="Z430" s="81" t="inlineStr">
        <x:is>
          <x:t xml:space="preserve">Public domain ancient text / edition terms to verify</x:t>
        </x:is>
      </x:c>
      <x:c r="AA430" s="81" t="inlineStr">
        <x:is>
          <x:t xml:space="preserve">Ancient text is public domain; do not copy modern copyrighted translations/commentaries. Attribution and textual history require editorial caution.</x:t>
        </x:is>
      </x:c>
      <x:c r="AB430" s="81" t="inlineStr">
        <x:is>
          <x:t xml:space="preserve">High</x:t>
        </x:is>
      </x:c>
      <x:c r="AC430" s="81" t="inlineStr">
        <x:is>
          <x:t xml:space="preserve">Working interpretation.</x:t>
        </x:is>
      </x:c>
      <x:c r="AD430" s="81" t="inlineStr">
        <x:is>
          <x:t xml:space="preserve">Needs editorial review</x:t>
        </x:is>
      </x:c>
      <x:c r="AE430" s="81" t="inlineStr">
        <x:is>
          <x:t xml:space="preserve">Needs semantic dedupe review</x:t>
        </x:is>
      </x:c>
      <x:c r="AF430" s="81" t="str"/>
      <x:c r="AG430" s="81" t="str"/>
      <x:c r="AH430" s="81" t="inlineStr">
        <x:is>
          <x:t xml:space="preserve">No</x:t>
        </x:is>
      </x:c>
      <x:c r="AI430" s="81" t="inlineStr">
        <x:is>
          <x:t xml:space="preserve">Not reviewed</x:t>
        </x:is>
      </x:c>
      <x:c r="AJ430" s="81" t="inlineStr">
        <x:is>
          <x:t xml:space="preserve">Research only</x:t>
        </x:is>
      </x:c>
      <x:c r="AK430" s="81" t="inlineStr">
        <x:is>
          <x:t xml:space="preserve">Research Pool</x:t>
        </x:is>
      </x:c>
      <x:c r="AL430" s="81" t="n">
        <x:v>5</x:v>
      </x:c>
      <x:c r="AM430" s="81" t="inlineStr">
        <x:is>
          <x:t xml:space="preserve">ChatGPT research</x:t>
        </x:is>
      </x:c>
      <x:c r="AN430" s="81" t="inlineStr">
        <x:is>
          <x:t xml:space="preserve">2026-09-18</x:t>
        </x:is>
      </x:c>
      <x:c r="AO430" s="81" t="inlineStr">
        <x:is>
          <x:t xml:space="preserve">Day 5 full-scope first-pass audit of all 8 Liezi chapters.</x:t>
        </x:is>
      </x:c>
    </x:row>
    <x:row r="431">
      <x:c r="A431" s="81" t="inlineStr">
        <x:is>
          <x:t xml:space="preserve">research.liezi.day5.ch06.053</x:t>
        </x:is>
      </x:c>
      <x:c r="B431" s="81" t="inlineStr">
        <x:is>
          <x:t xml:space="preserve">Collected</x:t>
        </x:is>
      </x:c>
      <x:c r="C431" s="81" t="inlineStr">
        <x:is>
          <x:t xml:space="preserve">Nội tâm &amp; hiểu mình</x:t>
        </x:is>
      </x:c>
      <x:c r="D431" s="81" t="inlineStr">
        <x:is>
          <x:t xml:space="preserve">Day 5 / Liezi — full 8 chapters</x:t>
        </x:is>
      </x:c>
      <x:c r="E431" s="81" t="str"/>
      <x:c r="F431" s="81" t="inlineStr">
        <x:is>
          <x:t xml:space="preserve">Ý chí không phải biến duy nhất</x:t>
        </x:is>
      </x:c>
      <x:c r="G431" s="81" t="inlineStr">
        <x:is>
          <x:t xml:space="preserve">Limits</x:t>
        </x:is>
      </x:c>
      <x:c r="H431" s="81" t="str"/>
      <x:c r="I431" s="81" t="str"/>
      <x:c r="J431" s="81" t="str"/>
      <x:c r="K431" s="81" t="inlineStr">
        <x:is>
          <x:t xml:space="preserve">Recognize</x:t>
        </x:is>
      </x:c>
      <x:c r="L431" s="81" t="inlineStr">
        <x:is>
          <x:t xml:space="preserve">Distinguish</x:t>
        </x:is>
      </x:c>
      <x:c r="M431" s="81" t="inlineStr">
        <x:is>
          <x:t xml:space="preserve">Trích đoạn triết học / 寓言</x:t>
        </x:is>
      </x:c>
      <x:c r="N431" s="81" t="inlineStr">
        <x:is>
          <x:t xml:space="preserve">窮達壽夭，皆有所制。</x:t>
        </x:is>
      </x:c>
      <x:c r="O431" s="81" t="inlineStr">
        <x:is>
          <x:t xml:space="preserve">Classical Chinese (文言文)</x:t>
        </x:is>
      </x:c>
      <x:c r="P431" s="81" t="inlineStr">
        <x:is>
          <x:t xml:space="preserve">Văn bản nhìn thịnh-suy và dài-ngắn như có những giới hạn ngoài ý chí.</x:t>
        </x:is>
      </x:c>
      <x:c r="Q431" s="81" t="inlineStr">
        <x:is>
          <x:t xml:space="preserve">Liezi / 列子 (received text; attribution debated)</x:t>
        </x:is>
      </x:c>
      <x:c r="R431" s="81" t="inlineStr">
        <x:is>
          <x:t xml:space="preserve">Daoist / China</x:t>
        </x:is>
      </x:c>
      <x:c r="S431" s="81" t="inlineStr">
        <x:is>
          <x:t xml:space="preserve">列子 / Liezi</x:t>
        </x:is>
      </x:c>
      <x:c r="T431" s="81" t="inlineStr">
        <x:is>
          <x:t xml:space="preserve">Chapter 6 — 力命</x:t>
        </x:is>
      </x:c>
      <x:c r="U431" s="81" t="inlineStr">
        <x:is>
          <x:t xml:space="preserve">https://ctext.org/liezi/zh</x:t>
        </x:is>
      </x:c>
      <x:c r="V431" s="81" t="inlineStr">
        <x:is>
          <x:t xml:space="preserve">Primary text / digital corpus</x:t>
        </x:is>
      </x:c>
      <x:c r="W431" s="81" t="inlineStr">
        <x:is>
          <x:t xml:space="preserve">Working translation</x:t>
        </x:is>
      </x:c>
      <x:c r="X431" s="81" t="inlineStr">
        <x:is>
          <x:t xml:space="preserve">A - Primary source</x:t>
        </x:is>
      </x:c>
      <x:c r="Y431" s="81" t="inlineStr">
        <x:is>
          <x:t xml:space="preserve">Original Classical Chinese collected from the received Liezi tradition and cross-checked against Chinese Text Project chapter structure. Vietnamese is Selflo working translation; not a published translation.</x:t>
        </x:is>
      </x:c>
      <x:c r="Z431" s="81" t="inlineStr">
        <x:is>
          <x:t xml:space="preserve">Public domain ancient text / edition terms to verify</x:t>
        </x:is>
      </x:c>
      <x:c r="AA431" s="81" t="inlineStr">
        <x:is>
          <x:t xml:space="preserve">Ancient text is public domain; do not copy modern copyrighted translations/commentaries. Attribution and textual history require editorial caution.</x:t>
        </x:is>
      </x:c>
      <x:c r="AB431" s="81" t="inlineStr">
        <x:is>
          <x:t xml:space="preserve">Medium</x:t>
        </x:is>
      </x:c>
      <x:c r="AC431" s="81" t="inlineStr">
        <x:is>
          <x:t xml:space="preserve">Avoid deterministic release.</x:t>
        </x:is>
      </x:c>
      <x:c r="AD431" s="81" t="inlineStr">
        <x:is>
          <x:t xml:space="preserve">Needs editorial review</x:t>
        </x:is>
      </x:c>
      <x:c r="AE431" s="81" t="inlineStr">
        <x:is>
          <x:t xml:space="preserve">Needs semantic dedupe review</x:t>
        </x:is>
      </x:c>
      <x:c r="AF431" s="81" t="str"/>
      <x:c r="AG431" s="81" t="str"/>
      <x:c r="AH431" s="81" t="inlineStr">
        <x:is>
          <x:t xml:space="preserve">No</x:t>
        </x:is>
      </x:c>
      <x:c r="AI431" s="81" t="inlineStr">
        <x:is>
          <x:t xml:space="preserve">Not reviewed</x:t>
        </x:is>
      </x:c>
      <x:c r="AJ431" s="81" t="inlineStr">
        <x:is>
          <x:t xml:space="preserve">Research only</x:t>
        </x:is>
      </x:c>
      <x:c r="AK431" s="81" t="inlineStr">
        <x:is>
          <x:t xml:space="preserve">Research Pool</x:t>
        </x:is>
      </x:c>
      <x:c r="AL431" s="81" t="n">
        <x:v>5</x:v>
      </x:c>
      <x:c r="AM431" s="81" t="inlineStr">
        <x:is>
          <x:t xml:space="preserve">ChatGPT research</x:t>
        </x:is>
      </x:c>
      <x:c r="AN431" s="81" t="inlineStr">
        <x:is>
          <x:t xml:space="preserve">2026-09-18</x:t>
        </x:is>
      </x:c>
      <x:c r="AO431" s="81" t="inlineStr">
        <x:is>
          <x:t xml:space="preserve">Day 5 full-scope first-pass audit of all 8 Liezi chapters.</x:t>
        </x:is>
      </x:c>
    </x:row>
    <x:row r="432">
      <x:c r="A432" s="81" t="inlineStr">
        <x:is>
          <x:t xml:space="preserve">research.liezi.day5.ch06.054</x:t>
        </x:is>
      </x:c>
      <x:c r="B432" s="81" t="inlineStr">
        <x:is>
          <x:t xml:space="preserve">Collected</x:t>
        </x:is>
      </x:c>
      <x:c r="C432" s="81" t="inlineStr">
        <x:is>
          <x:t xml:space="preserve">Nội tâm &amp; hiểu mình</x:t>
        </x:is>
      </x:c>
      <x:c r="D432" s="81" t="inlineStr">
        <x:is>
          <x:t xml:space="preserve">Day 5 / Liezi — full 8 chapters</x:t>
        </x:is>
      </x:c>
      <x:c r="E432" s="81" t="str"/>
      <x:c r="F432" s="81" t="inlineStr">
        <x:is>
          <x:t xml:space="preserve">Không phải mọi chuyển biến đều cần bị kiểm soát</x:t>
        </x:is>
      </x:c>
      <x:c r="G432" s="81" t="inlineStr">
        <x:is>
          <x:t xml:space="preserve">Acceptance</x:t>
        </x:is>
      </x:c>
      <x:c r="H432" s="81" t="str"/>
      <x:c r="I432" s="81" t="str"/>
      <x:c r="J432" s="81" t="str"/>
      <x:c r="K432" s="81" t="inlineStr">
        <x:is>
          <x:t xml:space="preserve">Reframe</x:t>
        </x:is>
      </x:c>
      <x:c r="L432" s="81" t="inlineStr">
        <x:is>
          <x:t xml:space="preserve">Recognize</x:t>
        </x:is>
      </x:c>
      <x:c r="M432" s="81" t="inlineStr">
        <x:is>
          <x:t xml:space="preserve">Trích đoạn triết học / 寓言</x:t>
        </x:is>
      </x:c>
      <x:c r="N432" s="81" t="inlineStr">
        <x:is>
          <x:t xml:space="preserve">可以生而生，天福也；可以死而死，天福也。</x:t>
        </x:is>
      </x:c>
      <x:c r="O432" s="81" t="inlineStr">
        <x:is>
          <x:t xml:space="preserve">Classical Chinese (文言文)</x:t>
        </x:is>
      </x:c>
      <x:c r="P432" s="81" t="inlineStr">
        <x:is>
          <x:t xml:space="preserve">Văn bản dùng ngôn ngữ cổ để nói về việc không cưỡng mọi chuyển biến của đời.</x:t>
        </x:is>
      </x:c>
      <x:c r="Q432" s="81" t="inlineStr">
        <x:is>
          <x:t xml:space="preserve">Liezi / 列子 (received text; attribution debated)</x:t>
        </x:is>
      </x:c>
      <x:c r="R432" s="81" t="inlineStr">
        <x:is>
          <x:t xml:space="preserve">Daoist / China</x:t>
        </x:is>
      </x:c>
      <x:c r="S432" s="81" t="inlineStr">
        <x:is>
          <x:t xml:space="preserve">列子 / Liezi</x:t>
        </x:is>
      </x:c>
      <x:c r="T432" s="81" t="inlineStr">
        <x:is>
          <x:t xml:space="preserve">Chapter 6 — 力命</x:t>
        </x:is>
      </x:c>
      <x:c r="U432" s="81" t="inlineStr">
        <x:is>
          <x:t xml:space="preserve">https://ctext.org/liezi/zh</x:t>
        </x:is>
      </x:c>
      <x:c r="V432" s="81" t="inlineStr">
        <x:is>
          <x:t xml:space="preserve">Primary text / digital corpus</x:t>
        </x:is>
      </x:c>
      <x:c r="W432" s="81" t="inlineStr">
        <x:is>
          <x:t xml:space="preserve">Working translation</x:t>
        </x:is>
      </x:c>
      <x:c r="X432" s="81" t="inlineStr">
        <x:is>
          <x:t xml:space="preserve">A - Primary source</x:t>
        </x:is>
      </x:c>
      <x:c r="Y432" s="81" t="inlineStr">
        <x:is>
          <x:t xml:space="preserve">Original Classical Chinese collected from the received Liezi tradition and cross-checked against Chinese Text Project chapter structure. Vietnamese is Selflo working translation; not a published translation.</x:t>
        </x:is>
      </x:c>
      <x:c r="Z432" s="81" t="inlineStr">
        <x:is>
          <x:t xml:space="preserve">Public domain ancient text / edition terms to verify</x:t>
        </x:is>
      </x:c>
      <x:c r="AA432" s="81" t="inlineStr">
        <x:is>
          <x:t xml:space="preserve">Ancient text is public domain; do not copy modern copyrighted translations/commentaries. Attribution and textual history require editorial caution.</x:t>
        </x:is>
      </x:c>
      <x:c r="AB432" s="81" t="inlineStr">
        <x:is>
          <x:t xml:space="preserve">Low</x:t>
        </x:is>
      </x:c>
      <x:c r="AC432" s="81" t="inlineStr">
        <x:is>
          <x:t xml:space="preserve">Death-sensitive; research only.</x:t>
        </x:is>
      </x:c>
      <x:c r="AD432" s="81" t="inlineStr">
        <x:is>
          <x:t xml:space="preserve">Needs editorial review</x:t>
        </x:is>
      </x:c>
      <x:c r="AE432" s="81" t="inlineStr">
        <x:is>
          <x:t xml:space="preserve">Needs semantic dedupe review</x:t>
        </x:is>
      </x:c>
      <x:c r="AF432" s="81" t="str"/>
      <x:c r="AG432" s="81" t="str"/>
      <x:c r="AH432" s="81" t="inlineStr">
        <x:is>
          <x:t xml:space="preserve">No</x:t>
        </x:is>
      </x:c>
      <x:c r="AI432" s="81" t="inlineStr">
        <x:is>
          <x:t xml:space="preserve">Not reviewed</x:t>
        </x:is>
      </x:c>
      <x:c r="AJ432" s="81" t="inlineStr">
        <x:is>
          <x:t xml:space="preserve">Research only</x:t>
        </x:is>
      </x:c>
      <x:c r="AK432" s="81" t="inlineStr">
        <x:is>
          <x:t xml:space="preserve">Research Pool</x:t>
        </x:is>
      </x:c>
      <x:c r="AL432" s="81" t="n">
        <x:v>5</x:v>
      </x:c>
      <x:c r="AM432" s="81" t="inlineStr">
        <x:is>
          <x:t xml:space="preserve">ChatGPT research</x:t>
        </x:is>
      </x:c>
      <x:c r="AN432" s="81" t="inlineStr">
        <x:is>
          <x:t xml:space="preserve">2026-09-18</x:t>
        </x:is>
      </x:c>
      <x:c r="AO432" s="81" t="inlineStr">
        <x:is>
          <x:t xml:space="preserve">Day 5 full-scope first-pass audit of all 8 Liezi chapters.</x:t>
        </x:is>
      </x:c>
    </x:row>
    <x:row r="433">
      <x:c r="A433" s="81" t="inlineStr">
        <x:is>
          <x:t xml:space="preserve">research.liezi.day5.ch07.055</x:t>
        </x:is>
      </x:c>
      <x:c r="B433" s="81" t="inlineStr">
        <x:is>
          <x:t xml:space="preserve">Collected</x:t>
        </x:is>
      </x:c>
      <x:c r="C433" s="81" t="inlineStr">
        <x:is>
          <x:t xml:space="preserve">Quan hệ</x:t>
        </x:is>
      </x:c>
      <x:c r="D433" s="81" t="inlineStr">
        <x:is>
          <x:t xml:space="preserve">Day 5 / Liezi — full 8 chapters</x:t>
        </x:is>
      </x:c>
      <x:c r="E433" s="81" t="str"/>
      <x:c r="F433" s="81" t="inlineStr">
        <x:is>
          <x:t xml:space="preserve">Quan tâm hiện tại hơn biểu tượng muộn</x:t>
        </x:is>
      </x:c>
      <x:c r="G433" s="81" t="inlineStr">
        <x:is>
          <x:t xml:space="preserve">Relationships</x:t>
        </x:is>
      </x:c>
      <x:c r="H433" s="81" t="str"/>
      <x:c r="I433" s="81" t="str"/>
      <x:c r="J433" s="81" t="str"/>
      <x:c r="K433" s="81" t="inlineStr">
        <x:is>
          <x:t xml:space="preserve">Distinguish</x:t>
        </x:is>
      </x:c>
      <x:c r="L433" s="81" t="inlineStr">
        <x:is>
          <x:t xml:space="preserve">Recognize</x:t>
        </x:is>
      </x:c>
      <x:c r="M433" s="81" t="inlineStr">
        <x:is>
          <x:t xml:space="preserve">Trích đoạn triết học / 寓言</x:t>
        </x:is>
      </x:c>
      <x:c r="N433" s="81" t="inlineStr">
        <x:is>
          <x:t xml:space="preserve">古語有之：生相憐，死相捐。</x:t>
        </x:is>
      </x:c>
      <x:c r="O433" s="81" t="inlineStr">
        <x:is>
          <x:t xml:space="preserve">Classical Chinese (文言文)</x:t>
        </x:is>
      </x:c>
      <x:c r="P433" s="81" t="inlineStr">
        <x:is>
          <x:t xml:space="preserve">Một câu cổ trong thiên này đặt sự chăm sóc khi còn sống cao hơn việc phô trương sau khi mất.</x:t>
        </x:is>
      </x:c>
      <x:c r="Q433" s="81" t="inlineStr">
        <x:is>
          <x:t xml:space="preserve">Liezi / 列子 (received text; attribution debated)</x:t>
        </x:is>
      </x:c>
      <x:c r="R433" s="81" t="inlineStr">
        <x:is>
          <x:t xml:space="preserve">Daoist / China</x:t>
        </x:is>
      </x:c>
      <x:c r="S433" s="81" t="inlineStr">
        <x:is>
          <x:t xml:space="preserve">列子 / Liezi</x:t>
        </x:is>
      </x:c>
      <x:c r="T433" s="81" t="inlineStr">
        <x:is>
          <x:t xml:space="preserve">Chapter 7 — 楊朱</x:t>
        </x:is>
      </x:c>
      <x:c r="U433" s="81" t="inlineStr">
        <x:is>
          <x:t xml:space="preserve">https://ctext.org/liezi/zh</x:t>
        </x:is>
      </x:c>
      <x:c r="V433" s="81" t="inlineStr">
        <x:is>
          <x:t xml:space="preserve">Primary text / digital corpus</x:t>
        </x:is>
      </x:c>
      <x:c r="W433" s="81" t="inlineStr">
        <x:is>
          <x:t xml:space="preserve">Working translation</x:t>
        </x:is>
      </x:c>
      <x:c r="X433" s="81" t="inlineStr">
        <x:is>
          <x:t xml:space="preserve">A - Primary source</x:t>
        </x:is>
      </x:c>
      <x:c r="Y433" s="81" t="inlineStr">
        <x:is>
          <x:t xml:space="preserve">Original Classical Chinese collected from the received Liezi tradition and cross-checked against Chinese Text Project chapter structure. Vietnamese is Selflo working translation; not a published translation.</x:t>
        </x:is>
      </x:c>
      <x:c r="Z433" s="81" t="inlineStr">
        <x:is>
          <x:t xml:space="preserve">Public domain ancient text / edition terms to verify</x:t>
        </x:is>
      </x:c>
      <x:c r="AA433" s="81" t="inlineStr">
        <x:is>
          <x:t xml:space="preserve">Ancient text is public domain; do not copy modern copyrighted translations/commentaries. Attribution and textual history require editorial caution.</x:t>
        </x:is>
      </x:c>
      <x:c r="AB433" s="81" t="inlineStr">
        <x:is>
          <x:t xml:space="preserve">Medium</x:t>
        </x:is>
      </x:c>
      <x:c r="AC433" s="81" t="inlineStr">
        <x:is>
          <x:t xml:space="preserve">Death context.</x:t>
        </x:is>
      </x:c>
      <x:c r="AD433" s="81" t="inlineStr">
        <x:is>
          <x:t xml:space="preserve">Needs editorial review</x:t>
        </x:is>
      </x:c>
      <x:c r="AE433" s="81" t="inlineStr">
        <x:is>
          <x:t xml:space="preserve">Needs semantic dedupe review</x:t>
        </x:is>
      </x:c>
      <x:c r="AF433" s="81" t="str"/>
      <x:c r="AG433" s="81" t="str"/>
      <x:c r="AH433" s="81" t="inlineStr">
        <x:is>
          <x:t xml:space="preserve">No</x:t>
        </x:is>
      </x:c>
      <x:c r="AI433" s="81" t="inlineStr">
        <x:is>
          <x:t xml:space="preserve">Not reviewed</x:t>
        </x:is>
      </x:c>
      <x:c r="AJ433" s="81" t="inlineStr">
        <x:is>
          <x:t xml:space="preserve">Research only</x:t>
        </x:is>
      </x:c>
      <x:c r="AK433" s="81" t="inlineStr">
        <x:is>
          <x:t xml:space="preserve">Research Pool</x:t>
        </x:is>
      </x:c>
      <x:c r="AL433" s="81" t="n">
        <x:v>5</x:v>
      </x:c>
      <x:c r="AM433" s="81" t="inlineStr">
        <x:is>
          <x:t xml:space="preserve">ChatGPT research</x:t>
        </x:is>
      </x:c>
      <x:c r="AN433" s="81" t="inlineStr">
        <x:is>
          <x:t xml:space="preserve">2026-09-18</x:t>
        </x:is>
      </x:c>
      <x:c r="AO433" s="81" t="inlineStr">
        <x:is>
          <x:t xml:space="preserve">Day 5 full-scope first-pass audit of all 8 Liezi chapters.</x:t>
        </x:is>
      </x:c>
    </x:row>
    <x:row r="434">
      <x:c r="A434" s="81" t="inlineStr">
        <x:is>
          <x:t xml:space="preserve">research.liezi.day5.ch07.056</x:t>
        </x:is>
      </x:c>
      <x:c r="B434" s="81" t="inlineStr">
        <x:is>
          <x:t xml:space="preserve">Collected</x:t>
        </x:is>
      </x:c>
      <x:c r="C434" s="81" t="inlineStr">
        <x:is>
          <x:t xml:space="preserve">Quan hệ</x:t>
        </x:is>
      </x:c>
      <x:c r="D434" s="81" t="inlineStr">
        <x:is>
          <x:t xml:space="preserve">Day 5 / Liezi — full 8 chapters</x:t>
        </x:is>
      </x:c>
      <x:c r="E434" s="81" t="str"/>
      <x:c r="F434" s="81" t="inlineStr">
        <x:is>
          <x:t xml:space="preserve">Ranh giới giữa tự bảo toàn và chiếm dụng người khác</x:t>
        </x:is>
      </x:c>
      <x:c r="G434" s="81" t="inlineStr">
        <x:is>
          <x:t xml:space="preserve">Boundaries</x:t>
        </x:is>
      </x:c>
      <x:c r="H434" s="81" t="str"/>
      <x:c r="I434" s="81" t="str"/>
      <x:c r="J434" s="81" t="str"/>
      <x:c r="K434" s="81" t="inlineStr">
        <x:is>
          <x:t xml:space="preserve">Open question</x:t>
        </x:is>
      </x:c>
      <x:c r="L434" s="81" t="inlineStr">
        <x:is>
          <x:t xml:space="preserve">Recognize</x:t>
        </x:is>
      </x:c>
      <x:c r="M434" s="81" t="inlineStr">
        <x:is>
          <x:t xml:space="preserve">Trích đoạn triết học / 寓言</x:t>
        </x:is>
      </x:c>
      <x:c r="N434" s="81" t="inlineStr">
        <x:is>
          <x:t xml:space="preserve">損一毫利天下，不與也；悉天下奉一身，不取也。</x:t>
        </x:is>
      </x:c>
      <x:c r="O434" s="81" t="inlineStr">
        <x:is>
          <x:t xml:space="preserve">Classical Chinese (文言文)</x:t>
        </x:is>
      </x:c>
      <x:c r="P434" s="81" t="inlineStr">
        <x:is>
          <x:t xml:space="preserve">Thiên Dương Chu đặt ra cực đoan: không hy sinh một sợi lông để đổi cả thiên hạ, cũng không lấy cả thiên hạ để phụng một thân.</x:t>
        </x:is>
      </x:c>
      <x:c r="Q434" s="81" t="inlineStr">
        <x:is>
          <x:t xml:space="preserve">Liezi / 列子 (received text; attribution debated)</x:t>
        </x:is>
      </x:c>
      <x:c r="R434" s="81" t="inlineStr">
        <x:is>
          <x:t xml:space="preserve">Daoist / China</x:t>
        </x:is>
      </x:c>
      <x:c r="S434" s="81" t="inlineStr">
        <x:is>
          <x:t xml:space="preserve">列子 / Liezi</x:t>
        </x:is>
      </x:c>
      <x:c r="T434" s="81" t="inlineStr">
        <x:is>
          <x:t xml:space="preserve">Chapter 7 — 楊朱</x:t>
        </x:is>
      </x:c>
      <x:c r="U434" s="81" t="inlineStr">
        <x:is>
          <x:t xml:space="preserve">https://ctext.org/liezi/zh</x:t>
        </x:is>
      </x:c>
      <x:c r="V434" s="81" t="inlineStr">
        <x:is>
          <x:t xml:space="preserve">Primary text / digital corpus</x:t>
        </x:is>
      </x:c>
      <x:c r="W434" s="81" t="inlineStr">
        <x:is>
          <x:t xml:space="preserve">Working translation</x:t>
        </x:is>
      </x:c>
      <x:c r="X434" s="81" t="inlineStr">
        <x:is>
          <x:t xml:space="preserve">A - Primary source</x:t>
        </x:is>
      </x:c>
      <x:c r="Y434" s="81" t="inlineStr">
        <x:is>
          <x:t xml:space="preserve">Original Classical Chinese collected from the received Liezi tradition and cross-checked against Chinese Text Project chapter structure. Vietnamese is Selflo working translation; not a published translation.</x:t>
        </x:is>
      </x:c>
      <x:c r="Z434" s="81" t="inlineStr">
        <x:is>
          <x:t xml:space="preserve">Public domain ancient text / edition terms to verify</x:t>
        </x:is>
      </x:c>
      <x:c r="AA434" s="81" t="inlineStr">
        <x:is>
          <x:t xml:space="preserve">Ancient text is public domain; do not copy modern copyrighted translations/commentaries. Attribution and textual history require editorial caution.</x:t>
        </x:is>
      </x:c>
      <x:c r="AB434" s="81" t="inlineStr">
        <x:is>
          <x:t xml:space="preserve">Medium</x:t>
        </x:is>
      </x:c>
      <x:c r="AC434" s="81" t="inlineStr">
        <x:is>
          <x:t xml:space="preserve">Contested/authorship; not direct advice.</x:t>
        </x:is>
      </x:c>
      <x:c r="AD434" s="81" t="inlineStr">
        <x:is>
          <x:t xml:space="preserve">Needs editorial review</x:t>
        </x:is>
      </x:c>
      <x:c r="AE434" s="81" t="inlineStr">
        <x:is>
          <x:t xml:space="preserve">Needs semantic dedupe review</x:t>
        </x:is>
      </x:c>
      <x:c r="AF434" s="81" t="str"/>
      <x:c r="AG434" s="81" t="str"/>
      <x:c r="AH434" s="81" t="inlineStr">
        <x:is>
          <x:t xml:space="preserve">No</x:t>
        </x:is>
      </x:c>
      <x:c r="AI434" s="81" t="inlineStr">
        <x:is>
          <x:t xml:space="preserve">Not reviewed</x:t>
        </x:is>
      </x:c>
      <x:c r="AJ434" s="81" t="inlineStr">
        <x:is>
          <x:t xml:space="preserve">Research only</x:t>
        </x:is>
      </x:c>
      <x:c r="AK434" s="81" t="inlineStr">
        <x:is>
          <x:t xml:space="preserve">Research Pool</x:t>
        </x:is>
      </x:c>
      <x:c r="AL434" s="81" t="n">
        <x:v>5</x:v>
      </x:c>
      <x:c r="AM434" s="81" t="inlineStr">
        <x:is>
          <x:t xml:space="preserve">ChatGPT research</x:t>
        </x:is>
      </x:c>
      <x:c r="AN434" s="81" t="inlineStr">
        <x:is>
          <x:t xml:space="preserve">2026-09-18</x:t>
        </x:is>
      </x:c>
      <x:c r="AO434" s="81" t="inlineStr">
        <x:is>
          <x:t xml:space="preserve">Day 5 full-scope first-pass audit of all 8 Liezi chapters.</x:t>
        </x:is>
      </x:c>
    </x:row>
    <x:row r="435">
      <x:c r="A435" s="81" t="inlineStr">
        <x:is>
          <x:t xml:space="preserve">research.liezi.day5.ch07.057</x:t>
        </x:is>
      </x:c>
      <x:c r="B435" s="81" t="inlineStr">
        <x:is>
          <x:t xml:space="preserve">Collected</x:t>
        </x:is>
      </x:c>
      <x:c r="C435" s="81" t="inlineStr">
        <x:is>
          <x:t xml:space="preserve">Quan hệ</x:t>
        </x:is>
      </x:c>
      <x:c r="D435" s="81" t="inlineStr">
        <x:is>
          <x:t xml:space="preserve">Day 5 / Liezi — full 8 chapters</x:t>
        </x:is>
      </x:c>
      <x:c r="E435" s="81" t="str"/>
      <x:c r="F435" s="81" t="inlineStr">
        <x:is>
          <x:t xml:space="preserve">Không gây hại khác với buộc phải hy sinh bản thân</x:t>
        </x:is>
      </x:c>
      <x:c r="G435" s="81" t="inlineStr">
        <x:is>
          <x:t xml:space="preserve">Boundaries</x:t>
        </x:is>
      </x:c>
      <x:c r="H435" s="81" t="str"/>
      <x:c r="I435" s="81" t="str"/>
      <x:c r="J435" s="81" t="str"/>
      <x:c r="K435" s="81" t="inlineStr">
        <x:is>
          <x:t xml:space="preserve">Distinguish</x:t>
        </x:is>
      </x:c>
      <x:c r="L435" s="81" t="inlineStr">
        <x:is>
          <x:t xml:space="preserve">Recognize</x:t>
        </x:is>
      </x:c>
      <x:c r="M435" s="81" t="inlineStr">
        <x:is>
          <x:t xml:space="preserve">Trích đoạn triết học / 寓言</x:t>
        </x:is>
      </x:c>
      <x:c r="N435" s="81" t="inlineStr">
        <x:is>
          <x:t xml:space="preserve">人人不損一毫，人人不利天下，天下治矣。</x:t>
        </x:is>
      </x:c>
      <x:c r="O435" s="81" t="inlineStr">
        <x:is>
          <x:t xml:space="preserve">Classical Chinese (文言文)</x:t>
        </x:is>
      </x:c>
      <x:c r="P435" s="81" t="inlineStr">
        <x:is>
          <x:t xml:space="preserve">Văn bản thử một giả thuyết cực đoan rằng nếu không ai xâm phạm người khác để mưu lợi thì trật tự có thể khác.</x:t>
        </x:is>
      </x:c>
      <x:c r="Q435" s="81" t="inlineStr">
        <x:is>
          <x:t xml:space="preserve">Liezi / 列子 (received text; attribution debated)</x:t>
        </x:is>
      </x:c>
      <x:c r="R435" s="81" t="inlineStr">
        <x:is>
          <x:t xml:space="preserve">Daoist / China</x:t>
        </x:is>
      </x:c>
      <x:c r="S435" s="81" t="inlineStr">
        <x:is>
          <x:t xml:space="preserve">列子 / Liezi</x:t>
        </x:is>
      </x:c>
      <x:c r="T435" s="81" t="inlineStr">
        <x:is>
          <x:t xml:space="preserve">Chapter 7 — 楊朱</x:t>
        </x:is>
      </x:c>
      <x:c r="U435" s="81" t="inlineStr">
        <x:is>
          <x:t xml:space="preserve">https://ctext.org/liezi/zh</x:t>
        </x:is>
      </x:c>
      <x:c r="V435" s="81" t="inlineStr">
        <x:is>
          <x:t xml:space="preserve">Primary text / digital corpus</x:t>
        </x:is>
      </x:c>
      <x:c r="W435" s="81" t="inlineStr">
        <x:is>
          <x:t xml:space="preserve">Working translation</x:t>
        </x:is>
      </x:c>
      <x:c r="X435" s="81" t="inlineStr">
        <x:is>
          <x:t xml:space="preserve">A - Primary source</x:t>
        </x:is>
      </x:c>
      <x:c r="Y435" s="81" t="inlineStr">
        <x:is>
          <x:t xml:space="preserve">Original Classical Chinese collected from the received Liezi tradition and cross-checked against Chinese Text Project chapter structure. Vietnamese is Selflo working translation; not a published translation.</x:t>
        </x:is>
      </x:c>
      <x:c r="Z435" s="81" t="inlineStr">
        <x:is>
          <x:t xml:space="preserve">Public domain ancient text / edition terms to verify</x:t>
        </x:is>
      </x:c>
      <x:c r="AA435" s="81" t="inlineStr">
        <x:is>
          <x:t xml:space="preserve">Ancient text is public domain; do not copy modern copyrighted translations/commentaries. Attribution and textual history require editorial caution.</x:t>
        </x:is>
      </x:c>
      <x:c r="AB435" s="81" t="inlineStr">
        <x:is>
          <x:t xml:space="preserve">Medium</x:t>
        </x:is>
      </x:c>
      <x:c r="AC435" s="81" t="inlineStr">
        <x:is>
          <x:t xml:space="preserve">Philosophically contested.</x:t>
        </x:is>
      </x:c>
      <x:c r="AD435" s="81" t="inlineStr">
        <x:is>
          <x:t xml:space="preserve">Needs editorial review</x:t>
        </x:is>
      </x:c>
      <x:c r="AE435" s="81" t="inlineStr">
        <x:is>
          <x:t xml:space="preserve">Needs semantic dedupe review</x:t>
        </x:is>
      </x:c>
      <x:c r="AF435" s="81" t="str"/>
      <x:c r="AG435" s="81" t="str"/>
      <x:c r="AH435" s="81" t="inlineStr">
        <x:is>
          <x:t xml:space="preserve">No</x:t>
        </x:is>
      </x:c>
      <x:c r="AI435" s="81" t="inlineStr">
        <x:is>
          <x:t xml:space="preserve">Not reviewed</x:t>
        </x:is>
      </x:c>
      <x:c r="AJ435" s="81" t="inlineStr">
        <x:is>
          <x:t xml:space="preserve">Research only</x:t>
        </x:is>
      </x:c>
      <x:c r="AK435" s="81" t="inlineStr">
        <x:is>
          <x:t xml:space="preserve">Research Pool</x:t>
        </x:is>
      </x:c>
      <x:c r="AL435" s="81" t="n">
        <x:v>5</x:v>
      </x:c>
      <x:c r="AM435" s="81" t="inlineStr">
        <x:is>
          <x:t xml:space="preserve">ChatGPT research</x:t>
        </x:is>
      </x:c>
      <x:c r="AN435" s="81" t="inlineStr">
        <x:is>
          <x:t xml:space="preserve">2026-09-18</x:t>
        </x:is>
      </x:c>
      <x:c r="AO435" s="81" t="inlineStr">
        <x:is>
          <x:t xml:space="preserve">Day 5 full-scope first-pass audit of all 8 Liezi chapters.</x:t>
        </x:is>
      </x:c>
    </x:row>
    <x:row r="436">
      <x:c r="A436" s="81" t="inlineStr">
        <x:is>
          <x:t xml:space="preserve">research.liezi.day5.ch07.058</x:t>
        </x:is>
      </x:c>
      <x:c r="B436" s="81" t="inlineStr">
        <x:is>
          <x:t xml:space="preserve">Collected</x:t>
        </x:is>
      </x:c>
      <x:c r="C436" s="81" t="inlineStr">
        <x:is>
          <x:t xml:space="preserve">Nội tâm &amp; hiểu mình</x:t>
        </x:is>
      </x:c>
      <x:c r="D436" s="81" t="inlineStr">
        <x:is>
          <x:t xml:space="preserve">Day 5 / Liezi — full 8 chapters</x:t>
        </x:is>
      </x:c>
      <x:c r="E436" s="81" t="str"/>
      <x:c r="F436" s="81" t="inlineStr">
        <x:is>
          <x:t xml:space="preserve">Danh tiếng có thể tồn tại mà không cần cai trị lựa chọn</x:t>
        </x:is>
      </x:c>
      <x:c r="G436" s="81" t="inlineStr">
        <x:is>
          <x:t xml:space="preserve">Identity</x:t>
        </x:is>
      </x:c>
      <x:c r="H436" s="81" t="str"/>
      <x:c r="I436" s="81" t="str"/>
      <x:c r="J436" s="81" t="str"/>
      <x:c r="K436" s="81" t="inlineStr">
        <x:is>
          <x:t xml:space="preserve">Open question</x:t>
        </x:is>
      </x:c>
      <x:c r="L436" s="81" t="inlineStr">
        <x:is>
          <x:t xml:space="preserve">Recognize</x:t>
        </x:is>
      </x:c>
      <x:c r="M436" s="81" t="inlineStr">
        <x:is>
          <x:t xml:space="preserve">Trích đoạn triết học / 寓言</x:t>
        </x:is>
      </x:c>
      <x:c r="N436" s="81" t="inlineStr">
        <x:is>
          <x:t xml:space="preserve">名固不可去，名固不可賓邪？</x:t>
        </x:is>
      </x:c>
      <x:c r="O436" s="81" t="inlineStr">
        <x:is>
          <x:t xml:space="preserve">Classical Chinese (文言文)</x:t>
        </x:is>
      </x:c>
      <x:c r="P436" s="81" t="inlineStr">
        <x:is>
          <x:t xml:space="preserve">Danh tiếng khó bỏ, nhưng có nên để nó làm chủ không?</x:t>
        </x:is>
      </x:c>
      <x:c r="Q436" s="81" t="inlineStr">
        <x:is>
          <x:t xml:space="preserve">Liezi / 列子 (received text; attribution debated)</x:t>
        </x:is>
      </x:c>
      <x:c r="R436" s="81" t="inlineStr">
        <x:is>
          <x:t xml:space="preserve">Daoist / China</x:t>
        </x:is>
      </x:c>
      <x:c r="S436" s="81" t="inlineStr">
        <x:is>
          <x:t xml:space="preserve">列子 / Liezi</x:t>
        </x:is>
      </x:c>
      <x:c r="T436" s="81" t="inlineStr">
        <x:is>
          <x:t xml:space="preserve">Chapter 7 — 楊朱</x:t>
        </x:is>
      </x:c>
      <x:c r="U436" s="81" t="inlineStr">
        <x:is>
          <x:t xml:space="preserve">https://ctext.org/liezi/zh</x:t>
        </x:is>
      </x:c>
      <x:c r="V436" s="81" t="inlineStr">
        <x:is>
          <x:t xml:space="preserve">Primary text / digital corpus</x:t>
        </x:is>
      </x:c>
      <x:c r="W436" s="81" t="inlineStr">
        <x:is>
          <x:t xml:space="preserve">Working translation</x:t>
        </x:is>
      </x:c>
      <x:c r="X436" s="81" t="inlineStr">
        <x:is>
          <x:t xml:space="preserve">A - Primary source</x:t>
        </x:is>
      </x:c>
      <x:c r="Y436" s="81" t="inlineStr">
        <x:is>
          <x:t xml:space="preserve">Original Classical Chinese collected from the received Liezi tradition and cross-checked against Chinese Text Project chapter structure. Vietnamese is Selflo working translation; not a published translation.</x:t>
        </x:is>
      </x:c>
      <x:c r="Z436" s="81" t="inlineStr">
        <x:is>
          <x:t xml:space="preserve">Public domain ancient text / edition terms to verify</x:t>
        </x:is>
      </x:c>
      <x:c r="AA436" s="81" t="inlineStr">
        <x:is>
          <x:t xml:space="preserve">Ancient text is public domain; do not copy modern copyrighted translations/commentaries. Attribution and textual history require editorial caution.</x:t>
        </x:is>
      </x:c>
      <x:c r="AB436" s="81" t="inlineStr">
        <x:is>
          <x:t xml:space="preserve">High</x:t>
        </x:is>
      </x:c>
      <x:c r="AC436" s="81" t="inlineStr">
        <x:is>
          <x:t xml:space="preserve">Good Selflo.</x:t>
        </x:is>
      </x:c>
      <x:c r="AD436" s="81" t="inlineStr">
        <x:is>
          <x:t xml:space="preserve">Needs editorial review</x:t>
        </x:is>
      </x:c>
      <x:c r="AE436" s="81" t="inlineStr">
        <x:is>
          <x:t xml:space="preserve">Needs semantic dedupe review</x:t>
        </x:is>
      </x:c>
      <x:c r="AF436" s="81" t="str"/>
      <x:c r="AG436" s="81" t="str"/>
      <x:c r="AH436" s="81" t="inlineStr">
        <x:is>
          <x:t xml:space="preserve">No</x:t>
        </x:is>
      </x:c>
      <x:c r="AI436" s="81" t="inlineStr">
        <x:is>
          <x:t xml:space="preserve">Not reviewed</x:t>
        </x:is>
      </x:c>
      <x:c r="AJ436" s="81" t="inlineStr">
        <x:is>
          <x:t xml:space="preserve">Research only</x:t>
        </x:is>
      </x:c>
      <x:c r="AK436" s="81" t="inlineStr">
        <x:is>
          <x:t xml:space="preserve">Research Pool</x:t>
        </x:is>
      </x:c>
      <x:c r="AL436" s="81" t="n">
        <x:v>5</x:v>
      </x:c>
      <x:c r="AM436" s="81" t="inlineStr">
        <x:is>
          <x:t xml:space="preserve">ChatGPT research</x:t>
        </x:is>
      </x:c>
      <x:c r="AN436" s="81" t="inlineStr">
        <x:is>
          <x:t xml:space="preserve">2026-09-18</x:t>
        </x:is>
      </x:c>
      <x:c r="AO436" s="81" t="inlineStr">
        <x:is>
          <x:t xml:space="preserve">Day 5 full-scope first-pass audit of all 8 Liezi chapters.</x:t>
        </x:is>
      </x:c>
    </x:row>
    <x:row r="437">
      <x:c r="A437" s="81" t="inlineStr">
        <x:is>
          <x:t xml:space="preserve">research.liezi.day5.ch07.059</x:t>
        </x:is>
      </x:c>
      <x:c r="B437" s="81" t="inlineStr">
        <x:is>
          <x:t xml:space="preserve">Collected</x:t>
        </x:is>
      </x:c>
      <x:c r="C437" s="81" t="inlineStr">
        <x:is>
          <x:t xml:space="preserve">Nội tâm &amp; hiểu mình</x:t>
        </x:is>
      </x:c>
      <x:c r="D437" s="81" t="inlineStr">
        <x:is>
          <x:t xml:space="preserve">Day 5 / Liezi — full 8 chapters</x:t>
        </x:is>
      </x:c>
      <x:c r="E437" s="81" t="str"/>
      <x:c r="F437" s="81" t="inlineStr">
        <x:is>
          <x:t xml:space="preserve">Danh tiếng/nhãn không phải thực chất</x:t>
        </x:is>
      </x:c>
      <x:c r="G437" s="81" t="inlineStr">
        <x:is>
          <x:t xml:space="preserve">Identity</x:t>
        </x:is>
      </x:c>
      <x:c r="H437" s="81" t="str"/>
      <x:c r="I437" s="81" t="str"/>
      <x:c r="J437" s="81" t="str"/>
      <x:c r="K437" s="81" t="inlineStr">
        <x:is>
          <x:t xml:space="preserve">Distinguish</x:t>
        </x:is>
      </x:c>
      <x:c r="L437" s="81" t="inlineStr">
        <x:is>
          <x:t xml:space="preserve">Recognize</x:t>
        </x:is>
      </x:c>
      <x:c r="M437" s="81" t="inlineStr">
        <x:is>
          <x:t xml:space="preserve">Trích đoạn triết học / 寓言</x:t>
        </x:is>
      </x:c>
      <x:c r="N437" s="81" t="inlineStr">
        <x:is>
          <x:t xml:space="preserve">實無名，名無實。</x:t>
        </x:is>
      </x:c>
      <x:c r="O437" s="81" t="inlineStr">
        <x:is>
          <x:t xml:space="preserve">Classical Chinese (文言文)</x:t>
        </x:is>
      </x:c>
      <x:c r="P437" s="81" t="inlineStr">
        <x:is>
          <x:t xml:space="preserve">Cái thực và cái danh có thể tách nhau.</x:t>
        </x:is>
      </x:c>
      <x:c r="Q437" s="81" t="inlineStr">
        <x:is>
          <x:t xml:space="preserve">Liezi / 列子 (received text; attribution debated)</x:t>
        </x:is>
      </x:c>
      <x:c r="R437" s="81" t="inlineStr">
        <x:is>
          <x:t xml:space="preserve">Daoist / China</x:t>
        </x:is>
      </x:c>
      <x:c r="S437" s="81" t="inlineStr">
        <x:is>
          <x:t xml:space="preserve">列子 / Liezi</x:t>
        </x:is>
      </x:c>
      <x:c r="T437" s="81" t="inlineStr">
        <x:is>
          <x:t xml:space="preserve">Chapter 7 — 楊朱</x:t>
        </x:is>
      </x:c>
      <x:c r="U437" s="81" t="inlineStr">
        <x:is>
          <x:t xml:space="preserve">https://ctext.org/liezi/zh</x:t>
        </x:is>
      </x:c>
      <x:c r="V437" s="81" t="inlineStr">
        <x:is>
          <x:t xml:space="preserve">Primary text / digital corpus</x:t>
        </x:is>
      </x:c>
      <x:c r="W437" s="81" t="inlineStr">
        <x:is>
          <x:t xml:space="preserve">Working translation</x:t>
        </x:is>
      </x:c>
      <x:c r="X437" s="81" t="inlineStr">
        <x:is>
          <x:t xml:space="preserve">A - Primary source</x:t>
        </x:is>
      </x:c>
      <x:c r="Y437" s="81" t="inlineStr">
        <x:is>
          <x:t xml:space="preserve">Original Classical Chinese collected from the received Liezi tradition and cross-checked against Chinese Text Project chapter structure. Vietnamese is Selflo working translation; not a published translation.</x:t>
        </x:is>
      </x:c>
      <x:c r="Z437" s="81" t="inlineStr">
        <x:is>
          <x:t xml:space="preserve">Public domain ancient text / edition terms to verify</x:t>
        </x:is>
      </x:c>
      <x:c r="AA437" s="81" t="inlineStr">
        <x:is>
          <x:t xml:space="preserve">Ancient text is public domain; do not copy modern copyrighted translations/commentaries. Attribution and textual history require editorial caution.</x:t>
        </x:is>
      </x:c>
      <x:c r="AB437" s="81" t="inlineStr">
        <x:is>
          <x:t xml:space="preserve">High</x:t>
        </x:is>
      </x:c>
      <x:c r="AC437" s="81" t="inlineStr">
        <x:is>
          <x:t xml:space="preserve">Strong.</x:t>
        </x:is>
      </x:c>
      <x:c r="AD437" s="81" t="inlineStr">
        <x:is>
          <x:t xml:space="preserve">Needs editorial review</x:t>
        </x:is>
      </x:c>
      <x:c r="AE437" s="81" t="inlineStr">
        <x:is>
          <x:t xml:space="preserve">Needs semantic dedupe review</x:t>
        </x:is>
      </x:c>
      <x:c r="AF437" s="81" t="str"/>
      <x:c r="AG437" s="81" t="str"/>
      <x:c r="AH437" s="81" t="inlineStr">
        <x:is>
          <x:t xml:space="preserve">No</x:t>
        </x:is>
      </x:c>
      <x:c r="AI437" s="81" t="inlineStr">
        <x:is>
          <x:t xml:space="preserve">Not reviewed</x:t>
        </x:is>
      </x:c>
      <x:c r="AJ437" s="81" t="inlineStr">
        <x:is>
          <x:t xml:space="preserve">Research only</x:t>
        </x:is>
      </x:c>
      <x:c r="AK437" s="81" t="inlineStr">
        <x:is>
          <x:t xml:space="preserve">Research Pool</x:t>
        </x:is>
      </x:c>
      <x:c r="AL437" s="81" t="n">
        <x:v>5</x:v>
      </x:c>
      <x:c r="AM437" s="81" t="inlineStr">
        <x:is>
          <x:t xml:space="preserve">ChatGPT research</x:t>
        </x:is>
      </x:c>
      <x:c r="AN437" s="81" t="inlineStr">
        <x:is>
          <x:t xml:space="preserve">2026-09-18</x:t>
        </x:is>
      </x:c>
      <x:c r="AO437" s="81" t="inlineStr">
        <x:is>
          <x:t xml:space="preserve">Day 5 full-scope first-pass audit of all 8 Liezi chapters.</x:t>
        </x:is>
      </x:c>
    </x:row>
    <x:row r="438">
      <x:c r="A438" s="81" t="inlineStr">
        <x:is>
          <x:t xml:space="preserve">research.liezi.day5.ch07.060</x:t>
        </x:is>
      </x:c>
      <x:c r="B438" s="81" t="inlineStr">
        <x:is>
          <x:t xml:space="preserve">Collected</x:t>
        </x:is>
      </x:c>
      <x:c r="C438" s="81" t="inlineStr">
        <x:is>
          <x:t xml:space="preserve">Công việc &amp; mục đích</x:t>
        </x:is>
      </x:c>
      <x:c r="D438" s="81" t="inlineStr">
        <x:is>
          <x:t xml:space="preserve">Day 5 / Liezi — full 8 chapters</x:t>
        </x:is>
      </x:c>
      <x:c r="E438" s="81" t="str"/>
      <x:c r="F438" s="81" t="inlineStr">
        <x:is>
          <x:t xml:space="preserve">Những mục tiêu xã hội có thể chiếm hết khoảng nghỉ</x:t>
        </x:is>
      </x:c>
      <x:c r="G438" s="81" t="inlineStr">
        <x:is>
          <x:t xml:space="preserve">Rest</x:t>
        </x:is>
      </x:c>
      <x:c r="H438" s="81" t="str"/>
      <x:c r="I438" s="81" t="str"/>
      <x:c r="J438" s="81" t="str"/>
      <x:c r="K438" s="81" t="inlineStr">
        <x:is>
          <x:t xml:space="preserve">Name</x:t>
        </x:is>
      </x:c>
      <x:c r="L438" s="81" t="inlineStr">
        <x:is>
          <x:t xml:space="preserve">Recognize</x:t>
        </x:is>
      </x:c>
      <x:c r="M438" s="81" t="inlineStr">
        <x:is>
          <x:t xml:space="preserve">Trích đoạn triết học / 寓言</x:t>
        </x:is>
      </x:c>
      <x:c r="N438" s="81" t="inlineStr">
        <x:is>
          <x:t xml:space="preserve">生民之不得休息，為四事故：一為壽，二為名，三為位，四為貨。</x:t>
        </x:is>
      </x:c>
      <x:c r="O438" s="81" t="inlineStr">
        <x:is>
          <x:t xml:space="preserve">Classical Chinese (文言文)</x:t>
        </x:is>
      </x:c>
      <x:c r="P438" s="81" t="inlineStr">
        <x:is>
          <x:t xml:space="preserve">Văn bản cho rằng con người khó nghỉ vì bị kéo bởi sống lâu, danh, vị và của.</x:t>
        </x:is>
      </x:c>
      <x:c r="Q438" s="81" t="inlineStr">
        <x:is>
          <x:t xml:space="preserve">Liezi / 列子 (received text; attribution debated)</x:t>
        </x:is>
      </x:c>
      <x:c r="R438" s="81" t="inlineStr">
        <x:is>
          <x:t xml:space="preserve">Daoist / China</x:t>
        </x:is>
      </x:c>
      <x:c r="S438" s="81" t="inlineStr">
        <x:is>
          <x:t xml:space="preserve">列子 / Liezi</x:t>
        </x:is>
      </x:c>
      <x:c r="T438" s="81" t="inlineStr">
        <x:is>
          <x:t xml:space="preserve">Chapter 7 — 楊朱</x:t>
        </x:is>
      </x:c>
      <x:c r="U438" s="81" t="inlineStr">
        <x:is>
          <x:t xml:space="preserve">https://ctext.org/liezi/zh</x:t>
        </x:is>
      </x:c>
      <x:c r="V438" s="81" t="inlineStr">
        <x:is>
          <x:t xml:space="preserve">Primary text / digital corpus</x:t>
        </x:is>
      </x:c>
      <x:c r="W438" s="81" t="inlineStr">
        <x:is>
          <x:t xml:space="preserve">Working translation</x:t>
        </x:is>
      </x:c>
      <x:c r="X438" s="81" t="inlineStr">
        <x:is>
          <x:t xml:space="preserve">A - Primary source</x:t>
        </x:is>
      </x:c>
      <x:c r="Y438" s="81" t="inlineStr">
        <x:is>
          <x:t xml:space="preserve">Original Classical Chinese collected from the received Liezi tradition and cross-checked against Chinese Text Project chapter structure. Vietnamese is Selflo working translation; not a published translation.</x:t>
        </x:is>
      </x:c>
      <x:c r="Z438" s="81" t="inlineStr">
        <x:is>
          <x:t xml:space="preserve">Public domain ancient text / edition terms to verify</x:t>
        </x:is>
      </x:c>
      <x:c r="AA438" s="81" t="inlineStr">
        <x:is>
          <x:t xml:space="preserve">Ancient text is public domain; do not copy modern copyrighted translations/commentaries. Attribution and textual history require editorial caution.</x:t>
        </x:is>
      </x:c>
      <x:c r="AB438" s="81" t="inlineStr">
        <x:is>
          <x:t xml:space="preserve">High</x:t>
        </x:is>
      </x:c>
      <x:c r="AC438" s="81" t="inlineStr">
        <x:is>
          <x:t xml:space="preserve">Excellent work/life.</x:t>
        </x:is>
      </x:c>
      <x:c r="AD438" s="81" t="inlineStr">
        <x:is>
          <x:t xml:space="preserve">Needs editorial review</x:t>
        </x:is>
      </x:c>
      <x:c r="AE438" s="81" t="inlineStr">
        <x:is>
          <x:t xml:space="preserve">Needs semantic dedupe review</x:t>
        </x:is>
      </x:c>
      <x:c r="AF438" s="81" t="str"/>
      <x:c r="AG438" s="81" t="str"/>
      <x:c r="AH438" s="81" t="inlineStr">
        <x:is>
          <x:t xml:space="preserve">No</x:t>
        </x:is>
      </x:c>
      <x:c r="AI438" s="81" t="inlineStr">
        <x:is>
          <x:t xml:space="preserve">Not reviewed</x:t>
        </x:is>
      </x:c>
      <x:c r="AJ438" s="81" t="inlineStr">
        <x:is>
          <x:t xml:space="preserve">Research only</x:t>
        </x:is>
      </x:c>
      <x:c r="AK438" s="81" t="inlineStr">
        <x:is>
          <x:t xml:space="preserve">Research Pool</x:t>
        </x:is>
      </x:c>
      <x:c r="AL438" s="81" t="n">
        <x:v>5</x:v>
      </x:c>
      <x:c r="AM438" s="81" t="inlineStr">
        <x:is>
          <x:t xml:space="preserve">ChatGPT research</x:t>
        </x:is>
      </x:c>
      <x:c r="AN438" s="81" t="inlineStr">
        <x:is>
          <x:t xml:space="preserve">2026-09-18</x:t>
        </x:is>
      </x:c>
      <x:c r="AO438" s="81" t="inlineStr">
        <x:is>
          <x:t xml:space="preserve">Day 5 full-scope first-pass audit of all 8 Liezi chapters.</x:t>
        </x:is>
      </x:c>
    </x:row>
    <x:row r="439">
      <x:c r="A439" s="81" t="inlineStr">
        <x:is>
          <x:t xml:space="preserve">research.liezi.day5.ch07.061</x:t>
        </x:is>
      </x:c>
      <x:c r="B439" s="81" t="inlineStr">
        <x:is>
          <x:t xml:space="preserve">Collected</x:t>
        </x:is>
      </x:c>
      <x:c r="C439" s="81" t="inlineStr">
        <x:is>
          <x:t xml:space="preserve">Nghỉ ngơi &amp; sức khỏe tinh thần</x:t>
        </x:is>
      </x:c>
      <x:c r="D439" s="81" t="inlineStr">
        <x:is>
          <x:t xml:space="preserve">Day 5 / Liezi — full 8 chapters</x:t>
        </x:is>
      </x:c>
      <x:c r="E439" s="81" t="str"/>
      <x:c r="F439" s="81" t="inlineStr">
        <x:is>
          <x:t xml:space="preserve">Điều mình bám vào có thể tạo thêm nỗi sợ mất nó</x:t>
        </x:is>
      </x:c>
      <x:c r="G439" s="81" t="inlineStr">
        <x:is>
          <x:t xml:space="preserve">Fear</x:t>
        </x:is>
      </x:c>
      <x:c r="H439" s="81" t="str"/>
      <x:c r="I439" s="81" t="str"/>
      <x:c r="J439" s="81" t="str"/>
      <x:c r="K439" s="81" t="inlineStr">
        <x:is>
          <x:t xml:space="preserve">Recognize</x:t>
        </x:is>
      </x:c>
      <x:c r="L439" s="81" t="inlineStr">
        <x:is>
          <x:t xml:space="preserve">Distinguish</x:t>
        </x:is>
      </x:c>
      <x:c r="M439" s="81" t="inlineStr">
        <x:is>
          <x:t xml:space="preserve">Trích đoạn triết học / 寓言</x:t>
        </x:is>
      </x:c>
      <x:c r="N439" s="81" t="inlineStr">
        <x:is>
          <x:t xml:space="preserve">有此四者，畏鬼，畏人，畏威，畏刑。</x:t>
        </x:is>
      </x:c>
      <x:c r="O439" s="81" t="inlineStr">
        <x:is>
          <x:t xml:space="preserve">Classical Chinese (文言文)</x:t>
        </x:is>
      </x:c>
      <x:c r="P439" s="81" t="inlineStr">
        <x:is>
          <x:t xml:space="preserve">Khi bị các mục tiêu ấy trói, nỗi sợ cũng tăng theo.</x:t>
        </x:is>
      </x:c>
      <x:c r="Q439" s="81" t="inlineStr">
        <x:is>
          <x:t xml:space="preserve">Liezi / 列子 (received text; attribution debated)</x:t>
        </x:is>
      </x:c>
      <x:c r="R439" s="81" t="inlineStr">
        <x:is>
          <x:t xml:space="preserve">Daoist / China</x:t>
        </x:is>
      </x:c>
      <x:c r="S439" s="81" t="inlineStr">
        <x:is>
          <x:t xml:space="preserve">列子 / Liezi</x:t>
        </x:is>
      </x:c>
      <x:c r="T439" s="81" t="inlineStr">
        <x:is>
          <x:t xml:space="preserve">Chapter 7 — 楊朱</x:t>
        </x:is>
      </x:c>
      <x:c r="U439" s="81" t="inlineStr">
        <x:is>
          <x:t xml:space="preserve">https://ctext.org/liezi/zh</x:t>
        </x:is>
      </x:c>
      <x:c r="V439" s="81" t="inlineStr">
        <x:is>
          <x:t xml:space="preserve">Primary text / digital corpus</x:t>
        </x:is>
      </x:c>
      <x:c r="W439" s="81" t="inlineStr">
        <x:is>
          <x:t xml:space="preserve">Working translation</x:t>
        </x:is>
      </x:c>
      <x:c r="X439" s="81" t="inlineStr">
        <x:is>
          <x:t xml:space="preserve">A - Primary source</x:t>
        </x:is>
      </x:c>
      <x:c r="Y439" s="81" t="inlineStr">
        <x:is>
          <x:t xml:space="preserve">Original Classical Chinese collected from the received Liezi tradition and cross-checked against Chinese Text Project chapter structure. Vietnamese is Selflo working translation; not a published translation.</x:t>
        </x:is>
      </x:c>
      <x:c r="Z439" s="81" t="inlineStr">
        <x:is>
          <x:t xml:space="preserve">Public domain ancient text / edition terms to verify</x:t>
        </x:is>
      </x:c>
      <x:c r="AA439" s="81" t="inlineStr">
        <x:is>
          <x:t xml:space="preserve">Ancient text is public domain; do not copy modern copyrighted translations/commentaries. Attribution and textual history require editorial caution.</x:t>
        </x:is>
      </x:c>
      <x:c r="AB439" s="81" t="inlineStr">
        <x:is>
          <x:t xml:space="preserve">Medium</x:t>
        </x:is>
      </x:c>
      <x:c r="AC439" s="81" t="inlineStr">
        <x:is>
          <x:t xml:space="preserve">Ancient framing.</x:t>
        </x:is>
      </x:c>
      <x:c r="AD439" s="81" t="inlineStr">
        <x:is>
          <x:t xml:space="preserve">Needs editorial review</x:t>
        </x:is>
      </x:c>
      <x:c r="AE439" s="81" t="inlineStr">
        <x:is>
          <x:t xml:space="preserve">Needs semantic dedupe review</x:t>
        </x:is>
      </x:c>
      <x:c r="AF439" s="81" t="str"/>
      <x:c r="AG439" s="81" t="str"/>
      <x:c r="AH439" s="81" t="inlineStr">
        <x:is>
          <x:t xml:space="preserve">No</x:t>
        </x:is>
      </x:c>
      <x:c r="AI439" s="81" t="inlineStr">
        <x:is>
          <x:t xml:space="preserve">Not reviewed</x:t>
        </x:is>
      </x:c>
      <x:c r="AJ439" s="81" t="inlineStr">
        <x:is>
          <x:t xml:space="preserve">Research only</x:t>
        </x:is>
      </x:c>
      <x:c r="AK439" s="81" t="inlineStr">
        <x:is>
          <x:t xml:space="preserve">Research Pool</x:t>
        </x:is>
      </x:c>
      <x:c r="AL439" s="81" t="n">
        <x:v>5</x:v>
      </x:c>
      <x:c r="AM439" s="81" t="inlineStr">
        <x:is>
          <x:t xml:space="preserve">ChatGPT research</x:t>
        </x:is>
      </x:c>
      <x:c r="AN439" s="81" t="inlineStr">
        <x:is>
          <x:t xml:space="preserve">2026-09-18</x:t>
        </x:is>
      </x:c>
      <x:c r="AO439" s="81" t="inlineStr">
        <x:is>
          <x:t xml:space="preserve">Day 5 full-scope first-pass audit of all 8 Liezi chapters.</x:t>
        </x:is>
      </x:c>
    </x:row>
    <x:row r="440">
      <x:c r="A440" s="81" t="inlineStr">
        <x:is>
          <x:t xml:space="preserve">research.liezi.day5.ch07.062</x:t>
        </x:is>
      </x:c>
      <x:c r="B440" s="81" t="inlineStr">
        <x:is>
          <x:t xml:space="preserve">Collected</x:t>
        </x:is>
      </x:c>
      <x:c r="C440" s="81" t="inlineStr">
        <x:is>
          <x:t xml:space="preserve">Nội tâm &amp; hiểu mình</x:t>
        </x:is>
      </x:c>
      <x:c r="D440" s="81" t="inlineStr">
        <x:is>
          <x:t xml:space="preserve">Day 5 / Liezi — full 8 chapters</x:t>
        </x:is>
      </x:c>
      <x:c r="E440" s="81" t="str"/>
      <x:c r="F440" s="81" t="inlineStr">
        <x:is>
          <x:t xml:space="preserve">Thước đo mình chọn định hình điều mình thèm muốn</x:t>
        </x:is>
      </x:c>
      <x:c r="G440" s="81" t="inlineStr">
        <x:is>
          <x:t xml:space="preserve">Values</x:t>
        </x:is>
      </x:c>
      <x:c r="H440" s="81" t="str"/>
      <x:c r="I440" s="81" t="str"/>
      <x:c r="J440" s="81" t="str"/>
      <x:c r="K440" s="81" t="inlineStr">
        <x:is>
          <x:t xml:space="preserve">Reframe</x:t>
        </x:is>
      </x:c>
      <x:c r="L440" s="81" t="inlineStr">
        <x:is>
          <x:t xml:space="preserve">Recognize</x:t>
        </x:is>
      </x:c>
      <x:c r="M440" s="81" t="inlineStr">
        <x:is>
          <x:t xml:space="preserve">Trích đoạn triết học / 寓言</x:t>
        </x:is>
      </x:c>
      <x:c r="N440" s="81" t="inlineStr">
        <x:is>
          <x:t xml:space="preserve">不逆命，何羨壽？不矜貴，何羨名？</x:t>
        </x:is>
      </x:c>
      <x:c r="O440" s="81" t="inlineStr">
        <x:is>
          <x:t xml:space="preserve">Classical Chinese (文言文)</x:t>
        </x:is>
      </x:c>
      <x:c r="P440" s="81" t="inlineStr">
        <x:is>
          <x:t xml:space="preserve">Nếu không lấy tuổi thọ hay địa vị làm thước đo tuyệt đối, sự so sánh có thể bớt quyền lực.</x:t>
        </x:is>
      </x:c>
      <x:c r="Q440" s="81" t="inlineStr">
        <x:is>
          <x:t xml:space="preserve">Liezi / 列子 (received text; attribution debated)</x:t>
        </x:is>
      </x:c>
      <x:c r="R440" s="81" t="inlineStr">
        <x:is>
          <x:t xml:space="preserve">Daoist / China</x:t>
        </x:is>
      </x:c>
      <x:c r="S440" s="81" t="inlineStr">
        <x:is>
          <x:t xml:space="preserve">列子 / Liezi</x:t>
        </x:is>
      </x:c>
      <x:c r="T440" s="81" t="inlineStr">
        <x:is>
          <x:t xml:space="preserve">Chapter 7 — 楊朱</x:t>
        </x:is>
      </x:c>
      <x:c r="U440" s="81" t="inlineStr">
        <x:is>
          <x:t xml:space="preserve">https://ctext.org/liezi/zh</x:t>
        </x:is>
      </x:c>
      <x:c r="V440" s="81" t="inlineStr">
        <x:is>
          <x:t xml:space="preserve">Primary text / digital corpus</x:t>
        </x:is>
      </x:c>
      <x:c r="W440" s="81" t="inlineStr">
        <x:is>
          <x:t xml:space="preserve">Working translation</x:t>
        </x:is>
      </x:c>
      <x:c r="X440" s="81" t="inlineStr">
        <x:is>
          <x:t xml:space="preserve">A - Primary source</x:t>
        </x:is>
      </x:c>
      <x:c r="Y440" s="81" t="inlineStr">
        <x:is>
          <x:t xml:space="preserve">Original Classical Chinese collected from the received Liezi tradition and cross-checked against Chinese Text Project chapter structure. Vietnamese is Selflo working translation; not a published translation.</x:t>
        </x:is>
      </x:c>
      <x:c r="Z440" s="81" t="inlineStr">
        <x:is>
          <x:t xml:space="preserve">Public domain ancient text / edition terms to verify</x:t>
        </x:is>
      </x:c>
      <x:c r="AA440" s="81" t="inlineStr">
        <x:is>
          <x:t xml:space="preserve">Ancient text is public domain; do not copy modern copyrighted translations/commentaries. Attribution and textual history require editorial caution.</x:t>
        </x:is>
      </x:c>
      <x:c r="AB440" s="81" t="inlineStr">
        <x:is>
          <x:t xml:space="preserve">Medium</x:t>
        </x:is>
      </x:c>
      <x:c r="AC440" s="81" t="inlineStr">
        <x:is>
          <x:t xml:space="preserve">Avoid fatalism.</x:t>
        </x:is>
      </x:c>
      <x:c r="AD440" s="81" t="inlineStr">
        <x:is>
          <x:t xml:space="preserve">Needs editorial review</x:t>
        </x:is>
      </x:c>
      <x:c r="AE440" s="81" t="inlineStr">
        <x:is>
          <x:t xml:space="preserve">Needs semantic dedupe review</x:t>
        </x:is>
      </x:c>
      <x:c r="AF440" s="81" t="str"/>
      <x:c r="AG440" s="81" t="str"/>
      <x:c r="AH440" s="81" t="inlineStr">
        <x:is>
          <x:t xml:space="preserve">No</x:t>
        </x:is>
      </x:c>
      <x:c r="AI440" s="81" t="inlineStr">
        <x:is>
          <x:t xml:space="preserve">Not reviewed</x:t>
        </x:is>
      </x:c>
      <x:c r="AJ440" s="81" t="inlineStr">
        <x:is>
          <x:t xml:space="preserve">Research only</x:t>
        </x:is>
      </x:c>
      <x:c r="AK440" s="81" t="inlineStr">
        <x:is>
          <x:t xml:space="preserve">Research Pool</x:t>
        </x:is>
      </x:c>
      <x:c r="AL440" s="81" t="n">
        <x:v>5</x:v>
      </x:c>
      <x:c r="AM440" s="81" t="inlineStr">
        <x:is>
          <x:t xml:space="preserve">ChatGPT research</x:t>
        </x:is>
      </x:c>
      <x:c r="AN440" s="81" t="inlineStr">
        <x:is>
          <x:t xml:space="preserve">2026-09-18</x:t>
        </x:is>
      </x:c>
      <x:c r="AO440" s="81" t="inlineStr">
        <x:is>
          <x:t xml:space="preserve">Day 5 full-scope first-pass audit of all 8 Liezi chapters.</x:t>
        </x:is>
      </x:c>
    </x:row>
    <x:row r="441">
      <x:c r="A441" s="81" t="inlineStr">
        <x:is>
          <x:t xml:space="preserve">research.liezi.day5.ch08.063</x:t>
        </x:is>
      </x:c>
      <x:c r="B441" s="81" t="inlineStr">
        <x:is>
          <x:t xml:space="preserve">Collected</x:t>
        </x:is>
      </x:c>
      <x:c r="C441" s="81" t="inlineStr">
        <x:is>
          <x:t xml:space="preserve">Nội tâm &amp; hiểu mình</x:t>
        </x:is>
      </x:c>
      <x:c r="D441" s="81" t="inlineStr">
        <x:is>
          <x:t xml:space="preserve">Day 5 / Liezi — full 8 chapters</x:t>
        </x:is>
      </x:c>
      <x:c r="E441" s="81" t="str"/>
      <x:c r="F441" s="81" t="inlineStr">
        <x:is>
          <x:t xml:space="preserve">Đừng chỉ sửa phần bóng khi nguyên nhân nằm ở phần tạo bóng</x:t>
        </x:is>
      </x:c>
      <x:c r="G441" s="81" t="inlineStr">
        <x:is>
          <x:t xml:space="preserve">Systems</x:t>
        </x:is>
      </x:c>
      <x:c r="H441" s="81" t="str"/>
      <x:c r="I441" s="81" t="str"/>
      <x:c r="J441" s="81" t="str"/>
      <x:c r="K441" s="81" t="inlineStr">
        <x:is>
          <x:t xml:space="preserve">Reframe</x:t>
        </x:is>
      </x:c>
      <x:c r="L441" s="81" t="inlineStr">
        <x:is>
          <x:t xml:space="preserve">Recognize</x:t>
        </x:is>
      </x:c>
      <x:c r="M441" s="81" t="inlineStr">
        <x:is>
          <x:t xml:space="preserve">Trích đoạn triết học / 寓言</x:t>
        </x:is>
      </x:c>
      <x:c r="N441" s="81" t="inlineStr">
        <x:is>
          <x:t xml:space="preserve">形枉則影曲，形直則影正。</x:t>
        </x:is>
      </x:c>
      <x:c r="O441" s="81" t="inlineStr">
        <x:is>
          <x:t xml:space="preserve">Classical Chinese (文言文)</x:t>
        </x:is>
      </x:c>
      <x:c r="P441" s="81" t="inlineStr">
        <x:is>
          <x:t xml:space="preserve">Hình cong thì bóng cong; hình thẳng thì bóng thẳng.</x:t>
        </x:is>
      </x:c>
      <x:c r="Q441" s="81" t="inlineStr">
        <x:is>
          <x:t xml:space="preserve">Liezi / 列子 (received text; attribution debated)</x:t>
        </x:is>
      </x:c>
      <x:c r="R441" s="81" t="inlineStr">
        <x:is>
          <x:t xml:space="preserve">Daoist / China</x:t>
        </x:is>
      </x:c>
      <x:c r="S441" s="81" t="inlineStr">
        <x:is>
          <x:t xml:space="preserve">列子 / Liezi</x:t>
        </x:is>
      </x:c>
      <x:c r="T441" s="81" t="inlineStr">
        <x:is>
          <x:t xml:space="preserve">Chapter 8 — 說符</x:t>
        </x:is>
      </x:c>
      <x:c r="U441" s="81" t="inlineStr">
        <x:is>
          <x:t xml:space="preserve">https://ctext.org/liezi/zh</x:t>
        </x:is>
      </x:c>
      <x:c r="V441" s="81" t="inlineStr">
        <x:is>
          <x:t xml:space="preserve">Primary text / digital corpus</x:t>
        </x:is>
      </x:c>
      <x:c r="W441" s="81" t="inlineStr">
        <x:is>
          <x:t xml:space="preserve">Working translation</x:t>
        </x:is>
      </x:c>
      <x:c r="X441" s="81" t="inlineStr">
        <x:is>
          <x:t xml:space="preserve">A - Primary source</x:t>
        </x:is>
      </x:c>
      <x:c r="Y441" s="81" t="inlineStr">
        <x:is>
          <x:t xml:space="preserve">Original Classical Chinese collected from the received Liezi tradition and cross-checked against Chinese Text Project chapter structure. Vietnamese is Selflo working translation; not a published translation.</x:t>
        </x:is>
      </x:c>
      <x:c r="Z441" s="81" t="inlineStr">
        <x:is>
          <x:t xml:space="preserve">Public domain ancient text / edition terms to verify</x:t>
        </x:is>
      </x:c>
      <x:c r="AA441" s="81" t="inlineStr">
        <x:is>
          <x:t xml:space="preserve">Ancient text is public domain; do not copy modern copyrighted translations/commentaries. Attribution and textual history require editorial caution.</x:t>
        </x:is>
      </x:c>
      <x:c r="AB441" s="81" t="inlineStr">
        <x:is>
          <x:t xml:space="preserve">High</x:t>
        </x:is>
      </x:c>
      <x:c r="AC441" s="81" t="inlineStr">
        <x:is>
          <x:t xml:space="preserve">Strong systems metaphor.</x:t>
        </x:is>
      </x:c>
      <x:c r="AD441" s="81" t="inlineStr">
        <x:is>
          <x:t xml:space="preserve">Needs editorial review</x:t>
        </x:is>
      </x:c>
      <x:c r="AE441" s="81" t="inlineStr">
        <x:is>
          <x:t xml:space="preserve">Needs semantic dedupe review</x:t>
        </x:is>
      </x:c>
      <x:c r="AF441" s="81" t="str"/>
      <x:c r="AG441" s="81" t="str"/>
      <x:c r="AH441" s="81" t="inlineStr">
        <x:is>
          <x:t xml:space="preserve">No</x:t>
        </x:is>
      </x:c>
      <x:c r="AI441" s="81" t="inlineStr">
        <x:is>
          <x:t xml:space="preserve">Not reviewed</x:t>
        </x:is>
      </x:c>
      <x:c r="AJ441" s="81" t="inlineStr">
        <x:is>
          <x:t xml:space="preserve">Research only</x:t>
        </x:is>
      </x:c>
      <x:c r="AK441" s="81" t="inlineStr">
        <x:is>
          <x:t xml:space="preserve">Research Pool</x:t>
        </x:is>
      </x:c>
      <x:c r="AL441" s="81" t="n">
        <x:v>5</x:v>
      </x:c>
      <x:c r="AM441" s="81" t="inlineStr">
        <x:is>
          <x:t xml:space="preserve">ChatGPT research</x:t>
        </x:is>
      </x:c>
      <x:c r="AN441" s="81" t="inlineStr">
        <x:is>
          <x:t xml:space="preserve">2026-09-18</x:t>
        </x:is>
      </x:c>
      <x:c r="AO441" s="81" t="inlineStr">
        <x:is>
          <x:t xml:space="preserve">Day 5 full-scope first-pass audit of all 8 Liezi chapters.</x:t>
        </x:is>
      </x:c>
    </x:row>
    <x:row r="442">
      <x:c r="A442" s="81" t="inlineStr">
        <x:is>
          <x:t xml:space="preserve">research.liezi.day5.ch08.064</x:t>
        </x:is>
      </x:c>
      <x:c r="B442" s="81" t="inlineStr">
        <x:is>
          <x:t xml:space="preserve">Collected</x:t>
        </x:is>
      </x:c>
      <x:c r="C442" s="81" t="inlineStr">
        <x:is>
          <x:t xml:space="preserve">Nội tâm &amp; hiểu mình</x:t>
        </x:is>
      </x:c>
      <x:c r="D442" s="81" t="inlineStr">
        <x:is>
          <x:t xml:space="preserve">Day 5 / Liezi — full 8 chapters</x:t>
        </x:is>
      </x:c>
      <x:c r="E442" s="81" t="str"/>
      <x:c r="F442" s="81" t="inlineStr">
        <x:is>
          <x:t xml:space="preserve">Triệu chứng và nguồn tạo triệu chứng không phải một</x:t>
        </x:is>
      </x:c>
      <x:c r="G442" s="81" t="inlineStr">
        <x:is>
          <x:t xml:space="preserve">Systems</x:t>
        </x:is>
      </x:c>
      <x:c r="H442" s="81" t="str"/>
      <x:c r="I442" s="81" t="str"/>
      <x:c r="J442" s="81" t="str"/>
      <x:c r="K442" s="81" t="inlineStr">
        <x:is>
          <x:t xml:space="preserve">Distinguish</x:t>
        </x:is>
      </x:c>
      <x:c r="L442" s="81" t="inlineStr">
        <x:is>
          <x:t xml:space="preserve">Recognize</x:t>
        </x:is>
      </x:c>
      <x:c r="M442" s="81" t="inlineStr">
        <x:is>
          <x:t xml:space="preserve">Trích đoạn triết học / 寓言</x:t>
        </x:is>
      </x:c>
      <x:c r="N442" s="81" t="inlineStr">
        <x:is>
          <x:t xml:space="preserve">枉直隨形而不在影。</x:t>
        </x:is>
      </x:c>
      <x:c r="O442" s="81" t="inlineStr">
        <x:is>
          <x:t xml:space="preserve">Classical Chinese (文言文)</x:t>
        </x:is>
      </x:c>
      <x:c r="P442" s="81" t="inlineStr">
        <x:is>
          <x:t xml:space="preserve">Cong hay thẳng đi theo hình, không nằm ở cái bóng.</x:t>
        </x:is>
      </x:c>
      <x:c r="Q442" s="81" t="inlineStr">
        <x:is>
          <x:t xml:space="preserve">Liezi / 列子 (received text; attribution debated)</x:t>
        </x:is>
      </x:c>
      <x:c r="R442" s="81" t="inlineStr">
        <x:is>
          <x:t xml:space="preserve">Daoist / China</x:t>
        </x:is>
      </x:c>
      <x:c r="S442" s="81" t="inlineStr">
        <x:is>
          <x:t xml:space="preserve">列子 / Liezi</x:t>
        </x:is>
      </x:c>
      <x:c r="T442" s="81" t="inlineStr">
        <x:is>
          <x:t xml:space="preserve">Chapter 8 — 說符</x:t>
        </x:is>
      </x:c>
      <x:c r="U442" s="81" t="inlineStr">
        <x:is>
          <x:t xml:space="preserve">https://ctext.org/liezi/zh</x:t>
        </x:is>
      </x:c>
      <x:c r="V442" s="81" t="inlineStr">
        <x:is>
          <x:t xml:space="preserve">Primary text / digital corpus</x:t>
        </x:is>
      </x:c>
      <x:c r="W442" s="81" t="inlineStr">
        <x:is>
          <x:t xml:space="preserve">Working translation</x:t>
        </x:is>
      </x:c>
      <x:c r="X442" s="81" t="inlineStr">
        <x:is>
          <x:t xml:space="preserve">A - Primary source</x:t>
        </x:is>
      </x:c>
      <x:c r="Y442" s="81" t="inlineStr">
        <x:is>
          <x:t xml:space="preserve">Original Classical Chinese collected from the received Liezi tradition and cross-checked against Chinese Text Project chapter structure. Vietnamese is Selflo working translation; not a published translation.</x:t>
        </x:is>
      </x:c>
      <x:c r="Z442" s="81" t="inlineStr">
        <x:is>
          <x:t xml:space="preserve">Public domain ancient text / edition terms to verify</x:t>
        </x:is>
      </x:c>
      <x:c r="AA442" s="81" t="inlineStr">
        <x:is>
          <x:t xml:space="preserve">Ancient text is public domain; do not copy modern copyrighted translations/commentaries. Attribution and textual history require editorial caution.</x:t>
        </x:is>
      </x:c>
      <x:c r="AB442" s="81" t="inlineStr">
        <x:is>
          <x:t xml:space="preserve">High</x:t>
        </x:is>
      </x:c>
      <x:c r="AC442" s="81" t="inlineStr">
        <x:is>
          <x:t xml:space="preserve">Very Selflo/context.</x:t>
        </x:is>
      </x:c>
      <x:c r="AD442" s="81" t="inlineStr">
        <x:is>
          <x:t xml:space="preserve">Needs editorial review</x:t>
        </x:is>
      </x:c>
      <x:c r="AE442" s="81" t="inlineStr">
        <x:is>
          <x:t xml:space="preserve">Needs semantic dedupe review</x:t>
        </x:is>
      </x:c>
      <x:c r="AF442" s="81" t="str"/>
      <x:c r="AG442" s="81" t="str"/>
      <x:c r="AH442" s="81" t="inlineStr">
        <x:is>
          <x:t xml:space="preserve">No</x:t>
        </x:is>
      </x:c>
      <x:c r="AI442" s="81" t="inlineStr">
        <x:is>
          <x:t xml:space="preserve">Not reviewed</x:t>
        </x:is>
      </x:c>
      <x:c r="AJ442" s="81" t="inlineStr">
        <x:is>
          <x:t xml:space="preserve">Research only</x:t>
        </x:is>
      </x:c>
      <x:c r="AK442" s="81" t="inlineStr">
        <x:is>
          <x:t xml:space="preserve">Research Pool</x:t>
        </x:is>
      </x:c>
      <x:c r="AL442" s="81" t="n">
        <x:v>5</x:v>
      </x:c>
      <x:c r="AM442" s="81" t="inlineStr">
        <x:is>
          <x:t xml:space="preserve">ChatGPT research</x:t>
        </x:is>
      </x:c>
      <x:c r="AN442" s="81" t="inlineStr">
        <x:is>
          <x:t xml:space="preserve">2026-09-18</x:t>
        </x:is>
      </x:c>
      <x:c r="AO442" s="81" t="inlineStr">
        <x:is>
          <x:t xml:space="preserve">Day 5 full-scope first-pass audit of all 8 Liezi chapters.</x:t>
        </x:is>
      </x:c>
    </x:row>
    <x:row r="443">
      <x:c r="A443" s="81" t="inlineStr">
        <x:is>
          <x:t xml:space="preserve">research.liezi.day5.ch08.065</x:t>
        </x:is>
      </x:c>
      <x:c r="B443" s="81" t="inlineStr">
        <x:is>
          <x:t xml:space="preserve">Collected</x:t>
        </x:is>
      </x:c>
      <x:c r="C443" s="81" t="inlineStr">
        <x:is>
          <x:t xml:space="preserve">Nội tâm &amp; hiểu mình</x:t>
        </x:is>
      </x:c>
      <x:c r="D443" s="81" t="inlineStr">
        <x:is>
          <x:t xml:space="preserve">Day 5 / Liezi — full 8 chapters</x:t>
        </x:is>
      </x:c>
      <x:c r="E443" s="81" t="str"/>
      <x:c r="F443" s="81" t="inlineStr">
        <x:is>
          <x:t xml:space="preserve">Phản ứng chịu ảnh hưởng bởi hoàn cảnh</x:t>
        </x:is>
      </x:c>
      <x:c r="G443" s="81" t="inlineStr">
        <x:is>
          <x:t xml:space="preserve">Context</x:t>
        </x:is>
      </x:c>
      <x:c r="H443" s="81" t="str"/>
      <x:c r="I443" s="81" t="str"/>
      <x:c r="J443" s="81" t="str"/>
      <x:c r="K443" s="81" t="inlineStr">
        <x:is>
          <x:t xml:space="preserve">Recognize</x:t>
        </x:is>
      </x:c>
      <x:c r="L443" s="81" t="inlineStr">
        <x:is>
          <x:t xml:space="preserve">Distinguish</x:t>
        </x:is>
      </x:c>
      <x:c r="M443" s="81" t="inlineStr">
        <x:is>
          <x:t xml:space="preserve">Trích đoạn triết học / 寓言</x:t>
        </x:is>
      </x:c>
      <x:c r="N443" s="81" t="inlineStr">
        <x:is>
          <x:t xml:space="preserve">屈申任物而不在我。</x:t>
        </x:is>
      </x:c>
      <x:c r="O443" s="81" t="inlineStr">
        <x:is>
          <x:t xml:space="preserve">Classical Chinese (文言文)</x:t>
        </x:is>
      </x:c>
      <x:c r="P443" s="81" t="inlineStr">
        <x:is>
          <x:t xml:space="preserve">Co-duỗi còn tùy vào sự vật và hoàn cảnh, không chỉ do ý chí riêng mình.</x:t>
        </x:is>
      </x:c>
      <x:c r="Q443" s="81" t="inlineStr">
        <x:is>
          <x:t xml:space="preserve">Liezi / 列子 (received text; attribution debated)</x:t>
        </x:is>
      </x:c>
      <x:c r="R443" s="81" t="inlineStr">
        <x:is>
          <x:t xml:space="preserve">Daoist / China</x:t>
        </x:is>
      </x:c>
      <x:c r="S443" s="81" t="inlineStr">
        <x:is>
          <x:t xml:space="preserve">列子 / Liezi</x:t>
        </x:is>
      </x:c>
      <x:c r="T443" s="81" t="inlineStr">
        <x:is>
          <x:t xml:space="preserve">Chapter 8 — 說符</x:t>
        </x:is>
      </x:c>
      <x:c r="U443" s="81" t="inlineStr">
        <x:is>
          <x:t xml:space="preserve">https://ctext.org/liezi/zh</x:t>
        </x:is>
      </x:c>
      <x:c r="V443" s="81" t="inlineStr">
        <x:is>
          <x:t xml:space="preserve">Primary text / digital corpus</x:t>
        </x:is>
      </x:c>
      <x:c r="W443" s="81" t="inlineStr">
        <x:is>
          <x:t xml:space="preserve">Working translation</x:t>
        </x:is>
      </x:c>
      <x:c r="X443" s="81" t="inlineStr">
        <x:is>
          <x:t xml:space="preserve">A - Primary source</x:t>
        </x:is>
      </x:c>
      <x:c r="Y443" s="81" t="inlineStr">
        <x:is>
          <x:t xml:space="preserve">Original Classical Chinese collected from the received Liezi tradition and cross-checked against Chinese Text Project chapter structure. Vietnamese is Selflo working translation; not a published translation.</x:t>
        </x:is>
      </x:c>
      <x:c r="Z443" s="81" t="inlineStr">
        <x:is>
          <x:t xml:space="preserve">Public domain ancient text / edition terms to verify</x:t>
        </x:is>
      </x:c>
      <x:c r="AA443" s="81" t="inlineStr">
        <x:is>
          <x:t xml:space="preserve">Ancient text is public domain; do not copy modern copyrighted translations/commentaries. Attribution and textual history require editorial caution.</x:t>
        </x:is>
      </x:c>
      <x:c r="AB443" s="81" t="inlineStr">
        <x:is>
          <x:t xml:space="preserve">High</x:t>
        </x:is>
      </x:c>
      <x:c r="AC443" s="81" t="inlineStr">
        <x:is>
          <x:t xml:space="preserve">Good self-blame counterweight.</x:t>
        </x:is>
      </x:c>
      <x:c r="AD443" s="81" t="inlineStr">
        <x:is>
          <x:t xml:space="preserve">Needs editorial review</x:t>
        </x:is>
      </x:c>
      <x:c r="AE443" s="81" t="inlineStr">
        <x:is>
          <x:t xml:space="preserve">Needs semantic dedupe review</x:t>
        </x:is>
      </x:c>
      <x:c r="AF443" s="81" t="str"/>
      <x:c r="AG443" s="81" t="str"/>
      <x:c r="AH443" s="81" t="inlineStr">
        <x:is>
          <x:t xml:space="preserve">No</x:t>
        </x:is>
      </x:c>
      <x:c r="AI443" s="81" t="inlineStr">
        <x:is>
          <x:t xml:space="preserve">Not reviewed</x:t>
        </x:is>
      </x:c>
      <x:c r="AJ443" s="81" t="inlineStr">
        <x:is>
          <x:t xml:space="preserve">Research only</x:t>
        </x:is>
      </x:c>
      <x:c r="AK443" s="81" t="inlineStr">
        <x:is>
          <x:t xml:space="preserve">Research Pool</x:t>
        </x:is>
      </x:c>
      <x:c r="AL443" s="81" t="n">
        <x:v>5</x:v>
      </x:c>
      <x:c r="AM443" s="81" t="inlineStr">
        <x:is>
          <x:t xml:space="preserve">ChatGPT research</x:t>
        </x:is>
      </x:c>
      <x:c r="AN443" s="81" t="inlineStr">
        <x:is>
          <x:t xml:space="preserve">2026-09-18</x:t>
        </x:is>
      </x:c>
      <x:c r="AO443" s="81" t="inlineStr">
        <x:is>
          <x:t xml:space="preserve">Day 5 full-scope first-pass audit of all 8 Liezi chapters.</x:t>
        </x:is>
      </x:c>
    </x:row>
    <x:row r="444">
      <x:c r="A444" s="81" t="inlineStr">
        <x:is>
          <x:t xml:space="preserve">research.liezi.day5.ch08.066</x:t>
        </x:is>
      </x:c>
      <x:c r="B444" s="81" t="inlineStr">
        <x:is>
          <x:t xml:space="preserve">Collected</x:t>
        </x:is>
      </x:c>
      <x:c r="C444" s="81" t="inlineStr">
        <x:is>
          <x:t xml:space="preserve">Nội tâm &amp; hiểu mình</x:t>
        </x:is>
      </x:c>
      <x:c r="D444" s="81" t="inlineStr">
        <x:is>
          <x:t xml:space="preserve">Day 5 / Liezi — full 8 chapters</x:t>
        </x:is>
      </x:c>
      <x:c r="E444" s="81" t="str"/>
      <x:c r="F444" s="81" t="inlineStr">
        <x:is>
          <x:t xml:space="preserve">Nhìn hệ quả và dấu vết để hiểu nguồn</x:t>
        </x:is>
      </x:c>
      <x:c r="G444" s="81" t="inlineStr">
        <x:is>
          <x:t xml:space="preserve">Reflection</x:t>
        </x:is>
      </x:c>
      <x:c r="H444" s="81" t="str"/>
      <x:c r="I444" s="81" t="str"/>
      <x:c r="J444" s="81" t="str"/>
      <x:c r="K444" s="81" t="inlineStr">
        <x:is>
          <x:t xml:space="preserve">Recognize</x:t>
        </x:is>
      </x:c>
      <x:c r="L444" s="81" t="inlineStr">
        <x:is>
          <x:t xml:space="preserve">Distinguish</x:t>
        </x:is>
      </x:c>
      <x:c r="M444" s="81" t="inlineStr">
        <x:is>
          <x:t xml:space="preserve">Trích đoạn triết học / 寓言</x:t>
        </x:is>
      </x:c>
      <x:c r="N444" s="81" t="inlineStr">
        <x:is>
          <x:t xml:space="preserve">子知持後，則可言持身矣。</x:t>
        </x:is>
      </x:c>
      <x:c r="O444" s="81" t="inlineStr">
        <x:is>
          <x:t xml:space="preserve">Classical Chinese (文言文)</x:t>
        </x:is>
      </x:c>
      <x:c r="P444" s="81" t="inlineStr">
        <x:is>
          <x:t xml:space="preserve">Biết nhìn điều theo sau rồi mới có thể bàn cách giữ mình.</x:t>
        </x:is>
      </x:c>
      <x:c r="Q444" s="81" t="inlineStr">
        <x:is>
          <x:t xml:space="preserve">Liezi / 列子 (received text; attribution debated)</x:t>
        </x:is>
      </x:c>
      <x:c r="R444" s="81" t="inlineStr">
        <x:is>
          <x:t xml:space="preserve">Daoist / China</x:t>
        </x:is>
      </x:c>
      <x:c r="S444" s="81" t="inlineStr">
        <x:is>
          <x:t xml:space="preserve">列子 / Liezi</x:t>
        </x:is>
      </x:c>
      <x:c r="T444" s="81" t="inlineStr">
        <x:is>
          <x:t xml:space="preserve">Chapter 8 — 說符</x:t>
        </x:is>
      </x:c>
      <x:c r="U444" s="81" t="inlineStr">
        <x:is>
          <x:t xml:space="preserve">https://ctext.org/liezi/zh</x:t>
        </x:is>
      </x:c>
      <x:c r="V444" s="81" t="inlineStr">
        <x:is>
          <x:t xml:space="preserve">Primary text / digital corpus</x:t>
        </x:is>
      </x:c>
      <x:c r="W444" s="81" t="inlineStr">
        <x:is>
          <x:t xml:space="preserve">Working translation</x:t>
        </x:is>
      </x:c>
      <x:c r="X444" s="81" t="inlineStr">
        <x:is>
          <x:t xml:space="preserve">A - Primary source</x:t>
        </x:is>
      </x:c>
      <x:c r="Y444" s="81" t="inlineStr">
        <x:is>
          <x:t xml:space="preserve">Original Classical Chinese collected from the received Liezi tradition and cross-checked against Chinese Text Project chapter structure. Vietnamese is Selflo working translation; not a published translation.</x:t>
        </x:is>
      </x:c>
      <x:c r="Z444" s="81" t="inlineStr">
        <x:is>
          <x:t xml:space="preserve">Public domain ancient text / edition terms to verify</x:t>
        </x:is>
      </x:c>
      <x:c r="AA444" s="81" t="inlineStr">
        <x:is>
          <x:t xml:space="preserve">Ancient text is public domain; do not copy modern copyrighted translations/commentaries. Attribution and textual history require editorial caution.</x:t>
        </x:is>
      </x:c>
      <x:c r="AB444" s="81" t="inlineStr">
        <x:is>
          <x:t xml:space="preserve">High</x:t>
        </x:is>
      </x:c>
      <x:c r="AC444" s="81" t="inlineStr">
        <x:is>
          <x:t xml:space="preserve">Strong.</x:t>
        </x:is>
      </x:c>
      <x:c r="AD444" s="81" t="inlineStr">
        <x:is>
          <x:t xml:space="preserve">Needs editorial review</x:t>
        </x:is>
      </x:c>
      <x:c r="AE444" s="81" t="inlineStr">
        <x:is>
          <x:t xml:space="preserve">Needs semantic dedupe review</x:t>
        </x:is>
      </x:c>
      <x:c r="AF444" s="81" t="str"/>
      <x:c r="AG444" s="81" t="str"/>
      <x:c r="AH444" s="81" t="inlineStr">
        <x:is>
          <x:t xml:space="preserve">No</x:t>
        </x:is>
      </x:c>
      <x:c r="AI444" s="81" t="inlineStr">
        <x:is>
          <x:t xml:space="preserve">Not reviewed</x:t>
        </x:is>
      </x:c>
      <x:c r="AJ444" s="81" t="inlineStr">
        <x:is>
          <x:t xml:space="preserve">Research only</x:t>
        </x:is>
      </x:c>
      <x:c r="AK444" s="81" t="inlineStr">
        <x:is>
          <x:t xml:space="preserve">Research Pool</x:t>
        </x:is>
      </x:c>
      <x:c r="AL444" s="81" t="n">
        <x:v>5</x:v>
      </x:c>
      <x:c r="AM444" s="81" t="inlineStr">
        <x:is>
          <x:t xml:space="preserve">ChatGPT research</x:t>
        </x:is>
      </x:c>
      <x:c r="AN444" s="81" t="inlineStr">
        <x:is>
          <x:t xml:space="preserve">2026-09-18</x:t>
        </x:is>
      </x:c>
      <x:c r="AO444" s="81" t="inlineStr">
        <x:is>
          <x:t xml:space="preserve">Day 5 full-scope first-pass audit of all 8 Liezi chapters.</x:t>
        </x:is>
      </x:c>
    </x:row>
    <x:row r="445">
      <x:c r="A445" s="81" t="inlineStr">
        <x:is>
          <x:t xml:space="preserve">research.liezi.day5.ch08.067</x:t>
        </x:is>
      </x:c>
      <x:c r="B445" s="81" t="inlineStr">
        <x:is>
          <x:t xml:space="preserve">Collected</x:t>
        </x:is>
      </x:c>
      <x:c r="C445" s="81" t="inlineStr">
        <x:is>
          <x:t xml:space="preserve">AI &amp; tương lai</x:t>
        </x:is>
      </x:c>
      <x:c r="D445" s="81" t="inlineStr">
        <x:is>
          <x:t xml:space="preserve">Day 5 / Liezi — full 8 chapters</x:t>
        </x:is>
      </x:c>
      <x:c r="E445" s="81" t="str"/>
      <x:c r="F445" s="81" t="inlineStr">
        <x:is>
          <x:t xml:space="preserve">Cùng một lời có thể bị đánh giá khác vì hoàn cảnh cảm xúc</x:t>
        </x:is>
      </x:c>
      <x:c r="G445" s="81" t="inlineStr">
        <x:is>
          <x:t xml:space="preserve">Bias</x:t>
        </x:is>
      </x:c>
      <x:c r="H445" s="81" t="str"/>
      <x:c r="I445" s="81" t="str"/>
      <x:c r="J445" s="81" t="str"/>
      <x:c r="K445" s="81" t="inlineStr">
        <x:is>
          <x:t xml:space="preserve">Recognize</x:t>
        </x:is>
      </x:c>
      <x:c r="L445" s="81" t="inlineStr">
        <x:is>
          <x:t xml:space="preserve">Distinguish</x:t>
        </x:is>
      </x:c>
      <x:c r="M445" s="81" t="inlineStr">
        <x:is>
          <x:t xml:space="preserve">Trích đoạn triết học / 寓言</x:t>
        </x:is>
      </x:c>
      <x:c r="N445" s="81" t="inlineStr">
        <x:is>
          <x:t xml:space="preserve">疑鄰人之父。</x:t>
        </x:is>
      </x:c>
      <x:c r="O445" s="81" t="inlineStr">
        <x:is>
          <x:t xml:space="preserve">Classical Chinese (文言文)</x:t>
        </x:is>
      </x:c>
      <x:c r="P445" s="81" t="inlineStr">
        <x:is>
          <x:t xml:space="preserve">Sau khi mất đồ, người ta nghi cả người từng đưa lời khuyên.</x:t>
        </x:is>
      </x:c>
      <x:c r="Q445" s="81" t="inlineStr">
        <x:is>
          <x:t xml:space="preserve">Liezi / 列子 (received text; attribution debated)</x:t>
        </x:is>
      </x:c>
      <x:c r="R445" s="81" t="inlineStr">
        <x:is>
          <x:t xml:space="preserve">Daoist / China</x:t>
        </x:is>
      </x:c>
      <x:c r="S445" s="81" t="inlineStr">
        <x:is>
          <x:t xml:space="preserve">列子 / Liezi</x:t>
        </x:is>
      </x:c>
      <x:c r="T445" s="81" t="inlineStr">
        <x:is>
          <x:t xml:space="preserve">Chapter 8 — 說符</x:t>
        </x:is>
      </x:c>
      <x:c r="U445" s="81" t="inlineStr">
        <x:is>
          <x:t xml:space="preserve">https://ctext.org/liezi/zh</x:t>
        </x:is>
      </x:c>
      <x:c r="V445" s="81" t="inlineStr">
        <x:is>
          <x:t xml:space="preserve">Primary text / digital corpus</x:t>
        </x:is>
      </x:c>
      <x:c r="W445" s="81" t="inlineStr">
        <x:is>
          <x:t xml:space="preserve">Working translation</x:t>
        </x:is>
      </x:c>
      <x:c r="X445" s="81" t="inlineStr">
        <x:is>
          <x:t xml:space="preserve">A - Primary source</x:t>
        </x:is>
      </x:c>
      <x:c r="Y445" s="81" t="inlineStr">
        <x:is>
          <x:t xml:space="preserve">Original Classical Chinese collected from the received Liezi tradition and cross-checked against Chinese Text Project chapter structure. Vietnamese is Selflo working translation; not a published translation.</x:t>
        </x:is>
      </x:c>
      <x:c r="Z445" s="81" t="inlineStr">
        <x:is>
          <x:t xml:space="preserve">Public domain ancient text / edition terms to verify</x:t>
        </x:is>
      </x:c>
      <x:c r="AA445" s="81" t="inlineStr">
        <x:is>
          <x:t xml:space="preserve">Ancient text is public domain; do not copy modern copyrighted translations/commentaries. Attribution and textual history require editorial caution.</x:t>
        </x:is>
      </x:c>
      <x:c r="AB445" s="81" t="inlineStr">
        <x:is>
          <x:t xml:space="preserve">High</x:t>
        </x:is>
      </x:c>
      <x:c r="AC445" s="81" t="inlineStr">
        <x:is>
          <x:t xml:space="preserve">Anchor story: rich man/neighbor.</x:t>
        </x:is>
      </x:c>
      <x:c r="AD445" s="81" t="inlineStr">
        <x:is>
          <x:t xml:space="preserve">Needs editorial review</x:t>
        </x:is>
      </x:c>
      <x:c r="AE445" s="81" t="inlineStr">
        <x:is>
          <x:t xml:space="preserve">Needs semantic dedupe review</x:t>
        </x:is>
      </x:c>
      <x:c r="AF445" s="81" t="str"/>
      <x:c r="AG445" s="81" t="str"/>
      <x:c r="AH445" s="81" t="inlineStr">
        <x:is>
          <x:t xml:space="preserve">No</x:t>
        </x:is>
      </x:c>
      <x:c r="AI445" s="81" t="inlineStr">
        <x:is>
          <x:t xml:space="preserve">Not reviewed</x:t>
        </x:is>
      </x:c>
      <x:c r="AJ445" s="81" t="inlineStr">
        <x:is>
          <x:t xml:space="preserve">Research only</x:t>
        </x:is>
      </x:c>
      <x:c r="AK445" s="81" t="inlineStr">
        <x:is>
          <x:t xml:space="preserve">Research Pool</x:t>
        </x:is>
      </x:c>
      <x:c r="AL445" s="81" t="n">
        <x:v>5</x:v>
      </x:c>
      <x:c r="AM445" s="81" t="inlineStr">
        <x:is>
          <x:t xml:space="preserve">ChatGPT research</x:t>
        </x:is>
      </x:c>
      <x:c r="AN445" s="81" t="inlineStr">
        <x:is>
          <x:t xml:space="preserve">2026-09-18</x:t>
        </x:is>
      </x:c>
      <x:c r="AO445" s="81" t="inlineStr">
        <x:is>
          <x:t xml:space="preserve">Day 5 full-scope first-pass audit of all 8 Liezi chapters.</x:t>
        </x:is>
      </x:c>
    </x:row>
    <x:row r="446">
      <x:c r="A446" s="81" t="inlineStr">
        <x:is>
          <x:t xml:space="preserve">research.liezi.day5.ch08.068</x:t>
        </x:is>
      </x:c>
      <x:c r="B446" s="81" t="inlineStr">
        <x:is>
          <x:t xml:space="preserve">Collected</x:t>
        </x:is>
      </x:c>
      <x:c r="C446" s="81" t="inlineStr">
        <x:is>
          <x:t xml:space="preserve">Nội tâm &amp; hiểu mình</x:t>
        </x:is>
      </x:c>
      <x:c r="D446" s="81" t="inlineStr">
        <x:is>
          <x:t xml:space="preserve">Day 5 / Liezi — full 8 chapters</x:t>
        </x:is>
      </x:c>
      <x:c r="E446" s="81" t="str"/>
      <x:c r="F446" s="81" t="inlineStr">
        <x:is>
          <x:t xml:space="preserve">Nội dung giống nhau có thể được nhận khác vì quan hệ và bối cảnh</x:t>
        </x:is>
      </x:c>
      <x:c r="G446" s="81" t="inlineStr">
        <x:is>
          <x:t xml:space="preserve">Context</x:t>
        </x:is>
      </x:c>
      <x:c r="H446" s="81" t="str"/>
      <x:c r="I446" s="81" t="str"/>
      <x:c r="J446" s="81" t="str"/>
      <x:c r="K446" s="81" t="inlineStr">
        <x:is>
          <x:t xml:space="preserve">Distinguish</x:t>
        </x:is>
      </x:c>
      <x:c r="L446" s="81" t="inlineStr">
        <x:is>
          <x:t xml:space="preserve">Recognize</x:t>
        </x:is>
      </x:c>
      <x:c r="M446" s="81" t="inlineStr">
        <x:is>
          <x:t xml:space="preserve">Trích đoạn triết học / 寓言</x:t>
        </x:is>
      </x:c>
      <x:c r="N446" s="81" t="inlineStr">
        <x:is>
          <x:t xml:space="preserve">此二人說者皆當矣，厚者為戮，薄者見疑。</x:t>
        </x:is>
      </x:c>
      <x:c r="O446" s="81" t="inlineStr">
        <x:is>
          <x:t xml:space="preserve">Classical Chinese (文言文)</x:t>
        </x:is>
      </x:c>
      <x:c r="P446" s="81" t="inlineStr">
        <x:is>
          <x:t xml:space="preserve">Hai người nói cùng một điều đúng; một người được gần, người kia lại bị nghi.</x:t>
        </x:is>
      </x:c>
      <x:c r="Q446" s="81" t="inlineStr">
        <x:is>
          <x:t xml:space="preserve">Liezi / 列子 (received text; attribution debated)</x:t>
        </x:is>
      </x:c>
      <x:c r="R446" s="81" t="inlineStr">
        <x:is>
          <x:t xml:space="preserve">Daoist / China</x:t>
        </x:is>
      </x:c>
      <x:c r="S446" s="81" t="inlineStr">
        <x:is>
          <x:t xml:space="preserve">列子 / Liezi</x:t>
        </x:is>
      </x:c>
      <x:c r="T446" s="81" t="inlineStr">
        <x:is>
          <x:t xml:space="preserve">Chapter 8 — 說符</x:t>
        </x:is>
      </x:c>
      <x:c r="U446" s="81" t="inlineStr">
        <x:is>
          <x:t xml:space="preserve">https://ctext.org/liezi/zh</x:t>
        </x:is>
      </x:c>
      <x:c r="V446" s="81" t="inlineStr">
        <x:is>
          <x:t xml:space="preserve">Primary text / digital corpus</x:t>
        </x:is>
      </x:c>
      <x:c r="W446" s="81" t="inlineStr">
        <x:is>
          <x:t xml:space="preserve">Working translation</x:t>
        </x:is>
      </x:c>
      <x:c r="X446" s="81" t="inlineStr">
        <x:is>
          <x:t xml:space="preserve">A - Primary source</x:t>
        </x:is>
      </x:c>
      <x:c r="Y446" s="81" t="inlineStr">
        <x:is>
          <x:t xml:space="preserve">Original Classical Chinese collected from the received Liezi tradition and cross-checked against Chinese Text Project chapter structure. Vietnamese is Selflo working translation; not a published translation.</x:t>
        </x:is>
      </x:c>
      <x:c r="Z446" s="81" t="inlineStr">
        <x:is>
          <x:t xml:space="preserve">Public domain ancient text / edition terms to verify</x:t>
        </x:is>
      </x:c>
      <x:c r="AA446" s="81" t="inlineStr">
        <x:is>
          <x:t xml:space="preserve">Ancient text is public domain; do not copy modern copyrighted translations/commentaries. Attribution and textual history require editorial caution.</x:t>
        </x:is>
      </x:c>
      <x:c r="AB446" s="81" t="inlineStr">
        <x:is>
          <x:t xml:space="preserve">High</x:t>
        </x:is>
      </x:c>
      <x:c r="AC446" s="81" t="inlineStr">
        <x:is>
          <x:t xml:space="preserve">Strong communication.</x:t>
        </x:is>
      </x:c>
      <x:c r="AD446" s="81" t="inlineStr">
        <x:is>
          <x:t xml:space="preserve">Needs editorial review</x:t>
        </x:is>
      </x:c>
      <x:c r="AE446" s="81" t="inlineStr">
        <x:is>
          <x:t xml:space="preserve">Needs semantic dedupe review</x:t>
        </x:is>
      </x:c>
      <x:c r="AF446" s="81" t="str"/>
      <x:c r="AG446" s="81" t="str"/>
      <x:c r="AH446" s="81" t="inlineStr">
        <x:is>
          <x:t xml:space="preserve">No</x:t>
        </x:is>
      </x:c>
      <x:c r="AI446" s="81" t="inlineStr">
        <x:is>
          <x:t xml:space="preserve">Not reviewed</x:t>
        </x:is>
      </x:c>
      <x:c r="AJ446" s="81" t="inlineStr">
        <x:is>
          <x:t xml:space="preserve">Research only</x:t>
        </x:is>
      </x:c>
      <x:c r="AK446" s="81" t="inlineStr">
        <x:is>
          <x:t xml:space="preserve">Research Pool</x:t>
        </x:is>
      </x:c>
      <x:c r="AL446" s="81" t="n">
        <x:v>5</x:v>
      </x:c>
      <x:c r="AM446" s="81" t="inlineStr">
        <x:is>
          <x:t xml:space="preserve">ChatGPT research</x:t>
        </x:is>
      </x:c>
      <x:c r="AN446" s="81" t="inlineStr">
        <x:is>
          <x:t xml:space="preserve">2026-09-18</x:t>
        </x:is>
      </x:c>
      <x:c r="AO446" s="81" t="inlineStr">
        <x:is>
          <x:t xml:space="preserve">Day 5 full-scope first-pass audit of all 8 Liezi chapters.</x:t>
        </x:is>
      </x:c>
    </x:row>
    <x:row r="447">
      <x:c r="A447" s="81" t="inlineStr">
        <x:is>
          <x:t xml:space="preserve">research.liezi.day5.ch08.069</x:t>
        </x:is>
      </x:c>
      <x:c r="B447" s="81" t="inlineStr">
        <x:is>
          <x:t xml:space="preserve">Collected</x:t>
        </x:is>
      </x:c>
      <x:c r="C447" s="81" t="inlineStr">
        <x:is>
          <x:t xml:space="preserve">Công việc &amp; mục đích</x:t>
        </x:is>
      </x:c>
      <x:c r="D447" s="81" t="inlineStr">
        <x:is>
          <x:t xml:space="preserve">Day 5 / Liezi — full 8 chapters</x:t>
        </x:is>
      </x:c>
      <x:c r="E447" s="81" t="str"/>
      <x:c r="F447" s="81" t="inlineStr">
        <x:is>
          <x:t xml:space="preserve">Khi mất phương hướng ta có thể tăng effort trước khi hiểu cấu trúc</x:t>
        </x:is>
      </x:c>
      <x:c r="G447" s="81" t="inlineStr">
        <x:is>
          <x:t xml:space="preserve">Overload</x:t>
        </x:is>
      </x:c>
      <x:c r="H447" s="81" t="str"/>
      <x:c r="I447" s="81" t="str"/>
      <x:c r="J447" s="81" t="str"/>
      <x:c r="K447" s="81" t="inlineStr">
        <x:is>
          <x:t xml:space="preserve">Recognize</x:t>
        </x:is>
      </x:c>
      <x:c r="L447" s="81" t="inlineStr">
        <x:is>
          <x:t xml:space="preserve">Distinguish</x:t>
        </x:is>
      </x:c>
      <x:c r="M447" s="81" t="inlineStr">
        <x:is>
          <x:t xml:space="preserve">Trích đoạn triết học / 寓言</x:t>
        </x:is>
      </x:c>
      <x:c r="N447" s="81" t="inlineStr">
        <x:is>
          <x:t xml:space="preserve">楊子之鄰人亡羊，既率其黨，又請楊子之豎追之。</x:t>
        </x:is>
      </x:c>
      <x:c r="O447" s="81" t="inlineStr">
        <x:is>
          <x:t xml:space="preserve">Classical Chinese (文言文)</x:t>
        </x:is>
      </x:c>
      <x:c r="P447" s="81" t="inlineStr">
        <x:is>
          <x:t xml:space="preserve">Hàng xóm Dương Tử mất dê, huy động nhiều người đi tìm.</x:t>
        </x:is>
      </x:c>
      <x:c r="Q447" s="81" t="inlineStr">
        <x:is>
          <x:t xml:space="preserve">Liezi / 列子 (received text; attribution debated)</x:t>
        </x:is>
      </x:c>
      <x:c r="R447" s="81" t="inlineStr">
        <x:is>
          <x:t xml:space="preserve">Daoist / China</x:t>
        </x:is>
      </x:c>
      <x:c r="S447" s="81" t="inlineStr">
        <x:is>
          <x:t xml:space="preserve">列子 / Liezi</x:t>
        </x:is>
      </x:c>
      <x:c r="T447" s="81" t="inlineStr">
        <x:is>
          <x:t xml:space="preserve">Chapter 8 — 說符</x:t>
        </x:is>
      </x:c>
      <x:c r="U447" s="81" t="inlineStr">
        <x:is>
          <x:t xml:space="preserve">https://ctext.org/liezi/zh</x:t>
        </x:is>
      </x:c>
      <x:c r="V447" s="81" t="inlineStr">
        <x:is>
          <x:t xml:space="preserve">Primary text / digital corpus</x:t>
        </x:is>
      </x:c>
      <x:c r="W447" s="81" t="inlineStr">
        <x:is>
          <x:t xml:space="preserve">Working translation</x:t>
        </x:is>
      </x:c>
      <x:c r="X447" s="81" t="inlineStr">
        <x:is>
          <x:t xml:space="preserve">A - Primary source</x:t>
        </x:is>
      </x:c>
      <x:c r="Y447" s="81" t="inlineStr">
        <x:is>
          <x:t xml:space="preserve">Original Classical Chinese collected from the received Liezi tradition and cross-checked against Chinese Text Project chapter structure. Vietnamese is Selflo working translation; not a published translation.</x:t>
        </x:is>
      </x:c>
      <x:c r="Z447" s="81" t="inlineStr">
        <x:is>
          <x:t xml:space="preserve">Public domain ancient text / edition terms to verify</x:t>
        </x:is>
      </x:c>
      <x:c r="AA447" s="81" t="inlineStr">
        <x:is>
          <x:t xml:space="preserve">Ancient text is public domain; do not copy modern copyrighted translations/commentaries. Attribution and textual history require editorial caution.</x:t>
        </x:is>
      </x:c>
      <x:c r="AB447" s="81" t="inlineStr">
        <x:is>
          <x:t xml:space="preserve">High</x:t>
        </x:is>
      </x:c>
      <x:c r="AC447" s="81" t="inlineStr">
        <x:is>
          <x:t xml:space="preserve">Anchor crossroads sheep.</x:t>
        </x:is>
      </x:c>
      <x:c r="AD447" s="81" t="inlineStr">
        <x:is>
          <x:t xml:space="preserve">Needs editorial review</x:t>
        </x:is>
      </x:c>
      <x:c r="AE447" s="81" t="inlineStr">
        <x:is>
          <x:t xml:space="preserve">Needs semantic dedupe review</x:t>
        </x:is>
      </x:c>
      <x:c r="AF447" s="81" t="str"/>
      <x:c r="AG447" s="81" t="str"/>
      <x:c r="AH447" s="81" t="inlineStr">
        <x:is>
          <x:t xml:space="preserve">No</x:t>
        </x:is>
      </x:c>
      <x:c r="AI447" s="81" t="inlineStr">
        <x:is>
          <x:t xml:space="preserve">Not reviewed</x:t>
        </x:is>
      </x:c>
      <x:c r="AJ447" s="81" t="inlineStr">
        <x:is>
          <x:t xml:space="preserve">Research only</x:t>
        </x:is>
      </x:c>
      <x:c r="AK447" s="81" t="inlineStr">
        <x:is>
          <x:t xml:space="preserve">Research Pool</x:t>
        </x:is>
      </x:c>
      <x:c r="AL447" s="81" t="n">
        <x:v>5</x:v>
      </x:c>
      <x:c r="AM447" s="81" t="inlineStr">
        <x:is>
          <x:t xml:space="preserve">ChatGPT research</x:t>
        </x:is>
      </x:c>
      <x:c r="AN447" s="81" t="inlineStr">
        <x:is>
          <x:t xml:space="preserve">2026-09-18</x:t>
        </x:is>
      </x:c>
      <x:c r="AO447" s="81" t="inlineStr">
        <x:is>
          <x:t xml:space="preserve">Day 5 full-scope first-pass audit of all 8 Liezi chapters.</x:t>
        </x:is>
      </x:c>
    </x:row>
    <x:row r="448">
      <x:c r="A448" s="81" t="inlineStr">
        <x:is>
          <x:t xml:space="preserve">research.liezi.day5.ch08.070</x:t>
        </x:is>
      </x:c>
      <x:c r="B448" s="81" t="inlineStr">
        <x:is>
          <x:t xml:space="preserve">Collected</x:t>
        </x:is>
      </x:c>
      <x:c r="C448" s="81" t="inlineStr">
        <x:is>
          <x:t xml:space="preserve">AI &amp; tương lai</x:t>
        </x:is>
      </x:c>
      <x:c r="D448" s="81" t="inlineStr">
        <x:is>
          <x:t xml:space="preserve">Day 5 / Liezi — full 8 chapters</x:t>
        </x:is>
      </x:c>
      <x:c r="E448" s="81" t="str"/>
      <x:c r="F448" s="81" t="inlineStr">
        <x:is>
          <x:t xml:space="preserve">Nhiều lựa chọn hơn có thể làm mất phương hướng</x:t>
        </x:is>
      </x:c>
      <x:c r="G448" s="81" t="inlineStr">
        <x:is>
          <x:t xml:space="preserve">Choice</x:t>
        </x:is>
      </x:c>
      <x:c r="H448" s="81" t="str"/>
      <x:c r="I448" s="81" t="str"/>
      <x:c r="J448" s="81" t="str"/>
      <x:c r="K448" s="81" t="inlineStr">
        <x:is>
          <x:t xml:space="preserve">Name</x:t>
        </x:is>
      </x:c>
      <x:c r="L448" s="81" t="inlineStr">
        <x:is>
          <x:t xml:space="preserve">Recognize</x:t>
        </x:is>
      </x:c>
      <x:c r="M448" s="81" t="inlineStr">
        <x:is>
          <x:t xml:space="preserve">Trích đoạn triết học / 寓言</x:t>
        </x:is>
      </x:c>
      <x:c r="N448" s="81" t="inlineStr">
        <x:is>
          <x:t xml:space="preserve">歧路之中又有歧焉，吾不知所之，所以反也。</x:t>
        </x:is>
      </x:c>
      <x:c r="O448" s="81" t="inlineStr">
        <x:is>
          <x:t xml:space="preserve">Classical Chinese (文言文)</x:t>
        </x:is>
      </x:c>
      <x:c r="P448" s="81" t="inlineStr">
        <x:is>
          <x:t xml:space="preserve">Trong đường rẽ lại có thêm đường rẽ; không biết phải đi đâu nên đành quay về.</x:t>
        </x:is>
      </x:c>
      <x:c r="Q448" s="81" t="inlineStr">
        <x:is>
          <x:t xml:space="preserve">Liezi / 列子 (received text; attribution debated)</x:t>
        </x:is>
      </x:c>
      <x:c r="R448" s="81" t="inlineStr">
        <x:is>
          <x:t xml:space="preserve">Daoist / China</x:t>
        </x:is>
      </x:c>
      <x:c r="S448" s="81" t="inlineStr">
        <x:is>
          <x:t xml:space="preserve">列子 / Liezi</x:t>
        </x:is>
      </x:c>
      <x:c r="T448" s="81" t="inlineStr">
        <x:is>
          <x:t xml:space="preserve">Chapter 8 — 說符</x:t>
        </x:is>
      </x:c>
      <x:c r="U448" s="81" t="inlineStr">
        <x:is>
          <x:t xml:space="preserve">https://ctext.org/liezi/zh</x:t>
        </x:is>
      </x:c>
      <x:c r="V448" s="81" t="inlineStr">
        <x:is>
          <x:t xml:space="preserve">Primary text / digital corpus</x:t>
        </x:is>
      </x:c>
      <x:c r="W448" s="81" t="inlineStr">
        <x:is>
          <x:t xml:space="preserve">Working translation</x:t>
        </x:is>
      </x:c>
      <x:c r="X448" s="81" t="inlineStr">
        <x:is>
          <x:t xml:space="preserve">A - Primary source</x:t>
        </x:is>
      </x:c>
      <x:c r="Y448" s="81" t="inlineStr">
        <x:is>
          <x:t xml:space="preserve">Original Classical Chinese collected from the received Liezi tradition and cross-checked against Chinese Text Project chapter structure. Vietnamese is Selflo working translation; not a published translation.</x:t>
        </x:is>
      </x:c>
      <x:c r="Z448" s="81" t="inlineStr">
        <x:is>
          <x:t xml:space="preserve">Public domain ancient text / edition terms to verify</x:t>
        </x:is>
      </x:c>
      <x:c r="AA448" s="81" t="inlineStr">
        <x:is>
          <x:t xml:space="preserve">Ancient text is public domain; do not copy modern copyrighted translations/commentaries. Attribution and textual history require editorial caution.</x:t>
        </x:is>
      </x:c>
      <x:c r="AB448" s="81" t="inlineStr">
        <x:is>
          <x:t xml:space="preserve">High</x:t>
        </x:is>
      </x:c>
      <x:c r="AC448" s="81" t="inlineStr">
        <x:is>
          <x:t xml:space="preserve">Core modern/AI abundance.</x:t>
        </x:is>
      </x:c>
      <x:c r="AD448" s="81" t="inlineStr">
        <x:is>
          <x:t xml:space="preserve">Needs editorial review</x:t>
        </x:is>
      </x:c>
      <x:c r="AE448" s="81" t="inlineStr">
        <x:is>
          <x:t xml:space="preserve">Needs semantic dedupe review</x:t>
        </x:is>
      </x:c>
      <x:c r="AF448" s="81" t="str"/>
      <x:c r="AG448" s="81" t="str"/>
      <x:c r="AH448" s="81" t="inlineStr">
        <x:is>
          <x:t xml:space="preserve">No</x:t>
        </x:is>
      </x:c>
      <x:c r="AI448" s="81" t="inlineStr">
        <x:is>
          <x:t xml:space="preserve">Not reviewed</x:t>
        </x:is>
      </x:c>
      <x:c r="AJ448" s="81" t="inlineStr">
        <x:is>
          <x:t xml:space="preserve">Research only</x:t>
        </x:is>
      </x:c>
      <x:c r="AK448" s="81" t="inlineStr">
        <x:is>
          <x:t xml:space="preserve">Research Pool</x:t>
        </x:is>
      </x:c>
      <x:c r="AL448" s="81" t="n">
        <x:v>5</x:v>
      </x:c>
      <x:c r="AM448" s="81" t="inlineStr">
        <x:is>
          <x:t xml:space="preserve">ChatGPT research</x:t>
        </x:is>
      </x:c>
      <x:c r="AN448" s="81" t="inlineStr">
        <x:is>
          <x:t xml:space="preserve">2026-09-18</x:t>
        </x:is>
      </x:c>
      <x:c r="AO448" s="81" t="inlineStr">
        <x:is>
          <x:t xml:space="preserve">Day 5 full-scope first-pass audit of all 8 Liezi chapters.</x:t>
        </x:is>
      </x:c>
    </x:row>
    <x:row r="449">
      <x:c r="A449" s="81" t="inlineStr">
        <x:is>
          <x:t xml:space="preserve">research.liezi.day5.ch08.071</x:t>
        </x:is>
      </x:c>
      <x:c r="B449" s="81" t="inlineStr">
        <x:is>
          <x:t xml:space="preserve">Collected</x:t>
        </x:is>
      </x:c>
      <x:c r="C449" s="81" t="inlineStr">
        <x:is>
          <x:t xml:space="preserve">AI &amp; tương lai</x:t>
        </x:is>
      </x:c>
      <x:c r="D449" s="81" t="inlineStr">
        <x:is>
          <x:t xml:space="preserve">Day 5 / Liezi — full 8 chapters</x:t>
        </x:is>
      </x:c>
      <x:c r="E449" s="81" t="str"/>
      <x:c r="F449" s="81" t="inlineStr">
        <x:is>
          <x:t xml:space="preserve">Nhiều phương pháp không mặc định tạo nhiều sáng rõ</x:t>
        </x:is>
      </x:c>
      <x:c r="G449" s="81" t="inlineStr">
        <x:is>
          <x:t xml:space="preserve">Information overload</x:t>
        </x:is>
      </x:c>
      <x:c r="H449" s="81" t="str"/>
      <x:c r="I449" s="81" t="str"/>
      <x:c r="J449" s="81" t="str"/>
      <x:c r="K449" s="81" t="inlineStr">
        <x:is>
          <x:t xml:space="preserve">Distinguish</x:t>
        </x:is>
      </x:c>
      <x:c r="L449" s="81" t="inlineStr">
        <x:is>
          <x:t xml:space="preserve">Recognize</x:t>
        </x:is>
      </x:c>
      <x:c r="M449" s="81" t="inlineStr">
        <x:is>
          <x:t xml:space="preserve">Trích đoạn triết học / 寓言</x:t>
        </x:is>
      </x:c>
      <x:c r="N449" s="81" t="inlineStr">
        <x:is>
          <x:t xml:space="preserve">大道以多歧亡羊，學者以多方喪生。</x:t>
        </x:is>
      </x:c>
      <x:c r="O449" s="81" t="inlineStr">
        <x:is>
          <x:t xml:space="preserve">Classical Chinese (文言文)</x:t>
        </x:is>
      </x:c>
      <x:c r="P449" s="81" t="inlineStr">
        <x:is>
          <x:t xml:space="preserve">Đường lớn nhiều ngã có thể làm mất dê; học quá nhiều hướng cũng có thể làm mất điều mình đang tìm.</x:t>
        </x:is>
      </x:c>
      <x:c r="Q449" s="81" t="inlineStr">
        <x:is>
          <x:t xml:space="preserve">Liezi / 列子 (received text; attribution debated)</x:t>
        </x:is>
      </x:c>
      <x:c r="R449" s="81" t="inlineStr">
        <x:is>
          <x:t xml:space="preserve">Daoist / China</x:t>
        </x:is>
      </x:c>
      <x:c r="S449" s="81" t="inlineStr">
        <x:is>
          <x:t xml:space="preserve">列子 / Liezi</x:t>
        </x:is>
      </x:c>
      <x:c r="T449" s="81" t="inlineStr">
        <x:is>
          <x:t xml:space="preserve">Chapter 8 — 說符</x:t>
        </x:is>
      </x:c>
      <x:c r="U449" s="81" t="inlineStr">
        <x:is>
          <x:t xml:space="preserve">https://ctext.org/liezi/zh</x:t>
        </x:is>
      </x:c>
      <x:c r="V449" s="81" t="inlineStr">
        <x:is>
          <x:t xml:space="preserve">Primary text / digital corpus</x:t>
        </x:is>
      </x:c>
      <x:c r="W449" s="81" t="inlineStr">
        <x:is>
          <x:t xml:space="preserve">Working translation</x:t>
        </x:is>
      </x:c>
      <x:c r="X449" s="81" t="inlineStr">
        <x:is>
          <x:t xml:space="preserve">A - Primary source</x:t>
        </x:is>
      </x:c>
      <x:c r="Y449" s="81" t="inlineStr">
        <x:is>
          <x:t xml:space="preserve">Original Classical Chinese collected from the received Liezi tradition and cross-checked against Chinese Text Project chapter structure. Vietnamese is Selflo working translation; not a published translation.</x:t>
        </x:is>
      </x:c>
      <x:c r="Z449" s="81" t="inlineStr">
        <x:is>
          <x:t xml:space="preserve">Public domain ancient text / edition terms to verify</x:t>
        </x:is>
      </x:c>
      <x:c r="AA449" s="81" t="inlineStr">
        <x:is>
          <x:t xml:space="preserve">Ancient text is public domain; do not copy modern copyrighted translations/commentaries. Attribution and textual history require editorial caution.</x:t>
        </x:is>
      </x:c>
      <x:c r="AB449" s="81" t="inlineStr">
        <x:is>
          <x:t xml:space="preserve">High</x:t>
        </x:is>
      </x:c>
      <x:c r="AC449" s="81" t="inlineStr">
        <x:is>
          <x:t xml:space="preserve">Excellent AI-age.</x:t>
        </x:is>
      </x:c>
      <x:c r="AD449" s="81" t="inlineStr">
        <x:is>
          <x:t xml:space="preserve">Needs editorial review</x:t>
        </x:is>
      </x:c>
      <x:c r="AE449" s="81" t="inlineStr">
        <x:is>
          <x:t xml:space="preserve">Needs semantic dedupe review</x:t>
        </x:is>
      </x:c>
      <x:c r="AF449" s="81" t="str"/>
      <x:c r="AG449" s="81" t="str"/>
      <x:c r="AH449" s="81" t="inlineStr">
        <x:is>
          <x:t xml:space="preserve">No</x:t>
        </x:is>
      </x:c>
      <x:c r="AI449" s="81" t="inlineStr">
        <x:is>
          <x:t xml:space="preserve">Not reviewed</x:t>
        </x:is>
      </x:c>
      <x:c r="AJ449" s="81" t="inlineStr">
        <x:is>
          <x:t xml:space="preserve">Research only</x:t>
        </x:is>
      </x:c>
      <x:c r="AK449" s="81" t="inlineStr">
        <x:is>
          <x:t xml:space="preserve">Research Pool</x:t>
        </x:is>
      </x:c>
      <x:c r="AL449" s="81" t="n">
        <x:v>5</x:v>
      </x:c>
      <x:c r="AM449" s="81" t="inlineStr">
        <x:is>
          <x:t xml:space="preserve">ChatGPT research</x:t>
        </x:is>
      </x:c>
      <x:c r="AN449" s="81" t="inlineStr">
        <x:is>
          <x:t xml:space="preserve">2026-09-18</x:t>
        </x:is>
      </x:c>
      <x:c r="AO449" s="81" t="inlineStr">
        <x:is>
          <x:t xml:space="preserve">Day 5 full-scope first-pass audit of all 8 Liezi chapters.</x:t>
        </x:is>
      </x:c>
    </x:row>
    <x:row r="450">
      <x:c r="A450" s="81" t="inlineStr">
        <x:is>
          <x:t xml:space="preserve">research.liezi.day5.ch08.072</x:t>
        </x:is>
      </x:c>
      <x:c r="B450" s="81" t="inlineStr">
        <x:is>
          <x:t xml:space="preserve">Collected</x:t>
        </x:is>
      </x:c>
      <x:c r="C450" s="81" t="inlineStr">
        <x:is>
          <x:t xml:space="preserve">AI &amp; tương lai</x:t>
        </x:is>
      </x:c>
      <x:c r="D450" s="81" t="inlineStr">
        <x:is>
          <x:t xml:space="preserve">Day 5 / Liezi — full 8 chapters</x:t>
        </x:is>
      </x:c>
      <x:c r="E450" s="81" t="str"/>
      <x:c r="F450" s="81" t="inlineStr">
        <x:is>
          <x:t xml:space="preserve">Khác biệt bề mặt có thể che nền chung</x:t>
        </x:is>
      </x:c>
      <x:c r="G450" s="81" t="inlineStr">
        <x:is>
          <x:t xml:space="preserve">Perspective</x:t>
        </x:is>
      </x:c>
      <x:c r="H450" s="81" t="str"/>
      <x:c r="I450" s="81" t="str"/>
      <x:c r="J450" s="81" t="str"/>
      <x:c r="K450" s="81" t="inlineStr">
        <x:is>
          <x:t xml:space="preserve">Reframe</x:t>
        </x:is>
      </x:c>
      <x:c r="L450" s="81" t="inlineStr">
        <x:is>
          <x:t xml:space="preserve">Recognize</x:t>
        </x:is>
      </x:c>
      <x:c r="M450" s="81" t="inlineStr">
        <x:is>
          <x:t xml:space="preserve">Trích đoạn triết học / 寓言</x:t>
        </x:is>
      </x:c>
      <x:c r="N450" s="81" t="inlineStr">
        <x:is>
          <x:t xml:space="preserve">學非本不同，非本不一，而末異若是。</x:t>
        </x:is>
      </x:c>
      <x:c r="O450" s="81" t="inlineStr">
        <x:is>
          <x:t xml:space="preserve">Classical Chinese (文言文)</x:t>
        </x:is>
      </x:c>
      <x:c r="P450" s="81" t="inlineStr">
        <x:is>
          <x:t xml:space="preserve">Các nhánh có thể khác xa dù xuất phát từ một nền gần nhau.</x:t>
        </x:is>
      </x:c>
      <x:c r="Q450" s="81" t="inlineStr">
        <x:is>
          <x:t xml:space="preserve">Liezi / 列子 (received text; attribution debated)</x:t>
        </x:is>
      </x:c>
      <x:c r="R450" s="81" t="inlineStr">
        <x:is>
          <x:t xml:space="preserve">Daoist / China</x:t>
        </x:is>
      </x:c>
      <x:c r="S450" s="81" t="inlineStr">
        <x:is>
          <x:t xml:space="preserve">列子 / Liezi</x:t>
        </x:is>
      </x:c>
      <x:c r="T450" s="81" t="inlineStr">
        <x:is>
          <x:t xml:space="preserve">Chapter 8 — 說符</x:t>
        </x:is>
      </x:c>
      <x:c r="U450" s="81" t="inlineStr">
        <x:is>
          <x:t xml:space="preserve">https://ctext.org/liezi/zh</x:t>
        </x:is>
      </x:c>
      <x:c r="V450" s="81" t="inlineStr">
        <x:is>
          <x:t xml:space="preserve">Primary text / digital corpus</x:t>
        </x:is>
      </x:c>
      <x:c r="W450" s="81" t="inlineStr">
        <x:is>
          <x:t xml:space="preserve">Working translation</x:t>
        </x:is>
      </x:c>
      <x:c r="X450" s="81" t="inlineStr">
        <x:is>
          <x:t xml:space="preserve">A - Primary source</x:t>
        </x:is>
      </x:c>
      <x:c r="Y450" s="81" t="inlineStr">
        <x:is>
          <x:t xml:space="preserve">Original Classical Chinese collected from the received Liezi tradition and cross-checked against Chinese Text Project chapter structure. Vietnamese is Selflo working translation; not a published translation.</x:t>
        </x:is>
      </x:c>
      <x:c r="Z450" s="81" t="inlineStr">
        <x:is>
          <x:t xml:space="preserve">Public domain ancient text / edition terms to verify</x:t>
        </x:is>
      </x:c>
      <x:c r="AA450" s="81" t="inlineStr">
        <x:is>
          <x:t xml:space="preserve">Ancient text is public domain; do not copy modern copyrighted translations/commentaries. Attribution and textual history require editorial caution.</x:t>
        </x:is>
      </x:c>
      <x:c r="AB450" s="81" t="inlineStr">
        <x:is>
          <x:t xml:space="preserve">Medium</x:t>
        </x:is>
      </x:c>
      <x:c r="AC450" s="81" t="inlineStr">
        <x:is>
          <x:t xml:space="preserve">Strong principle.</x:t>
        </x:is>
      </x:c>
      <x:c r="AD450" s="81" t="inlineStr">
        <x:is>
          <x:t xml:space="preserve">Needs editorial review</x:t>
        </x:is>
      </x:c>
      <x:c r="AE450" s="81" t="inlineStr">
        <x:is>
          <x:t xml:space="preserve">Needs semantic dedupe review</x:t>
        </x:is>
      </x:c>
      <x:c r="AF450" s="81" t="str"/>
      <x:c r="AG450" s="81" t="str"/>
      <x:c r="AH450" s="81" t="inlineStr">
        <x:is>
          <x:t xml:space="preserve">No</x:t>
        </x:is>
      </x:c>
      <x:c r="AI450" s="81" t="inlineStr">
        <x:is>
          <x:t xml:space="preserve">Not reviewed</x:t>
        </x:is>
      </x:c>
      <x:c r="AJ450" s="81" t="inlineStr">
        <x:is>
          <x:t xml:space="preserve">Research only</x:t>
        </x:is>
      </x:c>
      <x:c r="AK450" s="81" t="inlineStr">
        <x:is>
          <x:t xml:space="preserve">Research Pool</x:t>
        </x:is>
      </x:c>
      <x:c r="AL450" s="81" t="n">
        <x:v>5</x:v>
      </x:c>
      <x:c r="AM450" s="81" t="inlineStr">
        <x:is>
          <x:t xml:space="preserve">ChatGPT research</x:t>
        </x:is>
      </x:c>
      <x:c r="AN450" s="81" t="inlineStr">
        <x:is>
          <x:t xml:space="preserve">2026-09-18</x:t>
        </x:is>
      </x:c>
      <x:c r="AO450" s="81" t="inlineStr">
        <x:is>
          <x:t xml:space="preserve">Day 5 full-scope first-pass audit of all 8 Liezi chapters.</x:t>
        </x:is>
      </x:c>
    </x:row>
    <x:row r="451">
      <x:c r="A451" s="81" t="inlineStr">
        <x:is>
          <x:t xml:space="preserve">research.liezi.day5.ch08.073</x:t>
        </x:is>
      </x:c>
      <x:c r="B451" s="81" t="inlineStr">
        <x:is>
          <x:t xml:space="preserve">Collected</x:t>
        </x:is>
      </x:c>
      <x:c r="C451" s="81" t="inlineStr">
        <x:is>
          <x:t xml:space="preserve">Công việc &amp; mục đích</x:t>
        </x:is>
      </x:c>
      <x:c r="D451" s="81" t="inlineStr">
        <x:is>
          <x:t xml:space="preserve">Day 5 / Liezi — full 8 chapters</x:t>
        </x:is>
      </x:c>
      <x:c r="E451" s="81" t="str"/>
      <x:c r="F451" s="81" t="inlineStr">
        <x:is>
          <x:t xml:space="preserve">Hành vi tạo tín hiệu cho hệ xung quanh</x:t>
        </x:is>
      </x:c>
      <x:c r="G451" s="81" t="inlineStr">
        <x:is>
          <x:t xml:space="preserve">Influence</x:t>
        </x:is>
      </x:c>
      <x:c r="H451" s="81" t="str"/>
      <x:c r="I451" s="81" t="str"/>
      <x:c r="J451" s="81" t="str"/>
      <x:c r="K451" s="81" t="inlineStr">
        <x:is>
          <x:t xml:space="preserve">Recognize</x:t>
        </x:is>
      </x:c>
      <x:c r="L451" s="81" t="inlineStr">
        <x:is>
          <x:t xml:space="preserve">Distinguish</x:t>
        </x:is>
      </x:c>
      <x:c r="M451" s="81" t="inlineStr">
        <x:is>
          <x:t xml:space="preserve">Trích đoạn triết học / 寓言</x:t>
        </x:is>
      </x:c>
      <x:c r="N451" s="81" t="inlineStr">
        <x:is>
          <x:t xml:space="preserve">慎爾言，將有和之；慎爾行，將有隨之。</x:t>
        </x:is>
      </x:c>
      <x:c r="O451" s="81" t="inlineStr">
        <x:is>
          <x:t xml:space="preserve">Classical Chinese (文言文)</x:t>
        </x:is>
      </x:c>
      <x:c r="P451" s="81" t="inlineStr">
        <x:is>
          <x:t xml:space="preserve">Cẩn trọng với lời và hành động vì chúng có thể được người khác lặp lại.</x:t>
        </x:is>
      </x:c>
      <x:c r="Q451" s="81" t="inlineStr">
        <x:is>
          <x:t xml:space="preserve">Liezi / 列子 (received text; attribution debated)</x:t>
        </x:is>
      </x:c>
      <x:c r="R451" s="81" t="inlineStr">
        <x:is>
          <x:t xml:space="preserve">Daoist / China</x:t>
        </x:is>
      </x:c>
      <x:c r="S451" s="81" t="inlineStr">
        <x:is>
          <x:t xml:space="preserve">列子 / Liezi</x:t>
        </x:is>
      </x:c>
      <x:c r="T451" s="81" t="inlineStr">
        <x:is>
          <x:t xml:space="preserve">Chapter 8 — 說符</x:t>
        </x:is>
      </x:c>
      <x:c r="U451" s="81" t="inlineStr">
        <x:is>
          <x:t xml:space="preserve">https://ctext.org/liezi/zh</x:t>
        </x:is>
      </x:c>
      <x:c r="V451" s="81" t="inlineStr">
        <x:is>
          <x:t xml:space="preserve">Primary text / digital corpus</x:t>
        </x:is>
      </x:c>
      <x:c r="W451" s="81" t="inlineStr">
        <x:is>
          <x:t xml:space="preserve">Working translation</x:t>
        </x:is>
      </x:c>
      <x:c r="X451" s="81" t="inlineStr">
        <x:is>
          <x:t xml:space="preserve">A - Primary source</x:t>
        </x:is>
      </x:c>
      <x:c r="Y451" s="81" t="inlineStr">
        <x:is>
          <x:t xml:space="preserve">Original Classical Chinese collected from the received Liezi tradition and cross-checked against Chinese Text Project chapter structure. Vietnamese is Selflo working translation; not a published translation.</x:t>
        </x:is>
      </x:c>
      <x:c r="Z451" s="81" t="inlineStr">
        <x:is>
          <x:t xml:space="preserve">Public domain ancient text / edition terms to verify</x:t>
        </x:is>
      </x:c>
      <x:c r="AA451" s="81" t="inlineStr">
        <x:is>
          <x:t xml:space="preserve">Ancient text is public domain; do not copy modern copyrighted translations/commentaries. Attribution and textual history require editorial caution.</x:t>
        </x:is>
      </x:c>
      <x:c r="AB451" s="81" t="inlineStr">
        <x:is>
          <x:t xml:space="preserve">High</x:t>
        </x:is>
      </x:c>
      <x:c r="AC451" s="81" t="inlineStr">
        <x:is>
          <x:t xml:space="preserve">Good leadership.</x:t>
        </x:is>
      </x:c>
      <x:c r="AD451" s="81" t="inlineStr">
        <x:is>
          <x:t xml:space="preserve">Needs editorial review</x:t>
        </x:is>
      </x:c>
      <x:c r="AE451" s="81" t="inlineStr">
        <x:is>
          <x:t xml:space="preserve">Needs semantic dedupe review</x:t>
        </x:is>
      </x:c>
      <x:c r="AF451" s="81" t="str"/>
      <x:c r="AG451" s="81" t="str"/>
      <x:c r="AH451" s="81" t="inlineStr">
        <x:is>
          <x:t xml:space="preserve">No</x:t>
        </x:is>
      </x:c>
      <x:c r="AI451" s="81" t="inlineStr">
        <x:is>
          <x:t xml:space="preserve">Not reviewed</x:t>
        </x:is>
      </x:c>
      <x:c r="AJ451" s="81" t="inlineStr">
        <x:is>
          <x:t xml:space="preserve">Research only</x:t>
        </x:is>
      </x:c>
      <x:c r="AK451" s="81" t="inlineStr">
        <x:is>
          <x:t xml:space="preserve">Research Pool</x:t>
        </x:is>
      </x:c>
      <x:c r="AL451" s="81" t="n">
        <x:v>5</x:v>
      </x:c>
      <x:c r="AM451" s="81" t="inlineStr">
        <x:is>
          <x:t xml:space="preserve">ChatGPT research</x:t>
        </x:is>
      </x:c>
      <x:c r="AN451" s="81" t="inlineStr">
        <x:is>
          <x:t xml:space="preserve">2026-09-18</x:t>
        </x:is>
      </x:c>
      <x:c r="AO451" s="81" t="inlineStr">
        <x:is>
          <x:t xml:space="preserve">Day 5 full-scope first-pass audit of all 8 Liezi chapters.</x:t>
        </x:is>
      </x:c>
    </x:row>
    <x:row r="452">
      <x:c r="A452" s="81" t="inlineStr">
        <x:is>
          <x:t xml:space="preserve">research.liezi.day5.ch08.074</x:t>
        </x:is>
      </x:c>
      <x:c r="B452" s="81" t="inlineStr">
        <x:is>
          <x:t xml:space="preserve">Collected</x:t>
        </x:is>
      </x:c>
      <x:c r="C452" s="81" t="inlineStr">
        <x:is>
          <x:t xml:space="preserve">Công việc &amp; mục đích</x:t>
        </x:is>
      </x:c>
      <x:c r="D452" s="81" t="inlineStr">
        <x:is>
          <x:t xml:space="preserve">Day 5 / Liezi — full 8 chapters</x:t>
        </x:is>
      </x:c>
      <x:c r="E452" s="81" t="str"/>
      <x:c r="F452" s="81" t="inlineStr">
        <x:is>
          <x:t xml:space="preserve">Ảnh hưởng thường đi qua tín hiệu nhỏ lặp lại</x:t>
        </x:is>
      </x:c>
      <x:c r="G452" s="81" t="inlineStr">
        <x:is>
          <x:t xml:space="preserve">Influence</x:t>
        </x:is>
      </x:c>
      <x:c r="H452" s="81" t="str"/>
      <x:c r="I452" s="81" t="str"/>
      <x:c r="J452" s="81" t="str"/>
      <x:c r="K452" s="81" t="inlineStr">
        <x:is>
          <x:t xml:space="preserve">Recognize</x:t>
        </x:is>
      </x:c>
      <x:c r="L452" s="81" t="inlineStr">
        <x:is>
          <x:t xml:space="preserve">Distinguish</x:t>
        </x:is>
      </x:c>
      <x:c r="M452" s="81" t="inlineStr">
        <x:is>
          <x:t xml:space="preserve">Trích đoạn triết học / 寓言</x:t>
        </x:is>
      </x:c>
      <x:c r="N452" s="81" t="inlineStr">
        <x:is>
          <x:t xml:space="preserve">言行，君子之樞機。</x:t>
        </x:is>
      </x:c>
      <x:c r="O452" s="81" t="inlineStr">
        <x:is>
          <x:t xml:space="preserve">Classical Chinese (文言文)</x:t>
        </x:is>
      </x:c>
      <x:c r="P452" s="81" t="inlineStr">
        <x:is>
          <x:t xml:space="preserve">Lời và hành động là những điểm xoay của ảnh hưởng.</x:t>
        </x:is>
      </x:c>
      <x:c r="Q452" s="81" t="inlineStr">
        <x:is>
          <x:t xml:space="preserve">Liezi / 列子 (received text; attribution debated)</x:t>
        </x:is>
      </x:c>
      <x:c r="R452" s="81" t="inlineStr">
        <x:is>
          <x:t xml:space="preserve">Daoist / China</x:t>
        </x:is>
      </x:c>
      <x:c r="S452" s="81" t="inlineStr">
        <x:is>
          <x:t xml:space="preserve">列子 / Liezi</x:t>
        </x:is>
      </x:c>
      <x:c r="T452" s="81" t="inlineStr">
        <x:is>
          <x:t xml:space="preserve">Chapter 8 — 說符</x:t>
        </x:is>
      </x:c>
      <x:c r="U452" s="81" t="inlineStr">
        <x:is>
          <x:t xml:space="preserve">https://ctext.org/liezi/zh</x:t>
        </x:is>
      </x:c>
      <x:c r="V452" s="81" t="inlineStr">
        <x:is>
          <x:t xml:space="preserve">Primary text / digital corpus</x:t>
        </x:is>
      </x:c>
      <x:c r="W452" s="81" t="inlineStr">
        <x:is>
          <x:t xml:space="preserve">Working translation</x:t>
        </x:is>
      </x:c>
      <x:c r="X452" s="81" t="inlineStr">
        <x:is>
          <x:t xml:space="preserve">A - Primary source</x:t>
        </x:is>
      </x:c>
      <x:c r="Y452" s="81" t="inlineStr">
        <x:is>
          <x:t xml:space="preserve">Original Classical Chinese collected from the received Liezi tradition and cross-checked against Chinese Text Project chapter structure. Vietnamese is Selflo working translation; not a published translation.</x:t>
        </x:is>
      </x:c>
      <x:c r="Z452" s="81" t="inlineStr">
        <x:is>
          <x:t xml:space="preserve">Public domain ancient text / edition terms to verify</x:t>
        </x:is>
      </x:c>
      <x:c r="AA452" s="81" t="inlineStr">
        <x:is>
          <x:t xml:space="preserve">Ancient text is public domain; do not copy modern copyrighted translations/commentaries. Attribution and textual history require editorial caution.</x:t>
        </x:is>
      </x:c>
      <x:c r="AB452" s="81" t="inlineStr">
        <x:is>
          <x:t xml:space="preserve">High</x:t>
        </x:is>
      </x:c>
      <x:c r="AC452" s="81" t="inlineStr">
        <x:is>
          <x:t xml:space="preserve">Ancient attribution nuance.</x:t>
        </x:is>
      </x:c>
      <x:c r="AD452" s="81" t="inlineStr">
        <x:is>
          <x:t xml:space="preserve">Needs editorial review</x:t>
        </x:is>
      </x:c>
      <x:c r="AE452" s="81" t="inlineStr">
        <x:is>
          <x:t xml:space="preserve">Needs semantic dedupe review</x:t>
        </x:is>
      </x:c>
      <x:c r="AF452" s="81" t="str"/>
      <x:c r="AG452" s="81" t="str"/>
      <x:c r="AH452" s="81" t="inlineStr">
        <x:is>
          <x:t xml:space="preserve">No</x:t>
        </x:is>
      </x:c>
      <x:c r="AI452" s="81" t="inlineStr">
        <x:is>
          <x:t xml:space="preserve">Not reviewed</x:t>
        </x:is>
      </x:c>
      <x:c r="AJ452" s="81" t="inlineStr">
        <x:is>
          <x:t xml:space="preserve">Research only</x:t>
        </x:is>
      </x:c>
      <x:c r="AK452" s="81" t="inlineStr">
        <x:is>
          <x:t xml:space="preserve">Research Pool</x:t>
        </x:is>
      </x:c>
      <x:c r="AL452" s="81" t="n">
        <x:v>5</x:v>
      </x:c>
      <x:c r="AM452" s="81" t="inlineStr">
        <x:is>
          <x:t xml:space="preserve">ChatGPT research</x:t>
        </x:is>
      </x:c>
      <x:c r="AN452" s="81" t="inlineStr">
        <x:is>
          <x:t xml:space="preserve">2026-09-18</x:t>
        </x:is>
      </x:c>
      <x:c r="AO452" s="81" t="inlineStr">
        <x:is>
          <x:t xml:space="preserve">Day 5 full-scope first-pass audit of all 8 Liezi chapters.</x:t>
        </x:is>
      </x:c>
    </x:row>
    <x:row r="453">
      <x:c r="A453" s="81" t="inlineStr">
        <x:is>
          <x:t xml:space="preserve">research.huainanzi.day6.ch07.001</x:t>
        </x:is>
      </x:c>
      <x:c r="B453" s="81" t="inlineStr">
        <x:is>
          <x:t xml:space="preserve">Collected</x:t>
        </x:is>
      </x:c>
      <x:c r="C453" s="81" t="inlineStr">
        <x:is>
          <x:t xml:space="preserve">Nghỉ ngơi &amp; sức khỏe tinh thần</x:t>
        </x:is>
      </x:c>
      <x:c r="D453" s="81" t="inlineStr">
        <x:is>
          <x:t xml:space="preserve">Day 6 / Huainanzi</x:t>
        </x:is>
      </x:c>
      <x:c r="E453" s="81" t="str"/>
      <x:c r="F453" s="81" t="inlineStr">
        <x:is>
          <x:t xml:space="preserve">Cơ thể và chú ý có giới hạn</x:t>
        </x:is>
      </x:c>
      <x:c r="G453" s="81" t="inlineStr">
        <x:is>
          <x:t xml:space="preserve">Rest</x:t>
        </x:is>
      </x:c>
      <x:c r="H453" s="81" t="str"/>
      <x:c r="I453" s="81" t="str"/>
      <x:c r="J453" s="81" t="str"/>
      <x:c r="K453" s="81" t="inlineStr">
        <x:is>
          <x:t xml:space="preserve">Recognize</x:t>
        </x:is>
      </x:c>
      <x:c r="L453" s="81" t="inlineStr">
        <x:is>
          <x:t xml:space="preserve">Recognize</x:t>
        </x:is>
      </x:c>
      <x:c r="M453" s="81" t="inlineStr">
        <x:is>
          <x:t xml:space="preserve">Trích đoạn triết học / 寓言</x:t>
        </x:is>
      </x:c>
      <x:c r="N453" s="81" t="inlineStr">
        <x:is>
          <x:t xml:space="preserve">人之耳目曷能久熏勞而不息乎？</x:t>
        </x:is>
      </x:c>
      <x:c r="O453" s="81" t="inlineStr">
        <x:is>
          <x:t xml:space="preserve">Classical Chinese (文言文)</x:t>
        </x:is>
      </x:c>
      <x:c r="P453" s="81" t="inlineStr">
        <x:is>
          <x:t xml:space="preserve">Mắt tai của con người làm sao có thể bị dùng mãi mà không nghỉ?</x:t>
        </x:is>
      </x:c>
      <x:c r="Q453" s="81" t="inlineStr">
        <x:is>
          <x:t xml:space="preserve">Huainanzi / 淮南子 (compiled under Liu An court)</x:t>
        </x:is>
      </x:c>
      <x:c r="R453" s="81" t="inlineStr">
        <x:is>
          <x:t xml:space="preserve">Han China / syncretic</x:t>
        </x:is>
      </x:c>
      <x:c r="S453" s="81" t="inlineStr">
        <x:is>
          <x:t xml:space="preserve">淮南子 / Huainanzi</x:t>
        </x:is>
      </x:c>
      <x:c r="T453" s="81" t="inlineStr">
        <x:is>
          <x:t xml:space="preserve">Chapter 7 — 精神訓</x:t>
        </x:is>
      </x:c>
      <x:c r="U453" s="81" t="inlineStr">
        <x:is>
          <x:t xml:space="preserve">https://ctext.org/huainanzi/jing-shen-xun/zh</x:t>
        </x:is>
      </x:c>
      <x:c r="V453" s="81" t="inlineStr">
        <x:is>
          <x:t xml:space="preserve">Primary text / scholarly digital corpus</x:t>
        </x:is>
      </x:c>
      <x:c r="W453" s="81" t="inlineStr">
        <x:is>
          <x:t xml:space="preserve">Working translation</x:t>
        </x:is>
      </x:c>
      <x:c r="X453" s="81" t="inlineStr">
        <x:is>
          <x:t xml:space="preserve">A - Primary source</x:t>
        </x:is>
      </x:c>
      <x:c r="Y453" s="81" t="inlineStr">
        <x:is>
          <x:t xml:space="preserve">Original text checked against Chinese Text Project digital base text. Vietnamese is Selflo working translation, not a published translation.</x:t>
        </x:is>
      </x:c>
      <x:c r="Z453" s="81" t="inlineStr">
        <x:is>
          <x:t xml:space="preserve">Public domain ancient text / edition terms to verify</x:t>
        </x:is>
      </x:c>
      <x:c r="AA453" s="81" t="inlineStr">
        <x:is>
          <x:t xml:space="preserve">Do not copy modern translations/commentaries; verify edition/site terms before commercial release.</x:t>
        </x:is>
      </x:c>
      <x:c r="AB453" s="81" t="inlineStr">
        <x:is>
          <x:t xml:space="preserve">High</x:t>
        </x:is>
      </x:c>
      <x:c r="AC453" s="81" t="inlineStr">
        <x:is>
          <x:t xml:space="preserve">Day 6 research candidate; not Release-approved.</x:t>
        </x:is>
      </x:c>
      <x:c r="AD453" s="81" t="inlineStr">
        <x:is>
          <x:t xml:space="preserve">Needs editorial review</x:t>
        </x:is>
      </x:c>
      <x:c r="AE453" s="81" t="inlineStr">
        <x:is>
          <x:t xml:space="preserve">Needs semantic dedupe review</x:t>
        </x:is>
      </x:c>
      <x:c r="AF453" s="81" t="str"/>
      <x:c r="AG453" s="81" t="str"/>
      <x:c r="AH453" s="81" t="inlineStr">
        <x:is>
          <x:t xml:space="preserve">No</x:t>
        </x:is>
      </x:c>
      <x:c r="AI453" s="81" t="inlineStr">
        <x:is>
          <x:t xml:space="preserve">Not reviewed</x:t>
        </x:is>
      </x:c>
      <x:c r="AJ453" s="81" t="inlineStr">
        <x:is>
          <x:t xml:space="preserve">Research only</x:t>
        </x:is>
      </x:c>
      <x:c r="AK453" s="81" t="inlineStr">
        <x:is>
          <x:t xml:space="preserve">Research Pool</x:t>
        </x:is>
      </x:c>
      <x:c r="AL453" s="81" t="n">
        <x:v>6</x:v>
      </x:c>
      <x:c r="AM453" s="81" t="inlineStr">
        <x:is>
          <x:t xml:space="preserve">ChatGPT research</x:t>
        </x:is>
      </x:c>
      <x:c r="AN453" s="81" t="inlineStr">
        <x:is>
          <x:t xml:space="preserve">2026-09-18</x:t>
        </x:is>
      </x:c>
      <x:c r="AO453" s="81" t="inlineStr">
        <x:is>
          <x:t xml:space="preserve">Day 6 Huainanzi collection; exact source URL stored.</x:t>
        </x:is>
      </x:c>
    </x:row>
    <x:row r="454">
      <x:c r="A454" s="81" t="inlineStr">
        <x:is>
          <x:t xml:space="preserve">research.huainanzi.day6.ch07.002</x:t>
        </x:is>
      </x:c>
      <x:c r="B454" s="81" t="inlineStr">
        <x:is>
          <x:t xml:space="preserve">Collected</x:t>
        </x:is>
      </x:c>
      <x:c r="C454" s="81" t="inlineStr">
        <x:is>
          <x:t xml:space="preserve">Nghỉ ngơi &amp; sức khỏe tinh thần</x:t>
        </x:is>
      </x:c>
      <x:c r="D454" s="81" t="inlineStr">
        <x:is>
          <x:t xml:space="preserve">Day 6 / Huainanzi</x:t>
        </x:is>
      </x:c>
      <x:c r="E454" s="81" t="str"/>
      <x:c r="F454" s="81" t="inlineStr">
        <x:is>
          <x:t xml:space="preserve">Năng lượng tinh thần hữu hạn</x:t>
        </x:is>
      </x:c>
      <x:c r="G454" s="81" t="inlineStr">
        <x:is>
          <x:t xml:space="preserve">Energy</x:t>
        </x:is>
      </x:c>
      <x:c r="H454" s="81" t="str"/>
      <x:c r="I454" s="81" t="str"/>
      <x:c r="J454" s="81" t="str"/>
      <x:c r="K454" s="81" t="inlineStr">
        <x:is>
          <x:t xml:space="preserve">Recognize</x:t>
        </x:is>
      </x:c>
      <x:c r="L454" s="81" t="inlineStr">
        <x:is>
          <x:t xml:space="preserve">Recognize</x:t>
        </x:is>
      </x:c>
      <x:c r="M454" s="81" t="inlineStr">
        <x:is>
          <x:t xml:space="preserve">Trích đoạn triết học / 寓言</x:t>
        </x:is>
      </x:c>
      <x:c r="N454" s="81" t="inlineStr">
        <x:is>
          <x:t xml:space="preserve">精神何能久馳騁而不既乎？</x:t>
        </x:is>
      </x:c>
      <x:c r="O454" s="81" t="inlineStr">
        <x:is>
          <x:t xml:space="preserve">Classical Chinese (文言文)</x:t>
        </x:is>
      </x:c>
      <x:c r="P454" s="81" t="inlineStr">
        <x:is>
          <x:t xml:space="preserve">Tinh thần làm sao có thể chạy mãi mà không cạn?</x:t>
        </x:is>
      </x:c>
      <x:c r="Q454" s="81" t="inlineStr">
        <x:is>
          <x:t xml:space="preserve">Huainanzi / 淮南子 (compiled under Liu An court)</x:t>
        </x:is>
      </x:c>
      <x:c r="R454" s="81" t="inlineStr">
        <x:is>
          <x:t xml:space="preserve">Han China / syncretic</x:t>
        </x:is>
      </x:c>
      <x:c r="S454" s="81" t="inlineStr">
        <x:is>
          <x:t xml:space="preserve">淮南子 / Huainanzi</x:t>
        </x:is>
      </x:c>
      <x:c r="T454" s="81" t="inlineStr">
        <x:is>
          <x:t xml:space="preserve">Chapter 7 — 精神訓</x:t>
        </x:is>
      </x:c>
      <x:c r="U454" s="81" t="inlineStr">
        <x:is>
          <x:t xml:space="preserve">https://ctext.org/huainanzi/jing-shen-xun/zh</x:t>
        </x:is>
      </x:c>
      <x:c r="V454" s="81" t="inlineStr">
        <x:is>
          <x:t xml:space="preserve">Primary text / scholarly digital corpus</x:t>
        </x:is>
      </x:c>
      <x:c r="W454" s="81" t="inlineStr">
        <x:is>
          <x:t xml:space="preserve">Working translation</x:t>
        </x:is>
      </x:c>
      <x:c r="X454" s="81" t="inlineStr">
        <x:is>
          <x:t xml:space="preserve">A - Primary source</x:t>
        </x:is>
      </x:c>
      <x:c r="Y454" s="81" t="inlineStr">
        <x:is>
          <x:t xml:space="preserve">Original text checked against Chinese Text Project digital base text. Vietnamese is Selflo working translation, not a published translation.</x:t>
        </x:is>
      </x:c>
      <x:c r="Z454" s="81" t="inlineStr">
        <x:is>
          <x:t xml:space="preserve">Public domain ancient text / edition terms to verify</x:t>
        </x:is>
      </x:c>
      <x:c r="AA454" s="81" t="inlineStr">
        <x:is>
          <x:t xml:space="preserve">Do not copy modern translations/commentaries; verify edition/site terms before commercial release.</x:t>
        </x:is>
      </x:c>
      <x:c r="AB454" s="81" t="inlineStr">
        <x:is>
          <x:t xml:space="preserve">High</x:t>
        </x:is>
      </x:c>
      <x:c r="AC454" s="81" t="inlineStr">
        <x:is>
          <x:t xml:space="preserve">Day 6 research candidate; not Release-approved.</x:t>
        </x:is>
      </x:c>
      <x:c r="AD454" s="81" t="inlineStr">
        <x:is>
          <x:t xml:space="preserve">Needs editorial review</x:t>
        </x:is>
      </x:c>
      <x:c r="AE454" s="81" t="inlineStr">
        <x:is>
          <x:t xml:space="preserve">Needs semantic dedupe review</x:t>
        </x:is>
      </x:c>
      <x:c r="AF454" s="81" t="str"/>
      <x:c r="AG454" s="81" t="str"/>
      <x:c r="AH454" s="81" t="inlineStr">
        <x:is>
          <x:t xml:space="preserve">No</x:t>
        </x:is>
      </x:c>
      <x:c r="AI454" s="81" t="inlineStr">
        <x:is>
          <x:t xml:space="preserve">Not reviewed</x:t>
        </x:is>
      </x:c>
      <x:c r="AJ454" s="81" t="inlineStr">
        <x:is>
          <x:t xml:space="preserve">Research only</x:t>
        </x:is>
      </x:c>
      <x:c r="AK454" s="81" t="inlineStr">
        <x:is>
          <x:t xml:space="preserve">Research Pool</x:t>
        </x:is>
      </x:c>
      <x:c r="AL454" s="81" t="n">
        <x:v>6</x:v>
      </x:c>
      <x:c r="AM454" s="81" t="inlineStr">
        <x:is>
          <x:t xml:space="preserve">ChatGPT research</x:t>
        </x:is>
      </x:c>
      <x:c r="AN454" s="81" t="inlineStr">
        <x:is>
          <x:t xml:space="preserve">2026-09-18</x:t>
        </x:is>
      </x:c>
      <x:c r="AO454" s="81" t="inlineStr">
        <x:is>
          <x:t xml:space="preserve">Day 6 Huainanzi collection; exact source URL stored.</x:t>
        </x:is>
      </x:c>
    </x:row>
    <x:row r="455">
      <x:c r="A455" s="81" t="inlineStr">
        <x:is>
          <x:t xml:space="preserve">research.huainanzi.day6.ch07.003</x:t>
        </x:is>
      </x:c>
      <x:c r="B455" s="81" t="inlineStr">
        <x:is>
          <x:t xml:space="preserve">Collected</x:t>
        </x:is>
      </x:c>
      <x:c r="C455" s="81" t="inlineStr">
        <x:is>
          <x:t xml:space="preserve">Nghỉ ngơi &amp; sức khỏe tinh thần</x:t>
        </x:is>
      </x:c>
      <x:c r="D455" s="81" t="inlineStr">
        <x:is>
          <x:t xml:space="preserve">Day 6 / Huainanzi</x:t>
        </x:is>
      </x:c>
      <x:c r="E455" s="81" t="str"/>
      <x:c r="F455" s="81" t="inlineStr">
        <x:is>
          <x:t xml:space="preserve">Cạn năng lượng không phải lỗi đạo đức</x:t>
        </x:is>
      </x:c>
      <x:c r="G455" s="81" t="inlineStr">
        <x:is>
          <x:t xml:space="preserve">Recovery</x:t>
        </x:is>
      </x:c>
      <x:c r="H455" s="81" t="str"/>
      <x:c r="I455" s="81" t="str"/>
      <x:c r="J455" s="81" t="str"/>
      <x:c r="K455" s="81" t="inlineStr">
        <x:is>
          <x:t xml:space="preserve">Reframe</x:t>
        </x:is>
      </x:c>
      <x:c r="L455" s="81" t="inlineStr">
        <x:is>
          <x:t xml:space="preserve">Recognize</x:t>
        </x:is>
      </x:c>
      <x:c r="M455" s="81" t="inlineStr">
        <x:is>
          <x:t xml:space="preserve">Trích đoạn triết học / 寓言</x:t>
        </x:is>
      </x:c>
      <x:c r="N455" s="81" t="inlineStr">
        <x:is>
          <x:t xml:space="preserve">形勞而不休則蹶，精用而不已則竭。</x:t>
        </x:is>
      </x:c>
      <x:c r="O455" s="81" t="inlineStr">
        <x:is>
          <x:t xml:space="preserve">Classical Chinese (文言文)</x:t>
        </x:is>
      </x:c>
      <x:c r="P455" s="81" t="inlineStr">
        <x:is>
          <x:t xml:space="preserve">Thân thể lao lực không nghỉ thì quỵ; tinh thần dùng mãi không dừng thì cạn.</x:t>
        </x:is>
      </x:c>
      <x:c r="Q455" s="81" t="inlineStr">
        <x:is>
          <x:t xml:space="preserve">Huainanzi / 淮南子 (compiled under Liu An court)</x:t>
        </x:is>
      </x:c>
      <x:c r="R455" s="81" t="inlineStr">
        <x:is>
          <x:t xml:space="preserve">Han China / syncretic</x:t>
        </x:is>
      </x:c>
      <x:c r="S455" s="81" t="inlineStr">
        <x:is>
          <x:t xml:space="preserve">淮南子 / Huainanzi</x:t>
        </x:is>
      </x:c>
      <x:c r="T455" s="81" t="inlineStr">
        <x:is>
          <x:t xml:space="preserve">Chapter 7 — 精神訓</x:t>
        </x:is>
      </x:c>
      <x:c r="U455" s="81" t="inlineStr">
        <x:is>
          <x:t xml:space="preserve">https://ctext.org/huainanzi/jing-shen-xun/zh</x:t>
        </x:is>
      </x:c>
      <x:c r="V455" s="81" t="inlineStr">
        <x:is>
          <x:t xml:space="preserve">Primary text / scholarly digital corpus</x:t>
        </x:is>
      </x:c>
      <x:c r="W455" s="81" t="inlineStr">
        <x:is>
          <x:t xml:space="preserve">Working translation</x:t>
        </x:is>
      </x:c>
      <x:c r="X455" s="81" t="inlineStr">
        <x:is>
          <x:t xml:space="preserve">A - Primary source</x:t>
        </x:is>
      </x:c>
      <x:c r="Y455" s="81" t="inlineStr">
        <x:is>
          <x:t xml:space="preserve">Original text checked against Chinese Text Project digital base text. Vietnamese is Selflo working translation, not a published translation.</x:t>
        </x:is>
      </x:c>
      <x:c r="Z455" s="81" t="inlineStr">
        <x:is>
          <x:t xml:space="preserve">Public domain ancient text / edition terms to verify</x:t>
        </x:is>
      </x:c>
      <x:c r="AA455" s="81" t="inlineStr">
        <x:is>
          <x:t xml:space="preserve">Do not copy modern translations/commentaries; verify edition/site terms before commercial release.</x:t>
        </x:is>
      </x:c>
      <x:c r="AB455" s="81" t="inlineStr">
        <x:is>
          <x:t xml:space="preserve">High</x:t>
        </x:is>
      </x:c>
      <x:c r="AC455" s="81" t="inlineStr">
        <x:is>
          <x:t xml:space="preserve">Day 6 research candidate; not Release-approved.</x:t>
        </x:is>
      </x:c>
      <x:c r="AD455" s="81" t="inlineStr">
        <x:is>
          <x:t xml:space="preserve">Needs editorial review</x:t>
        </x:is>
      </x:c>
      <x:c r="AE455" s="81" t="inlineStr">
        <x:is>
          <x:t xml:space="preserve">Needs semantic dedupe review</x:t>
        </x:is>
      </x:c>
      <x:c r="AF455" s="81" t="str"/>
      <x:c r="AG455" s="81" t="str"/>
      <x:c r="AH455" s="81" t="inlineStr">
        <x:is>
          <x:t xml:space="preserve">No</x:t>
        </x:is>
      </x:c>
      <x:c r="AI455" s="81" t="inlineStr">
        <x:is>
          <x:t xml:space="preserve">Not reviewed</x:t>
        </x:is>
      </x:c>
      <x:c r="AJ455" s="81" t="inlineStr">
        <x:is>
          <x:t xml:space="preserve">Research only</x:t>
        </x:is>
      </x:c>
      <x:c r="AK455" s="81" t="inlineStr">
        <x:is>
          <x:t xml:space="preserve">Research Pool</x:t>
        </x:is>
      </x:c>
      <x:c r="AL455" s="81" t="n">
        <x:v>6</x:v>
      </x:c>
      <x:c r="AM455" s="81" t="inlineStr">
        <x:is>
          <x:t xml:space="preserve">ChatGPT research</x:t>
        </x:is>
      </x:c>
      <x:c r="AN455" s="81" t="inlineStr">
        <x:is>
          <x:t xml:space="preserve">2026-09-18</x:t>
        </x:is>
      </x:c>
      <x:c r="AO455" s="81" t="inlineStr">
        <x:is>
          <x:t xml:space="preserve">Day 6 Huainanzi collection; exact source URL stored.</x:t>
        </x:is>
      </x:c>
    </x:row>
    <x:row r="456">
      <x:c r="A456" s="81" t="inlineStr">
        <x:is>
          <x:t xml:space="preserve">research.huainanzi.day6.ch07.004</x:t>
        </x:is>
      </x:c>
      <x:c r="B456" s="81" t="inlineStr">
        <x:is>
          <x:t xml:space="preserve">Collected</x:t>
        </x:is>
      </x:c>
      <x:c r="C456" s="81" t="inlineStr">
        <x:is>
          <x:t xml:space="preserve">Nội tâm &amp; hiểu mình</x:t>
        </x:is>
      </x:c>
      <x:c r="D456" s="81" t="inlineStr">
        <x:is>
          <x:t xml:space="preserve">Day 6 / Huainanzi</x:t>
        </x:is>
      </x:c>
      <x:c r="E456" s="81" t="str"/>
      <x:c r="F456" s="81" t="inlineStr">
        <x:is>
          <x:t xml:space="preserve">Bảo vệ đời sống bên trong</x:t>
        </x:is>
      </x:c>
      <x:c r="G456" s="81" t="inlineStr">
        <x:is>
          <x:t xml:space="preserve">Self-care</x:t>
        </x:is>
      </x:c>
      <x:c r="H456" s="81" t="str"/>
      <x:c r="I456" s="81" t="str"/>
      <x:c r="J456" s="81" t="str"/>
      <x:c r="K456" s="81" t="inlineStr">
        <x:is>
          <x:t xml:space="preserve">Recognize</x:t>
        </x:is>
      </x:c>
      <x:c r="L456" s="81" t="inlineStr">
        <x:is>
          <x:t xml:space="preserve">Recognize</x:t>
        </x:is>
      </x:c>
      <x:c r="M456" s="81" t="inlineStr">
        <x:is>
          <x:t xml:space="preserve">Trích đoạn triết học / 寓言</x:t>
        </x:is>
      </x:c>
      <x:c r="N456" s="81" t="inlineStr">
        <x:is>
          <x:t xml:space="preserve">心者，形之主也；而神者，心之寶也。</x:t>
        </x:is>
      </x:c>
      <x:c r="O456" s="81" t="inlineStr">
        <x:is>
          <x:t xml:space="preserve">Classical Chinese (文言文)</x:t>
        </x:is>
      </x:c>
      <x:c r="P456" s="81" t="inlineStr">
        <x:is>
          <x:t xml:space="preserve">Tâm là phần dẫn dắt thân; tinh thần là điều quý của tâm.</x:t>
        </x:is>
      </x:c>
      <x:c r="Q456" s="81" t="inlineStr">
        <x:is>
          <x:t xml:space="preserve">Huainanzi / 淮南子 (compiled under Liu An court)</x:t>
        </x:is>
      </x:c>
      <x:c r="R456" s="81" t="inlineStr">
        <x:is>
          <x:t xml:space="preserve">Han China / syncretic</x:t>
        </x:is>
      </x:c>
      <x:c r="S456" s="81" t="inlineStr">
        <x:is>
          <x:t xml:space="preserve">淮南子 / Huainanzi</x:t>
        </x:is>
      </x:c>
      <x:c r="T456" s="81" t="inlineStr">
        <x:is>
          <x:t xml:space="preserve">Chapter 7 — 精神訓</x:t>
        </x:is>
      </x:c>
      <x:c r="U456" s="81" t="inlineStr">
        <x:is>
          <x:t xml:space="preserve">https://ctext.org/huainanzi/jing-shen-xun/zh</x:t>
        </x:is>
      </x:c>
      <x:c r="V456" s="81" t="inlineStr">
        <x:is>
          <x:t xml:space="preserve">Primary text / scholarly digital corpus</x:t>
        </x:is>
      </x:c>
      <x:c r="W456" s="81" t="inlineStr">
        <x:is>
          <x:t xml:space="preserve">Working translation</x:t>
        </x:is>
      </x:c>
      <x:c r="X456" s="81" t="inlineStr">
        <x:is>
          <x:t xml:space="preserve">A - Primary source</x:t>
        </x:is>
      </x:c>
      <x:c r="Y456" s="81" t="inlineStr">
        <x:is>
          <x:t xml:space="preserve">Original text checked against Chinese Text Project digital base text. Vietnamese is Selflo working translation, not a published translation.</x:t>
        </x:is>
      </x:c>
      <x:c r="Z456" s="81" t="inlineStr">
        <x:is>
          <x:t xml:space="preserve">Public domain ancient text / edition terms to verify</x:t>
        </x:is>
      </x:c>
      <x:c r="AA456" s="81" t="inlineStr">
        <x:is>
          <x:t xml:space="preserve">Do not copy modern translations/commentaries; verify edition/site terms before commercial release.</x:t>
        </x:is>
      </x:c>
      <x:c r="AB456" s="81" t="inlineStr">
        <x:is>
          <x:t xml:space="preserve">Medium</x:t>
        </x:is>
      </x:c>
      <x:c r="AC456" s="81" t="inlineStr">
        <x:is>
          <x:t xml:space="preserve">Day 6 research candidate; not Release-approved.</x:t>
        </x:is>
      </x:c>
      <x:c r="AD456" s="81" t="inlineStr">
        <x:is>
          <x:t xml:space="preserve">Needs editorial review</x:t>
        </x:is>
      </x:c>
      <x:c r="AE456" s="81" t="inlineStr">
        <x:is>
          <x:t xml:space="preserve">Needs semantic dedupe review</x:t>
        </x:is>
      </x:c>
      <x:c r="AF456" s="81" t="str"/>
      <x:c r="AG456" s="81" t="str"/>
      <x:c r="AH456" s="81" t="inlineStr">
        <x:is>
          <x:t xml:space="preserve">No</x:t>
        </x:is>
      </x:c>
      <x:c r="AI456" s="81" t="inlineStr">
        <x:is>
          <x:t xml:space="preserve">Not reviewed</x:t>
        </x:is>
      </x:c>
      <x:c r="AJ456" s="81" t="inlineStr">
        <x:is>
          <x:t xml:space="preserve">Research only</x:t>
        </x:is>
      </x:c>
      <x:c r="AK456" s="81" t="inlineStr">
        <x:is>
          <x:t xml:space="preserve">Research Pool</x:t>
        </x:is>
      </x:c>
      <x:c r="AL456" s="81" t="n">
        <x:v>6</x:v>
      </x:c>
      <x:c r="AM456" s="81" t="inlineStr">
        <x:is>
          <x:t xml:space="preserve">ChatGPT research</x:t>
        </x:is>
      </x:c>
      <x:c r="AN456" s="81" t="inlineStr">
        <x:is>
          <x:t xml:space="preserve">2026-09-18</x:t>
        </x:is>
      </x:c>
      <x:c r="AO456" s="81" t="inlineStr">
        <x:is>
          <x:t xml:space="preserve">Day 6 Huainanzi collection; exact source URL stored.</x:t>
        </x:is>
      </x:c>
    </x:row>
    <x:row r="457">
      <x:c r="A457" s="81" t="inlineStr">
        <x:is>
          <x:t xml:space="preserve">research.huainanzi.day6.ch07.005</x:t>
        </x:is>
      </x:c>
      <x:c r="B457" s="81" t="inlineStr">
        <x:is>
          <x:t xml:space="preserve">Collected</x:t>
        </x:is>
      </x:c>
      <x:c r="C457" s="81" t="inlineStr">
        <x:is>
          <x:t xml:space="preserve">Nội tâm &amp; hiểu mình</x:t>
        </x:is>
      </x:c>
      <x:c r="D457" s="81" t="inlineStr">
        <x:is>
          <x:t xml:space="preserve">Day 6 / Huainanzi</x:t>
        </x:is>
      </x:c>
      <x:c r="E457" s="81" t="str"/>
      <x:c r="F457" s="81" t="inlineStr">
        <x:is>
          <x:t xml:space="preserve">Tạo khoảng trống trước khi kết luận</x:t>
        </x:is>
      </x:c>
      <x:c r="G457" s="81" t="inlineStr">
        <x:is>
          <x:t xml:space="preserve">Attention</x:t>
        </x:is>
      </x:c>
      <x:c r="H457" s="81" t="str"/>
      <x:c r="I457" s="81" t="str"/>
      <x:c r="J457" s="81" t="str"/>
      <x:c r="K457" s="81" t="inlineStr">
        <x:is>
          <x:t xml:space="preserve">Reframe</x:t>
        </x:is>
      </x:c>
      <x:c r="L457" s="81" t="inlineStr">
        <x:is>
          <x:t xml:space="preserve">Recognize</x:t>
        </x:is>
      </x:c>
      <x:c r="M457" s="81" t="inlineStr">
        <x:is>
          <x:t xml:space="preserve">Trích đoạn triết học / 寓言</x:t>
        </x:is>
      </x:c>
      <x:c r="N457" s="81" t="inlineStr">
        <x:is>
          <x:t xml:space="preserve">以虛受實，必窮其節。</x:t>
        </x:is>
      </x:c>
      <x:c r="O457" s="81" t="inlineStr">
        <x:is>
          <x:t xml:space="preserve">Classical Chinese (文言文)</x:t>
        </x:is>
      </x:c>
      <x:c r="P457" s="81" t="inlineStr">
        <x:is>
          <x:t xml:space="preserve">Dùng khoảng trống để tiếp nhận điều thực, rồi mới xét đến cấu trúc của nó.</x:t>
        </x:is>
      </x:c>
      <x:c r="Q457" s="81" t="inlineStr">
        <x:is>
          <x:t xml:space="preserve">Huainanzi / 淮南子 (compiled under Liu An court)</x:t>
        </x:is>
      </x:c>
      <x:c r="R457" s="81" t="inlineStr">
        <x:is>
          <x:t xml:space="preserve">Han China / syncretic</x:t>
        </x:is>
      </x:c>
      <x:c r="S457" s="81" t="inlineStr">
        <x:is>
          <x:t xml:space="preserve">淮南子 / Huainanzi</x:t>
        </x:is>
      </x:c>
      <x:c r="T457" s="81" t="inlineStr">
        <x:is>
          <x:t xml:space="preserve">Chapter 7 — 精神訓</x:t>
        </x:is>
      </x:c>
      <x:c r="U457" s="81" t="inlineStr">
        <x:is>
          <x:t xml:space="preserve">https://ctext.org/huainanzi/jing-shen-xun/zh</x:t>
        </x:is>
      </x:c>
      <x:c r="V457" s="81" t="inlineStr">
        <x:is>
          <x:t xml:space="preserve">Primary text / scholarly digital corpus</x:t>
        </x:is>
      </x:c>
      <x:c r="W457" s="81" t="inlineStr">
        <x:is>
          <x:t xml:space="preserve">Working translation</x:t>
        </x:is>
      </x:c>
      <x:c r="X457" s="81" t="inlineStr">
        <x:is>
          <x:t xml:space="preserve">A - Primary source</x:t>
        </x:is>
      </x:c>
      <x:c r="Y457" s="81" t="inlineStr">
        <x:is>
          <x:t xml:space="preserve">Original text checked against Chinese Text Project digital base text. Vietnamese is Selflo working translation, not a published translation.</x:t>
        </x:is>
      </x:c>
      <x:c r="Z457" s="81" t="inlineStr">
        <x:is>
          <x:t xml:space="preserve">Public domain ancient text / edition terms to verify</x:t>
        </x:is>
      </x:c>
      <x:c r="AA457" s="81" t="inlineStr">
        <x:is>
          <x:t xml:space="preserve">Do not copy modern translations/commentaries; verify edition/site terms before commercial release.</x:t>
        </x:is>
      </x:c>
      <x:c r="AB457" s="81" t="inlineStr">
        <x:is>
          <x:t xml:space="preserve">High</x:t>
        </x:is>
      </x:c>
      <x:c r="AC457" s="81" t="inlineStr">
        <x:is>
          <x:t xml:space="preserve">Day 6 research candidate; not Release-approved.</x:t>
        </x:is>
      </x:c>
      <x:c r="AD457" s="81" t="inlineStr">
        <x:is>
          <x:t xml:space="preserve">Needs editorial review</x:t>
        </x:is>
      </x:c>
      <x:c r="AE457" s="81" t="inlineStr">
        <x:is>
          <x:t xml:space="preserve">Needs semantic dedupe review</x:t>
        </x:is>
      </x:c>
      <x:c r="AF457" s="81" t="str"/>
      <x:c r="AG457" s="81" t="str"/>
      <x:c r="AH457" s="81" t="inlineStr">
        <x:is>
          <x:t xml:space="preserve">No</x:t>
        </x:is>
      </x:c>
      <x:c r="AI457" s="81" t="inlineStr">
        <x:is>
          <x:t xml:space="preserve">Not reviewed</x:t>
        </x:is>
      </x:c>
      <x:c r="AJ457" s="81" t="inlineStr">
        <x:is>
          <x:t xml:space="preserve">Research only</x:t>
        </x:is>
      </x:c>
      <x:c r="AK457" s="81" t="inlineStr">
        <x:is>
          <x:t xml:space="preserve">Research Pool</x:t>
        </x:is>
      </x:c>
      <x:c r="AL457" s="81" t="n">
        <x:v>6</x:v>
      </x:c>
      <x:c r="AM457" s="81" t="inlineStr">
        <x:is>
          <x:t xml:space="preserve">ChatGPT research</x:t>
        </x:is>
      </x:c>
      <x:c r="AN457" s="81" t="inlineStr">
        <x:is>
          <x:t xml:space="preserve">2026-09-18</x:t>
        </x:is>
      </x:c>
      <x:c r="AO457" s="81" t="inlineStr">
        <x:is>
          <x:t xml:space="preserve">Day 6 Huainanzi collection; exact source URL stored.</x:t>
        </x:is>
      </x:c>
    </x:row>
    <x:row r="458">
      <x:c r="A458" s="81" t="inlineStr">
        <x:is>
          <x:t xml:space="preserve">research.huainanzi.day6.ch07.006</x:t>
        </x:is>
      </x:c>
      <x:c r="B458" s="81" t="inlineStr">
        <x:is>
          <x:t xml:space="preserve">Collected</x:t>
        </x:is>
      </x:c>
      <x:c r="C458" s="81" t="inlineStr">
        <x:is>
          <x:t xml:space="preserve">Nghỉ ngơi &amp; sức khỏe tinh thần</x:t>
        </x:is>
      </x:c>
      <x:c r="D458" s="81" t="inlineStr">
        <x:is>
          <x:t xml:space="preserve">Day 6 / Huainanzi</x:t>
        </x:is>
      </x:c>
      <x:c r="E458" s="81" t="str"/>
      <x:c r="F458" s="81" t="inlineStr">
        <x:is>
          <x:t xml:space="preserve">Không phải lúc nào cũng cần tăng kích thích</x:t>
        </x:is>
      </x:c>
      <x:c r="G458" s="81" t="inlineStr">
        <x:is>
          <x:t xml:space="preserve">Rest</x:t>
        </x:is>
      </x:c>
      <x:c r="H458" s="81" t="str"/>
      <x:c r="I458" s="81" t="str"/>
      <x:c r="J458" s="81" t="str"/>
      <x:c r="K458" s="81" t="inlineStr">
        <x:is>
          <x:t xml:space="preserve">Permit</x:t>
        </x:is>
      </x:c>
      <x:c r="L458" s="81" t="inlineStr">
        <x:is>
          <x:t xml:space="preserve">Recognize</x:t>
        </x:is>
      </x:c>
      <x:c r="M458" s="81" t="inlineStr">
        <x:is>
          <x:t xml:space="preserve">Trích đoạn triết học / 寓言</x:t>
        </x:is>
      </x:c>
      <x:c r="N458" s="81" t="inlineStr">
        <x:is>
          <x:t xml:space="preserve">恬愉虛靜，以終其命。</x:t>
        </x:is>
      </x:c>
      <x:c r="O458" s="81" t="inlineStr">
        <x:is>
          <x:t xml:space="preserve">Classical Chinese (文言文)</x:t>
        </x:is>
      </x:c>
      <x:c r="P458" s="81" t="inlineStr">
        <x:is>
          <x:t xml:space="preserve">Giữ sự thảnh thơi, trống và tĩnh như một cách đi hết nhịp đời.</x:t>
        </x:is>
      </x:c>
      <x:c r="Q458" s="81" t="inlineStr">
        <x:is>
          <x:t xml:space="preserve">Huainanzi / 淮南子 (compiled under Liu An court)</x:t>
        </x:is>
      </x:c>
      <x:c r="R458" s="81" t="inlineStr">
        <x:is>
          <x:t xml:space="preserve">Han China / syncretic</x:t>
        </x:is>
      </x:c>
      <x:c r="S458" s="81" t="inlineStr">
        <x:is>
          <x:t xml:space="preserve">淮南子 / Huainanzi</x:t>
        </x:is>
      </x:c>
      <x:c r="T458" s="81" t="inlineStr">
        <x:is>
          <x:t xml:space="preserve">Chapter 7 — 精神訓</x:t>
        </x:is>
      </x:c>
      <x:c r="U458" s="81" t="inlineStr">
        <x:is>
          <x:t xml:space="preserve">https://ctext.org/huainanzi/jing-shen-xun/zh</x:t>
        </x:is>
      </x:c>
      <x:c r="V458" s="81" t="inlineStr">
        <x:is>
          <x:t xml:space="preserve">Primary text / scholarly digital corpus</x:t>
        </x:is>
      </x:c>
      <x:c r="W458" s="81" t="inlineStr">
        <x:is>
          <x:t xml:space="preserve">Working translation</x:t>
        </x:is>
      </x:c>
      <x:c r="X458" s="81" t="inlineStr">
        <x:is>
          <x:t xml:space="preserve">A - Primary source</x:t>
        </x:is>
      </x:c>
      <x:c r="Y458" s="81" t="inlineStr">
        <x:is>
          <x:t xml:space="preserve">Original text checked against Chinese Text Project digital base text. Vietnamese is Selflo working translation, not a published translation.</x:t>
        </x:is>
      </x:c>
      <x:c r="Z458" s="81" t="inlineStr">
        <x:is>
          <x:t xml:space="preserve">Public domain ancient text / edition terms to verify</x:t>
        </x:is>
      </x:c>
      <x:c r="AA458" s="81" t="inlineStr">
        <x:is>
          <x:t xml:space="preserve">Do not copy modern translations/commentaries; verify edition/site terms before commercial release.</x:t>
        </x:is>
      </x:c>
      <x:c r="AB458" s="81" t="inlineStr">
        <x:is>
          <x:t xml:space="preserve">Medium</x:t>
        </x:is>
      </x:c>
      <x:c r="AC458" s="81" t="inlineStr">
        <x:is>
          <x:t xml:space="preserve">Day 6 research candidate; not Release-approved.</x:t>
        </x:is>
      </x:c>
      <x:c r="AD458" s="81" t="inlineStr">
        <x:is>
          <x:t xml:space="preserve">Needs editorial review</x:t>
        </x:is>
      </x:c>
      <x:c r="AE458" s="81" t="inlineStr">
        <x:is>
          <x:t xml:space="preserve">Needs semantic dedupe review</x:t>
        </x:is>
      </x:c>
      <x:c r="AF458" s="81" t="str"/>
      <x:c r="AG458" s="81" t="str"/>
      <x:c r="AH458" s="81" t="inlineStr">
        <x:is>
          <x:t xml:space="preserve">No</x:t>
        </x:is>
      </x:c>
      <x:c r="AI458" s="81" t="inlineStr">
        <x:is>
          <x:t xml:space="preserve">Not reviewed</x:t>
        </x:is>
      </x:c>
      <x:c r="AJ458" s="81" t="inlineStr">
        <x:is>
          <x:t xml:space="preserve">Research only</x:t>
        </x:is>
      </x:c>
      <x:c r="AK458" s="81" t="inlineStr">
        <x:is>
          <x:t xml:space="preserve">Research Pool</x:t>
        </x:is>
      </x:c>
      <x:c r="AL458" s="81" t="n">
        <x:v>6</x:v>
      </x:c>
      <x:c r="AM458" s="81" t="inlineStr">
        <x:is>
          <x:t xml:space="preserve">ChatGPT research</x:t>
        </x:is>
      </x:c>
      <x:c r="AN458" s="81" t="inlineStr">
        <x:is>
          <x:t xml:space="preserve">2026-09-18</x:t>
        </x:is>
      </x:c>
      <x:c r="AO458" s="81" t="inlineStr">
        <x:is>
          <x:t xml:space="preserve">Day 6 Huainanzi collection; exact source URL stored.</x:t>
        </x:is>
      </x:c>
    </x:row>
    <x:row r="459">
      <x:c r="A459" s="81" t="inlineStr">
        <x:is>
          <x:t xml:space="preserve">research.huainanzi.day6.ch07.007</x:t>
        </x:is>
      </x:c>
      <x:c r="B459" s="81" t="inlineStr">
        <x:is>
          <x:t xml:space="preserve">Collected</x:t>
        </x:is>
      </x:c>
      <x:c r="C459" s="81" t="inlineStr">
        <x:is>
          <x:t xml:space="preserve">Nội tâm &amp; hiểu mình</x:t>
        </x:is>
      </x:c>
      <x:c r="D459" s="81" t="inlineStr">
        <x:is>
          <x:t xml:space="preserve">Day 6 / Huainanzi</x:t>
        </x:is>
      </x:c>
      <x:c r="E459" s="81" t="str"/>
      <x:c r="F459" s="81" t="inlineStr">
        <x:is>
          <x:t xml:space="preserve">Khoảng cách vừa đủ</x:t>
        </x:is>
      </x:c>
      <x:c r="G459" s="81" t="inlineStr">
        <x:is>
          <x:t xml:space="preserve">Balance</x:t>
        </x:is>
      </x:c>
      <x:c r="H459" s="81" t="str"/>
      <x:c r="I459" s="81" t="str"/>
      <x:c r="J459" s="81" t="str"/>
      <x:c r="K459" s="81" t="inlineStr">
        <x:is>
          <x:t xml:space="preserve">Reframe</x:t>
        </x:is>
      </x:c>
      <x:c r="L459" s="81" t="inlineStr">
        <x:is>
          <x:t xml:space="preserve">Recognize</x:t>
        </x:is>
      </x:c>
      <x:c r="M459" s="81" t="inlineStr">
        <x:is>
          <x:t xml:space="preserve">Trích đoạn triết học / 寓言</x:t>
        </x:is>
      </x:c>
      <x:c r="N459" s="81" t="inlineStr">
        <x:is>
          <x:t xml:space="preserve">無所甚疏，而無所甚親。</x:t>
        </x:is>
      </x:c>
      <x:c r="O459" s="81" t="inlineStr">
        <x:is>
          <x:t xml:space="preserve">Classical Chinese (文言文)</x:t>
        </x:is>
      </x:c>
      <x:c r="P459" s="81" t="inlineStr">
        <x:is>
          <x:t xml:space="preserve">Không đẩy điều gì quá xa, cũng không bám điều gì quá chặt.</x:t>
        </x:is>
      </x:c>
      <x:c r="Q459" s="81" t="inlineStr">
        <x:is>
          <x:t xml:space="preserve">Huainanzi / 淮南子 (compiled under Liu An court)</x:t>
        </x:is>
      </x:c>
      <x:c r="R459" s="81" t="inlineStr">
        <x:is>
          <x:t xml:space="preserve">Han China / syncretic</x:t>
        </x:is>
      </x:c>
      <x:c r="S459" s="81" t="inlineStr">
        <x:is>
          <x:t xml:space="preserve">淮南子 / Huainanzi</x:t>
        </x:is>
      </x:c>
      <x:c r="T459" s="81" t="inlineStr">
        <x:is>
          <x:t xml:space="preserve">Chapter 7 — 精神訓</x:t>
        </x:is>
      </x:c>
      <x:c r="U459" s="81" t="inlineStr">
        <x:is>
          <x:t xml:space="preserve">https://ctext.org/huainanzi/jing-shen-xun/zh</x:t>
        </x:is>
      </x:c>
      <x:c r="V459" s="81" t="inlineStr">
        <x:is>
          <x:t xml:space="preserve">Primary text / scholarly digital corpus</x:t>
        </x:is>
      </x:c>
      <x:c r="W459" s="81" t="inlineStr">
        <x:is>
          <x:t xml:space="preserve">Working translation</x:t>
        </x:is>
      </x:c>
      <x:c r="X459" s="81" t="inlineStr">
        <x:is>
          <x:t xml:space="preserve">A - Primary source</x:t>
        </x:is>
      </x:c>
      <x:c r="Y459" s="81" t="inlineStr">
        <x:is>
          <x:t xml:space="preserve">Original text checked against Chinese Text Project digital base text. Vietnamese is Selflo working translation, not a published translation.</x:t>
        </x:is>
      </x:c>
      <x:c r="Z459" s="81" t="inlineStr">
        <x:is>
          <x:t xml:space="preserve">Public domain ancient text / edition terms to verify</x:t>
        </x:is>
      </x:c>
      <x:c r="AA459" s="81" t="inlineStr">
        <x:is>
          <x:t xml:space="preserve">Do not copy modern translations/commentaries; verify edition/site terms before commercial release.</x:t>
        </x:is>
      </x:c>
      <x:c r="AB459" s="81" t="inlineStr">
        <x:is>
          <x:t xml:space="preserve">High</x:t>
        </x:is>
      </x:c>
      <x:c r="AC459" s="81" t="inlineStr">
        <x:is>
          <x:t xml:space="preserve">Day 6 research candidate; not Release-approved.</x:t>
        </x:is>
      </x:c>
      <x:c r="AD459" s="81" t="inlineStr">
        <x:is>
          <x:t xml:space="preserve">Needs editorial review</x:t>
        </x:is>
      </x:c>
      <x:c r="AE459" s="81" t="inlineStr">
        <x:is>
          <x:t xml:space="preserve">Needs semantic dedupe review</x:t>
        </x:is>
      </x:c>
      <x:c r="AF459" s="81" t="str"/>
      <x:c r="AG459" s="81" t="str"/>
      <x:c r="AH459" s="81" t="inlineStr">
        <x:is>
          <x:t xml:space="preserve">No</x:t>
        </x:is>
      </x:c>
      <x:c r="AI459" s="81" t="inlineStr">
        <x:is>
          <x:t xml:space="preserve">Not reviewed</x:t>
        </x:is>
      </x:c>
      <x:c r="AJ459" s="81" t="inlineStr">
        <x:is>
          <x:t xml:space="preserve">Research only</x:t>
        </x:is>
      </x:c>
      <x:c r="AK459" s="81" t="inlineStr">
        <x:is>
          <x:t xml:space="preserve">Research Pool</x:t>
        </x:is>
      </x:c>
      <x:c r="AL459" s="81" t="n">
        <x:v>6</x:v>
      </x:c>
      <x:c r="AM459" s="81" t="inlineStr">
        <x:is>
          <x:t xml:space="preserve">ChatGPT research</x:t>
        </x:is>
      </x:c>
      <x:c r="AN459" s="81" t="inlineStr">
        <x:is>
          <x:t xml:space="preserve">2026-09-18</x:t>
        </x:is>
      </x:c>
      <x:c r="AO459" s="81" t="inlineStr">
        <x:is>
          <x:t xml:space="preserve">Day 6 Huainanzi collection; exact source URL stored.</x:t>
        </x:is>
      </x:c>
    </x:row>
    <x:row r="460">
      <x:c r="A460" s="81" t="inlineStr">
        <x:is>
          <x:t xml:space="preserve">research.huainanzi.day6.ch09.008</x:t>
        </x:is>
      </x:c>
      <x:c r="B460" s="81" t="inlineStr">
        <x:is>
          <x:t xml:space="preserve">Collected</x:t>
        </x:is>
      </x:c>
      <x:c r="C460" s="81" t="inlineStr">
        <x:is>
          <x:t xml:space="preserve">Công việc &amp; mục đích</x:t>
        </x:is>
      </x:c>
      <x:c r="D460" s="81" t="inlineStr">
        <x:is>
          <x:t xml:space="preserve">Day 6 / Huainanzi</x:t>
        </x:is>
      </x:c>
      <x:c r="E460" s="81" t="str"/>
      <x:c r="F460" s="81" t="inlineStr">
        <x:is>
          <x:t xml:space="preserve">Lãnh đạo cần khả năng tiếp nhận</x:t>
        </x:is>
      </x:c>
      <x:c r="G460" s="81" t="inlineStr">
        <x:is>
          <x:t xml:space="preserve">Leadership</x:t>
        </x:is>
      </x:c>
      <x:c r="H460" s="81" t="str"/>
      <x:c r="I460" s="81" t="str"/>
      <x:c r="J460" s="81" t="str"/>
      <x:c r="K460" s="81" t="inlineStr">
        <x:is>
          <x:t xml:space="preserve">Reframe</x:t>
        </x:is>
      </x:c>
      <x:c r="L460" s="81" t="inlineStr">
        <x:is>
          <x:t xml:space="preserve">Recognize</x:t>
        </x:is>
      </x:c>
      <x:c r="M460" s="81" t="inlineStr">
        <x:is>
          <x:t xml:space="preserve">Trích đoạn triết học / 寓言</x:t>
        </x:is>
      </x:c>
      <x:c r="N460" s="81" t="inlineStr">
        <x:is>
          <x:t xml:space="preserve">虛心而弱志，清明而不暗。</x:t>
        </x:is>
      </x:c>
      <x:c r="O460" s="81" t="inlineStr">
        <x:is>
          <x:t xml:space="preserve">Classical Chinese (文言文)</x:t>
        </x:is>
      </x:c>
      <x:c r="P460" s="81" t="inlineStr">
        <x:is>
          <x:t xml:space="preserve">Giữ tâm mở và ý chí bớt cứng để có thể nhìn sáng hơn.</x:t>
        </x:is>
      </x:c>
      <x:c r="Q460" s="81" t="inlineStr">
        <x:is>
          <x:t xml:space="preserve">Huainanzi / 淮南子 (compiled under Liu An court)</x:t>
        </x:is>
      </x:c>
      <x:c r="R460" s="81" t="inlineStr">
        <x:is>
          <x:t xml:space="preserve">Han China / syncretic</x:t>
        </x:is>
      </x:c>
      <x:c r="S460" s="81" t="inlineStr">
        <x:is>
          <x:t xml:space="preserve">淮南子 / Huainanzi</x:t>
        </x:is>
      </x:c>
      <x:c r="T460" s="81" t="inlineStr">
        <x:is>
          <x:t xml:space="preserve">Chapter 9 — 主術訓</x:t>
        </x:is>
      </x:c>
      <x:c r="U460" s="81" t="inlineStr">
        <x:is>
          <x:t xml:space="preserve">https://ctext.org/huainanzi/zhu-shu-xun/zh</x:t>
        </x:is>
      </x:c>
      <x:c r="V460" s="81" t="inlineStr">
        <x:is>
          <x:t xml:space="preserve">Primary text / scholarly digital corpus</x:t>
        </x:is>
      </x:c>
      <x:c r="W460" s="81" t="inlineStr">
        <x:is>
          <x:t xml:space="preserve">Working translation</x:t>
        </x:is>
      </x:c>
      <x:c r="X460" s="81" t="inlineStr">
        <x:is>
          <x:t xml:space="preserve">A - Primary source</x:t>
        </x:is>
      </x:c>
      <x:c r="Y460" s="81" t="inlineStr">
        <x:is>
          <x:t xml:space="preserve">Original text checked against Chinese Text Project digital base text. Vietnamese is Selflo working translation, not a published translation.</x:t>
        </x:is>
      </x:c>
      <x:c r="Z460" s="81" t="inlineStr">
        <x:is>
          <x:t xml:space="preserve">Public domain ancient text / edition terms to verify</x:t>
        </x:is>
      </x:c>
      <x:c r="AA460" s="81" t="inlineStr">
        <x:is>
          <x:t xml:space="preserve">Do not copy modern translations/commentaries; verify edition/site terms before commercial release.</x:t>
        </x:is>
      </x:c>
      <x:c r="AB460" s="81" t="inlineStr">
        <x:is>
          <x:t xml:space="preserve">High</x:t>
        </x:is>
      </x:c>
      <x:c r="AC460" s="81" t="inlineStr">
        <x:is>
          <x:t xml:space="preserve">Day 6 research candidate; not Release-approved.</x:t>
        </x:is>
      </x:c>
      <x:c r="AD460" s="81" t="inlineStr">
        <x:is>
          <x:t xml:space="preserve">Needs editorial review</x:t>
        </x:is>
      </x:c>
      <x:c r="AE460" s="81" t="inlineStr">
        <x:is>
          <x:t xml:space="preserve">Needs semantic dedupe review</x:t>
        </x:is>
      </x:c>
      <x:c r="AF460" s="81" t="str"/>
      <x:c r="AG460" s="81" t="str"/>
      <x:c r="AH460" s="81" t="inlineStr">
        <x:is>
          <x:t xml:space="preserve">No</x:t>
        </x:is>
      </x:c>
      <x:c r="AI460" s="81" t="inlineStr">
        <x:is>
          <x:t xml:space="preserve">Not reviewed</x:t>
        </x:is>
      </x:c>
      <x:c r="AJ460" s="81" t="inlineStr">
        <x:is>
          <x:t xml:space="preserve">Research only</x:t>
        </x:is>
      </x:c>
      <x:c r="AK460" s="81" t="inlineStr">
        <x:is>
          <x:t xml:space="preserve">Research Pool</x:t>
        </x:is>
      </x:c>
      <x:c r="AL460" s="81" t="n">
        <x:v>6</x:v>
      </x:c>
      <x:c r="AM460" s="81" t="inlineStr">
        <x:is>
          <x:t xml:space="preserve">ChatGPT research</x:t>
        </x:is>
      </x:c>
      <x:c r="AN460" s="81" t="inlineStr">
        <x:is>
          <x:t xml:space="preserve">2026-09-18</x:t>
        </x:is>
      </x:c>
      <x:c r="AO460" s="81" t="inlineStr">
        <x:is>
          <x:t xml:space="preserve">Day 6 Huainanzi collection; exact source URL stored.</x:t>
        </x:is>
      </x:c>
    </x:row>
    <x:row r="461">
      <x:c r="A461" s="81" t="inlineStr">
        <x:is>
          <x:t xml:space="preserve">research.huainanzi.day6.ch09.009</x:t>
        </x:is>
      </x:c>
      <x:c r="B461" s="81" t="inlineStr">
        <x:is>
          <x:t xml:space="preserve">Collected</x:t>
        </x:is>
      </x:c>
      <x:c r="C461" s="81" t="inlineStr">
        <x:is>
          <x:t xml:space="preserve">Công việc &amp; mục đích</x:t>
        </x:is>
      </x:c>
      <x:c r="D461" s="81" t="inlineStr">
        <x:is>
          <x:t xml:space="preserve">Day 6 / Huainanzi</x:t>
        </x:is>
      </x:c>
      <x:c r="E461" s="81" t="str"/>
      <x:c r="F461" s="81" t="inlineStr">
        <x:is>
          <x:t xml:space="preserve">Không một cá nhân cần gánh toàn bộ trí tuệ</x:t>
        </x:is>
      </x:c>
      <x:c r="G461" s="81" t="inlineStr">
        <x:is>
          <x:t xml:space="preserve">Collective intelligence</x:t>
        </x:is>
      </x:c>
      <x:c r="H461" s="81" t="str"/>
      <x:c r="I461" s="81" t="str"/>
      <x:c r="J461" s="81" t="str"/>
      <x:c r="K461" s="81" t="inlineStr">
        <x:is>
          <x:t xml:space="preserve">Reframe</x:t>
        </x:is>
      </x:c>
      <x:c r="L461" s="81" t="inlineStr">
        <x:is>
          <x:t xml:space="preserve">Recognize</x:t>
        </x:is>
      </x:c>
      <x:c r="M461" s="81" t="inlineStr">
        <x:is>
          <x:t xml:space="preserve">Trích đoạn triết học / 寓言</x:t>
        </x:is>
      </x:c>
      <x:c r="N461" s="81" t="inlineStr">
        <x:is>
          <x:t xml:space="preserve">乘眾勢以為車，御眾智以為馬。</x:t>
        </x:is>
      </x:c>
      <x:c r="O461" s="81" t="inlineStr">
        <x:is>
          <x:t xml:space="preserve">Classical Chinese (文言文)</x:t>
        </x:is>
      </x:c>
      <x:c r="P461" s="81" t="inlineStr">
        <x:is>
          <x:t xml:space="preserve">Dùng sức của nhiều người như xe, dùng trí của nhiều người như ngựa.</x:t>
        </x:is>
      </x:c>
      <x:c r="Q461" s="81" t="inlineStr">
        <x:is>
          <x:t xml:space="preserve">Huainanzi / 淮南子 (compiled under Liu An court)</x:t>
        </x:is>
      </x:c>
      <x:c r="R461" s="81" t="inlineStr">
        <x:is>
          <x:t xml:space="preserve">Han China / syncretic</x:t>
        </x:is>
      </x:c>
      <x:c r="S461" s="81" t="inlineStr">
        <x:is>
          <x:t xml:space="preserve">淮南子 / Huainanzi</x:t>
        </x:is>
      </x:c>
      <x:c r="T461" s="81" t="inlineStr">
        <x:is>
          <x:t xml:space="preserve">Chapter 9 — 主術訓</x:t>
        </x:is>
      </x:c>
      <x:c r="U461" s="81" t="inlineStr">
        <x:is>
          <x:t xml:space="preserve">https://ctext.org/huainanzi/zhu-shu-xun/zh</x:t>
        </x:is>
      </x:c>
      <x:c r="V461" s="81" t="inlineStr">
        <x:is>
          <x:t xml:space="preserve">Primary text / scholarly digital corpus</x:t>
        </x:is>
      </x:c>
      <x:c r="W461" s="81" t="inlineStr">
        <x:is>
          <x:t xml:space="preserve">Working translation</x:t>
        </x:is>
      </x:c>
      <x:c r="X461" s="81" t="inlineStr">
        <x:is>
          <x:t xml:space="preserve">A - Primary source</x:t>
        </x:is>
      </x:c>
      <x:c r="Y461" s="81" t="inlineStr">
        <x:is>
          <x:t xml:space="preserve">Original text checked against Chinese Text Project digital base text. Vietnamese is Selflo working translation, not a published translation.</x:t>
        </x:is>
      </x:c>
      <x:c r="Z461" s="81" t="inlineStr">
        <x:is>
          <x:t xml:space="preserve">Public domain ancient text / edition terms to verify</x:t>
        </x:is>
      </x:c>
      <x:c r="AA461" s="81" t="inlineStr">
        <x:is>
          <x:t xml:space="preserve">Do not copy modern translations/commentaries; verify edition/site terms before commercial release.</x:t>
        </x:is>
      </x:c>
      <x:c r="AB461" s="81" t="inlineStr">
        <x:is>
          <x:t xml:space="preserve">High</x:t>
        </x:is>
      </x:c>
      <x:c r="AC461" s="81" t="inlineStr">
        <x:is>
          <x:t xml:space="preserve">Day 6 research candidate; not Release-approved.</x:t>
        </x:is>
      </x:c>
      <x:c r="AD461" s="81" t="inlineStr">
        <x:is>
          <x:t xml:space="preserve">Needs editorial review</x:t>
        </x:is>
      </x:c>
      <x:c r="AE461" s="81" t="inlineStr">
        <x:is>
          <x:t xml:space="preserve">Needs semantic dedupe review</x:t>
        </x:is>
      </x:c>
      <x:c r="AF461" s="81" t="str"/>
      <x:c r="AG461" s="81" t="str"/>
      <x:c r="AH461" s="81" t="inlineStr">
        <x:is>
          <x:t xml:space="preserve">No</x:t>
        </x:is>
      </x:c>
      <x:c r="AI461" s="81" t="inlineStr">
        <x:is>
          <x:t xml:space="preserve">Not reviewed</x:t>
        </x:is>
      </x:c>
      <x:c r="AJ461" s="81" t="inlineStr">
        <x:is>
          <x:t xml:space="preserve">Research only</x:t>
        </x:is>
      </x:c>
      <x:c r="AK461" s="81" t="inlineStr">
        <x:is>
          <x:t xml:space="preserve">Research Pool</x:t>
        </x:is>
      </x:c>
      <x:c r="AL461" s="81" t="n">
        <x:v>6</x:v>
      </x:c>
      <x:c r="AM461" s="81" t="inlineStr">
        <x:is>
          <x:t xml:space="preserve">ChatGPT research</x:t>
        </x:is>
      </x:c>
      <x:c r="AN461" s="81" t="inlineStr">
        <x:is>
          <x:t xml:space="preserve">2026-09-18</x:t>
        </x:is>
      </x:c>
      <x:c r="AO461" s="81" t="inlineStr">
        <x:is>
          <x:t xml:space="preserve">Day 6 Huainanzi collection; exact source URL stored.</x:t>
        </x:is>
      </x:c>
    </x:row>
    <x:row r="462">
      <x:c r="A462" s="81" t="inlineStr">
        <x:is>
          <x:t xml:space="preserve">research.huainanzi.day6.ch09.010</x:t>
        </x:is>
      </x:c>
      <x:c r="B462" s="81" t="inlineStr">
        <x:is>
          <x:t xml:space="preserve">Collected</x:t>
        </x:is>
      </x:c>
      <x:c r="C462" s="81" t="inlineStr">
        <x:is>
          <x:t xml:space="preserve">Công việc &amp; mục đích</x:t>
        </x:is>
      </x:c>
      <x:c r="D462" s="81" t="inlineStr">
        <x:is>
          <x:t xml:space="preserve">Day 6 / Huainanzi</x:t>
        </x:is>
      </x:c>
      <x:c r="E462" s="81" t="str"/>
      <x:c r="F462" s="81" t="inlineStr">
        <x:is>
          <x:t xml:space="preserve">Collective intelligence</x:t>
        </x:is>
      </x:c>
      <x:c r="G462" s="81" t="inlineStr">
        <x:is>
          <x:t xml:space="preserve">Leadership</x:t>
        </x:is>
      </x:c>
      <x:c r="H462" s="81" t="str"/>
      <x:c r="I462" s="81" t="str"/>
      <x:c r="J462" s="81" t="str"/>
      <x:c r="K462" s="81" t="inlineStr">
        <x:is>
          <x:t xml:space="preserve">Recognize</x:t>
        </x:is>
      </x:c>
      <x:c r="L462" s="81" t="inlineStr">
        <x:is>
          <x:t xml:space="preserve">Recognize</x:t>
        </x:is>
      </x:c>
      <x:c r="M462" s="81" t="inlineStr">
        <x:is>
          <x:t xml:space="preserve">Trích đoạn triết học / 寓言</x:t>
        </x:is>
      </x:c>
      <x:c r="N462" s="81" t="inlineStr">
        <x:is>
          <x:t xml:space="preserve">乘眾人之智，則無不任也。</x:t>
        </x:is>
      </x:c>
      <x:c r="O462" s="81" t="inlineStr">
        <x:is>
          <x:t xml:space="preserve">Classical Chinese (文言文)</x:t>
        </x:is>
      </x:c>
      <x:c r="P462" s="81" t="inlineStr">
        <x:is>
          <x:t xml:space="preserve">Biết dựa vào trí của nhiều người thì việc có thể gánh được rộng hơn.</x:t>
        </x:is>
      </x:c>
      <x:c r="Q462" s="81" t="inlineStr">
        <x:is>
          <x:t xml:space="preserve">Huainanzi / 淮南子 (compiled under Liu An court)</x:t>
        </x:is>
      </x:c>
      <x:c r="R462" s="81" t="inlineStr">
        <x:is>
          <x:t xml:space="preserve">Han China / syncretic</x:t>
        </x:is>
      </x:c>
      <x:c r="S462" s="81" t="inlineStr">
        <x:is>
          <x:t xml:space="preserve">淮南子 / Huainanzi</x:t>
        </x:is>
      </x:c>
      <x:c r="T462" s="81" t="inlineStr">
        <x:is>
          <x:t xml:space="preserve">Chapter 9 — 主術訓</x:t>
        </x:is>
      </x:c>
      <x:c r="U462" s="81" t="inlineStr">
        <x:is>
          <x:t xml:space="preserve">https://ctext.org/huainanzi/zhu-shu-xun/zh</x:t>
        </x:is>
      </x:c>
      <x:c r="V462" s="81" t="inlineStr">
        <x:is>
          <x:t xml:space="preserve">Primary text / scholarly digital corpus</x:t>
        </x:is>
      </x:c>
      <x:c r="W462" s="81" t="inlineStr">
        <x:is>
          <x:t xml:space="preserve">Working translation</x:t>
        </x:is>
      </x:c>
      <x:c r="X462" s="81" t="inlineStr">
        <x:is>
          <x:t xml:space="preserve">A - Primary source</x:t>
        </x:is>
      </x:c>
      <x:c r="Y462" s="81" t="inlineStr">
        <x:is>
          <x:t xml:space="preserve">Original text checked against Chinese Text Project digital base text. Vietnamese is Selflo working translation, not a published translation.</x:t>
        </x:is>
      </x:c>
      <x:c r="Z462" s="81" t="inlineStr">
        <x:is>
          <x:t xml:space="preserve">Public domain ancient text / edition terms to verify</x:t>
        </x:is>
      </x:c>
      <x:c r="AA462" s="81" t="inlineStr">
        <x:is>
          <x:t xml:space="preserve">Do not copy modern translations/commentaries; verify edition/site terms before commercial release.</x:t>
        </x:is>
      </x:c>
      <x:c r="AB462" s="81" t="inlineStr">
        <x:is>
          <x:t xml:space="preserve">High</x:t>
        </x:is>
      </x:c>
      <x:c r="AC462" s="81" t="inlineStr">
        <x:is>
          <x:t xml:space="preserve">Day 6 research candidate; not Release-approved.</x:t>
        </x:is>
      </x:c>
      <x:c r="AD462" s="81" t="inlineStr">
        <x:is>
          <x:t xml:space="preserve">Needs editorial review</x:t>
        </x:is>
      </x:c>
      <x:c r="AE462" s="81" t="inlineStr">
        <x:is>
          <x:t xml:space="preserve">Needs semantic dedupe review</x:t>
        </x:is>
      </x:c>
      <x:c r="AF462" s="81" t="str"/>
      <x:c r="AG462" s="81" t="str"/>
      <x:c r="AH462" s="81" t="inlineStr">
        <x:is>
          <x:t xml:space="preserve">No</x:t>
        </x:is>
      </x:c>
      <x:c r="AI462" s="81" t="inlineStr">
        <x:is>
          <x:t xml:space="preserve">Not reviewed</x:t>
        </x:is>
      </x:c>
      <x:c r="AJ462" s="81" t="inlineStr">
        <x:is>
          <x:t xml:space="preserve">Research only</x:t>
        </x:is>
      </x:c>
      <x:c r="AK462" s="81" t="inlineStr">
        <x:is>
          <x:t xml:space="preserve">Research Pool</x:t>
        </x:is>
      </x:c>
      <x:c r="AL462" s="81" t="n">
        <x:v>6</x:v>
      </x:c>
      <x:c r="AM462" s="81" t="inlineStr">
        <x:is>
          <x:t xml:space="preserve">ChatGPT research</x:t>
        </x:is>
      </x:c>
      <x:c r="AN462" s="81" t="inlineStr">
        <x:is>
          <x:t xml:space="preserve">2026-09-18</x:t>
        </x:is>
      </x:c>
      <x:c r="AO462" s="81" t="inlineStr">
        <x:is>
          <x:t xml:space="preserve">Day 6 Huainanzi collection; exact source URL stored.</x:t>
        </x:is>
      </x:c>
    </x:row>
    <x:row r="463">
      <x:c r="A463" s="81" t="inlineStr">
        <x:is>
          <x:t xml:space="preserve">research.huainanzi.day6.ch09.011</x:t>
        </x:is>
      </x:c>
      <x:c r="B463" s="81" t="inlineStr">
        <x:is>
          <x:t xml:space="preserve">Collected</x:t>
        </x:is>
      </x:c>
      <x:c r="C463" s="81" t="inlineStr">
        <x:is>
          <x:t xml:space="preserve">Nội tâm &amp; hiểu mình</x:t>
        </x:is>
      </x:c>
      <x:c r="D463" s="81" t="inlineStr">
        <x:is>
          <x:t xml:space="preserve">Day 6 / Huainanzi</x:t>
        </x:is>
      </x:c>
      <x:c r="E463" s="81" t="str"/>
      <x:c r="F463" s="81" t="inlineStr">
        <x:is>
          <x:t xml:space="preserve">Một người không cần tự biết hết</x:t>
        </x:is>
      </x:c>
      <x:c r="G463" s="81" t="inlineStr">
        <x:is>
          <x:t xml:space="preserve">Limits</x:t>
        </x:is>
      </x:c>
      <x:c r="H463" s="81" t="str"/>
      <x:c r="I463" s="81" t="str"/>
      <x:c r="J463" s="81" t="str"/>
      <x:c r="K463" s="81" t="inlineStr">
        <x:is>
          <x:t xml:space="preserve">Distinguish</x:t>
        </x:is>
      </x:c>
      <x:c r="L463" s="81" t="inlineStr">
        <x:is>
          <x:t xml:space="preserve">Recognize</x:t>
        </x:is>
      </x:c>
      <x:c r="M463" s="81" t="inlineStr">
        <x:is>
          <x:t xml:space="preserve">Trích đoạn triết học / 寓言</x:t>
        </x:is>
      </x:c>
      <x:c r="N463" s="81" t="inlineStr">
        <x:is>
          <x:t xml:space="preserve">專用其心，則獨身不能保也。</x:t>
        </x:is>
      </x:c>
      <x:c r="O463" s="81" t="inlineStr">
        <x:is>
          <x:t xml:space="preserve">Classical Chinese (文言文)</x:t>
        </x:is>
      </x:c>
      <x:c r="P463" s="81" t="inlineStr">
        <x:is>
          <x:t xml:space="preserve">Chỉ dựa vào một cái đầu riêng thì ngay bản thân cũng có thể không giữ nổi.</x:t>
        </x:is>
      </x:c>
      <x:c r="Q463" s="81" t="inlineStr">
        <x:is>
          <x:t xml:space="preserve">Huainanzi / 淮南子 (compiled under Liu An court)</x:t>
        </x:is>
      </x:c>
      <x:c r="R463" s="81" t="inlineStr">
        <x:is>
          <x:t xml:space="preserve">Han China / syncretic</x:t>
        </x:is>
      </x:c>
      <x:c r="S463" s="81" t="inlineStr">
        <x:is>
          <x:t xml:space="preserve">淮南子 / Huainanzi</x:t>
        </x:is>
      </x:c>
      <x:c r="T463" s="81" t="inlineStr">
        <x:is>
          <x:t xml:space="preserve">Chapter 9 — 主術訓</x:t>
        </x:is>
      </x:c>
      <x:c r="U463" s="81" t="inlineStr">
        <x:is>
          <x:t xml:space="preserve">https://ctext.org/huainanzi/zhu-shu-xun/zh</x:t>
        </x:is>
      </x:c>
      <x:c r="V463" s="81" t="inlineStr">
        <x:is>
          <x:t xml:space="preserve">Primary text / scholarly digital corpus</x:t>
        </x:is>
      </x:c>
      <x:c r="W463" s="81" t="inlineStr">
        <x:is>
          <x:t xml:space="preserve">Working translation</x:t>
        </x:is>
      </x:c>
      <x:c r="X463" s="81" t="inlineStr">
        <x:is>
          <x:t xml:space="preserve">A - Primary source</x:t>
        </x:is>
      </x:c>
      <x:c r="Y463" s="81" t="inlineStr">
        <x:is>
          <x:t xml:space="preserve">Original text checked against Chinese Text Project digital base text. Vietnamese is Selflo working translation, not a published translation.</x:t>
        </x:is>
      </x:c>
      <x:c r="Z463" s="81" t="inlineStr">
        <x:is>
          <x:t xml:space="preserve">Public domain ancient text / edition terms to verify</x:t>
        </x:is>
      </x:c>
      <x:c r="AA463" s="81" t="inlineStr">
        <x:is>
          <x:t xml:space="preserve">Do not copy modern translations/commentaries; verify edition/site terms before commercial release.</x:t>
        </x:is>
      </x:c>
      <x:c r="AB463" s="81" t="inlineStr">
        <x:is>
          <x:t xml:space="preserve">High</x:t>
        </x:is>
      </x:c>
      <x:c r="AC463" s="81" t="inlineStr">
        <x:is>
          <x:t xml:space="preserve">Day 6 research candidate; not Release-approved.</x:t>
        </x:is>
      </x:c>
      <x:c r="AD463" s="81" t="inlineStr">
        <x:is>
          <x:t xml:space="preserve">Needs editorial review</x:t>
        </x:is>
      </x:c>
      <x:c r="AE463" s="81" t="inlineStr">
        <x:is>
          <x:t xml:space="preserve">Needs semantic dedupe review</x:t>
        </x:is>
      </x:c>
      <x:c r="AF463" s="81" t="str"/>
      <x:c r="AG463" s="81" t="str"/>
      <x:c r="AH463" s="81" t="inlineStr">
        <x:is>
          <x:t xml:space="preserve">No</x:t>
        </x:is>
      </x:c>
      <x:c r="AI463" s="81" t="inlineStr">
        <x:is>
          <x:t xml:space="preserve">Not reviewed</x:t>
        </x:is>
      </x:c>
      <x:c r="AJ463" s="81" t="inlineStr">
        <x:is>
          <x:t xml:space="preserve">Research only</x:t>
        </x:is>
      </x:c>
      <x:c r="AK463" s="81" t="inlineStr">
        <x:is>
          <x:t xml:space="preserve">Research Pool</x:t>
        </x:is>
      </x:c>
      <x:c r="AL463" s="81" t="n">
        <x:v>6</x:v>
      </x:c>
      <x:c r="AM463" s="81" t="inlineStr">
        <x:is>
          <x:t xml:space="preserve">ChatGPT research</x:t>
        </x:is>
      </x:c>
      <x:c r="AN463" s="81" t="inlineStr">
        <x:is>
          <x:t xml:space="preserve">2026-09-18</x:t>
        </x:is>
      </x:c>
      <x:c r="AO463" s="81" t="inlineStr">
        <x:is>
          <x:t xml:space="preserve">Day 6 Huainanzi collection; exact source URL stored.</x:t>
        </x:is>
      </x:c>
    </x:row>
    <x:row r="464">
      <x:c r="A464" s="81" t="inlineStr">
        <x:is>
          <x:t xml:space="preserve">research.huainanzi.day6.ch09.012</x:t>
        </x:is>
      </x:c>
      <x:c r="B464" s="81" t="inlineStr">
        <x:is>
          <x:t xml:space="preserve">Collected</x:t>
        </x:is>
      </x:c>
      <x:c r="C464" s="81" t="inlineStr">
        <x:is>
          <x:t xml:space="preserve">Công việc &amp; mục đích</x:t>
        </x:is>
      </x:c>
      <x:c r="D464" s="81" t="inlineStr">
        <x:is>
          <x:t xml:space="preserve">Day 6 / Huainanzi</x:t>
        </x:is>
      </x:c>
      <x:c r="E464" s="81" t="str"/>
      <x:c r="F464" s="81" t="inlineStr">
        <x:is>
          <x:t xml:space="preserve">Biết hỏi không làm giảm năng lực</x:t>
        </x:is>
      </x:c>
      <x:c r="G464" s="81" t="inlineStr">
        <x:is>
          <x:t xml:space="preserve">Learning</x:t>
        </x:is>
      </x:c>
      <x:c r="H464" s="81" t="str"/>
      <x:c r="I464" s="81" t="str"/>
      <x:c r="J464" s="81" t="str"/>
      <x:c r="K464" s="81" t="inlineStr">
        <x:is>
          <x:t xml:space="preserve">Reframe</x:t>
        </x:is>
      </x:c>
      <x:c r="L464" s="81" t="inlineStr">
        <x:is>
          <x:t xml:space="preserve">Recognize</x:t>
        </x:is>
      </x:c>
      <x:c r="M464" s="81" t="inlineStr">
        <x:is>
          <x:t xml:space="preserve">Trích đoạn triết học / 寓言</x:t>
        </x:is>
      </x:c>
      <x:c r="N464" s="81" t="inlineStr">
        <x:is>
          <x:t xml:space="preserve">文王智而好問，故聖；武王勇而好問，故勝。</x:t>
        </x:is>
      </x:c>
      <x:c r="O464" s="81" t="inlineStr">
        <x:is>
          <x:t xml:space="preserve">Classical Chinese (文言文)</x:t>
        </x:is>
      </x:c>
      <x:c r="P464" s="81" t="inlineStr">
        <x:is>
          <x:t xml:space="preserve">Trong văn bản, người có trí và người có dũng vẫn được khen vì biết hỏi.</x:t>
        </x:is>
      </x:c>
      <x:c r="Q464" s="81" t="inlineStr">
        <x:is>
          <x:t xml:space="preserve">Huainanzi / 淮南子 (compiled under Liu An court)</x:t>
        </x:is>
      </x:c>
      <x:c r="R464" s="81" t="inlineStr">
        <x:is>
          <x:t xml:space="preserve">Han China / syncretic</x:t>
        </x:is>
      </x:c>
      <x:c r="S464" s="81" t="inlineStr">
        <x:is>
          <x:t xml:space="preserve">淮南子 / Huainanzi</x:t>
        </x:is>
      </x:c>
      <x:c r="T464" s="81" t="inlineStr">
        <x:is>
          <x:t xml:space="preserve">Chapter 9 — 主術訓</x:t>
        </x:is>
      </x:c>
      <x:c r="U464" s="81" t="inlineStr">
        <x:is>
          <x:t xml:space="preserve">https://ctext.org/huainanzi/zhu-shu-xun/zh</x:t>
        </x:is>
      </x:c>
      <x:c r="V464" s="81" t="inlineStr">
        <x:is>
          <x:t xml:space="preserve">Primary text / scholarly digital corpus</x:t>
        </x:is>
      </x:c>
      <x:c r="W464" s="81" t="inlineStr">
        <x:is>
          <x:t xml:space="preserve">Working translation</x:t>
        </x:is>
      </x:c>
      <x:c r="X464" s="81" t="inlineStr">
        <x:is>
          <x:t xml:space="preserve">A - Primary source</x:t>
        </x:is>
      </x:c>
      <x:c r="Y464" s="81" t="inlineStr">
        <x:is>
          <x:t xml:space="preserve">Original text checked against Chinese Text Project digital base text. Vietnamese is Selflo working translation, not a published translation.</x:t>
        </x:is>
      </x:c>
      <x:c r="Z464" s="81" t="inlineStr">
        <x:is>
          <x:t xml:space="preserve">Public domain ancient text / edition terms to verify</x:t>
        </x:is>
      </x:c>
      <x:c r="AA464" s="81" t="inlineStr">
        <x:is>
          <x:t xml:space="preserve">Do not copy modern translations/commentaries; verify edition/site terms before commercial release.</x:t>
        </x:is>
      </x:c>
      <x:c r="AB464" s="81" t="inlineStr">
        <x:is>
          <x:t xml:space="preserve">High</x:t>
        </x:is>
      </x:c>
      <x:c r="AC464" s="81" t="inlineStr">
        <x:is>
          <x:t xml:space="preserve">Day 6 research candidate; not Release-approved.</x:t>
        </x:is>
      </x:c>
      <x:c r="AD464" s="81" t="inlineStr">
        <x:is>
          <x:t xml:space="preserve">Needs editorial review</x:t>
        </x:is>
      </x:c>
      <x:c r="AE464" s="81" t="inlineStr">
        <x:is>
          <x:t xml:space="preserve">Needs semantic dedupe review</x:t>
        </x:is>
      </x:c>
      <x:c r="AF464" s="81" t="str"/>
      <x:c r="AG464" s="81" t="str"/>
      <x:c r="AH464" s="81" t="inlineStr">
        <x:is>
          <x:t xml:space="preserve">No</x:t>
        </x:is>
      </x:c>
      <x:c r="AI464" s="81" t="inlineStr">
        <x:is>
          <x:t xml:space="preserve">Not reviewed</x:t>
        </x:is>
      </x:c>
      <x:c r="AJ464" s="81" t="inlineStr">
        <x:is>
          <x:t xml:space="preserve">Research only</x:t>
        </x:is>
      </x:c>
      <x:c r="AK464" s="81" t="inlineStr">
        <x:is>
          <x:t xml:space="preserve">Research Pool</x:t>
        </x:is>
      </x:c>
      <x:c r="AL464" s="81" t="n">
        <x:v>6</x:v>
      </x:c>
      <x:c r="AM464" s="81" t="inlineStr">
        <x:is>
          <x:t xml:space="preserve">ChatGPT research</x:t>
        </x:is>
      </x:c>
      <x:c r="AN464" s="81" t="inlineStr">
        <x:is>
          <x:t xml:space="preserve">2026-09-18</x:t>
        </x:is>
      </x:c>
      <x:c r="AO464" s="81" t="inlineStr">
        <x:is>
          <x:t xml:space="preserve">Day 6 Huainanzi collection; exact source URL stored.</x:t>
        </x:is>
      </x:c>
    </x:row>
    <x:row r="465">
      <x:c r="A465" s="81" t="inlineStr">
        <x:is>
          <x:t xml:space="preserve">research.huainanzi.day6.ch13.013</x:t>
        </x:is>
      </x:c>
      <x:c r="B465" s="81" t="inlineStr">
        <x:is>
          <x:t xml:space="preserve">Collected</x:t>
        </x:is>
      </x:c>
      <x:c r="C465" s="81" t="inlineStr">
        <x:is>
          <x:t xml:space="preserve">Nội tâm &amp; hiểu mình</x:t>
        </x:is>
      </x:c>
      <x:c r="D465" s="81" t="inlineStr">
        <x:is>
          <x:t xml:space="preserve">Day 6 / Huainanzi</x:t>
        </x:is>
      </x:c>
      <x:c r="E465" s="81" t="str"/>
      <x:c r="F465" s="81" t="inlineStr">
        <x:is>
          <x:t xml:space="preserve">Nguyên tắc bền hơn công thức</x:t>
        </x:is>
      </x:c>
      <x:c r="G465" s="81" t="inlineStr">
        <x:is>
          <x:t xml:space="preserve">Adaptation</x:t>
        </x:is>
      </x:c>
      <x:c r="H465" s="81" t="str"/>
      <x:c r="I465" s="81" t="str"/>
      <x:c r="J465" s="81" t="str"/>
      <x:c r="K465" s="81" t="inlineStr">
        <x:is>
          <x:t xml:space="preserve">Distinguish</x:t>
        </x:is>
      </x:c>
      <x:c r="L465" s="81" t="inlineStr">
        <x:is>
          <x:t xml:space="preserve">Recognize</x:t>
        </x:is>
      </x:c>
      <x:c r="M465" s="81" t="inlineStr">
        <x:is>
          <x:t xml:space="preserve">Trích đoạn triết học / 寓言</x:t>
        </x:is>
      </x:c>
      <x:c r="N465" s="81" t="inlineStr">
        <x:is>
          <x:t xml:space="preserve">知法治所由生，則應時而變。</x:t>
        </x:is>
      </x:c>
      <x:c r="O465" s="81" t="inlineStr">
        <x:is>
          <x:t xml:space="preserve">Classical Chinese (文言文)</x:t>
        </x:is>
      </x:c>
      <x:c r="P465" s="81" t="inlineStr">
        <x:is>
          <x:t xml:space="preserve">Hiểu vì sao một phương pháp sinh ra thì mới biết thay đổi nó theo thời.</x:t>
        </x:is>
      </x:c>
      <x:c r="Q465" s="81" t="inlineStr">
        <x:is>
          <x:t xml:space="preserve">Huainanzi / 淮南子 (compiled under Liu An court)</x:t>
        </x:is>
      </x:c>
      <x:c r="R465" s="81" t="inlineStr">
        <x:is>
          <x:t xml:space="preserve">Han China / syncretic</x:t>
        </x:is>
      </x:c>
      <x:c r="S465" s="81" t="inlineStr">
        <x:is>
          <x:t xml:space="preserve">淮南子 / Huainanzi</x:t>
        </x:is>
      </x:c>
      <x:c r="T465" s="81" t="inlineStr">
        <x:is>
          <x:t xml:space="preserve">Chapter 13 — 氾論訓</x:t>
        </x:is>
      </x:c>
      <x:c r="U465" s="81" t="inlineStr">
        <x:is>
          <x:t xml:space="preserve">https://ctext.org/huainanzi/fan-lun-xun/zh</x:t>
        </x:is>
      </x:c>
      <x:c r="V465" s="81" t="inlineStr">
        <x:is>
          <x:t xml:space="preserve">Primary text / scholarly digital corpus</x:t>
        </x:is>
      </x:c>
      <x:c r="W465" s="81" t="inlineStr">
        <x:is>
          <x:t xml:space="preserve">Working translation</x:t>
        </x:is>
      </x:c>
      <x:c r="X465" s="81" t="inlineStr">
        <x:is>
          <x:t xml:space="preserve">A - Primary source</x:t>
        </x:is>
      </x:c>
      <x:c r="Y465" s="81" t="inlineStr">
        <x:is>
          <x:t xml:space="preserve">Original text checked against Chinese Text Project digital base text. Vietnamese is Selflo working translation, not a published translation.</x:t>
        </x:is>
      </x:c>
      <x:c r="Z465" s="81" t="inlineStr">
        <x:is>
          <x:t xml:space="preserve">Public domain ancient text / edition terms to verify</x:t>
        </x:is>
      </x:c>
      <x:c r="AA465" s="81" t="inlineStr">
        <x:is>
          <x:t xml:space="preserve">Do not copy modern translations/commentaries; verify edition/site terms before commercial release.</x:t>
        </x:is>
      </x:c>
      <x:c r="AB465" s="81" t="inlineStr">
        <x:is>
          <x:t xml:space="preserve">High</x:t>
        </x:is>
      </x:c>
      <x:c r="AC465" s="81" t="inlineStr">
        <x:is>
          <x:t xml:space="preserve">Day 6 research candidate; not Release-approved.</x:t>
        </x:is>
      </x:c>
      <x:c r="AD465" s="81" t="inlineStr">
        <x:is>
          <x:t xml:space="preserve">Needs editorial review</x:t>
        </x:is>
      </x:c>
      <x:c r="AE465" s="81" t="inlineStr">
        <x:is>
          <x:t xml:space="preserve">Needs semantic dedupe review</x:t>
        </x:is>
      </x:c>
      <x:c r="AF465" s="81" t="str"/>
      <x:c r="AG465" s="81" t="str"/>
      <x:c r="AH465" s="81" t="inlineStr">
        <x:is>
          <x:t xml:space="preserve">No</x:t>
        </x:is>
      </x:c>
      <x:c r="AI465" s="81" t="inlineStr">
        <x:is>
          <x:t xml:space="preserve">Not reviewed</x:t>
        </x:is>
      </x:c>
      <x:c r="AJ465" s="81" t="inlineStr">
        <x:is>
          <x:t xml:space="preserve">Research only</x:t>
        </x:is>
      </x:c>
      <x:c r="AK465" s="81" t="inlineStr">
        <x:is>
          <x:t xml:space="preserve">Research Pool</x:t>
        </x:is>
      </x:c>
      <x:c r="AL465" s="81" t="n">
        <x:v>6</x:v>
      </x:c>
      <x:c r="AM465" s="81" t="inlineStr">
        <x:is>
          <x:t xml:space="preserve">ChatGPT research</x:t>
        </x:is>
      </x:c>
      <x:c r="AN465" s="81" t="inlineStr">
        <x:is>
          <x:t xml:space="preserve">2026-09-18</x:t>
        </x:is>
      </x:c>
      <x:c r="AO465" s="81" t="inlineStr">
        <x:is>
          <x:t xml:space="preserve">Day 6 Huainanzi collection; exact source URL stored.</x:t>
        </x:is>
      </x:c>
    </x:row>
    <x:row r="466">
      <x:c r="A466" s="81" t="inlineStr">
        <x:is>
          <x:t xml:space="preserve">research.huainanzi.day6.ch13.014</x:t>
        </x:is>
      </x:c>
      <x:c r="B466" s="81" t="inlineStr">
        <x:is>
          <x:t xml:space="preserve">Collected</x:t>
        </x:is>
      </x:c>
      <x:c r="C466" s="81" t="inlineStr">
        <x:is>
          <x:t xml:space="preserve">Công việc &amp; mục đích</x:t>
        </x:is>
      </x:c>
      <x:c r="D466" s="81" t="inlineStr">
        <x:is>
          <x:t xml:space="preserve">Day 6 / Huainanzi</x:t>
        </x:is>
      </x:c>
      <x:c r="E466" s="81" t="str"/>
      <x:c r="F466" s="81" t="inlineStr">
        <x:is>
          <x:t xml:space="preserve">Copy best practice không thay thế hiểu nguyên lý</x:t>
        </x:is>
      </x:c>
      <x:c r="G466" s="81" t="inlineStr">
        <x:is>
          <x:t xml:space="preserve">Systems</x:t>
        </x:is>
      </x:c>
      <x:c r="H466" s="81" t="str"/>
      <x:c r="I466" s="81" t="str"/>
      <x:c r="J466" s="81" t="str"/>
      <x:c r="K466" s="81" t="inlineStr">
        <x:is>
          <x:t xml:space="preserve">Distinguish</x:t>
        </x:is>
      </x:c>
      <x:c r="L466" s="81" t="inlineStr">
        <x:is>
          <x:t xml:space="preserve">Recognize</x:t>
        </x:is>
      </x:c>
      <x:c r="M466" s="81" t="inlineStr">
        <x:is>
          <x:t xml:space="preserve">Trích đoạn triết học / 寓言</x:t>
        </x:is>
      </x:c>
      <x:c r="N466" s="81" t="inlineStr">
        <x:is>
          <x:t xml:space="preserve">不知法治之源，雖循古，終亂。</x:t>
        </x:is>
      </x:c>
      <x:c r="O466" s="81" t="inlineStr">
        <x:is>
          <x:t xml:space="preserve">Classical Chinese (文言文)</x:t>
        </x:is>
      </x:c>
      <x:c r="P466" s="81" t="inlineStr">
        <x:is>
          <x:t xml:space="preserve">Không hiểu nguồn của phương pháp thì dù làm đúng cái cũ vẫn có thể gây rối.</x:t>
        </x:is>
      </x:c>
      <x:c r="Q466" s="81" t="inlineStr">
        <x:is>
          <x:t xml:space="preserve">Huainanzi / 淮南子 (compiled under Liu An court)</x:t>
        </x:is>
      </x:c>
      <x:c r="R466" s="81" t="inlineStr">
        <x:is>
          <x:t xml:space="preserve">Han China / syncretic</x:t>
        </x:is>
      </x:c>
      <x:c r="S466" s="81" t="inlineStr">
        <x:is>
          <x:t xml:space="preserve">淮南子 / Huainanzi</x:t>
        </x:is>
      </x:c>
      <x:c r="T466" s="81" t="inlineStr">
        <x:is>
          <x:t xml:space="preserve">Chapter 13 — 氾論訓</x:t>
        </x:is>
      </x:c>
      <x:c r="U466" s="81" t="inlineStr">
        <x:is>
          <x:t xml:space="preserve">https://ctext.org/huainanzi/fan-lun-xun/zh</x:t>
        </x:is>
      </x:c>
      <x:c r="V466" s="81" t="inlineStr">
        <x:is>
          <x:t xml:space="preserve">Primary text / scholarly digital corpus</x:t>
        </x:is>
      </x:c>
      <x:c r="W466" s="81" t="inlineStr">
        <x:is>
          <x:t xml:space="preserve">Working translation</x:t>
        </x:is>
      </x:c>
      <x:c r="X466" s="81" t="inlineStr">
        <x:is>
          <x:t xml:space="preserve">A - Primary source</x:t>
        </x:is>
      </x:c>
      <x:c r="Y466" s="81" t="inlineStr">
        <x:is>
          <x:t xml:space="preserve">Original text checked against Chinese Text Project digital base text. Vietnamese is Selflo working translation, not a published translation.</x:t>
        </x:is>
      </x:c>
      <x:c r="Z466" s="81" t="inlineStr">
        <x:is>
          <x:t xml:space="preserve">Public domain ancient text / edition terms to verify</x:t>
        </x:is>
      </x:c>
      <x:c r="AA466" s="81" t="inlineStr">
        <x:is>
          <x:t xml:space="preserve">Do not copy modern translations/commentaries; verify edition/site terms before commercial release.</x:t>
        </x:is>
      </x:c>
      <x:c r="AB466" s="81" t="inlineStr">
        <x:is>
          <x:t xml:space="preserve">High</x:t>
        </x:is>
      </x:c>
      <x:c r="AC466" s="81" t="inlineStr">
        <x:is>
          <x:t xml:space="preserve">Day 6 research candidate; not Release-approved.</x:t>
        </x:is>
      </x:c>
      <x:c r="AD466" s="81" t="inlineStr">
        <x:is>
          <x:t xml:space="preserve">Needs editorial review</x:t>
        </x:is>
      </x:c>
      <x:c r="AE466" s="81" t="inlineStr">
        <x:is>
          <x:t xml:space="preserve">Needs semantic dedupe review</x:t>
        </x:is>
      </x:c>
      <x:c r="AF466" s="81" t="str"/>
      <x:c r="AG466" s="81" t="str"/>
      <x:c r="AH466" s="81" t="inlineStr">
        <x:is>
          <x:t xml:space="preserve">No</x:t>
        </x:is>
      </x:c>
      <x:c r="AI466" s="81" t="inlineStr">
        <x:is>
          <x:t xml:space="preserve">Not reviewed</x:t>
        </x:is>
      </x:c>
      <x:c r="AJ466" s="81" t="inlineStr">
        <x:is>
          <x:t xml:space="preserve">Research only</x:t>
        </x:is>
      </x:c>
      <x:c r="AK466" s="81" t="inlineStr">
        <x:is>
          <x:t xml:space="preserve">Research Pool</x:t>
        </x:is>
      </x:c>
      <x:c r="AL466" s="81" t="n">
        <x:v>6</x:v>
      </x:c>
      <x:c r="AM466" s="81" t="inlineStr">
        <x:is>
          <x:t xml:space="preserve">ChatGPT research</x:t>
        </x:is>
      </x:c>
      <x:c r="AN466" s="81" t="inlineStr">
        <x:is>
          <x:t xml:space="preserve">2026-09-18</x:t>
        </x:is>
      </x:c>
      <x:c r="AO466" s="81" t="inlineStr">
        <x:is>
          <x:t xml:space="preserve">Day 6 Huainanzi collection; exact source URL stored.</x:t>
        </x:is>
      </x:c>
    </x:row>
    <x:row r="467">
      <x:c r="A467" s="81" t="inlineStr">
        <x:is>
          <x:t xml:space="preserve">research.huainanzi.day6.ch13.015</x:t>
        </x:is>
      </x:c>
      <x:c r="B467" s="81" t="inlineStr">
        <x:is>
          <x:t xml:space="preserve">Collected</x:t>
        </x:is>
      </x:c>
      <x:c r="C467" s="81" t="inlineStr">
        <x:is>
          <x:t xml:space="preserve">Nội tâm &amp; hiểu mình</x:t>
        </x:is>
      </x:c>
      <x:c r="D467" s="81" t="inlineStr">
        <x:is>
          <x:t xml:space="preserve">Day 6 / Huainanzi</x:t>
        </x:is>
      </x:c>
      <x:c r="E467" s="81" t="str"/>
      <x:c r="F467" s="81" t="inlineStr">
        <x:is>
          <x:t xml:space="preserve">Giải pháp cần bối cảnh</x:t>
        </x:is>
      </x:c>
      <x:c r="G467" s="81" t="inlineStr">
        <x:is>
          <x:t xml:space="preserve">Context</x:t>
        </x:is>
      </x:c>
      <x:c r="H467" s="81" t="str"/>
      <x:c r="I467" s="81" t="str"/>
      <x:c r="J467" s="81" t="str"/>
      <x:c r="K467" s="81" t="inlineStr">
        <x:is>
          <x:t xml:space="preserve">Recognize</x:t>
        </x:is>
      </x:c>
      <x:c r="L467" s="81" t="inlineStr">
        <x:is>
          <x:t xml:space="preserve">Recognize</x:t>
        </x:is>
      </x:c>
      <x:c r="M467" s="81" t="inlineStr">
        <x:is>
          <x:t xml:space="preserve">Trích đoạn triết học / 寓言</x:t>
        </x:is>
      </x:c>
      <x:c r="N467" s="81" t="inlineStr">
        <x:is>
          <x:t xml:space="preserve">今世之法籍與時變，禮義與俗易。</x:t>
        </x:is>
      </x:c>
      <x:c r="O467" s="81" t="inlineStr">
        <x:is>
          <x:t xml:space="preserve">Classical Chinese (文言文)</x:t>
        </x:is>
      </x:c>
      <x:c r="P467" s="81" t="inlineStr">
        <x:is>
          <x:t xml:space="preserve">Phương pháp thay theo thời; cách thực hành cũng đổi theo hoàn cảnh.</x:t>
        </x:is>
      </x:c>
      <x:c r="Q467" s="81" t="inlineStr">
        <x:is>
          <x:t xml:space="preserve">Huainanzi / 淮南子 (compiled under Liu An court)</x:t>
        </x:is>
      </x:c>
      <x:c r="R467" s="81" t="inlineStr">
        <x:is>
          <x:t xml:space="preserve">Han China / syncretic</x:t>
        </x:is>
      </x:c>
      <x:c r="S467" s="81" t="inlineStr">
        <x:is>
          <x:t xml:space="preserve">淮南子 / Huainanzi</x:t>
        </x:is>
      </x:c>
      <x:c r="T467" s="81" t="inlineStr">
        <x:is>
          <x:t xml:space="preserve">Chapter 13 — 氾論訓</x:t>
        </x:is>
      </x:c>
      <x:c r="U467" s="81" t="inlineStr">
        <x:is>
          <x:t xml:space="preserve">https://ctext.org/huainanzi/fan-lun-xun/zh</x:t>
        </x:is>
      </x:c>
      <x:c r="V467" s="81" t="inlineStr">
        <x:is>
          <x:t xml:space="preserve">Primary text / scholarly digital corpus</x:t>
        </x:is>
      </x:c>
      <x:c r="W467" s="81" t="inlineStr">
        <x:is>
          <x:t xml:space="preserve">Working translation</x:t>
        </x:is>
      </x:c>
      <x:c r="X467" s="81" t="inlineStr">
        <x:is>
          <x:t xml:space="preserve">A - Primary source</x:t>
        </x:is>
      </x:c>
      <x:c r="Y467" s="81" t="inlineStr">
        <x:is>
          <x:t xml:space="preserve">Original text checked against Chinese Text Project digital base text. Vietnamese is Selflo working translation, not a published translation.</x:t>
        </x:is>
      </x:c>
      <x:c r="Z467" s="81" t="inlineStr">
        <x:is>
          <x:t xml:space="preserve">Public domain ancient text / edition terms to verify</x:t>
        </x:is>
      </x:c>
      <x:c r="AA467" s="81" t="inlineStr">
        <x:is>
          <x:t xml:space="preserve">Do not copy modern translations/commentaries; verify edition/site terms before commercial release.</x:t>
        </x:is>
      </x:c>
      <x:c r="AB467" s="81" t="inlineStr">
        <x:is>
          <x:t xml:space="preserve">High</x:t>
        </x:is>
      </x:c>
      <x:c r="AC467" s="81" t="inlineStr">
        <x:is>
          <x:t xml:space="preserve">Day 6 research candidate; not Release-approved.</x:t>
        </x:is>
      </x:c>
      <x:c r="AD467" s="81" t="inlineStr">
        <x:is>
          <x:t xml:space="preserve">Needs editorial review</x:t>
        </x:is>
      </x:c>
      <x:c r="AE467" s="81" t="inlineStr">
        <x:is>
          <x:t xml:space="preserve">Needs semantic dedupe review</x:t>
        </x:is>
      </x:c>
      <x:c r="AF467" s="81" t="str"/>
      <x:c r="AG467" s="81" t="str"/>
      <x:c r="AH467" s="81" t="inlineStr">
        <x:is>
          <x:t xml:space="preserve">No</x:t>
        </x:is>
      </x:c>
      <x:c r="AI467" s="81" t="inlineStr">
        <x:is>
          <x:t xml:space="preserve">Not reviewed</x:t>
        </x:is>
      </x:c>
      <x:c r="AJ467" s="81" t="inlineStr">
        <x:is>
          <x:t xml:space="preserve">Research only</x:t>
        </x:is>
      </x:c>
      <x:c r="AK467" s="81" t="inlineStr">
        <x:is>
          <x:t xml:space="preserve">Research Pool</x:t>
        </x:is>
      </x:c>
      <x:c r="AL467" s="81" t="n">
        <x:v>6</x:v>
      </x:c>
      <x:c r="AM467" s="81" t="inlineStr">
        <x:is>
          <x:t xml:space="preserve">ChatGPT research</x:t>
        </x:is>
      </x:c>
      <x:c r="AN467" s="81" t="inlineStr">
        <x:is>
          <x:t xml:space="preserve">2026-09-18</x:t>
        </x:is>
      </x:c>
      <x:c r="AO467" s="81" t="inlineStr">
        <x:is>
          <x:t xml:space="preserve">Day 6 Huainanzi collection; exact source URL stored.</x:t>
        </x:is>
      </x:c>
    </x:row>
    <x:row r="468">
      <x:c r="A468" s="81" t="inlineStr">
        <x:is>
          <x:t xml:space="preserve">research.huainanzi.day6.ch13.016</x:t>
        </x:is>
      </x:c>
      <x:c r="B468" s="81" t="inlineStr">
        <x:is>
          <x:t xml:space="preserve">Collected</x:t>
        </x:is>
      </x:c>
      <x:c r="C468" s="81" t="inlineStr">
        <x:is>
          <x:t xml:space="preserve">Nội tâm &amp; hiểu mình</x:t>
        </x:is>
      </x:c>
      <x:c r="D468" s="81" t="inlineStr">
        <x:is>
          <x:t xml:space="preserve">Day 6 / Huainanzi</x:t>
        </x:is>
      </x:c>
      <x:c r="E468" s="81" t="str"/>
      <x:c r="F468" s="81" t="inlineStr">
        <x:is>
          <x:t xml:space="preserve">Không có một template cho mọi tình huống</x:t>
        </x:is>
      </x:c>
      <x:c r="G468" s="81" t="inlineStr">
        <x:is>
          <x:t xml:space="preserve">Context</x:t>
        </x:is>
      </x:c>
      <x:c r="H468" s="81" t="str"/>
      <x:c r="I468" s="81" t="str"/>
      <x:c r="J468" s="81" t="str"/>
      <x:c r="K468" s="81" t="inlineStr">
        <x:is>
          <x:t xml:space="preserve">Distinguish</x:t>
        </x:is>
      </x:c>
      <x:c r="L468" s="81" t="inlineStr">
        <x:is>
          <x:t xml:space="preserve">Recognize</x:t>
        </x:is>
      </x:c>
      <x:c r="M468" s="81" t="inlineStr">
        <x:is>
          <x:t xml:space="preserve">Trích đoạn triết học / 寓言</x:t>
        </x:is>
      </x:c>
      <x:c r="N468" s="81" t="inlineStr">
        <x:is>
          <x:t xml:space="preserve">天下豈有常法哉！</x:t>
        </x:is>
      </x:c>
      <x:c r="O468" s="81" t="inlineStr">
        <x:is>
          <x:t xml:space="preserve">Classical Chinese (文言文)</x:t>
        </x:is>
      </x:c>
      <x:c r="P468" s="81" t="inlineStr">
        <x:is>
          <x:t xml:space="preserve">Làm gì có một công thức cố định cho mọi thời?</x:t>
        </x:is>
      </x:c>
      <x:c r="Q468" s="81" t="inlineStr">
        <x:is>
          <x:t xml:space="preserve">Huainanzi / 淮南子 (compiled under Liu An court)</x:t>
        </x:is>
      </x:c>
      <x:c r="R468" s="81" t="inlineStr">
        <x:is>
          <x:t xml:space="preserve">Han China / syncretic</x:t>
        </x:is>
      </x:c>
      <x:c r="S468" s="81" t="inlineStr">
        <x:is>
          <x:t xml:space="preserve">淮南子 / Huainanzi</x:t>
        </x:is>
      </x:c>
      <x:c r="T468" s="81" t="inlineStr">
        <x:is>
          <x:t xml:space="preserve">Chapter 13 — 氾論訓</x:t>
        </x:is>
      </x:c>
      <x:c r="U468" s="81" t="inlineStr">
        <x:is>
          <x:t xml:space="preserve">https://ctext.org/huainanzi/fan-lun-xun/zh</x:t>
        </x:is>
      </x:c>
      <x:c r="V468" s="81" t="inlineStr">
        <x:is>
          <x:t xml:space="preserve">Primary text / scholarly digital corpus</x:t>
        </x:is>
      </x:c>
      <x:c r="W468" s="81" t="inlineStr">
        <x:is>
          <x:t xml:space="preserve">Working translation</x:t>
        </x:is>
      </x:c>
      <x:c r="X468" s="81" t="inlineStr">
        <x:is>
          <x:t xml:space="preserve">A - Primary source</x:t>
        </x:is>
      </x:c>
      <x:c r="Y468" s="81" t="inlineStr">
        <x:is>
          <x:t xml:space="preserve">Original text checked against Chinese Text Project digital base text. Vietnamese is Selflo working translation, not a published translation.</x:t>
        </x:is>
      </x:c>
      <x:c r="Z468" s="81" t="inlineStr">
        <x:is>
          <x:t xml:space="preserve">Public domain ancient text / edition terms to verify</x:t>
        </x:is>
      </x:c>
      <x:c r="AA468" s="81" t="inlineStr">
        <x:is>
          <x:t xml:space="preserve">Do not copy modern translations/commentaries; verify edition/site terms before commercial release.</x:t>
        </x:is>
      </x:c>
      <x:c r="AB468" s="81" t="inlineStr">
        <x:is>
          <x:t xml:space="preserve">High</x:t>
        </x:is>
      </x:c>
      <x:c r="AC468" s="81" t="inlineStr">
        <x:is>
          <x:t xml:space="preserve">Day 6 research candidate; not Release-approved.</x:t>
        </x:is>
      </x:c>
      <x:c r="AD468" s="81" t="inlineStr">
        <x:is>
          <x:t xml:space="preserve">Needs editorial review</x:t>
        </x:is>
      </x:c>
      <x:c r="AE468" s="81" t="inlineStr">
        <x:is>
          <x:t xml:space="preserve">Needs semantic dedupe review</x:t>
        </x:is>
      </x:c>
      <x:c r="AF468" s="81" t="str"/>
      <x:c r="AG468" s="81" t="str"/>
      <x:c r="AH468" s="81" t="inlineStr">
        <x:is>
          <x:t xml:space="preserve">No</x:t>
        </x:is>
      </x:c>
      <x:c r="AI468" s="81" t="inlineStr">
        <x:is>
          <x:t xml:space="preserve">Not reviewed</x:t>
        </x:is>
      </x:c>
      <x:c r="AJ468" s="81" t="inlineStr">
        <x:is>
          <x:t xml:space="preserve">Research only</x:t>
        </x:is>
      </x:c>
      <x:c r="AK468" s="81" t="inlineStr">
        <x:is>
          <x:t xml:space="preserve">Research Pool</x:t>
        </x:is>
      </x:c>
      <x:c r="AL468" s="81" t="n">
        <x:v>6</x:v>
      </x:c>
      <x:c r="AM468" s="81" t="inlineStr">
        <x:is>
          <x:t xml:space="preserve">ChatGPT research</x:t>
        </x:is>
      </x:c>
      <x:c r="AN468" s="81" t="inlineStr">
        <x:is>
          <x:t xml:space="preserve">2026-09-18</x:t>
        </x:is>
      </x:c>
      <x:c r="AO468" s="81" t="inlineStr">
        <x:is>
          <x:t xml:space="preserve">Day 6 Huainanzi collection; exact source URL stored.</x:t>
        </x:is>
      </x:c>
    </x:row>
    <x:row r="469">
      <x:c r="A469" s="81" t="inlineStr">
        <x:is>
          <x:t xml:space="preserve">research.huainanzi.day6.ch13.017</x:t>
        </x:is>
      </x:c>
      <x:c r="B469" s="81" t="inlineStr">
        <x:is>
          <x:t xml:space="preserve">Collected</x:t>
        </x:is>
      </x:c>
      <x:c r="C469" s="81" t="inlineStr">
        <x:is>
          <x:t xml:space="preserve">AI &amp; tương lai</x:t>
        </x:is>
      </x:c>
      <x:c r="D469" s="81" t="inlineStr">
        <x:is>
          <x:t xml:space="preserve">Day 6 / Huainanzi</x:t>
        </x:is>
      </x:c>
      <x:c r="E469" s="81" t="str"/>
      <x:c r="F469" s="81" t="inlineStr">
        <x:is>
          <x:t xml:space="preserve">Công cụ phục vụ bối cảnh, không ngược lại</x:t>
        </x:is>
      </x:c>
      <x:c r="G469" s="81" t="inlineStr">
        <x:is>
          <x:t xml:space="preserve">Technology</x:t>
        </x:is>
      </x:c>
      <x:c r="H469" s="81" t="str"/>
      <x:c r="I469" s="81" t="str"/>
      <x:c r="J469" s="81" t="str"/>
      <x:c r="K469" s="81" t="inlineStr">
        <x:is>
          <x:t xml:space="preserve">Distinguish</x:t>
        </x:is>
      </x:c>
      <x:c r="L469" s="81" t="inlineStr">
        <x:is>
          <x:t xml:space="preserve">Recognize</x:t>
        </x:is>
      </x:c>
      <x:c r="M469" s="81" t="inlineStr">
        <x:is>
          <x:t xml:space="preserve">Trích đoạn triết học / 寓言</x:t>
        </x:is>
      </x:c>
      <x:c r="N469" s="81" t="inlineStr">
        <x:is>
          <x:t xml:space="preserve">器械者，因時變而制宜適也。</x:t>
        </x:is>
      </x:c>
      <x:c r="O469" s="81" t="inlineStr">
        <x:is>
          <x:t xml:space="preserve">Classical Chinese (文言文)</x:t>
        </x:is>
      </x:c>
      <x:c r="P469" s="81" t="inlineStr">
        <x:is>
          <x:t xml:space="preserve">Công cụ phải thay theo thời để phù hợp với điều cần làm.</x:t>
        </x:is>
      </x:c>
      <x:c r="Q469" s="81" t="inlineStr">
        <x:is>
          <x:t xml:space="preserve">Huainanzi / 淮南子 (compiled under Liu An court)</x:t>
        </x:is>
      </x:c>
      <x:c r="R469" s="81" t="inlineStr">
        <x:is>
          <x:t xml:space="preserve">Han China / syncretic</x:t>
        </x:is>
      </x:c>
      <x:c r="S469" s="81" t="inlineStr">
        <x:is>
          <x:t xml:space="preserve">淮南子 / Huainanzi</x:t>
        </x:is>
      </x:c>
      <x:c r="T469" s="81" t="inlineStr">
        <x:is>
          <x:t xml:space="preserve">Chapter 13 — 氾論訓</x:t>
        </x:is>
      </x:c>
      <x:c r="U469" s="81" t="inlineStr">
        <x:is>
          <x:t xml:space="preserve">https://ctext.org/huainanzi/fan-lun-xun/zh</x:t>
        </x:is>
      </x:c>
      <x:c r="V469" s="81" t="inlineStr">
        <x:is>
          <x:t xml:space="preserve">Primary text / scholarly digital corpus</x:t>
        </x:is>
      </x:c>
      <x:c r="W469" s="81" t="inlineStr">
        <x:is>
          <x:t xml:space="preserve">Working translation</x:t>
        </x:is>
      </x:c>
      <x:c r="X469" s="81" t="inlineStr">
        <x:is>
          <x:t xml:space="preserve">A - Primary source</x:t>
        </x:is>
      </x:c>
      <x:c r="Y469" s="81" t="inlineStr">
        <x:is>
          <x:t xml:space="preserve">Original text checked against Chinese Text Project digital base text. Vietnamese is Selflo working translation, not a published translation.</x:t>
        </x:is>
      </x:c>
      <x:c r="Z469" s="81" t="inlineStr">
        <x:is>
          <x:t xml:space="preserve">Public domain ancient text / edition terms to verify</x:t>
        </x:is>
      </x:c>
      <x:c r="AA469" s="81" t="inlineStr">
        <x:is>
          <x:t xml:space="preserve">Do not copy modern translations/commentaries; verify edition/site terms before commercial release.</x:t>
        </x:is>
      </x:c>
      <x:c r="AB469" s="81" t="inlineStr">
        <x:is>
          <x:t xml:space="preserve">High</x:t>
        </x:is>
      </x:c>
      <x:c r="AC469" s="81" t="inlineStr">
        <x:is>
          <x:t xml:space="preserve">Day 6 research candidate; not Release-approved.</x:t>
        </x:is>
      </x:c>
      <x:c r="AD469" s="81" t="inlineStr">
        <x:is>
          <x:t xml:space="preserve">Needs editorial review</x:t>
        </x:is>
      </x:c>
      <x:c r="AE469" s="81" t="inlineStr">
        <x:is>
          <x:t xml:space="preserve">Needs semantic dedupe review</x:t>
        </x:is>
      </x:c>
      <x:c r="AF469" s="81" t="str"/>
      <x:c r="AG469" s="81" t="str"/>
      <x:c r="AH469" s="81" t="inlineStr">
        <x:is>
          <x:t xml:space="preserve">No</x:t>
        </x:is>
      </x:c>
      <x:c r="AI469" s="81" t="inlineStr">
        <x:is>
          <x:t xml:space="preserve">Not reviewed</x:t>
        </x:is>
      </x:c>
      <x:c r="AJ469" s="81" t="inlineStr">
        <x:is>
          <x:t xml:space="preserve">Research only</x:t>
        </x:is>
      </x:c>
      <x:c r="AK469" s="81" t="inlineStr">
        <x:is>
          <x:t xml:space="preserve">Research Pool</x:t>
        </x:is>
      </x:c>
      <x:c r="AL469" s="81" t="n">
        <x:v>6</x:v>
      </x:c>
      <x:c r="AM469" s="81" t="inlineStr">
        <x:is>
          <x:t xml:space="preserve">ChatGPT research</x:t>
        </x:is>
      </x:c>
      <x:c r="AN469" s="81" t="inlineStr">
        <x:is>
          <x:t xml:space="preserve">2026-09-18</x:t>
        </x:is>
      </x:c>
      <x:c r="AO469" s="81" t="inlineStr">
        <x:is>
          <x:t xml:space="preserve">Day 6 Huainanzi collection; exact source URL stored.</x:t>
        </x:is>
      </x:c>
    </x:row>
    <x:row r="470">
      <x:c r="A470" s="81" t="inlineStr">
        <x:is>
          <x:t xml:space="preserve">research.huainanzi.day6.ch14.018</x:t>
        </x:is>
      </x:c>
      <x:c r="B470" s="81" t="inlineStr">
        <x:is>
          <x:t xml:space="preserve">Collected</x:t>
        </x:is>
      </x:c>
      <x:c r="C470" s="81" t="inlineStr">
        <x:is>
          <x:t xml:space="preserve">Nội tâm &amp; hiểu mình</x:t>
        </x:is>
      </x:c>
      <x:c r="D470" s="81" t="inlineStr">
        <x:is>
          <x:t xml:space="preserve">Day 6 / Huainanzi</x:t>
        </x:is>
      </x:c>
      <x:c r="E470" s="81" t="str"/>
      <x:c r="F470" s="81" t="inlineStr">
        <x:is>
          <x:t xml:space="preserve">Tối ưu một mặt có thể làm yếu nền</x:t>
        </x:is>
      </x:c>
      <x:c r="G470" s="81" t="inlineStr">
        <x:is>
          <x:t xml:space="preserve">Tradeoffs</x:t>
        </x:is>
      </x:c>
      <x:c r="H470" s="81" t="str"/>
      <x:c r="I470" s="81" t="str"/>
      <x:c r="J470" s="81" t="str"/>
      <x:c r="K470" s="81" t="inlineStr">
        <x:is>
          <x:t xml:space="preserve">Recognize</x:t>
        </x:is>
      </x:c>
      <x:c r="L470" s="81" t="inlineStr">
        <x:is>
          <x:t xml:space="preserve">Recognize</x:t>
        </x:is>
      </x:c>
      <x:c r="M470" s="81" t="inlineStr">
        <x:is>
          <x:t xml:space="preserve">Trích đoạn triết học / 寓言</x:t>
        </x:is>
      </x:c>
      <x:c r="N470" s="81" t="inlineStr">
        <x:is>
          <x:t xml:space="preserve">羽翼美者傷骨骸，枝葉美者害根莖。</x:t>
        </x:is>
      </x:c>
      <x:c r="O470" s="81" t="inlineStr">
        <x:is>
          <x:t xml:space="preserve">Classical Chinese (文言文)</x:t>
        </x:is>
      </x:c>
      <x:c r="P470" s="81" t="inlineStr">
        <x:is>
          <x:t xml:space="preserve">Cánh quá nặng vì vẻ đẹp có thể hại xương; cành lá quá tốt có thể hại rễ.</x:t>
        </x:is>
      </x:c>
      <x:c r="Q470" s="81" t="inlineStr">
        <x:is>
          <x:t xml:space="preserve">Huainanzi / 淮南子 (compiled under Liu An court)</x:t>
        </x:is>
      </x:c>
      <x:c r="R470" s="81" t="inlineStr">
        <x:is>
          <x:t xml:space="preserve">Han China / syncretic</x:t>
        </x:is>
      </x:c>
      <x:c r="S470" s="81" t="inlineStr">
        <x:is>
          <x:t xml:space="preserve">淮南子 / Huainanzi</x:t>
        </x:is>
      </x:c>
      <x:c r="T470" s="81" t="inlineStr">
        <x:is>
          <x:t xml:space="preserve">Chapter 14 — 詮言訓</x:t>
        </x:is>
      </x:c>
      <x:c r="U470" s="81" t="inlineStr">
        <x:is>
          <x:t xml:space="preserve">https://ctext.org/huainanzi/quan-yan-xun/zhs</x:t>
        </x:is>
      </x:c>
      <x:c r="V470" s="81" t="inlineStr">
        <x:is>
          <x:t xml:space="preserve">Primary text / scholarly digital corpus</x:t>
        </x:is>
      </x:c>
      <x:c r="W470" s="81" t="inlineStr">
        <x:is>
          <x:t xml:space="preserve">Working translation</x:t>
        </x:is>
      </x:c>
      <x:c r="X470" s="81" t="inlineStr">
        <x:is>
          <x:t xml:space="preserve">A - Primary source</x:t>
        </x:is>
      </x:c>
      <x:c r="Y470" s="81" t="inlineStr">
        <x:is>
          <x:t xml:space="preserve">Original text checked against Chinese Text Project digital base text. Vietnamese is Selflo working translation, not a published translation.</x:t>
        </x:is>
      </x:c>
      <x:c r="Z470" s="81" t="inlineStr">
        <x:is>
          <x:t xml:space="preserve">Public domain ancient text / edition terms to verify</x:t>
        </x:is>
      </x:c>
      <x:c r="AA470" s="81" t="inlineStr">
        <x:is>
          <x:t xml:space="preserve">Do not copy modern translations/commentaries; verify edition/site terms before commercial release.</x:t>
        </x:is>
      </x:c>
      <x:c r="AB470" s="81" t="inlineStr">
        <x:is>
          <x:t xml:space="preserve">High</x:t>
        </x:is>
      </x:c>
      <x:c r="AC470" s="81" t="inlineStr">
        <x:is>
          <x:t xml:space="preserve">Day 6 research candidate; not Release-approved.</x:t>
        </x:is>
      </x:c>
      <x:c r="AD470" s="81" t="inlineStr">
        <x:is>
          <x:t xml:space="preserve">Needs editorial review</x:t>
        </x:is>
      </x:c>
      <x:c r="AE470" s="81" t="inlineStr">
        <x:is>
          <x:t xml:space="preserve">Needs semantic dedupe review</x:t>
        </x:is>
      </x:c>
      <x:c r="AF470" s="81" t="str"/>
      <x:c r="AG470" s="81" t="str"/>
      <x:c r="AH470" s="81" t="inlineStr">
        <x:is>
          <x:t xml:space="preserve">No</x:t>
        </x:is>
      </x:c>
      <x:c r="AI470" s="81" t="inlineStr">
        <x:is>
          <x:t xml:space="preserve">Not reviewed</x:t>
        </x:is>
      </x:c>
      <x:c r="AJ470" s="81" t="inlineStr">
        <x:is>
          <x:t xml:space="preserve">Research only</x:t>
        </x:is>
      </x:c>
      <x:c r="AK470" s="81" t="inlineStr">
        <x:is>
          <x:t xml:space="preserve">Research Pool</x:t>
        </x:is>
      </x:c>
      <x:c r="AL470" s="81" t="n">
        <x:v>6</x:v>
      </x:c>
      <x:c r="AM470" s="81" t="inlineStr">
        <x:is>
          <x:t xml:space="preserve">ChatGPT research</x:t>
        </x:is>
      </x:c>
      <x:c r="AN470" s="81" t="inlineStr">
        <x:is>
          <x:t xml:space="preserve">2026-09-18</x:t>
        </x:is>
      </x:c>
      <x:c r="AO470" s="81" t="inlineStr">
        <x:is>
          <x:t xml:space="preserve">Day 6 Huainanzi collection; exact source URL stored.</x:t>
        </x:is>
      </x:c>
    </x:row>
    <x:row r="471">
      <x:c r="A471" s="81" t="inlineStr">
        <x:is>
          <x:t xml:space="preserve">research.huainanzi.day6.ch14.019</x:t>
        </x:is>
      </x:c>
      <x:c r="B471" s="81" t="inlineStr">
        <x:is>
          <x:t xml:space="preserve">Collected</x:t>
        </x:is>
      </x:c>
      <x:c r="C471" s="81" t="inlineStr">
        <x:is>
          <x:t xml:space="preserve">Nội tâm &amp; hiểu mình</x:t>
        </x:is>
      </x:c>
      <x:c r="D471" s="81" t="inlineStr">
        <x:is>
          <x:t xml:space="preserve">Day 6 / Huainanzi</x:t>
        </x:is>
      </x:c>
      <x:c r="E471" s="81" t="str"/>
      <x:c r="F471" s="81" t="inlineStr">
        <x:is>
          <x:t xml:space="preserve">Trade-off là có thật</x:t>
        </x:is>
      </x:c>
      <x:c r="G471" s="81" t="inlineStr">
        <x:is>
          <x:t xml:space="preserve">Tradeoffs</x:t>
        </x:is>
      </x:c>
      <x:c r="H471" s="81" t="str"/>
      <x:c r="I471" s="81" t="str"/>
      <x:c r="J471" s="81" t="str"/>
      <x:c r="K471" s="81" t="inlineStr">
        <x:is>
          <x:t xml:space="preserve">Permit</x:t>
        </x:is>
      </x:c>
      <x:c r="L471" s="81" t="inlineStr">
        <x:is>
          <x:t xml:space="preserve">Recognize</x:t>
        </x:is>
      </x:c>
      <x:c r="M471" s="81" t="inlineStr">
        <x:is>
          <x:t xml:space="preserve">Trích đoạn triết học / 寓言</x:t>
        </x:is>
      </x:c>
      <x:c r="N471" s="81" t="inlineStr">
        <x:is>
          <x:t xml:space="preserve">能兩美者，天下無之也。</x:t>
        </x:is>
      </x:c>
      <x:c r="O471" s="81" t="inlineStr">
        <x:is>
          <x:t xml:space="preserve">Classical Chinese (文言文)</x:t>
        </x:is>
      </x:c>
      <x:c r="P471" s="81" t="inlineStr">
        <x:is>
          <x:t xml:space="preserve">Không phải lúc nào cũng có thể tối đa cả hai phía.</x:t>
        </x:is>
      </x:c>
      <x:c r="Q471" s="81" t="inlineStr">
        <x:is>
          <x:t xml:space="preserve">Huainanzi / 淮南子 (compiled under Liu An court)</x:t>
        </x:is>
      </x:c>
      <x:c r="R471" s="81" t="inlineStr">
        <x:is>
          <x:t xml:space="preserve">Han China / syncretic</x:t>
        </x:is>
      </x:c>
      <x:c r="S471" s="81" t="inlineStr">
        <x:is>
          <x:t xml:space="preserve">淮南子 / Huainanzi</x:t>
        </x:is>
      </x:c>
      <x:c r="T471" s="81" t="inlineStr">
        <x:is>
          <x:t xml:space="preserve">Chapter 14 — 詮言訓</x:t>
        </x:is>
      </x:c>
      <x:c r="U471" s="81" t="inlineStr">
        <x:is>
          <x:t xml:space="preserve">https://ctext.org/huainanzi/quan-yan-xun/zhs</x:t>
        </x:is>
      </x:c>
      <x:c r="V471" s="81" t="inlineStr">
        <x:is>
          <x:t xml:space="preserve">Primary text / scholarly digital corpus</x:t>
        </x:is>
      </x:c>
      <x:c r="W471" s="81" t="inlineStr">
        <x:is>
          <x:t xml:space="preserve">Working translation</x:t>
        </x:is>
      </x:c>
      <x:c r="X471" s="81" t="inlineStr">
        <x:is>
          <x:t xml:space="preserve">A - Primary source</x:t>
        </x:is>
      </x:c>
      <x:c r="Y471" s="81" t="inlineStr">
        <x:is>
          <x:t xml:space="preserve">Original text checked against Chinese Text Project digital base text. Vietnamese is Selflo working translation, not a published translation.</x:t>
        </x:is>
      </x:c>
      <x:c r="Z471" s="81" t="inlineStr">
        <x:is>
          <x:t xml:space="preserve">Public domain ancient text / edition terms to verify</x:t>
        </x:is>
      </x:c>
      <x:c r="AA471" s="81" t="inlineStr">
        <x:is>
          <x:t xml:space="preserve">Do not copy modern translations/commentaries; verify edition/site terms before commercial release.</x:t>
        </x:is>
      </x:c>
      <x:c r="AB471" s="81" t="inlineStr">
        <x:is>
          <x:t xml:space="preserve">High</x:t>
        </x:is>
      </x:c>
      <x:c r="AC471" s="81" t="inlineStr">
        <x:is>
          <x:t xml:space="preserve">Day 6 research candidate; not Release-approved.</x:t>
        </x:is>
      </x:c>
      <x:c r="AD471" s="81" t="inlineStr">
        <x:is>
          <x:t xml:space="preserve">Needs editorial review</x:t>
        </x:is>
      </x:c>
      <x:c r="AE471" s="81" t="inlineStr">
        <x:is>
          <x:t xml:space="preserve">Needs semantic dedupe review</x:t>
        </x:is>
      </x:c>
      <x:c r="AF471" s="81" t="str"/>
      <x:c r="AG471" s="81" t="str"/>
      <x:c r="AH471" s="81" t="inlineStr">
        <x:is>
          <x:t xml:space="preserve">No</x:t>
        </x:is>
      </x:c>
      <x:c r="AI471" s="81" t="inlineStr">
        <x:is>
          <x:t xml:space="preserve">Not reviewed</x:t>
        </x:is>
      </x:c>
      <x:c r="AJ471" s="81" t="inlineStr">
        <x:is>
          <x:t xml:space="preserve">Research only</x:t>
        </x:is>
      </x:c>
      <x:c r="AK471" s="81" t="inlineStr">
        <x:is>
          <x:t xml:space="preserve">Research Pool</x:t>
        </x:is>
      </x:c>
      <x:c r="AL471" s="81" t="n">
        <x:v>6</x:v>
      </x:c>
      <x:c r="AM471" s="81" t="inlineStr">
        <x:is>
          <x:t xml:space="preserve">ChatGPT research</x:t>
        </x:is>
      </x:c>
      <x:c r="AN471" s="81" t="inlineStr">
        <x:is>
          <x:t xml:space="preserve">2026-09-18</x:t>
        </x:is>
      </x:c>
      <x:c r="AO471" s="81" t="inlineStr">
        <x:is>
          <x:t xml:space="preserve">Day 6 Huainanzi collection; exact source URL stored.</x:t>
        </x:is>
      </x:c>
    </x:row>
    <x:row r="472">
      <x:c r="A472" s="81" t="inlineStr">
        <x:is>
          <x:t xml:space="preserve">research.huainanzi.day6.ch14.020</x:t>
        </x:is>
      </x:c>
      <x:c r="B472" s="81" t="inlineStr">
        <x:is>
          <x:t xml:space="preserve">Collected</x:t>
        </x:is>
      </x:c>
      <x:c r="C472" s="81" t="inlineStr">
        <x:is>
          <x:t xml:space="preserve">Nội tâm &amp; hiểu mình</x:t>
        </x:is>
      </x:c>
      <x:c r="D472" s="81" t="inlineStr">
        <x:is>
          <x:t xml:space="preserve">Day 6 / Huainanzi</x:t>
        </x:is>
      </x:c>
      <x:c r="E472" s="81" t="str"/>
      <x:c r="F472" s="81" t="inlineStr">
        <x:is>
          <x:t xml:space="preserve">Được công nhận không xóa mặt trái của visibility</x:t>
        </x:is>
      </x:c>
      <x:c r="G472" s="81" t="inlineStr">
        <x:is>
          <x:t xml:space="preserve">Recognition</x:t>
        </x:is>
      </x:c>
      <x:c r="H472" s="81" t="str"/>
      <x:c r="I472" s="81" t="str"/>
      <x:c r="J472" s="81" t="str"/>
      <x:c r="K472" s="81" t="inlineStr">
        <x:is>
          <x:t xml:space="preserve">Recognize</x:t>
        </x:is>
      </x:c>
      <x:c r="L472" s="81" t="inlineStr">
        <x:is>
          <x:t xml:space="preserve">Recognize</x:t>
        </x:is>
      </x:c>
      <x:c r="M472" s="81" t="inlineStr">
        <x:is>
          <x:t xml:space="preserve">Trích đoạn triết học / 寓言</x:t>
        </x:is>
      </x:c>
      <x:c r="N472" s="81" t="inlineStr">
        <x:is>
          <x:t xml:space="preserve">譽生則毀隨之，善見則怨從之。</x:t>
        </x:is>
      </x:c>
      <x:c r="O472" s="81" t="inlineStr">
        <x:is>
          <x:t xml:space="preserve">Classical Chinese (文言文)</x:t>
        </x:is>
      </x:c>
      <x:c r="P472" s="81" t="inlineStr">
        <x:is>
          <x:t xml:space="preserve">Khi lời khen nổi lên, lời chê cũng có thể đi theo.</x:t>
        </x:is>
      </x:c>
      <x:c r="Q472" s="81" t="inlineStr">
        <x:is>
          <x:t xml:space="preserve">Huainanzi / 淮南子 (compiled under Liu An court)</x:t>
        </x:is>
      </x:c>
      <x:c r="R472" s="81" t="inlineStr">
        <x:is>
          <x:t xml:space="preserve">Han China / syncretic</x:t>
        </x:is>
      </x:c>
      <x:c r="S472" s="81" t="inlineStr">
        <x:is>
          <x:t xml:space="preserve">淮南子 / Huainanzi</x:t>
        </x:is>
      </x:c>
      <x:c r="T472" s="81" t="inlineStr">
        <x:is>
          <x:t xml:space="preserve">Chapter 14 — 詮言訓</x:t>
        </x:is>
      </x:c>
      <x:c r="U472" s="81" t="inlineStr">
        <x:is>
          <x:t xml:space="preserve">https://ctext.org/huainanzi/quan-yan-xun/zhs</x:t>
        </x:is>
      </x:c>
      <x:c r="V472" s="81" t="inlineStr">
        <x:is>
          <x:t xml:space="preserve">Primary text / scholarly digital corpus</x:t>
        </x:is>
      </x:c>
      <x:c r="W472" s="81" t="inlineStr">
        <x:is>
          <x:t xml:space="preserve">Working translation</x:t>
        </x:is>
      </x:c>
      <x:c r="X472" s="81" t="inlineStr">
        <x:is>
          <x:t xml:space="preserve">A - Primary source</x:t>
        </x:is>
      </x:c>
      <x:c r="Y472" s="81" t="inlineStr">
        <x:is>
          <x:t xml:space="preserve">Original text checked against Chinese Text Project digital base text. Vietnamese is Selflo working translation, not a published translation.</x:t>
        </x:is>
      </x:c>
      <x:c r="Z472" s="81" t="inlineStr">
        <x:is>
          <x:t xml:space="preserve">Public domain ancient text / edition terms to verify</x:t>
        </x:is>
      </x:c>
      <x:c r="AA472" s="81" t="inlineStr">
        <x:is>
          <x:t xml:space="preserve">Do not copy modern translations/commentaries; verify edition/site terms before commercial release.</x:t>
        </x:is>
      </x:c>
      <x:c r="AB472" s="81" t="inlineStr">
        <x:is>
          <x:t xml:space="preserve">Medium</x:t>
        </x:is>
      </x:c>
      <x:c r="AC472" s="81" t="inlineStr">
        <x:is>
          <x:t xml:space="preserve">Day 6 research candidate; not Release-approved.</x:t>
        </x:is>
      </x:c>
      <x:c r="AD472" s="81" t="inlineStr">
        <x:is>
          <x:t xml:space="preserve">Needs editorial review</x:t>
        </x:is>
      </x:c>
      <x:c r="AE472" s="81" t="inlineStr">
        <x:is>
          <x:t xml:space="preserve">Needs semantic dedupe review</x:t>
        </x:is>
      </x:c>
      <x:c r="AF472" s="81" t="str"/>
      <x:c r="AG472" s="81" t="str"/>
      <x:c r="AH472" s="81" t="inlineStr">
        <x:is>
          <x:t xml:space="preserve">No</x:t>
        </x:is>
      </x:c>
      <x:c r="AI472" s="81" t="inlineStr">
        <x:is>
          <x:t xml:space="preserve">Not reviewed</x:t>
        </x:is>
      </x:c>
      <x:c r="AJ472" s="81" t="inlineStr">
        <x:is>
          <x:t xml:space="preserve">Research only</x:t>
        </x:is>
      </x:c>
      <x:c r="AK472" s="81" t="inlineStr">
        <x:is>
          <x:t xml:space="preserve">Research Pool</x:t>
        </x:is>
      </x:c>
      <x:c r="AL472" s="81" t="n">
        <x:v>6</x:v>
      </x:c>
      <x:c r="AM472" s="81" t="inlineStr">
        <x:is>
          <x:t xml:space="preserve">ChatGPT research</x:t>
        </x:is>
      </x:c>
      <x:c r="AN472" s="81" t="inlineStr">
        <x:is>
          <x:t xml:space="preserve">2026-09-18</x:t>
        </x:is>
      </x:c>
      <x:c r="AO472" s="81" t="inlineStr">
        <x:is>
          <x:t xml:space="preserve">Day 6 Huainanzi collection; exact source URL stored.</x:t>
        </x:is>
      </x:c>
    </x:row>
    <x:row r="473">
      <x:c r="A473" s="81" t="inlineStr">
        <x:is>
          <x:t xml:space="preserve">research.huainanzi.day6.ch14.021</x:t>
        </x:is>
      </x:c>
      <x:c r="B473" s="81" t="inlineStr">
        <x:is>
          <x:t xml:space="preserve">Collected</x:t>
        </x:is>
      </x:c>
      <x:c r="C473" s="81" t="inlineStr">
        <x:is>
          <x:t xml:space="preserve">AI &amp; tương lai</x:t>
        </x:is>
      </x:c>
      <x:c r="D473" s="81" t="inlineStr">
        <x:is>
          <x:t xml:space="preserve">Day 6 / Huainanzi</x:t>
        </x:is>
      </x:c>
      <x:c r="E473" s="81" t="str"/>
      <x:c r="F473" s="81" t="inlineStr">
        <x:is>
          <x:t xml:space="preserve">Kết quả ban đầu chưa phải ý nghĩa cuối</x:t>
        </x:is>
      </x:c>
      <x:c r="G473" s="81" t="inlineStr">
        <x:is>
          <x:t xml:space="preserve">Uncertainty</x:t>
        </x:is>
      </x:c>
      <x:c r="H473" s="81" t="str"/>
      <x:c r="I473" s="81" t="str"/>
      <x:c r="J473" s="81" t="str"/>
      <x:c r="K473" s="81" t="inlineStr">
        <x:is>
          <x:t xml:space="preserve">Reframe</x:t>
        </x:is>
      </x:c>
      <x:c r="L473" s="81" t="inlineStr">
        <x:is>
          <x:t xml:space="preserve">Recognize</x:t>
        </x:is>
      </x:c>
      <x:c r="M473" s="81" t="inlineStr">
        <x:is>
          <x:t xml:space="preserve">Trích đoạn triết học / 寓言</x:t>
        </x:is>
      </x:c>
      <x:c r="N473" s="81" t="inlineStr">
        <x:is>
          <x:t xml:space="preserve">利則為害始，福則為禍先。</x:t>
        </x:is>
      </x:c>
      <x:c r="O473" s="81" t="inlineStr">
        <x:is>
          <x:t xml:space="preserve">Classical Chinese (文言文)</x:t>
        </x:is>
      </x:c>
      <x:c r="P473" s="81" t="inlineStr">
        <x:is>
          <x:t xml:space="preserve">Điều có lợi có thể mở đầu cho điều hại; điều may có thể chứa mầm đổi chiều.</x:t>
        </x:is>
      </x:c>
      <x:c r="Q473" s="81" t="inlineStr">
        <x:is>
          <x:t xml:space="preserve">Huainanzi / 淮南子 (compiled under Liu An court)</x:t>
        </x:is>
      </x:c>
      <x:c r="R473" s="81" t="inlineStr">
        <x:is>
          <x:t xml:space="preserve">Han China / syncretic</x:t>
        </x:is>
      </x:c>
      <x:c r="S473" s="81" t="inlineStr">
        <x:is>
          <x:t xml:space="preserve">淮南子 / Huainanzi</x:t>
        </x:is>
      </x:c>
      <x:c r="T473" s="81" t="inlineStr">
        <x:is>
          <x:t xml:space="preserve">Chapter 14 — 詮言訓</x:t>
        </x:is>
      </x:c>
      <x:c r="U473" s="81" t="inlineStr">
        <x:is>
          <x:t xml:space="preserve">https://ctext.org/huainanzi/quan-yan-xun/zhs</x:t>
        </x:is>
      </x:c>
      <x:c r="V473" s="81" t="inlineStr">
        <x:is>
          <x:t xml:space="preserve">Primary text / scholarly digital corpus</x:t>
        </x:is>
      </x:c>
      <x:c r="W473" s="81" t="inlineStr">
        <x:is>
          <x:t xml:space="preserve">Working translation</x:t>
        </x:is>
      </x:c>
      <x:c r="X473" s="81" t="inlineStr">
        <x:is>
          <x:t xml:space="preserve">A - Primary source</x:t>
        </x:is>
      </x:c>
      <x:c r="Y473" s="81" t="inlineStr">
        <x:is>
          <x:t xml:space="preserve">Original text checked against Chinese Text Project digital base text. Vietnamese is Selflo working translation, not a published translation.</x:t>
        </x:is>
      </x:c>
      <x:c r="Z473" s="81" t="inlineStr">
        <x:is>
          <x:t xml:space="preserve">Public domain ancient text / edition terms to verify</x:t>
        </x:is>
      </x:c>
      <x:c r="AA473" s="81" t="inlineStr">
        <x:is>
          <x:t xml:space="preserve">Do not copy modern translations/commentaries; verify edition/site terms before commercial release.</x:t>
        </x:is>
      </x:c>
      <x:c r="AB473" s="81" t="inlineStr">
        <x:is>
          <x:t xml:space="preserve">High</x:t>
        </x:is>
      </x:c>
      <x:c r="AC473" s="81" t="inlineStr">
        <x:is>
          <x:t xml:space="preserve">Day 6 research candidate; not Release-approved.</x:t>
        </x:is>
      </x:c>
      <x:c r="AD473" s="81" t="inlineStr">
        <x:is>
          <x:t xml:space="preserve">Needs editorial review</x:t>
        </x:is>
      </x:c>
      <x:c r="AE473" s="81" t="inlineStr">
        <x:is>
          <x:t xml:space="preserve">Needs semantic dedupe review</x:t>
        </x:is>
      </x:c>
      <x:c r="AF473" s="81" t="str"/>
      <x:c r="AG473" s="81" t="str"/>
      <x:c r="AH473" s="81" t="inlineStr">
        <x:is>
          <x:t xml:space="preserve">No</x:t>
        </x:is>
      </x:c>
      <x:c r="AI473" s="81" t="inlineStr">
        <x:is>
          <x:t xml:space="preserve">Not reviewed</x:t>
        </x:is>
      </x:c>
      <x:c r="AJ473" s="81" t="inlineStr">
        <x:is>
          <x:t xml:space="preserve">Research only</x:t>
        </x:is>
      </x:c>
      <x:c r="AK473" s="81" t="inlineStr">
        <x:is>
          <x:t xml:space="preserve">Research Pool</x:t>
        </x:is>
      </x:c>
      <x:c r="AL473" s="81" t="n">
        <x:v>6</x:v>
      </x:c>
      <x:c r="AM473" s="81" t="inlineStr">
        <x:is>
          <x:t xml:space="preserve">ChatGPT research</x:t>
        </x:is>
      </x:c>
      <x:c r="AN473" s="81" t="inlineStr">
        <x:is>
          <x:t xml:space="preserve">2026-09-18</x:t>
        </x:is>
      </x:c>
      <x:c r="AO473" s="81" t="inlineStr">
        <x:is>
          <x:t xml:space="preserve">Day 6 Huainanzi collection; exact source URL stored.</x:t>
        </x:is>
      </x:c>
    </x:row>
    <x:row r="474">
      <x:c r="A474" s="81" t="inlineStr">
        <x:is>
          <x:t xml:space="preserve">research.huainanzi.day6.ch14.022</x:t>
        </x:is>
      </x:c>
      <x:c r="B474" s="81" t="inlineStr">
        <x:is>
          <x:t xml:space="preserve">Collected</x:t>
        </x:is>
      </x:c>
      <x:c r="C474" s="81" t="inlineStr">
        <x:is>
          <x:t xml:space="preserve">Nội tâm &amp; hiểu mình</x:t>
        </x:is>
      </x:c>
      <x:c r="D474" s="81" t="inlineStr">
        <x:is>
          <x:t xml:space="preserve">Day 6 / Huainanzi</x:t>
        </x:is>
      </x:c>
      <x:c r="E474" s="81" t="str"/>
      <x:c r="F474" s="81" t="inlineStr">
        <x:is>
          <x:t xml:space="preserve">Vai trò bên ngoài không phải toàn bộ mình</x:t>
        </x:is>
      </x:c>
      <x:c r="G474" s="81" t="inlineStr">
        <x:is>
          <x:t xml:space="preserve">Identity</x:t>
        </x:is>
      </x:c>
      <x:c r="H474" s="81" t="str"/>
      <x:c r="I474" s="81" t="str"/>
      <x:c r="J474" s="81" t="str"/>
      <x:c r="K474" s="81" t="inlineStr">
        <x:is>
          <x:t xml:space="preserve">Reframe</x:t>
        </x:is>
      </x:c>
      <x:c r="L474" s="81" t="inlineStr">
        <x:is>
          <x:t xml:space="preserve">Recognize</x:t>
        </x:is>
      </x:c>
      <x:c r="M474" s="81" t="inlineStr">
        <x:is>
          <x:t xml:space="preserve">Trích đoạn triết học / 寓言</x:t>
        </x:is>
      </x:c>
      <x:c r="N474" s="81" t="inlineStr">
        <x:is>
          <x:t xml:space="preserve">富貴其寄也。</x:t>
        </x:is>
      </x:c>
      <x:c r="O474" s="81" t="inlineStr">
        <x:is>
          <x:t xml:space="preserve">Classical Chinese (文言文)</x:t>
        </x:is>
      </x:c>
      <x:c r="P474" s="81" t="inlineStr">
        <x:is>
          <x:t xml:space="preserve">Giàu sang và địa vị chỉ là những thứ tạm gửi.</x:t>
        </x:is>
      </x:c>
      <x:c r="Q474" s="81" t="inlineStr">
        <x:is>
          <x:t xml:space="preserve">Huainanzi / 淮南子 (compiled under Liu An court)</x:t>
        </x:is>
      </x:c>
      <x:c r="R474" s="81" t="inlineStr">
        <x:is>
          <x:t xml:space="preserve">Han China / syncretic</x:t>
        </x:is>
      </x:c>
      <x:c r="S474" s="81" t="inlineStr">
        <x:is>
          <x:t xml:space="preserve">淮南子 / Huainanzi</x:t>
        </x:is>
      </x:c>
      <x:c r="T474" s="81" t="inlineStr">
        <x:is>
          <x:t xml:space="preserve">Chapter 14 — 詮言訓</x:t>
        </x:is>
      </x:c>
      <x:c r="U474" s="81" t="inlineStr">
        <x:is>
          <x:t xml:space="preserve">https://ctext.org/huainanzi/quan-yan-xun/zhs</x:t>
        </x:is>
      </x:c>
      <x:c r="V474" s="81" t="inlineStr">
        <x:is>
          <x:t xml:space="preserve">Primary text / scholarly digital corpus</x:t>
        </x:is>
      </x:c>
      <x:c r="W474" s="81" t="inlineStr">
        <x:is>
          <x:t xml:space="preserve">Working translation</x:t>
        </x:is>
      </x:c>
      <x:c r="X474" s="81" t="inlineStr">
        <x:is>
          <x:t xml:space="preserve">A - Primary source</x:t>
        </x:is>
      </x:c>
      <x:c r="Y474" s="81" t="inlineStr">
        <x:is>
          <x:t xml:space="preserve">Original text checked against Chinese Text Project digital base text. Vietnamese is Selflo working translation, not a published translation.</x:t>
        </x:is>
      </x:c>
      <x:c r="Z474" s="81" t="inlineStr">
        <x:is>
          <x:t xml:space="preserve">Public domain ancient text / edition terms to verify</x:t>
        </x:is>
      </x:c>
      <x:c r="AA474" s="81" t="inlineStr">
        <x:is>
          <x:t xml:space="preserve">Do not copy modern translations/commentaries; verify edition/site terms before commercial release.</x:t>
        </x:is>
      </x:c>
      <x:c r="AB474" s="81" t="inlineStr">
        <x:is>
          <x:t xml:space="preserve">High</x:t>
        </x:is>
      </x:c>
      <x:c r="AC474" s="81" t="inlineStr">
        <x:is>
          <x:t xml:space="preserve">Day 6 research candidate; not Release-approved.</x:t>
        </x:is>
      </x:c>
      <x:c r="AD474" s="81" t="inlineStr">
        <x:is>
          <x:t xml:space="preserve">Needs editorial review</x:t>
        </x:is>
      </x:c>
      <x:c r="AE474" s="81" t="inlineStr">
        <x:is>
          <x:t xml:space="preserve">Needs semantic dedupe review</x:t>
        </x:is>
      </x:c>
      <x:c r="AF474" s="81" t="str"/>
      <x:c r="AG474" s="81" t="str"/>
      <x:c r="AH474" s="81" t="inlineStr">
        <x:is>
          <x:t xml:space="preserve">No</x:t>
        </x:is>
      </x:c>
      <x:c r="AI474" s="81" t="inlineStr">
        <x:is>
          <x:t xml:space="preserve">Not reviewed</x:t>
        </x:is>
      </x:c>
      <x:c r="AJ474" s="81" t="inlineStr">
        <x:is>
          <x:t xml:space="preserve">Research only</x:t>
        </x:is>
      </x:c>
      <x:c r="AK474" s="81" t="inlineStr">
        <x:is>
          <x:t xml:space="preserve">Research Pool</x:t>
        </x:is>
      </x:c>
      <x:c r="AL474" s="81" t="n">
        <x:v>6</x:v>
      </x:c>
      <x:c r="AM474" s="81" t="inlineStr">
        <x:is>
          <x:t xml:space="preserve">ChatGPT research</x:t>
        </x:is>
      </x:c>
      <x:c r="AN474" s="81" t="inlineStr">
        <x:is>
          <x:t xml:space="preserve">2026-09-18</x:t>
        </x:is>
      </x:c>
      <x:c r="AO474" s="81" t="inlineStr">
        <x:is>
          <x:t xml:space="preserve">Day 6 Huainanzi collection; exact source URL stored.</x:t>
        </x:is>
      </x:c>
    </x:row>
    <x:row r="475">
      <x:c r="A475" s="81" t="inlineStr">
        <x:is>
          <x:t xml:space="preserve">research.huainanzi.day6.ch14.023</x:t>
        </x:is>
      </x:c>
      <x:c r="B475" s="81" t="inlineStr">
        <x:is>
          <x:t xml:space="preserve">Collected</x:t>
        </x:is>
      </x:c>
      <x:c r="C475" s="81" t="inlineStr">
        <x:is>
          <x:t xml:space="preserve">Nội tâm &amp; hiểu mình</x:t>
        </x:is>
      </x:c>
      <x:c r="D475" s="81" t="inlineStr">
        <x:is>
          <x:t xml:space="preserve">Day 6 / Huainanzi</x:t>
        </x:is>
      </x:c>
      <x:c r="E475" s="81" t="str"/>
      <x:c r="F475" s="81" t="inlineStr">
        <x:is>
          <x:t xml:space="preserve">Chú ý bị kéo bởi thiếu hụt</x:t>
        </x:is>
      </x:c>
      <x:c r="G475" s="81" t="inlineStr">
        <x:is>
          <x:t xml:space="preserve">Enoughness</x:t>
        </x:is>
      </x:c>
      <x:c r="H475" s="81" t="str"/>
      <x:c r="I475" s="81" t="str"/>
      <x:c r="J475" s="81" t="str"/>
      <x:c r="K475" s="81" t="inlineStr">
        <x:is>
          <x:t xml:space="preserve">Recognize</x:t>
        </x:is>
      </x:c>
      <x:c r="L475" s="81" t="inlineStr">
        <x:is>
          <x:t xml:space="preserve">Recognize</x:t>
        </x:is>
      </x:c>
      <x:c r="M475" s="81" t="inlineStr">
        <x:is>
          <x:t xml:space="preserve">Trích đoạn triết học / 寓言</x:t>
        </x:is>
      </x:c>
      <x:c r="N475" s="81" t="inlineStr">
        <x:is>
          <x:t xml:space="preserve">釋其所已有，而求其所未得也。</x:t>
        </x:is>
      </x:c>
      <x:c r="O475" s="81" t="inlineStr">
        <x:is>
          <x:t xml:space="preserve">Classical Chinese (文言文)</x:t>
        </x:is>
      </x:c>
      <x:c r="P475" s="81" t="inlineStr">
        <x:is>
          <x:t xml:space="preserve">Có khi ta bỏ quên điều đang có để chạy theo điều chưa có.</x:t>
        </x:is>
      </x:c>
      <x:c r="Q475" s="81" t="inlineStr">
        <x:is>
          <x:t xml:space="preserve">Huainanzi / 淮南子 (compiled under Liu An court)</x:t>
        </x:is>
      </x:c>
      <x:c r="R475" s="81" t="inlineStr">
        <x:is>
          <x:t xml:space="preserve">Han China / syncretic</x:t>
        </x:is>
      </x:c>
      <x:c r="S475" s="81" t="inlineStr">
        <x:is>
          <x:t xml:space="preserve">淮南子 / Huainanzi</x:t>
        </x:is>
      </x:c>
      <x:c r="T475" s="81" t="inlineStr">
        <x:is>
          <x:t xml:space="preserve">Chapter 14 — 詮言訓</x:t>
        </x:is>
      </x:c>
      <x:c r="U475" s="81" t="inlineStr">
        <x:is>
          <x:t xml:space="preserve">https://ctext.org/huainanzi/quan-yan-xun/zhs</x:t>
        </x:is>
      </x:c>
      <x:c r="V475" s="81" t="inlineStr">
        <x:is>
          <x:t xml:space="preserve">Primary text / scholarly digital corpus</x:t>
        </x:is>
      </x:c>
      <x:c r="W475" s="81" t="inlineStr">
        <x:is>
          <x:t xml:space="preserve">Working translation</x:t>
        </x:is>
      </x:c>
      <x:c r="X475" s="81" t="inlineStr">
        <x:is>
          <x:t xml:space="preserve">A - Primary source</x:t>
        </x:is>
      </x:c>
      <x:c r="Y475" s="81" t="inlineStr">
        <x:is>
          <x:t xml:space="preserve">Original text checked against Chinese Text Project digital base text. Vietnamese is Selflo working translation, not a published translation.</x:t>
        </x:is>
      </x:c>
      <x:c r="Z475" s="81" t="inlineStr">
        <x:is>
          <x:t xml:space="preserve">Public domain ancient text / edition terms to verify</x:t>
        </x:is>
      </x:c>
      <x:c r="AA475" s="81" t="inlineStr">
        <x:is>
          <x:t xml:space="preserve">Do not copy modern translations/commentaries; verify edition/site terms before commercial release.</x:t>
        </x:is>
      </x:c>
      <x:c r="AB475" s="81" t="inlineStr">
        <x:is>
          <x:t xml:space="preserve">High</x:t>
        </x:is>
      </x:c>
      <x:c r="AC475" s="81" t="inlineStr">
        <x:is>
          <x:t xml:space="preserve">Day 6 research candidate; not Release-approved.</x:t>
        </x:is>
      </x:c>
      <x:c r="AD475" s="81" t="inlineStr">
        <x:is>
          <x:t xml:space="preserve">Needs editorial review</x:t>
        </x:is>
      </x:c>
      <x:c r="AE475" s="81" t="inlineStr">
        <x:is>
          <x:t xml:space="preserve">Needs semantic dedupe review</x:t>
        </x:is>
      </x:c>
      <x:c r="AF475" s="81" t="str"/>
      <x:c r="AG475" s="81" t="str"/>
      <x:c r="AH475" s="81" t="inlineStr">
        <x:is>
          <x:t xml:space="preserve">No</x:t>
        </x:is>
      </x:c>
      <x:c r="AI475" s="81" t="inlineStr">
        <x:is>
          <x:t xml:space="preserve">Not reviewed</x:t>
        </x:is>
      </x:c>
      <x:c r="AJ475" s="81" t="inlineStr">
        <x:is>
          <x:t xml:space="preserve">Research only</x:t>
        </x:is>
      </x:c>
      <x:c r="AK475" s="81" t="inlineStr">
        <x:is>
          <x:t xml:space="preserve">Research Pool</x:t>
        </x:is>
      </x:c>
      <x:c r="AL475" s="81" t="n">
        <x:v>6</x:v>
      </x:c>
      <x:c r="AM475" s="81" t="inlineStr">
        <x:is>
          <x:t xml:space="preserve">ChatGPT research</x:t>
        </x:is>
      </x:c>
      <x:c r="AN475" s="81" t="inlineStr">
        <x:is>
          <x:t xml:space="preserve">2026-09-18</x:t>
        </x:is>
      </x:c>
      <x:c r="AO475" s="81" t="inlineStr">
        <x:is>
          <x:t xml:space="preserve">Day 6 Huainanzi collection; exact source URL stored.</x:t>
        </x:is>
      </x:c>
    </x:row>
    <x:row r="476">
      <x:c r="A476" s="81" t="inlineStr">
        <x:is>
          <x:t xml:space="preserve">research.huainanzi.day6.ch16.024</x:t>
        </x:is>
      </x:c>
      <x:c r="B476" s="81" t="inlineStr">
        <x:is>
          <x:t xml:space="preserve">Collected</x:t>
        </x:is>
      </x:c>
      <x:c r="C476" s="81" t="inlineStr">
        <x:is>
          <x:t xml:space="preserve">Nội tâm &amp; hiểu mình</x:t>
        </x:is>
      </x:c>
      <x:c r="D476" s="81" t="inlineStr">
        <x:is>
          <x:t xml:space="preserve">Day 6 / Huainanzi</x:t>
        </x:is>
      </x:c>
      <x:c r="E476" s="81" t="str"/>
      <x:c r="F476" s="81" t="inlineStr">
        <x:is>
          <x:t xml:space="preserve">Tín hiệu nhỏ đáng được chú ý</x:t>
        </x:is>
      </x:c>
      <x:c r="G476" s="81" t="inlineStr">
        <x:is>
          <x:t xml:space="preserve">Early signals</x:t>
        </x:is>
      </x:c>
      <x:c r="H476" s="81" t="str"/>
      <x:c r="I476" s="81" t="str"/>
      <x:c r="J476" s="81" t="str"/>
      <x:c r="K476" s="81" t="inlineStr">
        <x:is>
          <x:t xml:space="preserve">Recognize</x:t>
        </x:is>
      </x:c>
      <x:c r="L476" s="81" t="inlineStr">
        <x:is>
          <x:t xml:space="preserve">Recognize</x:t>
        </x:is>
      </x:c>
      <x:c r="M476" s="81" t="inlineStr">
        <x:is>
          <x:t xml:space="preserve">Trích đoạn triết học / 寓言</x:t>
        </x:is>
      </x:c>
      <x:c r="N476" s="81" t="inlineStr">
        <x:is>
          <x:t xml:space="preserve">事之成敗，必由小生。</x:t>
        </x:is>
      </x:c>
      <x:c r="O476" s="81" t="inlineStr">
        <x:is>
          <x:t xml:space="preserve">Classical Chinese (文言文)</x:t>
        </x:is>
      </x:c>
      <x:c r="P476" s="81" t="inlineStr">
        <x:is>
          <x:t xml:space="preserve">Thành bại của việc lớn thường nảy từ những phần nhỏ.</x:t>
        </x:is>
      </x:c>
      <x:c r="Q476" s="81" t="inlineStr">
        <x:is>
          <x:t xml:space="preserve">Huainanzi / 淮南子 (compiled under Liu An court)</x:t>
        </x:is>
      </x:c>
      <x:c r="R476" s="81" t="inlineStr">
        <x:is>
          <x:t xml:space="preserve">Han China / syncretic</x:t>
        </x:is>
      </x:c>
      <x:c r="S476" s="81" t="inlineStr">
        <x:is>
          <x:t xml:space="preserve">淮南子 / Huainanzi</x:t>
        </x:is>
      </x:c>
      <x:c r="T476" s="81" t="inlineStr">
        <x:is>
          <x:t xml:space="preserve">Chapter 16 — 說山訓</x:t>
        </x:is>
      </x:c>
      <x:c r="U476" s="81" t="inlineStr">
        <x:is>
          <x:t xml:space="preserve">https://ctext.org/huainanzi/shuo-shan-xun/zhs</x:t>
        </x:is>
      </x:c>
      <x:c r="V476" s="81" t="inlineStr">
        <x:is>
          <x:t xml:space="preserve">Primary text / scholarly digital corpus</x:t>
        </x:is>
      </x:c>
      <x:c r="W476" s="81" t="inlineStr">
        <x:is>
          <x:t xml:space="preserve">Working translation</x:t>
        </x:is>
      </x:c>
      <x:c r="X476" s="81" t="inlineStr">
        <x:is>
          <x:t xml:space="preserve">A - Primary source</x:t>
        </x:is>
      </x:c>
      <x:c r="Y476" s="81" t="inlineStr">
        <x:is>
          <x:t xml:space="preserve">Original text checked against Chinese Text Project digital base text. Vietnamese is Selflo working translation, not a published translation.</x:t>
        </x:is>
      </x:c>
      <x:c r="Z476" s="81" t="inlineStr">
        <x:is>
          <x:t xml:space="preserve">Public domain ancient text / edition terms to verify</x:t>
        </x:is>
      </x:c>
      <x:c r="AA476" s="81" t="inlineStr">
        <x:is>
          <x:t xml:space="preserve">Do not copy modern translations/commentaries; verify edition/site terms before commercial release.</x:t>
        </x:is>
      </x:c>
      <x:c r="AB476" s="81" t="inlineStr">
        <x:is>
          <x:t xml:space="preserve">High</x:t>
        </x:is>
      </x:c>
      <x:c r="AC476" s="81" t="inlineStr">
        <x:is>
          <x:t xml:space="preserve">Day 6 research candidate; not Release-approved.</x:t>
        </x:is>
      </x:c>
      <x:c r="AD476" s="81" t="inlineStr">
        <x:is>
          <x:t xml:space="preserve">Needs editorial review</x:t>
        </x:is>
      </x:c>
      <x:c r="AE476" s="81" t="inlineStr">
        <x:is>
          <x:t xml:space="preserve">Needs semantic dedupe review</x:t>
        </x:is>
      </x:c>
      <x:c r="AF476" s="81" t="str"/>
      <x:c r="AG476" s="81" t="str"/>
      <x:c r="AH476" s="81" t="inlineStr">
        <x:is>
          <x:t xml:space="preserve">No</x:t>
        </x:is>
      </x:c>
      <x:c r="AI476" s="81" t="inlineStr">
        <x:is>
          <x:t xml:space="preserve">Not reviewed</x:t>
        </x:is>
      </x:c>
      <x:c r="AJ476" s="81" t="inlineStr">
        <x:is>
          <x:t xml:space="preserve">Research only</x:t>
        </x:is>
      </x:c>
      <x:c r="AK476" s="81" t="inlineStr">
        <x:is>
          <x:t xml:space="preserve">Research Pool</x:t>
        </x:is>
      </x:c>
      <x:c r="AL476" s="81" t="n">
        <x:v>6</x:v>
      </x:c>
      <x:c r="AM476" s="81" t="inlineStr">
        <x:is>
          <x:t xml:space="preserve">ChatGPT research</x:t>
        </x:is>
      </x:c>
      <x:c r="AN476" s="81" t="inlineStr">
        <x:is>
          <x:t xml:space="preserve">2026-09-18</x:t>
        </x:is>
      </x:c>
      <x:c r="AO476" s="81" t="inlineStr">
        <x:is>
          <x:t xml:space="preserve">Day 6 Huainanzi collection; exact source URL stored.</x:t>
        </x:is>
      </x:c>
    </x:row>
    <x:row r="477">
      <x:c r="A477" s="81" t="inlineStr">
        <x:is>
          <x:t xml:space="preserve">research.huainanzi.day6.ch16.025</x:t>
        </x:is>
      </x:c>
      <x:c r="B477" s="81" t="inlineStr">
        <x:is>
          <x:t xml:space="preserve">Collected</x:t>
        </x:is>
      </x:c>
      <x:c r="C477" s="81" t="inlineStr">
        <x:is>
          <x:t xml:space="preserve">Công việc &amp; mục đích</x:t>
        </x:is>
      </x:c>
      <x:c r="D477" s="81" t="inlineStr">
        <x:is>
          <x:t xml:space="preserve">Day 6 / Huainanzi</x:t>
        </x:is>
      </x:c>
      <x:c r="E477" s="81" t="str"/>
      <x:c r="F477" s="81" t="inlineStr">
        <x:is>
          <x:t xml:space="preserve">Trình tự là một phần của hệ</x:t>
        </x:is>
      </x:c>
      <x:c r="G477" s="81" t="inlineStr">
        <x:is>
          <x:t xml:space="preserve">Systems</x:t>
        </x:is>
      </x:c>
      <x:c r="H477" s="81" t="str"/>
      <x:c r="I477" s="81" t="str"/>
      <x:c r="J477" s="81" t="str"/>
      <x:c r="K477" s="81" t="inlineStr">
        <x:is>
          <x:t xml:space="preserve">Distinguish</x:t>
        </x:is>
      </x:c>
      <x:c r="L477" s="81" t="inlineStr">
        <x:is>
          <x:t xml:space="preserve">Recognize</x:t>
        </x:is>
      </x:c>
      <x:c r="M477" s="81" t="inlineStr">
        <x:is>
          <x:t xml:space="preserve">Trích đoạn triết học / 寓言</x:t>
        </x:is>
      </x:c>
      <x:c r="N477" s="81" t="inlineStr">
        <x:is>
          <x:t xml:space="preserve">先針而後縷，可以成帷；先縷而後針，不可以成衣。</x:t>
        </x:is>
      </x:c>
      <x:c r="O477" s="81" t="inlineStr">
        <x:is>
          <x:t xml:space="preserve">Classical Chinese (文言文)</x:t>
        </x:is>
      </x:c>
      <x:c r="P477" s="81" t="inlineStr">
        <x:is>
          <x:t xml:space="preserve">Cùng vật liệu nhưng thứ tự khác có thể cho kết quả khác.</x:t>
        </x:is>
      </x:c>
      <x:c r="Q477" s="81" t="inlineStr">
        <x:is>
          <x:t xml:space="preserve">Huainanzi / 淮南子 (compiled under Liu An court)</x:t>
        </x:is>
      </x:c>
      <x:c r="R477" s="81" t="inlineStr">
        <x:is>
          <x:t xml:space="preserve">Han China / syncretic</x:t>
        </x:is>
      </x:c>
      <x:c r="S477" s="81" t="inlineStr">
        <x:is>
          <x:t xml:space="preserve">淮南子 / Huainanzi</x:t>
        </x:is>
      </x:c>
      <x:c r="T477" s="81" t="inlineStr">
        <x:is>
          <x:t xml:space="preserve">Chapter 16 — 說山訓</x:t>
        </x:is>
      </x:c>
      <x:c r="U477" s="81" t="inlineStr">
        <x:is>
          <x:t xml:space="preserve">https://ctext.org/huainanzi/shuo-shan-xun/zhs</x:t>
        </x:is>
      </x:c>
      <x:c r="V477" s="81" t="inlineStr">
        <x:is>
          <x:t xml:space="preserve">Primary text / scholarly digital corpus</x:t>
        </x:is>
      </x:c>
      <x:c r="W477" s="81" t="inlineStr">
        <x:is>
          <x:t xml:space="preserve">Working translation</x:t>
        </x:is>
      </x:c>
      <x:c r="X477" s="81" t="inlineStr">
        <x:is>
          <x:t xml:space="preserve">A - Primary source</x:t>
        </x:is>
      </x:c>
      <x:c r="Y477" s="81" t="inlineStr">
        <x:is>
          <x:t xml:space="preserve">Original text checked against Chinese Text Project digital base text. Vietnamese is Selflo working translation, not a published translation.</x:t>
        </x:is>
      </x:c>
      <x:c r="Z477" s="81" t="inlineStr">
        <x:is>
          <x:t xml:space="preserve">Public domain ancient text / edition terms to verify</x:t>
        </x:is>
      </x:c>
      <x:c r="AA477" s="81" t="inlineStr">
        <x:is>
          <x:t xml:space="preserve">Do not copy modern translations/commentaries; verify edition/site terms before commercial release.</x:t>
        </x:is>
      </x:c>
      <x:c r="AB477" s="81" t="inlineStr">
        <x:is>
          <x:t xml:space="preserve">High</x:t>
        </x:is>
      </x:c>
      <x:c r="AC477" s="81" t="inlineStr">
        <x:is>
          <x:t xml:space="preserve">Day 6 research candidate; not Release-approved.</x:t>
        </x:is>
      </x:c>
      <x:c r="AD477" s="81" t="inlineStr">
        <x:is>
          <x:t xml:space="preserve">Needs editorial review</x:t>
        </x:is>
      </x:c>
      <x:c r="AE477" s="81" t="inlineStr">
        <x:is>
          <x:t xml:space="preserve">Needs semantic dedupe review</x:t>
        </x:is>
      </x:c>
      <x:c r="AF477" s="81" t="str"/>
      <x:c r="AG477" s="81" t="str"/>
      <x:c r="AH477" s="81" t="inlineStr">
        <x:is>
          <x:t xml:space="preserve">No</x:t>
        </x:is>
      </x:c>
      <x:c r="AI477" s="81" t="inlineStr">
        <x:is>
          <x:t xml:space="preserve">Not reviewed</x:t>
        </x:is>
      </x:c>
      <x:c r="AJ477" s="81" t="inlineStr">
        <x:is>
          <x:t xml:space="preserve">Research only</x:t>
        </x:is>
      </x:c>
      <x:c r="AK477" s="81" t="inlineStr">
        <x:is>
          <x:t xml:space="preserve">Research Pool</x:t>
        </x:is>
      </x:c>
      <x:c r="AL477" s="81" t="n">
        <x:v>6</x:v>
      </x:c>
      <x:c r="AM477" s="81" t="inlineStr">
        <x:is>
          <x:t xml:space="preserve">ChatGPT research</x:t>
        </x:is>
      </x:c>
      <x:c r="AN477" s="81" t="inlineStr">
        <x:is>
          <x:t xml:space="preserve">2026-09-18</x:t>
        </x:is>
      </x:c>
      <x:c r="AO477" s="81" t="inlineStr">
        <x:is>
          <x:t xml:space="preserve">Day 6 Huainanzi collection; exact source URL stored.</x:t>
        </x:is>
      </x:c>
    </x:row>
    <x:row r="478">
      <x:c r="A478" s="81" t="inlineStr">
        <x:is>
          <x:t xml:space="preserve">research.huainanzi.day6.ch16.026</x:t>
        </x:is>
      </x:c>
      <x:c r="B478" s="81" t="inlineStr">
        <x:is>
          <x:t xml:space="preserve">Collected</x:t>
        </x:is>
      </x:c>
      <x:c r="C478" s="81" t="inlineStr">
        <x:is>
          <x:t xml:space="preserve">Nghỉ ngơi &amp; sức khỏe tinh thần</x:t>
        </x:is>
      </x:c>
      <x:c r="D478" s="81" t="inlineStr">
        <x:is>
          <x:t xml:space="preserve">Day 6 / Huainanzi</x:t>
        </x:is>
      </x:c>
      <x:c r="E478" s="81" t="str"/>
      <x:c r="F478" s="81" t="inlineStr">
        <x:is>
          <x:t xml:space="preserve">Trạng thái tinh thần chịu ảnh hưởng bởi điều kiện</x:t>
        </x:is>
      </x:c>
      <x:c r="G478" s="81" t="inlineStr">
        <x:is>
          <x:t xml:space="preserve">Energy</x:t>
        </x:is>
      </x:c>
      <x:c r="H478" s="81" t="str"/>
      <x:c r="I478" s="81" t="str"/>
      <x:c r="J478" s="81" t="str"/>
      <x:c r="K478" s="81" t="inlineStr">
        <x:is>
          <x:t xml:space="preserve">Reframe</x:t>
        </x:is>
      </x:c>
      <x:c r="L478" s="81" t="inlineStr">
        <x:is>
          <x:t xml:space="preserve">Recognize</x:t>
        </x:is>
      </x:c>
      <x:c r="M478" s="81" t="inlineStr">
        <x:is>
          <x:t xml:space="preserve">Trích đoạn triết học / 寓言</x:t>
        </x:is>
      </x:c>
      <x:c r="N478" s="81" t="inlineStr">
        <x:is>
          <x:t xml:space="preserve">水濁而魚噞，形勞而神亂。</x:t>
        </x:is>
      </x:c>
      <x:c r="O478" s="81" t="inlineStr">
        <x:is>
          <x:t xml:space="preserve">Classical Chinese (文言文)</x:t>
        </x:is>
      </x:c>
      <x:c r="P478" s="81" t="inlineStr">
        <x:is>
          <x:t xml:space="preserve">Nước đục thì cá ngoi; thân quá mệt thì tinh thần dễ rối.</x:t>
        </x:is>
      </x:c>
      <x:c r="Q478" s="81" t="inlineStr">
        <x:is>
          <x:t xml:space="preserve">Huainanzi / 淮南子 (compiled under Liu An court)</x:t>
        </x:is>
      </x:c>
      <x:c r="R478" s="81" t="inlineStr">
        <x:is>
          <x:t xml:space="preserve">Han China / syncretic</x:t>
        </x:is>
      </x:c>
      <x:c r="S478" s="81" t="inlineStr">
        <x:is>
          <x:t xml:space="preserve">淮南子 / Huainanzi</x:t>
        </x:is>
      </x:c>
      <x:c r="T478" s="81" t="inlineStr">
        <x:is>
          <x:t xml:space="preserve">Chapter 16 — 說山訓</x:t>
        </x:is>
      </x:c>
      <x:c r="U478" s="81" t="inlineStr">
        <x:is>
          <x:t xml:space="preserve">https://ctext.org/huainanzi/shuo-shan-xun/zhs</x:t>
        </x:is>
      </x:c>
      <x:c r="V478" s="81" t="inlineStr">
        <x:is>
          <x:t xml:space="preserve">Primary text / scholarly digital corpus</x:t>
        </x:is>
      </x:c>
      <x:c r="W478" s="81" t="inlineStr">
        <x:is>
          <x:t xml:space="preserve">Working translation</x:t>
        </x:is>
      </x:c>
      <x:c r="X478" s="81" t="inlineStr">
        <x:is>
          <x:t xml:space="preserve">A - Primary source</x:t>
        </x:is>
      </x:c>
      <x:c r="Y478" s="81" t="inlineStr">
        <x:is>
          <x:t xml:space="preserve">Original text checked against Chinese Text Project digital base text. Vietnamese is Selflo working translation, not a published translation.</x:t>
        </x:is>
      </x:c>
      <x:c r="Z478" s="81" t="inlineStr">
        <x:is>
          <x:t xml:space="preserve">Public domain ancient text / edition terms to verify</x:t>
        </x:is>
      </x:c>
      <x:c r="AA478" s="81" t="inlineStr">
        <x:is>
          <x:t xml:space="preserve">Do not copy modern translations/commentaries; verify edition/site terms before commercial release.</x:t>
        </x:is>
      </x:c>
      <x:c r="AB478" s="81" t="inlineStr">
        <x:is>
          <x:t xml:space="preserve">High</x:t>
        </x:is>
      </x:c>
      <x:c r="AC478" s="81" t="inlineStr">
        <x:is>
          <x:t xml:space="preserve">Day 6 research candidate; not Release-approved.</x:t>
        </x:is>
      </x:c>
      <x:c r="AD478" s="81" t="inlineStr">
        <x:is>
          <x:t xml:space="preserve">Needs editorial review</x:t>
        </x:is>
      </x:c>
      <x:c r="AE478" s="81" t="inlineStr">
        <x:is>
          <x:t xml:space="preserve">Needs semantic dedupe review</x:t>
        </x:is>
      </x:c>
      <x:c r="AF478" s="81" t="str"/>
      <x:c r="AG478" s="81" t="str"/>
      <x:c r="AH478" s="81" t="inlineStr">
        <x:is>
          <x:t xml:space="preserve">No</x:t>
        </x:is>
      </x:c>
      <x:c r="AI478" s="81" t="inlineStr">
        <x:is>
          <x:t xml:space="preserve">Not reviewed</x:t>
        </x:is>
      </x:c>
      <x:c r="AJ478" s="81" t="inlineStr">
        <x:is>
          <x:t xml:space="preserve">Research only</x:t>
        </x:is>
      </x:c>
      <x:c r="AK478" s="81" t="inlineStr">
        <x:is>
          <x:t xml:space="preserve">Research Pool</x:t>
        </x:is>
      </x:c>
      <x:c r="AL478" s="81" t="n">
        <x:v>6</x:v>
      </x:c>
      <x:c r="AM478" s="81" t="inlineStr">
        <x:is>
          <x:t xml:space="preserve">ChatGPT research</x:t>
        </x:is>
      </x:c>
      <x:c r="AN478" s="81" t="inlineStr">
        <x:is>
          <x:t xml:space="preserve">2026-09-18</x:t>
        </x:is>
      </x:c>
      <x:c r="AO478" s="81" t="inlineStr">
        <x:is>
          <x:t xml:space="preserve">Day 6 Huainanzi collection; exact source URL stored.</x:t>
        </x:is>
      </x:c>
    </x:row>
    <x:row r="479">
      <x:c r="A479" s="81" t="inlineStr">
        <x:is>
          <x:t xml:space="preserve">research.huainanzi.day6.ch16.027</x:t>
        </x:is>
      </x:c>
      <x:c r="B479" s="81" t="inlineStr">
        <x:is>
          <x:t xml:space="preserve">Collected</x:t>
        </x:is>
      </x:c>
      <x:c r="C479" s="81" t="inlineStr">
        <x:is>
          <x:t xml:space="preserve">Nội tâm &amp; hiểu mình</x:t>
        </x:is>
      </x:c>
      <x:c r="D479" s="81" t="inlineStr">
        <x:is>
          <x:t xml:space="preserve">Day 6 / Huainanzi</x:t>
        </x:is>
      </x:c>
      <x:c r="E479" s="81" t="str"/>
      <x:c r="F479" s="81" t="inlineStr">
        <x:is>
          <x:t xml:space="preserve">Tránh thông tin không làm thực tại đổi</x:t>
        </x:is>
      </x:c>
      <x:c r="G479" s="81" t="inlineStr">
        <x:is>
          <x:t xml:space="preserve">Avoidance</x:t>
        </x:is>
      </x:c>
      <x:c r="H479" s="81" t="str"/>
      <x:c r="I479" s="81" t="str"/>
      <x:c r="J479" s="81" t="str"/>
      <x:c r="K479" s="81" t="inlineStr">
        <x:is>
          <x:t xml:space="preserve">Distinguish</x:t>
        </x:is>
      </x:c>
      <x:c r="L479" s="81" t="inlineStr">
        <x:is>
          <x:t xml:space="preserve">Recognize</x:t>
        </x:is>
      </x:c>
      <x:c r="M479" s="81" t="inlineStr">
        <x:is>
          <x:t xml:space="preserve">Trích đoạn triết học / 寓言</x:t>
        </x:is>
      </x:c>
      <x:c r="N479" s="81" t="inlineStr">
        <x:is>
          <x:t xml:space="preserve">掩其耳。</x:t>
        </x:is>
      </x:c>
      <x:c r="O479" s="81" t="inlineStr">
        <x:is>
          <x:t xml:space="preserve">Classical Chinese (文言文)</x:t>
        </x:is>
      </x:c>
      <x:c r="P479" s="81" t="inlineStr">
        <x:is>
          <x:t xml:space="preserve">Bịt tai mình không làm âm thanh biến mất.</x:t>
        </x:is>
      </x:c>
      <x:c r="Q479" s="81" t="inlineStr">
        <x:is>
          <x:t xml:space="preserve">Huainanzi / 淮南子 (compiled under Liu An court)</x:t>
        </x:is>
      </x:c>
      <x:c r="R479" s="81" t="inlineStr">
        <x:is>
          <x:t xml:space="preserve">Han China / syncretic</x:t>
        </x:is>
      </x:c>
      <x:c r="S479" s="81" t="inlineStr">
        <x:is>
          <x:t xml:space="preserve">淮南子 / Huainanzi</x:t>
        </x:is>
      </x:c>
      <x:c r="T479" s="81" t="inlineStr">
        <x:is>
          <x:t xml:space="preserve">Chapter 16 — 說山訓</x:t>
        </x:is>
      </x:c>
      <x:c r="U479" s="81" t="inlineStr">
        <x:is>
          <x:t xml:space="preserve">https://ctext.org/huainanzi/shuo-shan-xun/zhs</x:t>
        </x:is>
      </x:c>
      <x:c r="V479" s="81" t="inlineStr">
        <x:is>
          <x:t xml:space="preserve">Primary text / scholarly digital corpus</x:t>
        </x:is>
      </x:c>
      <x:c r="W479" s="81" t="inlineStr">
        <x:is>
          <x:t xml:space="preserve">Working translation</x:t>
        </x:is>
      </x:c>
      <x:c r="X479" s="81" t="inlineStr">
        <x:is>
          <x:t xml:space="preserve">A - Primary source</x:t>
        </x:is>
      </x:c>
      <x:c r="Y479" s="81" t="inlineStr">
        <x:is>
          <x:t xml:space="preserve">Original text checked against Chinese Text Project digital base text. Vietnamese is Selflo working translation, not a published translation.</x:t>
        </x:is>
      </x:c>
      <x:c r="Z479" s="81" t="inlineStr">
        <x:is>
          <x:t xml:space="preserve">Public domain ancient text / edition terms to verify</x:t>
        </x:is>
      </x:c>
      <x:c r="AA479" s="81" t="inlineStr">
        <x:is>
          <x:t xml:space="preserve">Do not copy modern translations/commentaries; verify edition/site terms before commercial release.</x:t>
        </x:is>
      </x:c>
      <x:c r="AB479" s="81" t="inlineStr">
        <x:is>
          <x:t xml:space="preserve">High</x:t>
        </x:is>
      </x:c>
      <x:c r="AC479" s="81" t="inlineStr">
        <x:is>
          <x:t xml:space="preserve">Day 6 research candidate; not Release-approved.</x:t>
        </x:is>
      </x:c>
      <x:c r="AD479" s="81" t="inlineStr">
        <x:is>
          <x:t xml:space="preserve">Needs editorial review</x:t>
        </x:is>
      </x:c>
      <x:c r="AE479" s="81" t="inlineStr">
        <x:is>
          <x:t xml:space="preserve">Needs semantic dedupe review</x:t>
        </x:is>
      </x:c>
      <x:c r="AF479" s="81" t="str"/>
      <x:c r="AG479" s="81" t="str"/>
      <x:c r="AH479" s="81" t="inlineStr">
        <x:is>
          <x:t xml:space="preserve">No</x:t>
        </x:is>
      </x:c>
      <x:c r="AI479" s="81" t="inlineStr">
        <x:is>
          <x:t xml:space="preserve">Not reviewed</x:t>
        </x:is>
      </x:c>
      <x:c r="AJ479" s="81" t="inlineStr">
        <x:is>
          <x:t xml:space="preserve">Research only</x:t>
        </x:is>
      </x:c>
      <x:c r="AK479" s="81" t="inlineStr">
        <x:is>
          <x:t xml:space="preserve">Research Pool</x:t>
        </x:is>
      </x:c>
      <x:c r="AL479" s="81" t="n">
        <x:v>6</x:v>
      </x:c>
      <x:c r="AM479" s="81" t="inlineStr">
        <x:is>
          <x:t xml:space="preserve">ChatGPT research</x:t>
        </x:is>
      </x:c>
      <x:c r="AN479" s="81" t="inlineStr">
        <x:is>
          <x:t xml:space="preserve">2026-09-18</x:t>
        </x:is>
      </x:c>
      <x:c r="AO479" s="81" t="inlineStr">
        <x:is>
          <x:t xml:space="preserve">Day 6 Huainanzi collection; exact source URL stored.</x:t>
        </x:is>
      </x:c>
    </x:row>
    <x:row r="480">
      <x:c r="A480" s="81" t="inlineStr">
        <x:is>
          <x:t xml:space="preserve">research.huainanzi.day6.ch17.028</x:t>
        </x:is>
      </x:c>
      <x:c r="B480" s="81" t="inlineStr">
        <x:is>
          <x:t xml:space="preserve">Collected</x:t>
        </x:is>
      </x:c>
      <x:c r="C480" s="81" t="inlineStr">
        <x:is>
          <x:t xml:space="preserve">Nội tâm &amp; hiểu mình</x:t>
        </x:is>
      </x:c>
      <x:c r="D480" s="81" t="inlineStr">
        <x:is>
          <x:t xml:space="preserve">Day 6 / Huainanzi</x:t>
        </x:is>
      </x:c>
      <x:c r="E480" s="81" t="str"/>
      <x:c r="F480" s="81" t="inlineStr">
        <x:is>
          <x:t xml:space="preserve">Mô hình cũ có thể lệch khi bối cảnh đã dịch chuyển</x:t>
        </x:is>
      </x:c>
      <x:c r="G480" s="81" t="inlineStr">
        <x:is>
          <x:t xml:space="preserve">Change</x:t>
        </x:is>
      </x:c>
      <x:c r="H480" s="81" t="str"/>
      <x:c r="I480" s="81" t="str"/>
      <x:c r="J480" s="81" t="str"/>
      <x:c r="K480" s="81" t="inlineStr">
        <x:is>
          <x:t xml:space="preserve">Distinguish</x:t>
        </x:is>
      </x:c>
      <x:c r="L480" s="81" t="inlineStr">
        <x:is>
          <x:t xml:space="preserve">Recognize</x:t>
        </x:is>
      </x:c>
      <x:c r="M480" s="81" t="inlineStr">
        <x:is>
          <x:t xml:space="preserve">Trích đoạn triết học / 寓言</x:t>
        </x:is>
      </x:c>
      <x:c r="N480" s="81" t="inlineStr">
        <x:is>
          <x:t xml:space="preserve">以一世之度制治天下，譬猶客之乘舟，中流遺其劍，遽契其舟桅。</x:t>
        </x:is>
      </x:c>
      <x:c r="O480" s="81" t="inlineStr">
        <x:is>
          <x:t xml:space="preserve">Classical Chinese (文言文)</x:t>
        </x:is>
      </x:c>
      <x:c r="P480" s="81" t="inlineStr">
        <x:is>
          <x:t xml:space="preserve">Dùng một thước đo cố định cho thế giới đang đổi giống như đánh dấu mạn thuyền để tìm thanh kiếm đã rơi xuống nước.</x:t>
        </x:is>
      </x:c>
      <x:c r="Q480" s="81" t="inlineStr">
        <x:is>
          <x:t xml:space="preserve">Huainanzi / 淮南子 (compiled under Liu An court)</x:t>
        </x:is>
      </x:c>
      <x:c r="R480" s="81" t="inlineStr">
        <x:is>
          <x:t xml:space="preserve">Han China / syncretic</x:t>
        </x:is>
      </x:c>
      <x:c r="S480" s="81" t="inlineStr">
        <x:is>
          <x:t xml:space="preserve">淮南子 / Huainanzi</x:t>
        </x:is>
      </x:c>
      <x:c r="T480" s="81" t="inlineStr">
        <x:is>
          <x:t xml:space="preserve">Chapter 17 — 說林訓</x:t>
        </x:is>
      </x:c>
      <x:c r="U480" s="81" t="inlineStr">
        <x:is>
          <x:t xml:space="preserve">https://ctext.org/huainanzi/shuo-lin-xun/zh</x:t>
        </x:is>
      </x:c>
      <x:c r="V480" s="81" t="inlineStr">
        <x:is>
          <x:t xml:space="preserve">Primary text / scholarly digital corpus</x:t>
        </x:is>
      </x:c>
      <x:c r="W480" s="81" t="inlineStr">
        <x:is>
          <x:t xml:space="preserve">Working translation</x:t>
        </x:is>
      </x:c>
      <x:c r="X480" s="81" t="inlineStr">
        <x:is>
          <x:t xml:space="preserve">A - Primary source</x:t>
        </x:is>
      </x:c>
      <x:c r="Y480" s="81" t="inlineStr">
        <x:is>
          <x:t xml:space="preserve">Original text checked against Chinese Text Project digital base text. Vietnamese is Selflo working translation, not a published translation.</x:t>
        </x:is>
      </x:c>
      <x:c r="Z480" s="81" t="inlineStr">
        <x:is>
          <x:t xml:space="preserve">Public domain ancient text / edition terms to verify</x:t>
        </x:is>
      </x:c>
      <x:c r="AA480" s="81" t="inlineStr">
        <x:is>
          <x:t xml:space="preserve">Do not copy modern translations/commentaries; verify edition/site terms before commercial release.</x:t>
        </x:is>
      </x:c>
      <x:c r="AB480" s="81" t="inlineStr">
        <x:is>
          <x:t xml:space="preserve">High</x:t>
        </x:is>
      </x:c>
      <x:c r="AC480" s="81" t="inlineStr">
        <x:is>
          <x:t xml:space="preserve">Day 6 research candidate; not Release-approved.</x:t>
        </x:is>
      </x:c>
      <x:c r="AD480" s="81" t="inlineStr">
        <x:is>
          <x:t xml:space="preserve">Needs editorial review</x:t>
        </x:is>
      </x:c>
      <x:c r="AE480" s="81" t="inlineStr">
        <x:is>
          <x:t xml:space="preserve">Needs semantic dedupe review</x:t>
        </x:is>
      </x:c>
      <x:c r="AF480" s="81" t="str"/>
      <x:c r="AG480" s="81" t="str"/>
      <x:c r="AH480" s="81" t="inlineStr">
        <x:is>
          <x:t xml:space="preserve">No</x:t>
        </x:is>
      </x:c>
      <x:c r="AI480" s="81" t="inlineStr">
        <x:is>
          <x:t xml:space="preserve">Not reviewed</x:t>
        </x:is>
      </x:c>
      <x:c r="AJ480" s="81" t="inlineStr">
        <x:is>
          <x:t xml:space="preserve">Research only</x:t>
        </x:is>
      </x:c>
      <x:c r="AK480" s="81" t="inlineStr">
        <x:is>
          <x:t xml:space="preserve">Research Pool</x:t>
        </x:is>
      </x:c>
      <x:c r="AL480" s="81" t="n">
        <x:v>6</x:v>
      </x:c>
      <x:c r="AM480" s="81" t="inlineStr">
        <x:is>
          <x:t xml:space="preserve">ChatGPT research</x:t>
        </x:is>
      </x:c>
      <x:c r="AN480" s="81" t="inlineStr">
        <x:is>
          <x:t xml:space="preserve">2026-09-18</x:t>
        </x:is>
      </x:c>
      <x:c r="AO480" s="81" t="inlineStr">
        <x:is>
          <x:t xml:space="preserve">Day 6 Huainanzi collection; exact source URL stored.</x:t>
        </x:is>
      </x:c>
    </x:row>
    <x:row r="481">
      <x:c r="A481" s="81" t="inlineStr">
        <x:is>
          <x:t xml:space="preserve">research.huainanzi.day6.ch17.029</x:t>
        </x:is>
      </x:c>
      <x:c r="B481" s="81" t="inlineStr">
        <x:is>
          <x:t xml:space="preserve">Collected</x:t>
        </x:is>
      </x:c>
      <x:c r="C481" s="81" t="inlineStr">
        <x:is>
          <x:t xml:space="preserve">Nội tâm &amp; hiểu mình</x:t>
        </x:is>
      </x:c>
      <x:c r="D481" s="81" t="inlineStr">
        <x:is>
          <x:t xml:space="preserve">Day 6 / Huainanzi</x:t>
        </x:is>
      </x:c>
      <x:c r="E481" s="81" t="str"/>
      <x:c r="F481" s="81" t="inlineStr">
        <x:is>
          <x:t xml:space="preserve">Giá trị phụ thuộc bối cảnh sử dụng</x:t>
        </x:is>
      </x:c>
      <x:c r="G481" s="81" t="inlineStr">
        <x:is>
          <x:t xml:space="preserve">Context</x:t>
        </x:is>
      </x:c>
      <x:c r="H481" s="81" t="str"/>
      <x:c r="I481" s="81" t="str"/>
      <x:c r="J481" s="81" t="str"/>
      <x:c r="K481" s="81" t="inlineStr">
        <x:is>
          <x:t xml:space="preserve">Reframe</x:t>
        </x:is>
      </x:c>
      <x:c r="L481" s="81" t="inlineStr">
        <x:is>
          <x:t xml:space="preserve">Recognize</x:t>
        </x:is>
      </x:c>
      <x:c r="M481" s="81" t="inlineStr">
        <x:is>
          <x:t xml:space="preserve">Trích đoạn triết học / 寓言</x:t>
        </x:is>
      </x:c>
      <x:c r="N481" s="81" t="inlineStr">
        <x:is>
          <x:t xml:space="preserve">陶人棄索，車人掇之；屠者棄銷，而鍛者拾之；所緩急異也。</x:t>
        </x:is>
      </x:c>
      <x:c r="O481" s="81" t="inlineStr">
        <x:is>
          <x:t xml:space="preserve">Classical Chinese (文言文)</x:t>
        </x:is>
      </x:c>
      <x:c r="P481" s="81" t="inlineStr">
        <x:is>
          <x:t xml:space="preserve">Thứ người này bỏ đi có thể là thứ người khác nhặt lấy; nhu cầu khác làm giá trị khác.</x:t>
        </x:is>
      </x:c>
      <x:c r="Q481" s="81" t="inlineStr">
        <x:is>
          <x:t xml:space="preserve">Huainanzi / 淮南子 (compiled under Liu An court)</x:t>
        </x:is>
      </x:c>
      <x:c r="R481" s="81" t="inlineStr">
        <x:is>
          <x:t xml:space="preserve">Han China / syncretic</x:t>
        </x:is>
      </x:c>
      <x:c r="S481" s="81" t="inlineStr">
        <x:is>
          <x:t xml:space="preserve">淮南子 / Huainanzi</x:t>
        </x:is>
      </x:c>
      <x:c r="T481" s="81" t="inlineStr">
        <x:is>
          <x:t xml:space="preserve">Chapter 17 — 說林訓</x:t>
        </x:is>
      </x:c>
      <x:c r="U481" s="81" t="inlineStr">
        <x:is>
          <x:t xml:space="preserve">https://ctext.org/huainanzi/shuo-lin-xun/zh</x:t>
        </x:is>
      </x:c>
      <x:c r="V481" s="81" t="inlineStr">
        <x:is>
          <x:t xml:space="preserve">Primary text / scholarly digital corpus</x:t>
        </x:is>
      </x:c>
      <x:c r="W481" s="81" t="inlineStr">
        <x:is>
          <x:t xml:space="preserve">Working translation</x:t>
        </x:is>
      </x:c>
      <x:c r="X481" s="81" t="inlineStr">
        <x:is>
          <x:t xml:space="preserve">A - Primary source</x:t>
        </x:is>
      </x:c>
      <x:c r="Y481" s="81" t="inlineStr">
        <x:is>
          <x:t xml:space="preserve">Original text checked against Chinese Text Project digital base text. Vietnamese is Selflo working translation, not a published translation.</x:t>
        </x:is>
      </x:c>
      <x:c r="Z481" s="81" t="inlineStr">
        <x:is>
          <x:t xml:space="preserve">Public domain ancient text / edition terms to verify</x:t>
        </x:is>
      </x:c>
      <x:c r="AA481" s="81" t="inlineStr">
        <x:is>
          <x:t xml:space="preserve">Do not copy modern translations/commentaries; verify edition/site terms before commercial release.</x:t>
        </x:is>
      </x:c>
      <x:c r="AB481" s="81" t="inlineStr">
        <x:is>
          <x:t xml:space="preserve">High</x:t>
        </x:is>
      </x:c>
      <x:c r="AC481" s="81" t="inlineStr">
        <x:is>
          <x:t xml:space="preserve">Day 6 research candidate; not Release-approved.</x:t>
        </x:is>
      </x:c>
      <x:c r="AD481" s="81" t="inlineStr">
        <x:is>
          <x:t xml:space="preserve">Needs editorial review</x:t>
        </x:is>
      </x:c>
      <x:c r="AE481" s="81" t="inlineStr">
        <x:is>
          <x:t xml:space="preserve">Needs semantic dedupe review</x:t>
        </x:is>
      </x:c>
      <x:c r="AF481" s="81" t="str"/>
      <x:c r="AG481" s="81" t="str"/>
      <x:c r="AH481" s="81" t="inlineStr">
        <x:is>
          <x:t xml:space="preserve">No</x:t>
        </x:is>
      </x:c>
      <x:c r="AI481" s="81" t="inlineStr">
        <x:is>
          <x:t xml:space="preserve">Not reviewed</x:t>
        </x:is>
      </x:c>
      <x:c r="AJ481" s="81" t="inlineStr">
        <x:is>
          <x:t xml:space="preserve">Research only</x:t>
        </x:is>
      </x:c>
      <x:c r="AK481" s="81" t="inlineStr">
        <x:is>
          <x:t xml:space="preserve">Research Pool</x:t>
        </x:is>
      </x:c>
      <x:c r="AL481" s="81" t="n">
        <x:v>6</x:v>
      </x:c>
      <x:c r="AM481" s="81" t="inlineStr">
        <x:is>
          <x:t xml:space="preserve">ChatGPT research</x:t>
        </x:is>
      </x:c>
      <x:c r="AN481" s="81" t="inlineStr">
        <x:is>
          <x:t xml:space="preserve">2026-09-18</x:t>
        </x:is>
      </x:c>
      <x:c r="AO481" s="81" t="inlineStr">
        <x:is>
          <x:t xml:space="preserve">Day 6 Huainanzi collection; exact source URL stored.</x:t>
        </x:is>
      </x:c>
    </x:row>
    <x:row r="482">
      <x:c r="A482" s="81" t="inlineStr">
        <x:is>
          <x:t xml:space="preserve">research.huainanzi.day6.ch17.030</x:t>
        </x:is>
      </x:c>
      <x:c r="B482" s="81" t="inlineStr">
        <x:is>
          <x:t xml:space="preserve">Collected</x:t>
        </x:is>
      </x:c>
      <x:c r="C482" s="81" t="inlineStr">
        <x:is>
          <x:t xml:space="preserve">Nội tâm &amp; hiểu mình</x:t>
        </x:is>
      </x:c>
      <x:c r="D482" s="81" t="inlineStr">
        <x:is>
          <x:t xml:space="preserve">Day 6 / Huainanzi</x:t>
        </x:is>
      </x:c>
      <x:c r="E482" s="81" t="str"/>
      <x:c r="F482" s="81" t="inlineStr">
        <x:is>
          <x:t xml:space="preserve">Nhiều tín hiệu không đồng nghĩa nhiều sáng rõ</x:t>
        </x:is>
      </x:c>
      <x:c r="G482" s="81" t="inlineStr">
        <x:is>
          <x:t xml:space="preserve">Attention</x:t>
        </x:is>
      </x:c>
      <x:c r="H482" s="81" t="str"/>
      <x:c r="I482" s="81" t="str"/>
      <x:c r="J482" s="81" t="str"/>
      <x:c r="K482" s="81" t="inlineStr">
        <x:is>
          <x:t xml:space="preserve">Distinguish</x:t>
        </x:is>
      </x:c>
      <x:c r="L482" s="81" t="inlineStr">
        <x:is>
          <x:t xml:space="preserve">Recognize</x:t>
        </x:is>
      </x:c>
      <x:c r="M482" s="81" t="inlineStr">
        <x:is>
          <x:t xml:space="preserve">Trích đoạn triết học / 寓言</x:t>
        </x:is>
      </x:c>
      <x:c r="N482" s="81" t="inlineStr">
        <x:is>
          <x:t xml:space="preserve">百星之明，不如一月之光。</x:t>
        </x:is>
      </x:c>
      <x:c r="O482" s="81" t="inlineStr">
        <x:is>
          <x:t xml:space="preserve">Classical Chinese (文言文)</x:t>
        </x:is>
      </x:c>
      <x:c r="P482" s="81" t="inlineStr">
        <x:is>
          <x:t xml:space="preserve">Ánh của trăm sao đôi khi không bằng một vầng trăng.</x:t>
        </x:is>
      </x:c>
      <x:c r="Q482" s="81" t="inlineStr">
        <x:is>
          <x:t xml:space="preserve">Huainanzi / 淮南子 (compiled under Liu An court)</x:t>
        </x:is>
      </x:c>
      <x:c r="R482" s="81" t="inlineStr">
        <x:is>
          <x:t xml:space="preserve">Han China / syncretic</x:t>
        </x:is>
      </x:c>
      <x:c r="S482" s="81" t="inlineStr">
        <x:is>
          <x:t xml:space="preserve">淮南子 / Huainanzi</x:t>
        </x:is>
      </x:c>
      <x:c r="T482" s="81" t="inlineStr">
        <x:is>
          <x:t xml:space="preserve">Chapter 17 — 說林訓</x:t>
        </x:is>
      </x:c>
      <x:c r="U482" s="81" t="inlineStr">
        <x:is>
          <x:t xml:space="preserve">https://ctext.org/huainanzi/shuo-lin-xun/zh</x:t>
        </x:is>
      </x:c>
      <x:c r="V482" s="81" t="inlineStr">
        <x:is>
          <x:t xml:space="preserve">Primary text / scholarly digital corpus</x:t>
        </x:is>
      </x:c>
      <x:c r="W482" s="81" t="inlineStr">
        <x:is>
          <x:t xml:space="preserve">Working translation</x:t>
        </x:is>
      </x:c>
      <x:c r="X482" s="81" t="inlineStr">
        <x:is>
          <x:t xml:space="preserve">A - Primary source</x:t>
        </x:is>
      </x:c>
      <x:c r="Y482" s="81" t="inlineStr">
        <x:is>
          <x:t xml:space="preserve">Original text checked against Chinese Text Project digital base text. Vietnamese is Selflo working translation, not a published translation.</x:t>
        </x:is>
      </x:c>
      <x:c r="Z482" s="81" t="inlineStr">
        <x:is>
          <x:t xml:space="preserve">Public domain ancient text / edition terms to verify</x:t>
        </x:is>
      </x:c>
      <x:c r="AA482" s="81" t="inlineStr">
        <x:is>
          <x:t xml:space="preserve">Do not copy modern translations/commentaries; verify edition/site terms before commercial release.</x:t>
        </x:is>
      </x:c>
      <x:c r="AB482" s="81" t="inlineStr">
        <x:is>
          <x:t xml:space="preserve">High</x:t>
        </x:is>
      </x:c>
      <x:c r="AC482" s="81" t="inlineStr">
        <x:is>
          <x:t xml:space="preserve">Day 6 research candidate; not Release-approved.</x:t>
        </x:is>
      </x:c>
      <x:c r="AD482" s="81" t="inlineStr">
        <x:is>
          <x:t xml:space="preserve">Needs editorial review</x:t>
        </x:is>
      </x:c>
      <x:c r="AE482" s="81" t="inlineStr">
        <x:is>
          <x:t xml:space="preserve">Needs semantic dedupe review</x:t>
        </x:is>
      </x:c>
      <x:c r="AF482" s="81" t="str"/>
      <x:c r="AG482" s="81" t="str"/>
      <x:c r="AH482" s="81" t="inlineStr">
        <x:is>
          <x:t xml:space="preserve">No</x:t>
        </x:is>
      </x:c>
      <x:c r="AI482" s="81" t="inlineStr">
        <x:is>
          <x:t xml:space="preserve">Not reviewed</x:t>
        </x:is>
      </x:c>
      <x:c r="AJ482" s="81" t="inlineStr">
        <x:is>
          <x:t xml:space="preserve">Research only</x:t>
        </x:is>
      </x:c>
      <x:c r="AK482" s="81" t="inlineStr">
        <x:is>
          <x:t xml:space="preserve">Research Pool</x:t>
        </x:is>
      </x:c>
      <x:c r="AL482" s="81" t="n">
        <x:v>6</x:v>
      </x:c>
      <x:c r="AM482" s="81" t="inlineStr">
        <x:is>
          <x:t xml:space="preserve">ChatGPT research</x:t>
        </x:is>
      </x:c>
      <x:c r="AN482" s="81" t="inlineStr">
        <x:is>
          <x:t xml:space="preserve">2026-09-18</x:t>
        </x:is>
      </x:c>
      <x:c r="AO482" s="81" t="inlineStr">
        <x:is>
          <x:t xml:space="preserve">Day 6 Huainanzi collection; exact source URL stored.</x:t>
        </x:is>
      </x:c>
    </x:row>
    <x:row r="483">
      <x:c r="A483" s="81" t="inlineStr">
        <x:is>
          <x:t xml:space="preserve">research.huainanzi.day6.ch17.031</x:t>
        </x:is>
      </x:c>
      <x:c r="B483" s="81" t="inlineStr">
        <x:is>
          <x:t xml:space="preserve">Collected</x:t>
        </x:is>
      </x:c>
      <x:c r="C483" s="81" t="inlineStr">
        <x:is>
          <x:t xml:space="preserve">AI &amp; tương lai</x:t>
        </x:is>
      </x:c>
      <x:c r="D483" s="81" t="inlineStr">
        <x:is>
          <x:t xml:space="preserve">Day 6 / Huainanzi</x:t>
        </x:is>
      </x:c>
      <x:c r="E483" s="81" t="str"/>
      <x:c r="F483" s="81" t="inlineStr">
        <x:is>
          <x:t xml:space="preserve">Nhiều nguồn không mặc định tốt hơn một nguồn rõ</x:t>
        </x:is>
      </x:c>
      <x:c r="G483" s="81" t="inlineStr">
        <x:is>
          <x:t xml:space="preserve">Information overload</x:t>
        </x:is>
      </x:c>
      <x:c r="H483" s="81" t="str"/>
      <x:c r="I483" s="81" t="str"/>
      <x:c r="J483" s="81" t="str"/>
      <x:c r="K483" s="81" t="inlineStr">
        <x:is>
          <x:t xml:space="preserve">Distinguish</x:t>
        </x:is>
      </x:c>
      <x:c r="L483" s="81" t="inlineStr">
        <x:is>
          <x:t xml:space="preserve">Recognize</x:t>
        </x:is>
      </x:c>
      <x:c r="M483" s="81" t="inlineStr">
        <x:is>
          <x:t xml:space="preserve">Trích đoạn triết học / 寓言</x:t>
        </x:is>
      </x:c>
      <x:c r="N483" s="81" t="inlineStr">
        <x:is>
          <x:t xml:space="preserve">十牖之開，不如一戶之明。</x:t>
        </x:is>
      </x:c>
      <x:c r="O483" s="81" t="inlineStr">
        <x:is>
          <x:t xml:space="preserve">Classical Chinese (文言文)</x:t>
        </x:is>
      </x:c>
      <x:c r="P483" s="81" t="inlineStr">
        <x:is>
          <x:t xml:space="preserve">Mở mười ô nhỏ chưa chắc sáng bằng một cửa đủ rõ.</x:t>
        </x:is>
      </x:c>
      <x:c r="Q483" s="81" t="inlineStr">
        <x:is>
          <x:t xml:space="preserve">Huainanzi / 淮南子 (compiled under Liu An court)</x:t>
        </x:is>
      </x:c>
      <x:c r="R483" s="81" t="inlineStr">
        <x:is>
          <x:t xml:space="preserve">Han China / syncretic</x:t>
        </x:is>
      </x:c>
      <x:c r="S483" s="81" t="inlineStr">
        <x:is>
          <x:t xml:space="preserve">淮南子 / Huainanzi</x:t>
        </x:is>
      </x:c>
      <x:c r="T483" s="81" t="inlineStr">
        <x:is>
          <x:t xml:space="preserve">Chapter 17 — 說林訓</x:t>
        </x:is>
      </x:c>
      <x:c r="U483" s="81" t="inlineStr">
        <x:is>
          <x:t xml:space="preserve">https://ctext.org/huainanzi/shuo-lin-xun/zh</x:t>
        </x:is>
      </x:c>
      <x:c r="V483" s="81" t="inlineStr">
        <x:is>
          <x:t xml:space="preserve">Primary text / scholarly digital corpus</x:t>
        </x:is>
      </x:c>
      <x:c r="W483" s="81" t="inlineStr">
        <x:is>
          <x:t xml:space="preserve">Working translation</x:t>
        </x:is>
      </x:c>
      <x:c r="X483" s="81" t="inlineStr">
        <x:is>
          <x:t xml:space="preserve">A - Primary source</x:t>
        </x:is>
      </x:c>
      <x:c r="Y483" s="81" t="inlineStr">
        <x:is>
          <x:t xml:space="preserve">Original text checked against Chinese Text Project digital base text. Vietnamese is Selflo working translation, not a published translation.</x:t>
        </x:is>
      </x:c>
      <x:c r="Z483" s="81" t="inlineStr">
        <x:is>
          <x:t xml:space="preserve">Public domain ancient text / edition terms to verify</x:t>
        </x:is>
      </x:c>
      <x:c r="AA483" s="81" t="inlineStr">
        <x:is>
          <x:t xml:space="preserve">Do not copy modern translations/commentaries; verify edition/site terms before commercial release.</x:t>
        </x:is>
      </x:c>
      <x:c r="AB483" s="81" t="inlineStr">
        <x:is>
          <x:t xml:space="preserve">High</x:t>
        </x:is>
      </x:c>
      <x:c r="AC483" s="81" t="inlineStr">
        <x:is>
          <x:t xml:space="preserve">Day 6 research candidate; not Release-approved.</x:t>
        </x:is>
      </x:c>
      <x:c r="AD483" s="81" t="inlineStr">
        <x:is>
          <x:t xml:space="preserve">Needs editorial review</x:t>
        </x:is>
      </x:c>
      <x:c r="AE483" s="81" t="inlineStr">
        <x:is>
          <x:t xml:space="preserve">Needs semantic dedupe review</x:t>
        </x:is>
      </x:c>
      <x:c r="AF483" s="81" t="str"/>
      <x:c r="AG483" s="81" t="str"/>
      <x:c r="AH483" s="81" t="inlineStr">
        <x:is>
          <x:t xml:space="preserve">No</x:t>
        </x:is>
      </x:c>
      <x:c r="AI483" s="81" t="inlineStr">
        <x:is>
          <x:t xml:space="preserve">Not reviewed</x:t>
        </x:is>
      </x:c>
      <x:c r="AJ483" s="81" t="inlineStr">
        <x:is>
          <x:t xml:space="preserve">Research only</x:t>
        </x:is>
      </x:c>
      <x:c r="AK483" s="81" t="inlineStr">
        <x:is>
          <x:t xml:space="preserve">Research Pool</x:t>
        </x:is>
      </x:c>
      <x:c r="AL483" s="81" t="n">
        <x:v>6</x:v>
      </x:c>
      <x:c r="AM483" s="81" t="inlineStr">
        <x:is>
          <x:t xml:space="preserve">ChatGPT research</x:t>
        </x:is>
      </x:c>
      <x:c r="AN483" s="81" t="inlineStr">
        <x:is>
          <x:t xml:space="preserve">2026-09-18</x:t>
        </x:is>
      </x:c>
      <x:c r="AO483" s="81" t="inlineStr">
        <x:is>
          <x:t xml:space="preserve">Day 6 Huainanzi collection; exact source URL stored.</x:t>
        </x:is>
      </x:c>
    </x:row>
    <x:row r="484">
      <x:c r="A484" s="81" t="inlineStr">
        <x:is>
          <x:t xml:space="preserve">research.huainanzi.day6.ch17.032</x:t>
        </x:is>
      </x:c>
      <x:c r="B484" s="81" t="inlineStr">
        <x:is>
          <x:t xml:space="preserve">Collected</x:t>
        </x:is>
      </x:c>
      <x:c r="C484" s="81" t="inlineStr">
        <x:is>
          <x:t xml:space="preserve">AI &amp; tương lai</x:t>
        </x:is>
      </x:c>
      <x:c r="D484" s="81" t="inlineStr">
        <x:is>
          <x:t xml:space="preserve">Day 6 / Huainanzi</x:t>
        </x:is>
      </x:c>
      <x:c r="E484" s="81" t="str"/>
      <x:c r="F484" s="81" t="inlineStr">
        <x:is>
          <x:t xml:space="preserve">Gần/xa và attention định hình điều ta nhận ra</x:t>
        </x:is>
      </x:c>
      <x:c r="G484" s="81" t="inlineStr">
        <x:is>
          <x:t xml:space="preserve">Perspective</x:t>
        </x:is>
      </x:c>
      <x:c r="H484" s="81" t="str"/>
      <x:c r="I484" s="81" t="str"/>
      <x:c r="J484" s="81" t="str"/>
      <x:c r="K484" s="81" t="inlineStr">
        <x:is>
          <x:t xml:space="preserve">Recognize</x:t>
        </x:is>
      </x:c>
      <x:c r="L484" s="81" t="inlineStr">
        <x:is>
          <x:t xml:space="preserve">Recognize</x:t>
        </x:is>
      </x:c>
      <x:c r="M484" s="81" t="inlineStr">
        <x:is>
          <x:t xml:space="preserve">Trích đoạn triết học / 寓言</x:t>
        </x:is>
      </x:c>
      <x:c r="N484" s="81" t="inlineStr">
        <x:is>
          <x:t xml:space="preserve">太山之高，背而弗見；秋豪之末，視之可察。</x:t>
        </x:is>
      </x:c>
      <x:c r="O484" s="81" t="inlineStr">
        <x:is>
          <x:t xml:space="preserve">Classical Chinese (文言文)</x:t>
        </x:is>
      </x:c>
      <x:c r="P484" s="81" t="inlineStr">
        <x:is>
          <x:t xml:space="preserve">Núi lớn sau lưng vẫn có thể không thấy; đầu sợi lông trước mắt lại thấy rõ.</x:t>
        </x:is>
      </x:c>
      <x:c r="Q484" s="81" t="inlineStr">
        <x:is>
          <x:t xml:space="preserve">Huainanzi / 淮南子 (compiled under Liu An court)</x:t>
        </x:is>
      </x:c>
      <x:c r="R484" s="81" t="inlineStr">
        <x:is>
          <x:t xml:space="preserve">Han China / syncretic</x:t>
        </x:is>
      </x:c>
      <x:c r="S484" s="81" t="inlineStr">
        <x:is>
          <x:t xml:space="preserve">淮南子 / Huainanzi</x:t>
        </x:is>
      </x:c>
      <x:c r="T484" s="81" t="inlineStr">
        <x:is>
          <x:t xml:space="preserve">Chapter 17 — 說林訓</x:t>
        </x:is>
      </x:c>
      <x:c r="U484" s="81" t="inlineStr">
        <x:is>
          <x:t xml:space="preserve">https://ctext.org/huainanzi/shuo-lin-xun/zh</x:t>
        </x:is>
      </x:c>
      <x:c r="V484" s="81" t="inlineStr">
        <x:is>
          <x:t xml:space="preserve">Primary text / scholarly digital corpus</x:t>
        </x:is>
      </x:c>
      <x:c r="W484" s="81" t="inlineStr">
        <x:is>
          <x:t xml:space="preserve">Working translation</x:t>
        </x:is>
      </x:c>
      <x:c r="X484" s="81" t="inlineStr">
        <x:is>
          <x:t xml:space="preserve">A - Primary source</x:t>
        </x:is>
      </x:c>
      <x:c r="Y484" s="81" t="inlineStr">
        <x:is>
          <x:t xml:space="preserve">Original text checked against Chinese Text Project digital base text. Vietnamese is Selflo working translation, not a published translation.</x:t>
        </x:is>
      </x:c>
      <x:c r="Z484" s="81" t="inlineStr">
        <x:is>
          <x:t xml:space="preserve">Public domain ancient text / edition terms to verify</x:t>
        </x:is>
      </x:c>
      <x:c r="AA484" s="81" t="inlineStr">
        <x:is>
          <x:t xml:space="preserve">Do not copy modern translations/commentaries; verify edition/site terms before commercial release.</x:t>
        </x:is>
      </x:c>
      <x:c r="AB484" s="81" t="inlineStr">
        <x:is>
          <x:t xml:space="preserve">High</x:t>
        </x:is>
      </x:c>
      <x:c r="AC484" s="81" t="inlineStr">
        <x:is>
          <x:t xml:space="preserve">Day 6 research candidate; not Release-approved.</x:t>
        </x:is>
      </x:c>
      <x:c r="AD484" s="81" t="inlineStr">
        <x:is>
          <x:t xml:space="preserve">Needs editorial review</x:t>
        </x:is>
      </x:c>
      <x:c r="AE484" s="81" t="inlineStr">
        <x:is>
          <x:t xml:space="preserve">Needs semantic dedupe review</x:t>
        </x:is>
      </x:c>
      <x:c r="AF484" s="81" t="str"/>
      <x:c r="AG484" s="81" t="str"/>
      <x:c r="AH484" s="81" t="inlineStr">
        <x:is>
          <x:t xml:space="preserve">No</x:t>
        </x:is>
      </x:c>
      <x:c r="AI484" s="81" t="inlineStr">
        <x:is>
          <x:t xml:space="preserve">Not reviewed</x:t>
        </x:is>
      </x:c>
      <x:c r="AJ484" s="81" t="inlineStr">
        <x:is>
          <x:t xml:space="preserve">Research only</x:t>
        </x:is>
      </x:c>
      <x:c r="AK484" s="81" t="inlineStr">
        <x:is>
          <x:t xml:space="preserve">Research Pool</x:t>
        </x:is>
      </x:c>
      <x:c r="AL484" s="81" t="n">
        <x:v>6</x:v>
      </x:c>
      <x:c r="AM484" s="81" t="inlineStr">
        <x:is>
          <x:t xml:space="preserve">ChatGPT research</x:t>
        </x:is>
      </x:c>
      <x:c r="AN484" s="81" t="inlineStr">
        <x:is>
          <x:t xml:space="preserve">2026-09-18</x:t>
        </x:is>
      </x:c>
      <x:c r="AO484" s="81" t="inlineStr">
        <x:is>
          <x:t xml:space="preserve">Day 6 Huainanzi collection; exact source URL stored.</x:t>
        </x:is>
      </x:c>
    </x:row>
    <x:row r="485">
      <x:c r="A485" s="81" t="inlineStr">
        <x:is>
          <x:t xml:space="preserve">research.huainanzi.day6.ch17.033</x:t>
        </x:is>
      </x:c>
      <x:c r="B485" s="81" t="inlineStr">
        <x:is>
          <x:t xml:space="preserve">Collected</x:t>
        </x:is>
      </x:c>
      <x:c r="C485" s="81" t="inlineStr">
        <x:is>
          <x:t xml:space="preserve">AI &amp; tương lai</x:t>
        </x:is>
      </x:c>
      <x:c r="D485" s="81" t="inlineStr">
        <x:is>
          <x:t xml:space="preserve">Day 6 / Huainanzi</x:t>
        </x:is>
      </x:c>
      <x:c r="E485" s="81" t="str"/>
      <x:c r="F485" s="81" t="inlineStr">
        <x:is>
          <x:t xml:space="preserve">Năng lực không xóa giới hạn của phương pháp</x:t>
        </x:is>
      </x:c>
      <x:c r="G485" s="81" t="inlineStr">
        <x:is>
          <x:t xml:space="preserve">Technology</x:t>
        </x:is>
      </x:c>
      <x:c r="H485" s="81" t="str"/>
      <x:c r="I485" s="81" t="str"/>
      <x:c r="J485" s="81" t="str"/>
      <x:c r="K485" s="81" t="inlineStr">
        <x:is>
          <x:t xml:space="preserve">Distinguish</x:t>
        </x:is>
      </x:c>
      <x:c r="L485" s="81" t="inlineStr">
        <x:is>
          <x:t xml:space="preserve">Recognize</x:t>
        </x:is>
      </x:c>
      <x:c r="M485" s="81" t="inlineStr">
        <x:is>
          <x:t xml:space="preserve">Trích đoạn triết học / 寓言</x:t>
        </x:is>
      </x:c>
      <x:c r="N485" s="81" t="inlineStr">
        <x:is>
          <x:t xml:space="preserve">巧冶不能鑄木，巧工不能斫金者，形性然也。</x:t>
        </x:is>
      </x:c>
      <x:c r="O485" s="81" t="inlineStr">
        <x:is>
          <x:t xml:space="preserve">Classical Chinese (文言文)</x:t>
        </x:is>
      </x:c>
      <x:c r="P485" s="81" t="inlineStr">
        <x:is>
          <x:t xml:space="preserve">Thợ giỏi cũng không thể dùng một kỹ thuật cho mọi vật liệu.</x:t>
        </x:is>
      </x:c>
      <x:c r="Q485" s="81" t="inlineStr">
        <x:is>
          <x:t xml:space="preserve">Huainanzi / 淮南子 (compiled under Liu An court)</x:t>
        </x:is>
      </x:c>
      <x:c r="R485" s="81" t="inlineStr">
        <x:is>
          <x:t xml:space="preserve">Han China / syncretic</x:t>
        </x:is>
      </x:c>
      <x:c r="S485" s="81" t="inlineStr">
        <x:is>
          <x:t xml:space="preserve">淮南子 / Huainanzi</x:t>
        </x:is>
      </x:c>
      <x:c r="T485" s="81" t="inlineStr">
        <x:is>
          <x:t xml:space="preserve">Chapter 17 — 說林訓</x:t>
        </x:is>
      </x:c>
      <x:c r="U485" s="81" t="inlineStr">
        <x:is>
          <x:t xml:space="preserve">https://ctext.org/huainanzi/shuo-lin-xun/zh</x:t>
        </x:is>
      </x:c>
      <x:c r="V485" s="81" t="inlineStr">
        <x:is>
          <x:t xml:space="preserve">Primary text / scholarly digital corpus</x:t>
        </x:is>
      </x:c>
      <x:c r="W485" s="81" t="inlineStr">
        <x:is>
          <x:t xml:space="preserve">Working translation</x:t>
        </x:is>
      </x:c>
      <x:c r="X485" s="81" t="inlineStr">
        <x:is>
          <x:t xml:space="preserve">A - Primary source</x:t>
        </x:is>
      </x:c>
      <x:c r="Y485" s="81" t="inlineStr">
        <x:is>
          <x:t xml:space="preserve">Original text checked against Chinese Text Project digital base text. Vietnamese is Selflo working translation, not a published translation.</x:t>
        </x:is>
      </x:c>
      <x:c r="Z485" s="81" t="inlineStr">
        <x:is>
          <x:t xml:space="preserve">Public domain ancient text / edition terms to verify</x:t>
        </x:is>
      </x:c>
      <x:c r="AA485" s="81" t="inlineStr">
        <x:is>
          <x:t xml:space="preserve">Do not copy modern translations/commentaries; verify edition/site terms before commercial release.</x:t>
        </x:is>
      </x:c>
      <x:c r="AB485" s="81" t="inlineStr">
        <x:is>
          <x:t xml:space="preserve">High</x:t>
        </x:is>
      </x:c>
      <x:c r="AC485" s="81" t="inlineStr">
        <x:is>
          <x:t xml:space="preserve">Day 6 research candidate; not Release-approved.</x:t>
        </x:is>
      </x:c>
      <x:c r="AD485" s="81" t="inlineStr">
        <x:is>
          <x:t xml:space="preserve">Needs editorial review</x:t>
        </x:is>
      </x:c>
      <x:c r="AE485" s="81" t="inlineStr">
        <x:is>
          <x:t xml:space="preserve">Needs semantic dedupe review</x:t>
        </x:is>
      </x:c>
      <x:c r="AF485" s="81" t="str"/>
      <x:c r="AG485" s="81" t="str"/>
      <x:c r="AH485" s="81" t="inlineStr">
        <x:is>
          <x:t xml:space="preserve">No</x:t>
        </x:is>
      </x:c>
      <x:c r="AI485" s="81" t="inlineStr">
        <x:is>
          <x:t xml:space="preserve">Not reviewed</x:t>
        </x:is>
      </x:c>
      <x:c r="AJ485" s="81" t="inlineStr">
        <x:is>
          <x:t xml:space="preserve">Research only</x:t>
        </x:is>
      </x:c>
      <x:c r="AK485" s="81" t="inlineStr">
        <x:is>
          <x:t xml:space="preserve">Research Pool</x:t>
        </x:is>
      </x:c>
      <x:c r="AL485" s="81" t="n">
        <x:v>6</x:v>
      </x:c>
      <x:c r="AM485" s="81" t="inlineStr">
        <x:is>
          <x:t xml:space="preserve">ChatGPT research</x:t>
        </x:is>
      </x:c>
      <x:c r="AN485" s="81" t="inlineStr">
        <x:is>
          <x:t xml:space="preserve">2026-09-18</x:t>
        </x:is>
      </x:c>
      <x:c r="AO485" s="81" t="inlineStr">
        <x:is>
          <x:t xml:space="preserve">Day 6 Huainanzi collection; exact source URL stored.</x:t>
        </x:is>
      </x:c>
    </x:row>
    <x:row r="486">
      <x:c r="A486" s="81" t="inlineStr">
        <x:is>
          <x:t xml:space="preserve">research.huainanzi.day6.ch17.034</x:t>
        </x:is>
      </x:c>
      <x:c r="B486" s="81" t="inlineStr">
        <x:is>
          <x:t xml:space="preserve">Collected</x:t>
        </x:is>
      </x:c>
      <x:c r="C486" s="81" t="inlineStr">
        <x:is>
          <x:t xml:space="preserve">Nội tâm &amp; hiểu mình</x:t>
        </x:is>
      </x:c>
      <x:c r="D486" s="81" t="inlineStr">
        <x:is>
          <x:t xml:space="preserve">Day 6 / Huainanzi</x:t>
        </x:is>
      </x:c>
      <x:c r="E486" s="81" t="str"/>
      <x:c r="F486" s="81" t="inlineStr">
        <x:is>
          <x:t xml:space="preserve">Tiến bộ có thể đến từ nhịp nhỏ</x:t>
        </x:is>
      </x:c>
      <x:c r="G486" s="81" t="inlineStr">
        <x:is>
          <x:t xml:space="preserve">Progress</x:t>
        </x:is>
      </x:c>
      <x:c r="H486" s="81" t="str"/>
      <x:c r="I486" s="81" t="str"/>
      <x:c r="J486" s="81" t="str"/>
      <x:c r="K486" s="81" t="inlineStr">
        <x:is>
          <x:t xml:space="preserve">Reframe</x:t>
        </x:is>
      </x:c>
      <x:c r="L486" s="81" t="inlineStr">
        <x:is>
          <x:t xml:space="preserve">Recognize</x:t>
        </x:is>
      </x:c>
      <x:c r="M486" s="81" t="inlineStr">
        <x:is>
          <x:t xml:space="preserve">Trích đoạn triết học / 寓言</x:t>
        </x:is>
      </x:c>
      <x:c r="N486" s="81" t="inlineStr">
        <x:is>
          <x:t xml:space="preserve">故跬步不休，跛鱉千里。</x:t>
        </x:is>
      </x:c>
      <x:c r="O486" s="81" t="inlineStr">
        <x:is>
          <x:t xml:space="preserve">Classical Chinese (文言文)</x:t>
        </x:is>
      </x:c>
      <x:c r="P486" s="81" t="inlineStr">
        <x:is>
          <x:t xml:space="preserve">Bước nhỏ không ngừng thì con vật chậm vẫn có thể đi xa.</x:t>
        </x:is>
      </x:c>
      <x:c r="Q486" s="81" t="inlineStr">
        <x:is>
          <x:t xml:space="preserve">Huainanzi / 淮南子 (compiled under Liu An court)</x:t>
        </x:is>
      </x:c>
      <x:c r="R486" s="81" t="inlineStr">
        <x:is>
          <x:t xml:space="preserve">Han China / syncretic</x:t>
        </x:is>
      </x:c>
      <x:c r="S486" s="81" t="inlineStr">
        <x:is>
          <x:t xml:space="preserve">淮南子 / Huainanzi</x:t>
        </x:is>
      </x:c>
      <x:c r="T486" s="81" t="inlineStr">
        <x:is>
          <x:t xml:space="preserve">Chapter 17 — 說林訓</x:t>
        </x:is>
      </x:c>
      <x:c r="U486" s="81" t="inlineStr">
        <x:is>
          <x:t xml:space="preserve">https://ctext.org/huainanzi/shuo-lin-xun/zh</x:t>
        </x:is>
      </x:c>
      <x:c r="V486" s="81" t="inlineStr">
        <x:is>
          <x:t xml:space="preserve">Primary text / scholarly digital corpus</x:t>
        </x:is>
      </x:c>
      <x:c r="W486" s="81" t="inlineStr">
        <x:is>
          <x:t xml:space="preserve">Working translation</x:t>
        </x:is>
      </x:c>
      <x:c r="X486" s="81" t="inlineStr">
        <x:is>
          <x:t xml:space="preserve">A - Primary source</x:t>
        </x:is>
      </x:c>
      <x:c r="Y486" s="81" t="inlineStr">
        <x:is>
          <x:t xml:space="preserve">Original text checked against Chinese Text Project digital base text. Vietnamese is Selflo working translation, not a published translation.</x:t>
        </x:is>
      </x:c>
      <x:c r="Z486" s="81" t="inlineStr">
        <x:is>
          <x:t xml:space="preserve">Public domain ancient text / edition terms to verify</x:t>
        </x:is>
      </x:c>
      <x:c r="AA486" s="81" t="inlineStr">
        <x:is>
          <x:t xml:space="preserve">Do not copy modern translations/commentaries; verify edition/site terms before commercial release.</x:t>
        </x:is>
      </x:c>
      <x:c r="AB486" s="81" t="inlineStr">
        <x:is>
          <x:t xml:space="preserve">High</x:t>
        </x:is>
      </x:c>
      <x:c r="AC486" s="81" t="inlineStr">
        <x:is>
          <x:t xml:space="preserve">Day 6 research candidate; not Release-approved.</x:t>
        </x:is>
      </x:c>
      <x:c r="AD486" s="81" t="inlineStr">
        <x:is>
          <x:t xml:space="preserve">Needs editorial review</x:t>
        </x:is>
      </x:c>
      <x:c r="AE486" s="81" t="inlineStr">
        <x:is>
          <x:t xml:space="preserve">Needs semantic dedupe review</x:t>
        </x:is>
      </x:c>
      <x:c r="AF486" s="81" t="str"/>
      <x:c r="AG486" s="81" t="str"/>
      <x:c r="AH486" s="81" t="inlineStr">
        <x:is>
          <x:t xml:space="preserve">No</x:t>
        </x:is>
      </x:c>
      <x:c r="AI486" s="81" t="inlineStr">
        <x:is>
          <x:t xml:space="preserve">Not reviewed</x:t>
        </x:is>
      </x:c>
      <x:c r="AJ486" s="81" t="inlineStr">
        <x:is>
          <x:t xml:space="preserve">Research only</x:t>
        </x:is>
      </x:c>
      <x:c r="AK486" s="81" t="inlineStr">
        <x:is>
          <x:t xml:space="preserve">Research Pool</x:t>
        </x:is>
      </x:c>
      <x:c r="AL486" s="81" t="n">
        <x:v>6</x:v>
      </x:c>
      <x:c r="AM486" s="81" t="inlineStr">
        <x:is>
          <x:t xml:space="preserve">ChatGPT research</x:t>
        </x:is>
      </x:c>
      <x:c r="AN486" s="81" t="inlineStr">
        <x:is>
          <x:t xml:space="preserve">2026-09-18</x:t>
        </x:is>
      </x:c>
      <x:c r="AO486" s="81" t="inlineStr">
        <x:is>
          <x:t xml:space="preserve">Day 6 Huainanzi collection; exact source URL stored.</x:t>
        </x:is>
      </x:c>
    </x:row>
    <x:row r="487">
      <x:c r="A487" s="81" t="inlineStr">
        <x:is>
          <x:t xml:space="preserve">research.huainanzi.day6.ch17.035</x:t>
        </x:is>
      </x:c>
      <x:c r="B487" s="81" t="inlineStr">
        <x:is>
          <x:t xml:space="preserve">Collected</x:t>
        </x:is>
      </x:c>
      <x:c r="C487" s="81" t="inlineStr">
        <x:is>
          <x:t xml:space="preserve">Nội tâm &amp; hiểu mình</x:t>
        </x:is>
      </x:c>
      <x:c r="D487" s="81" t="inlineStr">
        <x:is>
          <x:t xml:space="preserve">Day 6 / Huainanzi</x:t>
        </x:is>
      </x:c>
      <x:c r="E487" s="81" t="str"/>
      <x:c r="F487" s="81" t="inlineStr">
        <x:is>
          <x:t xml:space="preserve">Thay đổi lớn có thể được tạo từ phần nhỏ</x:t>
        </x:is>
      </x:c>
      <x:c r="G487" s="81" t="inlineStr">
        <x:is>
          <x:t xml:space="preserve">Progress</x:t>
        </x:is>
      </x:c>
      <x:c r="H487" s="81" t="str"/>
      <x:c r="I487" s="81" t="str"/>
      <x:c r="J487" s="81" t="str"/>
      <x:c r="K487" s="81" t="inlineStr">
        <x:is>
          <x:t xml:space="preserve">Recognize</x:t>
        </x:is>
      </x:c>
      <x:c r="L487" s="81" t="inlineStr">
        <x:is>
          <x:t xml:space="preserve">Recognize</x:t>
        </x:is>
      </x:c>
      <x:c r="M487" s="81" t="inlineStr">
        <x:is>
          <x:t xml:space="preserve">Trích đoạn triết học / 寓言</x:t>
        </x:is>
      </x:c>
      <x:c r="N487" s="81" t="inlineStr">
        <x:is>
          <x:t xml:space="preserve">累積不輟，可成丘阜。</x:t>
        </x:is>
      </x:c>
      <x:c r="O487" s="81" t="inlineStr">
        <x:is>
          <x:t xml:space="preserve">Classical Chinese (文言文)</x:t>
        </x:is>
      </x:c>
      <x:c r="P487" s="81" t="inlineStr">
        <x:is>
          <x:t xml:space="preserve">Tích lũy không dừng có thể thành gò lớn.</x:t>
        </x:is>
      </x:c>
      <x:c r="Q487" s="81" t="inlineStr">
        <x:is>
          <x:t xml:space="preserve">Huainanzi / 淮南子 (compiled under Liu An court)</x:t>
        </x:is>
      </x:c>
      <x:c r="R487" s="81" t="inlineStr">
        <x:is>
          <x:t xml:space="preserve">Han China / syncretic</x:t>
        </x:is>
      </x:c>
      <x:c r="S487" s="81" t="inlineStr">
        <x:is>
          <x:t xml:space="preserve">淮南子 / Huainanzi</x:t>
        </x:is>
      </x:c>
      <x:c r="T487" s="81" t="inlineStr">
        <x:is>
          <x:t xml:space="preserve">Chapter 17 — 說林訓</x:t>
        </x:is>
      </x:c>
      <x:c r="U487" s="81" t="inlineStr">
        <x:is>
          <x:t xml:space="preserve">https://ctext.org/huainanzi/shuo-lin-xun/zh</x:t>
        </x:is>
      </x:c>
      <x:c r="V487" s="81" t="inlineStr">
        <x:is>
          <x:t xml:space="preserve">Primary text / scholarly digital corpus</x:t>
        </x:is>
      </x:c>
      <x:c r="W487" s="81" t="inlineStr">
        <x:is>
          <x:t xml:space="preserve">Working translation</x:t>
        </x:is>
      </x:c>
      <x:c r="X487" s="81" t="inlineStr">
        <x:is>
          <x:t xml:space="preserve">A - Primary source</x:t>
        </x:is>
      </x:c>
      <x:c r="Y487" s="81" t="inlineStr">
        <x:is>
          <x:t xml:space="preserve">Original text checked against Chinese Text Project digital base text. Vietnamese is Selflo working translation, not a published translation.</x:t>
        </x:is>
      </x:c>
      <x:c r="Z487" s="81" t="inlineStr">
        <x:is>
          <x:t xml:space="preserve">Public domain ancient text / edition terms to verify</x:t>
        </x:is>
      </x:c>
      <x:c r="AA487" s="81" t="inlineStr">
        <x:is>
          <x:t xml:space="preserve">Do not copy modern translations/commentaries; verify edition/site terms before commercial release.</x:t>
        </x:is>
      </x:c>
      <x:c r="AB487" s="81" t="inlineStr">
        <x:is>
          <x:t xml:space="preserve">High</x:t>
        </x:is>
      </x:c>
      <x:c r="AC487" s="81" t="inlineStr">
        <x:is>
          <x:t xml:space="preserve">Day 6 research candidate; not Release-approved.</x:t>
        </x:is>
      </x:c>
      <x:c r="AD487" s="81" t="inlineStr">
        <x:is>
          <x:t xml:space="preserve">Needs editorial review</x:t>
        </x:is>
      </x:c>
      <x:c r="AE487" s="81" t="inlineStr">
        <x:is>
          <x:t xml:space="preserve">Needs semantic dedupe review</x:t>
        </x:is>
      </x:c>
      <x:c r="AF487" s="81" t="str"/>
      <x:c r="AG487" s="81" t="str"/>
      <x:c r="AH487" s="81" t="inlineStr">
        <x:is>
          <x:t xml:space="preserve">No</x:t>
        </x:is>
      </x:c>
      <x:c r="AI487" s="81" t="inlineStr">
        <x:is>
          <x:t xml:space="preserve">Not reviewed</x:t>
        </x:is>
      </x:c>
      <x:c r="AJ487" s="81" t="inlineStr">
        <x:is>
          <x:t xml:space="preserve">Research only</x:t>
        </x:is>
      </x:c>
      <x:c r="AK487" s="81" t="inlineStr">
        <x:is>
          <x:t xml:space="preserve">Research Pool</x:t>
        </x:is>
      </x:c>
      <x:c r="AL487" s="81" t="n">
        <x:v>6</x:v>
      </x:c>
      <x:c r="AM487" s="81" t="inlineStr">
        <x:is>
          <x:t xml:space="preserve">ChatGPT research</x:t>
        </x:is>
      </x:c>
      <x:c r="AN487" s="81" t="inlineStr">
        <x:is>
          <x:t xml:space="preserve">2026-09-18</x:t>
        </x:is>
      </x:c>
      <x:c r="AO487" s="81" t="inlineStr">
        <x:is>
          <x:t xml:space="preserve">Day 6 Huainanzi collection; exact source URL stored.</x:t>
        </x:is>
      </x:c>
    </x:row>
    <x:row r="488">
      <x:c r="A488" s="81" t="inlineStr">
        <x:is>
          <x:t xml:space="preserve">research.huainanzi.day6.ch17.036</x:t>
        </x:is>
      </x:c>
      <x:c r="B488" s="81" t="inlineStr">
        <x:is>
          <x:t xml:space="preserve">Collected</x:t>
        </x:is>
      </x:c>
      <x:c r="C488" s="81" t="inlineStr">
        <x:is>
          <x:t xml:space="preserve">Nội tâm &amp; hiểu mình</x:t>
        </x:is>
      </x:c>
      <x:c r="D488" s="81" t="inlineStr">
        <x:is>
          <x:t xml:space="preserve">Day 6 / Huainanzi</x:t>
        </x:is>
      </x:c>
      <x:c r="E488" s="81" t="str"/>
      <x:c r="F488" s="81" t="inlineStr">
        <x:is>
          <x:t xml:space="preserve">Kết quả phản ánh điều kiện, không chỉ phẩm chất cá nhân</x:t>
        </x:is>
      </x:c>
      <x:c r="G488" s="81" t="inlineStr">
        <x:is>
          <x:t xml:space="preserve">Context</x:t>
        </x:is>
      </x:c>
      <x:c r="H488" s="81" t="str"/>
      <x:c r="I488" s="81" t="str"/>
      <x:c r="J488" s="81" t="str"/>
      <x:c r="K488" s="81" t="inlineStr">
        <x:is>
          <x:t xml:space="preserve">Reframe</x:t>
        </x:is>
      </x:c>
      <x:c r="L488" s="81" t="inlineStr">
        <x:is>
          <x:t xml:space="preserve">Recognize</x:t>
        </x:is>
      </x:c>
      <x:c r="M488" s="81" t="inlineStr">
        <x:is>
          <x:t xml:space="preserve">Trích đoạn triết học / 寓言</x:t>
        </x:is>
      </x:c>
      <x:c r="N488" s="81" t="inlineStr">
        <x:is>
          <x:t xml:space="preserve">城成於土，木直於下，非有事焉，所緣使然。</x:t>
        </x:is>
      </x:c>
      <x:c r="O488" s="81" t="inlineStr">
        <x:is>
          <x:t xml:space="preserve">Classical Chinese (文言文)</x:t>
        </x:is>
      </x:c>
      <x:c r="P488" s="81" t="inlineStr">
        <x:is>
          <x:t xml:space="preserve">Thành do đất tích; cây thẳng nhờ điều kiện nâng đỡ — kết quả còn do cái nó nương vào.</x:t>
        </x:is>
      </x:c>
      <x:c r="Q488" s="81" t="inlineStr">
        <x:is>
          <x:t xml:space="preserve">Huainanzi / 淮南子 (compiled under Liu An court)</x:t>
        </x:is>
      </x:c>
      <x:c r="R488" s="81" t="inlineStr">
        <x:is>
          <x:t xml:space="preserve">Han China / syncretic</x:t>
        </x:is>
      </x:c>
      <x:c r="S488" s="81" t="inlineStr">
        <x:is>
          <x:t xml:space="preserve">淮南子 / Huainanzi</x:t>
        </x:is>
      </x:c>
      <x:c r="T488" s="81" t="inlineStr">
        <x:is>
          <x:t xml:space="preserve">Chapter 17 — 說林訓</x:t>
        </x:is>
      </x:c>
      <x:c r="U488" s="81" t="inlineStr">
        <x:is>
          <x:t xml:space="preserve">https://ctext.org/huainanzi/shuo-lin-xun/zh</x:t>
        </x:is>
      </x:c>
      <x:c r="V488" s="81" t="inlineStr">
        <x:is>
          <x:t xml:space="preserve">Primary text / scholarly digital corpus</x:t>
        </x:is>
      </x:c>
      <x:c r="W488" s="81" t="inlineStr">
        <x:is>
          <x:t xml:space="preserve">Working translation</x:t>
        </x:is>
      </x:c>
      <x:c r="X488" s="81" t="inlineStr">
        <x:is>
          <x:t xml:space="preserve">A - Primary source</x:t>
        </x:is>
      </x:c>
      <x:c r="Y488" s="81" t="inlineStr">
        <x:is>
          <x:t xml:space="preserve">Original text checked against Chinese Text Project digital base text. Vietnamese is Selflo working translation, not a published translation.</x:t>
        </x:is>
      </x:c>
      <x:c r="Z488" s="81" t="inlineStr">
        <x:is>
          <x:t xml:space="preserve">Public domain ancient text / edition terms to verify</x:t>
        </x:is>
      </x:c>
      <x:c r="AA488" s="81" t="inlineStr">
        <x:is>
          <x:t xml:space="preserve">Do not copy modern translations/commentaries; verify edition/site terms before commercial release.</x:t>
        </x:is>
      </x:c>
      <x:c r="AB488" s="81" t="inlineStr">
        <x:is>
          <x:t xml:space="preserve">High</x:t>
        </x:is>
      </x:c>
      <x:c r="AC488" s="81" t="inlineStr">
        <x:is>
          <x:t xml:space="preserve">Day 6 research candidate; not Release-approved.</x:t>
        </x:is>
      </x:c>
      <x:c r="AD488" s="81" t="inlineStr">
        <x:is>
          <x:t xml:space="preserve">Needs editorial review</x:t>
        </x:is>
      </x:c>
      <x:c r="AE488" s="81" t="inlineStr">
        <x:is>
          <x:t xml:space="preserve">Needs semantic dedupe review</x:t>
        </x:is>
      </x:c>
      <x:c r="AF488" s="81" t="str"/>
      <x:c r="AG488" s="81" t="str"/>
      <x:c r="AH488" s="81" t="inlineStr">
        <x:is>
          <x:t xml:space="preserve">No</x:t>
        </x:is>
      </x:c>
      <x:c r="AI488" s="81" t="inlineStr">
        <x:is>
          <x:t xml:space="preserve">Not reviewed</x:t>
        </x:is>
      </x:c>
      <x:c r="AJ488" s="81" t="inlineStr">
        <x:is>
          <x:t xml:space="preserve">Research only</x:t>
        </x:is>
      </x:c>
      <x:c r="AK488" s="81" t="inlineStr">
        <x:is>
          <x:t xml:space="preserve">Research Pool</x:t>
        </x:is>
      </x:c>
      <x:c r="AL488" s="81" t="n">
        <x:v>6</x:v>
      </x:c>
      <x:c r="AM488" s="81" t="inlineStr">
        <x:is>
          <x:t xml:space="preserve">ChatGPT research</x:t>
        </x:is>
      </x:c>
      <x:c r="AN488" s="81" t="inlineStr">
        <x:is>
          <x:t xml:space="preserve">2026-09-18</x:t>
        </x:is>
      </x:c>
      <x:c r="AO488" s="81" t="inlineStr">
        <x:is>
          <x:t xml:space="preserve">Day 6 Huainanzi collection; exact source URL stored.</x:t>
        </x:is>
      </x:c>
    </x:row>
    <x:row r="489">
      <x:c r="A489" s="81" t="inlineStr">
        <x:is>
          <x:t xml:space="preserve">research.huainanzi.day6.ch17.037</x:t>
        </x:is>
      </x:c>
      <x:c r="B489" s="81" t="inlineStr">
        <x:is>
          <x:t xml:space="preserve">Collected</x:t>
        </x:is>
      </x:c>
      <x:c r="C489" s="81" t="inlineStr">
        <x:is>
          <x:t xml:space="preserve">AI &amp; tương lai</x:t>
        </x:is>
      </x:c>
      <x:c r="D489" s="81" t="inlineStr">
        <x:is>
          <x:t xml:space="preserve">Day 6 / Huainanzi</x:t>
        </x:is>
      </x:c>
      <x:c r="E489" s="81" t="str"/>
      <x:c r="F489" s="81" t="inlineStr">
        <x:is>
          <x:t xml:space="preserve">Lựa chọn mở ra cũng có thể tạo bất định</x:t>
        </x:is>
      </x:c>
      <x:c r="G489" s="81" t="inlineStr">
        <x:is>
          <x:t xml:space="preserve">Choice</x:t>
        </x:is>
      </x:c>
      <x:c r="H489" s="81" t="str"/>
      <x:c r="I489" s="81" t="str"/>
      <x:c r="J489" s="81" t="str"/>
      <x:c r="K489" s="81" t="inlineStr">
        <x:is>
          <x:t xml:space="preserve">Name</x:t>
        </x:is>
      </x:c>
      <x:c r="L489" s="81" t="inlineStr">
        <x:is>
          <x:t xml:space="preserve">Recognize</x:t>
        </x:is>
      </x:c>
      <x:c r="M489" s="81" t="inlineStr">
        <x:is>
          <x:t xml:space="preserve">Trích đoạn triết học / 寓言</x:t>
        </x:is>
      </x:c>
      <x:c r="N489" s="81" t="inlineStr">
        <x:is>
          <x:t xml:space="preserve">揚子見逵路而哭之，為其可以南，可以北。</x:t>
        </x:is>
      </x:c>
      <x:c r="O489" s="81" t="inlineStr">
        <x:is>
          <x:t xml:space="preserve">Classical Chinese (文言文)</x:t>
        </x:is>
      </x:c>
      <x:c r="P489" s="81" t="inlineStr">
        <x:is>
          <x:t xml:space="preserve">Dương Tử khóc trước ngã đường vì từ đó có thể đi nam hoặc bắc.</x:t>
        </x:is>
      </x:c>
      <x:c r="Q489" s="81" t="inlineStr">
        <x:is>
          <x:t xml:space="preserve">Huainanzi / 淮南子 (compiled under Liu An court)</x:t>
        </x:is>
      </x:c>
      <x:c r="R489" s="81" t="inlineStr">
        <x:is>
          <x:t xml:space="preserve">Han China / syncretic</x:t>
        </x:is>
      </x:c>
      <x:c r="S489" s="81" t="inlineStr">
        <x:is>
          <x:t xml:space="preserve">淮南子 / Huainanzi</x:t>
        </x:is>
      </x:c>
      <x:c r="T489" s="81" t="inlineStr">
        <x:is>
          <x:t xml:space="preserve">Chapter 17 — 說林訓</x:t>
        </x:is>
      </x:c>
      <x:c r="U489" s="81" t="inlineStr">
        <x:is>
          <x:t xml:space="preserve">https://ctext.org/huainanzi/shuo-lin-xun/zh</x:t>
        </x:is>
      </x:c>
      <x:c r="V489" s="81" t="inlineStr">
        <x:is>
          <x:t xml:space="preserve">Primary text / scholarly digital corpus</x:t>
        </x:is>
      </x:c>
      <x:c r="W489" s="81" t="inlineStr">
        <x:is>
          <x:t xml:space="preserve">Working translation</x:t>
        </x:is>
      </x:c>
      <x:c r="X489" s="81" t="inlineStr">
        <x:is>
          <x:t xml:space="preserve">A - Primary source</x:t>
        </x:is>
      </x:c>
      <x:c r="Y489" s="81" t="inlineStr">
        <x:is>
          <x:t xml:space="preserve">Original text checked against Chinese Text Project digital base text. Vietnamese is Selflo working translation, not a published translation.</x:t>
        </x:is>
      </x:c>
      <x:c r="Z489" s="81" t="inlineStr">
        <x:is>
          <x:t xml:space="preserve">Public domain ancient text / edition terms to verify</x:t>
        </x:is>
      </x:c>
      <x:c r="AA489" s="81" t="inlineStr">
        <x:is>
          <x:t xml:space="preserve">Do not copy modern translations/commentaries; verify edition/site terms before commercial release.</x:t>
        </x:is>
      </x:c>
      <x:c r="AB489" s="81" t="inlineStr">
        <x:is>
          <x:t xml:space="preserve">High</x:t>
        </x:is>
      </x:c>
      <x:c r="AC489" s="81" t="inlineStr">
        <x:is>
          <x:t xml:space="preserve">Day 6 research candidate; not Release-approved.</x:t>
        </x:is>
      </x:c>
      <x:c r="AD489" s="81" t="inlineStr">
        <x:is>
          <x:t xml:space="preserve">Needs editorial review</x:t>
        </x:is>
      </x:c>
      <x:c r="AE489" s="81" t="inlineStr">
        <x:is>
          <x:t xml:space="preserve">Needs semantic dedupe review</x:t>
        </x:is>
      </x:c>
      <x:c r="AF489" s="81" t="str"/>
      <x:c r="AG489" s="81" t="str"/>
      <x:c r="AH489" s="81" t="inlineStr">
        <x:is>
          <x:t xml:space="preserve">No</x:t>
        </x:is>
      </x:c>
      <x:c r="AI489" s="81" t="inlineStr">
        <x:is>
          <x:t xml:space="preserve">Not reviewed</x:t>
        </x:is>
      </x:c>
      <x:c r="AJ489" s="81" t="inlineStr">
        <x:is>
          <x:t xml:space="preserve">Research only</x:t>
        </x:is>
      </x:c>
      <x:c r="AK489" s="81" t="inlineStr">
        <x:is>
          <x:t xml:space="preserve">Research Pool</x:t>
        </x:is>
      </x:c>
      <x:c r="AL489" s="81" t="n">
        <x:v>6</x:v>
      </x:c>
      <x:c r="AM489" s="81" t="inlineStr">
        <x:is>
          <x:t xml:space="preserve">ChatGPT research</x:t>
        </x:is>
      </x:c>
      <x:c r="AN489" s="81" t="inlineStr">
        <x:is>
          <x:t xml:space="preserve">2026-09-18</x:t>
        </x:is>
      </x:c>
      <x:c r="AO489" s="81" t="inlineStr">
        <x:is>
          <x:t xml:space="preserve">Day 6 Huainanzi collection; exact source URL stored.</x:t>
        </x:is>
      </x:c>
    </x:row>
    <x:row r="490">
      <x:c r="A490" s="81" t="inlineStr">
        <x:is>
          <x:t xml:space="preserve">research.huainanzi.day6.ch18.038</x:t>
        </x:is>
      </x:c>
      <x:c r="B490" s="81" t="inlineStr">
        <x:is>
          <x:t xml:space="preserve">Collected</x:t>
        </x:is>
      </x:c>
      <x:c r="C490" s="81" t="inlineStr">
        <x:is>
          <x:t xml:space="preserve">AI &amp; tương lai</x:t>
        </x:is>
      </x:c>
      <x:c r="D490" s="81" t="inlineStr">
        <x:is>
          <x:t xml:space="preserve">Day 6 / Huainanzi</x:t>
        </x:is>
      </x:c>
      <x:c r="E490" s="81" t="str"/>
      <x:c r="F490" s="81" t="inlineStr">
        <x:is>
          <x:t xml:space="preserve">Một kết quả có thể chứa nhiều chiều</x:t>
        </x:is>
      </x:c>
      <x:c r="G490" s="81" t="inlineStr">
        <x:is>
          <x:t xml:space="preserve">Uncertainty</x:t>
        </x:is>
      </x:c>
      <x:c r="H490" s="81" t="str"/>
      <x:c r="I490" s="81" t="str"/>
      <x:c r="J490" s="81" t="str"/>
      <x:c r="K490" s="81" t="inlineStr">
        <x:is>
          <x:t xml:space="preserve">Distinguish</x:t>
        </x:is>
      </x:c>
      <x:c r="L490" s="81" t="inlineStr">
        <x:is>
          <x:t xml:space="preserve">Recognize</x:t>
        </x:is>
      </x:c>
      <x:c r="M490" s="81" t="inlineStr">
        <x:is>
          <x:t xml:space="preserve">Trích đoạn triết học / 寓言</x:t>
        </x:is>
      </x:c>
      <x:c r="N490" s="81" t="inlineStr">
        <x:is>
          <x:t xml:space="preserve">禍與福同門，利與害為鄰。</x:t>
        </x:is>
      </x:c>
      <x:c r="O490" s="81" t="inlineStr">
        <x:is>
          <x:t xml:space="preserve">Classical Chinese (文言文)</x:t>
        </x:is>
      </x:c>
      <x:c r="P490" s="81" t="inlineStr">
        <x:is>
          <x:t xml:space="preserve">Họa và phúc có thể đi qua cùng một cửa; lợi và hại ở rất gần nhau.</x:t>
        </x:is>
      </x:c>
      <x:c r="Q490" s="81" t="inlineStr">
        <x:is>
          <x:t xml:space="preserve">Huainanzi / 淮南子 (compiled under Liu An court)</x:t>
        </x:is>
      </x:c>
      <x:c r="R490" s="81" t="inlineStr">
        <x:is>
          <x:t xml:space="preserve">Han China / syncretic</x:t>
        </x:is>
      </x:c>
      <x:c r="S490" s="81" t="inlineStr">
        <x:is>
          <x:t xml:space="preserve">淮南子 / Huainanzi</x:t>
        </x:is>
      </x:c>
      <x:c r="T490" s="81" t="inlineStr">
        <x:is>
          <x:t xml:space="preserve">Chapter 18 — 人閒訓</x:t>
        </x:is>
      </x:c>
      <x:c r="U490" s="81" t="inlineStr">
        <x:is>
          <x:t xml:space="preserve">https://ctext.org/huainanzi/ren-xian-xun</x:t>
        </x:is>
      </x:c>
      <x:c r="V490" s="81" t="inlineStr">
        <x:is>
          <x:t xml:space="preserve">Primary text / scholarly digital corpus</x:t>
        </x:is>
      </x:c>
      <x:c r="W490" s="81" t="inlineStr">
        <x:is>
          <x:t xml:space="preserve">Working translation</x:t>
        </x:is>
      </x:c>
      <x:c r="X490" s="81" t="inlineStr">
        <x:is>
          <x:t xml:space="preserve">A - Primary source</x:t>
        </x:is>
      </x:c>
      <x:c r="Y490" s="81" t="inlineStr">
        <x:is>
          <x:t xml:space="preserve">Original text checked against Chinese Text Project digital base text. Vietnamese is Selflo working translation, not a published translation.</x:t>
        </x:is>
      </x:c>
      <x:c r="Z490" s="81" t="inlineStr">
        <x:is>
          <x:t xml:space="preserve">Public domain ancient text / edition terms to verify</x:t>
        </x:is>
      </x:c>
      <x:c r="AA490" s="81" t="inlineStr">
        <x:is>
          <x:t xml:space="preserve">Do not copy modern translations/commentaries; verify edition/site terms before commercial release.</x:t>
        </x:is>
      </x:c>
      <x:c r="AB490" s="81" t="inlineStr">
        <x:is>
          <x:t xml:space="preserve">High</x:t>
        </x:is>
      </x:c>
      <x:c r="AC490" s="81" t="inlineStr">
        <x:is>
          <x:t xml:space="preserve">Day 6 research candidate; not Release-approved.</x:t>
        </x:is>
      </x:c>
      <x:c r="AD490" s="81" t="inlineStr">
        <x:is>
          <x:t xml:space="preserve">Needs editorial review</x:t>
        </x:is>
      </x:c>
      <x:c r="AE490" s="81" t="inlineStr">
        <x:is>
          <x:t xml:space="preserve">Needs semantic dedupe review</x:t>
        </x:is>
      </x:c>
      <x:c r="AF490" s="81" t="str"/>
      <x:c r="AG490" s="81" t="str"/>
      <x:c r="AH490" s="81" t="inlineStr">
        <x:is>
          <x:t xml:space="preserve">No</x:t>
        </x:is>
      </x:c>
      <x:c r="AI490" s="81" t="inlineStr">
        <x:is>
          <x:t xml:space="preserve">Not reviewed</x:t>
        </x:is>
      </x:c>
      <x:c r="AJ490" s="81" t="inlineStr">
        <x:is>
          <x:t xml:space="preserve">Research only</x:t>
        </x:is>
      </x:c>
      <x:c r="AK490" s="81" t="inlineStr">
        <x:is>
          <x:t xml:space="preserve">Research Pool</x:t>
        </x:is>
      </x:c>
      <x:c r="AL490" s="81" t="n">
        <x:v>6</x:v>
      </x:c>
      <x:c r="AM490" s="81" t="inlineStr">
        <x:is>
          <x:t xml:space="preserve">ChatGPT research</x:t>
        </x:is>
      </x:c>
      <x:c r="AN490" s="81" t="inlineStr">
        <x:is>
          <x:t xml:space="preserve">2026-09-18</x:t>
        </x:is>
      </x:c>
      <x:c r="AO490" s="81" t="inlineStr">
        <x:is>
          <x:t xml:space="preserve">Day 6 Huainanzi collection; exact source URL stored.</x:t>
        </x:is>
      </x:c>
    </x:row>
    <x:row r="491">
      <x:c r="A491" s="81" t="inlineStr">
        <x:is>
          <x:t xml:space="preserve">research.huainanzi.day6.ch18.039</x:t>
        </x:is>
      </x:c>
      <x:c r="B491" s="81" t="inlineStr">
        <x:is>
          <x:t xml:space="preserve">Collected</x:t>
        </x:is>
      </x:c>
      <x:c r="C491" s="81" t="inlineStr">
        <x:is>
          <x:t xml:space="preserve">AI &amp; tương lai</x:t>
        </x:is>
      </x:c>
      <x:c r="D491" s="81" t="inlineStr">
        <x:is>
          <x:t xml:space="preserve">Day 6 / Huainanzi</x:t>
        </x:is>
      </x:c>
      <x:c r="E491" s="81" t="str"/>
      <x:c r="F491" s="81" t="inlineStr">
        <x:is>
          <x:t xml:space="preserve">Phán đoán có hệ quả nhưng không bảo đảm kết quả</x:t>
        </x:is>
      </x:c>
      <x:c r="G491" s="81" t="inlineStr">
        <x:is>
          <x:t xml:space="preserve">Judgment</x:t>
        </x:is>
      </x:c>
      <x:c r="H491" s="81" t="str"/>
      <x:c r="I491" s="81" t="str"/>
      <x:c r="J491" s="81" t="str"/>
      <x:c r="K491" s="81" t="inlineStr">
        <x:is>
          <x:t xml:space="preserve">Recognize</x:t>
        </x:is>
      </x:c>
      <x:c r="L491" s="81" t="inlineStr">
        <x:is>
          <x:t xml:space="preserve">Recognize</x:t>
        </x:is>
      </x:c>
      <x:c r="M491" s="81" t="inlineStr">
        <x:is>
          <x:t xml:space="preserve">Trích đoạn triết học / 寓言</x:t>
        </x:is>
      </x:c>
      <x:c r="N491" s="81" t="inlineStr">
        <x:is>
          <x:t xml:space="preserve">知慮者，禍福之門戶也；動靜者，利害之樞機也。</x:t>
        </x:is>
      </x:c>
      <x:c r="O491" s="81" t="inlineStr">
        <x:is>
          <x:t xml:space="preserve">Classical Chinese (文言文)</x:t>
        </x:is>
      </x:c>
      <x:c r="P491" s="81" t="inlineStr">
        <x:is>
          <x:t xml:space="preserve">Cách ta suy xét và cách ta hành động có thể trở thành điểm xoay của lợi-hại.</x:t>
        </x:is>
      </x:c>
      <x:c r="Q491" s="81" t="inlineStr">
        <x:is>
          <x:t xml:space="preserve">Huainanzi / 淮南子 (compiled under Liu An court)</x:t>
        </x:is>
      </x:c>
      <x:c r="R491" s="81" t="inlineStr">
        <x:is>
          <x:t xml:space="preserve">Han China / syncretic</x:t>
        </x:is>
      </x:c>
      <x:c r="S491" s="81" t="inlineStr">
        <x:is>
          <x:t xml:space="preserve">淮南子 / Huainanzi</x:t>
        </x:is>
      </x:c>
      <x:c r="T491" s="81" t="inlineStr">
        <x:is>
          <x:t xml:space="preserve">Chapter 18 — 人閒訓</x:t>
        </x:is>
      </x:c>
      <x:c r="U491" s="81" t="inlineStr">
        <x:is>
          <x:t xml:space="preserve">https://ctext.org/huainanzi/ren-xian-xun</x:t>
        </x:is>
      </x:c>
      <x:c r="V491" s="81" t="inlineStr">
        <x:is>
          <x:t xml:space="preserve">Primary text / scholarly digital corpus</x:t>
        </x:is>
      </x:c>
      <x:c r="W491" s="81" t="inlineStr">
        <x:is>
          <x:t xml:space="preserve">Working translation</x:t>
        </x:is>
      </x:c>
      <x:c r="X491" s="81" t="inlineStr">
        <x:is>
          <x:t xml:space="preserve">A - Primary source</x:t>
        </x:is>
      </x:c>
      <x:c r="Y491" s="81" t="inlineStr">
        <x:is>
          <x:t xml:space="preserve">Original text checked against Chinese Text Project digital base text. Vietnamese is Selflo working translation, not a published translation.</x:t>
        </x:is>
      </x:c>
      <x:c r="Z491" s="81" t="inlineStr">
        <x:is>
          <x:t xml:space="preserve">Public domain ancient text / edition terms to verify</x:t>
        </x:is>
      </x:c>
      <x:c r="AA491" s="81" t="inlineStr">
        <x:is>
          <x:t xml:space="preserve">Do not copy modern translations/commentaries; verify edition/site terms before commercial release.</x:t>
        </x:is>
      </x:c>
      <x:c r="AB491" s="81" t="inlineStr">
        <x:is>
          <x:t xml:space="preserve">High</x:t>
        </x:is>
      </x:c>
      <x:c r="AC491" s="81" t="inlineStr">
        <x:is>
          <x:t xml:space="preserve">Day 6 research candidate; not Release-approved.</x:t>
        </x:is>
      </x:c>
      <x:c r="AD491" s="81" t="inlineStr">
        <x:is>
          <x:t xml:space="preserve">Needs editorial review</x:t>
        </x:is>
      </x:c>
      <x:c r="AE491" s="81" t="inlineStr">
        <x:is>
          <x:t xml:space="preserve">Needs semantic dedupe review</x:t>
        </x:is>
      </x:c>
      <x:c r="AF491" s="81" t="str"/>
      <x:c r="AG491" s="81" t="str"/>
      <x:c r="AH491" s="81" t="inlineStr">
        <x:is>
          <x:t xml:space="preserve">No</x:t>
        </x:is>
      </x:c>
      <x:c r="AI491" s="81" t="inlineStr">
        <x:is>
          <x:t xml:space="preserve">Not reviewed</x:t>
        </x:is>
      </x:c>
      <x:c r="AJ491" s="81" t="inlineStr">
        <x:is>
          <x:t xml:space="preserve">Research only</x:t>
        </x:is>
      </x:c>
      <x:c r="AK491" s="81" t="inlineStr">
        <x:is>
          <x:t xml:space="preserve">Research Pool</x:t>
        </x:is>
      </x:c>
      <x:c r="AL491" s="81" t="n">
        <x:v>6</x:v>
      </x:c>
      <x:c r="AM491" s="81" t="inlineStr">
        <x:is>
          <x:t xml:space="preserve">ChatGPT research</x:t>
        </x:is>
      </x:c>
      <x:c r="AN491" s="81" t="inlineStr">
        <x:is>
          <x:t xml:space="preserve">2026-09-18</x:t>
        </x:is>
      </x:c>
      <x:c r="AO491" s="81" t="inlineStr">
        <x:is>
          <x:t xml:space="preserve">Day 6 Huainanzi collection; exact source URL stored.</x:t>
        </x:is>
      </x:c>
    </x:row>
    <x:row r="492">
      <x:c r="A492" s="81" t="inlineStr">
        <x:is>
          <x:t xml:space="preserve">research.huainanzi.day6.ch18.040</x:t>
        </x:is>
      </x:c>
      <x:c r="B492" s="81" t="inlineStr">
        <x:is>
          <x:t xml:space="preserve">Collected</x:t>
        </x:is>
      </x:c>
      <x:c r="C492" s="81" t="inlineStr">
        <x:is>
          <x:t xml:space="preserve">AI &amp; tương lai</x:t>
        </x:is>
      </x:c>
      <x:c r="D492" s="81" t="inlineStr">
        <x:is>
          <x:t xml:space="preserve">Day 6 / Huainanzi</x:t>
        </x:is>
      </x:c>
      <x:c r="E492" s="81" t="str"/>
      <x:c r="F492" s="81" t="inlineStr">
        <x:is>
          <x:t xml:space="preserve">Đừng đóng nghĩa quá sớm</x:t>
        </x:is>
      </x:c>
      <x:c r="G492" s="81" t="inlineStr">
        <x:is>
          <x:t xml:space="preserve">Uncertainty</x:t>
        </x:is>
      </x:c>
      <x:c r="H492" s="81" t="str"/>
      <x:c r="I492" s="81" t="str"/>
      <x:c r="J492" s="81" t="str"/>
      <x:c r="K492" s="81" t="inlineStr">
        <x:is>
          <x:t xml:space="preserve">Permit</x:t>
        </x:is>
      </x:c>
      <x:c r="L492" s="81" t="inlineStr">
        <x:is>
          <x:t xml:space="preserve">Recognize</x:t>
        </x:is>
      </x:c>
      <x:c r="M492" s="81" t="inlineStr">
        <x:is>
          <x:t xml:space="preserve">Trích đoạn triết học / 寓言</x:t>
        </x:is>
      </x:c>
      <x:c r="N492" s="81" t="inlineStr">
        <x:is>
          <x:t xml:space="preserve">夫禍福之轉而相生，其變難見也。</x:t>
        </x:is>
      </x:c>
      <x:c r="O492" s="81" t="inlineStr">
        <x:is>
          <x:t xml:space="preserve">Classical Chinese (文言文)</x:t>
        </x:is>
      </x:c>
      <x:c r="P492" s="81" t="inlineStr">
        <x:is>
          <x:t xml:space="preserve">Họa-phúc có thể chuyển hóa lẫn nhau và rất khó thấy trước.</x:t>
        </x:is>
      </x:c>
      <x:c r="Q492" s="81" t="inlineStr">
        <x:is>
          <x:t xml:space="preserve">Huainanzi / 淮南子 (compiled under Liu An court)</x:t>
        </x:is>
      </x:c>
      <x:c r="R492" s="81" t="inlineStr">
        <x:is>
          <x:t xml:space="preserve">Han China / syncretic</x:t>
        </x:is>
      </x:c>
      <x:c r="S492" s="81" t="inlineStr">
        <x:is>
          <x:t xml:space="preserve">淮南子 / Huainanzi</x:t>
        </x:is>
      </x:c>
      <x:c r="T492" s="81" t="inlineStr">
        <x:is>
          <x:t xml:space="preserve">Chapter 18 — 人閒訓</x:t>
        </x:is>
      </x:c>
      <x:c r="U492" s="81" t="inlineStr">
        <x:is>
          <x:t xml:space="preserve">https://ctext.org/huainanzi/ren-xian-xun</x:t>
        </x:is>
      </x:c>
      <x:c r="V492" s="81" t="inlineStr">
        <x:is>
          <x:t xml:space="preserve">Primary text / scholarly digital corpus</x:t>
        </x:is>
      </x:c>
      <x:c r="W492" s="81" t="inlineStr">
        <x:is>
          <x:t xml:space="preserve">Working translation</x:t>
        </x:is>
      </x:c>
      <x:c r="X492" s="81" t="inlineStr">
        <x:is>
          <x:t xml:space="preserve">A - Primary source</x:t>
        </x:is>
      </x:c>
      <x:c r="Y492" s="81" t="inlineStr">
        <x:is>
          <x:t xml:space="preserve">Original text checked against Chinese Text Project digital base text. Vietnamese is Selflo working translation, not a published translation.</x:t>
        </x:is>
      </x:c>
      <x:c r="Z492" s="81" t="inlineStr">
        <x:is>
          <x:t xml:space="preserve">Public domain ancient text / edition terms to verify</x:t>
        </x:is>
      </x:c>
      <x:c r="AA492" s="81" t="inlineStr">
        <x:is>
          <x:t xml:space="preserve">Do not copy modern translations/commentaries; verify edition/site terms before commercial release.</x:t>
        </x:is>
      </x:c>
      <x:c r="AB492" s="81" t="inlineStr">
        <x:is>
          <x:t xml:space="preserve">High</x:t>
        </x:is>
      </x:c>
      <x:c r="AC492" s="81" t="inlineStr">
        <x:is>
          <x:t xml:space="preserve">Day 6 research candidate; not Release-approved.</x:t>
        </x:is>
      </x:c>
      <x:c r="AD492" s="81" t="inlineStr">
        <x:is>
          <x:t xml:space="preserve">Needs editorial review</x:t>
        </x:is>
      </x:c>
      <x:c r="AE492" s="81" t="inlineStr">
        <x:is>
          <x:t xml:space="preserve">Needs semantic dedupe review</x:t>
        </x:is>
      </x:c>
      <x:c r="AF492" s="81" t="str"/>
      <x:c r="AG492" s="81" t="str"/>
      <x:c r="AH492" s="81" t="inlineStr">
        <x:is>
          <x:t xml:space="preserve">No</x:t>
        </x:is>
      </x:c>
      <x:c r="AI492" s="81" t="inlineStr">
        <x:is>
          <x:t xml:space="preserve">Not reviewed</x:t>
        </x:is>
      </x:c>
      <x:c r="AJ492" s="81" t="inlineStr">
        <x:is>
          <x:t xml:space="preserve">Research only</x:t>
        </x:is>
      </x:c>
      <x:c r="AK492" s="81" t="inlineStr">
        <x:is>
          <x:t xml:space="preserve">Research Pool</x:t>
        </x:is>
      </x:c>
      <x:c r="AL492" s="81" t="n">
        <x:v>6</x:v>
      </x:c>
      <x:c r="AM492" s="81" t="inlineStr">
        <x:is>
          <x:t xml:space="preserve">ChatGPT research</x:t>
        </x:is>
      </x:c>
      <x:c r="AN492" s="81" t="inlineStr">
        <x:is>
          <x:t xml:space="preserve">2026-09-18</x:t>
        </x:is>
      </x:c>
      <x:c r="AO492" s="81" t="inlineStr">
        <x:is>
          <x:t xml:space="preserve">Day 6 Huainanzi collection; exact source URL stored.</x:t>
        </x:is>
      </x:c>
    </x:row>
    <x:row r="493">
      <x:c r="A493" s="81" t="inlineStr">
        <x:is>
          <x:t xml:space="preserve">research.huainanzi.day6.ch18.041</x:t>
        </x:is>
      </x:c>
      <x:c r="B493" s="81" t="inlineStr">
        <x:is>
          <x:t xml:space="preserve">Collected</x:t>
        </x:is>
      </x:c>
      <x:c r="C493" s="81" t="inlineStr">
        <x:is>
          <x:t xml:space="preserve">AI &amp; tương lai</x:t>
        </x:is>
      </x:c>
      <x:c r="D493" s="81" t="inlineStr">
        <x:is>
          <x:t xml:space="preserve">Day 6 / Huainanzi</x:t>
        </x:is>
      </x:c>
      <x:c r="E493" s="81" t="str"/>
      <x:c r="F493" s="81" t="inlineStr">
        <x:is>
          <x:t xml:space="preserve">Giữ mở trước biến cố chưa có kết luận</x:t>
        </x:is>
      </x:c>
      <x:c r="G493" s="81" t="inlineStr">
        <x:is>
          <x:t xml:space="preserve">Uncertainty</x:t>
        </x:is>
      </x:c>
      <x:c r="H493" s="81" t="str"/>
      <x:c r="I493" s="81" t="str"/>
      <x:c r="J493" s="81" t="str"/>
      <x:c r="K493" s="81" t="inlineStr">
        <x:is>
          <x:t xml:space="preserve">Open question</x:t>
        </x:is>
      </x:c>
      <x:c r="L493" s="81" t="inlineStr">
        <x:is>
          <x:t xml:space="preserve">Recognize</x:t>
        </x:is>
      </x:c>
      <x:c r="M493" s="81" t="inlineStr">
        <x:is>
          <x:t xml:space="preserve">Trích đoạn triết học / 寓言</x:t>
        </x:is>
      </x:c>
      <x:c r="N493" s="81" t="inlineStr">
        <x:is>
          <x:t xml:space="preserve">此何遽不為福乎？</x:t>
        </x:is>
      </x:c>
      <x:c r="O493" s="81" t="inlineStr">
        <x:is>
          <x:t xml:space="preserve">Classical Chinese (文言文)</x:t>
        </x:is>
      </x:c>
      <x:c r="P493" s="81" t="inlineStr">
        <x:is>
          <x:t xml:space="preserve">Sao biết việc này không thể trở thành một điều khác?</x:t>
        </x:is>
      </x:c>
      <x:c r="Q493" s="81" t="inlineStr">
        <x:is>
          <x:t xml:space="preserve">Huainanzi / 淮南子 (compiled under Liu An court)</x:t>
        </x:is>
      </x:c>
      <x:c r="R493" s="81" t="inlineStr">
        <x:is>
          <x:t xml:space="preserve">Han China / syncretic</x:t>
        </x:is>
      </x:c>
      <x:c r="S493" s="81" t="inlineStr">
        <x:is>
          <x:t xml:space="preserve">淮南子 / Huainanzi</x:t>
        </x:is>
      </x:c>
      <x:c r="T493" s="81" t="inlineStr">
        <x:is>
          <x:t xml:space="preserve">Chapter 18 — 人閒訓</x:t>
        </x:is>
      </x:c>
      <x:c r="U493" s="81" t="inlineStr">
        <x:is>
          <x:t xml:space="preserve">https://ctext.org/huainanzi/ren-xian-xun</x:t>
        </x:is>
      </x:c>
      <x:c r="V493" s="81" t="inlineStr">
        <x:is>
          <x:t xml:space="preserve">Primary text / scholarly digital corpus</x:t>
        </x:is>
      </x:c>
      <x:c r="W493" s="81" t="inlineStr">
        <x:is>
          <x:t xml:space="preserve">Working translation</x:t>
        </x:is>
      </x:c>
      <x:c r="X493" s="81" t="inlineStr">
        <x:is>
          <x:t xml:space="preserve">A - Primary source</x:t>
        </x:is>
      </x:c>
      <x:c r="Y493" s="81" t="inlineStr">
        <x:is>
          <x:t xml:space="preserve">Original text checked against Chinese Text Project digital base text. Vietnamese is Selflo working translation, not a published translation.</x:t>
        </x:is>
      </x:c>
      <x:c r="Z493" s="81" t="inlineStr">
        <x:is>
          <x:t xml:space="preserve">Public domain ancient text / edition terms to verify</x:t>
        </x:is>
      </x:c>
      <x:c r="AA493" s="81" t="inlineStr">
        <x:is>
          <x:t xml:space="preserve">Do not copy modern translations/commentaries; verify edition/site terms before commercial release.</x:t>
        </x:is>
      </x:c>
      <x:c r="AB493" s="81" t="inlineStr">
        <x:is>
          <x:t xml:space="preserve">High</x:t>
        </x:is>
      </x:c>
      <x:c r="AC493" s="81" t="inlineStr">
        <x:is>
          <x:t xml:space="preserve">Day 6 research candidate; not Release-approved.</x:t>
        </x:is>
      </x:c>
      <x:c r="AD493" s="81" t="inlineStr">
        <x:is>
          <x:t xml:space="preserve">Needs editorial review</x:t>
        </x:is>
      </x:c>
      <x:c r="AE493" s="81" t="inlineStr">
        <x:is>
          <x:t xml:space="preserve">Needs semantic dedupe review</x:t>
        </x:is>
      </x:c>
      <x:c r="AF493" s="81" t="str"/>
      <x:c r="AG493" s="81" t="str"/>
      <x:c r="AH493" s="81" t="inlineStr">
        <x:is>
          <x:t xml:space="preserve">No</x:t>
        </x:is>
      </x:c>
      <x:c r="AI493" s="81" t="inlineStr">
        <x:is>
          <x:t xml:space="preserve">Not reviewed</x:t>
        </x:is>
      </x:c>
      <x:c r="AJ493" s="81" t="inlineStr">
        <x:is>
          <x:t xml:space="preserve">Research only</x:t>
        </x:is>
      </x:c>
      <x:c r="AK493" s="81" t="inlineStr">
        <x:is>
          <x:t xml:space="preserve">Research Pool</x:t>
        </x:is>
      </x:c>
      <x:c r="AL493" s="81" t="n">
        <x:v>6</x:v>
      </x:c>
      <x:c r="AM493" s="81" t="inlineStr">
        <x:is>
          <x:t xml:space="preserve">ChatGPT research</x:t>
        </x:is>
      </x:c>
      <x:c r="AN493" s="81" t="inlineStr">
        <x:is>
          <x:t xml:space="preserve">2026-09-18</x:t>
        </x:is>
      </x:c>
      <x:c r="AO493" s="81" t="inlineStr">
        <x:is>
          <x:t xml:space="preserve">Day 6 Huainanzi collection; exact source URL stored.</x:t>
        </x:is>
      </x:c>
    </x:row>
    <x:row r="494">
      <x:c r="A494" s="81" t="inlineStr">
        <x:is>
          <x:t xml:space="preserve">research.huainanzi.day6.ch18.042</x:t>
        </x:is>
      </x:c>
      <x:c r="B494" s="81" t="inlineStr">
        <x:is>
          <x:t xml:space="preserve">Collected</x:t>
        </x:is>
      </x:c>
      <x:c r="C494" s="81" t="inlineStr">
        <x:is>
          <x:t xml:space="preserve">AI &amp; tương lai</x:t>
        </x:is>
      </x:c>
      <x:c r="D494" s="81" t="inlineStr">
        <x:is>
          <x:t xml:space="preserve">Day 6 / Huainanzi</x:t>
        </x:is>
      </x:c>
      <x:c r="E494" s="81" t="str"/>
      <x:c r="F494" s="81" t="inlineStr">
        <x:is>
          <x:t xml:space="preserve">Không tuyệt đối hóa kết quả thuận lợi</x:t>
        </x:is>
      </x:c>
      <x:c r="G494" s="81" t="inlineStr">
        <x:is>
          <x:t xml:space="preserve">Uncertainty</x:t>
        </x:is>
      </x:c>
      <x:c r="H494" s="81" t="str"/>
      <x:c r="I494" s="81" t="str"/>
      <x:c r="J494" s="81" t="str"/>
      <x:c r="K494" s="81" t="inlineStr">
        <x:is>
          <x:t xml:space="preserve">Open question</x:t>
        </x:is>
      </x:c>
      <x:c r="L494" s="81" t="inlineStr">
        <x:is>
          <x:t xml:space="preserve">Recognize</x:t>
        </x:is>
      </x:c>
      <x:c r="M494" s="81" t="inlineStr">
        <x:is>
          <x:t xml:space="preserve">Trích đoạn triết học / 寓言</x:t>
        </x:is>
      </x:c>
      <x:c r="N494" s="81" t="inlineStr">
        <x:is>
          <x:t xml:space="preserve">此何遽不能為禍乎？</x:t>
        </x:is>
      </x:c>
      <x:c r="O494" s="81" t="inlineStr">
        <x:is>
          <x:t xml:space="preserve">Classical Chinese (文言文)</x:t>
        </x:is>
      </x:c>
      <x:c r="P494" s="81" t="inlineStr">
        <x:is>
          <x:t xml:space="preserve">Sao biết điều đang tốt này không thể đổi chiều?</x:t>
        </x:is>
      </x:c>
      <x:c r="Q494" s="81" t="inlineStr">
        <x:is>
          <x:t xml:space="preserve">Huainanzi / 淮南子 (compiled under Liu An court)</x:t>
        </x:is>
      </x:c>
      <x:c r="R494" s="81" t="inlineStr">
        <x:is>
          <x:t xml:space="preserve">Han China / syncretic</x:t>
        </x:is>
      </x:c>
      <x:c r="S494" s="81" t="inlineStr">
        <x:is>
          <x:t xml:space="preserve">淮南子 / Huainanzi</x:t>
        </x:is>
      </x:c>
      <x:c r="T494" s="81" t="inlineStr">
        <x:is>
          <x:t xml:space="preserve">Chapter 18 — 人閒訓</x:t>
        </x:is>
      </x:c>
      <x:c r="U494" s="81" t="inlineStr">
        <x:is>
          <x:t xml:space="preserve">https://ctext.org/huainanzi/ren-xian-xun</x:t>
        </x:is>
      </x:c>
      <x:c r="V494" s="81" t="inlineStr">
        <x:is>
          <x:t xml:space="preserve">Primary text / scholarly digital corpus</x:t>
        </x:is>
      </x:c>
      <x:c r="W494" s="81" t="inlineStr">
        <x:is>
          <x:t xml:space="preserve">Working translation</x:t>
        </x:is>
      </x:c>
      <x:c r="X494" s="81" t="inlineStr">
        <x:is>
          <x:t xml:space="preserve">A - Primary source</x:t>
        </x:is>
      </x:c>
      <x:c r="Y494" s="81" t="inlineStr">
        <x:is>
          <x:t xml:space="preserve">Original text checked against Chinese Text Project digital base text. Vietnamese is Selflo working translation, not a published translation.</x:t>
        </x:is>
      </x:c>
      <x:c r="Z494" s="81" t="inlineStr">
        <x:is>
          <x:t xml:space="preserve">Public domain ancient text / edition terms to verify</x:t>
        </x:is>
      </x:c>
      <x:c r="AA494" s="81" t="inlineStr">
        <x:is>
          <x:t xml:space="preserve">Do not copy modern translations/commentaries; verify edition/site terms before commercial release.</x:t>
        </x:is>
      </x:c>
      <x:c r="AB494" s="81" t="inlineStr">
        <x:is>
          <x:t xml:space="preserve">High</x:t>
        </x:is>
      </x:c>
      <x:c r="AC494" s="81" t="inlineStr">
        <x:is>
          <x:t xml:space="preserve">Day 6 research candidate; not Release-approved.</x:t>
        </x:is>
      </x:c>
      <x:c r="AD494" s="81" t="inlineStr">
        <x:is>
          <x:t xml:space="preserve">Needs editorial review</x:t>
        </x:is>
      </x:c>
      <x:c r="AE494" s="81" t="inlineStr">
        <x:is>
          <x:t xml:space="preserve">Needs semantic dedupe review</x:t>
        </x:is>
      </x:c>
      <x:c r="AF494" s="81" t="str"/>
      <x:c r="AG494" s="81" t="str"/>
      <x:c r="AH494" s="81" t="inlineStr">
        <x:is>
          <x:t xml:space="preserve">No</x:t>
        </x:is>
      </x:c>
      <x:c r="AI494" s="81" t="inlineStr">
        <x:is>
          <x:t xml:space="preserve">Not reviewed</x:t>
        </x:is>
      </x:c>
      <x:c r="AJ494" s="81" t="inlineStr">
        <x:is>
          <x:t xml:space="preserve">Research only</x:t>
        </x:is>
      </x:c>
      <x:c r="AK494" s="81" t="inlineStr">
        <x:is>
          <x:t xml:space="preserve">Research Pool</x:t>
        </x:is>
      </x:c>
      <x:c r="AL494" s="81" t="n">
        <x:v>6</x:v>
      </x:c>
      <x:c r="AM494" s="81" t="inlineStr">
        <x:is>
          <x:t xml:space="preserve">ChatGPT research</x:t>
        </x:is>
      </x:c>
      <x:c r="AN494" s="81" t="inlineStr">
        <x:is>
          <x:t xml:space="preserve">2026-09-18</x:t>
        </x:is>
      </x:c>
      <x:c r="AO494" s="81" t="inlineStr">
        <x:is>
          <x:t xml:space="preserve">Day 6 Huainanzi collection; exact source URL stored.</x:t>
        </x:is>
      </x:c>
    </x:row>
    <x:row r="495">
      <x:c r="A495" s="81" t="inlineStr">
        <x:is>
          <x:t xml:space="preserve">research.huainanzi.day6.ch18.043</x:t>
        </x:is>
      </x:c>
      <x:c r="B495" s="81" t="inlineStr">
        <x:is>
          <x:t xml:space="preserve">Collected</x:t>
        </x:is>
      </x:c>
      <x:c r="C495" s="81" t="inlineStr">
        <x:is>
          <x:t xml:space="preserve">AI &amp; tương lai</x:t>
        </x:is>
      </x:c>
      <x:c r="D495" s="81" t="inlineStr">
        <x:is>
          <x:t xml:space="preserve">Day 6 / Huainanzi</x:t>
        </x:is>
      </x:c>
      <x:c r="E495" s="81" t="str"/>
      <x:c r="F495" s="81" t="inlineStr">
        <x:is>
          <x:t xml:space="preserve">Ý nghĩa của biến cố chưa đóng ở hiện tại</x:t>
        </x:is>
      </x:c>
      <x:c r="G495" s="81" t="inlineStr">
        <x:is>
          <x:t xml:space="preserve">Uncertainty</x:t>
        </x:is>
      </x:c>
      <x:c r="H495" s="81" t="str"/>
      <x:c r="I495" s="81" t="str"/>
      <x:c r="J495" s="81" t="str"/>
      <x:c r="K495" s="81" t="inlineStr">
        <x:is>
          <x:t xml:space="preserve">Reframe</x:t>
        </x:is>
      </x:c>
      <x:c r="L495" s="81" t="inlineStr">
        <x:is>
          <x:t xml:space="preserve">Recognize</x:t>
        </x:is>
      </x:c>
      <x:c r="M495" s="81" t="inlineStr">
        <x:is>
          <x:t xml:space="preserve">Trích đoạn triết học / 寓言</x:t>
        </x:is>
      </x:c>
      <x:c r="N495" s="81" t="inlineStr">
        <x:is>
          <x:t xml:space="preserve">故福之為禍，禍之為福，化不可極，深不可測也。</x:t>
        </x:is>
      </x:c>
      <x:c r="O495" s="81" t="inlineStr">
        <x:is>
          <x:t xml:space="preserve">Classical Chinese (文言文)</x:t>
        </x:is>
      </x:c>
      <x:c r="P495" s="81" t="inlineStr">
        <x:is>
          <x:t xml:space="preserve">Phúc có thể thành họa, họa có thể thành phúc; sự chuyển hóa khó đo đến tận cùng.</x:t>
        </x:is>
      </x:c>
      <x:c r="Q495" s="81" t="inlineStr">
        <x:is>
          <x:t xml:space="preserve">Huainanzi / 淮南子 (compiled under Liu An court)</x:t>
        </x:is>
      </x:c>
      <x:c r="R495" s="81" t="inlineStr">
        <x:is>
          <x:t xml:space="preserve">Han China / syncretic</x:t>
        </x:is>
      </x:c>
      <x:c r="S495" s="81" t="inlineStr">
        <x:is>
          <x:t xml:space="preserve">淮南子 / Huainanzi</x:t>
        </x:is>
      </x:c>
      <x:c r="T495" s="81" t="inlineStr">
        <x:is>
          <x:t xml:space="preserve">Chapter 18 — 人閒訓</x:t>
        </x:is>
      </x:c>
      <x:c r="U495" s="81" t="inlineStr">
        <x:is>
          <x:t xml:space="preserve">https://ctext.org/huainanzi/ren-xian-xun</x:t>
        </x:is>
      </x:c>
      <x:c r="V495" s="81" t="inlineStr">
        <x:is>
          <x:t xml:space="preserve">Primary text / scholarly digital corpus</x:t>
        </x:is>
      </x:c>
      <x:c r="W495" s="81" t="inlineStr">
        <x:is>
          <x:t xml:space="preserve">Working translation</x:t>
        </x:is>
      </x:c>
      <x:c r="X495" s="81" t="inlineStr">
        <x:is>
          <x:t xml:space="preserve">A - Primary source</x:t>
        </x:is>
      </x:c>
      <x:c r="Y495" s="81" t="inlineStr">
        <x:is>
          <x:t xml:space="preserve">Original text checked against Chinese Text Project digital base text. Vietnamese is Selflo working translation, not a published translation.</x:t>
        </x:is>
      </x:c>
      <x:c r="Z495" s="81" t="inlineStr">
        <x:is>
          <x:t xml:space="preserve">Public domain ancient text / edition terms to verify</x:t>
        </x:is>
      </x:c>
      <x:c r="AA495" s="81" t="inlineStr">
        <x:is>
          <x:t xml:space="preserve">Do not copy modern translations/commentaries; verify edition/site terms before commercial release.</x:t>
        </x:is>
      </x:c>
      <x:c r="AB495" s="81" t="inlineStr">
        <x:is>
          <x:t xml:space="preserve">High</x:t>
        </x:is>
      </x:c>
      <x:c r="AC495" s="81" t="inlineStr">
        <x:is>
          <x:t xml:space="preserve">Day 6 research candidate; not Release-approved.</x:t>
        </x:is>
      </x:c>
      <x:c r="AD495" s="81" t="inlineStr">
        <x:is>
          <x:t xml:space="preserve">Needs editorial review</x:t>
        </x:is>
      </x:c>
      <x:c r="AE495" s="81" t="inlineStr">
        <x:is>
          <x:t xml:space="preserve">Needs semantic dedupe review</x:t>
        </x:is>
      </x:c>
      <x:c r="AF495" s="81" t="str"/>
      <x:c r="AG495" s="81" t="str"/>
      <x:c r="AH495" s="81" t="inlineStr">
        <x:is>
          <x:t xml:space="preserve">No</x:t>
        </x:is>
      </x:c>
      <x:c r="AI495" s="81" t="inlineStr">
        <x:is>
          <x:t xml:space="preserve">Not reviewed</x:t>
        </x:is>
      </x:c>
      <x:c r="AJ495" s="81" t="inlineStr">
        <x:is>
          <x:t xml:space="preserve">Research only</x:t>
        </x:is>
      </x:c>
      <x:c r="AK495" s="81" t="inlineStr">
        <x:is>
          <x:t xml:space="preserve">Research Pool</x:t>
        </x:is>
      </x:c>
      <x:c r="AL495" s="81" t="n">
        <x:v>6</x:v>
      </x:c>
      <x:c r="AM495" s="81" t="inlineStr">
        <x:is>
          <x:t xml:space="preserve">ChatGPT research</x:t>
        </x:is>
      </x:c>
      <x:c r="AN495" s="81" t="inlineStr">
        <x:is>
          <x:t xml:space="preserve">2026-09-18</x:t>
        </x:is>
      </x:c>
      <x:c r="AO495" s="81" t="inlineStr">
        <x:is>
          <x:t xml:space="preserve">Day 6 Huainanzi collection; exact source URL stored.</x:t>
        </x:is>
      </x:c>
    </x:row>
    <x:row r="496">
      <x:c r="A496" s="81" t="inlineStr">
        <x:is>
          <x:t xml:space="preserve">research.huainanzi.day6.ch18.044</x:t>
        </x:is>
      </x:c>
      <x:c r="B496" s="81" t="inlineStr">
        <x:is>
          <x:t xml:space="preserve">Collected</x:t>
        </x:is>
      </x:c>
      <x:c r="C496" s="81" t="inlineStr">
        <x:is>
          <x:t xml:space="preserve">Nội tâm &amp; hiểu mình</x:t>
        </x:is>
      </x:c>
      <x:c r="D496" s="81" t="inlineStr">
        <x:is>
          <x:t xml:space="preserve">Day 6 / Huainanzi</x:t>
        </x:is>
      </x:c>
      <x:c r="E496" s="81" t="str"/>
      <x:c r="F496" s="81" t="inlineStr">
        <x:is>
          <x:t xml:space="preserve">Nền chưa sẵn sàng không phải lỗi của công cụ</x:t>
        </x:is>
      </x:c>
      <x:c r="G496" s="81" t="inlineStr">
        <x:is>
          <x:t xml:space="preserve">Capacity</x:t>
        </x:is>
      </x:c>
      <x:c r="H496" s="81" t="str"/>
      <x:c r="I496" s="81" t="str"/>
      <x:c r="J496" s="81" t="str"/>
      <x:c r="K496" s="81" t="inlineStr">
        <x:is>
          <x:t xml:space="preserve">Recognize</x:t>
        </x:is>
      </x:c>
      <x:c r="L496" s="81" t="inlineStr">
        <x:is>
          <x:t xml:space="preserve">Recognize</x:t>
        </x:is>
      </x:c>
      <x:c r="M496" s="81" t="inlineStr">
        <x:is>
          <x:t xml:space="preserve">Trích đoạn triết học / 寓言</x:t>
        </x:is>
      </x:c>
      <x:c r="N496" s="81" t="inlineStr">
        <x:is>
          <x:t xml:space="preserve">木尚生，加塗其上，必將撓。</x:t>
        </x:is>
      </x:c>
      <x:c r="O496" s="81" t="inlineStr">
        <x:is>
          <x:t xml:space="preserve">Classical Chinese (文言文)</x:t>
        </x:is>
      </x:c>
      <x:c r="P496" s="81" t="inlineStr">
        <x:is>
          <x:t xml:space="preserve">Gỗ còn ướt mà đặt tải nặng lên thì có thể cong.</x:t>
        </x:is>
      </x:c>
      <x:c r="Q496" s="81" t="inlineStr">
        <x:is>
          <x:t xml:space="preserve">Huainanzi / 淮南子 (compiled under Liu An court)</x:t>
        </x:is>
      </x:c>
      <x:c r="R496" s="81" t="inlineStr">
        <x:is>
          <x:t xml:space="preserve">Han China / syncretic</x:t>
        </x:is>
      </x:c>
      <x:c r="S496" s="81" t="inlineStr">
        <x:is>
          <x:t xml:space="preserve">淮南子 / Huainanzi</x:t>
        </x:is>
      </x:c>
      <x:c r="T496" s="81" t="inlineStr">
        <x:is>
          <x:t xml:space="preserve">Chapter 18 — 人閒訓</x:t>
        </x:is>
      </x:c>
      <x:c r="U496" s="81" t="inlineStr">
        <x:is>
          <x:t xml:space="preserve">https://ctext.org/huainanzi/ren-xian-xun</x:t>
        </x:is>
      </x:c>
      <x:c r="V496" s="81" t="inlineStr">
        <x:is>
          <x:t xml:space="preserve">Primary text / scholarly digital corpus</x:t>
        </x:is>
      </x:c>
      <x:c r="W496" s="81" t="inlineStr">
        <x:is>
          <x:t xml:space="preserve">Working translation</x:t>
        </x:is>
      </x:c>
      <x:c r="X496" s="81" t="inlineStr">
        <x:is>
          <x:t xml:space="preserve">A - Primary source</x:t>
        </x:is>
      </x:c>
      <x:c r="Y496" s="81" t="inlineStr">
        <x:is>
          <x:t xml:space="preserve">Original text checked against Chinese Text Project digital base text. Vietnamese is Selflo working translation, not a published translation.</x:t>
        </x:is>
      </x:c>
      <x:c r="Z496" s="81" t="inlineStr">
        <x:is>
          <x:t xml:space="preserve">Public domain ancient text / edition terms to verify</x:t>
        </x:is>
      </x:c>
      <x:c r="AA496" s="81" t="inlineStr">
        <x:is>
          <x:t xml:space="preserve">Do not copy modern translations/commentaries; verify edition/site terms before commercial release.</x:t>
        </x:is>
      </x:c>
      <x:c r="AB496" s="81" t="inlineStr">
        <x:is>
          <x:t xml:space="preserve">High</x:t>
        </x:is>
      </x:c>
      <x:c r="AC496" s="81" t="inlineStr">
        <x:is>
          <x:t xml:space="preserve">Day 6 research candidate; not Release-approved.</x:t>
        </x:is>
      </x:c>
      <x:c r="AD496" s="81" t="inlineStr">
        <x:is>
          <x:t xml:space="preserve">Needs editorial review</x:t>
        </x:is>
      </x:c>
      <x:c r="AE496" s="81" t="inlineStr">
        <x:is>
          <x:t xml:space="preserve">Needs semantic dedupe review</x:t>
        </x:is>
      </x:c>
      <x:c r="AF496" s="81" t="str"/>
      <x:c r="AG496" s="81" t="str"/>
      <x:c r="AH496" s="81" t="inlineStr">
        <x:is>
          <x:t xml:space="preserve">No</x:t>
        </x:is>
      </x:c>
      <x:c r="AI496" s="81" t="inlineStr">
        <x:is>
          <x:t xml:space="preserve">Not reviewed</x:t>
        </x:is>
      </x:c>
      <x:c r="AJ496" s="81" t="inlineStr">
        <x:is>
          <x:t xml:space="preserve">Research only</x:t>
        </x:is>
      </x:c>
      <x:c r="AK496" s="81" t="inlineStr">
        <x:is>
          <x:t xml:space="preserve">Research Pool</x:t>
        </x:is>
      </x:c>
      <x:c r="AL496" s="81" t="n">
        <x:v>6</x:v>
      </x:c>
      <x:c r="AM496" s="81" t="inlineStr">
        <x:is>
          <x:t xml:space="preserve">ChatGPT research</x:t>
        </x:is>
      </x:c>
      <x:c r="AN496" s="81" t="inlineStr">
        <x:is>
          <x:t xml:space="preserve">2026-09-18</x:t>
        </x:is>
      </x:c>
      <x:c r="AO496" s="81" t="inlineStr">
        <x:is>
          <x:t xml:space="preserve">Day 6 Huainanzi collection; exact source URL stored.</x:t>
        </x:is>
      </x:c>
    </x:row>
    <x:row r="497">
      <x:c r="A497" s="81" t="inlineStr">
        <x:is>
          <x:t xml:space="preserve">research.huainanzi.day6.ch18.045</x:t>
        </x:is>
      </x:c>
      <x:c r="B497" s="81" t="inlineStr">
        <x:is>
          <x:t xml:space="preserve">Collected</x:t>
        </x:is>
      </x:c>
      <x:c r="C497" s="81" t="inlineStr">
        <x:is>
          <x:t xml:space="preserve">Công việc &amp; mục đích</x:t>
        </x:is>
      </x:c>
      <x:c r="D497" s="81" t="inlineStr">
        <x:is>
          <x:t xml:space="preserve">Day 6 / Huainanzi</x:t>
        </x:is>
      </x:c>
      <x:c r="E497" s="81" t="str"/>
      <x:c r="F497" s="81" t="inlineStr">
        <x:is>
          <x:t xml:space="preserve">Delivery ≠ sustainability</x:t>
        </x:is>
      </x:c>
      <x:c r="G497" s="81" t="inlineStr">
        <x:is>
          <x:t xml:space="preserve">Sustainability</x:t>
        </x:is>
      </x:c>
      <x:c r="H497" s="81" t="str"/>
      <x:c r="I497" s="81" t="str"/>
      <x:c r="J497" s="81" t="str"/>
      <x:c r="K497" s="81" t="inlineStr">
        <x:is>
          <x:t xml:space="preserve">Distinguish</x:t>
        </x:is>
      </x:c>
      <x:c r="L497" s="81" t="inlineStr">
        <x:is>
          <x:t xml:space="preserve">Recognize</x:t>
        </x:is>
      </x:c>
      <x:c r="M497" s="81" t="inlineStr">
        <x:is>
          <x:t xml:space="preserve">Trích đoạn triết học / 寓言</x:t>
        </x:is>
      </x:c>
      <x:c r="N497" s="81" t="inlineStr">
        <x:is>
          <x:t xml:space="preserve">今雖成，後必敗。</x:t>
        </x:is>
      </x:c>
      <x:c r="O497" s="81" t="inlineStr">
        <x:is>
          <x:t xml:space="preserve">Classical Chinese (文言文)</x:t>
        </x:is>
      </x:c>
      <x:c r="P497" s="81" t="inlineStr">
        <x:is>
          <x:t xml:space="preserve">Có thứ nhìn như đã xong hôm nay nhưng nền chưa đủ thì về sau vẫn có thể hỏng.</x:t>
        </x:is>
      </x:c>
      <x:c r="Q497" s="81" t="inlineStr">
        <x:is>
          <x:t xml:space="preserve">Huainanzi / 淮南子 (compiled under Liu An court)</x:t>
        </x:is>
      </x:c>
      <x:c r="R497" s="81" t="inlineStr">
        <x:is>
          <x:t xml:space="preserve">Han China / syncretic</x:t>
        </x:is>
      </x:c>
      <x:c r="S497" s="81" t="inlineStr">
        <x:is>
          <x:t xml:space="preserve">淮南子 / Huainanzi</x:t>
        </x:is>
      </x:c>
      <x:c r="T497" s="81" t="inlineStr">
        <x:is>
          <x:t xml:space="preserve">Chapter 18 — 人閒訓</x:t>
        </x:is>
      </x:c>
      <x:c r="U497" s="81" t="inlineStr">
        <x:is>
          <x:t xml:space="preserve">https://ctext.org/huainanzi/ren-xian-xun</x:t>
        </x:is>
      </x:c>
      <x:c r="V497" s="81" t="inlineStr">
        <x:is>
          <x:t xml:space="preserve">Primary text / scholarly digital corpus</x:t>
        </x:is>
      </x:c>
      <x:c r="W497" s="81" t="inlineStr">
        <x:is>
          <x:t xml:space="preserve">Working translation</x:t>
        </x:is>
      </x:c>
      <x:c r="X497" s="81" t="inlineStr">
        <x:is>
          <x:t xml:space="preserve">A - Primary source</x:t>
        </x:is>
      </x:c>
      <x:c r="Y497" s="81" t="inlineStr">
        <x:is>
          <x:t xml:space="preserve">Original text checked against Chinese Text Project digital base text. Vietnamese is Selflo working translation, not a published translation.</x:t>
        </x:is>
      </x:c>
      <x:c r="Z497" s="81" t="inlineStr">
        <x:is>
          <x:t xml:space="preserve">Public domain ancient text / edition terms to verify</x:t>
        </x:is>
      </x:c>
      <x:c r="AA497" s="81" t="inlineStr">
        <x:is>
          <x:t xml:space="preserve">Do not copy modern translations/commentaries; verify edition/site terms before commercial release.</x:t>
        </x:is>
      </x:c>
      <x:c r="AB497" s="81" t="inlineStr">
        <x:is>
          <x:t xml:space="preserve">High</x:t>
        </x:is>
      </x:c>
      <x:c r="AC497" s="81" t="inlineStr">
        <x:is>
          <x:t xml:space="preserve">Day 6 research candidate; not Release-approved.</x:t>
        </x:is>
      </x:c>
      <x:c r="AD497" s="81" t="inlineStr">
        <x:is>
          <x:t xml:space="preserve">Needs editorial review</x:t>
        </x:is>
      </x:c>
      <x:c r="AE497" s="81" t="inlineStr">
        <x:is>
          <x:t xml:space="preserve">Needs semantic dedupe review</x:t>
        </x:is>
      </x:c>
      <x:c r="AF497" s="81" t="str"/>
      <x:c r="AG497" s="81" t="str"/>
      <x:c r="AH497" s="81" t="inlineStr">
        <x:is>
          <x:t xml:space="preserve">No</x:t>
        </x:is>
      </x:c>
      <x:c r="AI497" s="81" t="inlineStr">
        <x:is>
          <x:t xml:space="preserve">Not reviewed</x:t>
        </x:is>
      </x:c>
      <x:c r="AJ497" s="81" t="inlineStr">
        <x:is>
          <x:t xml:space="preserve">Research only</x:t>
        </x:is>
      </x:c>
      <x:c r="AK497" s="81" t="inlineStr">
        <x:is>
          <x:t xml:space="preserve">Research Pool</x:t>
        </x:is>
      </x:c>
      <x:c r="AL497" s="81" t="n">
        <x:v>6</x:v>
      </x:c>
      <x:c r="AM497" s="81" t="inlineStr">
        <x:is>
          <x:t xml:space="preserve">ChatGPT research</x:t>
        </x:is>
      </x:c>
      <x:c r="AN497" s="81" t="inlineStr">
        <x:is>
          <x:t xml:space="preserve">2026-09-18</x:t>
        </x:is>
      </x:c>
      <x:c r="AO497" s="81" t="inlineStr">
        <x:is>
          <x:t xml:space="preserve">Day 6 Huainanzi collection; exact source URL stored.</x:t>
        </x:is>
      </x:c>
    </x:row>
    <x:row r="498">
      <x:c r="A498" s="81" t="inlineStr">
        <x:is>
          <x:t xml:space="preserve">research.huainanzi.day6.ch18.046</x:t>
        </x:is>
      </x:c>
      <x:c r="B498" s="81" t="inlineStr">
        <x:is>
          <x:t xml:space="preserve">Collected</x:t>
        </x:is>
      </x:c>
      <x:c r="C498" s="81" t="inlineStr">
        <x:is>
          <x:t xml:space="preserve">Nội tâm &amp; hiểu mình</x:t>
        </x:is>
      </x:c>
      <x:c r="D498" s="81" t="inlineStr">
        <x:is>
          <x:t xml:space="preserve">Day 6 / Huainanzi</x:t>
        </x:is>
      </x:c>
      <x:c r="E498" s="81" t="str"/>
      <x:c r="F498" s="81" t="inlineStr">
        <x:is>
          <x:t xml:space="preserve">Phòng ngừa từ tín hiệu nhỏ</x:t>
        </x:is>
      </x:c>
      <x:c r="G498" s="81" t="inlineStr">
        <x:is>
          <x:t xml:space="preserve">Early signals</x:t>
        </x:is>
      </x:c>
      <x:c r="H498" s="81" t="str"/>
      <x:c r="I498" s="81" t="str"/>
      <x:c r="J498" s="81" t="str"/>
      <x:c r="K498" s="81" t="inlineStr">
        <x:is>
          <x:t xml:space="preserve">Recognize</x:t>
        </x:is>
      </x:c>
      <x:c r="L498" s="81" t="inlineStr">
        <x:is>
          <x:t xml:space="preserve">Recognize</x:t>
        </x:is>
      </x:c>
      <x:c r="M498" s="81" t="inlineStr">
        <x:is>
          <x:t xml:space="preserve">Trích đoạn triết học / 寓言</x:t>
        </x:is>
      </x:c>
      <x:c r="N498" s="81" t="inlineStr">
        <x:is>
          <x:t xml:space="preserve">聖人敬小慎微，動不失時。</x:t>
        </x:is>
      </x:c>
      <x:c r="O498" s="81" t="inlineStr">
        <x:is>
          <x:t xml:space="preserve">Classical Chinese (文言文)</x:t>
        </x:is>
      </x:c>
      <x:c r="P498" s="81" t="inlineStr">
        <x:is>
          <x:t xml:space="preserve">Chú ý phần nhỏ và đúng thời điểm trước khi nó thành lớn.</x:t>
        </x:is>
      </x:c>
      <x:c r="Q498" s="81" t="inlineStr">
        <x:is>
          <x:t xml:space="preserve">Huainanzi / 淮南子 (compiled under Liu An court)</x:t>
        </x:is>
      </x:c>
      <x:c r="R498" s="81" t="inlineStr">
        <x:is>
          <x:t xml:space="preserve">Han China / syncretic</x:t>
        </x:is>
      </x:c>
      <x:c r="S498" s="81" t="inlineStr">
        <x:is>
          <x:t xml:space="preserve">淮南子 / Huainanzi</x:t>
        </x:is>
      </x:c>
      <x:c r="T498" s="81" t="inlineStr">
        <x:is>
          <x:t xml:space="preserve">Chapter 18 — 人閒訓</x:t>
        </x:is>
      </x:c>
      <x:c r="U498" s="81" t="inlineStr">
        <x:is>
          <x:t xml:space="preserve">https://ctext.org/huainanzi/ren-xian-xun</x:t>
        </x:is>
      </x:c>
      <x:c r="V498" s="81" t="inlineStr">
        <x:is>
          <x:t xml:space="preserve">Primary text / scholarly digital corpus</x:t>
        </x:is>
      </x:c>
      <x:c r="W498" s="81" t="inlineStr">
        <x:is>
          <x:t xml:space="preserve">Working translation</x:t>
        </x:is>
      </x:c>
      <x:c r="X498" s="81" t="inlineStr">
        <x:is>
          <x:t xml:space="preserve">A - Primary source</x:t>
        </x:is>
      </x:c>
      <x:c r="Y498" s="81" t="inlineStr">
        <x:is>
          <x:t xml:space="preserve">Original text checked against Chinese Text Project digital base text. Vietnamese is Selflo working translation, not a published translation.</x:t>
        </x:is>
      </x:c>
      <x:c r="Z498" s="81" t="inlineStr">
        <x:is>
          <x:t xml:space="preserve">Public domain ancient text / edition terms to verify</x:t>
        </x:is>
      </x:c>
      <x:c r="AA498" s="81" t="inlineStr">
        <x:is>
          <x:t xml:space="preserve">Do not copy modern translations/commentaries; verify edition/site terms before commercial release.</x:t>
        </x:is>
      </x:c>
      <x:c r="AB498" s="81" t="inlineStr">
        <x:is>
          <x:t xml:space="preserve">High</x:t>
        </x:is>
      </x:c>
      <x:c r="AC498" s="81" t="inlineStr">
        <x:is>
          <x:t xml:space="preserve">Day 6 research candidate; not Release-approved.</x:t>
        </x:is>
      </x:c>
      <x:c r="AD498" s="81" t="inlineStr">
        <x:is>
          <x:t xml:space="preserve">Needs editorial review</x:t>
        </x:is>
      </x:c>
      <x:c r="AE498" s="81" t="inlineStr">
        <x:is>
          <x:t xml:space="preserve">Needs semantic dedupe review</x:t>
        </x:is>
      </x:c>
      <x:c r="AF498" s="81" t="str"/>
      <x:c r="AG498" s="81" t="str"/>
      <x:c r="AH498" s="81" t="inlineStr">
        <x:is>
          <x:t xml:space="preserve">No</x:t>
        </x:is>
      </x:c>
      <x:c r="AI498" s="81" t="inlineStr">
        <x:is>
          <x:t xml:space="preserve">Not reviewed</x:t>
        </x:is>
      </x:c>
      <x:c r="AJ498" s="81" t="inlineStr">
        <x:is>
          <x:t xml:space="preserve">Research only</x:t>
        </x:is>
      </x:c>
      <x:c r="AK498" s="81" t="inlineStr">
        <x:is>
          <x:t xml:space="preserve">Research Pool</x:t>
        </x:is>
      </x:c>
      <x:c r="AL498" s="81" t="n">
        <x:v>6</x:v>
      </x:c>
      <x:c r="AM498" s="81" t="inlineStr">
        <x:is>
          <x:t xml:space="preserve">ChatGPT research</x:t>
        </x:is>
      </x:c>
      <x:c r="AN498" s="81" t="inlineStr">
        <x:is>
          <x:t xml:space="preserve">2026-09-18</x:t>
        </x:is>
      </x:c>
      <x:c r="AO498" s="81" t="inlineStr">
        <x:is>
          <x:t xml:space="preserve">Day 6 Huainanzi collection; exact source URL stored.</x:t>
        </x:is>
      </x:c>
    </x:row>
    <x:row r="499">
      <x:c r="A499" s="81" t="inlineStr">
        <x:is>
          <x:t xml:space="preserve">research.huainanzi.day6.ch18.047</x:t>
        </x:is>
      </x:c>
      <x:c r="B499" s="81" t="inlineStr">
        <x:is>
          <x:t xml:space="preserve">Collected</x:t>
        </x:is>
      </x:c>
      <x:c r="C499" s="81" t="inlineStr">
        <x:is>
          <x:t xml:space="preserve">Công việc &amp; mục đích</x:t>
        </x:is>
      </x:c>
      <x:c r="D499" s="81" t="inlineStr">
        <x:is>
          <x:t xml:space="preserve">Day 6 / Huainanzi</x:t>
        </x:is>
      </x:c>
      <x:c r="E499" s="81" t="str"/>
      <x:c r="F499" s="81" t="inlineStr">
        <x:is>
          <x:t xml:space="preserve">Prevention trước firefighting</x:t>
        </x:is>
      </x:c>
      <x:c r="G499" s="81" t="inlineStr">
        <x:is>
          <x:t xml:space="preserve">Systems</x:t>
        </x:is>
      </x:c>
      <x:c r="H499" s="81" t="str"/>
      <x:c r="I499" s="81" t="str"/>
      <x:c r="J499" s="81" t="str"/>
      <x:c r="K499" s="81" t="inlineStr">
        <x:is>
          <x:t xml:space="preserve">Reframe</x:t>
        </x:is>
      </x:c>
      <x:c r="L499" s="81" t="inlineStr">
        <x:is>
          <x:t xml:space="preserve">Recognize</x:t>
        </x:is>
      </x:c>
      <x:c r="M499" s="81" t="inlineStr">
        <x:is>
          <x:t xml:space="preserve">Trích đoạn triết học / 寓言</x:t>
        </x:is>
      </x:c>
      <x:c r="N499" s="81" t="inlineStr">
        <x:is>
          <x:t xml:space="preserve">人皆務於救患之備，而莫能知使患無生。</x:t>
        </x:is>
      </x:c>
      <x:c r="O499" s="81" t="inlineStr">
        <x:is>
          <x:t xml:space="preserve">Classical Chinese (文言文)</x:t>
        </x:is>
      </x:c>
      <x:c r="P499" s="81" t="inlineStr">
        <x:is>
          <x:t xml:space="preserve">Người ta thường chuẩn bị cứu khi sự cố xảy ra hơn là tạo điều kiện để nó đừng sinh ra.</x:t>
        </x:is>
      </x:c>
      <x:c r="Q499" s="81" t="inlineStr">
        <x:is>
          <x:t xml:space="preserve">Huainanzi / 淮南子 (compiled under Liu An court)</x:t>
        </x:is>
      </x:c>
      <x:c r="R499" s="81" t="inlineStr">
        <x:is>
          <x:t xml:space="preserve">Han China / syncretic</x:t>
        </x:is>
      </x:c>
      <x:c r="S499" s="81" t="inlineStr">
        <x:is>
          <x:t xml:space="preserve">淮南子 / Huainanzi</x:t>
        </x:is>
      </x:c>
      <x:c r="T499" s="81" t="inlineStr">
        <x:is>
          <x:t xml:space="preserve">Chapter 18 — 人閒訓</x:t>
        </x:is>
      </x:c>
      <x:c r="U499" s="81" t="inlineStr">
        <x:is>
          <x:t xml:space="preserve">https://ctext.org/huainanzi/ren-xian-xun</x:t>
        </x:is>
      </x:c>
      <x:c r="V499" s="81" t="inlineStr">
        <x:is>
          <x:t xml:space="preserve">Primary text / scholarly digital corpus</x:t>
        </x:is>
      </x:c>
      <x:c r="W499" s="81" t="inlineStr">
        <x:is>
          <x:t xml:space="preserve">Working translation</x:t>
        </x:is>
      </x:c>
      <x:c r="X499" s="81" t="inlineStr">
        <x:is>
          <x:t xml:space="preserve">A - Primary source</x:t>
        </x:is>
      </x:c>
      <x:c r="Y499" s="81" t="inlineStr">
        <x:is>
          <x:t xml:space="preserve">Original text checked against Chinese Text Project digital base text. Vietnamese is Selflo working translation, not a published translation.</x:t>
        </x:is>
      </x:c>
      <x:c r="Z499" s="81" t="inlineStr">
        <x:is>
          <x:t xml:space="preserve">Public domain ancient text / edition terms to verify</x:t>
        </x:is>
      </x:c>
      <x:c r="AA499" s="81" t="inlineStr">
        <x:is>
          <x:t xml:space="preserve">Do not copy modern translations/commentaries; verify edition/site terms before commercial release.</x:t>
        </x:is>
      </x:c>
      <x:c r="AB499" s="81" t="inlineStr">
        <x:is>
          <x:t xml:space="preserve">High</x:t>
        </x:is>
      </x:c>
      <x:c r="AC499" s="81" t="inlineStr">
        <x:is>
          <x:t xml:space="preserve">Day 6 research candidate; not Release-approved.</x:t>
        </x:is>
      </x:c>
      <x:c r="AD499" s="81" t="inlineStr">
        <x:is>
          <x:t xml:space="preserve">Needs editorial review</x:t>
        </x:is>
      </x:c>
      <x:c r="AE499" s="81" t="inlineStr">
        <x:is>
          <x:t xml:space="preserve">Needs semantic dedupe review</x:t>
        </x:is>
      </x:c>
      <x:c r="AF499" s="81" t="str"/>
      <x:c r="AG499" s="81" t="str"/>
      <x:c r="AH499" s="81" t="inlineStr">
        <x:is>
          <x:t xml:space="preserve">No</x:t>
        </x:is>
      </x:c>
      <x:c r="AI499" s="81" t="inlineStr">
        <x:is>
          <x:t xml:space="preserve">Not reviewed</x:t>
        </x:is>
      </x:c>
      <x:c r="AJ499" s="81" t="inlineStr">
        <x:is>
          <x:t xml:space="preserve">Research only</x:t>
        </x:is>
      </x:c>
      <x:c r="AK499" s="81" t="inlineStr">
        <x:is>
          <x:t xml:space="preserve">Research Pool</x:t>
        </x:is>
      </x:c>
      <x:c r="AL499" s="81" t="n">
        <x:v>6</x:v>
      </x:c>
      <x:c r="AM499" s="81" t="inlineStr">
        <x:is>
          <x:t xml:space="preserve">ChatGPT research</x:t>
        </x:is>
      </x:c>
      <x:c r="AN499" s="81" t="inlineStr">
        <x:is>
          <x:t xml:space="preserve">2026-09-18</x:t>
        </x:is>
      </x:c>
      <x:c r="AO499" s="81" t="inlineStr">
        <x:is>
          <x:t xml:space="preserve">Day 6 Huainanzi collection; exact source URL stored.</x:t>
        </x:is>
      </x:c>
    </x:row>
    <x:row r="500">
      <x:c r="A500" s="81" t="inlineStr">
        <x:is>
          <x:t xml:space="preserve">research.huainanzi.day6.ch18.048</x:t>
        </x:is>
      </x:c>
      <x:c r="B500" s="81" t="inlineStr">
        <x:is>
          <x:t xml:space="preserve">Collected</x:t>
        </x:is>
      </x:c>
      <x:c r="C500" s="81" t="inlineStr">
        <x:is>
          <x:t xml:space="preserve">Công việc &amp; mục đích</x:t>
        </x:is>
      </x:c>
      <x:c r="D500" s="81" t="inlineStr">
        <x:is>
          <x:t xml:space="preserve">Day 6 / Huainanzi</x:t>
        </x:is>
      </x:c>
      <x:c r="E500" s="81" t="str"/>
      <x:c r="F500" s="81" t="inlineStr">
        <x:is>
          <x:t xml:space="preserve">Thiết kế điều kiện tốt hơn chữa cháy</x:t>
        </x:is>
      </x:c>
      <x:c r="G500" s="81" t="inlineStr">
        <x:is>
          <x:t xml:space="preserve">Prevention</x:t>
        </x:is>
      </x:c>
      <x:c r="H500" s="81" t="str"/>
      <x:c r="I500" s="81" t="str"/>
      <x:c r="J500" s="81" t="str"/>
      <x:c r="K500" s="81" t="inlineStr">
        <x:is>
          <x:t xml:space="preserve">Distinguish</x:t>
        </x:is>
      </x:c>
      <x:c r="L500" s="81" t="inlineStr">
        <x:is>
          <x:t xml:space="preserve">Recognize</x:t>
        </x:is>
      </x:c>
      <x:c r="M500" s="81" t="inlineStr">
        <x:is>
          <x:t xml:space="preserve">Trích đoạn triết học / 寓言</x:t>
        </x:is>
      </x:c>
      <x:c r="N500" s="81" t="inlineStr">
        <x:is>
          <x:t xml:space="preserve">夫使患無生，易於救患。</x:t>
        </x:is>
      </x:c>
      <x:c r="O500" s="81" t="inlineStr">
        <x:is>
          <x:t xml:space="preserve">Classical Chinese (文言文)</x:t>
        </x:is>
      </x:c>
      <x:c r="P500" s="81" t="inlineStr">
        <x:is>
          <x:t xml:space="preserve">Ngăn vấn đề hình thành thường nhẹ hơn cứu nó khi đã lớn.</x:t>
        </x:is>
      </x:c>
      <x:c r="Q500" s="81" t="inlineStr">
        <x:is>
          <x:t xml:space="preserve">Huainanzi / 淮南子 (compiled under Liu An court)</x:t>
        </x:is>
      </x:c>
      <x:c r="R500" s="81" t="inlineStr">
        <x:is>
          <x:t xml:space="preserve">Han China / syncretic</x:t>
        </x:is>
      </x:c>
      <x:c r="S500" s="81" t="inlineStr">
        <x:is>
          <x:t xml:space="preserve">淮南子 / Huainanzi</x:t>
        </x:is>
      </x:c>
      <x:c r="T500" s="81" t="inlineStr">
        <x:is>
          <x:t xml:space="preserve">Chapter 18 — 人閒訓</x:t>
        </x:is>
      </x:c>
      <x:c r="U500" s="81" t="inlineStr">
        <x:is>
          <x:t xml:space="preserve">https://ctext.org/huainanzi/ren-xian-xun</x:t>
        </x:is>
      </x:c>
      <x:c r="V500" s="81" t="inlineStr">
        <x:is>
          <x:t xml:space="preserve">Primary text / scholarly digital corpus</x:t>
        </x:is>
      </x:c>
      <x:c r="W500" s="81" t="inlineStr">
        <x:is>
          <x:t xml:space="preserve">Working translation</x:t>
        </x:is>
      </x:c>
      <x:c r="X500" s="81" t="inlineStr">
        <x:is>
          <x:t xml:space="preserve">A - Primary source</x:t>
        </x:is>
      </x:c>
      <x:c r="Y500" s="81" t="inlineStr">
        <x:is>
          <x:t xml:space="preserve">Original text checked against Chinese Text Project digital base text. Vietnamese is Selflo working translation, not a published translation.</x:t>
        </x:is>
      </x:c>
      <x:c r="Z500" s="81" t="inlineStr">
        <x:is>
          <x:t xml:space="preserve">Public domain ancient text / edition terms to verify</x:t>
        </x:is>
      </x:c>
      <x:c r="AA500" s="81" t="inlineStr">
        <x:is>
          <x:t xml:space="preserve">Do not copy modern translations/commentaries; verify edition/site terms before commercial release.</x:t>
        </x:is>
      </x:c>
      <x:c r="AB500" s="81" t="inlineStr">
        <x:is>
          <x:t xml:space="preserve">High</x:t>
        </x:is>
      </x:c>
      <x:c r="AC500" s="81" t="inlineStr">
        <x:is>
          <x:t xml:space="preserve">Day 6 research candidate; not Release-approved.</x:t>
        </x:is>
      </x:c>
      <x:c r="AD500" s="81" t="inlineStr">
        <x:is>
          <x:t xml:space="preserve">Needs editorial review</x:t>
        </x:is>
      </x:c>
      <x:c r="AE500" s="81" t="inlineStr">
        <x:is>
          <x:t xml:space="preserve">Needs semantic dedupe review</x:t>
        </x:is>
      </x:c>
      <x:c r="AF500" s="81" t="str"/>
      <x:c r="AG500" s="81" t="str"/>
      <x:c r="AH500" s="81" t="inlineStr">
        <x:is>
          <x:t xml:space="preserve">No</x:t>
        </x:is>
      </x:c>
      <x:c r="AI500" s="81" t="inlineStr">
        <x:is>
          <x:t xml:space="preserve">Not reviewed</x:t>
        </x:is>
      </x:c>
      <x:c r="AJ500" s="81" t="inlineStr">
        <x:is>
          <x:t xml:space="preserve">Research only</x:t>
        </x:is>
      </x:c>
      <x:c r="AK500" s="81" t="inlineStr">
        <x:is>
          <x:t xml:space="preserve">Research Pool</x:t>
        </x:is>
      </x:c>
      <x:c r="AL500" s="81" t="n">
        <x:v>6</x:v>
      </x:c>
      <x:c r="AM500" s="81" t="inlineStr">
        <x:is>
          <x:t xml:space="preserve">ChatGPT research</x:t>
        </x:is>
      </x:c>
      <x:c r="AN500" s="81" t="inlineStr">
        <x:is>
          <x:t xml:space="preserve">2026-09-18</x:t>
        </x:is>
      </x:c>
      <x:c r="AO500" s="81" t="inlineStr">
        <x:is>
          <x:t xml:space="preserve">Day 6 Huainanzi collection; exact source URL stored.</x:t>
        </x:is>
      </x:c>
    </x:row>
    <x:row r="501">
      <x:c r="A501" s="81" t="inlineStr">
        <x:is>
          <x:t xml:space="preserve">research.huainanzi.day6.ch18.049</x:t>
        </x:is>
      </x:c>
      <x:c r="B501" s="81" t="inlineStr">
        <x:is>
          <x:t xml:space="preserve">Collected</x:t>
        </x:is>
      </x:c>
      <x:c r="C501" s="81" t="inlineStr">
        <x:is>
          <x:t xml:space="preserve">Nội tâm &amp; hiểu mình</x:t>
        </x:is>
      </x:c>
      <x:c r="D501" s="81" t="inlineStr">
        <x:is>
          <x:t xml:space="preserve">Day 6 / Huainanzi</x:t>
        </x:is>
      </x:c>
      <x:c r="E501" s="81" t="str"/>
      <x:c r="F501" s="81" t="inlineStr">
        <x:is>
          <x:t xml:space="preserve">Sự cố lớn có dấu nhỏ trước đó</x:t>
        </x:is>
      </x:c>
      <x:c r="G501" s="81" t="inlineStr">
        <x:is>
          <x:t xml:space="preserve">Early signals</x:t>
        </x:is>
      </x:c>
      <x:c r="H501" s="81" t="str"/>
      <x:c r="I501" s="81" t="str"/>
      <x:c r="J501" s="81" t="str"/>
      <x:c r="K501" s="81" t="inlineStr">
        <x:is>
          <x:t xml:space="preserve">Recognize</x:t>
        </x:is>
      </x:c>
      <x:c r="L501" s="81" t="inlineStr">
        <x:is>
          <x:t xml:space="preserve">Recognize</x:t>
        </x:is>
      </x:c>
      <x:c r="M501" s="81" t="inlineStr">
        <x:is>
          <x:t xml:space="preserve">Trích đoạn triết học / 寓言</x:t>
        </x:is>
      </x:c>
      <x:c r="N501" s="81" t="inlineStr">
        <x:is>
          <x:t xml:space="preserve">夫牆之壞也於隙，劍之折必有齒。</x:t>
        </x:is>
      </x:c>
      <x:c r="O501" s="81" t="inlineStr">
        <x:is>
          <x:t xml:space="preserve">Classical Chinese (文言文)</x:t>
        </x:is>
      </x:c>
      <x:c r="P501" s="81" t="inlineStr">
        <x:is>
          <x:t xml:space="preserve">Tường hỏng bắt đầu từ khe; kiếm gãy thường có dấu ở chỗ khuyết.</x:t>
        </x:is>
      </x:c>
      <x:c r="Q501" s="81" t="inlineStr">
        <x:is>
          <x:t xml:space="preserve">Huainanzi / 淮南子 (compiled under Liu An court)</x:t>
        </x:is>
      </x:c>
      <x:c r="R501" s="81" t="inlineStr">
        <x:is>
          <x:t xml:space="preserve">Han China / syncretic</x:t>
        </x:is>
      </x:c>
      <x:c r="S501" s="81" t="inlineStr">
        <x:is>
          <x:t xml:space="preserve">淮南子 / Huainanzi</x:t>
        </x:is>
      </x:c>
      <x:c r="T501" s="81" t="inlineStr">
        <x:is>
          <x:t xml:space="preserve">Chapter 18 — 人閒訓</x:t>
        </x:is>
      </x:c>
      <x:c r="U501" s="81" t="inlineStr">
        <x:is>
          <x:t xml:space="preserve">https://ctext.org/huainanzi/ren-xian-xun</x:t>
        </x:is>
      </x:c>
      <x:c r="V501" s="81" t="inlineStr">
        <x:is>
          <x:t xml:space="preserve">Primary text / scholarly digital corpus</x:t>
        </x:is>
      </x:c>
      <x:c r="W501" s="81" t="inlineStr">
        <x:is>
          <x:t xml:space="preserve">Working translation</x:t>
        </x:is>
      </x:c>
      <x:c r="X501" s="81" t="inlineStr">
        <x:is>
          <x:t xml:space="preserve">A - Primary source</x:t>
        </x:is>
      </x:c>
      <x:c r="Y501" s="81" t="inlineStr">
        <x:is>
          <x:t xml:space="preserve">Original text checked against Chinese Text Project digital base text. Vietnamese is Selflo working translation, not a published translation.</x:t>
        </x:is>
      </x:c>
      <x:c r="Z501" s="81" t="inlineStr">
        <x:is>
          <x:t xml:space="preserve">Public domain ancient text / edition terms to verify</x:t>
        </x:is>
      </x:c>
      <x:c r="AA501" s="81" t="inlineStr">
        <x:is>
          <x:t xml:space="preserve">Do not copy modern translations/commentaries; verify edition/site terms before commercial release.</x:t>
        </x:is>
      </x:c>
      <x:c r="AB501" s="81" t="inlineStr">
        <x:is>
          <x:t xml:space="preserve">High</x:t>
        </x:is>
      </x:c>
      <x:c r="AC501" s="81" t="inlineStr">
        <x:is>
          <x:t xml:space="preserve">Day 6 research candidate; not Release-approved.</x:t>
        </x:is>
      </x:c>
      <x:c r="AD501" s="81" t="inlineStr">
        <x:is>
          <x:t xml:space="preserve">Needs editorial review</x:t>
        </x:is>
      </x:c>
      <x:c r="AE501" s="81" t="inlineStr">
        <x:is>
          <x:t xml:space="preserve">Needs semantic dedupe review</x:t>
        </x:is>
      </x:c>
      <x:c r="AF501" s="81" t="str"/>
      <x:c r="AG501" s="81" t="str"/>
      <x:c r="AH501" s="81" t="inlineStr">
        <x:is>
          <x:t xml:space="preserve">No</x:t>
        </x:is>
      </x:c>
      <x:c r="AI501" s="81" t="inlineStr">
        <x:is>
          <x:t xml:space="preserve">Not reviewed</x:t>
        </x:is>
      </x:c>
      <x:c r="AJ501" s="81" t="inlineStr">
        <x:is>
          <x:t xml:space="preserve">Research only</x:t>
        </x:is>
      </x:c>
      <x:c r="AK501" s="81" t="inlineStr">
        <x:is>
          <x:t xml:space="preserve">Research Pool</x:t>
        </x:is>
      </x:c>
      <x:c r="AL501" s="81" t="n">
        <x:v>6</x:v>
      </x:c>
      <x:c r="AM501" s="81" t="inlineStr">
        <x:is>
          <x:t xml:space="preserve">ChatGPT research</x:t>
        </x:is>
      </x:c>
      <x:c r="AN501" s="81" t="inlineStr">
        <x:is>
          <x:t xml:space="preserve">2026-09-18</x:t>
        </x:is>
      </x:c>
      <x:c r="AO501" s="81" t="inlineStr">
        <x:is>
          <x:t xml:space="preserve">Day 6 Huainanzi collection; exact source URL stored.</x:t>
        </x:is>
      </x:c>
    </x:row>
    <x:row r="502">
      <x:c r="A502" s="81" t="inlineStr">
        <x:is>
          <x:t xml:space="preserve">research.huainanzi.day6.ch18.050</x:t>
        </x:is>
      </x:c>
      <x:c r="B502" s="81" t="inlineStr">
        <x:is>
          <x:t xml:space="preserve">Collected</x:t>
        </x:is>
      </x:c>
      <x:c r="C502" s="81" t="inlineStr">
        <x:is>
          <x:t xml:space="preserve">Quan hệ</x:t>
        </x:is>
      </x:c>
      <x:c r="D502" s="81" t="inlineStr">
        <x:is>
          <x:t xml:space="preserve">Day 6 / Huainanzi</x:t>
        </x:is>
      </x:c>
      <x:c r="E502" s="81" t="str"/>
      <x:c r="F502" s="81" t="inlineStr">
        <x:is>
          <x:t xml:space="preserve">Quan hệ được tạo bởi tích lũy</x:t>
        </x:is>
      </x:c>
      <x:c r="G502" s="81" t="inlineStr">
        <x:is>
          <x:t xml:space="preserve">Relationships</x:t>
        </x:is>
      </x:c>
      <x:c r="H502" s="81" t="str"/>
      <x:c r="I502" s="81" t="str"/>
      <x:c r="J502" s="81" t="str"/>
      <x:c r="K502" s="81" t="inlineStr">
        <x:is>
          <x:t xml:space="preserve">Recognize</x:t>
        </x:is>
      </x:c>
      <x:c r="L502" s="81" t="inlineStr">
        <x:is>
          <x:t xml:space="preserve">Recognize</x:t>
        </x:is>
      </x:c>
      <x:c r="M502" s="81" t="inlineStr">
        <x:is>
          <x:t xml:space="preserve">Trích đoạn triết học / 寓言</x:t>
        </x:is>
      </x:c>
      <x:c r="N502" s="81" t="inlineStr">
        <x:is>
          <x:t xml:space="preserve">積愛成福，積怨成禍。</x:t>
        </x:is>
      </x:c>
      <x:c r="O502" s="81" t="inlineStr">
        <x:is>
          <x:t xml:space="preserve">Classical Chinese (文言文)</x:t>
        </x:is>
      </x:c>
      <x:c r="P502" s="81" t="inlineStr">
        <x:is>
          <x:t xml:space="preserve">Điều tích lũy nhỏ trong quan hệ có thể dần thành kết quả lớn.</x:t>
        </x:is>
      </x:c>
      <x:c r="Q502" s="81" t="inlineStr">
        <x:is>
          <x:t xml:space="preserve">Huainanzi / 淮南子 (compiled under Liu An court)</x:t>
        </x:is>
      </x:c>
      <x:c r="R502" s="81" t="inlineStr">
        <x:is>
          <x:t xml:space="preserve">Han China / syncretic</x:t>
        </x:is>
      </x:c>
      <x:c r="S502" s="81" t="inlineStr">
        <x:is>
          <x:t xml:space="preserve">淮南子 / Huainanzi</x:t>
        </x:is>
      </x:c>
      <x:c r="T502" s="81" t="inlineStr">
        <x:is>
          <x:t xml:space="preserve">Chapter 18 — 人閒訓</x:t>
        </x:is>
      </x:c>
      <x:c r="U502" s="81" t="inlineStr">
        <x:is>
          <x:t xml:space="preserve">https://ctext.org/huainanzi/ren-xian-xun</x:t>
        </x:is>
      </x:c>
      <x:c r="V502" s="81" t="inlineStr">
        <x:is>
          <x:t xml:space="preserve">Primary text / scholarly digital corpus</x:t>
        </x:is>
      </x:c>
      <x:c r="W502" s="81" t="inlineStr">
        <x:is>
          <x:t xml:space="preserve">Working translation</x:t>
        </x:is>
      </x:c>
      <x:c r="X502" s="81" t="inlineStr">
        <x:is>
          <x:t xml:space="preserve">A - Primary source</x:t>
        </x:is>
      </x:c>
      <x:c r="Y502" s="81" t="inlineStr">
        <x:is>
          <x:t xml:space="preserve">Original text checked against Chinese Text Project digital base text. Vietnamese is Selflo working translation, not a published translation.</x:t>
        </x:is>
      </x:c>
      <x:c r="Z502" s="81" t="inlineStr">
        <x:is>
          <x:t xml:space="preserve">Public domain ancient text / edition terms to verify</x:t>
        </x:is>
      </x:c>
      <x:c r="AA502" s="81" t="inlineStr">
        <x:is>
          <x:t xml:space="preserve">Do not copy modern translations/commentaries; verify edition/site terms before commercial release.</x:t>
        </x:is>
      </x:c>
      <x:c r="AB502" s="81" t="inlineStr">
        <x:is>
          <x:t xml:space="preserve">High</x:t>
        </x:is>
      </x:c>
      <x:c r="AC502" s="81" t="inlineStr">
        <x:is>
          <x:t xml:space="preserve">Day 6 research candidate; not Release-approved.</x:t>
        </x:is>
      </x:c>
      <x:c r="AD502" s="81" t="inlineStr">
        <x:is>
          <x:t xml:space="preserve">Needs editorial review</x:t>
        </x:is>
      </x:c>
      <x:c r="AE502" s="81" t="inlineStr">
        <x:is>
          <x:t xml:space="preserve">Needs semantic dedupe review</x:t>
        </x:is>
      </x:c>
      <x:c r="AF502" s="81" t="str"/>
      <x:c r="AG502" s="81" t="str"/>
      <x:c r="AH502" s="81" t="inlineStr">
        <x:is>
          <x:t xml:space="preserve">No</x:t>
        </x:is>
      </x:c>
      <x:c r="AI502" s="81" t="inlineStr">
        <x:is>
          <x:t xml:space="preserve">Not reviewed</x:t>
        </x:is>
      </x:c>
      <x:c r="AJ502" s="81" t="inlineStr">
        <x:is>
          <x:t xml:space="preserve">Research only</x:t>
        </x:is>
      </x:c>
      <x:c r="AK502" s="81" t="inlineStr">
        <x:is>
          <x:t xml:space="preserve">Research Pool</x:t>
        </x:is>
      </x:c>
      <x:c r="AL502" s="81" t="n">
        <x:v>6</x:v>
      </x:c>
      <x:c r="AM502" s="81" t="inlineStr">
        <x:is>
          <x:t xml:space="preserve">ChatGPT research</x:t>
        </x:is>
      </x:c>
      <x:c r="AN502" s="81" t="inlineStr">
        <x:is>
          <x:t xml:space="preserve">2026-09-18</x:t>
        </x:is>
      </x:c>
      <x:c r="AO502" s="81" t="inlineStr">
        <x:is>
          <x:t xml:space="preserve">Day 6 Huainanzi collection; exact source URL stored.</x:t>
        </x:is>
      </x:c>
    </x:row>
    <x:row r="503">
      <x:c r="A503" s="81" t="inlineStr">
        <x:is>
          <x:t xml:space="preserve">research.epictetus.day7.enchiridion.1.001</x:t>
        </x:is>
      </x:c>
      <x:c r="B503" s="81" t="inlineStr">
        <x:is>
          <x:t xml:space="preserve">Collected</x:t>
        </x:is>
      </x:c>
      <x:c r="C503" s="81" t="inlineStr">
        <x:is>
          <x:t xml:space="preserve">Nội tâm &amp; hiểu mình</x:t>
        </x:is>
      </x:c>
      <x:c r="D503" s="81" t="inlineStr">
        <x:is>
          <x:t xml:space="preserve">Day 7 / Epictetus — Enchiridion + Discourses</x:t>
        </x:is>
      </x:c>
      <x:c r="E503" s="81" t="str"/>
      <x:c r="F503" s="81" t="str"/>
      <x:c r="G503" s="81" t="inlineStr">
        <x:is>
          <x:t xml:space="preserve">Control</x:t>
        </x:is>
      </x:c>
      <x:c r="H503" s="81" t="str"/>
      <x:c r="I503" s="81" t="str"/>
      <x:c r="J503" s="81" t="str"/>
      <x:c r="K503" s="81" t="inlineStr">
        <x:is>
          <x:t xml:space="preserve">Distinguish</x:t>
        </x:is>
      </x:c>
      <x:c r="L503" s="81" t="inlineStr">
        <x:is>
          <x:t xml:space="preserve">Recognize</x:t>
        </x:is>
      </x:c>
      <x:c r="M503" s="81" t="inlineStr">
        <x:is>
          <x:t xml:space="preserve">Triết học / dialogue</x:t>
        </x:is>
      </x:c>
      <x:c r="N503" s="81" t="inlineStr">
        <x:is>
          <x:t xml:space="preserve">τῶν ὄντων τὰ μέν ἐστιν ἐφ᾽ ἡμῖν, τὰ δὲ οὐκ ἐφ᾽ ἡμῖν.</x:t>
        </x:is>
      </x:c>
      <x:c r="O503" s="81" t="inlineStr">
        <x:is>
          <x:t xml:space="preserve">Ancient Greek</x:t>
        </x:is>
      </x:c>
      <x:c r="P503" s="81" t="inlineStr">
        <x:is>
          <x:t xml:space="preserve">Trong những điều đang có, có phần thuộc quyền mình và có phần không thuộc quyền mình.</x:t>
        </x:is>
      </x:c>
      <x:c r="Q503" s="81" t="inlineStr">
        <x:is>
          <x:t xml:space="preserve">Epictetus (reported/compiled by Arrian for Discourses/Handbook tradition)</x:t>
        </x:is>
      </x:c>
      <x:c r="R503" s="81" t="inlineStr">
        <x:is>
          <x:t xml:space="preserve">Stoic / Greco-Roman</x:t>
        </x:is>
      </x:c>
      <x:c r="S503" s="81" t="inlineStr">
        <x:is>
          <x:t xml:space="preserve">Enchiridion / Discourses</x:t>
        </x:is>
      </x:c>
      <x:c r="T503" s="81" t="inlineStr">
        <x:is>
          <x:t xml:space="preserve">Enchiridion 1</x:t>
        </x:is>
      </x:c>
      <x:c r="U503" s="81" t="inlineStr">
        <x:is>
          <x:t xml:space="preserve">https://www.perseus.tufts.edu/hopper/text?doc=Perseus:text:1999.01.0235:text=enc</x:t>
        </x:is>
      </x:c>
      <x:c r="V503" s="81" t="inlineStr">
        <x:is>
          <x:t xml:space="preserve">Primary Greek edition / institutional corpus</x:t>
        </x:is>
      </x:c>
      <x:c r="W503" s="81" t="inlineStr">
        <x:is>
          <x:t xml:space="preserve">Working translation</x:t>
        </x:is>
      </x:c>
      <x:c r="X503" s="81" t="inlineStr">
        <x:is>
          <x:t xml:space="preserve">A - Primary source</x:t>
        </x:is>
      </x:c>
      <x:c r="Y503" s="81" t="inlineStr">
        <x:is>
          <x:t xml:space="preserve">Greek source anchors based on Perseus Schenkl edition (1916); Vietnamese is Selflo working translation, not a published translation.</x:t>
        </x:is>
      </x:c>
      <x:c r="Z503" s="81" t="inlineStr">
        <x:is>
          <x:t xml:space="preserve">Ancient work public domain; Perseus digital text has reuse terms</x:t>
        </x:is>
      </x:c>
      <x:c r="AA503" s="81" t="inlineStr">
        <x:is>
          <x:t xml:space="preserve">Use ancient Greek/source location and a fresh Selflo translation/adaptation; do not copy modern copyrighted translations.</x:t>
        </x:is>
      </x:c>
      <x:c r="AB503" s="81" t="inlineStr">
        <x:is>
          <x:t xml:space="preserve">High</x:t>
        </x:is>
      </x:c>
      <x:c r="AC503" s="81" t="inlineStr">
        <x:is>
          <x:t xml:space="preserve">Core Stoic distinction; không biến thành 'mọi cảm xúc đều do mình'.</x:t>
        </x:is>
      </x:c>
      <x:c r="AD503" s="81" t="inlineStr">
        <x:is>
          <x:t xml:space="preserve">Needs editorial review</x:t>
        </x:is>
      </x:c>
      <x:c r="AE503" s="81" t="inlineStr">
        <x:is>
          <x:t xml:space="preserve">Needs semantic dedupe review</x:t>
        </x:is>
      </x:c>
      <x:c r="AF503" s="81" t="str"/>
      <x:c r="AG503" s="81" t="str"/>
      <x:c r="AH503" s="81" t="inlineStr">
        <x:is>
          <x:t xml:space="preserve">No</x:t>
        </x:is>
      </x:c>
      <x:c r="AI503" s="81" t="inlineStr">
        <x:is>
          <x:t xml:space="preserve">Not reviewed</x:t>
        </x:is>
      </x:c>
      <x:c r="AJ503" s="81" t="inlineStr">
        <x:is>
          <x:t xml:space="preserve">Research only</x:t>
        </x:is>
      </x:c>
      <x:c r="AK503" s="81" t="inlineStr">
        <x:is>
          <x:t xml:space="preserve">Research Pool</x:t>
        </x:is>
      </x:c>
      <x:c r="AL503" s="81" t="n">
        <x:v>7</x:v>
      </x:c>
      <x:c r="AM503" s="81" t="inlineStr">
        <x:is>
          <x:t xml:space="preserve">ChatGPT research</x:t>
        </x:is>
      </x:c>
      <x:c r="AN503" s="81" t="inlineStr">
        <x:is>
          <x:t xml:space="preserve">2026-09-18</x:t>
        </x:is>
      </x:c>
      <x:c r="AO503" s="81" t="inlineStr">
        <x:is>
          <x:t xml:space="preserve">Day 7 full first-pass screening: all 53 Enchiridion chapters + all 4 surviving Discourses books; only Selflo-relevant candidates materialized.</x:t>
        </x:is>
      </x:c>
    </x:row>
    <x:row r="504">
      <x:c r="A504" s="81" t="inlineStr">
        <x:is>
          <x:t xml:space="preserve">research.epictetus.day7.enchiridion.1.002</x:t>
        </x:is>
      </x:c>
      <x:c r="B504" s="81" t="inlineStr">
        <x:is>
          <x:t xml:space="preserve">Collected</x:t>
        </x:is>
      </x:c>
      <x:c r="C504" s="81" t="inlineStr">
        <x:is>
          <x:t xml:space="preserve">Nội tâm &amp; hiểu mình</x:t>
        </x:is>
      </x:c>
      <x:c r="D504" s="81" t="inlineStr">
        <x:is>
          <x:t xml:space="preserve">Day 7 / Epictetus — Enchiridion + Discourses</x:t>
        </x:is>
      </x:c>
      <x:c r="E504" s="81" t="str"/>
      <x:c r="F504" s="81" t="str"/>
      <x:c r="G504" s="81" t="inlineStr">
        <x:is>
          <x:t xml:space="preserve">Agency</x:t>
        </x:is>
      </x:c>
      <x:c r="H504" s="81" t="str"/>
      <x:c r="I504" s="81" t="str"/>
      <x:c r="J504" s="81" t="str"/>
      <x:c r="K504" s="81" t="inlineStr">
        <x:is>
          <x:t xml:space="preserve">Recognize</x:t>
        </x:is>
      </x:c>
      <x:c r="L504" s="81" t="inlineStr">
        <x:is>
          <x:t xml:space="preserve">Distinguish</x:t>
        </x:is>
      </x:c>
      <x:c r="M504" s="81" t="inlineStr">
        <x:is>
          <x:t xml:space="preserve">Triết học / dialogue</x:t>
        </x:is>
      </x:c>
      <x:c r="N504" s="81" t="inlineStr">
        <x:is>
          <x:t xml:space="preserve">ἐφ᾽ ἡμῖν μὲν ὑπόληψις, ὁρμή, ὄρεξις, ἔκκλισις.</x:t>
        </x:is>
      </x:c>
      <x:c r="O504" s="81" t="inlineStr">
        <x:is>
          <x:t xml:space="preserve">Ancient Greek</x:t>
        </x:is>
      </x:c>
      <x:c r="P504" s="81" t="inlineStr">
        <x:is>
          <x:t xml:space="preserve">Nhận định, thôi thúc, mong muốn và né tránh là những phần Epictetus đặt gần phía mình có thể rèn luyện.</x:t>
        </x:is>
      </x:c>
      <x:c r="Q504" s="81" t="inlineStr">
        <x:is>
          <x:t xml:space="preserve">Epictetus (reported/compiled by Arrian for Discourses/Handbook tradition)</x:t>
        </x:is>
      </x:c>
      <x:c r="R504" s="81" t="inlineStr">
        <x:is>
          <x:t xml:space="preserve">Stoic / Greco-Roman</x:t>
        </x:is>
      </x:c>
      <x:c r="S504" s="81" t="inlineStr">
        <x:is>
          <x:t xml:space="preserve">Enchiridion / Discourses</x:t>
        </x:is>
      </x:c>
      <x:c r="T504" s="81" t="inlineStr">
        <x:is>
          <x:t xml:space="preserve">Enchiridion 1</x:t>
        </x:is>
      </x:c>
      <x:c r="U504" s="81" t="inlineStr">
        <x:is>
          <x:t xml:space="preserve">https://www.perseus.tufts.edu/hopper/text?doc=Perseus:text:1999.01.0235:text=enc</x:t>
        </x:is>
      </x:c>
      <x:c r="V504" s="81" t="inlineStr">
        <x:is>
          <x:t xml:space="preserve">Primary Greek edition / institutional corpus</x:t>
        </x:is>
      </x:c>
      <x:c r="W504" s="81" t="inlineStr">
        <x:is>
          <x:t xml:space="preserve">Working translation</x:t>
        </x:is>
      </x:c>
      <x:c r="X504" s="81" t="inlineStr">
        <x:is>
          <x:t xml:space="preserve">A - Primary source</x:t>
        </x:is>
      </x:c>
      <x:c r="Y504" s="81" t="inlineStr">
        <x:is>
          <x:t xml:space="preserve">Greek source anchors based on Perseus Schenkl edition (1916); Vietnamese is Selflo working translation, not a published translation.</x:t>
        </x:is>
      </x:c>
      <x:c r="Z504" s="81" t="inlineStr">
        <x:is>
          <x:t xml:space="preserve">Ancient work public domain; Perseus digital text has reuse terms</x:t>
        </x:is>
      </x:c>
      <x:c r="AA504" s="81" t="inlineStr">
        <x:is>
          <x:t xml:space="preserve">Use ancient Greek/source location and a fresh Selflo translation/adaptation; do not copy modern copyrighted translations.</x:t>
        </x:is>
      </x:c>
      <x:c r="AB504" s="81" t="inlineStr">
        <x:is>
          <x:t xml:space="preserve">High</x:t>
        </x:is>
      </x:c>
      <x:c r="AC504" s="81" t="inlineStr">
        <x:is>
          <x:t xml:space="preserve">Cần giải thích cổ nghĩa, không tuyệt đối hóa control.</x:t>
        </x:is>
      </x:c>
      <x:c r="AD504" s="81" t="inlineStr">
        <x:is>
          <x:t xml:space="preserve">Needs editorial review</x:t>
        </x:is>
      </x:c>
      <x:c r="AE504" s="81" t="inlineStr">
        <x:is>
          <x:t xml:space="preserve">Needs semantic dedupe review</x:t>
        </x:is>
      </x:c>
      <x:c r="AF504" s="81" t="str"/>
      <x:c r="AG504" s="81" t="str"/>
      <x:c r="AH504" s="81" t="inlineStr">
        <x:is>
          <x:t xml:space="preserve">No</x:t>
        </x:is>
      </x:c>
      <x:c r="AI504" s="81" t="inlineStr">
        <x:is>
          <x:t xml:space="preserve">Not reviewed</x:t>
        </x:is>
      </x:c>
      <x:c r="AJ504" s="81" t="inlineStr">
        <x:is>
          <x:t xml:space="preserve">Research only</x:t>
        </x:is>
      </x:c>
      <x:c r="AK504" s="81" t="inlineStr">
        <x:is>
          <x:t xml:space="preserve">Research Pool</x:t>
        </x:is>
      </x:c>
      <x:c r="AL504" s="81" t="n">
        <x:v>7</x:v>
      </x:c>
      <x:c r="AM504" s="81" t="inlineStr">
        <x:is>
          <x:t xml:space="preserve">ChatGPT research</x:t>
        </x:is>
      </x:c>
      <x:c r="AN504" s="81" t="inlineStr">
        <x:is>
          <x:t xml:space="preserve">2026-09-18</x:t>
        </x:is>
      </x:c>
      <x:c r="AO504" s="81" t="inlineStr">
        <x:is>
          <x:t xml:space="preserve">Day 7 full first-pass screening: all 53 Enchiridion chapters + all 4 surviving Discourses books; only Selflo-relevant candidates materialized.</x:t>
        </x:is>
      </x:c>
    </x:row>
    <x:row r="505">
      <x:c r="A505" s="81" t="inlineStr">
        <x:is>
          <x:t xml:space="preserve">research.epictetus.day7.enchiridion.1.003</x:t>
        </x:is>
      </x:c>
      <x:c r="B505" s="81" t="inlineStr">
        <x:is>
          <x:t xml:space="preserve">Collected</x:t>
        </x:is>
      </x:c>
      <x:c r="C505" s="81" t="inlineStr">
        <x:is>
          <x:t xml:space="preserve">Nội tâm &amp; hiểu mình</x:t>
        </x:is>
      </x:c>
      <x:c r="D505" s="81" t="inlineStr">
        <x:is>
          <x:t xml:space="preserve">Day 7 / Epictetus — Enchiridion + Discourses</x:t>
        </x:is>
      </x:c>
      <x:c r="E505" s="81" t="str"/>
      <x:c r="F505" s="81" t="str"/>
      <x:c r="G505" s="81" t="inlineStr">
        <x:is>
          <x:t xml:space="preserve">Control</x:t>
        </x:is>
      </x:c>
      <x:c r="H505" s="81" t="str"/>
      <x:c r="I505" s="81" t="str"/>
      <x:c r="J505" s="81" t="str"/>
      <x:c r="K505" s="81" t="inlineStr">
        <x:is>
          <x:t xml:space="preserve">Recognize</x:t>
        </x:is>
      </x:c>
      <x:c r="L505" s="81" t="inlineStr">
        <x:is>
          <x:t xml:space="preserve">Distinguish</x:t>
        </x:is>
      </x:c>
      <x:c r="M505" s="81" t="inlineStr">
        <x:is>
          <x:t xml:space="preserve">Triết học / dialogue</x:t>
        </x:is>
      </x:c>
      <x:c r="N505" s="81" t="inlineStr">
        <x:is>
          <x:t xml:space="preserve">οὐκ ἐφ᾽ ἡμῖν δὲ τὸ σῶμα, ἡ κτῆσις, δόξαι, ἀρχαί.</x:t>
        </x:is>
      </x:c>
      <x:c r="O505" s="81" t="inlineStr">
        <x:is>
          <x:t xml:space="preserve">Ancient Greek</x:t>
        </x:is>
      </x:c>
      <x:c r="P505" s="81" t="inlineStr">
        <x:is>
          <x:t xml:space="preserve">Thân thể, tài sản, danh tiếng và chức vị không hoàn toàn nằm trong quyền mình.</x:t>
        </x:is>
      </x:c>
      <x:c r="Q505" s="81" t="inlineStr">
        <x:is>
          <x:t xml:space="preserve">Epictetus (reported/compiled by Arrian for Discourses/Handbook tradition)</x:t>
        </x:is>
      </x:c>
      <x:c r="R505" s="81" t="inlineStr">
        <x:is>
          <x:t xml:space="preserve">Stoic / Greco-Roman</x:t>
        </x:is>
      </x:c>
      <x:c r="S505" s="81" t="inlineStr">
        <x:is>
          <x:t xml:space="preserve">Enchiridion / Discourses</x:t>
        </x:is>
      </x:c>
      <x:c r="T505" s="81" t="inlineStr">
        <x:is>
          <x:t xml:space="preserve">Enchiridion 1</x:t>
        </x:is>
      </x:c>
      <x:c r="U505" s="81" t="inlineStr">
        <x:is>
          <x:t xml:space="preserve">https://www.perseus.tufts.edu/hopper/text?doc=Perseus:text:1999.01.0235:text=enc</x:t>
        </x:is>
      </x:c>
      <x:c r="V505" s="81" t="inlineStr">
        <x:is>
          <x:t xml:space="preserve">Primary Greek edition / institutional corpus</x:t>
        </x:is>
      </x:c>
      <x:c r="W505" s="81" t="inlineStr">
        <x:is>
          <x:t xml:space="preserve">Working translation</x:t>
        </x:is>
      </x:c>
      <x:c r="X505" s="81" t="inlineStr">
        <x:is>
          <x:t xml:space="preserve">A - Primary source</x:t>
        </x:is>
      </x:c>
      <x:c r="Y505" s="81" t="inlineStr">
        <x:is>
          <x:t xml:space="preserve">Greek source anchors based on Perseus Schenkl edition (1916); Vietnamese is Selflo working translation, not a published translation.</x:t>
        </x:is>
      </x:c>
      <x:c r="Z505" s="81" t="inlineStr">
        <x:is>
          <x:t xml:space="preserve">Ancient work public domain; Perseus digital text has reuse terms</x:t>
        </x:is>
      </x:c>
      <x:c r="AA505" s="81" t="inlineStr">
        <x:is>
          <x:t xml:space="preserve">Use ancient Greek/source location and a fresh Selflo translation/adaptation; do not copy modern copyrighted translations.</x:t>
        </x:is>
      </x:c>
      <x:c r="AB505" s="81" t="inlineStr">
        <x:is>
          <x:t xml:space="preserve">High</x:t>
        </x:is>
      </x:c>
      <x:c r="AC505" s="81" t="inlineStr">
        <x:is>
          <x:t xml:space="preserve">Không dùng để phủ nhận chăm sóc sức khỏe/tài chính.</x:t>
        </x:is>
      </x:c>
      <x:c r="AD505" s="81" t="inlineStr">
        <x:is>
          <x:t xml:space="preserve">Needs editorial review</x:t>
        </x:is>
      </x:c>
      <x:c r="AE505" s="81" t="inlineStr">
        <x:is>
          <x:t xml:space="preserve">Needs semantic dedupe review</x:t>
        </x:is>
      </x:c>
      <x:c r="AF505" s="81" t="str"/>
      <x:c r="AG505" s="81" t="str"/>
      <x:c r="AH505" s="81" t="inlineStr">
        <x:is>
          <x:t xml:space="preserve">No</x:t>
        </x:is>
      </x:c>
      <x:c r="AI505" s="81" t="inlineStr">
        <x:is>
          <x:t xml:space="preserve">Not reviewed</x:t>
        </x:is>
      </x:c>
      <x:c r="AJ505" s="81" t="inlineStr">
        <x:is>
          <x:t xml:space="preserve">Research only</x:t>
        </x:is>
      </x:c>
      <x:c r="AK505" s="81" t="inlineStr">
        <x:is>
          <x:t xml:space="preserve">Research Pool</x:t>
        </x:is>
      </x:c>
      <x:c r="AL505" s="81" t="n">
        <x:v>7</x:v>
      </x:c>
      <x:c r="AM505" s="81" t="inlineStr">
        <x:is>
          <x:t xml:space="preserve">ChatGPT research</x:t>
        </x:is>
      </x:c>
      <x:c r="AN505" s="81" t="inlineStr">
        <x:is>
          <x:t xml:space="preserve">2026-09-18</x:t>
        </x:is>
      </x:c>
      <x:c r="AO505" s="81" t="inlineStr">
        <x:is>
          <x:t xml:space="preserve">Day 7 full first-pass screening: all 53 Enchiridion chapters + all 4 surviving Discourses books; only Selflo-relevant candidates materialized.</x:t>
        </x:is>
      </x:c>
    </x:row>
    <x:row r="506">
      <x:c r="A506" s="81" t="inlineStr">
        <x:is>
          <x:t xml:space="preserve">research.epictetus.day7.enchiridion.1.004</x:t>
        </x:is>
      </x:c>
      <x:c r="B506" s="81" t="inlineStr">
        <x:is>
          <x:t xml:space="preserve">Collected</x:t>
        </x:is>
      </x:c>
      <x:c r="C506" s="81" t="inlineStr">
        <x:is>
          <x:t xml:space="preserve">Nội tâm &amp; hiểu mình</x:t>
        </x:is>
      </x:c>
      <x:c r="D506" s="81" t="inlineStr">
        <x:is>
          <x:t xml:space="preserve">Day 7 / Epictetus — Enchiridion + Discourses</x:t>
        </x:is>
      </x:c>
      <x:c r="E506" s="81" t="str"/>
      <x:c r="F506" s="81" t="str"/>
      <x:c r="G506" s="81" t="inlineStr">
        <x:is>
          <x:t xml:space="preserve">Control</x:t>
        </x:is>
      </x:c>
      <x:c r="H506" s="81" t="str"/>
      <x:c r="I506" s="81" t="str"/>
      <x:c r="J506" s="81" t="str"/>
      <x:c r="K506" s="81" t="inlineStr">
        <x:is>
          <x:t xml:space="preserve">Reframe</x:t>
        </x:is>
      </x:c>
      <x:c r="L506" s="81" t="inlineStr">
        <x:is>
          <x:t xml:space="preserve">Recognize</x:t>
        </x:is>
      </x:c>
      <x:c r="M506" s="81" t="inlineStr">
        <x:is>
          <x:t xml:space="preserve">Triết học / dialogue</x:t>
        </x:is>
      </x:c>
      <x:c r="N506" s="81" t="inlineStr">
        <x:is>
          <x:t xml:space="preserve">μέμνησο οὖν, ὅτι ἐὰν τὰ φύσει δοῦλα ἐλεύθερα οἰηθῇς... ταραχθήσῃ.</x:t>
        </x:is>
      </x:c>
      <x:c r="O506" s="81" t="inlineStr">
        <x:is>
          <x:t xml:space="preserve">Ancient Greek</x:t>
        </x:is>
      </x:c>
      <x:c r="P506" s="81" t="inlineStr">
        <x:is>
          <x:t xml:space="preserve">Nếu xem thứ vốn không hoàn toàn do mình là thứ mình phải kiểm soát được, ta dễ rơi vào xáo trộn.</x:t>
        </x:is>
      </x:c>
      <x:c r="Q506" s="81" t="inlineStr">
        <x:is>
          <x:t xml:space="preserve">Epictetus (reported/compiled by Arrian for Discourses/Handbook tradition)</x:t>
        </x:is>
      </x:c>
      <x:c r="R506" s="81" t="inlineStr">
        <x:is>
          <x:t xml:space="preserve">Stoic / Greco-Roman</x:t>
        </x:is>
      </x:c>
      <x:c r="S506" s="81" t="inlineStr">
        <x:is>
          <x:t xml:space="preserve">Enchiridion / Discourses</x:t>
        </x:is>
      </x:c>
      <x:c r="T506" s="81" t="inlineStr">
        <x:is>
          <x:t xml:space="preserve">Enchiridion 1</x:t>
        </x:is>
      </x:c>
      <x:c r="U506" s="81" t="inlineStr">
        <x:is>
          <x:t xml:space="preserve">https://www.perseus.tufts.edu/hopper/text?doc=Perseus:text:1999.01.0235:text=enc</x:t>
        </x:is>
      </x:c>
      <x:c r="V506" s="81" t="inlineStr">
        <x:is>
          <x:t xml:space="preserve">Primary Greek edition / institutional corpus</x:t>
        </x:is>
      </x:c>
      <x:c r="W506" s="81" t="inlineStr">
        <x:is>
          <x:t xml:space="preserve">Working translation</x:t>
        </x:is>
      </x:c>
      <x:c r="X506" s="81" t="inlineStr">
        <x:is>
          <x:t xml:space="preserve">A - Primary source</x:t>
        </x:is>
      </x:c>
      <x:c r="Y506" s="81" t="inlineStr">
        <x:is>
          <x:t xml:space="preserve">Greek source anchors based on Perseus Schenkl edition (1916); Vietnamese is Selflo working translation, not a published translation.</x:t>
        </x:is>
      </x:c>
      <x:c r="Z506" s="81" t="inlineStr">
        <x:is>
          <x:t xml:space="preserve">Ancient work public domain; Perseus digital text has reuse terms</x:t>
        </x:is>
      </x:c>
      <x:c r="AA506" s="81" t="inlineStr">
        <x:is>
          <x:t xml:space="preserve">Use ancient Greek/source location and a fresh Selflo translation/adaptation; do not copy modern copyrighted translations.</x:t>
        </x:is>
      </x:c>
      <x:c r="AB506" s="81" t="inlineStr">
        <x:is>
          <x:t xml:space="preserve">High</x:t>
        </x:is>
      </x:c>
      <x:c r="AC506" s="81" t="inlineStr">
        <x:is>
          <x:t xml:space="preserve">Strong for work pressure.</x:t>
        </x:is>
      </x:c>
      <x:c r="AD506" s="81" t="inlineStr">
        <x:is>
          <x:t xml:space="preserve">Needs editorial review</x:t>
        </x:is>
      </x:c>
      <x:c r="AE506" s="81" t="inlineStr">
        <x:is>
          <x:t xml:space="preserve">Needs semantic dedupe review</x:t>
        </x:is>
      </x:c>
      <x:c r="AF506" s="81" t="str"/>
      <x:c r="AG506" s="81" t="str"/>
      <x:c r="AH506" s="81" t="inlineStr">
        <x:is>
          <x:t xml:space="preserve">No</x:t>
        </x:is>
      </x:c>
      <x:c r="AI506" s="81" t="inlineStr">
        <x:is>
          <x:t xml:space="preserve">Not reviewed</x:t>
        </x:is>
      </x:c>
      <x:c r="AJ506" s="81" t="inlineStr">
        <x:is>
          <x:t xml:space="preserve">Research only</x:t>
        </x:is>
      </x:c>
      <x:c r="AK506" s="81" t="inlineStr">
        <x:is>
          <x:t xml:space="preserve">Research Pool</x:t>
        </x:is>
      </x:c>
      <x:c r="AL506" s="81" t="n">
        <x:v>7</x:v>
      </x:c>
      <x:c r="AM506" s="81" t="inlineStr">
        <x:is>
          <x:t xml:space="preserve">ChatGPT research</x:t>
        </x:is>
      </x:c>
      <x:c r="AN506" s="81" t="inlineStr">
        <x:is>
          <x:t xml:space="preserve">2026-09-18</x:t>
        </x:is>
      </x:c>
      <x:c r="AO506" s="81" t="inlineStr">
        <x:is>
          <x:t xml:space="preserve">Day 7 full first-pass screening: all 53 Enchiridion chapters + all 4 surviving Discourses books; only Selflo-relevant candidates materialized.</x:t>
        </x:is>
      </x:c>
    </x:row>
    <x:row r="507">
      <x:c r="A507" s="81" t="inlineStr">
        <x:is>
          <x:t xml:space="preserve">research.epictetus.day7.enchiridion.2.005</x:t>
        </x:is>
      </x:c>
      <x:c r="B507" s="81" t="inlineStr">
        <x:is>
          <x:t xml:space="preserve">Collected</x:t>
        </x:is>
      </x:c>
      <x:c r="C507" s="81" t="inlineStr">
        <x:is>
          <x:t xml:space="preserve">Nội tâm &amp; hiểu mình</x:t>
        </x:is>
      </x:c>
      <x:c r="D507" s="81" t="inlineStr">
        <x:is>
          <x:t xml:space="preserve">Day 7 / Epictetus — Enchiridion + Discourses</x:t>
        </x:is>
      </x:c>
      <x:c r="E507" s="81" t="str"/>
      <x:c r="F507" s="81" t="str"/>
      <x:c r="G507" s="81" t="inlineStr">
        <x:is>
          <x:t xml:space="preserve">Desire</x:t>
        </x:is>
      </x:c>
      <x:c r="H507" s="81" t="str"/>
      <x:c r="I507" s="81" t="str"/>
      <x:c r="J507" s="81" t="str"/>
      <x:c r="K507" s="81" t="inlineStr">
        <x:is>
          <x:t xml:space="preserve">Recognize</x:t>
        </x:is>
      </x:c>
      <x:c r="L507" s="81" t="inlineStr">
        <x:is>
          <x:t xml:space="preserve">Distinguish</x:t>
        </x:is>
      </x:c>
      <x:c r="M507" s="81" t="inlineStr">
        <x:is>
          <x:t xml:space="preserve">Triết học / dialogue</x:t>
        </x:is>
      </x:c>
      <x:c r="N507" s="81" t="inlineStr">
        <x:is>
          <x:t xml:space="preserve">ὄρεξις ἐπαγγελία ἐστὶν ἐπιτυχίας οὗ ὀρέγῃ.</x:t>
        </x:is>
      </x:c>
      <x:c r="O507" s="81" t="inlineStr">
        <x:is>
          <x:t xml:space="preserve">Ancient Greek</x:t>
        </x:is>
      </x:c>
      <x:c r="P507" s="81" t="inlineStr">
        <x:is>
          <x:t xml:space="preserve">Mong muốn thường mang theo một lời hứa ngầm rằng mình phải đạt được điều mình muốn.</x:t>
        </x:is>
      </x:c>
      <x:c r="Q507" s="81" t="inlineStr">
        <x:is>
          <x:t xml:space="preserve">Epictetus (reported/compiled by Arrian for Discourses/Handbook tradition)</x:t>
        </x:is>
      </x:c>
      <x:c r="R507" s="81" t="inlineStr">
        <x:is>
          <x:t xml:space="preserve">Stoic / Greco-Roman</x:t>
        </x:is>
      </x:c>
      <x:c r="S507" s="81" t="inlineStr">
        <x:is>
          <x:t xml:space="preserve">Enchiridion / Discourses</x:t>
        </x:is>
      </x:c>
      <x:c r="T507" s="81" t="inlineStr">
        <x:is>
          <x:t xml:space="preserve">Enchiridion 2</x:t>
        </x:is>
      </x:c>
      <x:c r="U507" s="81" t="inlineStr">
        <x:is>
          <x:t xml:space="preserve">https://www.perseus.tufts.edu/hopper/text?doc=Perseus:text:1999.01.0235:text=enc</x:t>
        </x:is>
      </x:c>
      <x:c r="V507" s="81" t="inlineStr">
        <x:is>
          <x:t xml:space="preserve">Primary Greek edition / institutional corpus</x:t>
        </x:is>
      </x:c>
      <x:c r="W507" s="81" t="inlineStr">
        <x:is>
          <x:t xml:space="preserve">Working translation</x:t>
        </x:is>
      </x:c>
      <x:c r="X507" s="81" t="inlineStr">
        <x:is>
          <x:t xml:space="preserve">A - Primary source</x:t>
        </x:is>
      </x:c>
      <x:c r="Y507" s="81" t="inlineStr">
        <x:is>
          <x:t xml:space="preserve">Greek source anchors based on Perseus Schenkl edition (1916); Vietnamese is Selflo working translation, not a published translation.</x:t>
        </x:is>
      </x:c>
      <x:c r="Z507" s="81" t="inlineStr">
        <x:is>
          <x:t xml:space="preserve">Ancient work public domain; Perseus digital text has reuse terms</x:t>
        </x:is>
      </x:c>
      <x:c r="AA507" s="81" t="inlineStr">
        <x:is>
          <x:t xml:space="preserve">Use ancient Greek/source location and a fresh Selflo translation/adaptation; do not copy modern copyrighted translations.</x:t>
        </x:is>
      </x:c>
      <x:c r="AB507" s="81" t="inlineStr">
        <x:is>
          <x:t xml:space="preserve">High</x:t>
        </x:is>
      </x:c>
      <x:c r="AC507" s="81" t="inlineStr">
        <x:is>
          <x:t xml:space="preserve">Useful for expectation.</x:t>
        </x:is>
      </x:c>
      <x:c r="AD507" s="81" t="inlineStr">
        <x:is>
          <x:t xml:space="preserve">Needs editorial review</x:t>
        </x:is>
      </x:c>
      <x:c r="AE507" s="81" t="inlineStr">
        <x:is>
          <x:t xml:space="preserve">Needs semantic dedupe review</x:t>
        </x:is>
      </x:c>
      <x:c r="AF507" s="81" t="str"/>
      <x:c r="AG507" s="81" t="str"/>
      <x:c r="AH507" s="81" t="inlineStr">
        <x:is>
          <x:t xml:space="preserve">No</x:t>
        </x:is>
      </x:c>
      <x:c r="AI507" s="81" t="inlineStr">
        <x:is>
          <x:t xml:space="preserve">Not reviewed</x:t>
        </x:is>
      </x:c>
      <x:c r="AJ507" s="81" t="inlineStr">
        <x:is>
          <x:t xml:space="preserve">Research only</x:t>
        </x:is>
      </x:c>
      <x:c r="AK507" s="81" t="inlineStr">
        <x:is>
          <x:t xml:space="preserve">Research Pool</x:t>
        </x:is>
      </x:c>
      <x:c r="AL507" s="81" t="n">
        <x:v>7</x:v>
      </x:c>
      <x:c r="AM507" s="81" t="inlineStr">
        <x:is>
          <x:t xml:space="preserve">ChatGPT research</x:t>
        </x:is>
      </x:c>
      <x:c r="AN507" s="81" t="inlineStr">
        <x:is>
          <x:t xml:space="preserve">2026-09-18</x:t>
        </x:is>
      </x:c>
      <x:c r="AO507" s="81" t="inlineStr">
        <x:is>
          <x:t xml:space="preserve">Day 7 full first-pass screening: all 53 Enchiridion chapters + all 4 surviving Discourses books; only Selflo-relevant candidates materialized.</x:t>
        </x:is>
      </x:c>
    </x:row>
    <x:row r="508">
      <x:c r="A508" s="81" t="inlineStr">
        <x:is>
          <x:t xml:space="preserve">research.epictetus.day7.enchiridion.3.006</x:t>
        </x:is>
      </x:c>
      <x:c r="B508" s="81" t="inlineStr">
        <x:is>
          <x:t xml:space="preserve">Collected</x:t>
        </x:is>
      </x:c>
      <x:c r="C508" s="81" t="inlineStr">
        <x:is>
          <x:t xml:space="preserve">AI &amp; tương lai</x:t>
        </x:is>
      </x:c>
      <x:c r="D508" s="81" t="inlineStr">
        <x:is>
          <x:t xml:space="preserve">Day 7 / Epictetus — Enchiridion + Discourses</x:t>
        </x:is>
      </x:c>
      <x:c r="E508" s="81" t="str"/>
      <x:c r="F508" s="81" t="str"/>
      <x:c r="G508" s="81" t="inlineStr">
        <x:is>
          <x:t xml:space="preserve">Judgment</x:t>
        </x:is>
      </x:c>
      <x:c r="H508" s="81" t="str"/>
      <x:c r="I508" s="81" t="str"/>
      <x:c r="J508" s="81" t="str"/>
      <x:c r="K508" s="81" t="inlineStr">
        <x:is>
          <x:t xml:space="preserve">Recognize</x:t>
        </x:is>
      </x:c>
      <x:c r="L508" s="81" t="inlineStr">
        <x:is>
          <x:t xml:space="preserve">Distinguish</x:t>
        </x:is>
      </x:c>
      <x:c r="M508" s="81" t="inlineStr">
        <x:is>
          <x:t xml:space="preserve">Triết học / dialogue</x:t>
        </x:is>
      </x:c>
      <x:c r="N508" s="81" t="inlineStr">
        <x:is>
          <x:t xml:space="preserve">ἐφ᾽ ἑκάστου τῶν ψυχαγωγούντων... ὁποῖόν ἐστιν λέγειν.</x:t>
        </x:is>
      </x:c>
      <x:c r="O508" s="81" t="inlineStr">
        <x:is>
          <x:t xml:space="preserve">Ancient Greek</x:t>
        </x:is>
      </x:c>
      <x:c r="P508" s="81" t="inlineStr">
        <x:is>
          <x:t xml:space="preserve">Trước điều hấp dẫn hay thân thuộc, hãy nhớ nó thực sự là loại điều gì.</x:t>
        </x:is>
      </x:c>
      <x:c r="Q508" s="81" t="inlineStr">
        <x:is>
          <x:t xml:space="preserve">Epictetus (reported/compiled by Arrian for Discourses/Handbook tradition)</x:t>
        </x:is>
      </x:c>
      <x:c r="R508" s="81" t="inlineStr">
        <x:is>
          <x:t xml:space="preserve">Stoic / Greco-Roman</x:t>
        </x:is>
      </x:c>
      <x:c r="S508" s="81" t="inlineStr">
        <x:is>
          <x:t xml:space="preserve">Enchiridion / Discourses</x:t>
        </x:is>
      </x:c>
      <x:c r="T508" s="81" t="inlineStr">
        <x:is>
          <x:t xml:space="preserve">Enchiridion 3</x:t>
        </x:is>
      </x:c>
      <x:c r="U508" s="81" t="inlineStr">
        <x:is>
          <x:t xml:space="preserve">https://www.perseus.tufts.edu/hopper/text?doc=Perseus:text:1999.01.0235:text=enc</x:t>
        </x:is>
      </x:c>
      <x:c r="V508" s="81" t="inlineStr">
        <x:is>
          <x:t xml:space="preserve">Primary Greek edition / institutional corpus</x:t>
        </x:is>
      </x:c>
      <x:c r="W508" s="81" t="inlineStr">
        <x:is>
          <x:t xml:space="preserve">Working translation</x:t>
        </x:is>
      </x:c>
      <x:c r="X508" s="81" t="inlineStr">
        <x:is>
          <x:t xml:space="preserve">A - Primary source</x:t>
        </x:is>
      </x:c>
      <x:c r="Y508" s="81" t="inlineStr">
        <x:is>
          <x:t xml:space="preserve">Greek source anchors based on Perseus Schenkl edition (1916); Vietnamese is Selflo working translation, not a published translation.</x:t>
        </x:is>
      </x:c>
      <x:c r="Z508" s="81" t="inlineStr">
        <x:is>
          <x:t xml:space="preserve">Ancient work public domain; Perseus digital text has reuse terms</x:t>
        </x:is>
      </x:c>
      <x:c r="AA508" s="81" t="inlineStr">
        <x:is>
          <x:t xml:space="preserve">Use ancient Greek/source location and a fresh Selflo translation/adaptation; do not copy modern copyrighted translations.</x:t>
        </x:is>
      </x:c>
      <x:c r="AB508" s="81" t="inlineStr">
        <x:is>
          <x:t xml:space="preserve">Medium</x:t>
        </x:is>
      </x:c>
      <x:c r="AC508" s="81" t="inlineStr">
        <x:is>
          <x:t xml:space="preserve">Some examples are death-sensitive.</x:t>
        </x:is>
      </x:c>
      <x:c r="AD508" s="81" t="inlineStr">
        <x:is>
          <x:t xml:space="preserve">Needs editorial review</x:t>
        </x:is>
      </x:c>
      <x:c r="AE508" s="81" t="inlineStr">
        <x:is>
          <x:t xml:space="preserve">Needs semantic dedupe review</x:t>
        </x:is>
      </x:c>
      <x:c r="AF508" s="81" t="str"/>
      <x:c r="AG508" s="81" t="str"/>
      <x:c r="AH508" s="81" t="inlineStr">
        <x:is>
          <x:t xml:space="preserve">No</x:t>
        </x:is>
      </x:c>
      <x:c r="AI508" s="81" t="inlineStr">
        <x:is>
          <x:t xml:space="preserve">Not reviewed</x:t>
        </x:is>
      </x:c>
      <x:c r="AJ508" s="81" t="inlineStr">
        <x:is>
          <x:t xml:space="preserve">Research only</x:t>
        </x:is>
      </x:c>
      <x:c r="AK508" s="81" t="inlineStr">
        <x:is>
          <x:t xml:space="preserve">Research Pool</x:t>
        </x:is>
      </x:c>
      <x:c r="AL508" s="81" t="n">
        <x:v>7</x:v>
      </x:c>
      <x:c r="AM508" s="81" t="inlineStr">
        <x:is>
          <x:t xml:space="preserve">ChatGPT research</x:t>
        </x:is>
      </x:c>
      <x:c r="AN508" s="81" t="inlineStr">
        <x:is>
          <x:t xml:space="preserve">2026-09-18</x:t>
        </x:is>
      </x:c>
      <x:c r="AO508" s="81" t="inlineStr">
        <x:is>
          <x:t xml:space="preserve">Day 7 full first-pass screening: all 53 Enchiridion chapters + all 4 surviving Discourses books; only Selflo-relevant candidates materialized.</x:t>
        </x:is>
      </x:c>
    </x:row>
    <x:row r="509">
      <x:c r="A509" s="81" t="inlineStr">
        <x:is>
          <x:t xml:space="preserve">research.epictetus.day7.enchiridion.4.007</x:t>
        </x:is>
      </x:c>
      <x:c r="B509" s="81" t="inlineStr">
        <x:is>
          <x:t xml:space="preserve">Collected</x:t>
        </x:is>
      </x:c>
      <x:c r="C509" s="81" t="inlineStr">
        <x:is>
          <x:t xml:space="preserve">Công việc &amp; mục đích</x:t>
        </x:is>
      </x:c>
      <x:c r="D509" s="81" t="inlineStr">
        <x:is>
          <x:t xml:space="preserve">Day 7 / Epictetus — Enchiridion + Discourses</x:t>
        </x:is>
      </x:c>
      <x:c r="E509" s="81" t="str"/>
      <x:c r="F509" s="81" t="str"/>
      <x:c r="G509" s="81" t="inlineStr">
        <x:is>
          <x:t xml:space="preserve">Preparation</x:t>
        </x:is>
      </x:c>
      <x:c r="H509" s="81" t="str"/>
      <x:c r="I509" s="81" t="str"/>
      <x:c r="J509" s="81" t="str"/>
      <x:c r="K509" s="81" t="inlineStr">
        <x:is>
          <x:t xml:space="preserve">Recognize</x:t>
        </x:is>
      </x:c>
      <x:c r="L509" s="81" t="inlineStr">
        <x:is>
          <x:t xml:space="preserve">Distinguish</x:t>
        </x:is>
      </x:c>
      <x:c r="M509" s="81" t="inlineStr">
        <x:is>
          <x:t xml:space="preserve">Triết học / dialogue</x:t>
        </x:is>
      </x:c>
      <x:c r="N509" s="81" t="inlineStr">
        <x:is>
          <x:t xml:space="preserve">ἐπὶ παντὸς ἔργου σκόπει τὰ προηγούμενα καὶ τὰ ἑπόμενα.</x:t>
        </x:is>
      </x:c>
      <x:c r="O509" s="81" t="inlineStr">
        <x:is>
          <x:t xml:space="preserve">Ancient Greek</x:t>
        </x:is>
      </x:c>
      <x:c r="P509" s="81" t="inlineStr">
        <x:is>
          <x:t xml:space="preserve">Trước một việc, nhìn cả điều đi trước lẫn điều có thể theo sau.</x:t>
        </x:is>
      </x:c>
      <x:c r="Q509" s="81" t="inlineStr">
        <x:is>
          <x:t xml:space="preserve">Epictetus (reported/compiled by Arrian for Discourses/Handbook tradition)</x:t>
        </x:is>
      </x:c>
      <x:c r="R509" s="81" t="inlineStr">
        <x:is>
          <x:t xml:space="preserve">Stoic / Greco-Roman</x:t>
        </x:is>
      </x:c>
      <x:c r="S509" s="81" t="inlineStr">
        <x:is>
          <x:t xml:space="preserve">Enchiridion / Discourses</x:t>
        </x:is>
      </x:c>
      <x:c r="T509" s="81" t="inlineStr">
        <x:is>
          <x:t xml:space="preserve">Enchiridion 4</x:t>
        </x:is>
      </x:c>
      <x:c r="U509" s="81" t="inlineStr">
        <x:is>
          <x:t xml:space="preserve">https://www.perseus.tufts.edu/hopper/text?doc=Perseus:text:1999.01.0235:text=enc</x:t>
        </x:is>
      </x:c>
      <x:c r="V509" s="81" t="inlineStr">
        <x:is>
          <x:t xml:space="preserve">Primary Greek edition / institutional corpus</x:t>
        </x:is>
      </x:c>
      <x:c r="W509" s="81" t="inlineStr">
        <x:is>
          <x:t xml:space="preserve">Working translation</x:t>
        </x:is>
      </x:c>
      <x:c r="X509" s="81" t="inlineStr">
        <x:is>
          <x:t xml:space="preserve">A - Primary source</x:t>
        </x:is>
      </x:c>
      <x:c r="Y509" s="81" t="inlineStr">
        <x:is>
          <x:t xml:space="preserve">Greek source anchors based on Perseus Schenkl edition (1916); Vietnamese is Selflo working translation, not a published translation.</x:t>
        </x:is>
      </x:c>
      <x:c r="Z509" s="81" t="inlineStr">
        <x:is>
          <x:t xml:space="preserve">Ancient work public domain; Perseus digital text has reuse terms</x:t>
        </x:is>
      </x:c>
      <x:c r="AA509" s="81" t="inlineStr">
        <x:is>
          <x:t xml:space="preserve">Use ancient Greek/source location and a fresh Selflo translation/adaptation; do not copy modern copyrighted translations.</x:t>
        </x:is>
      </x:c>
      <x:c r="AB509" s="81" t="inlineStr">
        <x:is>
          <x:t xml:space="preserve">High</x:t>
        </x:is>
      </x:c>
      <x:c r="AC509" s="81" t="inlineStr">
        <x:is>
          <x:t xml:space="preserve">Bath example supports expectation-setting.</x:t>
        </x:is>
      </x:c>
      <x:c r="AD509" s="81" t="inlineStr">
        <x:is>
          <x:t xml:space="preserve">Needs editorial review</x:t>
        </x:is>
      </x:c>
      <x:c r="AE509" s="81" t="inlineStr">
        <x:is>
          <x:t xml:space="preserve">Needs semantic dedupe review</x:t>
        </x:is>
      </x:c>
      <x:c r="AF509" s="81" t="str"/>
      <x:c r="AG509" s="81" t="str"/>
      <x:c r="AH509" s="81" t="inlineStr">
        <x:is>
          <x:t xml:space="preserve">No</x:t>
        </x:is>
      </x:c>
      <x:c r="AI509" s="81" t="inlineStr">
        <x:is>
          <x:t xml:space="preserve">Not reviewed</x:t>
        </x:is>
      </x:c>
      <x:c r="AJ509" s="81" t="inlineStr">
        <x:is>
          <x:t xml:space="preserve">Research only</x:t>
        </x:is>
      </x:c>
      <x:c r="AK509" s="81" t="inlineStr">
        <x:is>
          <x:t xml:space="preserve">Research Pool</x:t>
        </x:is>
      </x:c>
      <x:c r="AL509" s="81" t="n">
        <x:v>7</x:v>
      </x:c>
      <x:c r="AM509" s="81" t="inlineStr">
        <x:is>
          <x:t xml:space="preserve">ChatGPT research</x:t>
        </x:is>
      </x:c>
      <x:c r="AN509" s="81" t="inlineStr">
        <x:is>
          <x:t xml:space="preserve">2026-09-18</x:t>
        </x:is>
      </x:c>
      <x:c r="AO509" s="81" t="inlineStr">
        <x:is>
          <x:t xml:space="preserve">Day 7 full first-pass screening: all 53 Enchiridion chapters + all 4 surviving Discourses books; only Selflo-relevant candidates materialized.</x:t>
        </x:is>
      </x:c>
    </x:row>
    <x:row r="510">
      <x:c r="A510" s="81" t="inlineStr">
        <x:is>
          <x:t xml:space="preserve">research.epictetus.day7.enchiridion.5.008</x:t>
        </x:is>
      </x:c>
      <x:c r="B510" s="81" t="inlineStr">
        <x:is>
          <x:t xml:space="preserve">Collected</x:t>
        </x:is>
      </x:c>
      <x:c r="C510" s="81" t="inlineStr">
        <x:is>
          <x:t xml:space="preserve">AI &amp; tương lai</x:t>
        </x:is>
      </x:c>
      <x:c r="D510" s="81" t="inlineStr">
        <x:is>
          <x:t xml:space="preserve">Day 7 / Epictetus — Enchiridion + Discourses</x:t>
        </x:is>
      </x:c>
      <x:c r="E510" s="81" t="str"/>
      <x:c r="F510" s="81" t="str"/>
      <x:c r="G510" s="81" t="inlineStr">
        <x:is>
          <x:t xml:space="preserve">Judgment</x:t>
        </x:is>
      </x:c>
      <x:c r="H510" s="81" t="str"/>
      <x:c r="I510" s="81" t="str"/>
      <x:c r="J510" s="81" t="str"/>
      <x:c r="K510" s="81" t="inlineStr">
        <x:is>
          <x:t xml:space="preserve">Distinguish</x:t>
        </x:is>
      </x:c>
      <x:c r="L510" s="81" t="inlineStr">
        <x:is>
          <x:t xml:space="preserve">Recognize</x:t>
        </x:is>
      </x:c>
      <x:c r="M510" s="81" t="inlineStr">
        <x:is>
          <x:t xml:space="preserve">Triết học / dialogue</x:t>
        </x:is>
      </x:c>
      <x:c r="N510" s="81" t="inlineStr">
        <x:is>
          <x:t xml:space="preserve">ταράσσει τοὺς ἀνθρώπους οὐ τὰ πράγματα, ἀλλὰ τὰ περὶ τῶν πραγμάτων δόγματα.</x:t>
        </x:is>
      </x:c>
      <x:c r="O510" s="81" t="inlineStr">
        <x:is>
          <x:t xml:space="preserve">Ancient Greek</x:t>
        </x:is>
      </x:c>
      <x:c r="P510" s="81" t="inlineStr">
        <x:is>
          <x:t xml:space="preserve">Con người không chỉ bị lay động bởi sự việc, mà còn bởi cách mình đang hiểu sự việc ấy.</x:t>
        </x:is>
      </x:c>
      <x:c r="Q510" s="81" t="inlineStr">
        <x:is>
          <x:t xml:space="preserve">Epictetus (reported/compiled by Arrian for Discourses/Handbook tradition)</x:t>
        </x:is>
      </x:c>
      <x:c r="R510" s="81" t="inlineStr">
        <x:is>
          <x:t xml:space="preserve">Stoic / Greco-Roman</x:t>
        </x:is>
      </x:c>
      <x:c r="S510" s="81" t="inlineStr">
        <x:is>
          <x:t xml:space="preserve">Enchiridion / Discourses</x:t>
        </x:is>
      </x:c>
      <x:c r="T510" s="81" t="inlineStr">
        <x:is>
          <x:t xml:space="preserve">Enchiridion 5</x:t>
        </x:is>
      </x:c>
      <x:c r="U510" s="81" t="inlineStr">
        <x:is>
          <x:t xml:space="preserve">https://www.perseus.tufts.edu/hopper/text?doc=Perseus:text:1999.01.0235:text=enc</x:t>
        </x:is>
      </x:c>
      <x:c r="V510" s="81" t="inlineStr">
        <x:is>
          <x:t xml:space="preserve">Primary Greek edition / institutional corpus</x:t>
        </x:is>
      </x:c>
      <x:c r="W510" s="81" t="inlineStr">
        <x:is>
          <x:t xml:space="preserve">Working translation</x:t>
        </x:is>
      </x:c>
      <x:c r="X510" s="81" t="inlineStr">
        <x:is>
          <x:t xml:space="preserve">A - Primary source</x:t>
        </x:is>
      </x:c>
      <x:c r="Y510" s="81" t="inlineStr">
        <x:is>
          <x:t xml:space="preserve">Greek source anchors based on Perseus Schenkl edition (1916); Vietnamese is Selflo working translation, not a published translation.</x:t>
        </x:is>
      </x:c>
      <x:c r="Z510" s="81" t="inlineStr">
        <x:is>
          <x:t xml:space="preserve">Ancient work public domain; Perseus digital text has reuse terms</x:t>
        </x:is>
      </x:c>
      <x:c r="AA510" s="81" t="inlineStr">
        <x:is>
          <x:t xml:space="preserve">Use ancient Greek/source location and a fresh Selflo translation/adaptation; do not copy modern copyrighted translations.</x:t>
        </x:is>
      </x:c>
      <x:c r="AB510" s="81" t="inlineStr">
        <x:is>
          <x:t xml:space="preserve">High</x:t>
        </x:is>
      </x:c>
      <x:c r="AC510" s="81" t="inlineStr">
        <x:is>
          <x:t xml:space="preserve">Không được dùng để phủ nhận trauma/context.</x:t>
        </x:is>
      </x:c>
      <x:c r="AD510" s="81" t="inlineStr">
        <x:is>
          <x:t xml:space="preserve">Needs editorial review</x:t>
        </x:is>
      </x:c>
      <x:c r="AE510" s="81" t="inlineStr">
        <x:is>
          <x:t xml:space="preserve">Needs semantic dedupe review</x:t>
        </x:is>
      </x:c>
      <x:c r="AF510" s="81" t="str"/>
      <x:c r="AG510" s="81" t="str"/>
      <x:c r="AH510" s="81" t="inlineStr">
        <x:is>
          <x:t xml:space="preserve">No</x:t>
        </x:is>
      </x:c>
      <x:c r="AI510" s="81" t="inlineStr">
        <x:is>
          <x:t xml:space="preserve">Not reviewed</x:t>
        </x:is>
      </x:c>
      <x:c r="AJ510" s="81" t="inlineStr">
        <x:is>
          <x:t xml:space="preserve">Research only</x:t>
        </x:is>
      </x:c>
      <x:c r="AK510" s="81" t="inlineStr">
        <x:is>
          <x:t xml:space="preserve">Research Pool</x:t>
        </x:is>
      </x:c>
      <x:c r="AL510" s="81" t="n">
        <x:v>7</x:v>
      </x:c>
      <x:c r="AM510" s="81" t="inlineStr">
        <x:is>
          <x:t xml:space="preserve">ChatGPT research</x:t>
        </x:is>
      </x:c>
      <x:c r="AN510" s="81" t="inlineStr">
        <x:is>
          <x:t xml:space="preserve">2026-09-18</x:t>
        </x:is>
      </x:c>
      <x:c r="AO510" s="81" t="inlineStr">
        <x:is>
          <x:t xml:space="preserve">Day 7 full first-pass screening: all 53 Enchiridion chapters + all 4 surviving Discourses books; only Selflo-relevant candidates materialized.</x:t>
        </x:is>
      </x:c>
    </x:row>
    <x:row r="511">
      <x:c r="A511" s="81" t="inlineStr">
        <x:is>
          <x:t xml:space="preserve">research.epictetus.day7.enchiridion.5.009</x:t>
        </x:is>
      </x:c>
      <x:c r="B511" s="81" t="inlineStr">
        <x:is>
          <x:t xml:space="preserve">Collected</x:t>
        </x:is>
      </x:c>
      <x:c r="C511" s="81" t="inlineStr">
        <x:is>
          <x:t xml:space="preserve">Nội tâm &amp; hiểu mình</x:t>
        </x:is>
      </x:c>
      <x:c r="D511" s="81" t="inlineStr">
        <x:is>
          <x:t xml:space="preserve">Day 7 / Epictetus — Enchiridion + Discourses</x:t>
        </x:is>
      </x:c>
      <x:c r="E511" s="81" t="str"/>
      <x:c r="F511" s="81" t="str"/>
      <x:c r="G511" s="81" t="inlineStr">
        <x:is>
          <x:t xml:space="preserve">Self-blame</x:t>
        </x:is>
      </x:c>
      <x:c r="H511" s="81" t="str"/>
      <x:c r="I511" s="81" t="str"/>
      <x:c r="J511" s="81" t="str"/>
      <x:c r="K511" s="81" t="inlineStr">
        <x:is>
          <x:t xml:space="preserve">Reframe</x:t>
        </x:is>
      </x:c>
      <x:c r="L511" s="81" t="inlineStr">
        <x:is>
          <x:t xml:space="preserve">Recognize</x:t>
        </x:is>
      </x:c>
      <x:c r="M511" s="81" t="inlineStr">
        <x:is>
          <x:t xml:space="preserve">Triết học / dialogue</x:t>
        </x:is>
      </x:c>
      <x:c r="N511" s="81" t="inlineStr">
        <x:is>
          <x:t xml:space="preserve">πεπαιδευμένου τὸ μήτε ἄλλῳ μήτε ἑαυτῷ.</x:t>
        </x:is>
      </x:c>
      <x:c r="O511" s="81" t="inlineStr">
        <x:is>
          <x:t xml:space="preserve">Ancient Greek</x:t>
        </x:is>
      </x:c>
      <x:c r="P511" s="81" t="inlineStr">
        <x:is>
          <x:t xml:space="preserve">Ở mức trưởng thành hơn, mục tiêu không phải đổ lỗi cho người khác cũng không phải đổ hết lỗi cho mình.</x:t>
        </x:is>
      </x:c>
      <x:c r="Q511" s="81" t="inlineStr">
        <x:is>
          <x:t xml:space="preserve">Epictetus (reported/compiled by Arrian for Discourses/Handbook tradition)</x:t>
        </x:is>
      </x:c>
      <x:c r="R511" s="81" t="inlineStr">
        <x:is>
          <x:t xml:space="preserve">Stoic / Greco-Roman</x:t>
        </x:is>
      </x:c>
      <x:c r="S511" s="81" t="inlineStr">
        <x:is>
          <x:t xml:space="preserve">Enchiridion / Discourses</x:t>
        </x:is>
      </x:c>
      <x:c r="T511" s="81" t="inlineStr">
        <x:is>
          <x:t xml:space="preserve">Enchiridion 5</x:t>
        </x:is>
      </x:c>
      <x:c r="U511" s="81" t="inlineStr">
        <x:is>
          <x:t xml:space="preserve">https://www.perseus.tufts.edu/hopper/text?doc=Perseus:text:1999.01.0235:text=enc</x:t>
        </x:is>
      </x:c>
      <x:c r="V511" s="81" t="inlineStr">
        <x:is>
          <x:t xml:space="preserve">Primary Greek edition / institutional corpus</x:t>
        </x:is>
      </x:c>
      <x:c r="W511" s="81" t="inlineStr">
        <x:is>
          <x:t xml:space="preserve">Working translation</x:t>
        </x:is>
      </x:c>
      <x:c r="X511" s="81" t="inlineStr">
        <x:is>
          <x:t xml:space="preserve">A - Primary source</x:t>
        </x:is>
      </x:c>
      <x:c r="Y511" s="81" t="inlineStr">
        <x:is>
          <x:t xml:space="preserve">Greek source anchors based on Perseus Schenkl edition (1916); Vietnamese is Selflo working translation, not a published translation.</x:t>
        </x:is>
      </x:c>
      <x:c r="Z511" s="81" t="inlineStr">
        <x:is>
          <x:t xml:space="preserve">Ancient work public domain; Perseus digital text has reuse terms</x:t>
        </x:is>
      </x:c>
      <x:c r="AA511" s="81" t="inlineStr">
        <x:is>
          <x:t xml:space="preserve">Use ancient Greek/source location and a fresh Selflo translation/adaptation; do not copy modern copyrighted translations.</x:t>
        </x:is>
      </x:c>
      <x:c r="AB511" s="81" t="inlineStr">
        <x:is>
          <x:t xml:space="preserve">High</x:t>
        </x:is>
      </x:c>
      <x:c r="AC511" s="81" t="inlineStr">
        <x:is>
          <x:t xml:space="preserve">Rất Selflo; exact ending verified.</x:t>
        </x:is>
      </x:c>
      <x:c r="AD511" s="81" t="inlineStr">
        <x:is>
          <x:t xml:space="preserve">Needs editorial review</x:t>
        </x:is>
      </x:c>
      <x:c r="AE511" s="81" t="inlineStr">
        <x:is>
          <x:t xml:space="preserve">Needs semantic dedupe review</x:t>
        </x:is>
      </x:c>
      <x:c r="AF511" s="81" t="str"/>
      <x:c r="AG511" s="81" t="str"/>
      <x:c r="AH511" s="81" t="inlineStr">
        <x:is>
          <x:t xml:space="preserve">No</x:t>
        </x:is>
      </x:c>
      <x:c r="AI511" s="81" t="inlineStr">
        <x:is>
          <x:t xml:space="preserve">Not reviewed</x:t>
        </x:is>
      </x:c>
      <x:c r="AJ511" s="81" t="inlineStr">
        <x:is>
          <x:t xml:space="preserve">Research only</x:t>
        </x:is>
      </x:c>
      <x:c r="AK511" s="81" t="inlineStr">
        <x:is>
          <x:t xml:space="preserve">Research Pool</x:t>
        </x:is>
      </x:c>
      <x:c r="AL511" s="81" t="n">
        <x:v>7</x:v>
      </x:c>
      <x:c r="AM511" s="81" t="inlineStr">
        <x:is>
          <x:t xml:space="preserve">ChatGPT research</x:t>
        </x:is>
      </x:c>
      <x:c r="AN511" s="81" t="inlineStr">
        <x:is>
          <x:t xml:space="preserve">2026-09-18</x:t>
        </x:is>
      </x:c>
      <x:c r="AO511" s="81" t="inlineStr">
        <x:is>
          <x:t xml:space="preserve">Day 7 full first-pass screening: all 53 Enchiridion chapters + all 4 surviving Discourses books; only Selflo-relevant candidates materialized.</x:t>
        </x:is>
      </x:c>
    </x:row>
    <x:row r="512">
      <x:c r="A512" s="81" t="inlineStr">
        <x:is>
          <x:t xml:space="preserve">research.epictetus.day7.enchiridion.6.010</x:t>
        </x:is>
      </x:c>
      <x:c r="B512" s="81" t="inlineStr">
        <x:is>
          <x:t xml:space="preserve">Collected</x:t>
        </x:is>
      </x:c>
      <x:c r="C512" s="81" t="inlineStr">
        <x:is>
          <x:t xml:space="preserve">Nội tâm &amp; hiểu mình</x:t>
        </x:is>
      </x:c>
      <x:c r="D512" s="81" t="inlineStr">
        <x:is>
          <x:t xml:space="preserve">Day 7 / Epictetus — Enchiridion + Discourses</x:t>
        </x:is>
      </x:c>
      <x:c r="E512" s="81" t="str"/>
      <x:c r="F512" s="81" t="str"/>
      <x:c r="G512" s="81" t="inlineStr">
        <x:is>
          <x:t xml:space="preserve">Self-worth</x:t>
        </x:is>
      </x:c>
      <x:c r="H512" s="81" t="str"/>
      <x:c r="I512" s="81" t="str"/>
      <x:c r="J512" s="81" t="str"/>
      <x:c r="K512" s="81" t="inlineStr">
        <x:is>
          <x:t xml:space="preserve">Distinguish</x:t>
        </x:is>
      </x:c>
      <x:c r="L512" s="81" t="inlineStr">
        <x:is>
          <x:t xml:space="preserve">Recognize</x:t>
        </x:is>
      </x:c>
      <x:c r="M512" s="81" t="inlineStr">
        <x:is>
          <x:t xml:space="preserve">Triết học / dialogue</x:t>
        </x:is>
      </x:c>
      <x:c r="N512" s="81" t="inlineStr">
        <x:is>
          <x:t xml:space="preserve">μὴ ἐπὶ ἀλλοτρίῳ ἀγαθῷ ἐπαίρου.</x:t>
        </x:is>
      </x:c>
      <x:c r="O512" s="81" t="inlineStr">
        <x:is>
          <x:t xml:space="preserve">Ancient Greek</x:t>
        </x:is>
      </x:c>
      <x:c r="P512" s="81" t="inlineStr">
        <x:is>
          <x:t xml:space="preserve">Đừng lấy điều tốt thuộc về thứ bên ngoài mình làm toàn bộ lý do để nâng giá trị bản thân.</x:t>
        </x:is>
      </x:c>
      <x:c r="Q512" s="81" t="inlineStr">
        <x:is>
          <x:t xml:space="preserve">Epictetus (reported/compiled by Arrian for Discourses/Handbook tradition)</x:t>
        </x:is>
      </x:c>
      <x:c r="R512" s="81" t="inlineStr">
        <x:is>
          <x:t xml:space="preserve">Stoic / Greco-Roman</x:t>
        </x:is>
      </x:c>
      <x:c r="S512" s="81" t="inlineStr">
        <x:is>
          <x:t xml:space="preserve">Enchiridion / Discourses</x:t>
        </x:is>
      </x:c>
      <x:c r="T512" s="81" t="inlineStr">
        <x:is>
          <x:t xml:space="preserve">Enchiridion 6</x:t>
        </x:is>
      </x:c>
      <x:c r="U512" s="81" t="inlineStr">
        <x:is>
          <x:t xml:space="preserve">https://www.perseus.tufts.edu/hopper/text?doc=Perseus:text:1999.01.0235:text=enc</x:t>
        </x:is>
      </x:c>
      <x:c r="V512" s="81" t="inlineStr">
        <x:is>
          <x:t xml:space="preserve">Primary Greek edition / institutional corpus</x:t>
        </x:is>
      </x:c>
      <x:c r="W512" s="81" t="inlineStr">
        <x:is>
          <x:t xml:space="preserve">Working translation</x:t>
        </x:is>
      </x:c>
      <x:c r="X512" s="81" t="inlineStr">
        <x:is>
          <x:t xml:space="preserve">A - Primary source</x:t>
        </x:is>
      </x:c>
      <x:c r="Y512" s="81" t="inlineStr">
        <x:is>
          <x:t xml:space="preserve">Greek source anchors based on Perseus Schenkl edition (1916); Vietnamese is Selflo working translation, not a published translation.</x:t>
        </x:is>
      </x:c>
      <x:c r="Z512" s="81" t="inlineStr">
        <x:is>
          <x:t xml:space="preserve">Ancient work public domain; Perseus digital text has reuse terms</x:t>
        </x:is>
      </x:c>
      <x:c r="AA512" s="81" t="inlineStr">
        <x:is>
          <x:t xml:space="preserve">Use ancient Greek/source location and a fresh Selflo translation/adaptation; do not copy modern copyrighted translations.</x:t>
        </x:is>
      </x:c>
      <x:c r="AB512" s="81" t="inlineStr">
        <x:is>
          <x:t xml:space="preserve">High</x:t>
        </x:is>
      </x:c>
      <x:c r="AC512" s="81" t="inlineStr">
        <x:is>
          <x:t xml:space="preserve">Avoid dismissing achievements.</x:t>
        </x:is>
      </x:c>
      <x:c r="AD512" s="81" t="inlineStr">
        <x:is>
          <x:t xml:space="preserve">Needs editorial review</x:t>
        </x:is>
      </x:c>
      <x:c r="AE512" s="81" t="inlineStr">
        <x:is>
          <x:t xml:space="preserve">Needs semantic dedupe review</x:t>
        </x:is>
      </x:c>
      <x:c r="AF512" s="81" t="str"/>
      <x:c r="AG512" s="81" t="str"/>
      <x:c r="AH512" s="81" t="inlineStr">
        <x:is>
          <x:t xml:space="preserve">No</x:t>
        </x:is>
      </x:c>
      <x:c r="AI512" s="81" t="inlineStr">
        <x:is>
          <x:t xml:space="preserve">Not reviewed</x:t>
        </x:is>
      </x:c>
      <x:c r="AJ512" s="81" t="inlineStr">
        <x:is>
          <x:t xml:space="preserve">Research only</x:t>
        </x:is>
      </x:c>
      <x:c r="AK512" s="81" t="inlineStr">
        <x:is>
          <x:t xml:space="preserve">Research Pool</x:t>
        </x:is>
      </x:c>
      <x:c r="AL512" s="81" t="n">
        <x:v>7</x:v>
      </x:c>
      <x:c r="AM512" s="81" t="inlineStr">
        <x:is>
          <x:t xml:space="preserve">ChatGPT research</x:t>
        </x:is>
      </x:c>
      <x:c r="AN512" s="81" t="inlineStr">
        <x:is>
          <x:t xml:space="preserve">2026-09-18</x:t>
        </x:is>
      </x:c>
      <x:c r="AO512" s="81" t="inlineStr">
        <x:is>
          <x:t xml:space="preserve">Day 7 full first-pass screening: all 53 Enchiridion chapters + all 4 surviving Discourses books; only Selflo-relevant candidates materialized.</x:t>
        </x:is>
      </x:c>
    </x:row>
    <x:row r="513">
      <x:c r="A513" s="81" t="inlineStr">
        <x:is>
          <x:t xml:space="preserve">research.epictetus.day7.enchiridion.8.011</x:t>
        </x:is>
      </x:c>
      <x:c r="B513" s="81" t="inlineStr">
        <x:is>
          <x:t xml:space="preserve">Collected</x:t>
        </x:is>
      </x:c>
      <x:c r="C513" s="81" t="inlineStr">
        <x:is>
          <x:t xml:space="preserve">Nghỉ ngơi &amp; sức khỏe tinh thần</x:t>
        </x:is>
      </x:c>
      <x:c r="D513" s="81" t="inlineStr">
        <x:is>
          <x:t xml:space="preserve">Day 7 / Epictetus — Enchiridion + Discourses</x:t>
        </x:is>
      </x:c>
      <x:c r="E513" s="81" t="str"/>
      <x:c r="F513" s="81" t="str"/>
      <x:c r="G513" s="81" t="inlineStr">
        <x:is>
          <x:t xml:space="preserve">Acceptance</x:t>
        </x:is>
      </x:c>
      <x:c r="H513" s="81" t="str"/>
      <x:c r="I513" s="81" t="str"/>
      <x:c r="J513" s="81" t="str"/>
      <x:c r="K513" s="81" t="inlineStr">
        <x:is>
          <x:t xml:space="preserve">Recognize</x:t>
        </x:is>
      </x:c>
      <x:c r="L513" s="81" t="inlineStr">
        <x:is>
          <x:t xml:space="preserve">Distinguish</x:t>
        </x:is>
      </x:c>
      <x:c r="M513" s="81" t="inlineStr">
        <x:is>
          <x:t xml:space="preserve">Triết học / dialogue</x:t>
        </x:is>
      </x:c>
      <x:c r="N513" s="81" t="inlineStr">
        <x:is>
          <x:t xml:space="preserve">μὴ ζήτει τὰ γινόμενα γίνεσθαι ὡς θέλεις.</x:t>
        </x:is>
      </x:c>
      <x:c r="O513" s="81" t="inlineStr">
        <x:is>
          <x:t xml:space="preserve">Ancient Greek</x:t>
        </x:is>
      </x:c>
      <x:c r="P513" s="81" t="inlineStr">
        <x:is>
          <x:t xml:space="preserve">Đừng đòi mọi việc phải xảy ra đúng như mình muốn.</x:t>
        </x:is>
      </x:c>
      <x:c r="Q513" s="81" t="inlineStr">
        <x:is>
          <x:t xml:space="preserve">Epictetus (reported/compiled by Arrian for Discourses/Handbook tradition)</x:t>
        </x:is>
      </x:c>
      <x:c r="R513" s="81" t="inlineStr">
        <x:is>
          <x:t xml:space="preserve">Stoic / Greco-Roman</x:t>
        </x:is>
      </x:c>
      <x:c r="S513" s="81" t="inlineStr">
        <x:is>
          <x:t xml:space="preserve">Enchiridion / Discourses</x:t>
        </x:is>
      </x:c>
      <x:c r="T513" s="81" t="inlineStr">
        <x:is>
          <x:t xml:space="preserve">Enchiridion 8</x:t>
        </x:is>
      </x:c>
      <x:c r="U513" s="81" t="inlineStr">
        <x:is>
          <x:t xml:space="preserve">https://www.perseus.tufts.edu/hopper/text?doc=Perseus:text:1999.01.0235:text=enc</x:t>
        </x:is>
      </x:c>
      <x:c r="V513" s="81" t="inlineStr">
        <x:is>
          <x:t xml:space="preserve">Primary Greek edition / institutional corpus</x:t>
        </x:is>
      </x:c>
      <x:c r="W513" s="81" t="inlineStr">
        <x:is>
          <x:t xml:space="preserve">Working translation</x:t>
        </x:is>
      </x:c>
      <x:c r="X513" s="81" t="inlineStr">
        <x:is>
          <x:t xml:space="preserve">A - Primary source</x:t>
        </x:is>
      </x:c>
      <x:c r="Y513" s="81" t="inlineStr">
        <x:is>
          <x:t xml:space="preserve">Greek source anchors based on Perseus Schenkl edition (1916); Vietnamese is Selflo working translation, not a published translation.</x:t>
        </x:is>
      </x:c>
      <x:c r="Z513" s="81" t="inlineStr">
        <x:is>
          <x:t xml:space="preserve">Ancient work public domain; Perseus digital text has reuse terms</x:t>
        </x:is>
      </x:c>
      <x:c r="AA513" s="81" t="inlineStr">
        <x:is>
          <x:t xml:space="preserve">Use ancient Greek/source location and a fresh Selflo translation/adaptation; do not copy modern copyrighted translations.</x:t>
        </x:is>
      </x:c>
      <x:c r="AB513" s="81" t="inlineStr">
        <x:is>
          <x:t xml:space="preserve">High</x:t>
        </x:is>
      </x:c>
      <x:c r="AC513" s="81" t="inlineStr">
        <x:is>
          <x:t xml:space="preserve">Cần tránh passive acceptance of abuse.</x:t>
        </x:is>
      </x:c>
      <x:c r="AD513" s="81" t="inlineStr">
        <x:is>
          <x:t xml:space="preserve">Needs editorial review</x:t>
        </x:is>
      </x:c>
      <x:c r="AE513" s="81" t="inlineStr">
        <x:is>
          <x:t xml:space="preserve">Needs semantic dedupe review</x:t>
        </x:is>
      </x:c>
      <x:c r="AF513" s="81" t="str"/>
      <x:c r="AG513" s="81" t="str"/>
      <x:c r="AH513" s="81" t="inlineStr">
        <x:is>
          <x:t xml:space="preserve">No</x:t>
        </x:is>
      </x:c>
      <x:c r="AI513" s="81" t="inlineStr">
        <x:is>
          <x:t xml:space="preserve">Not reviewed</x:t>
        </x:is>
      </x:c>
      <x:c r="AJ513" s="81" t="inlineStr">
        <x:is>
          <x:t xml:space="preserve">Research only</x:t>
        </x:is>
      </x:c>
      <x:c r="AK513" s="81" t="inlineStr">
        <x:is>
          <x:t xml:space="preserve">Research Pool</x:t>
        </x:is>
      </x:c>
      <x:c r="AL513" s="81" t="n">
        <x:v>7</x:v>
      </x:c>
      <x:c r="AM513" s="81" t="inlineStr">
        <x:is>
          <x:t xml:space="preserve">ChatGPT research</x:t>
        </x:is>
      </x:c>
      <x:c r="AN513" s="81" t="inlineStr">
        <x:is>
          <x:t xml:space="preserve">2026-09-18</x:t>
        </x:is>
      </x:c>
      <x:c r="AO513" s="81" t="inlineStr">
        <x:is>
          <x:t xml:space="preserve">Day 7 full first-pass screening: all 53 Enchiridion chapters + all 4 surviving Discourses books; only Selflo-relevant candidates materialized.</x:t>
        </x:is>
      </x:c>
    </x:row>
    <x:row r="514">
      <x:c r="A514" s="81" t="inlineStr">
        <x:is>
          <x:t xml:space="preserve">research.epictetus.day7.enchiridion.10.012</x:t>
        </x:is>
      </x:c>
      <x:c r="B514" s="81" t="inlineStr">
        <x:is>
          <x:t xml:space="preserve">Collected</x:t>
        </x:is>
      </x:c>
      <x:c r="C514" s="81" t="inlineStr">
        <x:is>
          <x:t xml:space="preserve">Nội tâm &amp; hiểu mình</x:t>
        </x:is>
      </x:c>
      <x:c r="D514" s="81" t="inlineStr">
        <x:is>
          <x:t xml:space="preserve">Day 7 / Epictetus — Enchiridion + Discourses</x:t>
        </x:is>
      </x:c>
      <x:c r="E514" s="81" t="str"/>
      <x:c r="F514" s="81" t="str"/>
      <x:c r="G514" s="81" t="inlineStr">
        <x:is>
          <x:t xml:space="preserve">Agency</x:t>
        </x:is>
      </x:c>
      <x:c r="H514" s="81" t="str"/>
      <x:c r="I514" s="81" t="str"/>
      <x:c r="J514" s="81" t="str"/>
      <x:c r="K514" s="81" t="inlineStr">
        <x:is>
          <x:t xml:space="preserve">Return agency</x:t>
        </x:is>
      </x:c>
      <x:c r="L514" s="81" t="inlineStr">
        <x:is>
          <x:t xml:space="preserve">Recognize</x:t>
        </x:is>
      </x:c>
      <x:c r="M514" s="81" t="inlineStr">
        <x:is>
          <x:t xml:space="preserve">Triết học / dialogue</x:t>
        </x:is>
      </x:c>
      <x:c r="N514" s="81" t="inlineStr">
        <x:is>
          <x:t xml:space="preserve">ἐφ᾽ ἑκάστου τῶν προσπιπτόντων μέμνησο ἐπιστρέφων ἐπὶ σεαυτὸν ζητεῖν, τίνα δύναμιν ἔχεις πρὸς τὴν χρῆσιν αὐτοῦ.</x:t>
        </x:is>
      </x:c>
      <x:c r="O514" s="81" t="inlineStr">
        <x:is>
          <x:t xml:space="preserve">Ancient Greek</x:t>
        </x:is>
      </x:c>
      <x:c r="P514" s="81" t="inlineStr">
        <x:is>
          <x:t xml:space="preserve">Khi một việc xảy đến, quay lại hỏi mình đang có năng lực nào để đi qua nó.</x:t>
        </x:is>
      </x:c>
      <x:c r="Q514" s="81" t="inlineStr">
        <x:is>
          <x:t xml:space="preserve">Epictetus (reported/compiled by Arrian for Discourses/Handbook tradition)</x:t>
        </x:is>
      </x:c>
      <x:c r="R514" s="81" t="inlineStr">
        <x:is>
          <x:t xml:space="preserve">Stoic / Greco-Roman</x:t>
        </x:is>
      </x:c>
      <x:c r="S514" s="81" t="inlineStr">
        <x:is>
          <x:t xml:space="preserve">Enchiridion / Discourses</x:t>
        </x:is>
      </x:c>
      <x:c r="T514" s="81" t="inlineStr">
        <x:is>
          <x:t xml:space="preserve">Enchiridion 10</x:t>
        </x:is>
      </x:c>
      <x:c r="U514" s="81" t="inlineStr">
        <x:is>
          <x:t xml:space="preserve">https://www.perseus.tufts.edu/hopper/text?doc=Perseus:text:1999.01.0235:text=enc</x:t>
        </x:is>
      </x:c>
      <x:c r="V514" s="81" t="inlineStr">
        <x:is>
          <x:t xml:space="preserve">Primary Greek edition / institutional corpus</x:t>
        </x:is>
      </x:c>
      <x:c r="W514" s="81" t="inlineStr">
        <x:is>
          <x:t xml:space="preserve">Working translation</x:t>
        </x:is>
      </x:c>
      <x:c r="X514" s="81" t="inlineStr">
        <x:is>
          <x:t xml:space="preserve">A - Primary source</x:t>
        </x:is>
      </x:c>
      <x:c r="Y514" s="81" t="inlineStr">
        <x:is>
          <x:t xml:space="preserve">Greek source anchors based on Perseus Schenkl edition (1916); Vietnamese is Selflo working translation, not a published translation.</x:t>
        </x:is>
      </x:c>
      <x:c r="Z514" s="81" t="inlineStr">
        <x:is>
          <x:t xml:space="preserve">Ancient work public domain; Perseus digital text has reuse terms</x:t>
        </x:is>
      </x:c>
      <x:c r="AA514" s="81" t="inlineStr">
        <x:is>
          <x:t xml:space="preserve">Use ancient Greek/source location and a fresh Selflo translation/adaptation; do not copy modern copyrighted translations.</x:t>
        </x:is>
      </x:c>
      <x:c r="AB514" s="81" t="inlineStr">
        <x:is>
          <x:t xml:space="preserve">High</x:t>
        </x:is>
      </x:c>
      <x:c r="AC514" s="81" t="inlineStr">
        <x:is>
          <x:t xml:space="preserve">Good Selflo agency.</x:t>
        </x:is>
      </x:c>
      <x:c r="AD514" s="81" t="inlineStr">
        <x:is>
          <x:t xml:space="preserve">Needs editorial review</x:t>
        </x:is>
      </x:c>
      <x:c r="AE514" s="81" t="inlineStr">
        <x:is>
          <x:t xml:space="preserve">Needs semantic dedupe review</x:t>
        </x:is>
      </x:c>
      <x:c r="AF514" s="81" t="str"/>
      <x:c r="AG514" s="81" t="str"/>
      <x:c r="AH514" s="81" t="inlineStr">
        <x:is>
          <x:t xml:space="preserve">No</x:t>
        </x:is>
      </x:c>
      <x:c r="AI514" s="81" t="inlineStr">
        <x:is>
          <x:t xml:space="preserve">Not reviewed</x:t>
        </x:is>
      </x:c>
      <x:c r="AJ514" s="81" t="inlineStr">
        <x:is>
          <x:t xml:space="preserve">Research only</x:t>
        </x:is>
      </x:c>
      <x:c r="AK514" s="81" t="inlineStr">
        <x:is>
          <x:t xml:space="preserve">Research Pool</x:t>
        </x:is>
      </x:c>
      <x:c r="AL514" s="81" t="n">
        <x:v>7</x:v>
      </x:c>
      <x:c r="AM514" s="81" t="inlineStr">
        <x:is>
          <x:t xml:space="preserve">ChatGPT research</x:t>
        </x:is>
      </x:c>
      <x:c r="AN514" s="81" t="inlineStr">
        <x:is>
          <x:t xml:space="preserve">2026-09-18</x:t>
        </x:is>
      </x:c>
      <x:c r="AO514" s="81" t="inlineStr">
        <x:is>
          <x:t xml:space="preserve">Day 7 full first-pass screening: all 53 Enchiridion chapters + all 4 surviving Discourses books; only Selflo-relevant candidates materialized.</x:t>
        </x:is>
      </x:c>
    </x:row>
    <x:row r="515">
      <x:c r="A515" s="81" t="inlineStr">
        <x:is>
          <x:t xml:space="preserve">research.epictetus.day7.enchiridion.13.013</x:t>
        </x:is>
      </x:c>
      <x:c r="B515" s="81" t="inlineStr">
        <x:is>
          <x:t xml:space="preserve">Collected</x:t>
        </x:is>
      </x:c>
      <x:c r="C515" s="81" t="inlineStr">
        <x:is>
          <x:t xml:space="preserve">Công việc &amp; mục đích</x:t>
        </x:is>
      </x:c>
      <x:c r="D515" s="81" t="inlineStr">
        <x:is>
          <x:t xml:space="preserve">Day 7 / Epictetus — Enchiridion + Discourses</x:t>
        </x:is>
      </x:c>
      <x:c r="E515" s="81" t="str"/>
      <x:c r="F515" s="81" t="str"/>
      <x:c r="G515" s="81" t="inlineStr">
        <x:is>
          <x:t xml:space="preserve">Learning</x:t>
        </x:is>
      </x:c>
      <x:c r="H515" s="81" t="str"/>
      <x:c r="I515" s="81" t="str"/>
      <x:c r="J515" s="81" t="str"/>
      <x:c r="K515" s="81" t="inlineStr">
        <x:is>
          <x:t xml:space="preserve">Permit</x:t>
        </x:is>
      </x:c>
      <x:c r="L515" s="81" t="inlineStr">
        <x:is>
          <x:t xml:space="preserve">Recognize</x:t>
        </x:is>
      </x:c>
      <x:c r="M515" s="81" t="inlineStr">
        <x:is>
          <x:t xml:space="preserve">Triết học / dialogue</x:t>
        </x:is>
      </x:c>
      <x:c r="N515" s="81" t="inlineStr">
        <x:is>
          <x:t xml:space="preserve">εἰ θέλεις προκόψαι, ἄφες τὸ δοκεῖν.</x:t>
        </x:is>
      </x:c>
      <x:c r="O515" s="81" t="inlineStr">
        <x:is>
          <x:t xml:space="preserve">Ancient Greek</x:t>
        </x:is>
      </x:c>
      <x:c r="P515" s="81" t="inlineStr">
        <x:is>
          <x:t xml:space="preserve">Nếu muốn tiến bộ, đôi khi phải bớt nhu cầu trông như mình đã biết.</x:t>
        </x:is>
      </x:c>
      <x:c r="Q515" s="81" t="inlineStr">
        <x:is>
          <x:t xml:space="preserve">Epictetus (reported/compiled by Arrian for Discourses/Handbook tradition)</x:t>
        </x:is>
      </x:c>
      <x:c r="R515" s="81" t="inlineStr">
        <x:is>
          <x:t xml:space="preserve">Stoic / Greco-Roman</x:t>
        </x:is>
      </x:c>
      <x:c r="S515" s="81" t="inlineStr">
        <x:is>
          <x:t xml:space="preserve">Enchiridion / Discourses</x:t>
        </x:is>
      </x:c>
      <x:c r="T515" s="81" t="inlineStr">
        <x:is>
          <x:t xml:space="preserve">Enchiridion 13</x:t>
        </x:is>
      </x:c>
      <x:c r="U515" s="81" t="inlineStr">
        <x:is>
          <x:t xml:space="preserve">https://www.perseus.tufts.edu/hopper/text?doc=Perseus:text:1999.01.0235:text=enc</x:t>
        </x:is>
      </x:c>
      <x:c r="V515" s="81" t="inlineStr">
        <x:is>
          <x:t xml:space="preserve">Primary Greek edition / institutional corpus</x:t>
        </x:is>
      </x:c>
      <x:c r="W515" s="81" t="inlineStr">
        <x:is>
          <x:t xml:space="preserve">Working translation</x:t>
        </x:is>
      </x:c>
      <x:c r="X515" s="81" t="inlineStr">
        <x:is>
          <x:t xml:space="preserve">A - Primary source</x:t>
        </x:is>
      </x:c>
      <x:c r="Y515" s="81" t="inlineStr">
        <x:is>
          <x:t xml:space="preserve">Greek source anchors based on Perseus Schenkl edition (1916); Vietnamese is Selflo working translation, not a published translation.</x:t>
        </x:is>
      </x:c>
      <x:c r="Z515" s="81" t="inlineStr">
        <x:is>
          <x:t xml:space="preserve">Ancient work public domain; Perseus digital text has reuse terms</x:t>
        </x:is>
      </x:c>
      <x:c r="AA515" s="81" t="inlineStr">
        <x:is>
          <x:t xml:space="preserve">Use ancient Greek/source location and a fresh Selflo translation/adaptation; do not copy modern copyrighted translations.</x:t>
        </x:is>
      </x:c>
      <x:c r="AB515" s="81" t="inlineStr">
        <x:is>
          <x:t xml:space="preserve">High</x:t>
        </x:is>
      </x:c>
      <x:c r="AC515" s="81" t="inlineStr">
        <x:is>
          <x:t xml:space="preserve">Strong beginnerhood.</x:t>
        </x:is>
      </x:c>
      <x:c r="AD515" s="81" t="inlineStr">
        <x:is>
          <x:t xml:space="preserve">Needs editorial review</x:t>
        </x:is>
      </x:c>
      <x:c r="AE515" s="81" t="inlineStr">
        <x:is>
          <x:t xml:space="preserve">Needs semantic dedupe review</x:t>
        </x:is>
      </x:c>
      <x:c r="AF515" s="81" t="str"/>
      <x:c r="AG515" s="81" t="str"/>
      <x:c r="AH515" s="81" t="inlineStr">
        <x:is>
          <x:t xml:space="preserve">No</x:t>
        </x:is>
      </x:c>
      <x:c r="AI515" s="81" t="inlineStr">
        <x:is>
          <x:t xml:space="preserve">Not reviewed</x:t>
        </x:is>
      </x:c>
      <x:c r="AJ515" s="81" t="inlineStr">
        <x:is>
          <x:t xml:space="preserve">Research only</x:t>
        </x:is>
      </x:c>
      <x:c r="AK515" s="81" t="inlineStr">
        <x:is>
          <x:t xml:space="preserve">Research Pool</x:t>
        </x:is>
      </x:c>
      <x:c r="AL515" s="81" t="n">
        <x:v>7</x:v>
      </x:c>
      <x:c r="AM515" s="81" t="inlineStr">
        <x:is>
          <x:t xml:space="preserve">ChatGPT research</x:t>
        </x:is>
      </x:c>
      <x:c r="AN515" s="81" t="inlineStr">
        <x:is>
          <x:t xml:space="preserve">2026-09-18</x:t>
        </x:is>
      </x:c>
      <x:c r="AO515" s="81" t="inlineStr">
        <x:is>
          <x:t xml:space="preserve">Day 7 full first-pass screening: all 53 Enchiridion chapters + all 4 surviving Discourses books; only Selflo-relevant candidates materialized.</x:t>
        </x:is>
      </x:c>
    </x:row>
    <x:row r="516">
      <x:c r="A516" s="81" t="inlineStr">
        <x:is>
          <x:t xml:space="preserve">research.epictetus.day7.enchiridion.14.014</x:t>
        </x:is>
      </x:c>
      <x:c r="B516" s="81" t="inlineStr">
        <x:is>
          <x:t xml:space="preserve">Collected</x:t>
        </x:is>
      </x:c>
      <x:c r="C516" s="81" t="inlineStr">
        <x:is>
          <x:t xml:space="preserve">Nội tâm &amp; hiểu mình</x:t>
        </x:is>
      </x:c>
      <x:c r="D516" s="81" t="inlineStr">
        <x:is>
          <x:t xml:space="preserve">Day 7 / Epictetus — Enchiridion + Discourses</x:t>
        </x:is>
      </x:c>
      <x:c r="E516" s="81" t="str"/>
      <x:c r="F516" s="81" t="str"/>
      <x:c r="G516" s="81" t="inlineStr">
        <x:is>
          <x:t xml:space="preserve">Control</x:t>
        </x:is>
      </x:c>
      <x:c r="H516" s="81" t="str"/>
      <x:c r="I516" s="81" t="str"/>
      <x:c r="J516" s="81" t="str"/>
      <x:c r="K516" s="81" t="inlineStr">
        <x:is>
          <x:t xml:space="preserve">Reframe</x:t>
        </x:is>
      </x:c>
      <x:c r="L516" s="81" t="inlineStr">
        <x:is>
          <x:t xml:space="preserve">Recognize</x:t>
        </x:is>
      </x:c>
      <x:c r="M516" s="81" t="inlineStr">
        <x:is>
          <x:t xml:space="preserve">Triết học / dialogue</x:t>
        </x:is>
      </x:c>
      <x:c r="N516" s="81" t="inlineStr">
        <x:is>
          <x:t xml:space="preserve">ἀνίκητος εἶναι δύνασαι, ἐὰν εἰς μηδένα ἀγῶνα καταβαίνῃς, ὃν οὐκ ἔστιν ἐπὶ σοὶ νικῆσαι.</x:t>
        </x:is>
      </x:c>
      <x:c r="O516" s="81" t="inlineStr">
        <x:is>
          <x:t xml:space="preserve">Ancient Greek</x:t>
        </x:is>
      </x:c>
      <x:c r="P516" s="81" t="inlineStr">
        <x:is>
          <x:t xml:space="preserve">Bạn bớt bị đánh bại khi không biến thứ ngoài quyền mình thành cuộc thi bắt buộc phải thắng.</x:t>
        </x:is>
      </x:c>
      <x:c r="Q516" s="81" t="inlineStr">
        <x:is>
          <x:t xml:space="preserve">Epictetus (reported/compiled by Arrian for Discourses/Handbook tradition)</x:t>
        </x:is>
      </x:c>
      <x:c r="R516" s="81" t="inlineStr">
        <x:is>
          <x:t xml:space="preserve">Stoic / Greco-Roman</x:t>
        </x:is>
      </x:c>
      <x:c r="S516" s="81" t="inlineStr">
        <x:is>
          <x:t xml:space="preserve">Enchiridion / Discourses</x:t>
        </x:is>
      </x:c>
      <x:c r="T516" s="81" t="inlineStr">
        <x:is>
          <x:t xml:space="preserve">Enchiridion 14</x:t>
        </x:is>
      </x:c>
      <x:c r="U516" s="81" t="inlineStr">
        <x:is>
          <x:t xml:space="preserve">https://www.perseus.tufts.edu/hopper/text?doc=Perseus:text:1999.01.0235:text=enc</x:t>
        </x:is>
      </x:c>
      <x:c r="V516" s="81" t="inlineStr">
        <x:is>
          <x:t xml:space="preserve">Primary Greek edition / institutional corpus</x:t>
        </x:is>
      </x:c>
      <x:c r="W516" s="81" t="inlineStr">
        <x:is>
          <x:t xml:space="preserve">Working translation</x:t>
        </x:is>
      </x:c>
      <x:c r="X516" s="81" t="inlineStr">
        <x:is>
          <x:t xml:space="preserve">A - Primary source</x:t>
        </x:is>
      </x:c>
      <x:c r="Y516" s="81" t="inlineStr">
        <x:is>
          <x:t xml:space="preserve">Greek source anchors based on Perseus Schenkl edition (1916); Vietnamese is Selflo working translation, not a published translation.</x:t>
        </x:is>
      </x:c>
      <x:c r="Z516" s="81" t="inlineStr">
        <x:is>
          <x:t xml:space="preserve">Ancient work public domain; Perseus digital text has reuse terms</x:t>
        </x:is>
      </x:c>
      <x:c r="AA516" s="81" t="inlineStr">
        <x:is>
          <x:t xml:space="preserve">Use ancient Greek/source location and a fresh Selflo translation/adaptation; do not copy modern copyrighted translations.</x:t>
        </x:is>
      </x:c>
      <x:c r="AB516" s="81" t="inlineStr">
        <x:is>
          <x:t xml:space="preserve">High</x:t>
        </x:is>
      </x:c>
      <x:c r="AC516" s="81" t="inlineStr">
        <x:is>
          <x:t xml:space="preserve">Working translation softens absolutism.</x:t>
        </x:is>
      </x:c>
      <x:c r="AD516" s="81" t="inlineStr">
        <x:is>
          <x:t xml:space="preserve">Needs editorial review</x:t>
        </x:is>
      </x:c>
      <x:c r="AE516" s="81" t="inlineStr">
        <x:is>
          <x:t xml:space="preserve">Needs semantic dedupe review</x:t>
        </x:is>
      </x:c>
      <x:c r="AF516" s="81" t="str"/>
      <x:c r="AG516" s="81" t="str"/>
      <x:c r="AH516" s="81" t="inlineStr">
        <x:is>
          <x:t xml:space="preserve">No</x:t>
        </x:is>
      </x:c>
      <x:c r="AI516" s="81" t="inlineStr">
        <x:is>
          <x:t xml:space="preserve">Not reviewed</x:t>
        </x:is>
      </x:c>
      <x:c r="AJ516" s="81" t="inlineStr">
        <x:is>
          <x:t xml:space="preserve">Research only</x:t>
        </x:is>
      </x:c>
      <x:c r="AK516" s="81" t="inlineStr">
        <x:is>
          <x:t xml:space="preserve">Research Pool</x:t>
        </x:is>
      </x:c>
      <x:c r="AL516" s="81" t="n">
        <x:v>7</x:v>
      </x:c>
      <x:c r="AM516" s="81" t="inlineStr">
        <x:is>
          <x:t xml:space="preserve">ChatGPT research</x:t>
        </x:is>
      </x:c>
      <x:c r="AN516" s="81" t="inlineStr">
        <x:is>
          <x:t xml:space="preserve">2026-09-18</x:t>
        </x:is>
      </x:c>
      <x:c r="AO516" s="81" t="inlineStr">
        <x:is>
          <x:t xml:space="preserve">Day 7 full first-pass screening: all 53 Enchiridion chapters + all 4 surviving Discourses books; only Selflo-relevant candidates materialized.</x:t>
        </x:is>
      </x:c>
    </x:row>
    <x:row r="517">
      <x:c r="A517" s="81" t="inlineStr">
        <x:is>
          <x:t xml:space="preserve">research.epictetus.day7.enchiridion.16.015</x:t>
        </x:is>
      </x:c>
      <x:c r="B517" s="81" t="inlineStr">
        <x:is>
          <x:t xml:space="preserve">Collected</x:t>
        </x:is>
      </x:c>
      <x:c r="C517" s="81" t="inlineStr">
        <x:is>
          <x:t xml:space="preserve">Quan hệ</x:t>
        </x:is>
      </x:c>
      <x:c r="D517" s="81" t="inlineStr">
        <x:is>
          <x:t xml:space="preserve">Day 7 / Epictetus — Enchiridion + Discourses</x:t>
        </x:is>
      </x:c>
      <x:c r="E517" s="81" t="str"/>
      <x:c r="F517" s="81" t="str"/>
      <x:c r="G517" s="81" t="inlineStr">
        <x:is>
          <x:t xml:space="preserve">Compassion</x:t>
        </x:is>
      </x:c>
      <x:c r="H517" s="81" t="str"/>
      <x:c r="I517" s="81" t="str"/>
      <x:c r="J517" s="81" t="str"/>
      <x:c r="K517" s="81" t="inlineStr">
        <x:is>
          <x:t xml:space="preserve">Recognize</x:t>
        </x:is>
      </x:c>
      <x:c r="L517" s="81" t="inlineStr">
        <x:is>
          <x:t xml:space="preserve">Distinguish</x:t>
        </x:is>
      </x:c>
      <x:c r="M517" s="81" t="inlineStr">
        <x:is>
          <x:t xml:space="preserve">Triết học / dialogue</x:t>
        </x:is>
      </x:c>
      <x:c r="N517" s="81" t="inlineStr">
        <x:is>
          <x:t xml:space="preserve">μέχρι λόγου μὴ ὄκνει συμπεριφέρεσθαι αὐτῷ.</x:t>
        </x:is>
      </x:c>
      <x:c r="O517" s="81" t="inlineStr">
        <x:is>
          <x:t xml:space="preserve">Ancient Greek</x:t>
        </x:is>
      </x:c>
      <x:c r="P517" s="81" t="inlineStr">
        <x:is>
          <x:t xml:space="preserve">Khi người khác đau buồn, đừng ngại ở cạnh và biểu lộ sự cảm thông bằng lời.</x:t>
        </x:is>
      </x:c>
      <x:c r="Q517" s="81" t="inlineStr">
        <x:is>
          <x:t xml:space="preserve">Epictetus (reported/compiled by Arrian for Discourses/Handbook tradition)</x:t>
        </x:is>
      </x:c>
      <x:c r="R517" s="81" t="inlineStr">
        <x:is>
          <x:t xml:space="preserve">Stoic / Greco-Roman</x:t>
        </x:is>
      </x:c>
      <x:c r="S517" s="81" t="inlineStr">
        <x:is>
          <x:t xml:space="preserve">Enchiridion / Discourses</x:t>
        </x:is>
      </x:c>
      <x:c r="T517" s="81" t="inlineStr">
        <x:is>
          <x:t xml:space="preserve">Enchiridion 16</x:t>
        </x:is>
      </x:c>
      <x:c r="U517" s="81" t="inlineStr">
        <x:is>
          <x:t xml:space="preserve">https://www.perseus.tufts.edu/hopper/text?doc=Perseus:text:1999.01.0235:text=enc</x:t>
        </x:is>
      </x:c>
      <x:c r="V517" s="81" t="inlineStr">
        <x:is>
          <x:t xml:space="preserve">Primary Greek edition / institutional corpus</x:t>
        </x:is>
      </x:c>
      <x:c r="W517" s="81" t="inlineStr">
        <x:is>
          <x:t xml:space="preserve">Working translation</x:t>
        </x:is>
      </x:c>
      <x:c r="X517" s="81" t="inlineStr">
        <x:is>
          <x:t xml:space="preserve">A - Primary source</x:t>
        </x:is>
      </x:c>
      <x:c r="Y517" s="81" t="inlineStr">
        <x:is>
          <x:t xml:space="preserve">Greek source anchors based on Perseus Schenkl edition (1916); Vietnamese is Selflo working translation, not a published translation.</x:t>
        </x:is>
      </x:c>
      <x:c r="Z517" s="81" t="inlineStr">
        <x:is>
          <x:t xml:space="preserve">Ancient work public domain; Perseus digital text has reuse terms</x:t>
        </x:is>
      </x:c>
      <x:c r="AA517" s="81" t="inlineStr">
        <x:is>
          <x:t xml:space="preserve">Use ancient Greek/source location and a fresh Selflo translation/adaptation; do not copy modern copyrighted translations.</x:t>
        </x:is>
      </x:c>
      <x:c r="AB517" s="81" t="inlineStr">
        <x:is>
          <x:t xml:space="preserve">High</x:t>
        </x:is>
      </x:c>
      <x:c r="AC517" s="81" t="inlineStr">
        <x:is>
          <x:t xml:space="preserve">Important counterweight to caricature of Stoicism.</x:t>
        </x:is>
      </x:c>
      <x:c r="AD517" s="81" t="inlineStr">
        <x:is>
          <x:t xml:space="preserve">Needs editorial review</x:t>
        </x:is>
      </x:c>
      <x:c r="AE517" s="81" t="inlineStr">
        <x:is>
          <x:t xml:space="preserve">Needs semantic dedupe review</x:t>
        </x:is>
      </x:c>
      <x:c r="AF517" s="81" t="str"/>
      <x:c r="AG517" s="81" t="str"/>
      <x:c r="AH517" s="81" t="inlineStr">
        <x:is>
          <x:t xml:space="preserve">No</x:t>
        </x:is>
      </x:c>
      <x:c r="AI517" s="81" t="inlineStr">
        <x:is>
          <x:t xml:space="preserve">Not reviewed</x:t>
        </x:is>
      </x:c>
      <x:c r="AJ517" s="81" t="inlineStr">
        <x:is>
          <x:t xml:space="preserve">Research only</x:t>
        </x:is>
      </x:c>
      <x:c r="AK517" s="81" t="inlineStr">
        <x:is>
          <x:t xml:space="preserve">Research Pool</x:t>
        </x:is>
      </x:c>
      <x:c r="AL517" s="81" t="n">
        <x:v>7</x:v>
      </x:c>
      <x:c r="AM517" s="81" t="inlineStr">
        <x:is>
          <x:t xml:space="preserve">ChatGPT research</x:t>
        </x:is>
      </x:c>
      <x:c r="AN517" s="81" t="inlineStr">
        <x:is>
          <x:t xml:space="preserve">2026-09-18</x:t>
        </x:is>
      </x:c>
      <x:c r="AO517" s="81" t="inlineStr">
        <x:is>
          <x:t xml:space="preserve">Day 7 full first-pass screening: all 53 Enchiridion chapters + all 4 surviving Discourses books; only Selflo-relevant candidates materialized.</x:t>
        </x:is>
      </x:c>
    </x:row>
    <x:row r="518">
      <x:c r="A518" s="81" t="inlineStr">
        <x:is>
          <x:t xml:space="preserve">research.epictetus.day7.enchiridion.17.016</x:t>
        </x:is>
      </x:c>
      <x:c r="B518" s="81" t="inlineStr">
        <x:is>
          <x:t xml:space="preserve">Collected</x:t>
        </x:is>
      </x:c>
      <x:c r="C518" s="81" t="inlineStr">
        <x:is>
          <x:t xml:space="preserve">Nội tâm &amp; hiểu mình</x:t>
        </x:is>
      </x:c>
      <x:c r="D518" s="81" t="inlineStr">
        <x:is>
          <x:t xml:space="preserve">Day 7 / Epictetus — Enchiridion + Discourses</x:t>
        </x:is>
      </x:c>
      <x:c r="E518" s="81" t="str"/>
      <x:c r="F518" s="81" t="str"/>
      <x:c r="G518" s="81" t="inlineStr">
        <x:is>
          <x:t xml:space="preserve">Agency</x:t>
        </x:is>
      </x:c>
      <x:c r="H518" s="81" t="str"/>
      <x:c r="I518" s="81" t="str"/>
      <x:c r="J518" s="81" t="str"/>
      <x:c r="K518" s="81" t="inlineStr">
        <x:is>
          <x:t xml:space="preserve">Distinguish</x:t>
        </x:is>
      </x:c>
      <x:c r="L518" s="81" t="inlineStr">
        <x:is>
          <x:t xml:space="preserve">Recognize</x:t>
        </x:is>
      </x:c>
      <x:c r="M518" s="81" t="inlineStr">
        <x:is>
          <x:t xml:space="preserve">Triết học / dialogue</x:t>
        </x:is>
      </x:c>
      <x:c r="N518" s="81" t="inlineStr">
        <x:is>
          <x:t xml:space="preserve">ὅτι ὑποκριτὴς εἶ δράματος, οἵου ἂν θέλῃ ὁ διδάσκαλος.</x:t>
        </x:is>
      </x:c>
      <x:c r="O518" s="81" t="inlineStr">
        <x:is>
          <x:t xml:space="preserve">Ancient Greek</x:t>
        </x:is>
      </x:c>
      <x:c r="P518" s="81" t="inlineStr">
        <x:is>
          <x:t xml:space="preserve">Epictetus dùng hình ảnh diễn viên: ta không chọn toàn bộ vở diễn, nhưng vẫn có phần trong cách mình đóng vai.</x:t>
        </x:is>
      </x:c>
      <x:c r="Q518" s="81" t="inlineStr">
        <x:is>
          <x:t xml:space="preserve">Epictetus (reported/compiled by Arrian for Discourses/Handbook tradition)</x:t>
        </x:is>
      </x:c>
      <x:c r="R518" s="81" t="inlineStr">
        <x:is>
          <x:t xml:space="preserve">Stoic / Greco-Roman</x:t>
        </x:is>
      </x:c>
      <x:c r="S518" s="81" t="inlineStr">
        <x:is>
          <x:t xml:space="preserve">Enchiridion / Discourses</x:t>
        </x:is>
      </x:c>
      <x:c r="T518" s="81" t="inlineStr">
        <x:is>
          <x:t xml:space="preserve">Enchiridion 17</x:t>
        </x:is>
      </x:c>
      <x:c r="U518" s="81" t="inlineStr">
        <x:is>
          <x:t xml:space="preserve">https://www.perseus.tufts.edu/hopper/text?doc=Perseus:text:1999.01.0235:text=enc</x:t>
        </x:is>
      </x:c>
      <x:c r="V518" s="81" t="inlineStr">
        <x:is>
          <x:t xml:space="preserve">Primary Greek edition / institutional corpus</x:t>
        </x:is>
      </x:c>
      <x:c r="W518" s="81" t="inlineStr">
        <x:is>
          <x:t xml:space="preserve">Working translation</x:t>
        </x:is>
      </x:c>
      <x:c r="X518" s="81" t="inlineStr">
        <x:is>
          <x:t xml:space="preserve">A - Primary source</x:t>
        </x:is>
      </x:c>
      <x:c r="Y518" s="81" t="inlineStr">
        <x:is>
          <x:t xml:space="preserve">Greek source anchors based on Perseus Schenkl edition (1916); Vietnamese is Selflo working translation, not a published translation.</x:t>
        </x:is>
      </x:c>
      <x:c r="Z518" s="81" t="inlineStr">
        <x:is>
          <x:t xml:space="preserve">Ancient work public domain; Perseus digital text has reuse terms</x:t>
        </x:is>
      </x:c>
      <x:c r="AA518" s="81" t="inlineStr">
        <x:is>
          <x:t xml:space="preserve">Use ancient Greek/source location and a fresh Selflo translation/adaptation; do not copy modern copyrighted translations.</x:t>
        </x:is>
      </x:c>
      <x:c r="AB518" s="81" t="inlineStr">
        <x:is>
          <x:t xml:space="preserve">Medium</x:t>
        </x:is>
      </x:c>
      <x:c r="AC518" s="81" t="inlineStr">
        <x:is>
          <x:t xml:space="preserve">Theological framing; keep as metaphor.</x:t>
        </x:is>
      </x:c>
      <x:c r="AD518" s="81" t="inlineStr">
        <x:is>
          <x:t xml:space="preserve">Needs editorial review</x:t>
        </x:is>
      </x:c>
      <x:c r="AE518" s="81" t="inlineStr">
        <x:is>
          <x:t xml:space="preserve">Needs semantic dedupe review</x:t>
        </x:is>
      </x:c>
      <x:c r="AF518" s="81" t="str"/>
      <x:c r="AG518" s="81" t="str"/>
      <x:c r="AH518" s="81" t="inlineStr">
        <x:is>
          <x:t xml:space="preserve">No</x:t>
        </x:is>
      </x:c>
      <x:c r="AI518" s="81" t="inlineStr">
        <x:is>
          <x:t xml:space="preserve">Not reviewed</x:t>
        </x:is>
      </x:c>
      <x:c r="AJ518" s="81" t="inlineStr">
        <x:is>
          <x:t xml:space="preserve">Research only</x:t>
        </x:is>
      </x:c>
      <x:c r="AK518" s="81" t="inlineStr">
        <x:is>
          <x:t xml:space="preserve">Research Pool</x:t>
        </x:is>
      </x:c>
      <x:c r="AL518" s="81" t="n">
        <x:v>7</x:v>
      </x:c>
      <x:c r="AM518" s="81" t="inlineStr">
        <x:is>
          <x:t xml:space="preserve">ChatGPT research</x:t>
        </x:is>
      </x:c>
      <x:c r="AN518" s="81" t="inlineStr">
        <x:is>
          <x:t xml:space="preserve">2026-09-18</x:t>
        </x:is>
      </x:c>
      <x:c r="AO518" s="81" t="inlineStr">
        <x:is>
          <x:t xml:space="preserve">Day 7 full first-pass screening: all 53 Enchiridion chapters + all 4 surviving Discourses books; only Selflo-relevant candidates materialized.</x:t>
        </x:is>
      </x:c>
    </x:row>
    <x:row r="519">
      <x:c r="A519" s="81" t="inlineStr">
        <x:is>
          <x:t xml:space="preserve">research.epictetus.day7.enchiridion.19.017</x:t>
        </x:is>
      </x:c>
      <x:c r="B519" s="81" t="inlineStr">
        <x:is>
          <x:t xml:space="preserve">Collected</x:t>
        </x:is>
      </x:c>
      <x:c r="C519" s="81" t="inlineStr">
        <x:is>
          <x:t xml:space="preserve">Nội tâm &amp; hiểu mình</x:t>
        </x:is>
      </x:c>
      <x:c r="D519" s="81" t="inlineStr">
        <x:is>
          <x:t xml:space="preserve">Day 7 / Epictetus — Enchiridion + Discourses</x:t>
        </x:is>
      </x:c>
      <x:c r="E519" s="81" t="str"/>
      <x:c r="F519" s="81" t="str"/>
      <x:c r="G519" s="81" t="inlineStr">
        <x:is>
          <x:t xml:space="preserve">Comparison</x:t>
        </x:is>
      </x:c>
      <x:c r="H519" s="81" t="str"/>
      <x:c r="I519" s="81" t="str"/>
      <x:c r="J519" s="81" t="str"/>
      <x:c r="K519" s="81" t="inlineStr">
        <x:is>
          <x:t xml:space="preserve">Return agency</x:t>
        </x:is>
      </x:c>
      <x:c r="L519" s="81" t="inlineStr">
        <x:is>
          <x:t xml:space="preserve">Recognize</x:t>
        </x:is>
      </x:c>
      <x:c r="M519" s="81" t="inlineStr">
        <x:is>
          <x:t xml:space="preserve">Triết học / dialogue</x:t>
        </x:is>
      </x:c>
      <x:c r="N519" s="81" t="inlineStr">
        <x:is>
          <x:t xml:space="preserve">δύνασαι γὰρ ἀήττητος εἶναι, ἐὰν εἰς μηδένα ἀγῶνα καταβαίνῃς, ὃν οὐκ ἔστιν ἐπὶ σοὶ νικῆσαι.</x:t>
        </x:is>
      </x:c>
      <x:c r="O519" s="81" t="inlineStr">
        <x:is>
          <x:t xml:space="preserve">Ancient Greek</x:t>
        </x:is>
      </x:c>
      <x:c r="P519" s="81" t="inlineStr">
        <x:is>
          <x:t xml:space="preserve">Không phải cuộc đua nào cũng cần trở thành thước đo của mình.</x:t>
        </x:is>
      </x:c>
      <x:c r="Q519" s="81" t="inlineStr">
        <x:is>
          <x:t xml:space="preserve">Epictetus (reported/compiled by Arrian for Discourses/Handbook tradition)</x:t>
        </x:is>
      </x:c>
      <x:c r="R519" s="81" t="inlineStr">
        <x:is>
          <x:t xml:space="preserve">Stoic / Greco-Roman</x:t>
        </x:is>
      </x:c>
      <x:c r="S519" s="81" t="inlineStr">
        <x:is>
          <x:t xml:space="preserve">Enchiridion / Discourses</x:t>
        </x:is>
      </x:c>
      <x:c r="T519" s="81" t="inlineStr">
        <x:is>
          <x:t xml:space="preserve">Enchiridion 19</x:t>
        </x:is>
      </x:c>
      <x:c r="U519" s="81" t="inlineStr">
        <x:is>
          <x:t xml:space="preserve">https://www.perseus.tufts.edu/hopper/text?doc=Perseus:text:1999.01.0235:text=enc</x:t>
        </x:is>
      </x:c>
      <x:c r="V519" s="81" t="inlineStr">
        <x:is>
          <x:t xml:space="preserve">Primary Greek edition / institutional corpus</x:t>
        </x:is>
      </x:c>
      <x:c r="W519" s="81" t="inlineStr">
        <x:is>
          <x:t xml:space="preserve">Working translation</x:t>
        </x:is>
      </x:c>
      <x:c r="X519" s="81" t="inlineStr">
        <x:is>
          <x:t xml:space="preserve">A - Primary source</x:t>
        </x:is>
      </x:c>
      <x:c r="Y519" s="81" t="inlineStr">
        <x:is>
          <x:t xml:space="preserve">Greek source anchors based on Perseus Schenkl edition (1916); Vietnamese is Selflo working translation, not a published translation.</x:t>
        </x:is>
      </x:c>
      <x:c r="Z519" s="81" t="inlineStr">
        <x:is>
          <x:t xml:space="preserve">Ancient work public domain; Perseus digital text has reuse terms</x:t>
        </x:is>
      </x:c>
      <x:c r="AA519" s="81" t="inlineStr">
        <x:is>
          <x:t xml:space="preserve">Use ancient Greek/source location and a fresh Selflo translation/adaptation; do not copy modern copyrighted translations.</x:t>
        </x:is>
      </x:c>
      <x:c r="AB519" s="81" t="inlineStr">
        <x:is>
          <x:t xml:space="preserve">High</x:t>
        </x:is>
      </x:c>
      <x:c r="AC519" s="81" t="inlineStr">
        <x:is>
          <x:t xml:space="preserve">Near duplicate ch14; dedupe later.</x:t>
        </x:is>
      </x:c>
      <x:c r="AD519" s="81" t="inlineStr">
        <x:is>
          <x:t xml:space="preserve">Needs editorial review</x:t>
        </x:is>
      </x:c>
      <x:c r="AE519" s="81" t="inlineStr">
        <x:is>
          <x:t xml:space="preserve">Needs semantic dedupe review</x:t>
        </x:is>
      </x:c>
      <x:c r="AF519" s="81" t="str"/>
      <x:c r="AG519" s="81" t="str"/>
      <x:c r="AH519" s="81" t="inlineStr">
        <x:is>
          <x:t xml:space="preserve">No</x:t>
        </x:is>
      </x:c>
      <x:c r="AI519" s="81" t="inlineStr">
        <x:is>
          <x:t xml:space="preserve">Not reviewed</x:t>
        </x:is>
      </x:c>
      <x:c r="AJ519" s="81" t="inlineStr">
        <x:is>
          <x:t xml:space="preserve">Research only</x:t>
        </x:is>
      </x:c>
      <x:c r="AK519" s="81" t="inlineStr">
        <x:is>
          <x:t xml:space="preserve">Research Pool</x:t>
        </x:is>
      </x:c>
      <x:c r="AL519" s="81" t="n">
        <x:v>7</x:v>
      </x:c>
      <x:c r="AM519" s="81" t="inlineStr">
        <x:is>
          <x:t xml:space="preserve">ChatGPT research</x:t>
        </x:is>
      </x:c>
      <x:c r="AN519" s="81" t="inlineStr">
        <x:is>
          <x:t xml:space="preserve">2026-09-18</x:t>
        </x:is>
      </x:c>
      <x:c r="AO519" s="81" t="inlineStr">
        <x:is>
          <x:t xml:space="preserve">Day 7 full first-pass screening: all 53 Enchiridion chapters + all 4 surviving Discourses books; only Selflo-relevant candidates materialized.</x:t>
        </x:is>
      </x:c>
    </x:row>
    <x:row r="520">
      <x:c r="A520" s="81" t="inlineStr">
        <x:is>
          <x:t xml:space="preserve">research.epictetus.day7.enchiridion.20.018</x:t>
        </x:is>
      </x:c>
      <x:c r="B520" s="81" t="inlineStr">
        <x:is>
          <x:t xml:space="preserve">Collected</x:t>
        </x:is>
      </x:c>
      <x:c r="C520" s="81" t="inlineStr">
        <x:is>
          <x:t xml:space="preserve">AI &amp; tương lai</x:t>
        </x:is>
      </x:c>
      <x:c r="D520" s="81" t="inlineStr">
        <x:is>
          <x:t xml:space="preserve">Day 7 / Epictetus — Enchiridion + Discourses</x:t>
        </x:is>
      </x:c>
      <x:c r="E520" s="81" t="str"/>
      <x:c r="F520" s="81" t="str"/>
      <x:c r="G520" s="81" t="inlineStr">
        <x:is>
          <x:t xml:space="preserve">Judgment</x:t>
        </x:is>
      </x:c>
      <x:c r="H520" s="81" t="str"/>
      <x:c r="I520" s="81" t="str"/>
      <x:c r="J520" s="81" t="str"/>
      <x:c r="K520" s="81" t="inlineStr">
        <x:is>
          <x:t xml:space="preserve">Distinguish</x:t>
        </x:is>
      </x:c>
      <x:c r="L520" s="81" t="inlineStr">
        <x:is>
          <x:t xml:space="preserve">Recognize</x:t>
        </x:is>
      </x:c>
      <x:c r="M520" s="81" t="inlineStr">
        <x:is>
          <x:t xml:space="preserve">Triết học / dialogue</x:t>
        </x:is>
      </x:c>
      <x:c r="N520" s="81" t="inlineStr">
        <x:is>
          <x:t xml:space="preserve">μέμνησο, ὅτι οὐχ ὁ λοιδορῶν ἢ ὁ τύπτων ὑβρίζει, ἀλλὰ τὸ δόγμα τὸ περὶ τούτων.</x:t>
        </x:is>
      </x:c>
      <x:c r="O520" s="81" t="inlineStr">
        <x:is>
          <x:t xml:space="preserve">Ancient Greek</x:t>
        </x:is>
      </x:c>
      <x:c r="P520" s="81" t="inlineStr">
        <x:is>
          <x:t xml:space="preserve">Epictetus tách hành vi của người khác khỏi phần diễn giải mà mình tiếp tục mang theo.</x:t>
        </x:is>
      </x:c>
      <x:c r="Q520" s="81" t="inlineStr">
        <x:is>
          <x:t xml:space="preserve">Epictetus (reported/compiled by Arrian for Discourses/Handbook tradition)</x:t>
        </x:is>
      </x:c>
      <x:c r="R520" s="81" t="inlineStr">
        <x:is>
          <x:t xml:space="preserve">Stoic / Greco-Roman</x:t>
        </x:is>
      </x:c>
      <x:c r="S520" s="81" t="inlineStr">
        <x:is>
          <x:t xml:space="preserve">Enchiridion / Discourses</x:t>
        </x:is>
      </x:c>
      <x:c r="T520" s="81" t="inlineStr">
        <x:is>
          <x:t xml:space="preserve">Enchiridion 20</x:t>
        </x:is>
      </x:c>
      <x:c r="U520" s="81" t="inlineStr">
        <x:is>
          <x:t xml:space="preserve">https://www.perseus.tufts.edu/hopper/text?doc=Perseus:text:1999.01.0235:text=enc</x:t>
        </x:is>
      </x:c>
      <x:c r="V520" s="81" t="inlineStr">
        <x:is>
          <x:t xml:space="preserve">Primary Greek edition / institutional corpus</x:t>
        </x:is>
      </x:c>
      <x:c r="W520" s="81" t="inlineStr">
        <x:is>
          <x:t xml:space="preserve">Working translation</x:t>
        </x:is>
      </x:c>
      <x:c r="X520" s="81" t="inlineStr">
        <x:is>
          <x:t xml:space="preserve">A - Primary source</x:t>
        </x:is>
      </x:c>
      <x:c r="Y520" s="81" t="inlineStr">
        <x:is>
          <x:t xml:space="preserve">Greek source anchors based on Perseus Schenkl edition (1916); Vietnamese is Selflo working translation, not a published translation.</x:t>
        </x:is>
      </x:c>
      <x:c r="Z520" s="81" t="inlineStr">
        <x:is>
          <x:t xml:space="preserve">Ancient work public domain; Perseus digital text has reuse terms</x:t>
        </x:is>
      </x:c>
      <x:c r="AA520" s="81" t="inlineStr">
        <x:is>
          <x:t xml:space="preserve">Use ancient Greek/source location and a fresh Selflo translation/adaptation; do not copy modern copyrighted translations.</x:t>
        </x:is>
      </x:c>
      <x:c r="AB520" s="81" t="inlineStr">
        <x:is>
          <x:t xml:space="preserve">Medium</x:t>
        </x:is>
      </x:c>
      <x:c r="AC520" s="81" t="inlineStr">
        <x:is>
          <x:t xml:space="preserve">Must not minimize abuse/violence.</x:t>
        </x:is>
      </x:c>
      <x:c r="AD520" s="81" t="inlineStr">
        <x:is>
          <x:t xml:space="preserve">Needs editorial review</x:t>
        </x:is>
      </x:c>
      <x:c r="AE520" s="81" t="inlineStr">
        <x:is>
          <x:t xml:space="preserve">Needs semantic dedupe review</x:t>
        </x:is>
      </x:c>
      <x:c r="AF520" s="81" t="str"/>
      <x:c r="AG520" s="81" t="str"/>
      <x:c r="AH520" s="81" t="inlineStr">
        <x:is>
          <x:t xml:space="preserve">No</x:t>
        </x:is>
      </x:c>
      <x:c r="AI520" s="81" t="inlineStr">
        <x:is>
          <x:t xml:space="preserve">Not reviewed</x:t>
        </x:is>
      </x:c>
      <x:c r="AJ520" s="81" t="inlineStr">
        <x:is>
          <x:t xml:space="preserve">Research only</x:t>
        </x:is>
      </x:c>
      <x:c r="AK520" s="81" t="inlineStr">
        <x:is>
          <x:t xml:space="preserve">Research Pool</x:t>
        </x:is>
      </x:c>
      <x:c r="AL520" s="81" t="n">
        <x:v>7</x:v>
      </x:c>
      <x:c r="AM520" s="81" t="inlineStr">
        <x:is>
          <x:t xml:space="preserve">ChatGPT research</x:t>
        </x:is>
      </x:c>
      <x:c r="AN520" s="81" t="inlineStr">
        <x:is>
          <x:t xml:space="preserve">2026-09-18</x:t>
        </x:is>
      </x:c>
      <x:c r="AO520" s="81" t="inlineStr">
        <x:is>
          <x:t xml:space="preserve">Day 7 full first-pass screening: all 53 Enchiridion chapters + all 4 surviving Discourses books; only Selflo-relevant candidates materialized.</x:t>
        </x:is>
      </x:c>
    </x:row>
    <x:row r="521">
      <x:c r="A521" s="81" t="inlineStr">
        <x:is>
          <x:t xml:space="preserve">research.epictetus.day7.enchiridion.21.019</x:t>
        </x:is>
      </x:c>
      <x:c r="B521" s="81" t="inlineStr">
        <x:is>
          <x:t xml:space="preserve">Collected</x:t>
        </x:is>
      </x:c>
      <x:c r="C521" s="81" t="inlineStr">
        <x:is>
          <x:t xml:space="preserve">Nội tâm &amp; hiểu mình</x:t>
        </x:is>
      </x:c>
      <x:c r="D521" s="81" t="inlineStr">
        <x:is>
          <x:t xml:space="preserve">Day 7 / Epictetus — Enchiridion + Discourses</x:t>
        </x:is>
      </x:c>
      <x:c r="E521" s="81" t="str"/>
      <x:c r="F521" s="81" t="str"/>
      <x:c r="G521" s="81" t="inlineStr">
        <x:is>
          <x:t xml:space="preserve">Mortality</x:t>
        </x:is>
      </x:c>
      <x:c r="H521" s="81" t="str"/>
      <x:c r="I521" s="81" t="str"/>
      <x:c r="J521" s="81" t="str"/>
      <x:c r="K521" s="81" t="inlineStr">
        <x:is>
          <x:t xml:space="preserve">Reframe</x:t>
        </x:is>
      </x:c>
      <x:c r="L521" s="81" t="inlineStr">
        <x:is>
          <x:t xml:space="preserve">Recognize</x:t>
        </x:is>
      </x:c>
      <x:c r="M521" s="81" t="inlineStr">
        <x:is>
          <x:t xml:space="preserve">Triết học / dialogue</x:t>
        </x:is>
      </x:c>
      <x:c r="N521" s="81" t="inlineStr">
        <x:is>
          <x:t xml:space="preserve">θάνατος καὶ φυγὴ καὶ πάντα τὰ φαινόμενα δεινὰ πρὸ ὀφθαλμῶν ἔστω καθ᾽ ἡμέραν.</x:t>
        </x:is>
      </x:c>
      <x:c r="O521" s="81" t="inlineStr">
        <x:is>
          <x:t xml:space="preserve">Ancient Greek</x:t>
        </x:is>
      </x:c>
      <x:c r="P521" s="81" t="inlineStr">
        <x:is>
          <x:t xml:space="preserve">Văn bản khuyên nhớ đến tính hữu hạn để thấy điều gì thật sự quan trọng.</x:t>
        </x:is>
      </x:c>
      <x:c r="Q521" s="81" t="inlineStr">
        <x:is>
          <x:t xml:space="preserve">Epictetus (reported/compiled by Arrian for Discourses/Handbook tradition)</x:t>
        </x:is>
      </x:c>
      <x:c r="R521" s="81" t="inlineStr">
        <x:is>
          <x:t xml:space="preserve">Stoic / Greco-Roman</x:t>
        </x:is>
      </x:c>
      <x:c r="S521" s="81" t="inlineStr">
        <x:is>
          <x:t xml:space="preserve">Enchiridion / Discourses</x:t>
        </x:is>
      </x:c>
      <x:c r="T521" s="81" t="inlineStr">
        <x:is>
          <x:t xml:space="preserve">Enchiridion 21</x:t>
        </x:is>
      </x:c>
      <x:c r="U521" s="81" t="inlineStr">
        <x:is>
          <x:t xml:space="preserve">https://www.perseus.tufts.edu/hopper/text?doc=Perseus:text:1999.01.0235:text=enc</x:t>
        </x:is>
      </x:c>
      <x:c r="V521" s="81" t="inlineStr">
        <x:is>
          <x:t xml:space="preserve">Primary Greek edition / institutional corpus</x:t>
        </x:is>
      </x:c>
      <x:c r="W521" s="81" t="inlineStr">
        <x:is>
          <x:t xml:space="preserve">Working translation</x:t>
        </x:is>
      </x:c>
      <x:c r="X521" s="81" t="inlineStr">
        <x:is>
          <x:t xml:space="preserve">A - Primary source</x:t>
        </x:is>
      </x:c>
      <x:c r="Y521" s="81" t="inlineStr">
        <x:is>
          <x:t xml:space="preserve">Greek source anchors based on Perseus Schenkl edition (1916); Vietnamese is Selflo working translation, not a published translation.</x:t>
        </x:is>
      </x:c>
      <x:c r="Z521" s="81" t="inlineStr">
        <x:is>
          <x:t xml:space="preserve">Ancient work public domain; Perseus digital text has reuse terms</x:t>
        </x:is>
      </x:c>
      <x:c r="AA521" s="81" t="inlineStr">
        <x:is>
          <x:t xml:space="preserve">Use ancient Greek/source location and a fresh Selflo translation/adaptation; do not copy modern copyrighted translations.</x:t>
        </x:is>
      </x:c>
      <x:c r="AB521" s="81" t="inlineStr">
        <x:is>
          <x:t xml:space="preserve">Low</x:t>
        </x:is>
      </x:c>
      <x:c r="AC521" s="81" t="inlineStr">
        <x:is>
          <x:t xml:space="preserve">Research only; death-sensitive.</x:t>
        </x:is>
      </x:c>
      <x:c r="AD521" s="81" t="inlineStr">
        <x:is>
          <x:t xml:space="preserve">Needs editorial review</x:t>
        </x:is>
      </x:c>
      <x:c r="AE521" s="81" t="inlineStr">
        <x:is>
          <x:t xml:space="preserve">Needs semantic dedupe review</x:t>
        </x:is>
      </x:c>
      <x:c r="AF521" s="81" t="str"/>
      <x:c r="AG521" s="81" t="str"/>
      <x:c r="AH521" s="81" t="inlineStr">
        <x:is>
          <x:t xml:space="preserve">No</x:t>
        </x:is>
      </x:c>
      <x:c r="AI521" s="81" t="inlineStr">
        <x:is>
          <x:t xml:space="preserve">Not reviewed</x:t>
        </x:is>
      </x:c>
      <x:c r="AJ521" s="81" t="inlineStr">
        <x:is>
          <x:t xml:space="preserve">Research only</x:t>
        </x:is>
      </x:c>
      <x:c r="AK521" s="81" t="inlineStr">
        <x:is>
          <x:t xml:space="preserve">Research Pool</x:t>
        </x:is>
      </x:c>
      <x:c r="AL521" s="81" t="n">
        <x:v>7</x:v>
      </x:c>
      <x:c r="AM521" s="81" t="inlineStr">
        <x:is>
          <x:t xml:space="preserve">ChatGPT research</x:t>
        </x:is>
      </x:c>
      <x:c r="AN521" s="81" t="inlineStr">
        <x:is>
          <x:t xml:space="preserve">2026-09-18</x:t>
        </x:is>
      </x:c>
      <x:c r="AO521" s="81" t="inlineStr">
        <x:is>
          <x:t xml:space="preserve">Day 7 full first-pass screening: all 53 Enchiridion chapters + all 4 surviving Discourses books; only Selflo-relevant candidates materialized.</x:t>
        </x:is>
      </x:c>
    </x:row>
    <x:row r="522">
      <x:c r="A522" s="81" t="inlineStr">
        <x:is>
          <x:t xml:space="preserve">research.epictetus.day7.enchiridion.22.020</x:t>
        </x:is>
      </x:c>
      <x:c r="B522" s="81" t="inlineStr">
        <x:is>
          <x:t xml:space="preserve">Collected</x:t>
        </x:is>
      </x:c>
      <x:c r="C522" s="81" t="inlineStr">
        <x:is>
          <x:t xml:space="preserve">Nội tâm &amp; hiểu mình</x:t>
        </x:is>
      </x:c>
      <x:c r="D522" s="81" t="inlineStr">
        <x:is>
          <x:t xml:space="preserve">Day 7 / Epictetus — Enchiridion + Discourses</x:t>
        </x:is>
      </x:c>
      <x:c r="E522" s="81" t="str"/>
      <x:c r="F522" s="81" t="str"/>
      <x:c r="G522" s="81" t="inlineStr">
        <x:is>
          <x:t xml:space="preserve">Values</x:t>
        </x:is>
      </x:c>
      <x:c r="H522" s="81" t="str"/>
      <x:c r="I522" s="81" t="str"/>
      <x:c r="J522" s="81" t="str"/>
      <x:c r="K522" s="81" t="inlineStr">
        <x:is>
          <x:t xml:space="preserve">Permit</x:t>
        </x:is>
      </x:c>
      <x:c r="L522" s="81" t="inlineStr">
        <x:is>
          <x:t xml:space="preserve">Recognize</x:t>
        </x:is>
      </x:c>
      <x:c r="M522" s="81" t="inlineStr">
        <x:is>
          <x:t xml:space="preserve">Triết học / dialogue</x:t>
        </x:is>
      </x:c>
      <x:c r="N522" s="81" t="inlineStr">
        <x:is>
          <x:t xml:space="preserve">εἰ φιλοσοφίας ἐπιθυμεῖς, παρασκευάζου αὐτόθεν καταγελασθησόμενος.</x:t>
        </x:is>
      </x:c>
      <x:c r="O522" s="81" t="inlineStr">
        <x:is>
          <x:t xml:space="preserve">Ancient Greek</x:t>
        </x:is>
      </x:c>
      <x:c r="P522" s="81" t="inlineStr">
        <x:is>
          <x:t xml:space="preserve">Nếu chọn một hướng khác chuẩn chung, hãy chuẩn bị cho việc có thể bị người khác cười.</x:t>
        </x:is>
      </x:c>
      <x:c r="Q522" s="81" t="inlineStr">
        <x:is>
          <x:t xml:space="preserve">Epictetus (reported/compiled by Arrian for Discourses/Handbook tradition)</x:t>
        </x:is>
      </x:c>
      <x:c r="R522" s="81" t="inlineStr">
        <x:is>
          <x:t xml:space="preserve">Stoic / Greco-Roman</x:t>
        </x:is>
      </x:c>
      <x:c r="S522" s="81" t="inlineStr">
        <x:is>
          <x:t xml:space="preserve">Enchiridion / Discourses</x:t>
        </x:is>
      </x:c>
      <x:c r="T522" s="81" t="inlineStr">
        <x:is>
          <x:t xml:space="preserve">Enchiridion 22</x:t>
        </x:is>
      </x:c>
      <x:c r="U522" s="81" t="inlineStr">
        <x:is>
          <x:t xml:space="preserve">https://www.perseus.tufts.edu/hopper/text?doc=Perseus:text:1999.01.0235:text=enc</x:t>
        </x:is>
      </x:c>
      <x:c r="V522" s="81" t="inlineStr">
        <x:is>
          <x:t xml:space="preserve">Primary Greek edition / institutional corpus</x:t>
        </x:is>
      </x:c>
      <x:c r="W522" s="81" t="inlineStr">
        <x:is>
          <x:t xml:space="preserve">Working translation</x:t>
        </x:is>
      </x:c>
      <x:c r="X522" s="81" t="inlineStr">
        <x:is>
          <x:t xml:space="preserve">A - Primary source</x:t>
        </x:is>
      </x:c>
      <x:c r="Y522" s="81" t="inlineStr">
        <x:is>
          <x:t xml:space="preserve">Greek source anchors based on Perseus Schenkl edition (1916); Vietnamese is Selflo working translation, not a published translation.</x:t>
        </x:is>
      </x:c>
      <x:c r="Z522" s="81" t="inlineStr">
        <x:is>
          <x:t xml:space="preserve">Ancient work public domain; Perseus digital text has reuse terms</x:t>
        </x:is>
      </x:c>
      <x:c r="AA522" s="81" t="inlineStr">
        <x:is>
          <x:t xml:space="preserve">Use ancient Greek/source location and a fresh Selflo translation/adaptation; do not copy modern copyrighted translations.</x:t>
        </x:is>
      </x:c>
      <x:c r="AB522" s="81" t="inlineStr">
        <x:is>
          <x:t xml:space="preserve">High</x:t>
        </x:is>
      </x:c>
      <x:c r="AC522" s="81" t="inlineStr">
        <x:is>
          <x:t xml:space="preserve">Good agency.</x:t>
        </x:is>
      </x:c>
      <x:c r="AD522" s="81" t="inlineStr">
        <x:is>
          <x:t xml:space="preserve">Needs editorial review</x:t>
        </x:is>
      </x:c>
      <x:c r="AE522" s="81" t="inlineStr">
        <x:is>
          <x:t xml:space="preserve">Needs semantic dedupe review</x:t>
        </x:is>
      </x:c>
      <x:c r="AF522" s="81" t="str"/>
      <x:c r="AG522" s="81" t="str"/>
      <x:c r="AH522" s="81" t="inlineStr">
        <x:is>
          <x:t xml:space="preserve">No</x:t>
        </x:is>
      </x:c>
      <x:c r="AI522" s="81" t="inlineStr">
        <x:is>
          <x:t xml:space="preserve">Not reviewed</x:t>
        </x:is>
      </x:c>
      <x:c r="AJ522" s="81" t="inlineStr">
        <x:is>
          <x:t xml:space="preserve">Research only</x:t>
        </x:is>
      </x:c>
      <x:c r="AK522" s="81" t="inlineStr">
        <x:is>
          <x:t xml:space="preserve">Research Pool</x:t>
        </x:is>
      </x:c>
      <x:c r="AL522" s="81" t="n">
        <x:v>7</x:v>
      </x:c>
      <x:c r="AM522" s="81" t="inlineStr">
        <x:is>
          <x:t xml:space="preserve">ChatGPT research</x:t>
        </x:is>
      </x:c>
      <x:c r="AN522" s="81" t="inlineStr">
        <x:is>
          <x:t xml:space="preserve">2026-09-18</x:t>
        </x:is>
      </x:c>
      <x:c r="AO522" s="81" t="inlineStr">
        <x:is>
          <x:t xml:space="preserve">Day 7 full first-pass screening: all 53 Enchiridion chapters + all 4 surviving Discourses books; only Selflo-relevant candidates materialized.</x:t>
        </x:is>
      </x:c>
    </x:row>
    <x:row r="523">
      <x:c r="A523" s="81" t="inlineStr">
        <x:is>
          <x:t xml:space="preserve">research.epictetus.day7.enchiridion.24.021</x:t>
        </x:is>
      </x:c>
      <x:c r="B523" s="81" t="inlineStr">
        <x:is>
          <x:t xml:space="preserve">Collected</x:t>
        </x:is>
      </x:c>
      <x:c r="C523" s="81" t="inlineStr">
        <x:is>
          <x:t xml:space="preserve">Nội tâm &amp; hiểu mình</x:t>
        </x:is>
      </x:c>
      <x:c r="D523" s="81" t="inlineStr">
        <x:is>
          <x:t xml:space="preserve">Day 7 / Epictetus — Enchiridion + Discourses</x:t>
        </x:is>
      </x:c>
      <x:c r="E523" s="81" t="str"/>
      <x:c r="F523" s="81" t="str"/>
      <x:c r="G523" s="81" t="inlineStr">
        <x:is>
          <x:t xml:space="preserve">Self-worth</x:t>
        </x:is>
      </x:c>
      <x:c r="H523" s="81" t="str"/>
      <x:c r="I523" s="81" t="str"/>
      <x:c r="J523" s="81" t="str"/>
      <x:c r="K523" s="81" t="inlineStr">
        <x:is>
          <x:t xml:space="preserve">Distinguish</x:t>
        </x:is>
      </x:c>
      <x:c r="L523" s="81" t="inlineStr">
        <x:is>
          <x:t xml:space="preserve">Recognize</x:t>
        </x:is>
      </x:c>
      <x:c r="M523" s="81" t="inlineStr">
        <x:is>
          <x:t xml:space="preserve">Triết học / dialogue</x:t>
        </x:is>
      </x:c>
      <x:c r="N523" s="81" t="inlineStr">
        <x:is>
          <x:t xml:space="preserve">εἰ γὰρ τοῦτο οὐκ ἔστιν ἐπὶ σοί, πῶς ἔτι σόν ἐστιν;</x:t>
        </x:is>
      </x:c>
      <x:c r="O523" s="81" t="inlineStr">
        <x:is>
          <x:t xml:space="preserve">Ancient Greek</x:t>
        </x:is>
      </x:c>
      <x:c r="P523" s="81" t="inlineStr">
        <x:is>
          <x:t xml:space="preserve">Nếu kết quả ấy không nằm trong quyền mình, vì sao lại lấy nó làm toàn bộ thước đo của mình?</x:t>
        </x:is>
      </x:c>
      <x:c r="Q523" s="81" t="inlineStr">
        <x:is>
          <x:t xml:space="preserve">Epictetus (reported/compiled by Arrian for Discourses/Handbook tradition)</x:t>
        </x:is>
      </x:c>
      <x:c r="R523" s="81" t="inlineStr">
        <x:is>
          <x:t xml:space="preserve">Stoic / Greco-Roman</x:t>
        </x:is>
      </x:c>
      <x:c r="S523" s="81" t="inlineStr">
        <x:is>
          <x:t xml:space="preserve">Enchiridion / Discourses</x:t>
        </x:is>
      </x:c>
      <x:c r="T523" s="81" t="inlineStr">
        <x:is>
          <x:t xml:space="preserve">Enchiridion 24</x:t>
        </x:is>
      </x:c>
      <x:c r="U523" s="81" t="inlineStr">
        <x:is>
          <x:t xml:space="preserve">https://www.perseus.tufts.edu/hopper/text?doc=Perseus:text:1999.01.0235:text=enc</x:t>
        </x:is>
      </x:c>
      <x:c r="V523" s="81" t="inlineStr">
        <x:is>
          <x:t xml:space="preserve">Primary Greek edition / institutional corpus</x:t>
        </x:is>
      </x:c>
      <x:c r="W523" s="81" t="inlineStr">
        <x:is>
          <x:t xml:space="preserve">Working translation</x:t>
        </x:is>
      </x:c>
      <x:c r="X523" s="81" t="inlineStr">
        <x:is>
          <x:t xml:space="preserve">A - Primary source</x:t>
        </x:is>
      </x:c>
      <x:c r="Y523" s="81" t="inlineStr">
        <x:is>
          <x:t xml:space="preserve">Greek source anchors based on Perseus Schenkl edition (1916); Vietnamese is Selflo working translation, not a published translation.</x:t>
        </x:is>
      </x:c>
      <x:c r="Z523" s="81" t="inlineStr">
        <x:is>
          <x:t xml:space="preserve">Ancient work public domain; Perseus digital text has reuse terms</x:t>
        </x:is>
      </x:c>
      <x:c r="AA523" s="81" t="inlineStr">
        <x:is>
          <x:t xml:space="preserve">Use ancient Greek/source location and a fresh Selflo translation/adaptation; do not copy modern copyrighted translations.</x:t>
        </x:is>
      </x:c>
      <x:c r="AB523" s="81" t="inlineStr">
        <x:is>
          <x:t xml:space="preserve">High</x:t>
        </x:is>
      </x:c>
      <x:c r="AC523" s="81" t="inlineStr">
        <x:is>
          <x:t xml:space="preserve">Working translation.</x:t>
        </x:is>
      </x:c>
      <x:c r="AD523" s="81" t="inlineStr">
        <x:is>
          <x:t xml:space="preserve">Needs editorial review</x:t>
        </x:is>
      </x:c>
      <x:c r="AE523" s="81" t="inlineStr">
        <x:is>
          <x:t xml:space="preserve">Needs semantic dedupe review</x:t>
        </x:is>
      </x:c>
      <x:c r="AF523" s="81" t="str"/>
      <x:c r="AG523" s="81" t="str"/>
      <x:c r="AH523" s="81" t="inlineStr">
        <x:is>
          <x:t xml:space="preserve">No</x:t>
        </x:is>
      </x:c>
      <x:c r="AI523" s="81" t="inlineStr">
        <x:is>
          <x:t xml:space="preserve">Not reviewed</x:t>
        </x:is>
      </x:c>
      <x:c r="AJ523" s="81" t="inlineStr">
        <x:is>
          <x:t xml:space="preserve">Research only</x:t>
        </x:is>
      </x:c>
      <x:c r="AK523" s="81" t="inlineStr">
        <x:is>
          <x:t xml:space="preserve">Research Pool</x:t>
        </x:is>
      </x:c>
      <x:c r="AL523" s="81" t="n">
        <x:v>7</x:v>
      </x:c>
      <x:c r="AM523" s="81" t="inlineStr">
        <x:is>
          <x:t xml:space="preserve">ChatGPT research</x:t>
        </x:is>
      </x:c>
      <x:c r="AN523" s="81" t="inlineStr">
        <x:is>
          <x:t xml:space="preserve">2026-09-18</x:t>
        </x:is>
      </x:c>
      <x:c r="AO523" s="81" t="inlineStr">
        <x:is>
          <x:t xml:space="preserve">Day 7 full first-pass screening: all 53 Enchiridion chapters + all 4 surviving Discourses books; only Selflo-relevant candidates materialized.</x:t>
        </x:is>
      </x:c>
    </x:row>
    <x:row r="524">
      <x:c r="A524" s="81" t="inlineStr">
        <x:is>
          <x:t xml:space="preserve">research.epictetus.day7.enchiridion.25.022</x:t>
        </x:is>
      </x:c>
      <x:c r="B524" s="81" t="inlineStr">
        <x:is>
          <x:t xml:space="preserve">Collected</x:t>
        </x:is>
      </x:c>
      <x:c r="C524" s="81" t="inlineStr">
        <x:is>
          <x:t xml:space="preserve">Công việc &amp; mục đích</x:t>
        </x:is>
      </x:c>
      <x:c r="D524" s="81" t="inlineStr">
        <x:is>
          <x:t xml:space="preserve">Day 7 / Epictetus — Enchiridion + Discourses</x:t>
        </x:is>
      </x:c>
      <x:c r="E524" s="81" t="str"/>
      <x:c r="F524" s="81" t="str"/>
      <x:c r="G524" s="81" t="inlineStr">
        <x:is>
          <x:t xml:space="preserve">Choice</x:t>
        </x:is>
      </x:c>
      <x:c r="H524" s="81" t="str"/>
      <x:c r="I524" s="81" t="str"/>
      <x:c r="J524" s="81" t="str"/>
      <x:c r="K524" s="81" t="inlineStr">
        <x:is>
          <x:t xml:space="preserve">Open question</x:t>
        </x:is>
      </x:c>
      <x:c r="L524" s="81" t="inlineStr">
        <x:is>
          <x:t xml:space="preserve">Recognize</x:t>
        </x:is>
      </x:c>
      <x:c r="M524" s="81" t="inlineStr">
        <x:is>
          <x:t xml:space="preserve">Triết học / dialogue</x:t>
        </x:is>
      </x:c>
      <x:c r="N524" s="81" t="inlineStr">
        <x:is>
          <x:t xml:space="preserve">ἐπὶ πόσου πωλεῖται;</x:t>
        </x:is>
      </x:c>
      <x:c r="O524" s="81" t="inlineStr">
        <x:is>
          <x:t xml:space="preserve">Ancient Greek</x:t>
        </x:is>
      </x:c>
      <x:c r="P524" s="81" t="inlineStr">
        <x:is>
          <x:t xml:space="preserve">Điều này đang được mua bằng giá nào?</x:t>
        </x:is>
      </x:c>
      <x:c r="Q524" s="81" t="inlineStr">
        <x:is>
          <x:t xml:space="preserve">Epictetus (reported/compiled by Arrian for Discourses/Handbook tradition)</x:t>
        </x:is>
      </x:c>
      <x:c r="R524" s="81" t="inlineStr">
        <x:is>
          <x:t xml:space="preserve">Stoic / Greco-Roman</x:t>
        </x:is>
      </x:c>
      <x:c r="S524" s="81" t="inlineStr">
        <x:is>
          <x:t xml:space="preserve">Enchiridion / Discourses</x:t>
        </x:is>
      </x:c>
      <x:c r="T524" s="81" t="inlineStr">
        <x:is>
          <x:t xml:space="preserve">Enchiridion 25</x:t>
        </x:is>
      </x:c>
      <x:c r="U524" s="81" t="inlineStr">
        <x:is>
          <x:t xml:space="preserve">https://www.perseus.tufts.edu/hopper/text?doc=Perseus:text:1999.01.0235:text=enc</x:t>
        </x:is>
      </x:c>
      <x:c r="V524" s="81" t="inlineStr">
        <x:is>
          <x:t xml:space="preserve">Primary Greek edition / institutional corpus</x:t>
        </x:is>
      </x:c>
      <x:c r="W524" s="81" t="inlineStr">
        <x:is>
          <x:t xml:space="preserve">Working translation</x:t>
        </x:is>
      </x:c>
      <x:c r="X524" s="81" t="inlineStr">
        <x:is>
          <x:t xml:space="preserve">A - Primary source</x:t>
        </x:is>
      </x:c>
      <x:c r="Y524" s="81" t="inlineStr">
        <x:is>
          <x:t xml:space="preserve">Greek source anchors based on Perseus Schenkl edition (1916); Vietnamese is Selflo working translation, not a published translation.</x:t>
        </x:is>
      </x:c>
      <x:c r="Z524" s="81" t="inlineStr">
        <x:is>
          <x:t xml:space="preserve">Ancient work public domain; Perseus digital text has reuse terms</x:t>
        </x:is>
      </x:c>
      <x:c r="AA524" s="81" t="inlineStr">
        <x:is>
          <x:t xml:space="preserve">Use ancient Greek/source location and a fresh Selflo translation/adaptation; do not copy modern copyrighted translations.</x:t>
        </x:is>
      </x:c>
      <x:c r="AB524" s="81" t="inlineStr">
        <x:is>
          <x:t xml:space="preserve">High</x:t>
        </x:is>
      </x:c>
      <x:c r="AC524" s="81" t="inlineStr">
        <x:is>
          <x:t xml:space="preserve">Excellent concise reflection prompt.</x:t>
        </x:is>
      </x:c>
      <x:c r="AD524" s="81" t="inlineStr">
        <x:is>
          <x:t xml:space="preserve">Needs editorial review</x:t>
        </x:is>
      </x:c>
      <x:c r="AE524" s="81" t="inlineStr">
        <x:is>
          <x:t xml:space="preserve">Needs semantic dedupe review</x:t>
        </x:is>
      </x:c>
      <x:c r="AF524" s="81" t="str"/>
      <x:c r="AG524" s="81" t="str"/>
      <x:c r="AH524" s="81" t="inlineStr">
        <x:is>
          <x:t xml:space="preserve">No</x:t>
        </x:is>
      </x:c>
      <x:c r="AI524" s="81" t="inlineStr">
        <x:is>
          <x:t xml:space="preserve">Not reviewed</x:t>
        </x:is>
      </x:c>
      <x:c r="AJ524" s="81" t="inlineStr">
        <x:is>
          <x:t xml:space="preserve">Research only</x:t>
        </x:is>
      </x:c>
      <x:c r="AK524" s="81" t="inlineStr">
        <x:is>
          <x:t xml:space="preserve">Research Pool</x:t>
        </x:is>
      </x:c>
      <x:c r="AL524" s="81" t="n">
        <x:v>7</x:v>
      </x:c>
      <x:c r="AM524" s="81" t="inlineStr">
        <x:is>
          <x:t xml:space="preserve">ChatGPT research</x:t>
        </x:is>
      </x:c>
      <x:c r="AN524" s="81" t="inlineStr">
        <x:is>
          <x:t xml:space="preserve">2026-09-18</x:t>
        </x:is>
      </x:c>
      <x:c r="AO524" s="81" t="inlineStr">
        <x:is>
          <x:t xml:space="preserve">Day 7 full first-pass screening: all 53 Enchiridion chapters + all 4 surviving Discourses books; only Selflo-relevant candidates materialized.</x:t>
        </x:is>
      </x:c>
    </x:row>
    <x:row r="525">
      <x:c r="A525" s="81" t="inlineStr">
        <x:is>
          <x:t xml:space="preserve">research.epictetus.day7.enchiridion.28.023</x:t>
        </x:is>
      </x:c>
      <x:c r="B525" s="81" t="inlineStr">
        <x:is>
          <x:t xml:space="preserve">Collected</x:t>
        </x:is>
      </x:c>
      <x:c r="C525" s="81" t="inlineStr">
        <x:is>
          <x:t xml:space="preserve">Nội tâm &amp; hiểu mình</x:t>
        </x:is>
      </x:c>
      <x:c r="D525" s="81" t="inlineStr">
        <x:is>
          <x:t xml:space="preserve">Day 7 / Epictetus — Enchiridion + Discourses</x:t>
        </x:is>
      </x:c>
      <x:c r="E525" s="81" t="str"/>
      <x:c r="F525" s="81" t="str"/>
      <x:c r="G525" s="81" t="inlineStr">
        <x:is>
          <x:t xml:space="preserve">Agency</x:t>
        </x:is>
      </x:c>
      <x:c r="H525" s="81" t="str"/>
      <x:c r="I525" s="81" t="str"/>
      <x:c r="J525" s="81" t="str"/>
      <x:c r="K525" s="81" t="inlineStr">
        <x:is>
          <x:t xml:space="preserve">Return agency</x:t>
        </x:is>
      </x:c>
      <x:c r="L525" s="81" t="inlineStr">
        <x:is>
          <x:t xml:space="preserve">Recognize</x:t>
        </x:is>
      </x:c>
      <x:c r="M525" s="81" t="inlineStr">
        <x:is>
          <x:t xml:space="preserve">Triết học / dialogue</x:t>
        </x:is>
      </x:c>
      <x:c r="N525" s="81" t="inlineStr">
        <x:is>
          <x:t xml:space="preserve">εἰ μὲν τὸ σῶμά σου ἐπεδίδου τις τῷ ἀπαντήσαντι, ἠγανάκτεις ἄν.</x:t>
        </x:is>
      </x:c>
      <x:c r="O525" s="81" t="inlineStr">
        <x:is>
          <x:t xml:space="preserve">Ancient Greek</x:t>
        </x:is>
      </x:c>
      <x:c r="P525" s="81" t="inlineStr">
        <x:is>
          <x:t xml:space="preserve">Nếu ai giao thân thể bạn cho người lạ, bạn sẽ phản đối; vậy tại sao lại giao tâm trí mình cho mọi lời đánh giá đi ngang qua?</x:t>
        </x:is>
      </x:c>
      <x:c r="Q525" s="81" t="inlineStr">
        <x:is>
          <x:t xml:space="preserve">Epictetus (reported/compiled by Arrian for Discourses/Handbook tradition)</x:t>
        </x:is>
      </x:c>
      <x:c r="R525" s="81" t="inlineStr">
        <x:is>
          <x:t xml:space="preserve">Stoic / Greco-Roman</x:t>
        </x:is>
      </x:c>
      <x:c r="S525" s="81" t="inlineStr">
        <x:is>
          <x:t xml:space="preserve">Enchiridion / Discourses</x:t>
        </x:is>
      </x:c>
      <x:c r="T525" s="81" t="inlineStr">
        <x:is>
          <x:t xml:space="preserve">Enchiridion 28</x:t>
        </x:is>
      </x:c>
      <x:c r="U525" s="81" t="inlineStr">
        <x:is>
          <x:t xml:space="preserve">https://www.perseus.tufts.edu/hopper/text?doc=Perseus:text:1999.01.0235:text=enc</x:t>
        </x:is>
      </x:c>
      <x:c r="V525" s="81" t="inlineStr">
        <x:is>
          <x:t xml:space="preserve">Primary Greek edition / institutional corpus</x:t>
        </x:is>
      </x:c>
      <x:c r="W525" s="81" t="inlineStr">
        <x:is>
          <x:t xml:space="preserve">Working translation</x:t>
        </x:is>
      </x:c>
      <x:c r="X525" s="81" t="inlineStr">
        <x:is>
          <x:t xml:space="preserve">A - Primary source</x:t>
        </x:is>
      </x:c>
      <x:c r="Y525" s="81" t="inlineStr">
        <x:is>
          <x:t xml:space="preserve">Greek source anchors based on Perseus Schenkl edition (1916); Vietnamese is Selflo working translation, not a published translation.</x:t>
        </x:is>
      </x:c>
      <x:c r="Z525" s="81" t="inlineStr">
        <x:is>
          <x:t xml:space="preserve">Ancient work public domain; Perseus digital text has reuse terms</x:t>
        </x:is>
      </x:c>
      <x:c r="AA525" s="81" t="inlineStr">
        <x:is>
          <x:t xml:space="preserve">Use ancient Greek/source location and a fresh Selflo translation/adaptation; do not copy modern copyrighted translations.</x:t>
        </x:is>
      </x:c>
      <x:c r="AB525" s="81" t="inlineStr">
        <x:is>
          <x:t xml:space="preserve">High</x:t>
        </x:is>
      </x:c>
      <x:c r="AC525" s="81" t="inlineStr">
        <x:is>
          <x:t xml:space="preserve">Strong; working VI extends analogy.</x:t>
        </x:is>
      </x:c>
      <x:c r="AD525" s="81" t="inlineStr">
        <x:is>
          <x:t xml:space="preserve">Needs editorial review</x:t>
        </x:is>
      </x:c>
      <x:c r="AE525" s="81" t="inlineStr">
        <x:is>
          <x:t xml:space="preserve">Needs semantic dedupe review</x:t>
        </x:is>
      </x:c>
      <x:c r="AF525" s="81" t="str"/>
      <x:c r="AG525" s="81" t="str"/>
      <x:c r="AH525" s="81" t="inlineStr">
        <x:is>
          <x:t xml:space="preserve">No</x:t>
        </x:is>
      </x:c>
      <x:c r="AI525" s="81" t="inlineStr">
        <x:is>
          <x:t xml:space="preserve">Not reviewed</x:t>
        </x:is>
      </x:c>
      <x:c r="AJ525" s="81" t="inlineStr">
        <x:is>
          <x:t xml:space="preserve">Research only</x:t>
        </x:is>
      </x:c>
      <x:c r="AK525" s="81" t="inlineStr">
        <x:is>
          <x:t xml:space="preserve">Research Pool</x:t>
        </x:is>
      </x:c>
      <x:c r="AL525" s="81" t="n">
        <x:v>7</x:v>
      </x:c>
      <x:c r="AM525" s="81" t="inlineStr">
        <x:is>
          <x:t xml:space="preserve">ChatGPT research</x:t>
        </x:is>
      </x:c>
      <x:c r="AN525" s="81" t="inlineStr">
        <x:is>
          <x:t xml:space="preserve">2026-09-18</x:t>
        </x:is>
      </x:c>
      <x:c r="AO525" s="81" t="inlineStr">
        <x:is>
          <x:t xml:space="preserve">Day 7 full first-pass screening: all 53 Enchiridion chapters + all 4 surviving Discourses books; only Selflo-relevant candidates materialized.</x:t>
        </x:is>
      </x:c>
    </x:row>
    <x:row r="526">
      <x:c r="A526" s="81" t="inlineStr">
        <x:is>
          <x:t xml:space="preserve">research.epictetus.day7.enchiridion.29.024</x:t>
        </x:is>
      </x:c>
      <x:c r="B526" s="81" t="inlineStr">
        <x:is>
          <x:t xml:space="preserve">Collected</x:t>
        </x:is>
      </x:c>
      <x:c r="C526" s="81" t="inlineStr">
        <x:is>
          <x:t xml:space="preserve">Công việc &amp; mục đích</x:t>
        </x:is>
      </x:c>
      <x:c r="D526" s="81" t="inlineStr">
        <x:is>
          <x:t xml:space="preserve">Day 7 / Epictetus — Enchiridion + Discourses</x:t>
        </x:is>
      </x:c>
      <x:c r="E526" s="81" t="str"/>
      <x:c r="F526" s="81" t="str"/>
      <x:c r="G526" s="81" t="inlineStr">
        <x:is>
          <x:t xml:space="preserve">Choice</x:t>
        </x:is>
      </x:c>
      <x:c r="H526" s="81" t="str"/>
      <x:c r="I526" s="81" t="str"/>
      <x:c r="J526" s="81" t="str"/>
      <x:c r="K526" s="81" t="inlineStr">
        <x:is>
          <x:t xml:space="preserve">Recognize</x:t>
        </x:is>
      </x:c>
      <x:c r="L526" s="81" t="inlineStr">
        <x:is>
          <x:t xml:space="preserve">Distinguish</x:t>
        </x:is>
      </x:c>
      <x:c r="M526" s="81" t="inlineStr">
        <x:is>
          <x:t xml:space="preserve">Triết học / dialogue</x:t>
        </x:is>
      </x:c>
      <x:c r="N526" s="81" t="inlineStr">
        <x:is>
          <x:t xml:space="preserve">ἐφ᾽ ἑκάστου ἔργου σκόπει τὰ προηγούμενα καὶ τὰ ἑπόμενα, καὶ οὕτως ἅπτου αὐτοῦ.</x:t>
        </x:is>
      </x:c>
      <x:c r="O526" s="81" t="inlineStr">
        <x:is>
          <x:t xml:space="preserve">Ancient Greek</x:t>
        </x:is>
      </x:c>
      <x:c r="P526" s="81" t="inlineStr">
        <x:is>
          <x:t xml:space="preserve">Trước khi bắt đầu, nhìn cả yêu cầu và hệ quả của việc ấy rồi mới chọn.</x:t>
        </x:is>
      </x:c>
      <x:c r="Q526" s="81" t="inlineStr">
        <x:is>
          <x:t xml:space="preserve">Epictetus (reported/compiled by Arrian for Discourses/Handbook tradition)</x:t>
        </x:is>
      </x:c>
      <x:c r="R526" s="81" t="inlineStr">
        <x:is>
          <x:t xml:space="preserve">Stoic / Greco-Roman</x:t>
        </x:is>
      </x:c>
      <x:c r="S526" s="81" t="inlineStr">
        <x:is>
          <x:t xml:space="preserve">Enchiridion / Discourses</x:t>
        </x:is>
      </x:c>
      <x:c r="T526" s="81" t="inlineStr">
        <x:is>
          <x:t xml:space="preserve">Enchiridion 29</x:t>
        </x:is>
      </x:c>
      <x:c r="U526" s="81" t="inlineStr">
        <x:is>
          <x:t xml:space="preserve">https://www.perseus.tufts.edu/hopper/text?doc=Perseus:text:1999.01.0235:text=enc</x:t>
        </x:is>
      </x:c>
      <x:c r="V526" s="81" t="inlineStr">
        <x:is>
          <x:t xml:space="preserve">Primary Greek edition / institutional corpus</x:t>
        </x:is>
      </x:c>
      <x:c r="W526" s="81" t="inlineStr">
        <x:is>
          <x:t xml:space="preserve">Working translation</x:t>
        </x:is>
      </x:c>
      <x:c r="X526" s="81" t="inlineStr">
        <x:is>
          <x:t xml:space="preserve">A - Primary source</x:t>
        </x:is>
      </x:c>
      <x:c r="Y526" s="81" t="inlineStr">
        <x:is>
          <x:t xml:space="preserve">Greek source anchors based on Perseus Schenkl edition (1916); Vietnamese is Selflo working translation, not a published translation.</x:t>
        </x:is>
      </x:c>
      <x:c r="Z526" s="81" t="inlineStr">
        <x:is>
          <x:t xml:space="preserve">Ancient work public domain; Perseus digital text has reuse terms</x:t>
        </x:is>
      </x:c>
      <x:c r="AA526" s="81" t="inlineStr">
        <x:is>
          <x:t xml:space="preserve">Use ancient Greek/source location and a fresh Selflo translation/adaptation; do not copy modern copyrighted translations.</x:t>
        </x:is>
      </x:c>
      <x:c r="AB526" s="81" t="inlineStr">
        <x:is>
          <x:t xml:space="preserve">High</x:t>
        </x:is>
      </x:c>
      <x:c r="AC526" s="81" t="inlineStr">
        <x:is>
          <x:t xml:space="preserve">Athlete example.</x:t>
        </x:is>
      </x:c>
      <x:c r="AD526" s="81" t="inlineStr">
        <x:is>
          <x:t xml:space="preserve">Needs editorial review</x:t>
        </x:is>
      </x:c>
      <x:c r="AE526" s="81" t="inlineStr">
        <x:is>
          <x:t xml:space="preserve">Needs semantic dedupe review</x:t>
        </x:is>
      </x:c>
      <x:c r="AF526" s="81" t="str"/>
      <x:c r="AG526" s="81" t="str"/>
      <x:c r="AH526" s="81" t="inlineStr">
        <x:is>
          <x:t xml:space="preserve">No</x:t>
        </x:is>
      </x:c>
      <x:c r="AI526" s="81" t="inlineStr">
        <x:is>
          <x:t xml:space="preserve">Not reviewed</x:t>
        </x:is>
      </x:c>
      <x:c r="AJ526" s="81" t="inlineStr">
        <x:is>
          <x:t xml:space="preserve">Research only</x:t>
        </x:is>
      </x:c>
      <x:c r="AK526" s="81" t="inlineStr">
        <x:is>
          <x:t xml:space="preserve">Research Pool</x:t>
        </x:is>
      </x:c>
      <x:c r="AL526" s="81" t="n">
        <x:v>7</x:v>
      </x:c>
      <x:c r="AM526" s="81" t="inlineStr">
        <x:is>
          <x:t xml:space="preserve">ChatGPT research</x:t>
        </x:is>
      </x:c>
      <x:c r="AN526" s="81" t="inlineStr">
        <x:is>
          <x:t xml:space="preserve">2026-09-18</x:t>
        </x:is>
      </x:c>
      <x:c r="AO526" s="81" t="inlineStr">
        <x:is>
          <x:t xml:space="preserve">Day 7 full first-pass screening: all 53 Enchiridion chapters + all 4 surviving Discourses books; only Selflo-relevant candidates materialized.</x:t>
        </x:is>
      </x:c>
    </x:row>
    <x:row r="527">
      <x:c r="A527" s="81" t="inlineStr">
        <x:is>
          <x:t xml:space="preserve">research.epictetus.day7.enchiridion.33.025</x:t>
        </x:is>
      </x:c>
      <x:c r="B527" s="81" t="inlineStr">
        <x:is>
          <x:t xml:space="preserve">Collected</x:t>
        </x:is>
      </x:c>
      <x:c r="C527" s="81" t="inlineStr">
        <x:is>
          <x:t xml:space="preserve">Nội tâm &amp; hiểu mình</x:t>
        </x:is>
      </x:c>
      <x:c r="D527" s="81" t="inlineStr">
        <x:is>
          <x:t xml:space="preserve">Day 7 / Epictetus — Enchiridion + Discourses</x:t>
        </x:is>
      </x:c>
      <x:c r="E527" s="81" t="str"/>
      <x:c r="F527" s="81" t="str"/>
      <x:c r="G527" s="81" t="inlineStr">
        <x:is>
          <x:t xml:space="preserve">Space</x:t>
        </x:is>
      </x:c>
      <x:c r="H527" s="81" t="str"/>
      <x:c r="I527" s="81" t="str"/>
      <x:c r="J527" s="81" t="str"/>
      <x:c r="K527" s="81" t="inlineStr">
        <x:is>
          <x:t xml:space="preserve">Permit</x:t>
        </x:is>
      </x:c>
      <x:c r="L527" s="81" t="inlineStr">
        <x:is>
          <x:t xml:space="preserve">Recognize</x:t>
        </x:is>
      </x:c>
      <x:c r="M527" s="81" t="inlineStr">
        <x:is>
          <x:t xml:space="preserve">Triết học / dialogue</x:t>
        </x:is>
      </x:c>
      <x:c r="N527" s="81" t="inlineStr">
        <x:is>
          <x:t xml:space="preserve">σιωπὴ τὸ πολύ.</x:t>
        </x:is>
      </x:c>
      <x:c r="O527" s="81" t="inlineStr">
        <x:is>
          <x:t xml:space="preserve">Ancient Greek</x:t>
        </x:is>
      </x:c>
      <x:c r="P527" s="81" t="inlineStr">
        <x:is>
          <x:t xml:space="preserve">Giữ nhiều khoảng im lặng hơn.</x:t>
        </x:is>
      </x:c>
      <x:c r="Q527" s="81" t="inlineStr">
        <x:is>
          <x:t xml:space="preserve">Epictetus (reported/compiled by Arrian for Discourses/Handbook tradition)</x:t>
        </x:is>
      </x:c>
      <x:c r="R527" s="81" t="inlineStr">
        <x:is>
          <x:t xml:space="preserve">Stoic / Greco-Roman</x:t>
        </x:is>
      </x:c>
      <x:c r="S527" s="81" t="inlineStr">
        <x:is>
          <x:t xml:space="preserve">Enchiridion / Discourses</x:t>
        </x:is>
      </x:c>
      <x:c r="T527" s="81" t="inlineStr">
        <x:is>
          <x:t xml:space="preserve">Enchiridion 33</x:t>
        </x:is>
      </x:c>
      <x:c r="U527" s="81" t="inlineStr">
        <x:is>
          <x:t xml:space="preserve">https://www.perseus.tufts.edu/hopper/text?doc=Perseus:text:1999.01.0235:text=enc</x:t>
        </x:is>
      </x:c>
      <x:c r="V527" s="81" t="inlineStr">
        <x:is>
          <x:t xml:space="preserve">Primary Greek edition / institutional corpus</x:t>
        </x:is>
      </x:c>
      <x:c r="W527" s="81" t="inlineStr">
        <x:is>
          <x:t xml:space="preserve">Working translation</x:t>
        </x:is>
      </x:c>
      <x:c r="X527" s="81" t="inlineStr">
        <x:is>
          <x:t xml:space="preserve">A - Primary source</x:t>
        </x:is>
      </x:c>
      <x:c r="Y527" s="81" t="inlineStr">
        <x:is>
          <x:t xml:space="preserve">Greek source anchors based on Perseus Schenkl edition (1916); Vietnamese is Selflo working translation, not a published translation.</x:t>
        </x:is>
      </x:c>
      <x:c r="Z527" s="81" t="inlineStr">
        <x:is>
          <x:t xml:space="preserve">Ancient work public domain; Perseus digital text has reuse terms</x:t>
        </x:is>
      </x:c>
      <x:c r="AA527" s="81" t="inlineStr">
        <x:is>
          <x:t xml:space="preserve">Use ancient Greek/source location and a fresh Selflo translation/adaptation; do not copy modern copyrighted translations.</x:t>
        </x:is>
      </x:c>
      <x:c r="AB527" s="81" t="inlineStr">
        <x:is>
          <x:t xml:space="preserve">Medium</x:t>
        </x:is>
      </x:c>
      <x:c r="AC527" s="81" t="inlineStr">
        <x:is>
          <x:t xml:space="preserve">Can fit AI-age answer abundance.</x:t>
        </x:is>
      </x:c>
      <x:c r="AD527" s="81" t="inlineStr">
        <x:is>
          <x:t xml:space="preserve">Needs editorial review</x:t>
        </x:is>
      </x:c>
      <x:c r="AE527" s="81" t="inlineStr">
        <x:is>
          <x:t xml:space="preserve">Needs semantic dedupe review</x:t>
        </x:is>
      </x:c>
      <x:c r="AF527" s="81" t="str"/>
      <x:c r="AG527" s="81" t="str"/>
      <x:c r="AH527" s="81" t="inlineStr">
        <x:is>
          <x:t xml:space="preserve">No</x:t>
        </x:is>
      </x:c>
      <x:c r="AI527" s="81" t="inlineStr">
        <x:is>
          <x:t xml:space="preserve">Not reviewed</x:t>
        </x:is>
      </x:c>
      <x:c r="AJ527" s="81" t="inlineStr">
        <x:is>
          <x:t xml:space="preserve">Research only</x:t>
        </x:is>
      </x:c>
      <x:c r="AK527" s="81" t="inlineStr">
        <x:is>
          <x:t xml:space="preserve">Research Pool</x:t>
        </x:is>
      </x:c>
      <x:c r="AL527" s="81" t="n">
        <x:v>7</x:v>
      </x:c>
      <x:c r="AM527" s="81" t="inlineStr">
        <x:is>
          <x:t xml:space="preserve">ChatGPT research</x:t>
        </x:is>
      </x:c>
      <x:c r="AN527" s="81" t="inlineStr">
        <x:is>
          <x:t xml:space="preserve">2026-09-18</x:t>
        </x:is>
      </x:c>
      <x:c r="AO527" s="81" t="inlineStr">
        <x:is>
          <x:t xml:space="preserve">Day 7 full first-pass screening: all 53 Enchiridion chapters + all 4 surviving Discourses books; only Selflo-relevant candidates materialized.</x:t>
        </x:is>
      </x:c>
    </x:row>
    <x:row r="528">
      <x:c r="A528" s="81" t="inlineStr">
        <x:is>
          <x:t xml:space="preserve">research.epictetus.day7.enchiridion.34.026</x:t>
        </x:is>
      </x:c>
      <x:c r="B528" s="81" t="inlineStr">
        <x:is>
          <x:t xml:space="preserve">Collected</x:t>
        </x:is>
      </x:c>
      <x:c r="C528" s="81" t="inlineStr">
        <x:is>
          <x:t xml:space="preserve">AI &amp; tương lai</x:t>
        </x:is>
      </x:c>
      <x:c r="D528" s="81" t="inlineStr">
        <x:is>
          <x:t xml:space="preserve">Day 7 / Epictetus — Enchiridion + Discourses</x:t>
        </x:is>
      </x:c>
      <x:c r="E528" s="81" t="str"/>
      <x:c r="F528" s="81" t="str"/>
      <x:c r="G528" s="81" t="inlineStr">
        <x:is>
          <x:t xml:space="preserve">Attention</x:t>
        </x:is>
      </x:c>
      <x:c r="H528" s="81" t="str"/>
      <x:c r="I528" s="81" t="str"/>
      <x:c r="J528" s="81" t="str"/>
      <x:c r="K528" s="81" t="inlineStr">
        <x:is>
          <x:t xml:space="preserve">Permit</x:t>
        </x:is>
      </x:c>
      <x:c r="L528" s="81" t="inlineStr">
        <x:is>
          <x:t xml:space="preserve">Recognize</x:t>
        </x:is>
      </x:c>
      <x:c r="M528" s="81" t="inlineStr">
        <x:is>
          <x:t xml:space="preserve">Triết học / dialogue</x:t>
        </x:is>
      </x:c>
      <x:c r="N528" s="81" t="inlineStr">
        <x:is>
          <x:t xml:space="preserve">ἐὰν φαντασίαν τινὰ ἡδονῆς λάβῃς, φύλαξαι... μὴ συναρπασθῇς ὑπ᾽ αὐτῆς.</x:t>
        </x:is>
      </x:c>
      <x:c r="O528" s="81" t="inlineStr">
        <x:is>
          <x:t xml:space="preserve">Ancient Greek</x:t>
        </x:is>
      </x:c>
      <x:c r="P528" s="81" t="inlineStr">
        <x:is>
          <x:t xml:space="preserve">Khi một hấp lực xuất hiện, chừa một khoảng trước khi để nó cuốn mình đi.</x:t>
        </x:is>
      </x:c>
      <x:c r="Q528" s="81" t="inlineStr">
        <x:is>
          <x:t xml:space="preserve">Epictetus (reported/compiled by Arrian for Discourses/Handbook tradition)</x:t>
        </x:is>
      </x:c>
      <x:c r="R528" s="81" t="inlineStr">
        <x:is>
          <x:t xml:space="preserve">Stoic / Greco-Roman</x:t>
        </x:is>
      </x:c>
      <x:c r="S528" s="81" t="inlineStr">
        <x:is>
          <x:t xml:space="preserve">Enchiridion / Discourses</x:t>
        </x:is>
      </x:c>
      <x:c r="T528" s="81" t="inlineStr">
        <x:is>
          <x:t xml:space="preserve">Enchiridion 34</x:t>
        </x:is>
      </x:c>
      <x:c r="U528" s="81" t="inlineStr">
        <x:is>
          <x:t xml:space="preserve">https://www.perseus.tufts.edu/hopper/text?doc=Perseus:text:1999.01.0235:text=enc</x:t>
        </x:is>
      </x:c>
      <x:c r="V528" s="81" t="inlineStr">
        <x:is>
          <x:t xml:space="preserve">Primary Greek edition / institutional corpus</x:t>
        </x:is>
      </x:c>
      <x:c r="W528" s="81" t="inlineStr">
        <x:is>
          <x:t xml:space="preserve">Working translation</x:t>
        </x:is>
      </x:c>
      <x:c r="X528" s="81" t="inlineStr">
        <x:is>
          <x:t xml:space="preserve">A - Primary source</x:t>
        </x:is>
      </x:c>
      <x:c r="Y528" s="81" t="inlineStr">
        <x:is>
          <x:t xml:space="preserve">Greek source anchors based on Perseus Schenkl edition (1916); Vietnamese is Selflo working translation, not a published translation.</x:t>
        </x:is>
      </x:c>
      <x:c r="Z528" s="81" t="inlineStr">
        <x:is>
          <x:t xml:space="preserve">Ancient work public domain; Perseus digital text has reuse terms</x:t>
        </x:is>
      </x:c>
      <x:c r="AA528" s="81" t="inlineStr">
        <x:is>
          <x:t xml:space="preserve">Use ancient Greek/source location and a fresh Selflo translation/adaptation; do not copy modern copyrighted translations.</x:t>
        </x:is>
      </x:c>
      <x:c r="AB528" s="81" t="inlineStr">
        <x:is>
          <x:t xml:space="preserve">High</x:t>
        </x:is>
      </x:c>
      <x:c r="AC528" s="81" t="inlineStr">
        <x:is>
          <x:t xml:space="preserve">Excellent.</x:t>
        </x:is>
      </x:c>
      <x:c r="AD528" s="81" t="inlineStr">
        <x:is>
          <x:t xml:space="preserve">Needs editorial review</x:t>
        </x:is>
      </x:c>
      <x:c r="AE528" s="81" t="inlineStr">
        <x:is>
          <x:t xml:space="preserve">Needs semantic dedupe review</x:t>
        </x:is>
      </x:c>
      <x:c r="AF528" s="81" t="str"/>
      <x:c r="AG528" s="81" t="str"/>
      <x:c r="AH528" s="81" t="inlineStr">
        <x:is>
          <x:t xml:space="preserve">No</x:t>
        </x:is>
      </x:c>
      <x:c r="AI528" s="81" t="inlineStr">
        <x:is>
          <x:t xml:space="preserve">Not reviewed</x:t>
        </x:is>
      </x:c>
      <x:c r="AJ528" s="81" t="inlineStr">
        <x:is>
          <x:t xml:space="preserve">Research only</x:t>
        </x:is>
      </x:c>
      <x:c r="AK528" s="81" t="inlineStr">
        <x:is>
          <x:t xml:space="preserve">Research Pool</x:t>
        </x:is>
      </x:c>
      <x:c r="AL528" s="81" t="n">
        <x:v>7</x:v>
      </x:c>
      <x:c r="AM528" s="81" t="inlineStr">
        <x:is>
          <x:t xml:space="preserve">ChatGPT research</x:t>
        </x:is>
      </x:c>
      <x:c r="AN528" s="81" t="inlineStr">
        <x:is>
          <x:t xml:space="preserve">2026-09-18</x:t>
        </x:is>
      </x:c>
      <x:c r="AO528" s="81" t="inlineStr">
        <x:is>
          <x:t xml:space="preserve">Day 7 full first-pass screening: all 53 Enchiridion chapters + all 4 surviving Discourses books; only Selflo-relevant candidates materialized.</x:t>
        </x:is>
      </x:c>
    </x:row>
    <x:row r="529">
      <x:c r="A529" s="81" t="inlineStr">
        <x:is>
          <x:t xml:space="preserve">research.epictetus.day7.enchiridion.35.027</x:t>
        </x:is>
      </x:c>
      <x:c r="B529" s="81" t="inlineStr">
        <x:is>
          <x:t xml:space="preserve">Collected</x:t>
        </x:is>
      </x:c>
      <x:c r="C529" s="81" t="inlineStr">
        <x:is>
          <x:t xml:space="preserve">Nội tâm &amp; hiểu mình</x:t>
        </x:is>
      </x:c>
      <x:c r="D529" s="81" t="inlineStr">
        <x:is>
          <x:t xml:space="preserve">Day 7 / Epictetus — Enchiridion + Discourses</x:t>
        </x:is>
      </x:c>
      <x:c r="E529" s="81" t="str"/>
      <x:c r="F529" s="81" t="str"/>
      <x:c r="G529" s="81" t="inlineStr">
        <x:is>
          <x:t xml:space="preserve">Values</x:t>
        </x:is>
      </x:c>
      <x:c r="H529" s="81" t="str"/>
      <x:c r="I529" s="81" t="str"/>
      <x:c r="J529" s="81" t="str"/>
      <x:c r="K529" s="81" t="inlineStr">
        <x:is>
          <x:t xml:space="preserve">Return agency</x:t>
        </x:is>
      </x:c>
      <x:c r="L529" s="81" t="inlineStr">
        <x:is>
          <x:t xml:space="preserve">Recognize</x:t>
        </x:is>
      </x:c>
      <x:c r="M529" s="81" t="inlineStr">
        <x:is>
          <x:t xml:space="preserve">Triết học / dialogue</x:t>
        </x:is>
      </x:c>
      <x:c r="N529" s="81" t="inlineStr">
        <x:is>
          <x:t xml:space="preserve">ὅταν τι διαγνοὺς ὅτι ποιητέον ἐστὶ ποιῇς, μηδέποτε φύγῃς ὀφθῆναι ποιῶν.</x:t>
        </x:is>
      </x:c>
      <x:c r="O529" s="81" t="inlineStr">
        <x:is>
          <x:t xml:space="preserve">Ancient Greek</x:t>
        </x:is>
      </x:c>
      <x:c r="P529" s="81" t="inlineStr">
        <x:is>
          <x:t xml:space="preserve">Khi đã cân nhắc và chọn điều cần làm, đừng để nỗi sợ bị nhìn thấy trở thành lý do duy nhất để bỏ nó.</x:t>
        </x:is>
      </x:c>
      <x:c r="Q529" s="81" t="inlineStr">
        <x:is>
          <x:t xml:space="preserve">Epictetus (reported/compiled by Arrian for Discourses/Handbook tradition)</x:t>
        </x:is>
      </x:c>
      <x:c r="R529" s="81" t="inlineStr">
        <x:is>
          <x:t xml:space="preserve">Stoic / Greco-Roman</x:t>
        </x:is>
      </x:c>
      <x:c r="S529" s="81" t="inlineStr">
        <x:is>
          <x:t xml:space="preserve">Enchiridion / Discourses</x:t>
        </x:is>
      </x:c>
      <x:c r="T529" s="81" t="inlineStr">
        <x:is>
          <x:t xml:space="preserve">Enchiridion 35</x:t>
        </x:is>
      </x:c>
      <x:c r="U529" s="81" t="inlineStr">
        <x:is>
          <x:t xml:space="preserve">https://www.perseus.tufts.edu/hopper/text?doc=Perseus:text:1999.01.0235:text=enc</x:t>
        </x:is>
      </x:c>
      <x:c r="V529" s="81" t="inlineStr">
        <x:is>
          <x:t xml:space="preserve">Primary Greek edition / institutional corpus</x:t>
        </x:is>
      </x:c>
      <x:c r="W529" s="81" t="inlineStr">
        <x:is>
          <x:t xml:space="preserve">Working translation</x:t>
        </x:is>
      </x:c>
      <x:c r="X529" s="81" t="inlineStr">
        <x:is>
          <x:t xml:space="preserve">A - Primary source</x:t>
        </x:is>
      </x:c>
      <x:c r="Y529" s="81" t="inlineStr">
        <x:is>
          <x:t xml:space="preserve">Greek source anchors based on Perseus Schenkl edition (1916); Vietnamese is Selflo working translation, not a published translation.</x:t>
        </x:is>
      </x:c>
      <x:c r="Z529" s="81" t="inlineStr">
        <x:is>
          <x:t xml:space="preserve">Ancient work public domain; Perseus digital text has reuse terms</x:t>
        </x:is>
      </x:c>
      <x:c r="AA529" s="81" t="inlineStr">
        <x:is>
          <x:t xml:space="preserve">Use ancient Greek/source location and a fresh Selflo translation/adaptation; do not copy modern copyrighted translations.</x:t>
        </x:is>
      </x:c>
      <x:c r="AB529" s="81" t="inlineStr">
        <x:is>
          <x:t xml:space="preserve">Medium</x:t>
        </x:is>
      </x:c>
      <x:c r="AC529" s="81" t="inlineStr">
        <x:is>
          <x:t xml:space="preserve">Context sensitive.</x:t>
        </x:is>
      </x:c>
      <x:c r="AD529" s="81" t="inlineStr">
        <x:is>
          <x:t xml:space="preserve">Needs editorial review</x:t>
        </x:is>
      </x:c>
      <x:c r="AE529" s="81" t="inlineStr">
        <x:is>
          <x:t xml:space="preserve">Needs semantic dedupe review</x:t>
        </x:is>
      </x:c>
      <x:c r="AF529" s="81" t="str"/>
      <x:c r="AG529" s="81" t="str"/>
      <x:c r="AH529" s="81" t="inlineStr">
        <x:is>
          <x:t xml:space="preserve">No</x:t>
        </x:is>
      </x:c>
      <x:c r="AI529" s="81" t="inlineStr">
        <x:is>
          <x:t xml:space="preserve">Not reviewed</x:t>
        </x:is>
      </x:c>
      <x:c r="AJ529" s="81" t="inlineStr">
        <x:is>
          <x:t xml:space="preserve">Research only</x:t>
        </x:is>
      </x:c>
      <x:c r="AK529" s="81" t="inlineStr">
        <x:is>
          <x:t xml:space="preserve">Research Pool</x:t>
        </x:is>
      </x:c>
      <x:c r="AL529" s="81" t="n">
        <x:v>7</x:v>
      </x:c>
      <x:c r="AM529" s="81" t="inlineStr">
        <x:is>
          <x:t xml:space="preserve">ChatGPT research</x:t>
        </x:is>
      </x:c>
      <x:c r="AN529" s="81" t="inlineStr">
        <x:is>
          <x:t xml:space="preserve">2026-09-18</x:t>
        </x:is>
      </x:c>
      <x:c r="AO529" s="81" t="inlineStr">
        <x:is>
          <x:t xml:space="preserve">Day 7 full first-pass screening: all 53 Enchiridion chapters + all 4 surviving Discourses books; only Selflo-relevant candidates materialized.</x:t>
        </x:is>
      </x:c>
    </x:row>
    <x:row r="530">
      <x:c r="A530" s="81" t="inlineStr">
        <x:is>
          <x:t xml:space="preserve">research.epictetus.day7.enchiridion.37.028</x:t>
        </x:is>
      </x:c>
      <x:c r="B530" s="81" t="inlineStr">
        <x:is>
          <x:t xml:space="preserve">Collected</x:t>
        </x:is>
      </x:c>
      <x:c r="C530" s="81" t="inlineStr">
        <x:is>
          <x:t xml:space="preserve">Công việc &amp; mục đích</x:t>
        </x:is>
      </x:c>
      <x:c r="D530" s="81" t="inlineStr">
        <x:is>
          <x:t xml:space="preserve">Day 7 / Epictetus — Enchiridion + Discourses</x:t>
        </x:is>
      </x:c>
      <x:c r="E530" s="81" t="str"/>
      <x:c r="F530" s="81" t="str"/>
      <x:c r="G530" s="81" t="inlineStr">
        <x:is>
          <x:t xml:space="preserve">Capacity</x:t>
        </x:is>
      </x:c>
      <x:c r="H530" s="81" t="str"/>
      <x:c r="I530" s="81" t="str"/>
      <x:c r="J530" s="81" t="str"/>
      <x:c r="K530" s="81" t="inlineStr">
        <x:is>
          <x:t xml:space="preserve">Recognize</x:t>
        </x:is>
      </x:c>
      <x:c r="L530" s="81" t="inlineStr">
        <x:is>
          <x:t xml:space="preserve">Distinguish</x:t>
        </x:is>
      </x:c>
      <x:c r="M530" s="81" t="inlineStr">
        <x:is>
          <x:t xml:space="preserve">Triết học / dialogue</x:t>
        </x:is>
      </x:c>
      <x:c r="N530" s="81" t="inlineStr">
        <x:is>
          <x:t xml:space="preserve">ἐὰν ὑπὲρ τὴν δύναμίν σου ἀναλάβῃς τι πρόσωπον... καὶ τοῦτο ἠσχήμονας καὶ ὃ ἐδύνασο ἐκπληρῶσαι παρέλιπες.</x:t>
        </x:is>
      </x:c>
      <x:c r="O530" s="81" t="inlineStr">
        <x:is>
          <x:t xml:space="preserve">Ancient Greek</x:t>
        </x:is>
      </x:c>
      <x:c r="P530" s="81" t="inlineStr">
        <x:is>
          <x:t xml:space="preserve">Nếu nhận một vai vượt quá sức hiện tại, ta có thể vừa kiệt sức trong vai ấy vừa bỏ mất việc mình thực sự có thể làm tốt.</x:t>
        </x:is>
      </x:c>
      <x:c r="Q530" s="81" t="inlineStr">
        <x:is>
          <x:t xml:space="preserve">Epictetus (reported/compiled by Arrian for Discourses/Handbook tradition)</x:t>
        </x:is>
      </x:c>
      <x:c r="R530" s="81" t="inlineStr">
        <x:is>
          <x:t xml:space="preserve">Stoic / Greco-Roman</x:t>
        </x:is>
      </x:c>
      <x:c r="S530" s="81" t="inlineStr">
        <x:is>
          <x:t xml:space="preserve">Enchiridion / Discourses</x:t>
        </x:is>
      </x:c>
      <x:c r="T530" s="81" t="inlineStr">
        <x:is>
          <x:t xml:space="preserve">Enchiridion 37</x:t>
        </x:is>
      </x:c>
      <x:c r="U530" s="81" t="inlineStr">
        <x:is>
          <x:t xml:space="preserve">https://www.perseus.tufts.edu/hopper/text?doc=Perseus:text:1999.01.0235:text=enc</x:t>
        </x:is>
      </x:c>
      <x:c r="V530" s="81" t="inlineStr">
        <x:is>
          <x:t xml:space="preserve">Primary Greek edition / institutional corpus</x:t>
        </x:is>
      </x:c>
      <x:c r="W530" s="81" t="inlineStr">
        <x:is>
          <x:t xml:space="preserve">Working translation</x:t>
        </x:is>
      </x:c>
      <x:c r="X530" s="81" t="inlineStr">
        <x:is>
          <x:t xml:space="preserve">A - Primary source</x:t>
        </x:is>
      </x:c>
      <x:c r="Y530" s="81" t="inlineStr">
        <x:is>
          <x:t xml:space="preserve">Greek source anchors based on Perseus Schenkl edition (1916); Vietnamese is Selflo working translation, not a published translation.</x:t>
        </x:is>
      </x:c>
      <x:c r="Z530" s="81" t="inlineStr">
        <x:is>
          <x:t xml:space="preserve">Ancient work public domain; Perseus digital text has reuse terms</x:t>
        </x:is>
      </x:c>
      <x:c r="AA530" s="81" t="inlineStr">
        <x:is>
          <x:t xml:space="preserve">Use ancient Greek/source location and a fresh Selflo translation/adaptation; do not copy modern copyrighted translations.</x:t>
        </x:is>
      </x:c>
      <x:c r="AB530" s="81" t="inlineStr">
        <x:is>
          <x:t xml:space="preserve">High</x:t>
        </x:is>
      </x:c>
      <x:c r="AC530" s="81" t="inlineStr">
        <x:is>
          <x:t xml:space="preserve">Very Selflo/work.</x:t>
        </x:is>
      </x:c>
      <x:c r="AD530" s="81" t="inlineStr">
        <x:is>
          <x:t xml:space="preserve">Needs editorial review</x:t>
        </x:is>
      </x:c>
      <x:c r="AE530" s="81" t="inlineStr">
        <x:is>
          <x:t xml:space="preserve">Needs semantic dedupe review</x:t>
        </x:is>
      </x:c>
      <x:c r="AF530" s="81" t="str"/>
      <x:c r="AG530" s="81" t="str"/>
      <x:c r="AH530" s="81" t="inlineStr">
        <x:is>
          <x:t xml:space="preserve">No</x:t>
        </x:is>
      </x:c>
      <x:c r="AI530" s="81" t="inlineStr">
        <x:is>
          <x:t xml:space="preserve">Not reviewed</x:t>
        </x:is>
      </x:c>
      <x:c r="AJ530" s="81" t="inlineStr">
        <x:is>
          <x:t xml:space="preserve">Research only</x:t>
        </x:is>
      </x:c>
      <x:c r="AK530" s="81" t="inlineStr">
        <x:is>
          <x:t xml:space="preserve">Research Pool</x:t>
        </x:is>
      </x:c>
      <x:c r="AL530" s="81" t="n">
        <x:v>7</x:v>
      </x:c>
      <x:c r="AM530" s="81" t="inlineStr">
        <x:is>
          <x:t xml:space="preserve">ChatGPT research</x:t>
        </x:is>
      </x:c>
      <x:c r="AN530" s="81" t="inlineStr">
        <x:is>
          <x:t xml:space="preserve">2026-09-18</x:t>
        </x:is>
      </x:c>
      <x:c r="AO530" s="81" t="inlineStr">
        <x:is>
          <x:t xml:space="preserve">Day 7 full first-pass screening: all 53 Enchiridion chapters + all 4 surviving Discourses books; only Selflo-relevant candidates materialized.</x:t>
        </x:is>
      </x:c>
    </x:row>
    <x:row r="531">
      <x:c r="A531" s="81" t="inlineStr">
        <x:is>
          <x:t xml:space="preserve">research.epictetus.day7.enchiridion.42.029</x:t>
        </x:is>
      </x:c>
      <x:c r="B531" s="81" t="inlineStr">
        <x:is>
          <x:t xml:space="preserve">Collected</x:t>
        </x:is>
      </x:c>
      <x:c r="C531" s="81" t="inlineStr">
        <x:is>
          <x:t xml:space="preserve">AI &amp; tương lai</x:t>
        </x:is>
      </x:c>
      <x:c r="D531" s="81" t="inlineStr">
        <x:is>
          <x:t xml:space="preserve">Day 7 / Epictetus — Enchiridion + Discourses</x:t>
        </x:is>
      </x:c>
      <x:c r="E531" s="81" t="str"/>
      <x:c r="F531" s="81" t="str"/>
      <x:c r="G531" s="81" t="inlineStr">
        <x:is>
          <x:t xml:space="preserve">Perspective</x:t>
        </x:is>
      </x:c>
      <x:c r="H531" s="81" t="str"/>
      <x:c r="I531" s="81" t="str"/>
      <x:c r="J531" s="81" t="str"/>
      <x:c r="K531" s="81" t="inlineStr">
        <x:is>
          <x:t xml:space="preserve">Distinguish</x:t>
        </x:is>
      </x:c>
      <x:c r="L531" s="81" t="inlineStr">
        <x:is>
          <x:t xml:space="preserve">Recognize</x:t>
        </x:is>
      </x:c>
      <x:c r="M531" s="81" t="inlineStr">
        <x:is>
          <x:t xml:space="preserve">Triết học / dialogue</x:t>
        </x:is>
      </x:c>
      <x:c r="N531" s="81" t="inlineStr">
        <x:is>
          <x:t xml:space="preserve">ὅταν σέ τις κακῶς ποιῇ ἢ κακῶς λέγῃ... οὕτως αὐτῷ φαίνεται.</x:t>
        </x:is>
      </x:c>
      <x:c r="O531" s="81" t="inlineStr">
        <x:is>
          <x:t xml:space="preserve">Ancient Greek</x:t>
        </x:is>
      </x:c>
      <x:c r="P531" s="81" t="inlineStr">
        <x:is>
          <x:t xml:space="preserve">Khi ai đó hành động theo điều họ tin là đúng, có thể hiểu cơ chế ấy mà không cần đồng ý với hành vi.</x:t>
        </x:is>
      </x:c>
      <x:c r="Q531" s="81" t="inlineStr">
        <x:is>
          <x:t xml:space="preserve">Epictetus (reported/compiled by Arrian for Discourses/Handbook tradition)</x:t>
        </x:is>
      </x:c>
      <x:c r="R531" s="81" t="inlineStr">
        <x:is>
          <x:t xml:space="preserve">Stoic / Greco-Roman</x:t>
        </x:is>
      </x:c>
      <x:c r="S531" s="81" t="inlineStr">
        <x:is>
          <x:t xml:space="preserve">Enchiridion / Discourses</x:t>
        </x:is>
      </x:c>
      <x:c r="T531" s="81" t="inlineStr">
        <x:is>
          <x:t xml:space="preserve">Enchiridion 42</x:t>
        </x:is>
      </x:c>
      <x:c r="U531" s="81" t="inlineStr">
        <x:is>
          <x:t xml:space="preserve">https://www.perseus.tufts.edu/hopper/text?doc=Perseus:text:1999.01.0235:text=enc</x:t>
        </x:is>
      </x:c>
      <x:c r="V531" s="81" t="inlineStr">
        <x:is>
          <x:t xml:space="preserve">Primary Greek edition / institutional corpus</x:t>
        </x:is>
      </x:c>
      <x:c r="W531" s="81" t="inlineStr">
        <x:is>
          <x:t xml:space="preserve">Working translation</x:t>
        </x:is>
      </x:c>
      <x:c r="X531" s="81" t="inlineStr">
        <x:is>
          <x:t xml:space="preserve">A - Primary source</x:t>
        </x:is>
      </x:c>
      <x:c r="Y531" s="81" t="inlineStr">
        <x:is>
          <x:t xml:space="preserve">Greek source anchors based on Perseus Schenkl edition (1916); Vietnamese is Selflo working translation, not a published translation.</x:t>
        </x:is>
      </x:c>
      <x:c r="Z531" s="81" t="inlineStr">
        <x:is>
          <x:t xml:space="preserve">Ancient work public domain; Perseus digital text has reuse terms</x:t>
        </x:is>
      </x:c>
      <x:c r="AA531" s="81" t="inlineStr">
        <x:is>
          <x:t xml:space="preserve">Use ancient Greek/source location and a fresh Selflo translation/adaptation; do not copy modern copyrighted translations.</x:t>
        </x:is>
      </x:c>
      <x:c r="AB531" s="81" t="inlineStr">
        <x:is>
          <x:t xml:space="preserve">High</x:t>
        </x:is>
      </x:c>
      <x:c r="AC531" s="81" t="inlineStr">
        <x:is>
          <x:t xml:space="preserve">Do not excuse harm.</x:t>
        </x:is>
      </x:c>
      <x:c r="AD531" s="81" t="inlineStr">
        <x:is>
          <x:t xml:space="preserve">Needs editorial review</x:t>
        </x:is>
      </x:c>
      <x:c r="AE531" s="81" t="inlineStr">
        <x:is>
          <x:t xml:space="preserve">Needs semantic dedupe review</x:t>
        </x:is>
      </x:c>
      <x:c r="AF531" s="81" t="str"/>
      <x:c r="AG531" s="81" t="str"/>
      <x:c r="AH531" s="81" t="inlineStr">
        <x:is>
          <x:t xml:space="preserve">No</x:t>
        </x:is>
      </x:c>
      <x:c r="AI531" s="81" t="inlineStr">
        <x:is>
          <x:t xml:space="preserve">Not reviewed</x:t>
        </x:is>
      </x:c>
      <x:c r="AJ531" s="81" t="inlineStr">
        <x:is>
          <x:t xml:space="preserve">Research only</x:t>
        </x:is>
      </x:c>
      <x:c r="AK531" s="81" t="inlineStr">
        <x:is>
          <x:t xml:space="preserve">Research Pool</x:t>
        </x:is>
      </x:c>
      <x:c r="AL531" s="81" t="n">
        <x:v>7</x:v>
      </x:c>
      <x:c r="AM531" s="81" t="inlineStr">
        <x:is>
          <x:t xml:space="preserve">ChatGPT research</x:t>
        </x:is>
      </x:c>
      <x:c r="AN531" s="81" t="inlineStr">
        <x:is>
          <x:t xml:space="preserve">2026-09-18</x:t>
        </x:is>
      </x:c>
      <x:c r="AO531" s="81" t="inlineStr">
        <x:is>
          <x:t xml:space="preserve">Day 7 full first-pass screening: all 53 Enchiridion chapters + all 4 surviving Discourses books; only Selflo-relevant candidates materialized.</x:t>
        </x:is>
      </x:c>
    </x:row>
    <x:row r="532">
      <x:c r="A532" s="81" t="inlineStr">
        <x:is>
          <x:t xml:space="preserve">research.epictetus.day7.enchiridion.43.030</x:t>
        </x:is>
      </x:c>
      <x:c r="B532" s="81" t="inlineStr">
        <x:is>
          <x:t xml:space="preserve">Collected</x:t>
        </x:is>
      </x:c>
      <x:c r="C532" s="81" t="inlineStr">
        <x:is>
          <x:t xml:space="preserve">AI &amp; tương lai</x:t>
        </x:is>
      </x:c>
      <x:c r="D532" s="81" t="inlineStr">
        <x:is>
          <x:t xml:space="preserve">Day 7 / Epictetus — Enchiridion + Discourses</x:t>
        </x:is>
      </x:c>
      <x:c r="E532" s="81" t="str"/>
      <x:c r="F532" s="81" t="str"/>
      <x:c r="G532" s="81" t="inlineStr">
        <x:is>
          <x:t xml:space="preserve">Reframing</x:t>
        </x:is>
      </x:c>
      <x:c r="H532" s="81" t="str"/>
      <x:c r="I532" s="81" t="str"/>
      <x:c r="J532" s="81" t="str"/>
      <x:c r="K532" s="81" t="inlineStr">
        <x:is>
          <x:t xml:space="preserve">Reframe</x:t>
        </x:is>
      </x:c>
      <x:c r="L532" s="81" t="inlineStr">
        <x:is>
          <x:t xml:space="preserve">Recognize</x:t>
        </x:is>
      </x:c>
      <x:c r="M532" s="81" t="inlineStr">
        <x:is>
          <x:t xml:space="preserve">Triết học / dialogue</x:t>
        </x:is>
      </x:c>
      <x:c r="N532" s="81" t="inlineStr">
        <x:is>
          <x:t xml:space="preserve">πᾶν πρᾶγμα δύο λαβὰς ἔχει, τὴν μὲν φορητήν, τὴν δὲ ἀφόρητον.</x:t>
        </x:is>
      </x:c>
      <x:c r="O532" s="81" t="inlineStr">
        <x:is>
          <x:t xml:space="preserve">Ancient Greek</x:t>
        </x:is>
      </x:c>
      <x:c r="P532" s="81" t="inlineStr">
        <x:is>
          <x:t xml:space="preserve">Mỗi việc có thể có hơn một 'tay cầm' — hơn một cách để mình nắm lấy nó.</x:t>
        </x:is>
      </x:c>
      <x:c r="Q532" s="81" t="inlineStr">
        <x:is>
          <x:t xml:space="preserve">Epictetus (reported/compiled by Arrian for Discourses/Handbook tradition)</x:t>
        </x:is>
      </x:c>
      <x:c r="R532" s="81" t="inlineStr">
        <x:is>
          <x:t xml:space="preserve">Stoic / Greco-Roman</x:t>
        </x:is>
      </x:c>
      <x:c r="S532" s="81" t="inlineStr">
        <x:is>
          <x:t xml:space="preserve">Enchiridion / Discourses</x:t>
        </x:is>
      </x:c>
      <x:c r="T532" s="81" t="inlineStr">
        <x:is>
          <x:t xml:space="preserve">Enchiridion 43</x:t>
        </x:is>
      </x:c>
      <x:c r="U532" s="81" t="inlineStr">
        <x:is>
          <x:t xml:space="preserve">https://www.perseus.tufts.edu/hopper/text?doc=Perseus:text:1999.01.0235:text=enc</x:t>
        </x:is>
      </x:c>
      <x:c r="V532" s="81" t="inlineStr">
        <x:is>
          <x:t xml:space="preserve">Primary Greek edition / institutional corpus</x:t>
        </x:is>
      </x:c>
      <x:c r="W532" s="81" t="inlineStr">
        <x:is>
          <x:t xml:space="preserve">Working translation</x:t>
        </x:is>
      </x:c>
      <x:c r="X532" s="81" t="inlineStr">
        <x:is>
          <x:t xml:space="preserve">A - Primary source</x:t>
        </x:is>
      </x:c>
      <x:c r="Y532" s="81" t="inlineStr">
        <x:is>
          <x:t xml:space="preserve">Greek source anchors based on Perseus Schenkl edition (1916); Vietnamese is Selflo working translation, not a published translation.</x:t>
        </x:is>
      </x:c>
      <x:c r="Z532" s="81" t="inlineStr">
        <x:is>
          <x:t xml:space="preserve">Ancient work public domain; Perseus digital text has reuse terms</x:t>
        </x:is>
      </x:c>
      <x:c r="AA532" s="81" t="inlineStr">
        <x:is>
          <x:t xml:space="preserve">Use ancient Greek/source location and a fresh Selflo translation/adaptation; do not copy modern copyrighted translations.</x:t>
        </x:is>
      </x:c>
      <x:c r="AB532" s="81" t="inlineStr">
        <x:is>
          <x:t xml:space="preserve">High</x:t>
        </x:is>
      </x:c>
      <x:c r="AC532" s="81" t="inlineStr">
        <x:is>
          <x:t xml:space="preserve">Classic handle metaphor.</x:t>
        </x:is>
      </x:c>
      <x:c r="AD532" s="81" t="inlineStr">
        <x:is>
          <x:t xml:space="preserve">Needs editorial review</x:t>
        </x:is>
      </x:c>
      <x:c r="AE532" s="81" t="inlineStr">
        <x:is>
          <x:t xml:space="preserve">Needs semantic dedupe review</x:t>
        </x:is>
      </x:c>
      <x:c r="AF532" s="81" t="str"/>
      <x:c r="AG532" s="81" t="str"/>
      <x:c r="AH532" s="81" t="inlineStr">
        <x:is>
          <x:t xml:space="preserve">No</x:t>
        </x:is>
      </x:c>
      <x:c r="AI532" s="81" t="inlineStr">
        <x:is>
          <x:t xml:space="preserve">Not reviewed</x:t>
        </x:is>
      </x:c>
      <x:c r="AJ532" s="81" t="inlineStr">
        <x:is>
          <x:t xml:space="preserve">Research only</x:t>
        </x:is>
      </x:c>
      <x:c r="AK532" s="81" t="inlineStr">
        <x:is>
          <x:t xml:space="preserve">Research Pool</x:t>
        </x:is>
      </x:c>
      <x:c r="AL532" s="81" t="n">
        <x:v>7</x:v>
      </x:c>
      <x:c r="AM532" s="81" t="inlineStr">
        <x:is>
          <x:t xml:space="preserve">ChatGPT research</x:t>
        </x:is>
      </x:c>
      <x:c r="AN532" s="81" t="inlineStr">
        <x:is>
          <x:t xml:space="preserve">2026-09-18</x:t>
        </x:is>
      </x:c>
      <x:c r="AO532" s="81" t="inlineStr">
        <x:is>
          <x:t xml:space="preserve">Day 7 full first-pass screening: all 53 Enchiridion chapters + all 4 surviving Discourses books; only Selflo-relevant candidates materialized.</x:t>
        </x:is>
      </x:c>
    </x:row>
    <x:row r="533">
      <x:c r="A533" s="81" t="inlineStr">
        <x:is>
          <x:t xml:space="preserve">research.epictetus.day7.enchiridion.48.031</x:t>
        </x:is>
      </x:c>
      <x:c r="B533" s="81" t="inlineStr">
        <x:is>
          <x:t xml:space="preserve">Collected</x:t>
        </x:is>
      </x:c>
      <x:c r="C533" s="81" t="inlineStr">
        <x:is>
          <x:t xml:space="preserve">Nội tâm &amp; hiểu mình</x:t>
        </x:is>
      </x:c>
      <x:c r="D533" s="81" t="inlineStr">
        <x:is>
          <x:t xml:space="preserve">Day 7 / Epictetus — Enchiridion + Discourses</x:t>
        </x:is>
      </x:c>
      <x:c r="E533" s="81" t="str"/>
      <x:c r="F533" s="81" t="str"/>
      <x:c r="G533" s="81" t="inlineStr">
        <x:is>
          <x:t xml:space="preserve">Agency</x:t>
        </x:is>
      </x:c>
      <x:c r="H533" s="81" t="str"/>
      <x:c r="I533" s="81" t="str"/>
      <x:c r="J533" s="81" t="str"/>
      <x:c r="K533" s="81" t="inlineStr">
        <x:is>
          <x:t xml:space="preserve">Recognize</x:t>
        </x:is>
      </x:c>
      <x:c r="L533" s="81" t="inlineStr">
        <x:is>
          <x:t xml:space="preserve">Distinguish</x:t>
        </x:is>
      </x:c>
      <x:c r="M533" s="81" t="inlineStr">
        <x:is>
          <x:t xml:space="preserve">Triết học / dialogue</x:t>
        </x:is>
      </x:c>
      <x:c r="N533" s="81" t="inlineStr">
        <x:is>
          <x:t xml:space="preserve">χαρακτὴρ καὶ ὑπόσχεσις ἰδιώτου· οὐδέποτε ἐξ ἑαυτοῦ προσδοκᾷ ὠφέλειαν ἢ βλάβην, ἀλλ᾽ ἔξωθεν.</x:t>
        </x:is>
      </x:c>
      <x:c r="O533" s="81" t="inlineStr">
        <x:is>
          <x:t xml:space="preserve">Ancient Greek</x:t>
        </x:is>
      </x:c>
      <x:c r="P533" s="81" t="inlineStr">
        <x:is>
          <x:t xml:space="preserve">Một dấu hiệu của người chưa rèn luyện là đặt toàn bộ lợi-hại của mình ở bên ngoài.</x:t>
        </x:is>
      </x:c>
      <x:c r="Q533" s="81" t="inlineStr">
        <x:is>
          <x:t xml:space="preserve">Epictetus (reported/compiled by Arrian for Discourses/Handbook tradition)</x:t>
        </x:is>
      </x:c>
      <x:c r="R533" s="81" t="inlineStr">
        <x:is>
          <x:t xml:space="preserve">Stoic / Greco-Roman</x:t>
        </x:is>
      </x:c>
      <x:c r="S533" s="81" t="inlineStr">
        <x:is>
          <x:t xml:space="preserve">Enchiridion / Discourses</x:t>
        </x:is>
      </x:c>
      <x:c r="T533" s="81" t="inlineStr">
        <x:is>
          <x:t xml:space="preserve">Enchiridion 48</x:t>
        </x:is>
      </x:c>
      <x:c r="U533" s="81" t="inlineStr">
        <x:is>
          <x:t xml:space="preserve">https://www.perseus.tufts.edu/hopper/text?doc=Perseus:text:1999.01.0235:text=enc</x:t>
        </x:is>
      </x:c>
      <x:c r="V533" s="81" t="inlineStr">
        <x:is>
          <x:t xml:space="preserve">Primary Greek edition / institutional corpus</x:t>
        </x:is>
      </x:c>
      <x:c r="W533" s="81" t="inlineStr">
        <x:is>
          <x:t xml:space="preserve">Working translation</x:t>
        </x:is>
      </x:c>
      <x:c r="X533" s="81" t="inlineStr">
        <x:is>
          <x:t xml:space="preserve">A - Primary source</x:t>
        </x:is>
      </x:c>
      <x:c r="Y533" s="81" t="inlineStr">
        <x:is>
          <x:t xml:space="preserve">Greek source anchors based on Perseus Schenkl edition (1916); Vietnamese is Selflo working translation, not a published translation.</x:t>
        </x:is>
      </x:c>
      <x:c r="Z533" s="81" t="inlineStr">
        <x:is>
          <x:t xml:space="preserve">Ancient work public domain; Perseus digital text has reuse terms</x:t>
        </x:is>
      </x:c>
      <x:c r="AA533" s="81" t="inlineStr">
        <x:is>
          <x:t xml:space="preserve">Use ancient Greek/source location and a fresh Selflo translation/adaptation; do not copy modern copyrighted translations.</x:t>
        </x:is>
      </x:c>
      <x:c r="AB533" s="81" t="inlineStr">
        <x:is>
          <x:t xml:space="preserve">Medium</x:t>
        </x:is>
      </x:c>
      <x:c r="AC533" s="81" t="inlineStr">
        <x:is>
          <x:t xml:space="preserve">Avoid blame.</x:t>
        </x:is>
      </x:c>
      <x:c r="AD533" s="81" t="inlineStr">
        <x:is>
          <x:t xml:space="preserve">Needs editorial review</x:t>
        </x:is>
      </x:c>
      <x:c r="AE533" s="81" t="inlineStr">
        <x:is>
          <x:t xml:space="preserve">Needs semantic dedupe review</x:t>
        </x:is>
      </x:c>
      <x:c r="AF533" s="81" t="str"/>
      <x:c r="AG533" s="81" t="str"/>
      <x:c r="AH533" s="81" t="inlineStr">
        <x:is>
          <x:t xml:space="preserve">No</x:t>
        </x:is>
      </x:c>
      <x:c r="AI533" s="81" t="inlineStr">
        <x:is>
          <x:t xml:space="preserve">Not reviewed</x:t>
        </x:is>
      </x:c>
      <x:c r="AJ533" s="81" t="inlineStr">
        <x:is>
          <x:t xml:space="preserve">Research only</x:t>
        </x:is>
      </x:c>
      <x:c r="AK533" s="81" t="inlineStr">
        <x:is>
          <x:t xml:space="preserve">Research Pool</x:t>
        </x:is>
      </x:c>
      <x:c r="AL533" s="81" t="n">
        <x:v>7</x:v>
      </x:c>
      <x:c r="AM533" s="81" t="inlineStr">
        <x:is>
          <x:t xml:space="preserve">ChatGPT research</x:t>
        </x:is>
      </x:c>
      <x:c r="AN533" s="81" t="inlineStr">
        <x:is>
          <x:t xml:space="preserve">2026-09-18</x:t>
        </x:is>
      </x:c>
      <x:c r="AO533" s="81" t="inlineStr">
        <x:is>
          <x:t xml:space="preserve">Day 7 full first-pass screening: all 53 Enchiridion chapters + all 4 surviving Discourses books; only Selflo-relevant candidates materialized.</x:t>
        </x:is>
      </x:c>
    </x:row>
    <x:row r="534">
      <x:c r="A534" s="81" t="inlineStr">
        <x:is>
          <x:t xml:space="preserve">research.epictetus.day7.enchiridion.51.032</x:t>
        </x:is>
      </x:c>
      <x:c r="B534" s="81" t="inlineStr">
        <x:is>
          <x:t xml:space="preserve">Collected</x:t>
        </x:is>
      </x:c>
      <x:c r="C534" s="81" t="inlineStr">
        <x:is>
          <x:t xml:space="preserve">Nội tâm &amp; hiểu mình</x:t>
        </x:is>
      </x:c>
      <x:c r="D534" s="81" t="inlineStr">
        <x:is>
          <x:t xml:space="preserve">Day 7 / Epictetus — Enchiridion + Discourses</x:t>
        </x:is>
      </x:c>
      <x:c r="E534" s="81" t="str"/>
      <x:c r="F534" s="81" t="str"/>
      <x:c r="G534" s="81" t="inlineStr">
        <x:is>
          <x:t xml:space="preserve">Values</x:t>
        </x:is>
      </x:c>
      <x:c r="H534" s="81" t="str"/>
      <x:c r="I534" s="81" t="str"/>
      <x:c r="J534" s="81" t="str"/>
      <x:c r="K534" s="81" t="inlineStr">
        <x:is>
          <x:t xml:space="preserve">Open question</x:t>
        </x:is>
      </x:c>
      <x:c r="L534" s="81" t="inlineStr">
        <x:is>
          <x:t xml:space="preserve">Recognize</x:t>
        </x:is>
      </x:c>
      <x:c r="M534" s="81" t="inlineStr">
        <x:is>
          <x:t xml:space="preserve">Triết học / dialogue</x:t>
        </x:is>
      </x:c>
      <x:c r="N534" s="81" t="inlineStr">
        <x:is>
          <x:t xml:space="preserve">πόσον οὖν ἔτι ἀναβάλλῃ σεαυτὸν ἀξιοῦν τῶν βελτίστων;</x:t>
        </x:is>
      </x:c>
      <x:c r="O534" s="81" t="inlineStr">
        <x:is>
          <x:t xml:space="preserve">Ancient Greek</x:t>
        </x:is>
      </x:c>
      <x:c r="P534" s="81" t="inlineStr">
        <x:is>
          <x:t xml:space="preserve">Mình còn trì hoãn bao lâu việc sống theo điều mình đã nhận là quan trọng?</x:t>
        </x:is>
      </x:c>
      <x:c r="Q534" s="81" t="inlineStr">
        <x:is>
          <x:t xml:space="preserve">Epictetus (reported/compiled by Arrian for Discourses/Handbook tradition)</x:t>
        </x:is>
      </x:c>
      <x:c r="R534" s="81" t="inlineStr">
        <x:is>
          <x:t xml:space="preserve">Stoic / Greco-Roman</x:t>
        </x:is>
      </x:c>
      <x:c r="S534" s="81" t="inlineStr">
        <x:is>
          <x:t xml:space="preserve">Enchiridion / Discourses</x:t>
        </x:is>
      </x:c>
      <x:c r="T534" s="81" t="inlineStr">
        <x:is>
          <x:t xml:space="preserve">Enchiridion 51</x:t>
        </x:is>
      </x:c>
      <x:c r="U534" s="81" t="inlineStr">
        <x:is>
          <x:t xml:space="preserve">https://www.perseus.tufts.edu/hopper/text?doc=Perseus:text:1999.01.0235:text=enc</x:t>
        </x:is>
      </x:c>
      <x:c r="V534" s="81" t="inlineStr">
        <x:is>
          <x:t xml:space="preserve">Primary Greek edition / institutional corpus</x:t>
        </x:is>
      </x:c>
      <x:c r="W534" s="81" t="inlineStr">
        <x:is>
          <x:t xml:space="preserve">Working translation</x:t>
        </x:is>
      </x:c>
      <x:c r="X534" s="81" t="inlineStr">
        <x:is>
          <x:t xml:space="preserve">A - Primary source</x:t>
        </x:is>
      </x:c>
      <x:c r="Y534" s="81" t="inlineStr">
        <x:is>
          <x:t xml:space="preserve">Greek source anchors based on Perseus Schenkl edition (1916); Vietnamese is Selflo working translation, not a published translation.</x:t>
        </x:is>
      </x:c>
      <x:c r="Z534" s="81" t="inlineStr">
        <x:is>
          <x:t xml:space="preserve">Ancient work public domain; Perseus digital text has reuse terms</x:t>
        </x:is>
      </x:c>
      <x:c r="AA534" s="81" t="inlineStr">
        <x:is>
          <x:t xml:space="preserve">Use ancient Greek/source location and a fresh Selflo translation/adaptation; do not copy modern copyrighted translations.</x:t>
        </x:is>
      </x:c>
      <x:c r="AB534" s="81" t="inlineStr">
        <x:is>
          <x:t xml:space="preserve">High</x:t>
        </x:is>
      </x:c>
      <x:c r="AC534" s="81" t="inlineStr">
        <x:is>
          <x:t xml:space="preserve">Strong but action-oriented.</x:t>
        </x:is>
      </x:c>
      <x:c r="AD534" s="81" t="inlineStr">
        <x:is>
          <x:t xml:space="preserve">Needs editorial review</x:t>
        </x:is>
      </x:c>
      <x:c r="AE534" s="81" t="inlineStr">
        <x:is>
          <x:t xml:space="preserve">Needs semantic dedupe review</x:t>
        </x:is>
      </x:c>
      <x:c r="AF534" s="81" t="str"/>
      <x:c r="AG534" s="81" t="str"/>
      <x:c r="AH534" s="81" t="inlineStr">
        <x:is>
          <x:t xml:space="preserve">No</x:t>
        </x:is>
      </x:c>
      <x:c r="AI534" s="81" t="inlineStr">
        <x:is>
          <x:t xml:space="preserve">Not reviewed</x:t>
        </x:is>
      </x:c>
      <x:c r="AJ534" s="81" t="inlineStr">
        <x:is>
          <x:t xml:space="preserve">Research only</x:t>
        </x:is>
      </x:c>
      <x:c r="AK534" s="81" t="inlineStr">
        <x:is>
          <x:t xml:space="preserve">Research Pool</x:t>
        </x:is>
      </x:c>
      <x:c r="AL534" s="81" t="n">
        <x:v>7</x:v>
      </x:c>
      <x:c r="AM534" s="81" t="inlineStr">
        <x:is>
          <x:t xml:space="preserve">ChatGPT research</x:t>
        </x:is>
      </x:c>
      <x:c r="AN534" s="81" t="inlineStr">
        <x:is>
          <x:t xml:space="preserve">2026-09-18</x:t>
        </x:is>
      </x:c>
      <x:c r="AO534" s="81" t="inlineStr">
        <x:is>
          <x:t xml:space="preserve">Day 7 full first-pass screening: all 53 Enchiridion chapters + all 4 surviving Discourses books; only Selflo-relevant candidates materialized.</x:t>
        </x:is>
      </x:c>
    </x:row>
    <x:row r="535">
      <x:c r="A535" s="81" t="inlineStr">
        <x:is>
          <x:t xml:space="preserve">research.epictetus.day7.discourses.1_1.033</x:t>
        </x:is>
      </x:c>
      <x:c r="B535" s="81" t="inlineStr">
        <x:is>
          <x:t xml:space="preserve">Collected</x:t>
        </x:is>
      </x:c>
      <x:c r="C535" s="81" t="inlineStr">
        <x:is>
          <x:t xml:space="preserve">AI &amp; tương lai</x:t>
        </x:is>
      </x:c>
      <x:c r="D535" s="81" t="inlineStr">
        <x:is>
          <x:t xml:space="preserve">Day 7 / Epictetus — Enchiridion + Discourses</x:t>
        </x:is>
      </x:c>
      <x:c r="E535" s="81" t="str"/>
      <x:c r="F535" s="81" t="str"/>
      <x:c r="G535" s="81" t="inlineStr">
        <x:is>
          <x:t xml:space="preserve">Judgment</x:t>
        </x:is>
      </x:c>
      <x:c r="H535" s="81" t="str"/>
      <x:c r="I535" s="81" t="str"/>
      <x:c r="J535" s="81" t="str"/>
      <x:c r="K535" s="81" t="inlineStr">
        <x:is>
          <x:t xml:space="preserve">Recognize</x:t>
        </x:is>
      </x:c>
      <x:c r="L535" s="81" t="inlineStr">
        <x:is>
          <x:t xml:space="preserve">Distinguish</x:t>
        </x:is>
      </x:c>
      <x:c r="M535" s="81" t="inlineStr">
        <x:is>
          <x:t xml:space="preserve">Triết học / dialogue</x:t>
        </x:is>
      </x:c>
      <x:c r="N535" s="81" t="inlineStr">
        <x:is>
          <x:t xml:space="preserve">τῶν ἄλλων δυνάμεων οὐδεμία αὑτὴν θεωρεῖν δύναται.</x:t>
        </x:is>
      </x:c>
      <x:c r="O535" s="81" t="inlineStr">
        <x:is>
          <x:t xml:space="preserve">Ancient Greek</x:t>
        </x:is>
      </x:c>
      <x:c r="P535" s="81" t="inlineStr">
        <x:is>
          <x:t xml:space="preserve">Nhiều năng lực làm việc của chúng, nhưng năng lực phán đoán còn phải quay lại xem chính cách mình đang phán đoán.</x:t>
        </x:is>
      </x:c>
      <x:c r="Q535" s="81" t="inlineStr">
        <x:is>
          <x:t xml:space="preserve">Epictetus (reported/compiled by Arrian for Discourses/Handbook tradition)</x:t>
        </x:is>
      </x:c>
      <x:c r="R535" s="81" t="inlineStr">
        <x:is>
          <x:t xml:space="preserve">Stoic / Greco-Roman</x:t>
        </x:is>
      </x:c>
      <x:c r="S535" s="81" t="inlineStr">
        <x:is>
          <x:t xml:space="preserve">Enchiridion / Discourses</x:t>
        </x:is>
      </x:c>
      <x:c r="T535" s="81" t="inlineStr">
        <x:is>
          <x:t xml:space="preserve">Discourses 1.1</x:t>
        </x:is>
      </x:c>
      <x:c r="U535" s="81" t="inlineStr">
        <x:is>
          <x:t xml:space="preserve">https://atlas.perseus.tufts.edu/library/urn:cts:greekLit:tlg0557.tlg001/</x:t>
        </x:is>
      </x:c>
      <x:c r="V535" s="81" t="inlineStr">
        <x:is>
          <x:t xml:space="preserve">Primary Greek edition / institutional corpus</x:t>
        </x:is>
      </x:c>
      <x:c r="W535" s="81" t="inlineStr">
        <x:is>
          <x:t xml:space="preserve">Working translation</x:t>
        </x:is>
      </x:c>
      <x:c r="X535" s="81" t="inlineStr">
        <x:is>
          <x:t xml:space="preserve">A - Primary source</x:t>
        </x:is>
      </x:c>
      <x:c r="Y535" s="81" t="inlineStr">
        <x:is>
          <x:t xml:space="preserve">Greek source anchors based on Perseus Schenkl edition (1916); Vietnamese is Selflo working translation, not a published translation.</x:t>
        </x:is>
      </x:c>
      <x:c r="Z535" s="81" t="inlineStr">
        <x:is>
          <x:t xml:space="preserve">Ancient work public domain; Perseus digital text has reuse terms</x:t>
        </x:is>
      </x:c>
      <x:c r="AA535" s="81" t="inlineStr">
        <x:is>
          <x:t xml:space="preserve">Use ancient Greek/source location and a fresh Selflo translation/adaptation; do not copy modern copyrighted translations.</x:t>
        </x:is>
      </x:c>
      <x:c r="AB535" s="81" t="inlineStr">
        <x:is>
          <x:t xml:space="preserve">High</x:t>
        </x:is>
      </x:c>
      <x:c r="AC535" s="81" t="inlineStr">
        <x:is>
          <x:t xml:space="preserve">Book 1 opening.</x:t>
        </x:is>
      </x:c>
      <x:c r="AD535" s="81" t="inlineStr">
        <x:is>
          <x:t xml:space="preserve">Needs editorial review</x:t>
        </x:is>
      </x:c>
      <x:c r="AE535" s="81" t="inlineStr">
        <x:is>
          <x:t xml:space="preserve">Needs semantic dedupe review</x:t>
        </x:is>
      </x:c>
      <x:c r="AF535" s="81" t="str"/>
      <x:c r="AG535" s="81" t="str"/>
      <x:c r="AH535" s="81" t="inlineStr">
        <x:is>
          <x:t xml:space="preserve">No</x:t>
        </x:is>
      </x:c>
      <x:c r="AI535" s="81" t="inlineStr">
        <x:is>
          <x:t xml:space="preserve">Not reviewed</x:t>
        </x:is>
      </x:c>
      <x:c r="AJ535" s="81" t="inlineStr">
        <x:is>
          <x:t xml:space="preserve">Research only</x:t>
        </x:is>
      </x:c>
      <x:c r="AK535" s="81" t="inlineStr">
        <x:is>
          <x:t xml:space="preserve">Research Pool</x:t>
        </x:is>
      </x:c>
      <x:c r="AL535" s="81" t="n">
        <x:v>7</x:v>
      </x:c>
      <x:c r="AM535" s="81" t="inlineStr">
        <x:is>
          <x:t xml:space="preserve">ChatGPT research</x:t>
        </x:is>
      </x:c>
      <x:c r="AN535" s="81" t="inlineStr">
        <x:is>
          <x:t xml:space="preserve">2026-09-18</x:t>
        </x:is>
      </x:c>
      <x:c r="AO535" s="81" t="inlineStr">
        <x:is>
          <x:t xml:space="preserve">Day 7 full first-pass screening: all 53 Enchiridion chapters + all 4 surviving Discourses books; only Selflo-relevant candidates materialized.</x:t>
        </x:is>
      </x:c>
    </x:row>
    <x:row r="536">
      <x:c r="A536" s="81" t="inlineStr">
        <x:is>
          <x:t xml:space="preserve">research.epictetus.day7.discourses.1_1.034</x:t>
        </x:is>
      </x:c>
      <x:c r="B536" s="81" t="inlineStr">
        <x:is>
          <x:t xml:space="preserve">Collected</x:t>
        </x:is>
      </x:c>
      <x:c r="C536" s="81" t="inlineStr">
        <x:is>
          <x:t xml:space="preserve">AI &amp; tương lai</x:t>
        </x:is>
      </x:c>
      <x:c r="D536" s="81" t="inlineStr">
        <x:is>
          <x:t xml:space="preserve">Day 7 / Epictetus — Enchiridion + Discourses</x:t>
        </x:is>
      </x:c>
      <x:c r="E536" s="81" t="str"/>
      <x:c r="F536" s="81" t="str"/>
      <x:c r="G536" s="81" t="inlineStr">
        <x:is>
          <x:t xml:space="preserve">Metacognition</x:t>
        </x:is>
      </x:c>
      <x:c r="H536" s="81" t="str"/>
      <x:c r="I536" s="81" t="str"/>
      <x:c r="J536" s="81" t="str"/>
      <x:c r="K536" s="81" t="inlineStr">
        <x:is>
          <x:t xml:space="preserve">Distinguish</x:t>
        </x:is>
      </x:c>
      <x:c r="L536" s="81" t="inlineStr">
        <x:is>
          <x:t xml:space="preserve">Recognize</x:t>
        </x:is>
      </x:c>
      <x:c r="M536" s="81" t="inlineStr">
        <x:is>
          <x:t xml:space="preserve">Triết học / dialogue</x:t>
        </x:is>
      </x:c>
      <x:c r="N536" s="81" t="inlineStr">
        <x:is>
          <x:t xml:space="preserve">μόνη ἡ λογικὴ δύναμις... καὶ αὑτὴν θεωρεῖ.</x:t>
        </x:is>
      </x:c>
      <x:c r="O536" s="81" t="inlineStr">
        <x:is>
          <x:t xml:space="preserve">Ancient Greek</x:t>
        </x:is>
      </x:c>
      <x:c r="P536" s="81" t="inlineStr">
        <x:is>
          <x:t xml:space="preserve">Năng lực lý trí có thể xem cả đối tượng lẫn chính cách nó đang vận hành.</x:t>
        </x:is>
      </x:c>
      <x:c r="Q536" s="81" t="inlineStr">
        <x:is>
          <x:t xml:space="preserve">Epictetus (reported/compiled by Arrian for Discourses/Handbook tradition)</x:t>
        </x:is>
      </x:c>
      <x:c r="R536" s="81" t="inlineStr">
        <x:is>
          <x:t xml:space="preserve">Stoic / Greco-Roman</x:t>
        </x:is>
      </x:c>
      <x:c r="S536" s="81" t="inlineStr">
        <x:is>
          <x:t xml:space="preserve">Enchiridion / Discourses</x:t>
        </x:is>
      </x:c>
      <x:c r="T536" s="81" t="inlineStr">
        <x:is>
          <x:t xml:space="preserve">Discourses 1.1</x:t>
        </x:is>
      </x:c>
      <x:c r="U536" s="81" t="inlineStr">
        <x:is>
          <x:t xml:space="preserve">https://atlas.perseus.tufts.edu/library/urn:cts:greekLit:tlg0557.tlg001/</x:t>
        </x:is>
      </x:c>
      <x:c r="V536" s="81" t="inlineStr">
        <x:is>
          <x:t xml:space="preserve">Primary Greek edition / institutional corpus</x:t>
        </x:is>
      </x:c>
      <x:c r="W536" s="81" t="inlineStr">
        <x:is>
          <x:t xml:space="preserve">Working translation</x:t>
        </x:is>
      </x:c>
      <x:c r="X536" s="81" t="inlineStr">
        <x:is>
          <x:t xml:space="preserve">A - Primary source</x:t>
        </x:is>
      </x:c>
      <x:c r="Y536" s="81" t="inlineStr">
        <x:is>
          <x:t xml:space="preserve">Greek source anchors based on Perseus Schenkl edition (1916); Vietnamese is Selflo working translation, not a published translation.</x:t>
        </x:is>
      </x:c>
      <x:c r="Z536" s="81" t="inlineStr">
        <x:is>
          <x:t xml:space="preserve">Ancient work public domain; Perseus digital text has reuse terms</x:t>
        </x:is>
      </x:c>
      <x:c r="AA536" s="81" t="inlineStr">
        <x:is>
          <x:t xml:space="preserve">Use ancient Greek/source location and a fresh Selflo translation/adaptation; do not copy modern copyrighted translations.</x:t>
        </x:is>
      </x:c>
      <x:c r="AB536" s="81" t="inlineStr">
        <x:is>
          <x:t xml:space="preserve">High</x:t>
        </x:is>
      </x:c>
      <x:c r="AC536" s="81" t="inlineStr">
        <x:is>
          <x:t xml:space="preserve">AI-age critical thinking.</x:t>
        </x:is>
      </x:c>
      <x:c r="AD536" s="81" t="inlineStr">
        <x:is>
          <x:t xml:space="preserve">Needs editorial review</x:t>
        </x:is>
      </x:c>
      <x:c r="AE536" s="81" t="inlineStr">
        <x:is>
          <x:t xml:space="preserve">Needs semantic dedupe review</x:t>
        </x:is>
      </x:c>
      <x:c r="AF536" s="81" t="str"/>
      <x:c r="AG536" s="81" t="str"/>
      <x:c r="AH536" s="81" t="inlineStr">
        <x:is>
          <x:t xml:space="preserve">No</x:t>
        </x:is>
      </x:c>
      <x:c r="AI536" s="81" t="inlineStr">
        <x:is>
          <x:t xml:space="preserve">Not reviewed</x:t>
        </x:is>
      </x:c>
      <x:c r="AJ536" s="81" t="inlineStr">
        <x:is>
          <x:t xml:space="preserve">Research only</x:t>
        </x:is>
      </x:c>
      <x:c r="AK536" s="81" t="inlineStr">
        <x:is>
          <x:t xml:space="preserve">Research Pool</x:t>
        </x:is>
      </x:c>
      <x:c r="AL536" s="81" t="n">
        <x:v>7</x:v>
      </x:c>
      <x:c r="AM536" s="81" t="inlineStr">
        <x:is>
          <x:t xml:space="preserve">ChatGPT research</x:t>
        </x:is>
      </x:c>
      <x:c r="AN536" s="81" t="inlineStr">
        <x:is>
          <x:t xml:space="preserve">2026-09-18</x:t>
        </x:is>
      </x:c>
      <x:c r="AO536" s="81" t="inlineStr">
        <x:is>
          <x:t xml:space="preserve">Day 7 full first-pass screening: all 53 Enchiridion chapters + all 4 surviving Discourses books; only Selflo-relevant candidates materialized.</x:t>
        </x:is>
      </x:c>
    </x:row>
    <x:row r="537">
      <x:c r="A537" s="81" t="inlineStr">
        <x:is>
          <x:t xml:space="preserve">research.epictetus.day7.discourses.1_2.035</x:t>
        </x:is>
      </x:c>
      <x:c r="B537" s="81" t="inlineStr">
        <x:is>
          <x:t xml:space="preserve">Collected</x:t>
        </x:is>
      </x:c>
      <x:c r="C537" s="81" t="inlineStr">
        <x:is>
          <x:t xml:space="preserve">Nội tâm &amp; hiểu mình</x:t>
        </x:is>
      </x:c>
      <x:c r="D537" s="81" t="inlineStr">
        <x:is>
          <x:t xml:space="preserve">Day 7 / Epictetus — Enchiridion + Discourses</x:t>
        </x:is>
      </x:c>
      <x:c r="E537" s="81" t="str"/>
      <x:c r="F537" s="81" t="str"/>
      <x:c r="G537" s="81" t="inlineStr">
        <x:is>
          <x:t xml:space="preserve">Values</x:t>
        </x:is>
      </x:c>
      <x:c r="H537" s="81" t="str"/>
      <x:c r="I537" s="81" t="str"/>
      <x:c r="J537" s="81" t="str"/>
      <x:c r="K537" s="81" t="inlineStr">
        <x:is>
          <x:t xml:space="preserve">Recognize</x:t>
        </x:is>
      </x:c>
      <x:c r="L537" s="81" t="inlineStr">
        <x:is>
          <x:t xml:space="preserve">Distinguish</x:t>
        </x:is>
      </x:c>
      <x:c r="M537" s="81" t="inlineStr">
        <x:is>
          <x:t xml:space="preserve">Triết học / dialogue</x:t>
        </x:is>
      </x:c>
      <x:c r="N537" s="81" t="inlineStr">
        <x:is>
          <x:t xml:space="preserve">τὸ λογικὸν καὶ ἄλογον παρὰ φύσιν οὐ πᾶσιν ὡσαύτως.</x:t>
        </x:is>
      </x:c>
      <x:c r="O537" s="81" t="inlineStr">
        <x:is>
          <x:t xml:space="preserve">Ancient Greek</x:t>
        </x:is>
      </x:c>
      <x:c r="P537" s="81" t="inlineStr">
        <x:is>
          <x:t xml:space="preserve">Điều được xem là hợp lý không hiện giống nhau với mọi người; nó còn đi qua điều mỗi người coi là mình.</x:t>
        </x:is>
      </x:c>
      <x:c r="Q537" s="81" t="inlineStr">
        <x:is>
          <x:t xml:space="preserve">Epictetus (reported/compiled by Arrian for Discourses/Handbook tradition)</x:t>
        </x:is>
      </x:c>
      <x:c r="R537" s="81" t="inlineStr">
        <x:is>
          <x:t xml:space="preserve">Stoic / Greco-Roman</x:t>
        </x:is>
      </x:c>
      <x:c r="S537" s="81" t="inlineStr">
        <x:is>
          <x:t xml:space="preserve">Enchiridion / Discourses</x:t>
        </x:is>
      </x:c>
      <x:c r="T537" s="81" t="inlineStr">
        <x:is>
          <x:t xml:space="preserve">Discourses 1.2</x:t>
        </x:is>
      </x:c>
      <x:c r="U537" s="81" t="inlineStr">
        <x:is>
          <x:t xml:space="preserve">https://atlas.perseus.tufts.edu/library/urn:cts:greekLit:tlg0557.tlg001/</x:t>
        </x:is>
      </x:c>
      <x:c r="V537" s="81" t="inlineStr">
        <x:is>
          <x:t xml:space="preserve">Primary Greek edition / institutional corpus</x:t>
        </x:is>
      </x:c>
      <x:c r="W537" s="81" t="inlineStr">
        <x:is>
          <x:t xml:space="preserve">Working translation</x:t>
        </x:is>
      </x:c>
      <x:c r="X537" s="81" t="inlineStr">
        <x:is>
          <x:t xml:space="preserve">A - Primary source</x:t>
        </x:is>
      </x:c>
      <x:c r="Y537" s="81" t="inlineStr">
        <x:is>
          <x:t xml:space="preserve">Greek source anchors based on Perseus Schenkl edition (1916); Vietnamese is Selflo working translation, not a published translation.</x:t>
        </x:is>
      </x:c>
      <x:c r="Z537" s="81" t="inlineStr">
        <x:is>
          <x:t xml:space="preserve">Ancient work public domain; Perseus digital text has reuse terms</x:t>
        </x:is>
      </x:c>
      <x:c r="AA537" s="81" t="inlineStr">
        <x:is>
          <x:t xml:space="preserve">Use ancient Greek/source location and a fresh Selflo translation/adaptation; do not copy modern copyrighted translations.</x:t>
        </x:is>
      </x:c>
      <x:c r="AB537" s="81" t="inlineStr">
        <x:is>
          <x:t xml:space="preserve">High</x:t>
        </x:is>
      </x:c>
      <x:c r="AC537" s="81" t="inlineStr">
        <x:is>
          <x:t xml:space="preserve">Needs context.</x:t>
        </x:is>
      </x:c>
      <x:c r="AD537" s="81" t="inlineStr">
        <x:is>
          <x:t xml:space="preserve">Needs editorial review</x:t>
        </x:is>
      </x:c>
      <x:c r="AE537" s="81" t="inlineStr">
        <x:is>
          <x:t xml:space="preserve">Needs semantic dedupe review</x:t>
        </x:is>
      </x:c>
      <x:c r="AF537" s="81" t="str"/>
      <x:c r="AG537" s="81" t="str"/>
      <x:c r="AH537" s="81" t="inlineStr">
        <x:is>
          <x:t xml:space="preserve">No</x:t>
        </x:is>
      </x:c>
      <x:c r="AI537" s="81" t="inlineStr">
        <x:is>
          <x:t xml:space="preserve">Not reviewed</x:t>
        </x:is>
      </x:c>
      <x:c r="AJ537" s="81" t="inlineStr">
        <x:is>
          <x:t xml:space="preserve">Research only</x:t>
        </x:is>
      </x:c>
      <x:c r="AK537" s="81" t="inlineStr">
        <x:is>
          <x:t xml:space="preserve">Research Pool</x:t>
        </x:is>
      </x:c>
      <x:c r="AL537" s="81" t="n">
        <x:v>7</x:v>
      </x:c>
      <x:c r="AM537" s="81" t="inlineStr">
        <x:is>
          <x:t xml:space="preserve">ChatGPT research</x:t>
        </x:is>
      </x:c>
      <x:c r="AN537" s="81" t="inlineStr">
        <x:is>
          <x:t xml:space="preserve">2026-09-18</x:t>
        </x:is>
      </x:c>
      <x:c r="AO537" s="81" t="inlineStr">
        <x:is>
          <x:t xml:space="preserve">Day 7 full first-pass screening: all 53 Enchiridion chapters + all 4 surviving Discourses books; only Selflo-relevant candidates materialized.</x:t>
        </x:is>
      </x:c>
    </x:row>
    <x:row r="538">
      <x:c r="A538" s="81" t="inlineStr">
        <x:is>
          <x:t xml:space="preserve">research.epictetus.day7.discourses.1_6.036</x:t>
        </x:is>
      </x:c>
      <x:c r="B538" s="81" t="inlineStr">
        <x:is>
          <x:t xml:space="preserve">Collected</x:t>
        </x:is>
      </x:c>
      <x:c r="C538" s="81" t="inlineStr">
        <x:is>
          <x:t xml:space="preserve">Nghỉ ngơi &amp; sức khỏe tinh thần</x:t>
        </x:is>
      </x:c>
      <x:c r="D538" s="81" t="inlineStr">
        <x:is>
          <x:t xml:space="preserve">Day 7 / Epictetus — Enchiridion + Discourses</x:t>
        </x:is>
      </x:c>
      <x:c r="E538" s="81" t="str"/>
      <x:c r="F538" s="81" t="str"/>
      <x:c r="G538" s="81" t="inlineStr">
        <x:is>
          <x:t xml:space="preserve">Adversity</x:t>
        </x:is>
      </x:c>
      <x:c r="H538" s="81" t="str"/>
      <x:c r="I538" s="81" t="str"/>
      <x:c r="J538" s="81" t="str"/>
      <x:c r="K538" s="81" t="inlineStr">
        <x:is>
          <x:t xml:space="preserve">Reframe</x:t>
        </x:is>
      </x:c>
      <x:c r="L538" s="81" t="inlineStr">
        <x:is>
          <x:t xml:space="preserve">Recognize</x:t>
        </x:is>
      </x:c>
      <x:c r="M538" s="81" t="inlineStr">
        <x:is>
          <x:t xml:space="preserve">Triết học / dialogue</x:t>
        </x:is>
      </x:c>
      <x:c r="N538" s="81" t="inlineStr">
        <x:is>
          <x:t xml:space="preserve">τὰς περιστάσεις γυμνάσια εἶναι.</x:t>
        </x:is>
      </x:c>
      <x:c r="O538" s="81" t="inlineStr">
        <x:is>
          <x:t xml:space="preserve">Ancient Greek</x:t>
        </x:is>
      </x:c>
      <x:c r="P538" s="81" t="inlineStr">
        <x:is>
          <x:t xml:space="preserve">Khó khăn có thể trở thành nơi luyện năng lực, nhưng không vì thế mà khó khăn tự nó là điều tốt.</x:t>
        </x:is>
      </x:c>
      <x:c r="Q538" s="81" t="inlineStr">
        <x:is>
          <x:t xml:space="preserve">Epictetus (reported/compiled by Arrian for Discourses/Handbook tradition)</x:t>
        </x:is>
      </x:c>
      <x:c r="R538" s="81" t="inlineStr">
        <x:is>
          <x:t xml:space="preserve">Stoic / Greco-Roman</x:t>
        </x:is>
      </x:c>
      <x:c r="S538" s="81" t="inlineStr">
        <x:is>
          <x:t xml:space="preserve">Enchiridion / Discourses</x:t>
        </x:is>
      </x:c>
      <x:c r="T538" s="81" t="inlineStr">
        <x:is>
          <x:t xml:space="preserve">Discourses 1.6</x:t>
        </x:is>
      </x:c>
      <x:c r="U538" s="81" t="inlineStr">
        <x:is>
          <x:t xml:space="preserve">https://atlas.perseus.tufts.edu/library/urn:cts:greekLit:tlg0557.tlg001/</x:t>
        </x:is>
      </x:c>
      <x:c r="V538" s="81" t="inlineStr">
        <x:is>
          <x:t xml:space="preserve">Primary Greek edition / institutional corpus</x:t>
        </x:is>
      </x:c>
      <x:c r="W538" s="81" t="inlineStr">
        <x:is>
          <x:t xml:space="preserve">Working translation</x:t>
        </x:is>
      </x:c>
      <x:c r="X538" s="81" t="inlineStr">
        <x:is>
          <x:t xml:space="preserve">A - Primary source</x:t>
        </x:is>
      </x:c>
      <x:c r="Y538" s="81" t="inlineStr">
        <x:is>
          <x:t xml:space="preserve">Greek source anchors based on Perseus Schenkl edition (1916); Vietnamese is Selflo working translation, not a published translation.</x:t>
        </x:is>
      </x:c>
      <x:c r="Z538" s="81" t="inlineStr">
        <x:is>
          <x:t xml:space="preserve">Ancient work public domain; Perseus digital text has reuse terms</x:t>
        </x:is>
      </x:c>
      <x:c r="AA538" s="81" t="inlineStr">
        <x:is>
          <x:t xml:space="preserve">Use ancient Greek/source location and a fresh Selflo translation/adaptation; do not copy modern copyrighted translations.</x:t>
        </x:is>
      </x:c>
      <x:c r="AB538" s="81" t="inlineStr">
        <x:is>
          <x:t xml:space="preserve">High</x:t>
        </x:is>
      </x:c>
      <x:c r="AC538" s="81" t="inlineStr">
        <x:is>
          <x:t xml:space="preserve">VI adds safety nuance.</x:t>
        </x:is>
      </x:c>
      <x:c r="AD538" s="81" t="inlineStr">
        <x:is>
          <x:t xml:space="preserve">Needs editorial review</x:t>
        </x:is>
      </x:c>
      <x:c r="AE538" s="81" t="inlineStr">
        <x:is>
          <x:t xml:space="preserve">Needs semantic dedupe review</x:t>
        </x:is>
      </x:c>
      <x:c r="AF538" s="81" t="str"/>
      <x:c r="AG538" s="81" t="str"/>
      <x:c r="AH538" s="81" t="inlineStr">
        <x:is>
          <x:t xml:space="preserve">No</x:t>
        </x:is>
      </x:c>
      <x:c r="AI538" s="81" t="inlineStr">
        <x:is>
          <x:t xml:space="preserve">Not reviewed</x:t>
        </x:is>
      </x:c>
      <x:c r="AJ538" s="81" t="inlineStr">
        <x:is>
          <x:t xml:space="preserve">Research only</x:t>
        </x:is>
      </x:c>
      <x:c r="AK538" s="81" t="inlineStr">
        <x:is>
          <x:t xml:space="preserve">Research Pool</x:t>
        </x:is>
      </x:c>
      <x:c r="AL538" s="81" t="n">
        <x:v>7</x:v>
      </x:c>
      <x:c r="AM538" s="81" t="inlineStr">
        <x:is>
          <x:t xml:space="preserve">ChatGPT research</x:t>
        </x:is>
      </x:c>
      <x:c r="AN538" s="81" t="inlineStr">
        <x:is>
          <x:t xml:space="preserve">2026-09-18</x:t>
        </x:is>
      </x:c>
      <x:c r="AO538" s="81" t="inlineStr">
        <x:is>
          <x:t xml:space="preserve">Day 7 full first-pass screening: all 53 Enchiridion chapters + all 4 surviving Discourses books; only Selflo-relevant candidates materialized.</x:t>
        </x:is>
      </x:c>
    </x:row>
    <x:row r="539">
      <x:c r="A539" s="81" t="inlineStr">
        <x:is>
          <x:t xml:space="preserve">research.epictetus.day7.discourses.1_18.037</x:t>
        </x:is>
      </x:c>
      <x:c r="B539" s="81" t="inlineStr">
        <x:is>
          <x:t xml:space="preserve">Collected</x:t>
        </x:is>
      </x:c>
      <x:c r="C539" s="81" t="inlineStr">
        <x:is>
          <x:t xml:space="preserve">AI &amp; tương lai</x:t>
        </x:is>
      </x:c>
      <x:c r="D539" s="81" t="inlineStr">
        <x:is>
          <x:t xml:space="preserve">Day 7 / Epictetus — Enchiridion + Discourses</x:t>
        </x:is>
      </x:c>
      <x:c r="E539" s="81" t="str"/>
      <x:c r="F539" s="81" t="str"/>
      <x:c r="G539" s="81" t="inlineStr">
        <x:is>
          <x:t xml:space="preserve">Perspective</x:t>
        </x:is>
      </x:c>
      <x:c r="H539" s="81" t="str"/>
      <x:c r="I539" s="81" t="str"/>
      <x:c r="J539" s="81" t="str"/>
      <x:c r="K539" s="81" t="inlineStr">
        <x:is>
          <x:t xml:space="preserve">Distinguish</x:t>
        </x:is>
      </x:c>
      <x:c r="L539" s="81" t="inlineStr">
        <x:is>
          <x:t xml:space="preserve">Recognize</x:t>
        </x:is>
      </x:c>
      <x:c r="M539" s="81" t="inlineStr">
        <x:is>
          <x:t xml:space="preserve">Triết học / dialogue</x:t>
        </x:is>
      </x:c>
      <x:c r="N539" s="81" t="inlineStr">
        <x:is>
          <x:t xml:space="preserve">οὐδεὶς ἑκὼν ἁμαρτάνει.</x:t>
        </x:is>
      </x:c>
      <x:c r="O539" s="81" t="inlineStr">
        <x:is>
          <x:t xml:space="preserve">Ancient Greek</x:t>
        </x:is>
      </x:c>
      <x:c r="P539" s="81" t="inlineStr">
        <x:is>
          <x:t xml:space="preserve">Epictetus lập luận rằng người ta thường hành động từ điều lúc ấy họ cho là đúng, dù phán đoán đó có thể sai.</x:t>
        </x:is>
      </x:c>
      <x:c r="Q539" s="81" t="inlineStr">
        <x:is>
          <x:t xml:space="preserve">Epictetus (reported/compiled by Arrian for Discourses/Handbook tradition)</x:t>
        </x:is>
      </x:c>
      <x:c r="R539" s="81" t="inlineStr">
        <x:is>
          <x:t xml:space="preserve">Stoic / Greco-Roman</x:t>
        </x:is>
      </x:c>
      <x:c r="S539" s="81" t="inlineStr">
        <x:is>
          <x:t xml:space="preserve">Enchiridion / Discourses</x:t>
        </x:is>
      </x:c>
      <x:c r="T539" s="81" t="inlineStr">
        <x:is>
          <x:t xml:space="preserve">Discourses 1.18</x:t>
        </x:is>
      </x:c>
      <x:c r="U539" s="81" t="inlineStr">
        <x:is>
          <x:t xml:space="preserve">https://atlas.perseus.tufts.edu/library/urn:cts:greekLit:tlg0557.tlg001/</x:t>
        </x:is>
      </x:c>
      <x:c r="V539" s="81" t="inlineStr">
        <x:is>
          <x:t xml:space="preserve">Primary Greek edition / institutional corpus</x:t>
        </x:is>
      </x:c>
      <x:c r="W539" s="81" t="inlineStr">
        <x:is>
          <x:t xml:space="preserve">Working translation</x:t>
        </x:is>
      </x:c>
      <x:c r="X539" s="81" t="inlineStr">
        <x:is>
          <x:t xml:space="preserve">A - Primary source</x:t>
        </x:is>
      </x:c>
      <x:c r="Y539" s="81" t="inlineStr">
        <x:is>
          <x:t xml:space="preserve">Greek source anchors based on Perseus Schenkl edition (1916); Vietnamese is Selflo working translation, not a published translation.</x:t>
        </x:is>
      </x:c>
      <x:c r="Z539" s="81" t="inlineStr">
        <x:is>
          <x:t xml:space="preserve">Ancient work public domain; Perseus digital text has reuse terms</x:t>
        </x:is>
      </x:c>
      <x:c r="AA539" s="81" t="inlineStr">
        <x:is>
          <x:t xml:space="preserve">Use ancient Greek/source location and a fresh Selflo translation/adaptation; do not copy modern copyrighted translations.</x:t>
        </x:is>
      </x:c>
      <x:c r="AB539" s="81" t="inlineStr">
        <x:is>
          <x:t xml:space="preserve">Medium</x:t>
        </x:is>
      </x:c>
      <x:c r="AC539" s="81" t="inlineStr">
        <x:is>
          <x:t xml:space="preserve">Do not excuse accountability.</x:t>
        </x:is>
      </x:c>
      <x:c r="AD539" s="81" t="inlineStr">
        <x:is>
          <x:t xml:space="preserve">Needs editorial review</x:t>
        </x:is>
      </x:c>
      <x:c r="AE539" s="81" t="inlineStr">
        <x:is>
          <x:t xml:space="preserve">Needs semantic dedupe review</x:t>
        </x:is>
      </x:c>
      <x:c r="AF539" s="81" t="str"/>
      <x:c r="AG539" s="81" t="str"/>
      <x:c r="AH539" s="81" t="inlineStr">
        <x:is>
          <x:t xml:space="preserve">No</x:t>
        </x:is>
      </x:c>
      <x:c r="AI539" s="81" t="inlineStr">
        <x:is>
          <x:t xml:space="preserve">Not reviewed</x:t>
        </x:is>
      </x:c>
      <x:c r="AJ539" s="81" t="inlineStr">
        <x:is>
          <x:t xml:space="preserve">Research only</x:t>
        </x:is>
      </x:c>
      <x:c r="AK539" s="81" t="inlineStr">
        <x:is>
          <x:t xml:space="preserve">Research Pool</x:t>
        </x:is>
      </x:c>
      <x:c r="AL539" s="81" t="n">
        <x:v>7</x:v>
      </x:c>
      <x:c r="AM539" s="81" t="inlineStr">
        <x:is>
          <x:t xml:space="preserve">ChatGPT research</x:t>
        </x:is>
      </x:c>
      <x:c r="AN539" s="81" t="inlineStr">
        <x:is>
          <x:t xml:space="preserve">2026-09-18</x:t>
        </x:is>
      </x:c>
      <x:c r="AO539" s="81" t="inlineStr">
        <x:is>
          <x:t xml:space="preserve">Day 7 full first-pass screening: all 53 Enchiridion chapters + all 4 surviving Discourses books; only Selflo-relevant candidates materialized.</x:t>
        </x:is>
      </x:c>
    </x:row>
    <x:row r="540">
      <x:c r="A540" s="81" t="inlineStr">
        <x:is>
          <x:t xml:space="preserve">research.epictetus.day7.discourses.1_20.038</x:t>
        </x:is>
      </x:c>
      <x:c r="B540" s="81" t="inlineStr">
        <x:is>
          <x:t xml:space="preserve">Collected</x:t>
        </x:is>
      </x:c>
      <x:c r="C540" s="81" t="inlineStr">
        <x:is>
          <x:t xml:space="preserve">AI &amp; tương lai</x:t>
        </x:is>
      </x:c>
      <x:c r="D540" s="81" t="inlineStr">
        <x:is>
          <x:t xml:space="preserve">Day 7 / Epictetus — Enchiridion + Discourses</x:t>
        </x:is>
      </x:c>
      <x:c r="E540" s="81" t="str"/>
      <x:c r="F540" s="81" t="str"/>
      <x:c r="G540" s="81" t="inlineStr">
        <x:is>
          <x:t xml:space="preserve">Judgment</x:t>
        </x:is>
      </x:c>
      <x:c r="H540" s="81" t="str"/>
      <x:c r="I540" s="81" t="str"/>
      <x:c r="J540" s="81" t="str"/>
      <x:c r="K540" s="81" t="inlineStr">
        <x:is>
          <x:t xml:space="preserve">Open question</x:t>
        </x:is>
      </x:c>
      <x:c r="L540" s="81" t="inlineStr">
        <x:is>
          <x:t xml:space="preserve">Recognize</x:t>
        </x:is>
      </x:c>
      <x:c r="M540" s="81" t="inlineStr">
        <x:is>
          <x:t xml:space="preserve">Triết học / dialogue</x:t>
        </x:is>
      </x:c>
      <x:c r="N540" s="81" t="inlineStr">
        <x:is>
          <x:t xml:space="preserve">πῶς ὁ λόγος αὑτὸν θεωρεῖ.</x:t>
        </x:is>
      </x:c>
      <x:c r="O540" s="81" t="inlineStr">
        <x:is>
          <x:t xml:space="preserve">Ancient Greek</x:t>
        </x:is>
      </x:c>
      <x:c r="P540" s="81" t="inlineStr">
        <x:is>
          <x:t xml:space="preserve">Một câu hỏi trung tâm: lý trí kiểm tra chính nó bằng cách nào?</x:t>
        </x:is>
      </x:c>
      <x:c r="Q540" s="81" t="inlineStr">
        <x:is>
          <x:t xml:space="preserve">Epictetus (reported/compiled by Arrian for Discourses/Handbook tradition)</x:t>
        </x:is>
      </x:c>
      <x:c r="R540" s="81" t="inlineStr">
        <x:is>
          <x:t xml:space="preserve">Stoic / Greco-Roman</x:t>
        </x:is>
      </x:c>
      <x:c r="S540" s="81" t="inlineStr">
        <x:is>
          <x:t xml:space="preserve">Enchiridion / Discourses</x:t>
        </x:is>
      </x:c>
      <x:c r="T540" s="81" t="inlineStr">
        <x:is>
          <x:t xml:space="preserve">Discourses 1.20</x:t>
        </x:is>
      </x:c>
      <x:c r="U540" s="81" t="inlineStr">
        <x:is>
          <x:t xml:space="preserve">https://atlas.perseus.tufts.edu/library/urn:cts:greekLit:tlg0557.tlg001/</x:t>
        </x:is>
      </x:c>
      <x:c r="V540" s="81" t="inlineStr">
        <x:is>
          <x:t xml:space="preserve">Primary Greek edition / institutional corpus</x:t>
        </x:is>
      </x:c>
      <x:c r="W540" s="81" t="inlineStr">
        <x:is>
          <x:t xml:space="preserve">Working translation</x:t>
        </x:is>
      </x:c>
      <x:c r="X540" s="81" t="inlineStr">
        <x:is>
          <x:t xml:space="preserve">A - Primary source</x:t>
        </x:is>
      </x:c>
      <x:c r="Y540" s="81" t="inlineStr">
        <x:is>
          <x:t xml:space="preserve">Greek source anchors based on Perseus Schenkl edition (1916); Vietnamese is Selflo working translation, not a published translation.</x:t>
        </x:is>
      </x:c>
      <x:c r="Z540" s="81" t="inlineStr">
        <x:is>
          <x:t xml:space="preserve">Ancient work public domain; Perseus digital text has reuse terms</x:t>
        </x:is>
      </x:c>
      <x:c r="AA540" s="81" t="inlineStr">
        <x:is>
          <x:t xml:space="preserve">Use ancient Greek/source location and a fresh Selflo translation/adaptation; do not copy modern copyrighted translations.</x:t>
        </x:is>
      </x:c>
      <x:c r="AB540" s="81" t="inlineStr">
        <x:is>
          <x:t xml:space="preserve">High</x:t>
        </x:is>
      </x:c>
      <x:c r="AC540" s="81" t="inlineStr">
        <x:is>
          <x:t xml:space="preserve">Great docs alignment.</x:t>
        </x:is>
      </x:c>
      <x:c r="AD540" s="81" t="inlineStr">
        <x:is>
          <x:t xml:space="preserve">Needs editorial review</x:t>
        </x:is>
      </x:c>
      <x:c r="AE540" s="81" t="inlineStr">
        <x:is>
          <x:t xml:space="preserve">Needs semantic dedupe review</x:t>
        </x:is>
      </x:c>
      <x:c r="AF540" s="81" t="str"/>
      <x:c r="AG540" s="81" t="str"/>
      <x:c r="AH540" s="81" t="inlineStr">
        <x:is>
          <x:t xml:space="preserve">No</x:t>
        </x:is>
      </x:c>
      <x:c r="AI540" s="81" t="inlineStr">
        <x:is>
          <x:t xml:space="preserve">Not reviewed</x:t>
        </x:is>
      </x:c>
      <x:c r="AJ540" s="81" t="inlineStr">
        <x:is>
          <x:t xml:space="preserve">Research only</x:t>
        </x:is>
      </x:c>
      <x:c r="AK540" s="81" t="inlineStr">
        <x:is>
          <x:t xml:space="preserve">Research Pool</x:t>
        </x:is>
      </x:c>
      <x:c r="AL540" s="81" t="n">
        <x:v>7</x:v>
      </x:c>
      <x:c r="AM540" s="81" t="inlineStr">
        <x:is>
          <x:t xml:space="preserve">ChatGPT research</x:t>
        </x:is>
      </x:c>
      <x:c r="AN540" s="81" t="inlineStr">
        <x:is>
          <x:t xml:space="preserve">2026-09-18</x:t>
        </x:is>
      </x:c>
      <x:c r="AO540" s="81" t="inlineStr">
        <x:is>
          <x:t xml:space="preserve">Day 7 full first-pass screening: all 53 Enchiridion chapters + all 4 surviving Discourses books; only Selflo-relevant candidates materialized.</x:t>
        </x:is>
      </x:c>
    </x:row>
    <x:row r="541">
      <x:c r="A541" s="81" t="inlineStr">
        <x:is>
          <x:t xml:space="preserve">research.epictetus.day7.discourses.2_5.039</x:t>
        </x:is>
      </x:c>
      <x:c r="B541" s="81" t="inlineStr">
        <x:is>
          <x:t xml:space="preserve">Collected</x:t>
        </x:is>
      </x:c>
      <x:c r="C541" s="81" t="inlineStr">
        <x:is>
          <x:t xml:space="preserve">Nội tâm &amp; hiểu mình</x:t>
        </x:is>
      </x:c>
      <x:c r="D541" s="81" t="inlineStr">
        <x:is>
          <x:t xml:space="preserve">Day 7 / Epictetus — Enchiridion + Discourses</x:t>
        </x:is>
      </x:c>
      <x:c r="E541" s="81" t="str"/>
      <x:c r="F541" s="81" t="str"/>
      <x:c r="G541" s="81" t="inlineStr">
        <x:is>
          <x:t xml:space="preserve">Agency</x:t>
        </x:is>
      </x:c>
      <x:c r="H541" s="81" t="str"/>
      <x:c r="I541" s="81" t="str"/>
      <x:c r="J541" s="81" t="str"/>
      <x:c r="K541" s="81" t="inlineStr">
        <x:is>
          <x:t xml:space="preserve">Recognize</x:t>
        </x:is>
      </x:c>
      <x:c r="L541" s="81" t="inlineStr">
        <x:is>
          <x:t xml:space="preserve">Distinguish</x:t>
        </x:is>
      </x:c>
      <x:c r="M541" s="81" t="inlineStr">
        <x:is>
          <x:t xml:space="preserve">Triết học / dialogue</x:t>
        </x:is>
      </x:c>
      <x:c r="N541" s="81" t="inlineStr">
        <x:is>
          <x:t xml:space="preserve">ὕλη τοῦ καλοῦ καὶ ἀγαθοῦ ἡγεμονικόν ἐστι τὸ ἑαυτοῦ.</x:t>
        </x:is>
      </x:c>
      <x:c r="O541" s="81" t="inlineStr">
        <x:is>
          <x:t xml:space="preserve">Ancient Greek</x:t>
        </x:is>
      </x:c>
      <x:c r="P541" s="81" t="inlineStr">
        <x:is>
          <x:t xml:space="preserve">Vật liệu để rèn một đời sống tốt bắt đầu từ phần phán đoán của chính mình.</x:t>
        </x:is>
      </x:c>
      <x:c r="Q541" s="81" t="inlineStr">
        <x:is>
          <x:t xml:space="preserve">Epictetus (reported/compiled by Arrian for Discourses/Handbook tradition)</x:t>
        </x:is>
      </x:c>
      <x:c r="R541" s="81" t="inlineStr">
        <x:is>
          <x:t xml:space="preserve">Stoic / Greco-Roman</x:t>
        </x:is>
      </x:c>
      <x:c r="S541" s="81" t="inlineStr">
        <x:is>
          <x:t xml:space="preserve">Enchiridion / Discourses</x:t>
        </x:is>
      </x:c>
      <x:c r="T541" s="81" t="inlineStr">
        <x:is>
          <x:t xml:space="preserve">Discourses 2.5</x:t>
        </x:is>
      </x:c>
      <x:c r="U541" s="81" t="inlineStr">
        <x:is>
          <x:t xml:space="preserve">https://atlas.perseus.tufts.edu/library/urn:cts:greekLit:tlg0557.tlg001/</x:t>
        </x:is>
      </x:c>
      <x:c r="V541" s="81" t="inlineStr">
        <x:is>
          <x:t xml:space="preserve">Primary Greek edition / institutional corpus</x:t>
        </x:is>
      </x:c>
      <x:c r="W541" s="81" t="inlineStr">
        <x:is>
          <x:t xml:space="preserve">Working translation</x:t>
        </x:is>
      </x:c>
      <x:c r="X541" s="81" t="inlineStr">
        <x:is>
          <x:t xml:space="preserve">A - Primary source</x:t>
        </x:is>
      </x:c>
      <x:c r="Y541" s="81" t="inlineStr">
        <x:is>
          <x:t xml:space="preserve">Greek source anchors based on Perseus Schenkl edition (1916); Vietnamese is Selflo working translation, not a published translation.</x:t>
        </x:is>
      </x:c>
      <x:c r="Z541" s="81" t="inlineStr">
        <x:is>
          <x:t xml:space="preserve">Ancient work public domain; Perseus digital text has reuse terms</x:t>
        </x:is>
      </x:c>
      <x:c r="AA541" s="81" t="inlineStr">
        <x:is>
          <x:t xml:space="preserve">Use ancient Greek/source location and a fresh Selflo translation/adaptation; do not copy modern copyrighted translations.</x:t>
        </x:is>
      </x:c>
      <x:c r="AB541" s="81" t="inlineStr">
        <x:is>
          <x:t xml:space="preserve">High</x:t>
        </x:is>
      </x:c>
      <x:c r="AC541" s="81" t="inlineStr">
        <x:is>
          <x:t xml:space="preserve">Avoid individualism.</x:t>
        </x:is>
      </x:c>
      <x:c r="AD541" s="81" t="inlineStr">
        <x:is>
          <x:t xml:space="preserve">Needs editorial review</x:t>
        </x:is>
      </x:c>
      <x:c r="AE541" s="81" t="inlineStr">
        <x:is>
          <x:t xml:space="preserve">Needs semantic dedupe review</x:t>
        </x:is>
      </x:c>
      <x:c r="AF541" s="81" t="str"/>
      <x:c r="AG541" s="81" t="str"/>
      <x:c r="AH541" s="81" t="inlineStr">
        <x:is>
          <x:t xml:space="preserve">No</x:t>
        </x:is>
      </x:c>
      <x:c r="AI541" s="81" t="inlineStr">
        <x:is>
          <x:t xml:space="preserve">Not reviewed</x:t>
        </x:is>
      </x:c>
      <x:c r="AJ541" s="81" t="inlineStr">
        <x:is>
          <x:t xml:space="preserve">Research only</x:t>
        </x:is>
      </x:c>
      <x:c r="AK541" s="81" t="inlineStr">
        <x:is>
          <x:t xml:space="preserve">Research Pool</x:t>
        </x:is>
      </x:c>
      <x:c r="AL541" s="81" t="n">
        <x:v>7</x:v>
      </x:c>
      <x:c r="AM541" s="81" t="inlineStr">
        <x:is>
          <x:t xml:space="preserve">ChatGPT research</x:t>
        </x:is>
      </x:c>
      <x:c r="AN541" s="81" t="inlineStr">
        <x:is>
          <x:t xml:space="preserve">2026-09-18</x:t>
        </x:is>
      </x:c>
      <x:c r="AO541" s="81" t="inlineStr">
        <x:is>
          <x:t xml:space="preserve">Day 7 full first-pass screening: all 53 Enchiridion chapters + all 4 surviving Discourses books; only Selflo-relevant candidates materialized.</x:t>
        </x:is>
      </x:c>
    </x:row>
    <x:row r="542">
      <x:c r="A542" s="81" t="inlineStr">
        <x:is>
          <x:t xml:space="preserve">research.epictetus.day7.discourses.2_11.040</x:t>
        </x:is>
      </x:c>
      <x:c r="B542" s="81" t="inlineStr">
        <x:is>
          <x:t xml:space="preserve">Collected</x:t>
        </x:is>
      </x:c>
      <x:c r="C542" s="81" t="inlineStr">
        <x:is>
          <x:t xml:space="preserve">Công việc &amp; mục đích</x:t>
        </x:is>
      </x:c>
      <x:c r="D542" s="81" t="inlineStr">
        <x:is>
          <x:t xml:space="preserve">Day 7 / Epictetus — Enchiridion + Discourses</x:t>
        </x:is>
      </x:c>
      <x:c r="E542" s="81" t="str"/>
      <x:c r="F542" s="81" t="str"/>
      <x:c r="G542" s="81" t="inlineStr">
        <x:is>
          <x:t xml:space="preserve">Learning</x:t>
        </x:is>
      </x:c>
      <x:c r="H542" s="81" t="str"/>
      <x:c r="I542" s="81" t="str"/>
      <x:c r="J542" s="81" t="str"/>
      <x:c r="K542" s="81" t="inlineStr">
        <x:is>
          <x:t xml:space="preserve">Recognize</x:t>
        </x:is>
      </x:c>
      <x:c r="L542" s="81" t="inlineStr">
        <x:is>
          <x:t xml:space="preserve">Distinguish</x:t>
        </x:is>
      </x:c>
      <x:c r="M542" s="81" t="inlineStr">
        <x:is>
          <x:t xml:space="preserve">Triết học / dialogue</x:t>
        </x:is>
      </x:c>
      <x:c r="N542" s="81" t="inlineStr">
        <x:is>
          <x:t xml:space="preserve">ἀρχὴ φιλοσοφίας... αἴσθησις τῆς περὶ τὰ ἀναγκαῖα ἀσθενείας.</x:t>
        </x:is>
      </x:c>
      <x:c r="O542" s="81" t="inlineStr">
        <x:is>
          <x:t xml:space="preserve">Ancient Greek</x:t>
        </x:is>
      </x:c>
      <x:c r="P542" s="81" t="inlineStr">
        <x:is>
          <x:t xml:space="preserve">Triết học bắt đầu khi ta nhận ra cách hiểu hiện tại của mình có thể chưa đủ.</x:t>
        </x:is>
      </x:c>
      <x:c r="Q542" s="81" t="inlineStr">
        <x:is>
          <x:t xml:space="preserve">Epictetus (reported/compiled by Arrian for Discourses/Handbook tradition)</x:t>
        </x:is>
      </x:c>
      <x:c r="R542" s="81" t="inlineStr">
        <x:is>
          <x:t xml:space="preserve">Stoic / Greco-Roman</x:t>
        </x:is>
      </x:c>
      <x:c r="S542" s="81" t="inlineStr">
        <x:is>
          <x:t xml:space="preserve">Enchiridion / Discourses</x:t>
        </x:is>
      </x:c>
      <x:c r="T542" s="81" t="inlineStr">
        <x:is>
          <x:t xml:space="preserve">Discourses 2.11</x:t>
        </x:is>
      </x:c>
      <x:c r="U542" s="81" t="inlineStr">
        <x:is>
          <x:t xml:space="preserve">https://atlas.perseus.tufts.edu/library/urn:cts:greekLit:tlg0557.tlg001/</x:t>
        </x:is>
      </x:c>
      <x:c r="V542" s="81" t="inlineStr">
        <x:is>
          <x:t xml:space="preserve">Primary Greek edition / institutional corpus</x:t>
        </x:is>
      </x:c>
      <x:c r="W542" s="81" t="inlineStr">
        <x:is>
          <x:t xml:space="preserve">Working translation</x:t>
        </x:is>
      </x:c>
      <x:c r="X542" s="81" t="inlineStr">
        <x:is>
          <x:t xml:space="preserve">A - Primary source</x:t>
        </x:is>
      </x:c>
      <x:c r="Y542" s="81" t="inlineStr">
        <x:is>
          <x:t xml:space="preserve">Greek source anchors based on Perseus Schenkl edition (1916); Vietnamese is Selflo working translation, not a published translation.</x:t>
        </x:is>
      </x:c>
      <x:c r="Z542" s="81" t="inlineStr">
        <x:is>
          <x:t xml:space="preserve">Ancient work public domain; Perseus digital text has reuse terms</x:t>
        </x:is>
      </x:c>
      <x:c r="AA542" s="81" t="inlineStr">
        <x:is>
          <x:t xml:space="preserve">Use ancient Greek/source location and a fresh Selflo translation/adaptation; do not copy modern copyrighted translations.</x:t>
        </x:is>
      </x:c>
      <x:c r="AB542" s="81" t="inlineStr">
        <x:is>
          <x:t xml:space="preserve">High</x:t>
        </x:is>
      </x:c>
      <x:c r="AC542" s="81" t="inlineStr">
        <x:is>
          <x:t xml:space="preserve">Strong.</x:t>
        </x:is>
      </x:c>
      <x:c r="AD542" s="81" t="inlineStr">
        <x:is>
          <x:t xml:space="preserve">Needs editorial review</x:t>
        </x:is>
      </x:c>
      <x:c r="AE542" s="81" t="inlineStr">
        <x:is>
          <x:t xml:space="preserve">Needs semantic dedupe review</x:t>
        </x:is>
      </x:c>
      <x:c r="AF542" s="81" t="str"/>
      <x:c r="AG542" s="81" t="str"/>
      <x:c r="AH542" s="81" t="inlineStr">
        <x:is>
          <x:t xml:space="preserve">No</x:t>
        </x:is>
      </x:c>
      <x:c r="AI542" s="81" t="inlineStr">
        <x:is>
          <x:t xml:space="preserve">Not reviewed</x:t>
        </x:is>
      </x:c>
      <x:c r="AJ542" s="81" t="inlineStr">
        <x:is>
          <x:t xml:space="preserve">Research only</x:t>
        </x:is>
      </x:c>
      <x:c r="AK542" s="81" t="inlineStr">
        <x:is>
          <x:t xml:space="preserve">Research Pool</x:t>
        </x:is>
      </x:c>
      <x:c r="AL542" s="81" t="n">
        <x:v>7</x:v>
      </x:c>
      <x:c r="AM542" s="81" t="inlineStr">
        <x:is>
          <x:t xml:space="preserve">ChatGPT research</x:t>
        </x:is>
      </x:c>
      <x:c r="AN542" s="81" t="inlineStr">
        <x:is>
          <x:t xml:space="preserve">2026-09-18</x:t>
        </x:is>
      </x:c>
      <x:c r="AO542" s="81" t="inlineStr">
        <x:is>
          <x:t xml:space="preserve">Day 7 full first-pass screening: all 53 Enchiridion chapters + all 4 surviving Discourses books; only Selflo-relevant candidates materialized.</x:t>
        </x:is>
      </x:c>
    </x:row>
    <x:row r="543">
      <x:c r="A543" s="81" t="inlineStr">
        <x:is>
          <x:t xml:space="preserve">research.epictetus.day7.discourses.2_18.041</x:t>
        </x:is>
      </x:c>
      <x:c r="B543" s="81" t="inlineStr">
        <x:is>
          <x:t xml:space="preserve">Collected</x:t>
        </x:is>
      </x:c>
      <x:c r="C543" s="81" t="inlineStr">
        <x:is>
          <x:t xml:space="preserve">Công việc &amp; mục đích</x:t>
        </x:is>
      </x:c>
      <x:c r="D543" s="81" t="inlineStr">
        <x:is>
          <x:t xml:space="preserve">Day 7 / Epictetus — Enchiridion + Discourses</x:t>
        </x:is>
      </x:c>
      <x:c r="E543" s="81" t="str"/>
      <x:c r="F543" s="81" t="str"/>
      <x:c r="G543" s="81" t="inlineStr">
        <x:is>
          <x:t xml:space="preserve">Habit</x:t>
        </x:is>
      </x:c>
      <x:c r="H543" s="81" t="str"/>
      <x:c r="I543" s="81" t="str"/>
      <x:c r="J543" s="81" t="str"/>
      <x:c r="K543" s="81" t="inlineStr">
        <x:is>
          <x:t xml:space="preserve">Reframe</x:t>
        </x:is>
      </x:c>
      <x:c r="L543" s="81" t="inlineStr">
        <x:is>
          <x:t xml:space="preserve">Recognize</x:t>
        </x:is>
      </x:c>
      <x:c r="M543" s="81" t="inlineStr">
        <x:is>
          <x:t xml:space="preserve">Triết học / dialogue</x:t>
        </x:is>
      </x:c>
      <x:c r="N543" s="81" t="inlineStr">
        <x:is>
          <x:t xml:space="preserve">ἔθος ἔθει ἀντίθες.</x:t>
        </x:is>
      </x:c>
      <x:c r="O543" s="81" t="inlineStr">
        <x:is>
          <x:t xml:space="preserve">Ancient Greek</x:t>
        </x:is>
      </x:c>
      <x:c r="P543" s="81" t="inlineStr">
        <x:is>
          <x:t xml:space="preserve">Một thói quen có thể được làm yếu bằng cách tập một thói quen khác.</x:t>
        </x:is>
      </x:c>
      <x:c r="Q543" s="81" t="inlineStr">
        <x:is>
          <x:t xml:space="preserve">Epictetus (reported/compiled by Arrian for Discourses/Handbook tradition)</x:t>
        </x:is>
      </x:c>
      <x:c r="R543" s="81" t="inlineStr">
        <x:is>
          <x:t xml:space="preserve">Stoic / Greco-Roman</x:t>
        </x:is>
      </x:c>
      <x:c r="S543" s="81" t="inlineStr">
        <x:is>
          <x:t xml:space="preserve">Enchiridion / Discourses</x:t>
        </x:is>
      </x:c>
      <x:c r="T543" s="81" t="inlineStr">
        <x:is>
          <x:t xml:space="preserve">Discourses 2.18</x:t>
        </x:is>
      </x:c>
      <x:c r="U543" s="81" t="inlineStr">
        <x:is>
          <x:t xml:space="preserve">https://atlas.perseus.tufts.edu/library/urn:cts:greekLit:tlg0557.tlg001/</x:t>
        </x:is>
      </x:c>
      <x:c r="V543" s="81" t="inlineStr">
        <x:is>
          <x:t xml:space="preserve">Primary Greek edition / institutional corpus</x:t>
        </x:is>
      </x:c>
      <x:c r="W543" s="81" t="inlineStr">
        <x:is>
          <x:t xml:space="preserve">Working translation</x:t>
        </x:is>
      </x:c>
      <x:c r="X543" s="81" t="inlineStr">
        <x:is>
          <x:t xml:space="preserve">A - Primary source</x:t>
        </x:is>
      </x:c>
      <x:c r="Y543" s="81" t="inlineStr">
        <x:is>
          <x:t xml:space="preserve">Greek source anchors based on Perseus Schenkl edition (1916); Vietnamese is Selflo working translation, not a published translation.</x:t>
        </x:is>
      </x:c>
      <x:c r="Z543" s="81" t="inlineStr">
        <x:is>
          <x:t xml:space="preserve">Ancient work public domain; Perseus digital text has reuse terms</x:t>
        </x:is>
      </x:c>
      <x:c r="AA543" s="81" t="inlineStr">
        <x:is>
          <x:t xml:space="preserve">Use ancient Greek/source location and a fresh Selflo translation/adaptation; do not copy modern copyrighted translations.</x:t>
        </x:is>
      </x:c>
      <x:c r="AB543" s="81" t="inlineStr">
        <x:is>
          <x:t xml:space="preserve">High</x:t>
        </x:is>
      </x:c>
      <x:c r="AC543" s="81" t="inlineStr">
        <x:is>
          <x:t xml:space="preserve">Do not promise easy behavior change.</x:t>
        </x:is>
      </x:c>
      <x:c r="AD543" s="81" t="inlineStr">
        <x:is>
          <x:t xml:space="preserve">Needs editorial review</x:t>
        </x:is>
      </x:c>
      <x:c r="AE543" s="81" t="inlineStr">
        <x:is>
          <x:t xml:space="preserve">Needs semantic dedupe review</x:t>
        </x:is>
      </x:c>
      <x:c r="AF543" s="81" t="str"/>
      <x:c r="AG543" s="81" t="str"/>
      <x:c r="AH543" s="81" t="inlineStr">
        <x:is>
          <x:t xml:space="preserve">No</x:t>
        </x:is>
      </x:c>
      <x:c r="AI543" s="81" t="inlineStr">
        <x:is>
          <x:t xml:space="preserve">Not reviewed</x:t>
        </x:is>
      </x:c>
      <x:c r="AJ543" s="81" t="inlineStr">
        <x:is>
          <x:t xml:space="preserve">Research only</x:t>
        </x:is>
      </x:c>
      <x:c r="AK543" s="81" t="inlineStr">
        <x:is>
          <x:t xml:space="preserve">Research Pool</x:t>
        </x:is>
      </x:c>
      <x:c r="AL543" s="81" t="n">
        <x:v>7</x:v>
      </x:c>
      <x:c r="AM543" s="81" t="inlineStr">
        <x:is>
          <x:t xml:space="preserve">ChatGPT research</x:t>
        </x:is>
      </x:c>
      <x:c r="AN543" s="81" t="inlineStr">
        <x:is>
          <x:t xml:space="preserve">2026-09-18</x:t>
        </x:is>
      </x:c>
      <x:c r="AO543" s="81" t="inlineStr">
        <x:is>
          <x:t xml:space="preserve">Day 7 full first-pass screening: all 53 Enchiridion chapters + all 4 surviving Discourses books; only Selflo-relevant candidates materialized.</x:t>
        </x:is>
      </x:c>
    </x:row>
    <x:row r="544">
      <x:c r="A544" s="81" t="inlineStr">
        <x:is>
          <x:t xml:space="preserve">research.epictetus.day7.discourses.3_12.042</x:t>
        </x:is>
      </x:c>
      <x:c r="B544" s="81" t="inlineStr">
        <x:is>
          <x:t xml:space="preserve">Collected</x:t>
        </x:is>
      </x:c>
      <x:c r="C544" s="81" t="inlineStr">
        <x:is>
          <x:t xml:space="preserve">Công việc &amp; mục đích</x:t>
        </x:is>
      </x:c>
      <x:c r="D544" s="81" t="inlineStr">
        <x:is>
          <x:t xml:space="preserve">Day 7 / Epictetus — Enchiridion + Discourses</x:t>
        </x:is>
      </x:c>
      <x:c r="E544" s="81" t="str"/>
      <x:c r="F544" s="81" t="str"/>
      <x:c r="G544" s="81" t="inlineStr">
        <x:is>
          <x:t xml:space="preserve">Learning</x:t>
        </x:is>
      </x:c>
      <x:c r="H544" s="81" t="str"/>
      <x:c r="I544" s="81" t="str"/>
      <x:c r="J544" s="81" t="str"/>
      <x:c r="K544" s="81" t="inlineStr">
        <x:is>
          <x:t xml:space="preserve">Normalize</x:t>
        </x:is>
      </x:c>
      <x:c r="L544" s="81" t="inlineStr">
        <x:is>
          <x:t xml:space="preserve">Recognize</x:t>
        </x:is>
      </x:c>
      <x:c r="M544" s="81" t="inlineStr">
        <x:is>
          <x:t xml:space="preserve">Triết học / dialogue</x:t>
        </x:is>
      </x:c>
      <x:c r="N544" s="81" t="inlineStr">
        <x:is>
          <x:t xml:space="preserve">οὐδεὶς ἀγὼν ἄνευ θορύβου.</x:t>
        </x:is>
      </x:c>
      <x:c r="O544" s="81" t="inlineStr">
        <x:is>
          <x:t xml:space="preserve">Ancient Greek</x:t>
        </x:is>
      </x:c>
      <x:c r="P544" s="81" t="inlineStr">
        <x:is>
          <x:t xml:space="preserve">Không có quá trình rèn luyện nào hoàn toàn không có ma sát.</x:t>
        </x:is>
      </x:c>
      <x:c r="Q544" s="81" t="inlineStr">
        <x:is>
          <x:t xml:space="preserve">Epictetus (reported/compiled by Arrian for Discourses/Handbook tradition)</x:t>
        </x:is>
      </x:c>
      <x:c r="R544" s="81" t="inlineStr">
        <x:is>
          <x:t xml:space="preserve">Stoic / Greco-Roman</x:t>
        </x:is>
      </x:c>
      <x:c r="S544" s="81" t="inlineStr">
        <x:is>
          <x:t xml:space="preserve">Enchiridion / Discourses</x:t>
        </x:is>
      </x:c>
      <x:c r="T544" s="81" t="inlineStr">
        <x:is>
          <x:t xml:space="preserve">Discourses 3.12</x:t>
        </x:is>
      </x:c>
      <x:c r="U544" s="81" t="inlineStr">
        <x:is>
          <x:t xml:space="preserve">https://atlas.perseus.tufts.edu/library/urn:cts:greekLit:tlg0557.tlg001/</x:t>
        </x:is>
      </x:c>
      <x:c r="V544" s="81" t="inlineStr">
        <x:is>
          <x:t xml:space="preserve">Primary Greek edition / institutional corpus</x:t>
        </x:is>
      </x:c>
      <x:c r="W544" s="81" t="inlineStr">
        <x:is>
          <x:t xml:space="preserve">Working translation</x:t>
        </x:is>
      </x:c>
      <x:c r="X544" s="81" t="inlineStr">
        <x:is>
          <x:t xml:space="preserve">A - Primary source</x:t>
        </x:is>
      </x:c>
      <x:c r="Y544" s="81" t="inlineStr">
        <x:is>
          <x:t xml:space="preserve">Greek source anchors based on Perseus Schenkl edition (1916); Vietnamese is Selflo working translation, not a published translation.</x:t>
        </x:is>
      </x:c>
      <x:c r="Z544" s="81" t="inlineStr">
        <x:is>
          <x:t xml:space="preserve">Ancient work public domain; Perseus digital text has reuse terms</x:t>
        </x:is>
      </x:c>
      <x:c r="AA544" s="81" t="inlineStr">
        <x:is>
          <x:t xml:space="preserve">Use ancient Greek/source location and a fresh Selflo translation/adaptation; do not copy modern copyrighted translations.</x:t>
        </x:is>
      </x:c>
      <x:c r="AB544" s="81" t="inlineStr">
        <x:is>
          <x:t xml:space="preserve">Medium</x:t>
        </x:is>
      </x:c>
      <x:c r="AC544" s="81" t="inlineStr">
        <x:is>
          <x:t xml:space="preserve">Avoid glorifying suffering.</x:t>
        </x:is>
      </x:c>
      <x:c r="AD544" s="81" t="inlineStr">
        <x:is>
          <x:t xml:space="preserve">Needs editorial review</x:t>
        </x:is>
      </x:c>
      <x:c r="AE544" s="81" t="inlineStr">
        <x:is>
          <x:t xml:space="preserve">Needs semantic dedupe review</x:t>
        </x:is>
      </x:c>
      <x:c r="AF544" s="81" t="str"/>
      <x:c r="AG544" s="81" t="str"/>
      <x:c r="AH544" s="81" t="inlineStr">
        <x:is>
          <x:t xml:space="preserve">No</x:t>
        </x:is>
      </x:c>
      <x:c r="AI544" s="81" t="inlineStr">
        <x:is>
          <x:t xml:space="preserve">Not reviewed</x:t>
        </x:is>
      </x:c>
      <x:c r="AJ544" s="81" t="inlineStr">
        <x:is>
          <x:t xml:space="preserve">Research only</x:t>
        </x:is>
      </x:c>
      <x:c r="AK544" s="81" t="inlineStr">
        <x:is>
          <x:t xml:space="preserve">Research Pool</x:t>
        </x:is>
      </x:c>
      <x:c r="AL544" s="81" t="n">
        <x:v>7</x:v>
      </x:c>
      <x:c r="AM544" s="81" t="inlineStr">
        <x:is>
          <x:t xml:space="preserve">ChatGPT research</x:t>
        </x:is>
      </x:c>
      <x:c r="AN544" s="81" t="inlineStr">
        <x:is>
          <x:t xml:space="preserve">2026-09-18</x:t>
        </x:is>
      </x:c>
      <x:c r="AO544" s="81" t="inlineStr">
        <x:is>
          <x:t xml:space="preserve">Day 7 full first-pass screening: all 53 Enchiridion chapters + all 4 surviving Discourses books; only Selflo-relevant candidates materialized.</x:t>
        </x:is>
      </x:c>
    </x:row>
    <x:row r="545">
      <x:c r="A545" s="81" t="inlineStr">
        <x:is>
          <x:t xml:space="preserve">research.epictetus.day7.discourses.3_22.043</x:t>
        </x:is>
      </x:c>
      <x:c r="B545" s="81" t="inlineStr">
        <x:is>
          <x:t xml:space="preserve">Collected</x:t>
        </x:is>
      </x:c>
      <x:c r="C545" s="81" t="inlineStr">
        <x:is>
          <x:t xml:space="preserve">Công việc &amp; mục đích</x:t>
        </x:is>
      </x:c>
      <x:c r="D545" s="81" t="inlineStr">
        <x:is>
          <x:t xml:space="preserve">Day 7 / Epictetus — Enchiridion + Discourses</x:t>
        </x:is>
      </x:c>
      <x:c r="E545" s="81" t="str"/>
      <x:c r="F545" s="81" t="str"/>
      <x:c r="G545" s="81" t="inlineStr">
        <x:is>
          <x:t xml:space="preserve">Choice</x:t>
        </x:is>
      </x:c>
      <x:c r="H545" s="81" t="str"/>
      <x:c r="I545" s="81" t="str"/>
      <x:c r="J545" s="81" t="str"/>
      <x:c r="K545" s="81" t="inlineStr">
        <x:is>
          <x:t xml:space="preserve">Recognize</x:t>
        </x:is>
      </x:c>
      <x:c r="L545" s="81" t="inlineStr">
        <x:is>
          <x:t xml:space="preserve">Distinguish</x:t>
        </x:is>
      </x:c>
      <x:c r="M545" s="81" t="inlineStr">
        <x:is>
          <x:t xml:space="preserve">Triết học / dialogue</x:t>
        </x:is>
      </x:c>
      <x:c r="N545" s="81" t="inlineStr">
        <x:is>
          <x:t xml:space="preserve">σκέψαι τί ἀναλαμβάνεις.</x:t>
        </x:is>
      </x:c>
      <x:c r="O545" s="81" t="inlineStr">
        <x:is>
          <x:t xml:space="preserve">Ancient Greek</x:t>
        </x:is>
      </x:c>
      <x:c r="P545" s="81" t="inlineStr">
        <x:is>
          <x:t xml:space="preserve">Hãy nhìn kỹ điều mình đang nhận vào.</x:t>
        </x:is>
      </x:c>
      <x:c r="Q545" s="81" t="inlineStr">
        <x:is>
          <x:t xml:space="preserve">Epictetus (reported/compiled by Arrian for Discourses/Handbook tradition)</x:t>
        </x:is>
      </x:c>
      <x:c r="R545" s="81" t="inlineStr">
        <x:is>
          <x:t xml:space="preserve">Stoic / Greco-Roman</x:t>
        </x:is>
      </x:c>
      <x:c r="S545" s="81" t="inlineStr">
        <x:is>
          <x:t xml:space="preserve">Enchiridion / Discourses</x:t>
        </x:is>
      </x:c>
      <x:c r="T545" s="81" t="inlineStr">
        <x:is>
          <x:t xml:space="preserve">Discourses 3.22</x:t>
        </x:is>
      </x:c>
      <x:c r="U545" s="81" t="inlineStr">
        <x:is>
          <x:t xml:space="preserve">https://atlas.perseus.tufts.edu/library/urn:cts:greekLit:tlg0557.tlg001/</x:t>
        </x:is>
      </x:c>
      <x:c r="V545" s="81" t="inlineStr">
        <x:is>
          <x:t xml:space="preserve">Primary Greek edition / institutional corpus</x:t>
        </x:is>
      </x:c>
      <x:c r="W545" s="81" t="inlineStr">
        <x:is>
          <x:t xml:space="preserve">Working translation</x:t>
        </x:is>
      </x:c>
      <x:c r="X545" s="81" t="inlineStr">
        <x:is>
          <x:t xml:space="preserve">A - Primary source</x:t>
        </x:is>
      </x:c>
      <x:c r="Y545" s="81" t="inlineStr">
        <x:is>
          <x:t xml:space="preserve">Greek source anchors based on Perseus Schenkl edition (1916); Vietnamese is Selflo working translation, not a published translation.</x:t>
        </x:is>
      </x:c>
      <x:c r="Z545" s="81" t="inlineStr">
        <x:is>
          <x:t xml:space="preserve">Ancient work public domain; Perseus digital text has reuse terms</x:t>
        </x:is>
      </x:c>
      <x:c r="AA545" s="81" t="inlineStr">
        <x:is>
          <x:t xml:space="preserve">Use ancient Greek/source location and a fresh Selflo translation/adaptation; do not copy modern copyrighted translations.</x:t>
        </x:is>
      </x:c>
      <x:c r="AB545" s="81" t="inlineStr">
        <x:is>
          <x:t xml:space="preserve">High</x:t>
        </x:is>
      </x:c>
      <x:c r="AC545" s="81" t="inlineStr">
        <x:is>
          <x:t xml:space="preserve">Cynic vocation context.</x:t>
        </x:is>
      </x:c>
      <x:c r="AD545" s="81" t="inlineStr">
        <x:is>
          <x:t xml:space="preserve">Needs editorial review</x:t>
        </x:is>
      </x:c>
      <x:c r="AE545" s="81" t="inlineStr">
        <x:is>
          <x:t xml:space="preserve">Needs semantic dedupe review</x:t>
        </x:is>
      </x:c>
      <x:c r="AF545" s="81" t="str"/>
      <x:c r="AG545" s="81" t="str"/>
      <x:c r="AH545" s="81" t="inlineStr">
        <x:is>
          <x:t xml:space="preserve">No</x:t>
        </x:is>
      </x:c>
      <x:c r="AI545" s="81" t="inlineStr">
        <x:is>
          <x:t xml:space="preserve">Not reviewed</x:t>
        </x:is>
      </x:c>
      <x:c r="AJ545" s="81" t="inlineStr">
        <x:is>
          <x:t xml:space="preserve">Research only</x:t>
        </x:is>
      </x:c>
      <x:c r="AK545" s="81" t="inlineStr">
        <x:is>
          <x:t xml:space="preserve">Research Pool</x:t>
        </x:is>
      </x:c>
      <x:c r="AL545" s="81" t="n">
        <x:v>7</x:v>
      </x:c>
      <x:c r="AM545" s="81" t="inlineStr">
        <x:is>
          <x:t xml:space="preserve">ChatGPT research</x:t>
        </x:is>
      </x:c>
      <x:c r="AN545" s="81" t="inlineStr">
        <x:is>
          <x:t xml:space="preserve">2026-09-18</x:t>
        </x:is>
      </x:c>
      <x:c r="AO545" s="81" t="inlineStr">
        <x:is>
          <x:t xml:space="preserve">Day 7 full first-pass screening: all 53 Enchiridion chapters + all 4 surviving Discourses books; only Selflo-relevant candidates materialized.</x:t>
        </x:is>
      </x:c>
    </x:row>
    <x:row r="546">
      <x:c r="A546" s="81" t="inlineStr">
        <x:is>
          <x:t xml:space="preserve">research.epictetus.day7.discourses.3_24.044</x:t>
        </x:is>
      </x:c>
      <x:c r="B546" s="81" t="inlineStr">
        <x:is>
          <x:t xml:space="preserve">Collected</x:t>
        </x:is>
      </x:c>
      <x:c r="C546" s="81" t="inlineStr">
        <x:is>
          <x:t xml:space="preserve">Công việc &amp; mục đích</x:t>
        </x:is>
      </x:c>
      <x:c r="D546" s="81" t="inlineStr">
        <x:is>
          <x:t xml:space="preserve">Day 7 / Epictetus — Enchiridion + Discourses</x:t>
        </x:is>
      </x:c>
      <x:c r="E546" s="81" t="str"/>
      <x:c r="F546" s="81" t="str"/>
      <x:c r="G546" s="81" t="inlineStr">
        <x:is>
          <x:t xml:space="preserve">Growth</x:t>
        </x:is>
      </x:c>
      <x:c r="H546" s="81" t="str"/>
      <x:c r="I546" s="81" t="str"/>
      <x:c r="J546" s="81" t="str"/>
      <x:c r="K546" s="81" t="inlineStr">
        <x:is>
          <x:t xml:space="preserve">Normalize</x:t>
        </x:is>
      </x:c>
      <x:c r="L546" s="81" t="inlineStr">
        <x:is>
          <x:t xml:space="preserve">Recognize</x:t>
        </x:is>
      </x:c>
      <x:c r="M546" s="81" t="inlineStr">
        <x:is>
          <x:t xml:space="preserve">Triết học / dialogue</x:t>
        </x:is>
      </x:c>
      <x:c r="N546" s="81" t="inlineStr">
        <x:is>
          <x:t xml:space="preserve">οὐδὲν τῶν μεγάλων ἐξαίφνης γίνεται.</x:t>
        </x:is>
      </x:c>
      <x:c r="O546" s="81" t="inlineStr">
        <x:is>
          <x:t xml:space="preserve">Ancient Greek</x:t>
        </x:is>
      </x:c>
      <x:c r="P546" s="81" t="inlineStr">
        <x:is>
          <x:t xml:space="preserve">Không điều lớn nào hình thành hoàn toàn trong một khoảnh khắc.</x:t>
        </x:is>
      </x:c>
      <x:c r="Q546" s="81" t="inlineStr">
        <x:is>
          <x:t xml:space="preserve">Epictetus (reported/compiled by Arrian for Discourses/Handbook tradition)</x:t>
        </x:is>
      </x:c>
      <x:c r="R546" s="81" t="inlineStr">
        <x:is>
          <x:t xml:space="preserve">Stoic / Greco-Roman</x:t>
        </x:is>
      </x:c>
      <x:c r="S546" s="81" t="inlineStr">
        <x:is>
          <x:t xml:space="preserve">Enchiridion / Discourses</x:t>
        </x:is>
      </x:c>
      <x:c r="T546" s="81" t="inlineStr">
        <x:is>
          <x:t xml:space="preserve">Discourses 3.24</x:t>
        </x:is>
      </x:c>
      <x:c r="U546" s="81" t="inlineStr">
        <x:is>
          <x:t xml:space="preserve">https://atlas.perseus.tufts.edu/library/urn:cts:greekLit:tlg0557.tlg001/</x:t>
        </x:is>
      </x:c>
      <x:c r="V546" s="81" t="inlineStr">
        <x:is>
          <x:t xml:space="preserve">Primary Greek edition / institutional corpus</x:t>
        </x:is>
      </x:c>
      <x:c r="W546" s="81" t="inlineStr">
        <x:is>
          <x:t xml:space="preserve">Working translation</x:t>
        </x:is>
      </x:c>
      <x:c r="X546" s="81" t="inlineStr">
        <x:is>
          <x:t xml:space="preserve">A - Primary source</x:t>
        </x:is>
      </x:c>
      <x:c r="Y546" s="81" t="inlineStr">
        <x:is>
          <x:t xml:space="preserve">Greek source anchors based on Perseus Schenkl edition (1916); Vietnamese is Selflo working translation, not a published translation.</x:t>
        </x:is>
      </x:c>
      <x:c r="Z546" s="81" t="inlineStr">
        <x:is>
          <x:t xml:space="preserve">Ancient work public domain; Perseus digital text has reuse terms</x:t>
        </x:is>
      </x:c>
      <x:c r="AA546" s="81" t="inlineStr">
        <x:is>
          <x:t xml:space="preserve">Use ancient Greek/source location and a fresh Selflo translation/adaptation; do not copy modern copyrighted translations.</x:t>
        </x:is>
      </x:c>
      <x:c r="AB546" s="81" t="inlineStr">
        <x:is>
          <x:t xml:space="preserve">High</x:t>
        </x:is>
      </x:c>
      <x:c r="AC546" s="81" t="inlineStr">
        <x:is>
          <x:t xml:space="preserve">Very usable; verify context before release.</x:t>
        </x:is>
      </x:c>
      <x:c r="AD546" s="81" t="inlineStr">
        <x:is>
          <x:t xml:space="preserve">Needs editorial review</x:t>
        </x:is>
      </x:c>
      <x:c r="AE546" s="81" t="inlineStr">
        <x:is>
          <x:t xml:space="preserve">Needs semantic dedupe review</x:t>
        </x:is>
      </x:c>
      <x:c r="AF546" s="81" t="str"/>
      <x:c r="AG546" s="81" t="str"/>
      <x:c r="AH546" s="81" t="inlineStr">
        <x:is>
          <x:t xml:space="preserve">No</x:t>
        </x:is>
      </x:c>
      <x:c r="AI546" s="81" t="inlineStr">
        <x:is>
          <x:t xml:space="preserve">Not reviewed</x:t>
        </x:is>
      </x:c>
      <x:c r="AJ546" s="81" t="inlineStr">
        <x:is>
          <x:t xml:space="preserve">Research only</x:t>
        </x:is>
      </x:c>
      <x:c r="AK546" s="81" t="inlineStr">
        <x:is>
          <x:t xml:space="preserve">Research Pool</x:t>
        </x:is>
      </x:c>
      <x:c r="AL546" s="81" t="n">
        <x:v>7</x:v>
      </x:c>
      <x:c r="AM546" s="81" t="inlineStr">
        <x:is>
          <x:t xml:space="preserve">ChatGPT research</x:t>
        </x:is>
      </x:c>
      <x:c r="AN546" s="81" t="inlineStr">
        <x:is>
          <x:t xml:space="preserve">2026-09-18</x:t>
        </x:is>
      </x:c>
      <x:c r="AO546" s="81" t="inlineStr">
        <x:is>
          <x:t xml:space="preserve">Day 7 full first-pass screening: all 53 Enchiridion chapters + all 4 surviving Discourses books; only Selflo-relevant candidates materialized.</x:t>
        </x:is>
      </x:c>
    </x:row>
    <x:row r="547">
      <x:c r="A547" s="81" t="inlineStr">
        <x:is>
          <x:t xml:space="preserve">research.epictetus.day7.discourses.4_1.045</x:t>
        </x:is>
      </x:c>
      <x:c r="B547" s="81" t="inlineStr">
        <x:is>
          <x:t xml:space="preserve">Collected</x:t>
        </x:is>
      </x:c>
      <x:c r="C547" s="81" t="inlineStr">
        <x:is>
          <x:t xml:space="preserve">Nội tâm &amp; hiểu mình</x:t>
        </x:is>
      </x:c>
      <x:c r="D547" s="81" t="inlineStr">
        <x:is>
          <x:t xml:space="preserve">Day 7 / Epictetus — Enchiridion + Discourses</x:t>
        </x:is>
      </x:c>
      <x:c r="E547" s="81" t="str"/>
      <x:c r="F547" s="81" t="str"/>
      <x:c r="G547" s="81" t="inlineStr">
        <x:is>
          <x:t xml:space="preserve">Agency</x:t>
        </x:is>
      </x:c>
      <x:c r="H547" s="81" t="str"/>
      <x:c r="I547" s="81" t="str"/>
      <x:c r="J547" s="81" t="str"/>
      <x:c r="K547" s="81" t="inlineStr">
        <x:is>
          <x:t xml:space="preserve">Reframe</x:t>
        </x:is>
      </x:c>
      <x:c r="L547" s="81" t="inlineStr">
        <x:is>
          <x:t xml:space="preserve">Recognize</x:t>
        </x:is>
      </x:c>
      <x:c r="M547" s="81" t="inlineStr">
        <x:is>
          <x:t xml:space="preserve">Triết học / dialogue</x:t>
        </x:is>
      </x:c>
      <x:c r="N547" s="81" t="inlineStr">
        <x:is>
          <x:t xml:space="preserve">ἐλεύθερός ἐστιν ὁ ζῶν ὡς βούλεται.</x:t>
        </x:is>
      </x:c>
      <x:c r="O547" s="81" t="inlineStr">
        <x:is>
          <x:t xml:space="preserve">Ancient Greek</x:t>
        </x:is>
      </x:c>
      <x:c r="P547" s="81" t="inlineStr">
        <x:is>
          <x:t xml:space="preserve">Epictetus gọi tự do là sống mà ý chí không bị mọi thứ bên ngoài kéo đi.</x:t>
        </x:is>
      </x:c>
      <x:c r="Q547" s="81" t="inlineStr">
        <x:is>
          <x:t xml:space="preserve">Epictetus (reported/compiled by Arrian for Discourses/Handbook tradition)</x:t>
        </x:is>
      </x:c>
      <x:c r="R547" s="81" t="inlineStr">
        <x:is>
          <x:t xml:space="preserve">Stoic / Greco-Roman</x:t>
        </x:is>
      </x:c>
      <x:c r="S547" s="81" t="inlineStr">
        <x:is>
          <x:t xml:space="preserve">Enchiridion / Discourses</x:t>
        </x:is>
      </x:c>
      <x:c r="T547" s="81" t="inlineStr">
        <x:is>
          <x:t xml:space="preserve">Discourses 4.1</x:t>
        </x:is>
      </x:c>
      <x:c r="U547" s="81" t="inlineStr">
        <x:is>
          <x:t xml:space="preserve">https://atlas.perseus.tufts.edu/library/urn:cts:greekLit:tlg0557.tlg001/</x:t>
        </x:is>
      </x:c>
      <x:c r="V547" s="81" t="inlineStr">
        <x:is>
          <x:t xml:space="preserve">Primary Greek edition / institutional corpus</x:t>
        </x:is>
      </x:c>
      <x:c r="W547" s="81" t="inlineStr">
        <x:is>
          <x:t xml:space="preserve">Working translation</x:t>
        </x:is>
      </x:c>
      <x:c r="X547" s="81" t="inlineStr">
        <x:is>
          <x:t xml:space="preserve">A - Primary source</x:t>
        </x:is>
      </x:c>
      <x:c r="Y547" s="81" t="inlineStr">
        <x:is>
          <x:t xml:space="preserve">Greek source anchors based on Perseus Schenkl edition (1916); Vietnamese is Selflo working translation, not a published translation.</x:t>
        </x:is>
      </x:c>
      <x:c r="Z547" s="81" t="inlineStr">
        <x:is>
          <x:t xml:space="preserve">Ancient work public domain; Perseus digital text has reuse terms</x:t>
        </x:is>
      </x:c>
      <x:c r="AA547" s="81" t="inlineStr">
        <x:is>
          <x:t xml:space="preserve">Use ancient Greek/source location and a fresh Selflo translation/adaptation; do not copy modern copyrighted translations.</x:t>
        </x:is>
      </x:c>
      <x:c r="AB547" s="81" t="inlineStr">
        <x:is>
          <x:t xml:space="preserve">High</x:t>
        </x:is>
      </x:c>
      <x:c r="AC547" s="81" t="inlineStr">
        <x:is>
          <x:t xml:space="preserve">Needs philosophical context.</x:t>
        </x:is>
      </x:c>
      <x:c r="AD547" s="81" t="inlineStr">
        <x:is>
          <x:t xml:space="preserve">Needs editorial review</x:t>
        </x:is>
      </x:c>
      <x:c r="AE547" s="81" t="inlineStr">
        <x:is>
          <x:t xml:space="preserve">Needs semantic dedupe review</x:t>
        </x:is>
      </x:c>
      <x:c r="AF547" s="81" t="str"/>
      <x:c r="AG547" s="81" t="str"/>
      <x:c r="AH547" s="81" t="inlineStr">
        <x:is>
          <x:t xml:space="preserve">No</x:t>
        </x:is>
      </x:c>
      <x:c r="AI547" s="81" t="inlineStr">
        <x:is>
          <x:t xml:space="preserve">Not reviewed</x:t>
        </x:is>
      </x:c>
      <x:c r="AJ547" s="81" t="inlineStr">
        <x:is>
          <x:t xml:space="preserve">Research only</x:t>
        </x:is>
      </x:c>
      <x:c r="AK547" s="81" t="inlineStr">
        <x:is>
          <x:t xml:space="preserve">Research Pool</x:t>
        </x:is>
      </x:c>
      <x:c r="AL547" s="81" t="n">
        <x:v>7</x:v>
      </x:c>
      <x:c r="AM547" s="81" t="inlineStr">
        <x:is>
          <x:t xml:space="preserve">ChatGPT research</x:t>
        </x:is>
      </x:c>
      <x:c r="AN547" s="81" t="inlineStr">
        <x:is>
          <x:t xml:space="preserve">2026-09-18</x:t>
        </x:is>
      </x:c>
      <x:c r="AO547" s="81" t="inlineStr">
        <x:is>
          <x:t xml:space="preserve">Day 7 full first-pass screening: all 53 Enchiridion chapters + all 4 surviving Discourses books; only Selflo-relevant candidates materialized.</x:t>
        </x:is>
      </x:c>
    </x:row>
    <x:row r="548">
      <x:c r="A548" s="81" t="inlineStr">
        <x:is>
          <x:t xml:space="preserve">research.epictetus.day7.discourses.4_4.046</x:t>
        </x:is>
      </x:c>
      <x:c r="B548" s="81" t="inlineStr">
        <x:is>
          <x:t xml:space="preserve">Collected</x:t>
        </x:is>
      </x:c>
      <x:c r="C548" s="81" t="inlineStr">
        <x:is>
          <x:t xml:space="preserve">Nội tâm &amp; hiểu mình</x:t>
        </x:is>
      </x:c>
      <x:c r="D548" s="81" t="inlineStr">
        <x:is>
          <x:t xml:space="preserve">Day 7 / Epictetus — Enchiridion + Discourses</x:t>
        </x:is>
      </x:c>
      <x:c r="E548" s="81" t="str"/>
      <x:c r="F548" s="81" t="str"/>
      <x:c r="G548" s="81" t="inlineStr">
        <x:is>
          <x:t xml:space="preserve">Self-worth</x:t>
        </x:is>
      </x:c>
      <x:c r="H548" s="81" t="str"/>
      <x:c r="I548" s="81" t="str"/>
      <x:c r="J548" s="81" t="str"/>
      <x:c r="K548" s="81" t="inlineStr">
        <x:is>
          <x:t xml:space="preserve">Reframe</x:t>
        </x:is>
      </x:c>
      <x:c r="L548" s="81" t="inlineStr">
        <x:is>
          <x:t xml:space="preserve">Recognize</x:t>
        </x:is>
      </x:c>
      <x:c r="M548" s="81" t="inlineStr">
        <x:is>
          <x:t xml:space="preserve">Triết học / dialogue</x:t>
        </x:is>
      </x:c>
      <x:c r="N548" s="81" t="inlineStr">
        <x:is>
          <x:t xml:space="preserve">μὴ ἐκτὸς ζήτει τὸ ἀγαθόν.</x:t>
        </x:is>
      </x:c>
      <x:c r="O548" s="81" t="inlineStr">
        <x:is>
          <x:t xml:space="preserve">Ancient Greek</x:t>
        </x:is>
      </x:c>
      <x:c r="P548" s="81" t="inlineStr">
        <x:is>
          <x:t xml:space="preserve">Đừng đặt toàn bộ điều tốt của đời mình ở bên ngoài mình.</x:t>
        </x:is>
      </x:c>
      <x:c r="Q548" s="81" t="inlineStr">
        <x:is>
          <x:t xml:space="preserve">Epictetus (reported/compiled by Arrian for Discourses/Handbook tradition)</x:t>
        </x:is>
      </x:c>
      <x:c r="R548" s="81" t="inlineStr">
        <x:is>
          <x:t xml:space="preserve">Stoic / Greco-Roman</x:t>
        </x:is>
      </x:c>
      <x:c r="S548" s="81" t="inlineStr">
        <x:is>
          <x:t xml:space="preserve">Enchiridion / Discourses</x:t>
        </x:is>
      </x:c>
      <x:c r="T548" s="81" t="inlineStr">
        <x:is>
          <x:t xml:space="preserve">Discourses 4.4</x:t>
        </x:is>
      </x:c>
      <x:c r="U548" s="81" t="inlineStr">
        <x:is>
          <x:t xml:space="preserve">https://atlas.perseus.tufts.edu/library/urn:cts:greekLit:tlg0557.tlg001/</x:t>
        </x:is>
      </x:c>
      <x:c r="V548" s="81" t="inlineStr">
        <x:is>
          <x:t xml:space="preserve">Primary Greek edition / institutional corpus</x:t>
        </x:is>
      </x:c>
      <x:c r="W548" s="81" t="inlineStr">
        <x:is>
          <x:t xml:space="preserve">Working translation</x:t>
        </x:is>
      </x:c>
      <x:c r="X548" s="81" t="inlineStr">
        <x:is>
          <x:t xml:space="preserve">A - Primary source</x:t>
        </x:is>
      </x:c>
      <x:c r="Y548" s="81" t="inlineStr">
        <x:is>
          <x:t xml:space="preserve">Greek source anchors based on Perseus Schenkl edition (1916); Vietnamese is Selflo working translation, not a published translation.</x:t>
        </x:is>
      </x:c>
      <x:c r="Z548" s="81" t="inlineStr">
        <x:is>
          <x:t xml:space="preserve">Ancient work public domain; Perseus digital text has reuse terms</x:t>
        </x:is>
      </x:c>
      <x:c r="AA548" s="81" t="inlineStr">
        <x:is>
          <x:t xml:space="preserve">Use ancient Greek/source location and a fresh Selflo translation/adaptation; do not copy modern copyrighted translations.</x:t>
        </x:is>
      </x:c>
      <x:c r="AB548" s="81" t="inlineStr">
        <x:is>
          <x:t xml:space="preserve">High</x:t>
        </x:is>
      </x:c>
      <x:c r="AC548" s="81" t="inlineStr">
        <x:is>
          <x:t xml:space="preserve">Avoid dismissing social/material conditions.</x:t>
        </x:is>
      </x:c>
      <x:c r="AD548" s="81" t="inlineStr">
        <x:is>
          <x:t xml:space="preserve">Needs editorial review</x:t>
        </x:is>
      </x:c>
      <x:c r="AE548" s="81" t="inlineStr">
        <x:is>
          <x:t xml:space="preserve">Needs semantic dedupe review</x:t>
        </x:is>
      </x:c>
      <x:c r="AF548" s="81" t="str"/>
      <x:c r="AG548" s="81" t="str"/>
      <x:c r="AH548" s="81" t="inlineStr">
        <x:is>
          <x:t xml:space="preserve">No</x:t>
        </x:is>
      </x:c>
      <x:c r="AI548" s="81" t="inlineStr">
        <x:is>
          <x:t xml:space="preserve">Not reviewed</x:t>
        </x:is>
      </x:c>
      <x:c r="AJ548" s="81" t="inlineStr">
        <x:is>
          <x:t xml:space="preserve">Research only</x:t>
        </x:is>
      </x:c>
      <x:c r="AK548" s="81" t="inlineStr">
        <x:is>
          <x:t xml:space="preserve">Research Pool</x:t>
        </x:is>
      </x:c>
      <x:c r="AL548" s="81" t="n">
        <x:v>7</x:v>
      </x:c>
      <x:c r="AM548" s="81" t="inlineStr">
        <x:is>
          <x:t xml:space="preserve">ChatGPT research</x:t>
        </x:is>
      </x:c>
      <x:c r="AN548" s="81" t="inlineStr">
        <x:is>
          <x:t xml:space="preserve">2026-09-18</x:t>
        </x:is>
      </x:c>
      <x:c r="AO548" s="81" t="inlineStr">
        <x:is>
          <x:t xml:space="preserve">Day 7 full first-pass screening: all 53 Enchiridion chapters + all 4 surviving Discourses books; only Selflo-relevant candidates materialized.</x:t>
        </x:is>
      </x:c>
    </x:row>
    <x:row r="549">
      <x:c r="A549" s="81" t="inlineStr">
        <x:is>
          <x:t xml:space="preserve">research.marcus.day8.book01.1_7.001</x:t>
        </x:is>
      </x:c>
      <x:c r="B549" s="81" t="inlineStr">
        <x:is>
          <x:t xml:space="preserve">Collected</x:t>
        </x:is>
      </x:c>
      <x:c r="C549" s="81" t="inlineStr">
        <x:is>
          <x:t xml:space="preserve">Nội tâm &amp; hiểu mình</x:t>
        </x:is>
      </x:c>
      <x:c r="D549" s="81" t="inlineStr">
        <x:is>
          <x:t xml:space="preserve">Day 8 / Marcus Aurelius — Meditations 1–12</x:t>
        </x:is>
      </x:c>
      <x:c r="E549" s="81" t="str"/>
      <x:c r="F549" s="81" t="inlineStr">
        <x:is>
          <x:t xml:space="preserve">Nhìn lại bản thân mà không tự kết án</x:t>
        </x:is>
      </x:c>
      <x:c r="G549" s="81" t="inlineStr">
        <x:is>
          <x:t xml:space="preserve">Self-understanding</x:t>
        </x:is>
      </x:c>
      <x:c r="H549" s="81" t="str"/>
      <x:c r="I549" s="81" t="str"/>
      <x:c r="J549" s="81" t="str"/>
      <x:c r="K549" s="81" t="inlineStr">
        <x:is>
          <x:t xml:space="preserve">Recognize</x:t>
        </x:is>
      </x:c>
      <x:c r="L549" s="81" t="inlineStr">
        <x:is>
          <x:t xml:space="preserve">Distinguish</x:t>
        </x:is>
      </x:c>
      <x:c r="M549" s="81" t="inlineStr">
        <x:is>
          <x:t xml:space="preserve">Meditation / self-address</x:t>
        </x:is>
      </x:c>
      <x:c r="N549" s="81" t="inlineStr">
        <x:is>
          <x:t xml:space="preserve">τὸ ἐπανορθωτικὸν καὶ θεραπευτικὸν χαρακτῆρος</x:t>
        </x:is>
      </x:c>
      <x:c r="O549" s="81" t="inlineStr">
        <x:is>
          <x:t xml:space="preserve">Ancient Greek</x:t>
        </x:is>
      </x:c>
      <x:c r="P549" s="81" t="inlineStr">
        <x:is>
          <x:t xml:space="preserve">Từ Rusticus, ông học việc sửa lại và chăm sóc tính cách của chính mình.</x:t>
        </x:is>
      </x:c>
      <x:c r="Q549" s="81" t="inlineStr">
        <x:is>
          <x:t xml:space="preserve">Marcus Aurelius</x:t>
        </x:is>
      </x:c>
      <x:c r="R549" s="81" t="inlineStr">
        <x:is>
          <x:t xml:space="preserve">Stoic / Roman Empire</x:t>
        </x:is>
      </x:c>
      <x:c r="S549" s="81" t="inlineStr">
        <x:is>
          <x:t xml:space="preserve">Τὰ εἰς ἑαυτόν / Meditations</x:t>
        </x:is>
      </x:c>
      <x:c r="T549" s="81" t="inlineStr">
        <x:is>
          <x:t xml:space="preserve">Book 1, 1.7</x:t>
        </x:is>
      </x:c>
      <x:c r="U549" s="81" t="inlineStr">
        <x:is>
          <x:t xml:space="preserve">https://www.perseus.tufts.edu/hopper/text?doc=Perseus:text:2008.01.0641:book=1</x:t>
        </x:is>
      </x:c>
      <x:c r="V549" s="81" t="inlineStr">
        <x:is>
          <x:t xml:space="preserve">Primary Greek edition / institutional corpus</x:t>
        </x:is>
      </x:c>
      <x:c r="W549" s="81" t="inlineStr">
        <x:is>
          <x:t xml:space="preserve">Working translation</x:t>
        </x:is>
      </x:c>
      <x:c r="X549" s="81" t="inlineStr">
        <x:is>
          <x:t xml:space="preserve">A - Primary source</x:t>
        </x:is>
      </x:c>
      <x:c r="Y549" s="81" t="inlineStr">
        <x:is>
          <x:t xml:space="preserve">Greek source anchor checked against the Meditations textual tradition (Perseus Leopold 1908 / Greek Wikisource cross-check). Vietnamese is Selflo working translation, not a published translation.</x:t>
        </x:is>
      </x:c>
      <x:c r="Z549" s="81" t="inlineStr">
        <x:is>
          <x:t xml:space="preserve">Ancient work public domain; digital edition reuse terms apply</x:t>
        </x:is>
      </x:c>
      <x:c r="AA549" s="81" t="inlineStr">
        <x:is>
          <x:t xml:space="preserve">Use original Greek/source location plus fresh Selflo translation/adaptation; do not copy modern copyrighted translations.</x:t>
        </x:is>
      </x:c>
      <x:c r="AB549" s="81" t="inlineStr">
        <x:is>
          <x:t xml:space="preserve">High</x:t>
        </x:is>
      </x:c>
      <x:c r="AC549" s="81" t="inlineStr">
        <x:is>
          <x:t xml:space="preserve">Book 1 is gratitude/learning from others.</x:t>
        </x:is>
      </x:c>
      <x:c r="AD549" s="81" t="inlineStr">
        <x:is>
          <x:t xml:space="preserve">Needs editorial review</x:t>
        </x:is>
      </x:c>
      <x:c r="AE549" s="81" t="inlineStr">
        <x:is>
          <x:t xml:space="preserve">Needs semantic dedupe review</x:t>
        </x:is>
      </x:c>
      <x:c r="AF549" s="81" t="str"/>
      <x:c r="AG549" s="81" t="str"/>
      <x:c r="AH549" s="81" t="inlineStr">
        <x:is>
          <x:t xml:space="preserve">No</x:t>
        </x:is>
      </x:c>
      <x:c r="AI549" s="81" t="inlineStr">
        <x:is>
          <x:t xml:space="preserve">Not reviewed</x:t>
        </x:is>
      </x:c>
      <x:c r="AJ549" s="81" t="inlineStr">
        <x:is>
          <x:t xml:space="preserve">Research only</x:t>
        </x:is>
      </x:c>
      <x:c r="AK549" s="81" t="inlineStr">
        <x:is>
          <x:t xml:space="preserve">Research Pool</x:t>
        </x:is>
      </x:c>
      <x:c r="AL549" s="81" t="n">
        <x:v>8</x:v>
      </x:c>
      <x:c r="AM549" s="81" t="inlineStr">
        <x:is>
          <x:t xml:space="preserve">ChatGPT research</x:t>
        </x:is>
      </x:c>
      <x:c r="AN549" s="81" t="inlineStr">
        <x:is>
          <x:t xml:space="preserve">2026-09-18</x:t>
        </x:is>
      </x:c>
      <x:c r="AO549" s="81" t="inlineStr">
        <x:is>
          <x:t xml:space="preserve">Day 8 full first-pass screening of all 12 books of Meditations.</x:t>
        </x:is>
      </x:c>
    </x:row>
    <x:row r="550">
      <x:c r="A550" s="81" t="inlineStr">
        <x:is>
          <x:t xml:space="preserve">research.marcus.day8.book01.1_7.002</x:t>
        </x:is>
      </x:c>
      <x:c r="B550" s="81" t="inlineStr">
        <x:is>
          <x:t xml:space="preserve">Collected</x:t>
        </x:is>
      </x:c>
      <x:c r="C550" s="81" t="inlineStr">
        <x:is>
          <x:t xml:space="preserve">Công việc &amp; mục đích</x:t>
        </x:is>
      </x:c>
      <x:c r="D550" s="81" t="inlineStr">
        <x:is>
          <x:t xml:space="preserve">Day 8 / Marcus Aurelius — Meditations 1–12</x:t>
        </x:is>
      </x:c>
      <x:c r="E550" s="81" t="str"/>
      <x:c r="F550" s="81" t="inlineStr">
        <x:is>
          <x:t xml:space="preserve">Không vội tin mình đã hiểu</x:t>
        </x:is>
      </x:c>
      <x:c r="G550" s="81" t="inlineStr">
        <x:is>
          <x:t xml:space="preserve">Learning</x:t>
        </x:is>
      </x:c>
      <x:c r="H550" s="81" t="str"/>
      <x:c r="I550" s="81" t="str"/>
      <x:c r="J550" s="81" t="str"/>
      <x:c r="K550" s="81" t="inlineStr">
        <x:is>
          <x:t xml:space="preserve">Recognize</x:t>
        </x:is>
      </x:c>
      <x:c r="L550" s="81" t="inlineStr">
        <x:is>
          <x:t xml:space="preserve">Distinguish</x:t>
        </x:is>
      </x:c>
      <x:c r="M550" s="81" t="inlineStr">
        <x:is>
          <x:t xml:space="preserve">Meditation / self-address</x:t>
        </x:is>
      </x:c>
      <x:c r="N550" s="81" t="inlineStr">
        <x:is>
          <x:t xml:space="preserve">τὸ ἀκριβῶς ἀναγινώσκειν</x:t>
        </x:is>
      </x:c>
      <x:c r="O550" s="81" t="inlineStr">
        <x:is>
          <x:t xml:space="preserve">Ancient Greek</x:t>
        </x:is>
      </x:c>
      <x:c r="P550" s="81" t="inlineStr">
        <x:is>
          <x:t xml:space="preserve">Đọc kỹ, không hài lòng với một hiểu biết lướt qua.</x:t>
        </x:is>
      </x:c>
      <x:c r="Q550" s="81" t="inlineStr">
        <x:is>
          <x:t xml:space="preserve">Marcus Aurelius</x:t>
        </x:is>
      </x:c>
      <x:c r="R550" s="81" t="inlineStr">
        <x:is>
          <x:t xml:space="preserve">Stoic / Roman Empire</x:t>
        </x:is>
      </x:c>
      <x:c r="S550" s="81" t="inlineStr">
        <x:is>
          <x:t xml:space="preserve">Τὰ εἰς ἑαυτόν / Meditations</x:t>
        </x:is>
      </x:c>
      <x:c r="T550" s="81" t="inlineStr">
        <x:is>
          <x:t xml:space="preserve">Book 1, 1.7</x:t>
        </x:is>
      </x:c>
      <x:c r="U550" s="81" t="inlineStr">
        <x:is>
          <x:t xml:space="preserve">https://www.perseus.tufts.edu/hopper/text?doc=Perseus:text:2008.01.0641:book=1</x:t>
        </x:is>
      </x:c>
      <x:c r="V550" s="81" t="inlineStr">
        <x:is>
          <x:t xml:space="preserve">Primary Greek edition / institutional corpus</x:t>
        </x:is>
      </x:c>
      <x:c r="W550" s="81" t="inlineStr">
        <x:is>
          <x:t xml:space="preserve">Working translation</x:t>
        </x:is>
      </x:c>
      <x:c r="X550" s="81" t="inlineStr">
        <x:is>
          <x:t xml:space="preserve">A - Primary source</x:t>
        </x:is>
      </x:c>
      <x:c r="Y550" s="81" t="inlineStr">
        <x:is>
          <x:t xml:space="preserve">Greek source anchor checked against the Meditations textual tradition (Perseus Leopold 1908 / Greek Wikisource cross-check). Vietnamese is Selflo working translation, not a published translation.</x:t>
        </x:is>
      </x:c>
      <x:c r="Z550" s="81" t="inlineStr">
        <x:is>
          <x:t xml:space="preserve">Ancient work public domain; digital edition reuse terms apply</x:t>
        </x:is>
      </x:c>
      <x:c r="AA550" s="81" t="inlineStr">
        <x:is>
          <x:t xml:space="preserve">Use original Greek/source location plus fresh Selflo translation/adaptation; do not copy modern copyrighted translations.</x:t>
        </x:is>
      </x:c>
      <x:c r="AB550" s="81" t="inlineStr">
        <x:is>
          <x:t xml:space="preserve">High</x:t>
        </x:is>
      </x:c>
      <x:c r="AC550" s="81" t="inlineStr">
        <x:is>
          <x:t xml:space="preserve">Strong AI-age reading principle.</x:t>
        </x:is>
      </x:c>
      <x:c r="AD550" s="81" t="inlineStr">
        <x:is>
          <x:t xml:space="preserve">Needs editorial review</x:t>
        </x:is>
      </x:c>
      <x:c r="AE550" s="81" t="inlineStr">
        <x:is>
          <x:t xml:space="preserve">Needs semantic dedupe review</x:t>
        </x:is>
      </x:c>
      <x:c r="AF550" s="81" t="str"/>
      <x:c r="AG550" s="81" t="str"/>
      <x:c r="AH550" s="81" t="inlineStr">
        <x:is>
          <x:t xml:space="preserve">No</x:t>
        </x:is>
      </x:c>
      <x:c r="AI550" s="81" t="inlineStr">
        <x:is>
          <x:t xml:space="preserve">Not reviewed</x:t>
        </x:is>
      </x:c>
      <x:c r="AJ550" s="81" t="inlineStr">
        <x:is>
          <x:t xml:space="preserve">Research only</x:t>
        </x:is>
      </x:c>
      <x:c r="AK550" s="81" t="inlineStr">
        <x:is>
          <x:t xml:space="preserve">Research Pool</x:t>
        </x:is>
      </x:c>
      <x:c r="AL550" s="81" t="n">
        <x:v>8</x:v>
      </x:c>
      <x:c r="AM550" s="81" t="inlineStr">
        <x:is>
          <x:t xml:space="preserve">ChatGPT research</x:t>
        </x:is>
      </x:c>
      <x:c r="AN550" s="81" t="inlineStr">
        <x:is>
          <x:t xml:space="preserve">2026-09-18</x:t>
        </x:is>
      </x:c>
      <x:c r="AO550" s="81" t="inlineStr">
        <x:is>
          <x:t xml:space="preserve">Day 8 full first-pass screening of all 12 books of Meditations.</x:t>
        </x:is>
      </x:c>
    </x:row>
    <x:row r="551">
      <x:c r="A551" s="81" t="inlineStr">
        <x:is>
          <x:t xml:space="preserve">research.marcus.day8.book01.1_9.003</x:t>
        </x:is>
      </x:c>
      <x:c r="B551" s="81" t="inlineStr">
        <x:is>
          <x:t xml:space="preserve">Collected</x:t>
        </x:is>
      </x:c>
      <x:c r="C551" s="81" t="inlineStr">
        <x:is>
          <x:t xml:space="preserve">Quan hệ</x:t>
        </x:is>
      </x:c>
      <x:c r="D551" s="81" t="inlineStr">
        <x:is>
          <x:t xml:space="preserve">Day 8 / Marcus Aurelius — Meditations 1–12</x:t>
        </x:is>
      </x:c>
      <x:c r="E551" s="81" t="str"/>
      <x:c r="F551" s="81" t="inlineStr">
        <x:is>
          <x:t xml:space="preserve">Ma sát trong quan hệ</x:t>
        </x:is>
      </x:c>
      <x:c r="G551" s="81" t="inlineStr">
        <x:is>
          <x:t xml:space="preserve">Relationships</x:t>
        </x:is>
      </x:c>
      <x:c r="H551" s="81" t="str"/>
      <x:c r="I551" s="81" t="str"/>
      <x:c r="J551" s="81" t="str"/>
      <x:c r="K551" s="81" t="inlineStr">
        <x:is>
          <x:t xml:space="preserve">Reframe</x:t>
        </x:is>
      </x:c>
      <x:c r="L551" s="81" t="inlineStr">
        <x:is>
          <x:t xml:space="preserve">Recognize</x:t>
        </x:is>
      </x:c>
      <x:c r="M551" s="81" t="inlineStr">
        <x:is>
          <x:t xml:space="preserve">Meditation / self-address</x:t>
        </x:is>
      </x:c>
      <x:c r="N551" s="81" t="inlineStr">
        <x:is>
          <x:t xml:space="preserve">τὸ ἀνεκτικὸν τῶν ἰδιωτῶν καὶ ἀνεξίκακον</x:t>
        </x:is>
      </x:c>
      <x:c r="O551" s="81" t="inlineStr">
        <x:is>
          <x:t xml:space="preserve">Ancient Greek</x:t>
        </x:is>
      </x:c>
      <x:c r="P551" s="81" t="inlineStr">
        <x:is>
          <x:t xml:space="preserve">Ông ghi nhận khả năng kiên nhẫn với người khác mà không nuôi ác cảm.</x:t>
        </x:is>
      </x:c>
      <x:c r="Q551" s="81" t="inlineStr">
        <x:is>
          <x:t xml:space="preserve">Marcus Aurelius</x:t>
        </x:is>
      </x:c>
      <x:c r="R551" s="81" t="inlineStr">
        <x:is>
          <x:t xml:space="preserve">Stoic / Roman Empire</x:t>
        </x:is>
      </x:c>
      <x:c r="S551" s="81" t="inlineStr">
        <x:is>
          <x:t xml:space="preserve">Τὰ εἰς ἑαυτόν / Meditations</x:t>
        </x:is>
      </x:c>
      <x:c r="T551" s="81" t="inlineStr">
        <x:is>
          <x:t xml:space="preserve">Book 1, 1.9</x:t>
        </x:is>
      </x:c>
      <x:c r="U551" s="81" t="inlineStr">
        <x:is>
          <x:t xml:space="preserve">https://www.perseus.tufts.edu/hopper/text?doc=Perseus:text:2008.01.0641:book=1</x:t>
        </x:is>
      </x:c>
      <x:c r="V551" s="81" t="inlineStr">
        <x:is>
          <x:t xml:space="preserve">Primary Greek edition / institutional corpus</x:t>
        </x:is>
      </x:c>
      <x:c r="W551" s="81" t="inlineStr">
        <x:is>
          <x:t xml:space="preserve">Working translation</x:t>
        </x:is>
      </x:c>
      <x:c r="X551" s="81" t="inlineStr">
        <x:is>
          <x:t xml:space="preserve">A - Primary source</x:t>
        </x:is>
      </x:c>
      <x:c r="Y551" s="81" t="inlineStr">
        <x:is>
          <x:t xml:space="preserve">Greek source anchor checked against the Meditations textual tradition (Perseus Leopold 1908 / Greek Wikisource cross-check). Vietnamese is Selflo working translation, not a published translation.</x:t>
        </x:is>
      </x:c>
      <x:c r="Z551" s="81" t="inlineStr">
        <x:is>
          <x:t xml:space="preserve">Ancient work public domain; digital edition reuse terms apply</x:t>
        </x:is>
      </x:c>
      <x:c r="AA551" s="81" t="inlineStr">
        <x:is>
          <x:t xml:space="preserve">Use original Greek/source location plus fresh Selflo translation/adaptation; do not copy modern copyrighted translations.</x:t>
        </x:is>
      </x:c>
      <x:c r="AB551" s="81" t="inlineStr">
        <x:is>
          <x:t xml:space="preserve">High</x:t>
        </x:is>
      </x:c>
      <x:c r="AC551" s="81" t="inlineStr">
        <x:is>
          <x:t xml:space="preserve">Avoid turning patience into tolerating abuse.</x:t>
        </x:is>
      </x:c>
      <x:c r="AD551" s="81" t="inlineStr">
        <x:is>
          <x:t xml:space="preserve">Needs editorial review</x:t>
        </x:is>
      </x:c>
      <x:c r="AE551" s="81" t="inlineStr">
        <x:is>
          <x:t xml:space="preserve">Needs semantic dedupe review</x:t>
        </x:is>
      </x:c>
      <x:c r="AF551" s="81" t="str"/>
      <x:c r="AG551" s="81" t="str"/>
      <x:c r="AH551" s="81" t="inlineStr">
        <x:is>
          <x:t xml:space="preserve">No</x:t>
        </x:is>
      </x:c>
      <x:c r="AI551" s="81" t="inlineStr">
        <x:is>
          <x:t xml:space="preserve">Not reviewed</x:t>
        </x:is>
      </x:c>
      <x:c r="AJ551" s="81" t="inlineStr">
        <x:is>
          <x:t xml:space="preserve">Research only</x:t>
        </x:is>
      </x:c>
      <x:c r="AK551" s="81" t="inlineStr">
        <x:is>
          <x:t xml:space="preserve">Research Pool</x:t>
        </x:is>
      </x:c>
      <x:c r="AL551" s="81" t="n">
        <x:v>8</x:v>
      </x:c>
      <x:c r="AM551" s="81" t="inlineStr">
        <x:is>
          <x:t xml:space="preserve">ChatGPT research</x:t>
        </x:is>
      </x:c>
      <x:c r="AN551" s="81" t="inlineStr">
        <x:is>
          <x:t xml:space="preserve">2026-09-18</x:t>
        </x:is>
      </x:c>
      <x:c r="AO551" s="81" t="inlineStr">
        <x:is>
          <x:t xml:space="preserve">Day 8 full first-pass screening of all 12 books of Meditations.</x:t>
        </x:is>
      </x:c>
    </x:row>
    <x:row r="552">
      <x:c r="A552" s="81" t="inlineStr">
        <x:is>
          <x:t xml:space="preserve">research.marcus.day8.book01.1_16.004</x:t>
        </x:is>
      </x:c>
      <x:c r="B552" s="81" t="inlineStr">
        <x:is>
          <x:t xml:space="preserve">Collected</x:t>
        </x:is>
      </x:c>
      <x:c r="C552" s="81" t="inlineStr">
        <x:is>
          <x:t xml:space="preserve">AI &amp; tương lai</x:t>
        </x:is>
      </x:c>
      <x:c r="D552" s="81" t="inlineStr">
        <x:is>
          <x:t xml:space="preserve">Day 8 / Marcus Aurelius — Meditations 1–12</x:t>
        </x:is>
      </x:c>
      <x:c r="E552" s="81" t="str"/>
      <x:c r="F552" s="81" t="inlineStr">
        <x:is>
          <x:t xml:space="preserve">Khoảng dừng trước hành động</x:t>
        </x:is>
      </x:c>
      <x:c r="G552" s="81" t="inlineStr">
        <x:is>
          <x:t xml:space="preserve">Attention</x:t>
        </x:is>
      </x:c>
      <x:c r="H552" s="81" t="str"/>
      <x:c r="I552" s="81" t="str"/>
      <x:c r="J552" s="81" t="str"/>
      <x:c r="K552" s="81" t="inlineStr">
        <x:is>
          <x:t xml:space="preserve">Recognize</x:t>
        </x:is>
      </x:c>
      <x:c r="L552" s="81" t="inlineStr">
        <x:is>
          <x:t xml:space="preserve">Distinguish</x:t>
        </x:is>
      </x:c>
      <x:c r="M552" s="81" t="inlineStr">
        <x:is>
          <x:t xml:space="preserve">Meditation / self-address</x:t>
        </x:is>
      </x:c>
      <x:c r="N552" s="81" t="inlineStr">
        <x:is>
          <x:t xml:space="preserve">τὸ ἀνεξετάστως τι ποιεῖν</x:t>
        </x:is>
      </x:c>
      <x:c r="O552" s="81" t="inlineStr">
        <x:is>
          <x:t xml:space="preserve">Ancient Greek</x:t>
        </x:is>
      </x:c>
      <x:c r="P552" s="81" t="inlineStr">
        <x:is>
          <x:t xml:space="preserve">Ông ca ngợi việc không hành động cẩu thả hay thiếu xem xét.</x:t>
        </x:is>
      </x:c>
      <x:c r="Q552" s="81" t="inlineStr">
        <x:is>
          <x:t xml:space="preserve">Marcus Aurelius</x:t>
        </x:is>
      </x:c>
      <x:c r="R552" s="81" t="inlineStr">
        <x:is>
          <x:t xml:space="preserve">Stoic / Roman Empire</x:t>
        </x:is>
      </x:c>
      <x:c r="S552" s="81" t="inlineStr">
        <x:is>
          <x:t xml:space="preserve">Τὰ εἰς ἑαυτόν / Meditations</x:t>
        </x:is>
      </x:c>
      <x:c r="T552" s="81" t="inlineStr">
        <x:is>
          <x:t xml:space="preserve">Book 1, 1.16</x:t>
        </x:is>
      </x:c>
      <x:c r="U552" s="81" t="inlineStr">
        <x:is>
          <x:t xml:space="preserve">https://www.perseus.tufts.edu/hopper/text?doc=Perseus:text:2008.01.0641:book=1</x:t>
        </x:is>
      </x:c>
      <x:c r="V552" s="81" t="inlineStr">
        <x:is>
          <x:t xml:space="preserve">Primary Greek edition / institutional corpus</x:t>
        </x:is>
      </x:c>
      <x:c r="W552" s="81" t="inlineStr">
        <x:is>
          <x:t xml:space="preserve">Working translation</x:t>
        </x:is>
      </x:c>
      <x:c r="X552" s="81" t="inlineStr">
        <x:is>
          <x:t xml:space="preserve">A - Primary source</x:t>
        </x:is>
      </x:c>
      <x:c r="Y552" s="81" t="inlineStr">
        <x:is>
          <x:t xml:space="preserve">Greek source anchor checked against the Meditations textual tradition (Perseus Leopold 1908 / Greek Wikisource cross-check). Vietnamese is Selflo working translation, not a published translation.</x:t>
        </x:is>
      </x:c>
      <x:c r="Z552" s="81" t="inlineStr">
        <x:is>
          <x:t xml:space="preserve">Ancient work public domain; digital edition reuse terms apply</x:t>
        </x:is>
      </x:c>
      <x:c r="AA552" s="81" t="inlineStr">
        <x:is>
          <x:t xml:space="preserve">Use original Greek/source location plus fresh Selflo translation/adaptation; do not copy modern copyrighted translations.</x:t>
        </x:is>
      </x:c>
      <x:c r="AB552" s="81" t="inlineStr">
        <x:is>
          <x:t xml:space="preserve">Medium</x:t>
        </x:is>
      </x:c>
      <x:c r="AC552" s="81" t="inlineStr">
        <x:is>
          <x:t xml:space="preserve">Source phrase contextual.</x:t>
        </x:is>
      </x:c>
      <x:c r="AD552" s="81" t="inlineStr">
        <x:is>
          <x:t xml:space="preserve">Needs editorial review</x:t>
        </x:is>
      </x:c>
      <x:c r="AE552" s="81" t="inlineStr">
        <x:is>
          <x:t xml:space="preserve">Needs semantic dedupe review</x:t>
        </x:is>
      </x:c>
      <x:c r="AF552" s="81" t="str"/>
      <x:c r="AG552" s="81" t="str"/>
      <x:c r="AH552" s="81" t="inlineStr">
        <x:is>
          <x:t xml:space="preserve">No</x:t>
        </x:is>
      </x:c>
      <x:c r="AI552" s="81" t="inlineStr">
        <x:is>
          <x:t xml:space="preserve">Not reviewed</x:t>
        </x:is>
      </x:c>
      <x:c r="AJ552" s="81" t="inlineStr">
        <x:is>
          <x:t xml:space="preserve">Research only</x:t>
        </x:is>
      </x:c>
      <x:c r="AK552" s="81" t="inlineStr">
        <x:is>
          <x:t xml:space="preserve">Research Pool</x:t>
        </x:is>
      </x:c>
      <x:c r="AL552" s="81" t="n">
        <x:v>8</x:v>
      </x:c>
      <x:c r="AM552" s="81" t="inlineStr">
        <x:is>
          <x:t xml:space="preserve">ChatGPT research</x:t>
        </x:is>
      </x:c>
      <x:c r="AN552" s="81" t="inlineStr">
        <x:is>
          <x:t xml:space="preserve">2026-09-18</x:t>
        </x:is>
      </x:c>
      <x:c r="AO552" s="81" t="inlineStr">
        <x:is>
          <x:t xml:space="preserve">Day 8 full first-pass screening of all 12 books of Meditations.</x:t>
        </x:is>
      </x:c>
    </x:row>
    <x:row r="553">
      <x:c r="A553" s="81" t="inlineStr">
        <x:is>
          <x:t xml:space="preserve">research.marcus.day8.book02.2_1.005</x:t>
        </x:is>
      </x:c>
      <x:c r="B553" s="81" t="inlineStr">
        <x:is>
          <x:t xml:space="preserve">Collected</x:t>
        </x:is>
      </x:c>
      <x:c r="C553" s="81" t="inlineStr">
        <x:is>
          <x:t xml:space="preserve">Quan hệ</x:t>
        </x:is>
      </x:c>
      <x:c r="D553" s="81" t="inlineStr">
        <x:is>
          <x:t xml:space="preserve">Day 8 / Marcus Aurelius — Meditations 1–12</x:t>
        </x:is>
      </x:c>
      <x:c r="E553" s="81" t="str"/>
      <x:c r="F553" s="81" t="inlineStr">
        <x:is>
          <x:t xml:space="preserve">Nhìn người khác như phần của hợp tác</x:t>
        </x:is>
      </x:c>
      <x:c r="G553" s="81" t="inlineStr">
        <x:is>
          <x:t xml:space="preserve">Social life</x:t>
        </x:is>
      </x:c>
      <x:c r="H553" s="81" t="str"/>
      <x:c r="I553" s="81" t="str"/>
      <x:c r="J553" s="81" t="str"/>
      <x:c r="K553" s="81" t="inlineStr">
        <x:is>
          <x:t xml:space="preserve">Reframe</x:t>
        </x:is>
      </x:c>
      <x:c r="L553" s="81" t="inlineStr">
        <x:is>
          <x:t xml:space="preserve">Recognize</x:t>
        </x:is>
      </x:c>
      <x:c r="M553" s="81" t="inlineStr">
        <x:is>
          <x:t xml:space="preserve">Meditation / self-address</x:t>
        </x:is>
      </x:c>
      <x:c r="N553" s="81" t="inlineStr">
        <x:is>
          <x:t xml:space="preserve">γεγόναμεν γὰρ πρὸς συνεργίαν</x:t>
        </x:is>
      </x:c>
      <x:c r="O553" s="81" t="inlineStr">
        <x:is>
          <x:t xml:space="preserve">Ancient Greek</x:t>
        </x:is>
      </x:c>
      <x:c r="P553" s="81" t="inlineStr">
        <x:is>
          <x:t xml:space="preserve">Chúng ta được tạo nên để cùng làm việc với nhau.</x:t>
        </x:is>
      </x:c>
      <x:c r="Q553" s="81" t="inlineStr">
        <x:is>
          <x:t xml:space="preserve">Marcus Aurelius</x:t>
        </x:is>
      </x:c>
      <x:c r="R553" s="81" t="inlineStr">
        <x:is>
          <x:t xml:space="preserve">Stoic / Roman Empire</x:t>
        </x:is>
      </x:c>
      <x:c r="S553" s="81" t="inlineStr">
        <x:is>
          <x:t xml:space="preserve">Τὰ εἰς ἑαυτόν / Meditations</x:t>
        </x:is>
      </x:c>
      <x:c r="T553" s="81" t="inlineStr">
        <x:is>
          <x:t xml:space="preserve">Book 2, 2.1</x:t>
        </x:is>
      </x:c>
      <x:c r="U553" s="81" t="inlineStr">
        <x:is>
          <x:t xml:space="preserve">https://www.perseus.tufts.edu/hopper/text?doc=Perseus:text:2008.01.0641:book=2</x:t>
        </x:is>
      </x:c>
      <x:c r="V553" s="81" t="inlineStr">
        <x:is>
          <x:t xml:space="preserve">Primary Greek edition / institutional corpus</x:t>
        </x:is>
      </x:c>
      <x:c r="W553" s="81" t="inlineStr">
        <x:is>
          <x:t xml:space="preserve">Working translation</x:t>
        </x:is>
      </x:c>
      <x:c r="X553" s="81" t="inlineStr">
        <x:is>
          <x:t xml:space="preserve">A - Primary source</x:t>
        </x:is>
      </x:c>
      <x:c r="Y553" s="81" t="inlineStr">
        <x:is>
          <x:t xml:space="preserve">Greek source anchor checked against the Meditations textual tradition (Perseus Leopold 1908 / Greek Wikisource cross-check). Vietnamese is Selflo working translation, not a published translation.</x:t>
        </x:is>
      </x:c>
      <x:c r="Z553" s="81" t="inlineStr">
        <x:is>
          <x:t xml:space="preserve">Ancient work public domain; digital edition reuse terms apply</x:t>
        </x:is>
      </x:c>
      <x:c r="AA553" s="81" t="inlineStr">
        <x:is>
          <x:t xml:space="preserve">Use original Greek/source location plus fresh Selflo translation/adaptation; do not copy modern copyrighted translations.</x:t>
        </x:is>
      </x:c>
      <x:c r="AB553" s="81" t="inlineStr">
        <x:is>
          <x:t xml:space="preserve">High</x:t>
        </x:is>
      </x:c>
      <x:c r="AC553" s="81" t="inlineStr">
        <x:is>
          <x:t xml:space="preserve">Do not erase boundaries.</x:t>
        </x:is>
      </x:c>
      <x:c r="AD553" s="81" t="inlineStr">
        <x:is>
          <x:t xml:space="preserve">Needs editorial review</x:t>
        </x:is>
      </x:c>
      <x:c r="AE553" s="81" t="inlineStr">
        <x:is>
          <x:t xml:space="preserve">Needs semantic dedupe review</x:t>
        </x:is>
      </x:c>
      <x:c r="AF553" s="81" t="str"/>
      <x:c r="AG553" s="81" t="str"/>
      <x:c r="AH553" s="81" t="inlineStr">
        <x:is>
          <x:t xml:space="preserve">No</x:t>
        </x:is>
      </x:c>
      <x:c r="AI553" s="81" t="inlineStr">
        <x:is>
          <x:t xml:space="preserve">Not reviewed</x:t>
        </x:is>
      </x:c>
      <x:c r="AJ553" s="81" t="inlineStr">
        <x:is>
          <x:t xml:space="preserve">Research only</x:t>
        </x:is>
      </x:c>
      <x:c r="AK553" s="81" t="inlineStr">
        <x:is>
          <x:t xml:space="preserve">Research Pool</x:t>
        </x:is>
      </x:c>
      <x:c r="AL553" s="81" t="n">
        <x:v>8</x:v>
      </x:c>
      <x:c r="AM553" s="81" t="inlineStr">
        <x:is>
          <x:t xml:space="preserve">ChatGPT research</x:t>
        </x:is>
      </x:c>
      <x:c r="AN553" s="81" t="inlineStr">
        <x:is>
          <x:t xml:space="preserve">2026-09-18</x:t>
        </x:is>
      </x:c>
      <x:c r="AO553" s="81" t="inlineStr">
        <x:is>
          <x:t xml:space="preserve">Day 8 full first-pass screening of all 12 books of Meditations.</x:t>
        </x:is>
      </x:c>
    </x:row>
    <x:row r="554">
      <x:c r="A554" s="81" t="inlineStr">
        <x:is>
          <x:t xml:space="preserve">research.marcus.day8.book02.2_1.006</x:t>
        </x:is>
      </x:c>
      <x:c r="B554" s="81" t="inlineStr">
        <x:is>
          <x:t xml:space="preserve">Collected</x:t>
        </x:is>
      </x:c>
      <x:c r="C554" s="81" t="inlineStr">
        <x:is>
          <x:t xml:space="preserve">Quan hệ</x:t>
        </x:is>
      </x:c>
      <x:c r="D554" s="81" t="inlineStr">
        <x:is>
          <x:t xml:space="preserve">Day 8 / Marcus Aurelius — Meditations 1–12</x:t>
        </x:is>
      </x:c>
      <x:c r="E554" s="81" t="str"/>
      <x:c r="F554" s="81" t="inlineStr">
        <x:is>
          <x:t xml:space="preserve">Xung đột và hợp tác</x:t>
        </x:is>
      </x:c>
      <x:c r="G554" s="81" t="inlineStr">
        <x:is>
          <x:t xml:space="preserve">Relationships</x:t>
        </x:is>
      </x:c>
      <x:c r="H554" s="81" t="str"/>
      <x:c r="I554" s="81" t="str"/>
      <x:c r="J554" s="81" t="str"/>
      <x:c r="K554" s="81" t="inlineStr">
        <x:is>
          <x:t xml:space="preserve">Distinguish</x:t>
        </x:is>
      </x:c>
      <x:c r="L554" s="81" t="inlineStr">
        <x:is>
          <x:t xml:space="preserve">Recognize</x:t>
        </x:is>
      </x:c>
      <x:c r="M554" s="81" t="inlineStr">
        <x:is>
          <x:t xml:space="preserve">Meditation / self-address</x:t>
        </x:is>
      </x:c>
      <x:c r="N554" s="81" t="inlineStr">
        <x:is>
          <x:t xml:space="preserve">τὸ οὖν ἀντιπράσσειν ἀλλήλοις παρὰ φύσιν</x:t>
        </x:is>
      </x:c>
      <x:c r="O554" s="81" t="inlineStr">
        <x:is>
          <x:t xml:space="preserve">Ancient Greek</x:t>
        </x:is>
      </x:c>
      <x:c r="P554" s="81" t="inlineStr">
        <x:is>
          <x:t xml:space="preserve">Chống lại nhau như mặc định đi ngược mục đích sống chung mà ông hình dung.</x:t>
        </x:is>
      </x:c>
      <x:c r="Q554" s="81" t="inlineStr">
        <x:is>
          <x:t xml:space="preserve">Marcus Aurelius</x:t>
        </x:is>
      </x:c>
      <x:c r="R554" s="81" t="inlineStr">
        <x:is>
          <x:t xml:space="preserve">Stoic / Roman Empire</x:t>
        </x:is>
      </x:c>
      <x:c r="S554" s="81" t="inlineStr">
        <x:is>
          <x:t xml:space="preserve">Τὰ εἰς ἑαυτόν / Meditations</x:t>
        </x:is>
      </x:c>
      <x:c r="T554" s="81" t="inlineStr">
        <x:is>
          <x:t xml:space="preserve">Book 2, 2.1</x:t>
        </x:is>
      </x:c>
      <x:c r="U554" s="81" t="inlineStr">
        <x:is>
          <x:t xml:space="preserve">https://www.perseus.tufts.edu/hopper/text?doc=Perseus:text:2008.01.0641:book=2</x:t>
        </x:is>
      </x:c>
      <x:c r="V554" s="81" t="inlineStr">
        <x:is>
          <x:t xml:space="preserve">Primary Greek edition / institutional corpus</x:t>
        </x:is>
      </x:c>
      <x:c r="W554" s="81" t="inlineStr">
        <x:is>
          <x:t xml:space="preserve">Working translation</x:t>
        </x:is>
      </x:c>
      <x:c r="X554" s="81" t="inlineStr">
        <x:is>
          <x:t xml:space="preserve">A - Primary source</x:t>
        </x:is>
      </x:c>
      <x:c r="Y554" s="81" t="inlineStr">
        <x:is>
          <x:t xml:space="preserve">Greek source anchor checked against the Meditations textual tradition (Perseus Leopold 1908 / Greek Wikisource cross-check). Vietnamese is Selflo working translation, not a published translation.</x:t>
        </x:is>
      </x:c>
      <x:c r="Z554" s="81" t="inlineStr">
        <x:is>
          <x:t xml:space="preserve">Ancient work public domain; digital edition reuse terms apply</x:t>
        </x:is>
      </x:c>
      <x:c r="AA554" s="81" t="inlineStr">
        <x:is>
          <x:t xml:space="preserve">Use original Greek/source location plus fresh Selflo translation/adaptation; do not copy modern copyrighted translations.</x:t>
        </x:is>
      </x:c>
      <x:c r="AB554" s="81" t="inlineStr">
        <x:is>
          <x:t xml:space="preserve">Medium</x:t>
        </x:is>
      </x:c>
      <x:c r="AC554" s="81" t="inlineStr">
        <x:is>
          <x:t xml:space="preserve">Stoic natural-law framing.</x:t>
        </x:is>
      </x:c>
      <x:c r="AD554" s="81" t="inlineStr">
        <x:is>
          <x:t xml:space="preserve">Needs editorial review</x:t>
        </x:is>
      </x:c>
      <x:c r="AE554" s="81" t="inlineStr">
        <x:is>
          <x:t xml:space="preserve">Needs semantic dedupe review</x:t>
        </x:is>
      </x:c>
      <x:c r="AF554" s="81" t="str"/>
      <x:c r="AG554" s="81" t="str"/>
      <x:c r="AH554" s="81" t="inlineStr">
        <x:is>
          <x:t xml:space="preserve">No</x:t>
        </x:is>
      </x:c>
      <x:c r="AI554" s="81" t="inlineStr">
        <x:is>
          <x:t xml:space="preserve">Not reviewed</x:t>
        </x:is>
      </x:c>
      <x:c r="AJ554" s="81" t="inlineStr">
        <x:is>
          <x:t xml:space="preserve">Research only</x:t>
        </x:is>
      </x:c>
      <x:c r="AK554" s="81" t="inlineStr">
        <x:is>
          <x:t xml:space="preserve">Research Pool</x:t>
        </x:is>
      </x:c>
      <x:c r="AL554" s="81" t="n">
        <x:v>8</x:v>
      </x:c>
      <x:c r="AM554" s="81" t="inlineStr">
        <x:is>
          <x:t xml:space="preserve">ChatGPT research</x:t>
        </x:is>
      </x:c>
      <x:c r="AN554" s="81" t="inlineStr">
        <x:is>
          <x:t xml:space="preserve">2026-09-18</x:t>
        </x:is>
      </x:c>
      <x:c r="AO554" s="81" t="inlineStr">
        <x:is>
          <x:t xml:space="preserve">Day 8 full first-pass screening of all 12 books of Meditations.</x:t>
        </x:is>
      </x:c>
    </x:row>
    <x:row r="555">
      <x:c r="A555" s="81" t="inlineStr">
        <x:is>
          <x:t xml:space="preserve">research.marcus.day8.book02.2_5.007</x:t>
        </x:is>
      </x:c>
      <x:c r="B555" s="81" t="inlineStr">
        <x:is>
          <x:t xml:space="preserve">Collected</x:t>
        </x:is>
      </x:c>
      <x:c r="C555" s="81" t="inlineStr">
        <x:is>
          <x:t xml:space="preserve">Nội tâm &amp; hiểu mình</x:t>
        </x:is>
      </x:c>
      <x:c r="D555" s="81" t="inlineStr">
        <x:is>
          <x:t xml:space="preserve">Day 8 / Marcus Aurelius — Meditations 1–12</x:t>
        </x:is>
      </x:c>
      <x:c r="E555" s="81" t="str"/>
      <x:c r="F555" s="81" t="inlineStr">
        <x:is>
          <x:t xml:space="preserve">Trở về việc đang làm</x:t>
        </x:is>
      </x:c>
      <x:c r="G555" s="81" t="inlineStr">
        <x:is>
          <x:t xml:space="preserve">Presence</x:t>
        </x:is>
      </x:c>
      <x:c r="H555" s="81" t="str"/>
      <x:c r="I555" s="81" t="str"/>
      <x:c r="J555" s="81" t="str"/>
      <x:c r="K555" s="81" t="inlineStr">
        <x:is>
          <x:t xml:space="preserve">Return agency</x:t>
        </x:is>
      </x:c>
      <x:c r="L555" s="81" t="inlineStr">
        <x:is>
          <x:t xml:space="preserve">Recognize</x:t>
        </x:is>
      </x:c>
      <x:c r="M555" s="81" t="inlineStr">
        <x:is>
          <x:t xml:space="preserve">Meditation / self-address</x:t>
        </x:is>
      </x:c>
      <x:c r="N555" s="81" t="inlineStr">
        <x:is>
          <x:t xml:space="preserve">καθ᾽ ἑκάστην ὥραν Ῥωμαϊκῶς καὶ ἀνδρικῶς</x:t>
        </x:is>
      </x:c>
      <x:c r="O555" s="81" t="inlineStr">
        <x:is>
          <x:t xml:space="preserve">Ancient Greek</x:t>
        </x:is>
      </x:c>
      <x:c r="P555" s="81" t="inlineStr">
        <x:is>
          <x:t xml:space="preserve">Mỗi giờ, làm việc trước mặt mình với sự nghiêm túc và hiện diện.</x:t>
        </x:is>
      </x:c>
      <x:c r="Q555" s="81" t="inlineStr">
        <x:is>
          <x:t xml:space="preserve">Marcus Aurelius</x:t>
        </x:is>
      </x:c>
      <x:c r="R555" s="81" t="inlineStr">
        <x:is>
          <x:t xml:space="preserve">Stoic / Roman Empire</x:t>
        </x:is>
      </x:c>
      <x:c r="S555" s="81" t="inlineStr">
        <x:is>
          <x:t xml:space="preserve">Τὰ εἰς ἑαυτόν / Meditations</x:t>
        </x:is>
      </x:c>
      <x:c r="T555" s="81" t="inlineStr">
        <x:is>
          <x:t xml:space="preserve">Book 2, 2.5</x:t>
        </x:is>
      </x:c>
      <x:c r="U555" s="81" t="inlineStr">
        <x:is>
          <x:t xml:space="preserve">https://www.perseus.tufts.edu/hopper/text?doc=Perseus:text:2008.01.0641:book=2</x:t>
        </x:is>
      </x:c>
      <x:c r="V555" s="81" t="inlineStr">
        <x:is>
          <x:t xml:space="preserve">Primary Greek edition / institutional corpus</x:t>
        </x:is>
      </x:c>
      <x:c r="W555" s="81" t="inlineStr">
        <x:is>
          <x:t xml:space="preserve">Working translation</x:t>
        </x:is>
      </x:c>
      <x:c r="X555" s="81" t="inlineStr">
        <x:is>
          <x:t xml:space="preserve">A - Primary source</x:t>
        </x:is>
      </x:c>
      <x:c r="Y555" s="81" t="inlineStr">
        <x:is>
          <x:t xml:space="preserve">Greek source anchor checked against the Meditations textual tradition (Perseus Leopold 1908 / Greek Wikisource cross-check). Vietnamese is Selflo working translation, not a published translation.</x:t>
        </x:is>
      </x:c>
      <x:c r="Z555" s="81" t="inlineStr">
        <x:is>
          <x:t xml:space="preserve">Ancient work public domain; digital edition reuse terms apply</x:t>
        </x:is>
      </x:c>
      <x:c r="AA555" s="81" t="inlineStr">
        <x:is>
          <x:t xml:space="preserve">Use original Greek/source location plus fresh Selflo translation/adaptation; do not copy modern copyrighted translations.</x:t>
        </x:is>
      </x:c>
      <x:c r="AB555" s="81" t="inlineStr">
        <x:is>
          <x:t xml:space="preserve">High</x:t>
        </x:is>
      </x:c>
      <x:c r="AC555" s="81" t="inlineStr">
        <x:is>
          <x:t xml:space="preserve">Gendered ancient wording; adapt inclusively.</x:t>
        </x:is>
      </x:c>
      <x:c r="AD555" s="81" t="inlineStr">
        <x:is>
          <x:t xml:space="preserve">Needs editorial review</x:t>
        </x:is>
      </x:c>
      <x:c r="AE555" s="81" t="inlineStr">
        <x:is>
          <x:t xml:space="preserve">Needs semantic dedupe review</x:t>
        </x:is>
      </x:c>
      <x:c r="AF555" s="81" t="str"/>
      <x:c r="AG555" s="81" t="str"/>
      <x:c r="AH555" s="81" t="inlineStr">
        <x:is>
          <x:t xml:space="preserve">No</x:t>
        </x:is>
      </x:c>
      <x:c r="AI555" s="81" t="inlineStr">
        <x:is>
          <x:t xml:space="preserve">Not reviewed</x:t>
        </x:is>
      </x:c>
      <x:c r="AJ555" s="81" t="inlineStr">
        <x:is>
          <x:t xml:space="preserve">Research only</x:t>
        </x:is>
      </x:c>
      <x:c r="AK555" s="81" t="inlineStr">
        <x:is>
          <x:t xml:space="preserve">Research Pool</x:t>
        </x:is>
      </x:c>
      <x:c r="AL555" s="81" t="n">
        <x:v>8</x:v>
      </x:c>
      <x:c r="AM555" s="81" t="inlineStr">
        <x:is>
          <x:t xml:space="preserve">ChatGPT research</x:t>
        </x:is>
      </x:c>
      <x:c r="AN555" s="81" t="inlineStr">
        <x:is>
          <x:t xml:space="preserve">2026-09-18</x:t>
        </x:is>
      </x:c>
      <x:c r="AO555" s="81" t="inlineStr">
        <x:is>
          <x:t xml:space="preserve">Day 8 full first-pass screening of all 12 books of Meditations.</x:t>
        </x:is>
      </x:c>
    </x:row>
    <x:row r="556">
      <x:c r="A556" s="81" t="inlineStr">
        <x:is>
          <x:t xml:space="preserve">research.marcus.day8.book02.2_14.008</x:t>
        </x:is>
      </x:c>
      <x:c r="B556" s="81" t="inlineStr">
        <x:is>
          <x:t xml:space="preserve">Collected</x:t>
        </x:is>
      </x:c>
      <x:c r="C556" s="81" t="inlineStr">
        <x:is>
          <x:t xml:space="preserve">Nội tâm &amp; hiểu mình</x:t>
        </x:is>
      </x:c>
      <x:c r="D556" s="81" t="inlineStr">
        <x:is>
          <x:t xml:space="preserve">Day 8 / Marcus Aurelius — Meditations 1–12</x:t>
        </x:is>
      </x:c>
      <x:c r="E556" s="81" t="str"/>
      <x:c r="F556" s="81" t="inlineStr">
        <x:is>
          <x:t xml:space="preserve">Hiện tại là phần thời gian đang có</x:t>
        </x:is>
      </x:c>
      <x:c r="G556" s="81" t="inlineStr">
        <x:is>
          <x:t xml:space="preserve">Time</x:t>
        </x:is>
      </x:c>
      <x:c r="H556" s="81" t="str"/>
      <x:c r="I556" s="81" t="str"/>
      <x:c r="J556" s="81" t="str"/>
      <x:c r="K556" s="81" t="inlineStr">
        <x:is>
          <x:t xml:space="preserve">Recognize</x:t>
        </x:is>
      </x:c>
      <x:c r="L556" s="81" t="inlineStr">
        <x:is>
          <x:t xml:space="preserve">Distinguish</x:t>
        </x:is>
      </x:c>
      <x:c r="M556" s="81" t="inlineStr">
        <x:is>
          <x:t xml:space="preserve">Meditation / self-address</x:t>
        </x:is>
      </x:c>
      <x:c r="N556" s="81" t="inlineStr">
        <x:is>
          <x:t xml:space="preserve">ὁ παρὼν χρόνος ἴσος πᾶσι</x:t>
        </x:is>
      </x:c>
      <x:c r="O556" s="81" t="inlineStr">
        <x:is>
          <x:t xml:space="preserve">Ancient Greek</x:t>
        </x:is>
      </x:c>
      <x:c r="P556" s="81" t="inlineStr">
        <x:is>
          <x:t xml:space="preserve">Phần thời gian thực sự có mặt với mỗi người vẫn là hiện tại.</x:t>
        </x:is>
      </x:c>
      <x:c r="Q556" s="81" t="inlineStr">
        <x:is>
          <x:t xml:space="preserve">Marcus Aurelius</x:t>
        </x:is>
      </x:c>
      <x:c r="R556" s="81" t="inlineStr">
        <x:is>
          <x:t xml:space="preserve">Stoic / Roman Empire</x:t>
        </x:is>
      </x:c>
      <x:c r="S556" s="81" t="inlineStr">
        <x:is>
          <x:t xml:space="preserve">Τὰ εἰς ἑαυτόν / Meditations</x:t>
        </x:is>
      </x:c>
      <x:c r="T556" s="81" t="inlineStr">
        <x:is>
          <x:t xml:space="preserve">Book 2, 2.14</x:t>
        </x:is>
      </x:c>
      <x:c r="U556" s="81" t="inlineStr">
        <x:is>
          <x:t xml:space="preserve">https://www.perseus.tufts.edu/hopper/text?doc=Perseus:text:2008.01.0641:book=2</x:t>
        </x:is>
      </x:c>
      <x:c r="V556" s="81" t="inlineStr">
        <x:is>
          <x:t xml:space="preserve">Primary Greek edition / institutional corpus</x:t>
        </x:is>
      </x:c>
      <x:c r="W556" s="81" t="inlineStr">
        <x:is>
          <x:t xml:space="preserve">Working translation</x:t>
        </x:is>
      </x:c>
      <x:c r="X556" s="81" t="inlineStr">
        <x:is>
          <x:t xml:space="preserve">A - Primary source</x:t>
        </x:is>
      </x:c>
      <x:c r="Y556" s="81" t="inlineStr">
        <x:is>
          <x:t xml:space="preserve">Greek source anchor checked against the Meditations textual tradition (Perseus Leopold 1908 / Greek Wikisource cross-check). Vietnamese is Selflo working translation, not a published translation.</x:t>
        </x:is>
      </x:c>
      <x:c r="Z556" s="81" t="inlineStr">
        <x:is>
          <x:t xml:space="preserve">Ancient work public domain; digital edition reuse terms apply</x:t>
        </x:is>
      </x:c>
      <x:c r="AA556" s="81" t="inlineStr">
        <x:is>
          <x:t xml:space="preserve">Use original Greek/source location plus fresh Selflo translation/adaptation; do not copy modern copyrighted translations.</x:t>
        </x:is>
      </x:c>
      <x:c r="AB556" s="81" t="inlineStr">
        <x:is>
          <x:t xml:space="preserve">High</x:t>
        </x:is>
      </x:c>
      <x:c r="AC556" s="81" t="inlineStr">
        <x:is>
          <x:t xml:space="preserve">Good present-focus.</x:t>
        </x:is>
      </x:c>
      <x:c r="AD556" s="81" t="inlineStr">
        <x:is>
          <x:t xml:space="preserve">Needs editorial review</x:t>
        </x:is>
      </x:c>
      <x:c r="AE556" s="81" t="inlineStr">
        <x:is>
          <x:t xml:space="preserve">Needs semantic dedupe review</x:t>
        </x:is>
      </x:c>
      <x:c r="AF556" s="81" t="str"/>
      <x:c r="AG556" s="81" t="str"/>
      <x:c r="AH556" s="81" t="inlineStr">
        <x:is>
          <x:t xml:space="preserve">No</x:t>
        </x:is>
      </x:c>
      <x:c r="AI556" s="81" t="inlineStr">
        <x:is>
          <x:t xml:space="preserve">Not reviewed</x:t>
        </x:is>
      </x:c>
      <x:c r="AJ556" s="81" t="inlineStr">
        <x:is>
          <x:t xml:space="preserve">Research only</x:t>
        </x:is>
      </x:c>
      <x:c r="AK556" s="81" t="inlineStr">
        <x:is>
          <x:t xml:space="preserve">Research Pool</x:t>
        </x:is>
      </x:c>
      <x:c r="AL556" s="81" t="n">
        <x:v>8</x:v>
      </x:c>
      <x:c r="AM556" s="81" t="inlineStr">
        <x:is>
          <x:t xml:space="preserve">ChatGPT research</x:t>
        </x:is>
      </x:c>
      <x:c r="AN556" s="81" t="inlineStr">
        <x:is>
          <x:t xml:space="preserve">2026-09-18</x:t>
        </x:is>
      </x:c>
      <x:c r="AO556" s="81" t="inlineStr">
        <x:is>
          <x:t xml:space="preserve">Day 8 full first-pass screening of all 12 books of Meditations.</x:t>
        </x:is>
      </x:c>
    </x:row>
    <x:row r="557">
      <x:c r="A557" s="81" t="inlineStr">
        <x:is>
          <x:t xml:space="preserve">research.marcus.day8.book03.3_4.009</x:t>
        </x:is>
      </x:c>
      <x:c r="B557" s="81" t="inlineStr">
        <x:is>
          <x:t xml:space="preserve">Collected</x:t>
        </x:is>
      </x:c>
      <x:c r="C557" s="81" t="inlineStr">
        <x:is>
          <x:t xml:space="preserve">AI &amp; tương lai</x:t>
        </x:is>
      </x:c>
      <x:c r="D557" s="81" t="inlineStr">
        <x:is>
          <x:t xml:space="preserve">Day 8 / Marcus Aurelius — Meditations 1–12</x:t>
        </x:is>
      </x:c>
      <x:c r="E557" s="81" t="str"/>
      <x:c r="F557" s="81" t="inlineStr">
        <x:is>
          <x:t xml:space="preserve">Tâm trí bị chiếm bởi người khác</x:t>
        </x:is>
      </x:c>
      <x:c r="G557" s="81" t="inlineStr">
        <x:is>
          <x:t xml:space="preserve">Attention</x:t>
        </x:is>
      </x:c>
      <x:c r="H557" s="81" t="str"/>
      <x:c r="I557" s="81" t="str"/>
      <x:c r="J557" s="81" t="str"/>
      <x:c r="K557" s="81" t="inlineStr">
        <x:is>
          <x:t xml:space="preserve">Recognize</x:t>
        </x:is>
      </x:c>
      <x:c r="L557" s="81" t="inlineStr">
        <x:is>
          <x:t xml:space="preserve">Distinguish</x:t>
        </x:is>
      </x:c>
      <x:c r="M557" s="81" t="inlineStr">
        <x:is>
          <x:t xml:space="preserve">Meditation / self-address</x:t>
        </x:is>
      </x:c>
      <x:c r="N557" s="81" t="inlineStr">
        <x:is>
          <x:t xml:space="preserve">μὴ τὸ ὑπόλοιπον τοῦ βίου περὶ ἄλλων φανταζόμενος κατατρίβειν</x:t>
        </x:is>
      </x:c>
      <x:c r="O557" s="81" t="inlineStr">
        <x:is>
          <x:t xml:space="preserve">Ancient Greek</x:t>
        </x:is>
      </x:c>
      <x:c r="P557" s="81" t="inlineStr">
        <x:is>
          <x:t xml:space="preserve">Đừng tiêu phần đời còn lại bằng việc liên tục tưởng tượng người khác đang làm hay nghĩ gì.</x:t>
        </x:is>
      </x:c>
      <x:c r="Q557" s="81" t="inlineStr">
        <x:is>
          <x:t xml:space="preserve">Marcus Aurelius</x:t>
        </x:is>
      </x:c>
      <x:c r="R557" s="81" t="inlineStr">
        <x:is>
          <x:t xml:space="preserve">Stoic / Roman Empire</x:t>
        </x:is>
      </x:c>
      <x:c r="S557" s="81" t="inlineStr">
        <x:is>
          <x:t xml:space="preserve">Τὰ εἰς ἑαυτόν / Meditations</x:t>
        </x:is>
      </x:c>
      <x:c r="T557" s="81" t="inlineStr">
        <x:is>
          <x:t xml:space="preserve">Book 3, 3.4</x:t>
        </x:is>
      </x:c>
      <x:c r="U557" s="81" t="inlineStr">
        <x:is>
          <x:t xml:space="preserve">https://www.perseus.tufts.edu/hopper/text?doc=Perseus:text:2008.01.0641:book=3</x:t>
        </x:is>
      </x:c>
      <x:c r="V557" s="81" t="inlineStr">
        <x:is>
          <x:t xml:space="preserve">Primary Greek edition / institutional corpus</x:t>
        </x:is>
      </x:c>
      <x:c r="W557" s="81" t="inlineStr">
        <x:is>
          <x:t xml:space="preserve">Working translation</x:t>
        </x:is>
      </x:c>
      <x:c r="X557" s="81" t="inlineStr">
        <x:is>
          <x:t xml:space="preserve">A - Primary source</x:t>
        </x:is>
      </x:c>
      <x:c r="Y557" s="81" t="inlineStr">
        <x:is>
          <x:t xml:space="preserve">Greek source anchor checked against the Meditations textual tradition (Perseus Leopold 1908 / Greek Wikisource cross-check). Vietnamese is Selflo working translation, not a published translation.</x:t>
        </x:is>
      </x:c>
      <x:c r="Z557" s="81" t="inlineStr">
        <x:is>
          <x:t xml:space="preserve">Ancient work public domain; digital edition reuse terms apply</x:t>
        </x:is>
      </x:c>
      <x:c r="AA557" s="81" t="inlineStr">
        <x:is>
          <x:t xml:space="preserve">Use original Greek/source location plus fresh Selflo translation/adaptation; do not copy modern copyrighted translations.</x:t>
        </x:is>
      </x:c>
      <x:c r="AB557" s="81" t="inlineStr">
        <x:is>
          <x:t xml:space="preserve">High</x:t>
        </x:is>
      </x:c>
      <x:c r="AC557" s="81" t="inlineStr">
        <x:is>
          <x:t xml:space="preserve">Very modern/social media.</x:t>
        </x:is>
      </x:c>
      <x:c r="AD557" s="81" t="inlineStr">
        <x:is>
          <x:t xml:space="preserve">Needs editorial review</x:t>
        </x:is>
      </x:c>
      <x:c r="AE557" s="81" t="inlineStr">
        <x:is>
          <x:t xml:space="preserve">Needs semantic dedupe review</x:t>
        </x:is>
      </x:c>
      <x:c r="AF557" s="81" t="str"/>
      <x:c r="AG557" s="81" t="str"/>
      <x:c r="AH557" s="81" t="inlineStr">
        <x:is>
          <x:t xml:space="preserve">No</x:t>
        </x:is>
      </x:c>
      <x:c r="AI557" s="81" t="inlineStr">
        <x:is>
          <x:t xml:space="preserve">Not reviewed</x:t>
        </x:is>
      </x:c>
      <x:c r="AJ557" s="81" t="inlineStr">
        <x:is>
          <x:t xml:space="preserve">Research only</x:t>
        </x:is>
      </x:c>
      <x:c r="AK557" s="81" t="inlineStr">
        <x:is>
          <x:t xml:space="preserve">Research Pool</x:t>
        </x:is>
      </x:c>
      <x:c r="AL557" s="81" t="n">
        <x:v>8</x:v>
      </x:c>
      <x:c r="AM557" s="81" t="inlineStr">
        <x:is>
          <x:t xml:space="preserve">ChatGPT research</x:t>
        </x:is>
      </x:c>
      <x:c r="AN557" s="81" t="inlineStr">
        <x:is>
          <x:t xml:space="preserve">2026-09-18</x:t>
        </x:is>
      </x:c>
      <x:c r="AO557" s="81" t="inlineStr">
        <x:is>
          <x:t xml:space="preserve">Day 8 full first-pass screening of all 12 books of Meditations.</x:t>
        </x:is>
      </x:c>
    </x:row>
    <x:row r="558">
      <x:c r="A558" s="81" t="inlineStr">
        <x:is>
          <x:t xml:space="preserve">research.marcus.day8.book03.3_5.010</x:t>
        </x:is>
      </x:c>
      <x:c r="B558" s="81" t="inlineStr">
        <x:is>
          <x:t xml:space="preserve">Collected</x:t>
        </x:is>
      </x:c>
      <x:c r="C558" s="81" t="inlineStr">
        <x:is>
          <x:t xml:space="preserve">Công việc &amp; mục đích</x:t>
        </x:is>
      </x:c>
      <x:c r="D558" s="81" t="inlineStr">
        <x:is>
          <x:t xml:space="preserve">Day 8 / Marcus Aurelius — Meditations 1–12</x:t>
        </x:is>
      </x:c>
      <x:c r="E558" s="81" t="str"/>
      <x:c r="F558" s="81" t="inlineStr">
        <x:is>
          <x:t xml:space="preserve">Chất lượng của hành động</x:t>
        </x:is>
      </x:c>
      <x:c r="G558" s="81" t="inlineStr">
        <x:is>
          <x:t xml:space="preserve">Agency</x:t>
        </x:is>
      </x:c>
      <x:c r="H558" s="81" t="str"/>
      <x:c r="I558" s="81" t="str"/>
      <x:c r="J558" s="81" t="str"/>
      <x:c r="K558" s="81" t="inlineStr">
        <x:is>
          <x:t xml:space="preserve">Recognize</x:t>
        </x:is>
      </x:c>
      <x:c r="L558" s="81" t="inlineStr">
        <x:is>
          <x:t xml:space="preserve">Distinguish</x:t>
        </x:is>
      </x:c>
      <x:c r="M558" s="81" t="inlineStr">
        <x:is>
          <x:t xml:space="preserve">Meditation / self-address</x:t>
        </x:is>
      </x:c>
      <x:c r="N558" s="81" t="inlineStr">
        <x:is>
          <x:t xml:space="preserve">μὴ ἄκων μηδὲ ἀκοινώνητος μηδὲ ἀνεξέταστος</x:t>
        </x:is>
      </x:c>
      <x:c r="O558" s="81" t="inlineStr">
        <x:is>
          <x:t xml:space="preserve">Ancient Greek</x:t>
        </x:is>
      </x:c>
      <x:c r="P558" s="81" t="inlineStr">
        <x:is>
          <x:t xml:space="preserve">Đừng hành động miễn cưỡng, tách khỏi người khác hay thiếu xem xét.</x:t>
        </x:is>
      </x:c>
      <x:c r="Q558" s="81" t="inlineStr">
        <x:is>
          <x:t xml:space="preserve">Marcus Aurelius</x:t>
        </x:is>
      </x:c>
      <x:c r="R558" s="81" t="inlineStr">
        <x:is>
          <x:t xml:space="preserve">Stoic / Roman Empire</x:t>
        </x:is>
      </x:c>
      <x:c r="S558" s="81" t="inlineStr">
        <x:is>
          <x:t xml:space="preserve">Τὰ εἰς ἑαυτόν / Meditations</x:t>
        </x:is>
      </x:c>
      <x:c r="T558" s="81" t="inlineStr">
        <x:is>
          <x:t xml:space="preserve">Book 3, 3.5</x:t>
        </x:is>
      </x:c>
      <x:c r="U558" s="81" t="inlineStr">
        <x:is>
          <x:t xml:space="preserve">https://www.perseus.tufts.edu/hopper/text?doc=Perseus:text:2008.01.0641:book=3</x:t>
        </x:is>
      </x:c>
      <x:c r="V558" s="81" t="inlineStr">
        <x:is>
          <x:t xml:space="preserve">Primary Greek edition / institutional corpus</x:t>
        </x:is>
      </x:c>
      <x:c r="W558" s="81" t="inlineStr">
        <x:is>
          <x:t xml:space="preserve">Working translation</x:t>
        </x:is>
      </x:c>
      <x:c r="X558" s="81" t="inlineStr">
        <x:is>
          <x:t xml:space="preserve">A - Primary source</x:t>
        </x:is>
      </x:c>
      <x:c r="Y558" s="81" t="inlineStr">
        <x:is>
          <x:t xml:space="preserve">Greek source anchor checked against the Meditations textual tradition (Perseus Leopold 1908 / Greek Wikisource cross-check). Vietnamese is Selflo working translation, not a published translation.</x:t>
        </x:is>
      </x:c>
      <x:c r="Z558" s="81" t="inlineStr">
        <x:is>
          <x:t xml:space="preserve">Ancient work public domain; digital edition reuse terms apply</x:t>
        </x:is>
      </x:c>
      <x:c r="AA558" s="81" t="inlineStr">
        <x:is>
          <x:t xml:space="preserve">Use original Greek/source location plus fresh Selflo translation/adaptation; do not copy modern copyrighted translations.</x:t>
        </x:is>
      </x:c>
      <x:c r="AB558" s="81" t="inlineStr">
        <x:is>
          <x:t xml:space="preserve">Medium</x:t>
        </x:is>
      </x:c>
      <x:c r="AC558" s="81" t="inlineStr">
        <x:is>
          <x:t xml:space="preserve">Contextual.</x:t>
        </x:is>
      </x:c>
      <x:c r="AD558" s="81" t="inlineStr">
        <x:is>
          <x:t xml:space="preserve">Needs editorial review</x:t>
        </x:is>
      </x:c>
      <x:c r="AE558" s="81" t="inlineStr">
        <x:is>
          <x:t xml:space="preserve">Needs semantic dedupe review</x:t>
        </x:is>
      </x:c>
      <x:c r="AF558" s="81" t="str"/>
      <x:c r="AG558" s="81" t="str"/>
      <x:c r="AH558" s="81" t="inlineStr">
        <x:is>
          <x:t xml:space="preserve">No</x:t>
        </x:is>
      </x:c>
      <x:c r="AI558" s="81" t="inlineStr">
        <x:is>
          <x:t xml:space="preserve">Not reviewed</x:t>
        </x:is>
      </x:c>
      <x:c r="AJ558" s="81" t="inlineStr">
        <x:is>
          <x:t xml:space="preserve">Research only</x:t>
        </x:is>
      </x:c>
      <x:c r="AK558" s="81" t="inlineStr">
        <x:is>
          <x:t xml:space="preserve">Research Pool</x:t>
        </x:is>
      </x:c>
      <x:c r="AL558" s="81" t="n">
        <x:v>8</x:v>
      </x:c>
      <x:c r="AM558" s="81" t="inlineStr">
        <x:is>
          <x:t xml:space="preserve">ChatGPT research</x:t>
        </x:is>
      </x:c>
      <x:c r="AN558" s="81" t="inlineStr">
        <x:is>
          <x:t xml:space="preserve">2026-09-18</x:t>
        </x:is>
      </x:c>
      <x:c r="AO558" s="81" t="inlineStr">
        <x:is>
          <x:t xml:space="preserve">Day 8 full first-pass screening of all 12 books of Meditations.</x:t>
        </x:is>
      </x:c>
    </x:row>
    <x:row r="559">
      <x:c r="A559" s="81" t="inlineStr">
        <x:is>
          <x:t xml:space="preserve">research.marcus.day8.book03.3_10.011</x:t>
        </x:is>
      </x:c>
      <x:c r="B559" s="81" t="inlineStr">
        <x:is>
          <x:t xml:space="preserve">Collected</x:t>
        </x:is>
      </x:c>
      <x:c r="C559" s="81" t="inlineStr">
        <x:is>
          <x:t xml:space="preserve">Nội tâm &amp; hiểu mình</x:t>
        </x:is>
      </x:c>
      <x:c r="D559" s="81" t="inlineStr">
        <x:is>
          <x:t xml:space="preserve">Day 8 / Marcus Aurelius — Meditations 1–12</x:t>
        </x:is>
      </x:c>
      <x:c r="E559" s="81" t="str"/>
      <x:c r="F559" s="81" t="inlineStr">
        <x:is>
          <x:t xml:space="preserve">Hữu hạn làm rõ ưu tiên</x:t>
        </x:is>
      </x:c>
      <x:c r="G559" s="81" t="inlineStr">
        <x:is>
          <x:t xml:space="preserve">Mortality</x:t>
        </x:is>
      </x:c>
      <x:c r="H559" s="81" t="str"/>
      <x:c r="I559" s="81" t="str"/>
      <x:c r="J559" s="81" t="str"/>
      <x:c r="K559" s="81" t="inlineStr">
        <x:is>
          <x:t xml:space="preserve">Recognize</x:t>
        </x:is>
      </x:c>
      <x:c r="L559" s="81" t="inlineStr">
        <x:is>
          <x:t xml:space="preserve">Distinguish</x:t>
        </x:is>
      </x:c>
      <x:c r="M559" s="81" t="inlineStr">
        <x:is>
          <x:t xml:space="preserve">Meditation / self-address</x:t>
        </x:is>
      </x:c>
      <x:c r="N559" s="81" t="inlineStr">
        <x:is>
          <x:t xml:space="preserve">μικρὸν ὁ βίος</x:t>
        </x:is>
      </x:c>
      <x:c r="O559" s="81" t="inlineStr">
        <x:is>
          <x:t xml:space="preserve">Ancient Greek</x:t>
        </x:is>
      </x:c>
      <x:c r="P559" s="81" t="inlineStr">
        <x:is>
          <x:t xml:space="preserve">Đời người ngắn.</x:t>
        </x:is>
      </x:c>
      <x:c r="Q559" s="81" t="inlineStr">
        <x:is>
          <x:t xml:space="preserve">Marcus Aurelius</x:t>
        </x:is>
      </x:c>
      <x:c r="R559" s="81" t="inlineStr">
        <x:is>
          <x:t xml:space="preserve">Stoic / Roman Empire</x:t>
        </x:is>
      </x:c>
      <x:c r="S559" s="81" t="inlineStr">
        <x:is>
          <x:t xml:space="preserve">Τὰ εἰς ἑαυτόν / Meditations</x:t>
        </x:is>
      </x:c>
      <x:c r="T559" s="81" t="inlineStr">
        <x:is>
          <x:t xml:space="preserve">Book 3, 3.10</x:t>
        </x:is>
      </x:c>
      <x:c r="U559" s="81" t="inlineStr">
        <x:is>
          <x:t xml:space="preserve">https://www.perseus.tufts.edu/hopper/text?doc=Perseus:text:2008.01.0641:book=3</x:t>
        </x:is>
      </x:c>
      <x:c r="V559" s="81" t="inlineStr">
        <x:is>
          <x:t xml:space="preserve">Primary Greek edition / institutional corpus</x:t>
        </x:is>
      </x:c>
      <x:c r="W559" s="81" t="inlineStr">
        <x:is>
          <x:t xml:space="preserve">Working translation</x:t>
        </x:is>
      </x:c>
      <x:c r="X559" s="81" t="inlineStr">
        <x:is>
          <x:t xml:space="preserve">A - Primary source</x:t>
        </x:is>
      </x:c>
      <x:c r="Y559" s="81" t="inlineStr">
        <x:is>
          <x:t xml:space="preserve">Greek source anchor checked against the Meditations textual tradition (Perseus Leopold 1908 / Greek Wikisource cross-check). Vietnamese is Selflo working translation, not a published translation.</x:t>
        </x:is>
      </x:c>
      <x:c r="Z559" s="81" t="inlineStr">
        <x:is>
          <x:t xml:space="preserve">Ancient work public domain; digital edition reuse terms apply</x:t>
        </x:is>
      </x:c>
      <x:c r="AA559" s="81" t="inlineStr">
        <x:is>
          <x:t xml:space="preserve">Use original Greek/source location plus fresh Selflo translation/adaptation; do not copy modern copyrighted translations.</x:t>
        </x:is>
      </x:c>
      <x:c r="AB559" s="81" t="inlineStr">
        <x:is>
          <x:t xml:space="preserve">Low</x:t>
        </x:is>
      </x:c>
      <x:c r="AC559" s="81" t="inlineStr">
        <x:is>
          <x:t xml:space="preserve">Death-sensitive.</x:t>
        </x:is>
      </x:c>
      <x:c r="AD559" s="81" t="inlineStr">
        <x:is>
          <x:t xml:space="preserve">Needs editorial review</x:t>
        </x:is>
      </x:c>
      <x:c r="AE559" s="81" t="inlineStr">
        <x:is>
          <x:t xml:space="preserve">Needs semantic dedupe review</x:t>
        </x:is>
      </x:c>
      <x:c r="AF559" s="81" t="str"/>
      <x:c r="AG559" s="81" t="str"/>
      <x:c r="AH559" s="81" t="inlineStr">
        <x:is>
          <x:t xml:space="preserve">No</x:t>
        </x:is>
      </x:c>
      <x:c r="AI559" s="81" t="inlineStr">
        <x:is>
          <x:t xml:space="preserve">Not reviewed</x:t>
        </x:is>
      </x:c>
      <x:c r="AJ559" s="81" t="inlineStr">
        <x:is>
          <x:t xml:space="preserve">Research only</x:t>
        </x:is>
      </x:c>
      <x:c r="AK559" s="81" t="inlineStr">
        <x:is>
          <x:t xml:space="preserve">Research Pool</x:t>
        </x:is>
      </x:c>
      <x:c r="AL559" s="81" t="n">
        <x:v>8</x:v>
      </x:c>
      <x:c r="AM559" s="81" t="inlineStr">
        <x:is>
          <x:t xml:space="preserve">ChatGPT research</x:t>
        </x:is>
      </x:c>
      <x:c r="AN559" s="81" t="inlineStr">
        <x:is>
          <x:t xml:space="preserve">2026-09-18</x:t>
        </x:is>
      </x:c>
      <x:c r="AO559" s="81" t="inlineStr">
        <x:is>
          <x:t xml:space="preserve">Day 8 full first-pass screening of all 12 books of Meditations.</x:t>
        </x:is>
      </x:c>
    </x:row>
    <x:row r="560">
      <x:c r="A560" s="81" t="inlineStr">
        <x:is>
          <x:t xml:space="preserve">research.marcus.day8.book03.3_12.012</x:t>
        </x:is>
      </x:c>
      <x:c r="B560" s="81" t="inlineStr">
        <x:is>
          <x:t xml:space="preserve">Collected</x:t>
        </x:is>
      </x:c>
      <x:c r="C560" s="81" t="inlineStr">
        <x:is>
          <x:t xml:space="preserve">Nội tâm &amp; hiểu mình</x:t>
        </x:is>
      </x:c>
      <x:c r="D560" s="81" t="inlineStr">
        <x:is>
          <x:t xml:space="preserve">Day 8 / Marcus Aurelius — Meditations 1–12</x:t>
        </x:is>
      </x:c>
      <x:c r="E560" s="81" t="str"/>
      <x:c r="F560" s="81" t="inlineStr">
        <x:is>
          <x:t xml:space="preserve">Không gánh cả quá khứ và tương lai cùng lúc</x:t>
        </x:is>
      </x:c>
      <x:c r="G560" s="81" t="inlineStr">
        <x:is>
          <x:t xml:space="preserve">Presence</x:t>
        </x:is>
      </x:c>
      <x:c r="H560" s="81" t="str"/>
      <x:c r="I560" s="81" t="str"/>
      <x:c r="J560" s="81" t="str"/>
      <x:c r="K560" s="81" t="inlineStr">
        <x:is>
          <x:t xml:space="preserve">Return agency</x:t>
        </x:is>
      </x:c>
      <x:c r="L560" s="81" t="inlineStr">
        <x:is>
          <x:t xml:space="preserve">Recognize</x:t>
        </x:is>
      </x:c>
      <x:c r="M560" s="81" t="inlineStr">
        <x:is>
          <x:t xml:space="preserve">Meditation / self-address</x:t>
        </x:is>
      </x:c>
      <x:c r="N560" s="81" t="inlineStr">
        <x:is>
          <x:t xml:space="preserve">ἐὰν τὸ παρὸν μόνον ἀπευθύνῃς</x:t>
        </x:is>
      </x:c>
      <x:c r="O560" s="81" t="inlineStr">
        <x:is>
          <x:t xml:space="preserve">Ancient Greek</x:t>
        </x:is>
      </x:c>
      <x:c r="P560" s="81" t="inlineStr">
        <x:is>
          <x:t xml:space="preserve">Nếu hướng sự chú ý vào việc hiện tại đang đòi hỏi.</x:t>
        </x:is>
      </x:c>
      <x:c r="Q560" s="81" t="inlineStr">
        <x:is>
          <x:t xml:space="preserve">Marcus Aurelius</x:t>
        </x:is>
      </x:c>
      <x:c r="R560" s="81" t="inlineStr">
        <x:is>
          <x:t xml:space="preserve">Stoic / Roman Empire</x:t>
        </x:is>
      </x:c>
      <x:c r="S560" s="81" t="inlineStr">
        <x:is>
          <x:t xml:space="preserve">Τὰ εἰς ἑαυτόν / Meditations</x:t>
        </x:is>
      </x:c>
      <x:c r="T560" s="81" t="inlineStr">
        <x:is>
          <x:t xml:space="preserve">Book 3, 3.12</x:t>
        </x:is>
      </x:c>
      <x:c r="U560" s="81" t="inlineStr">
        <x:is>
          <x:t xml:space="preserve">https://www.perseus.tufts.edu/hopper/text?doc=Perseus:text:2008.01.0641:book=3</x:t>
        </x:is>
      </x:c>
      <x:c r="V560" s="81" t="inlineStr">
        <x:is>
          <x:t xml:space="preserve">Primary Greek edition / institutional corpus</x:t>
        </x:is>
      </x:c>
      <x:c r="W560" s="81" t="inlineStr">
        <x:is>
          <x:t xml:space="preserve">Working translation</x:t>
        </x:is>
      </x:c>
      <x:c r="X560" s="81" t="inlineStr">
        <x:is>
          <x:t xml:space="preserve">A - Primary source</x:t>
        </x:is>
      </x:c>
      <x:c r="Y560" s="81" t="inlineStr">
        <x:is>
          <x:t xml:space="preserve">Greek source anchor checked against the Meditations textual tradition (Perseus Leopold 1908 / Greek Wikisource cross-check). Vietnamese is Selflo working translation, not a published translation.</x:t>
        </x:is>
      </x:c>
      <x:c r="Z560" s="81" t="inlineStr">
        <x:is>
          <x:t xml:space="preserve">Ancient work public domain; digital edition reuse terms apply</x:t>
        </x:is>
      </x:c>
      <x:c r="AA560" s="81" t="inlineStr">
        <x:is>
          <x:t xml:space="preserve">Use original Greek/source location plus fresh Selflo translation/adaptation; do not copy modern copyrighted translations.</x:t>
        </x:is>
      </x:c>
      <x:c r="AB560" s="81" t="inlineStr">
        <x:is>
          <x:t xml:space="preserve">High</x:t>
        </x:is>
      </x:c>
      <x:c r="AC560" s="81" t="inlineStr">
        <x:is>
          <x:t xml:space="preserve">Strong.</x:t>
        </x:is>
      </x:c>
      <x:c r="AD560" s="81" t="inlineStr">
        <x:is>
          <x:t xml:space="preserve">Needs editorial review</x:t>
        </x:is>
      </x:c>
      <x:c r="AE560" s="81" t="inlineStr">
        <x:is>
          <x:t xml:space="preserve">Needs semantic dedupe review</x:t>
        </x:is>
      </x:c>
      <x:c r="AF560" s="81" t="str"/>
      <x:c r="AG560" s="81" t="str"/>
      <x:c r="AH560" s="81" t="inlineStr">
        <x:is>
          <x:t xml:space="preserve">No</x:t>
        </x:is>
      </x:c>
      <x:c r="AI560" s="81" t="inlineStr">
        <x:is>
          <x:t xml:space="preserve">Not reviewed</x:t>
        </x:is>
      </x:c>
      <x:c r="AJ560" s="81" t="inlineStr">
        <x:is>
          <x:t xml:space="preserve">Research only</x:t>
        </x:is>
      </x:c>
      <x:c r="AK560" s="81" t="inlineStr">
        <x:is>
          <x:t xml:space="preserve">Research Pool</x:t>
        </x:is>
      </x:c>
      <x:c r="AL560" s="81" t="n">
        <x:v>8</x:v>
      </x:c>
      <x:c r="AM560" s="81" t="inlineStr">
        <x:is>
          <x:t xml:space="preserve">ChatGPT research</x:t>
        </x:is>
      </x:c>
      <x:c r="AN560" s="81" t="inlineStr">
        <x:is>
          <x:t xml:space="preserve">2026-09-18</x:t>
        </x:is>
      </x:c>
      <x:c r="AO560" s="81" t="inlineStr">
        <x:is>
          <x:t xml:space="preserve">Day 8 full first-pass screening of all 12 books of Meditations.</x:t>
        </x:is>
      </x:c>
    </x:row>
    <x:row r="561">
      <x:c r="A561" s="81" t="inlineStr">
        <x:is>
          <x:t xml:space="preserve">research.marcus.day8.book04.4_3.013</x:t>
        </x:is>
      </x:c>
      <x:c r="B561" s="81" t="inlineStr">
        <x:is>
          <x:t xml:space="preserve">Collected</x:t>
        </x:is>
      </x:c>
      <x:c r="C561" s="81" t="inlineStr">
        <x:is>
          <x:t xml:space="preserve">Nghỉ ngơi &amp; sức khỏe tinh thần</x:t>
        </x:is>
      </x:c>
      <x:c r="D561" s="81" t="inlineStr">
        <x:is>
          <x:t xml:space="preserve">Day 8 / Marcus Aurelius — Meditations 1–12</x:t>
        </x:is>
      </x:c>
      <x:c r="E561" s="81" t="str"/>
      <x:c r="F561" s="81" t="inlineStr">
        <x:is>
          <x:t xml:space="preserve">Tạo khoảng nghỉ nội tâm</x:t>
        </x:is>
      </x:c>
      <x:c r="G561" s="81" t="inlineStr">
        <x:is>
          <x:t xml:space="preserve">Recovery</x:t>
        </x:is>
      </x:c>
      <x:c r="H561" s="81" t="str"/>
      <x:c r="I561" s="81" t="str"/>
      <x:c r="J561" s="81" t="str"/>
      <x:c r="K561" s="81" t="inlineStr">
        <x:is>
          <x:t xml:space="preserve">Permit</x:t>
        </x:is>
      </x:c>
      <x:c r="L561" s="81" t="inlineStr">
        <x:is>
          <x:t xml:space="preserve">Recognize</x:t>
        </x:is>
      </x:c>
      <x:c r="M561" s="81" t="inlineStr">
        <x:is>
          <x:t xml:space="preserve">Meditation / self-address</x:t>
        </x:is>
      </x:c>
      <x:c r="N561" s="81" t="inlineStr">
        <x:is>
          <x:t xml:space="preserve">ἀναχωροῦσιν εἰς ἀγρούς... σὺ δὲ δύνασαι... εἰς ἑαυτὸν ἀναχωρεῖν</x:t>
        </x:is>
      </x:c>
      <x:c r="O561" s="81" t="inlineStr">
        <x:is>
          <x:t xml:space="preserve">Ancient Greek</x:t>
        </x:is>
      </x:c>
      <x:c r="P561" s="81" t="inlineStr">
        <x:is>
          <x:t xml:space="preserve">Người ta tìm nơi trú ở bên ngoài; nhưng cũng có một khả năng quay về bên trong mình.</x:t>
        </x:is>
      </x:c>
      <x:c r="Q561" s="81" t="inlineStr">
        <x:is>
          <x:t xml:space="preserve">Marcus Aurelius</x:t>
        </x:is>
      </x:c>
      <x:c r="R561" s="81" t="inlineStr">
        <x:is>
          <x:t xml:space="preserve">Stoic / Roman Empire</x:t>
        </x:is>
      </x:c>
      <x:c r="S561" s="81" t="inlineStr">
        <x:is>
          <x:t xml:space="preserve">Τὰ εἰς ἑαυτόν / Meditations</x:t>
        </x:is>
      </x:c>
      <x:c r="T561" s="81" t="inlineStr">
        <x:is>
          <x:t xml:space="preserve">Book 4, 4.3</x:t>
        </x:is>
      </x:c>
      <x:c r="U561" s="81" t="inlineStr">
        <x:is>
          <x:t xml:space="preserve">https://www.perseus.tufts.edu/hopper/text?doc=Perseus:text:2008.01.0641:book=4</x:t>
        </x:is>
      </x:c>
      <x:c r="V561" s="81" t="inlineStr">
        <x:is>
          <x:t xml:space="preserve">Primary Greek edition / institutional corpus</x:t>
        </x:is>
      </x:c>
      <x:c r="W561" s="81" t="inlineStr">
        <x:is>
          <x:t xml:space="preserve">Working translation</x:t>
        </x:is>
      </x:c>
      <x:c r="X561" s="81" t="inlineStr">
        <x:is>
          <x:t xml:space="preserve">A - Primary source</x:t>
        </x:is>
      </x:c>
      <x:c r="Y561" s="81" t="inlineStr">
        <x:is>
          <x:t xml:space="preserve">Greek source anchor checked against the Meditations textual tradition (Perseus Leopold 1908 / Greek Wikisource cross-check). Vietnamese is Selflo working translation, not a published translation.</x:t>
        </x:is>
      </x:c>
      <x:c r="Z561" s="81" t="inlineStr">
        <x:is>
          <x:t xml:space="preserve">Ancient work public domain; digital edition reuse terms apply</x:t>
        </x:is>
      </x:c>
      <x:c r="AA561" s="81" t="inlineStr">
        <x:is>
          <x:t xml:space="preserve">Use original Greek/source location plus fresh Selflo translation/adaptation; do not copy modern copyrighted translations.</x:t>
        </x:is>
      </x:c>
      <x:c r="AB561" s="81" t="inlineStr">
        <x:is>
          <x:t xml:space="preserve">High</x:t>
        </x:is>
      </x:c>
      <x:c r="AC561" s="81" t="inlineStr">
        <x:is>
          <x:t xml:space="preserve">Excellent Selflo.</x:t>
        </x:is>
      </x:c>
      <x:c r="AD561" s="81" t="inlineStr">
        <x:is>
          <x:t xml:space="preserve">Needs editorial review</x:t>
        </x:is>
      </x:c>
      <x:c r="AE561" s="81" t="inlineStr">
        <x:is>
          <x:t xml:space="preserve">Needs semantic dedupe review</x:t>
        </x:is>
      </x:c>
      <x:c r="AF561" s="81" t="str"/>
      <x:c r="AG561" s="81" t="str"/>
      <x:c r="AH561" s="81" t="inlineStr">
        <x:is>
          <x:t xml:space="preserve">No</x:t>
        </x:is>
      </x:c>
      <x:c r="AI561" s="81" t="inlineStr">
        <x:is>
          <x:t xml:space="preserve">Not reviewed</x:t>
        </x:is>
      </x:c>
      <x:c r="AJ561" s="81" t="inlineStr">
        <x:is>
          <x:t xml:space="preserve">Research only</x:t>
        </x:is>
      </x:c>
      <x:c r="AK561" s="81" t="inlineStr">
        <x:is>
          <x:t xml:space="preserve">Research Pool</x:t>
        </x:is>
      </x:c>
      <x:c r="AL561" s="81" t="n">
        <x:v>8</x:v>
      </x:c>
      <x:c r="AM561" s="81" t="inlineStr">
        <x:is>
          <x:t xml:space="preserve">ChatGPT research</x:t>
        </x:is>
      </x:c>
      <x:c r="AN561" s="81" t="inlineStr">
        <x:is>
          <x:t xml:space="preserve">2026-09-18</x:t>
        </x:is>
      </x:c>
      <x:c r="AO561" s="81" t="inlineStr">
        <x:is>
          <x:t xml:space="preserve">Day 8 full first-pass screening of all 12 books of Meditations.</x:t>
        </x:is>
      </x:c>
    </x:row>
    <x:row r="562">
      <x:c r="A562" s="81" t="inlineStr">
        <x:is>
          <x:t xml:space="preserve">research.marcus.day8.book04.4_3.014</x:t>
        </x:is>
      </x:c>
      <x:c r="B562" s="81" t="inlineStr">
        <x:is>
          <x:t xml:space="preserve">Collected</x:t>
        </x:is>
      </x:c>
      <x:c r="C562" s="81" t="inlineStr">
        <x:is>
          <x:t xml:space="preserve">Nghỉ ngơi &amp; sức khỏe tinh thần</x:t>
        </x:is>
      </x:c>
      <x:c r="D562" s="81" t="inlineStr">
        <x:is>
          <x:t xml:space="preserve">Day 8 / Marcus Aurelius — Meditations 1–12</x:t>
        </x:is>
      </x:c>
      <x:c r="E562" s="81" t="str"/>
      <x:c r="F562" s="81" t="inlineStr">
        <x:is>
          <x:t xml:space="preserve">Khoảng lặng</x:t>
        </x:is>
      </x:c>
      <x:c r="G562" s="81" t="inlineStr">
        <x:is>
          <x:t xml:space="preserve">Recovery</x:t>
        </x:is>
      </x:c>
      <x:c r="H562" s="81" t="str"/>
      <x:c r="I562" s="81" t="str"/>
      <x:c r="J562" s="81" t="str"/>
      <x:c r="K562" s="81" t="inlineStr">
        <x:is>
          <x:t xml:space="preserve">Reframe</x:t>
        </x:is>
      </x:c>
      <x:c r="L562" s="81" t="inlineStr">
        <x:is>
          <x:t xml:space="preserve">Recognize</x:t>
        </x:is>
      </x:c>
      <x:c r="M562" s="81" t="inlineStr">
        <x:is>
          <x:t xml:space="preserve">Meditation / self-address</x:t>
        </x:is>
      </x:c>
      <x:c r="N562" s="81" t="inlineStr">
        <x:is>
          <x:t xml:space="preserve">οὐδαμοῦ γὰρ οὔτε ἡσυχιώτερον οὔτε ἀπραγμονέστερον ἄνθρωπος ἀναχωρεῖ ἢ εἰς τὴν ἑαυτοῦ ψυχήν</x:t>
        </x:is>
      </x:c>
      <x:c r="O562" s="81" t="inlineStr">
        <x:is>
          <x:t xml:space="preserve">Ancient Greek</x:t>
        </x:is>
      </x:c>
      <x:c r="P562" s="81" t="inlineStr">
        <x:is>
          <x:t xml:space="preserve">Không nơi nào luôn sẵn có như khoảng lùi vào chính tâm trí mình.</x:t>
        </x:is>
      </x:c>
      <x:c r="Q562" s="81" t="inlineStr">
        <x:is>
          <x:t xml:space="preserve">Marcus Aurelius</x:t>
        </x:is>
      </x:c>
      <x:c r="R562" s="81" t="inlineStr">
        <x:is>
          <x:t xml:space="preserve">Stoic / Roman Empire</x:t>
        </x:is>
      </x:c>
      <x:c r="S562" s="81" t="inlineStr">
        <x:is>
          <x:t xml:space="preserve">Τὰ εἰς ἑαυτόν / Meditations</x:t>
        </x:is>
      </x:c>
      <x:c r="T562" s="81" t="inlineStr">
        <x:is>
          <x:t xml:space="preserve">Book 4, 4.3</x:t>
        </x:is>
      </x:c>
      <x:c r="U562" s="81" t="inlineStr">
        <x:is>
          <x:t xml:space="preserve">https://www.perseus.tufts.edu/hopper/text?doc=Perseus:text:2008.01.0641:book=4</x:t>
        </x:is>
      </x:c>
      <x:c r="V562" s="81" t="inlineStr">
        <x:is>
          <x:t xml:space="preserve">Primary Greek edition / institutional corpus</x:t>
        </x:is>
      </x:c>
      <x:c r="W562" s="81" t="inlineStr">
        <x:is>
          <x:t xml:space="preserve">Working translation</x:t>
        </x:is>
      </x:c>
      <x:c r="X562" s="81" t="inlineStr">
        <x:is>
          <x:t xml:space="preserve">A - Primary source</x:t>
        </x:is>
      </x:c>
      <x:c r="Y562" s="81" t="inlineStr">
        <x:is>
          <x:t xml:space="preserve">Greek source anchor checked against the Meditations textual tradition (Perseus Leopold 1908 / Greek Wikisource cross-check). Vietnamese is Selflo working translation, not a published translation.</x:t>
        </x:is>
      </x:c>
      <x:c r="Z562" s="81" t="inlineStr">
        <x:is>
          <x:t xml:space="preserve">Ancient work public domain; digital edition reuse terms apply</x:t>
        </x:is>
      </x:c>
      <x:c r="AA562" s="81" t="inlineStr">
        <x:is>
          <x:t xml:space="preserve">Use original Greek/source location plus fresh Selflo translation/adaptation; do not copy modern copyrighted translations.</x:t>
        </x:is>
      </x:c>
      <x:c r="AB562" s="81" t="inlineStr">
        <x:is>
          <x:t xml:space="preserve">High</x:t>
        </x:is>
      </x:c>
      <x:c r="AC562" s="81" t="inlineStr">
        <x:is>
          <x:t xml:space="preserve">Do not imply inner retreat replaces external safety/support.</x:t>
        </x:is>
      </x:c>
      <x:c r="AD562" s="81" t="inlineStr">
        <x:is>
          <x:t xml:space="preserve">Needs editorial review</x:t>
        </x:is>
      </x:c>
      <x:c r="AE562" s="81" t="inlineStr">
        <x:is>
          <x:t xml:space="preserve">Needs semantic dedupe review</x:t>
        </x:is>
      </x:c>
      <x:c r="AF562" s="81" t="str"/>
      <x:c r="AG562" s="81" t="str"/>
      <x:c r="AH562" s="81" t="inlineStr">
        <x:is>
          <x:t xml:space="preserve">No</x:t>
        </x:is>
      </x:c>
      <x:c r="AI562" s="81" t="inlineStr">
        <x:is>
          <x:t xml:space="preserve">Not reviewed</x:t>
        </x:is>
      </x:c>
      <x:c r="AJ562" s="81" t="inlineStr">
        <x:is>
          <x:t xml:space="preserve">Research only</x:t>
        </x:is>
      </x:c>
      <x:c r="AK562" s="81" t="inlineStr">
        <x:is>
          <x:t xml:space="preserve">Research Pool</x:t>
        </x:is>
      </x:c>
      <x:c r="AL562" s="81" t="n">
        <x:v>8</x:v>
      </x:c>
      <x:c r="AM562" s="81" t="inlineStr">
        <x:is>
          <x:t xml:space="preserve">ChatGPT research</x:t>
        </x:is>
      </x:c>
      <x:c r="AN562" s="81" t="inlineStr">
        <x:is>
          <x:t xml:space="preserve">2026-09-18</x:t>
        </x:is>
      </x:c>
      <x:c r="AO562" s="81" t="inlineStr">
        <x:is>
          <x:t xml:space="preserve">Day 8 full first-pass screening of all 12 books of Meditations.</x:t>
        </x:is>
      </x:c>
    </x:row>
    <x:row r="563">
      <x:c r="A563" s="81" t="inlineStr">
        <x:is>
          <x:t xml:space="preserve">research.marcus.day8.book04.4_7.015</x:t>
        </x:is>
      </x:c>
      <x:c r="B563" s="81" t="inlineStr">
        <x:is>
          <x:t xml:space="preserve">Collected</x:t>
        </x:is>
      </x:c>
      <x:c r="C563" s="81" t="inlineStr">
        <x:is>
          <x:t xml:space="preserve">AI &amp; tương lai</x:t>
        </x:is>
      </x:c>
      <x:c r="D563" s="81" t="inlineStr">
        <x:is>
          <x:t xml:space="preserve">Day 8 / Marcus Aurelius — Meditations 1–12</x:t>
        </x:is>
      </x:c>
      <x:c r="E563" s="81" t="str"/>
      <x:c r="F563" s="81" t="inlineStr">
        <x:is>
          <x:t xml:space="preserve">Sự kiện và diễn giải</x:t>
        </x:is>
      </x:c>
      <x:c r="G563" s="81" t="inlineStr">
        <x:is>
          <x:t xml:space="preserve">Judgment</x:t>
        </x:is>
      </x:c>
      <x:c r="H563" s="81" t="str"/>
      <x:c r="I563" s="81" t="str"/>
      <x:c r="J563" s="81" t="str"/>
      <x:c r="K563" s="81" t="inlineStr">
        <x:is>
          <x:t xml:space="preserve">Distinguish</x:t>
        </x:is>
      </x:c>
      <x:c r="L563" s="81" t="inlineStr">
        <x:is>
          <x:t xml:space="preserve">Recognize</x:t>
        </x:is>
      </x:c>
      <x:c r="M563" s="81" t="inlineStr">
        <x:is>
          <x:t xml:space="preserve">Meditation / self-address</x:t>
        </x:is>
      </x:c>
      <x:c r="N563" s="81" t="inlineStr">
        <x:is>
          <x:t xml:space="preserve">ἆρον τὴν ὑπόληψιν, ἦρται τὸ βέβλαμμαι</x:t>
        </x:is>
      </x:c>
      <x:c r="O563" s="81" t="inlineStr">
        <x:is>
          <x:t xml:space="preserve">Ancient Greek</x:t>
        </x:is>
      </x:c>
      <x:c r="P563" s="81" t="inlineStr">
        <x:is>
          <x:t xml:space="preserve">Bỏ một phán đoán không có nghĩa xóa sự kiện, nhưng có thể thay đổi phần tổn thương do diễn giải tiếp tục tạo ra.</x:t>
        </x:is>
      </x:c>
      <x:c r="Q563" s="81" t="inlineStr">
        <x:is>
          <x:t xml:space="preserve">Marcus Aurelius</x:t>
        </x:is>
      </x:c>
      <x:c r="R563" s="81" t="inlineStr">
        <x:is>
          <x:t xml:space="preserve">Stoic / Roman Empire</x:t>
        </x:is>
      </x:c>
      <x:c r="S563" s="81" t="inlineStr">
        <x:is>
          <x:t xml:space="preserve">Τὰ εἰς ἑαυτόν / Meditations</x:t>
        </x:is>
      </x:c>
      <x:c r="T563" s="81" t="inlineStr">
        <x:is>
          <x:t xml:space="preserve">Book 4, 4.7</x:t>
        </x:is>
      </x:c>
      <x:c r="U563" s="81" t="inlineStr">
        <x:is>
          <x:t xml:space="preserve">https://www.perseus.tufts.edu/hopper/text?doc=Perseus:text:2008.01.0641:book=4</x:t>
        </x:is>
      </x:c>
      <x:c r="V563" s="81" t="inlineStr">
        <x:is>
          <x:t xml:space="preserve">Primary Greek edition / institutional corpus</x:t>
        </x:is>
      </x:c>
      <x:c r="W563" s="81" t="inlineStr">
        <x:is>
          <x:t xml:space="preserve">Working translation</x:t>
        </x:is>
      </x:c>
      <x:c r="X563" s="81" t="inlineStr">
        <x:is>
          <x:t xml:space="preserve">A - Primary source</x:t>
        </x:is>
      </x:c>
      <x:c r="Y563" s="81" t="inlineStr">
        <x:is>
          <x:t xml:space="preserve">Greek source anchor checked against the Meditations textual tradition (Perseus Leopold 1908 / Greek Wikisource cross-check). Vietnamese is Selflo working translation, not a published translation.</x:t>
        </x:is>
      </x:c>
      <x:c r="Z563" s="81" t="inlineStr">
        <x:is>
          <x:t xml:space="preserve">Ancient work public domain; digital edition reuse terms apply</x:t>
        </x:is>
      </x:c>
      <x:c r="AA563" s="81" t="inlineStr">
        <x:is>
          <x:t xml:space="preserve">Use original Greek/source location plus fresh Selflo translation/adaptation; do not copy modern copyrighted translations.</x:t>
        </x:is>
      </x:c>
      <x:c r="AB563" s="81" t="inlineStr">
        <x:is>
          <x:t xml:space="preserve">Medium</x:t>
        </x:is>
      </x:c>
      <x:c r="AC563" s="81" t="inlineStr">
        <x:is>
          <x:t xml:space="preserve">Safety caution: don't minimize harm.</x:t>
        </x:is>
      </x:c>
      <x:c r="AD563" s="81" t="inlineStr">
        <x:is>
          <x:t xml:space="preserve">Needs editorial review</x:t>
        </x:is>
      </x:c>
      <x:c r="AE563" s="81" t="inlineStr">
        <x:is>
          <x:t xml:space="preserve">Needs semantic dedupe review</x:t>
        </x:is>
      </x:c>
      <x:c r="AF563" s="81" t="str"/>
      <x:c r="AG563" s="81" t="str"/>
      <x:c r="AH563" s="81" t="inlineStr">
        <x:is>
          <x:t xml:space="preserve">No</x:t>
        </x:is>
      </x:c>
      <x:c r="AI563" s="81" t="inlineStr">
        <x:is>
          <x:t xml:space="preserve">Not reviewed</x:t>
        </x:is>
      </x:c>
      <x:c r="AJ563" s="81" t="inlineStr">
        <x:is>
          <x:t xml:space="preserve">Research only</x:t>
        </x:is>
      </x:c>
      <x:c r="AK563" s="81" t="inlineStr">
        <x:is>
          <x:t xml:space="preserve">Research Pool</x:t>
        </x:is>
      </x:c>
      <x:c r="AL563" s="81" t="n">
        <x:v>8</x:v>
      </x:c>
      <x:c r="AM563" s="81" t="inlineStr">
        <x:is>
          <x:t xml:space="preserve">ChatGPT research</x:t>
        </x:is>
      </x:c>
      <x:c r="AN563" s="81" t="inlineStr">
        <x:is>
          <x:t xml:space="preserve">2026-09-18</x:t>
        </x:is>
      </x:c>
      <x:c r="AO563" s="81" t="inlineStr">
        <x:is>
          <x:t xml:space="preserve">Day 8 full first-pass screening of all 12 books of Meditations.</x:t>
        </x:is>
      </x:c>
    </x:row>
    <x:row r="564">
      <x:c r="A564" s="81" t="inlineStr">
        <x:is>
          <x:t xml:space="preserve">research.marcus.day8.book04.4_17.016</x:t>
        </x:is>
      </x:c>
      <x:c r="B564" s="81" t="inlineStr">
        <x:is>
          <x:t xml:space="preserve">Collected</x:t>
        </x:is>
      </x:c>
      <x:c r="C564" s="81" t="inlineStr">
        <x:is>
          <x:t xml:space="preserve">Nội tâm &amp; hiểu mình</x:t>
        </x:is>
      </x:c>
      <x:c r="D564" s="81" t="inlineStr">
        <x:is>
          <x:t xml:space="preserve">Day 8 / Marcus Aurelius — Meditations 1–12</x:t>
        </x:is>
      </x:c>
      <x:c r="E564" s="81" t="str"/>
      <x:c r="F564" s="81" t="inlineStr">
        <x:is>
          <x:t xml:space="preserve">Trì hoãn điều quan trọng</x:t>
        </x:is>
      </x:c>
      <x:c r="G564" s="81" t="inlineStr">
        <x:is>
          <x:t xml:space="preserve">Time</x:t>
        </x:is>
      </x:c>
      <x:c r="H564" s="81" t="str"/>
      <x:c r="I564" s="81" t="str"/>
      <x:c r="J564" s="81" t="str"/>
      <x:c r="K564" s="81" t="inlineStr">
        <x:is>
          <x:t xml:space="preserve">Recognize</x:t>
        </x:is>
      </x:c>
      <x:c r="L564" s="81" t="inlineStr">
        <x:is>
          <x:t xml:space="preserve">Distinguish</x:t>
        </x:is>
      </x:c>
      <x:c r="M564" s="81" t="inlineStr">
        <x:is>
          <x:t xml:space="preserve">Meditation / self-address</x:t>
        </x:is>
      </x:c>
      <x:c r="N564" s="81" t="inlineStr">
        <x:is>
          <x:t xml:space="preserve">μὴ ὡς μύρια ἔτη βιωσόμενος</x:t>
        </x:is>
      </x:c>
      <x:c r="O564" s="81" t="inlineStr">
        <x:is>
          <x:t xml:space="preserve">Ancient Greek</x:t>
        </x:is>
      </x:c>
      <x:c r="P564" s="81" t="inlineStr">
        <x:is>
          <x:t xml:space="preserve">Đừng sống như thể mình có vô hạn thời gian.</x:t>
        </x:is>
      </x:c>
      <x:c r="Q564" s="81" t="inlineStr">
        <x:is>
          <x:t xml:space="preserve">Marcus Aurelius</x:t>
        </x:is>
      </x:c>
      <x:c r="R564" s="81" t="inlineStr">
        <x:is>
          <x:t xml:space="preserve">Stoic / Roman Empire</x:t>
        </x:is>
      </x:c>
      <x:c r="S564" s="81" t="inlineStr">
        <x:is>
          <x:t xml:space="preserve">Τὰ εἰς ἑαυτόν / Meditations</x:t>
        </x:is>
      </x:c>
      <x:c r="T564" s="81" t="inlineStr">
        <x:is>
          <x:t xml:space="preserve">Book 4, 4.17</x:t>
        </x:is>
      </x:c>
      <x:c r="U564" s="81" t="inlineStr">
        <x:is>
          <x:t xml:space="preserve">https://www.perseus.tufts.edu/hopper/text?doc=Perseus:text:2008.01.0641:book=4</x:t>
        </x:is>
      </x:c>
      <x:c r="V564" s="81" t="inlineStr">
        <x:is>
          <x:t xml:space="preserve">Primary Greek edition / institutional corpus</x:t>
        </x:is>
      </x:c>
      <x:c r="W564" s="81" t="inlineStr">
        <x:is>
          <x:t xml:space="preserve">Working translation</x:t>
        </x:is>
      </x:c>
      <x:c r="X564" s="81" t="inlineStr">
        <x:is>
          <x:t xml:space="preserve">A - Primary source</x:t>
        </x:is>
      </x:c>
      <x:c r="Y564" s="81" t="inlineStr">
        <x:is>
          <x:t xml:space="preserve">Greek source anchor checked against the Meditations textual tradition (Perseus Leopold 1908 / Greek Wikisource cross-check). Vietnamese is Selflo working translation, not a published translation.</x:t>
        </x:is>
      </x:c>
      <x:c r="Z564" s="81" t="inlineStr">
        <x:is>
          <x:t xml:space="preserve">Ancient work public domain; digital edition reuse terms apply</x:t>
        </x:is>
      </x:c>
      <x:c r="AA564" s="81" t="inlineStr">
        <x:is>
          <x:t xml:space="preserve">Use original Greek/source location plus fresh Selflo translation/adaptation; do not copy modern copyrighted translations.</x:t>
        </x:is>
      </x:c>
      <x:c r="AB564" s="81" t="inlineStr">
        <x:is>
          <x:t xml:space="preserve">High</x:t>
        </x:is>
      </x:c>
      <x:c r="AC564" s="81" t="inlineStr">
        <x:is>
          <x:t xml:space="preserve">Mortality-adjacent but usable.</x:t>
        </x:is>
      </x:c>
      <x:c r="AD564" s="81" t="inlineStr">
        <x:is>
          <x:t xml:space="preserve">Needs editorial review</x:t>
        </x:is>
      </x:c>
      <x:c r="AE564" s="81" t="inlineStr">
        <x:is>
          <x:t xml:space="preserve">Needs semantic dedupe review</x:t>
        </x:is>
      </x:c>
      <x:c r="AF564" s="81" t="str"/>
      <x:c r="AG564" s="81" t="str"/>
      <x:c r="AH564" s="81" t="inlineStr">
        <x:is>
          <x:t xml:space="preserve">No</x:t>
        </x:is>
      </x:c>
      <x:c r="AI564" s="81" t="inlineStr">
        <x:is>
          <x:t xml:space="preserve">Not reviewed</x:t>
        </x:is>
      </x:c>
      <x:c r="AJ564" s="81" t="inlineStr">
        <x:is>
          <x:t xml:space="preserve">Research only</x:t>
        </x:is>
      </x:c>
      <x:c r="AK564" s="81" t="inlineStr">
        <x:is>
          <x:t xml:space="preserve">Research Pool</x:t>
        </x:is>
      </x:c>
      <x:c r="AL564" s="81" t="n">
        <x:v>8</x:v>
      </x:c>
      <x:c r="AM564" s="81" t="inlineStr">
        <x:is>
          <x:t xml:space="preserve">ChatGPT research</x:t>
        </x:is>
      </x:c>
      <x:c r="AN564" s="81" t="inlineStr">
        <x:is>
          <x:t xml:space="preserve">2026-09-18</x:t>
        </x:is>
      </x:c>
      <x:c r="AO564" s="81" t="inlineStr">
        <x:is>
          <x:t xml:space="preserve">Day 8 full first-pass screening of all 12 books of Meditations.</x:t>
        </x:is>
      </x:c>
    </x:row>
    <x:row r="565">
      <x:c r="A565" s="81" t="inlineStr">
        <x:is>
          <x:t xml:space="preserve">research.marcus.day8.book05.5_1.017</x:t>
        </x:is>
      </x:c>
      <x:c r="B565" s="81" t="inlineStr">
        <x:is>
          <x:t xml:space="preserve">Collected</x:t>
        </x:is>
      </x:c>
      <x:c r="C565" s="81" t="inlineStr">
        <x:is>
          <x:t xml:space="preserve">Công việc &amp; mục đích</x:t>
        </x:is>
      </x:c>
      <x:c r="D565" s="81" t="inlineStr">
        <x:is>
          <x:t xml:space="preserve">Day 8 / Marcus Aurelius — Meditations 1–12</x:t>
        </x:is>
      </x:c>
      <x:c r="E565" s="81" t="str"/>
      <x:c r="F565" s="81" t="inlineStr">
        <x:is>
          <x:t xml:space="preserve">Khó bắt đầu ngày mới</x:t>
        </x:is>
      </x:c>
      <x:c r="G565" s="81" t="inlineStr">
        <x:is>
          <x:t xml:space="preserve">Motivation</x:t>
        </x:is>
      </x:c>
      <x:c r="H565" s="81" t="str"/>
      <x:c r="I565" s="81" t="str"/>
      <x:c r="J565" s="81" t="str"/>
      <x:c r="K565" s="81" t="inlineStr">
        <x:is>
          <x:t xml:space="preserve">Recognize</x:t>
        </x:is>
      </x:c>
      <x:c r="L565" s="81" t="inlineStr">
        <x:is>
          <x:t xml:space="preserve">Distinguish</x:t>
        </x:is>
      </x:c>
      <x:c r="M565" s="81" t="inlineStr">
        <x:is>
          <x:t xml:space="preserve">Meditation / self-address</x:t>
        </x:is>
      </x:c>
      <x:c r="N565" s="81" t="inlineStr">
        <x:is>
          <x:t xml:space="preserve">ὄρθρου, ὅταν δυσόκνως ἐξεγείρῃ, πρόχειρον ἔστω ὅτι ἐπὶ ἀνθρώπου ἔργον ἐγείρομαι</x:t>
        </x:is>
      </x:c>
      <x:c r="O565" s="81" t="inlineStr">
        <x:is>
          <x:t xml:space="preserve">Ancient Greek</x:t>
        </x:is>
      </x:c>
      <x:c r="P565" s="81" t="inlineStr">
        <x:is>
          <x:t xml:space="preserve">Khi khó rời giường, Marcus tự nhắc mình đang thức dậy cho công việc của một con người.</x:t>
        </x:is>
      </x:c>
      <x:c r="Q565" s="81" t="inlineStr">
        <x:is>
          <x:t xml:space="preserve">Marcus Aurelius</x:t>
        </x:is>
      </x:c>
      <x:c r="R565" s="81" t="inlineStr">
        <x:is>
          <x:t xml:space="preserve">Stoic / Roman Empire</x:t>
        </x:is>
      </x:c>
      <x:c r="S565" s="81" t="inlineStr">
        <x:is>
          <x:t xml:space="preserve">Τὰ εἰς ἑαυτόν / Meditations</x:t>
        </x:is>
      </x:c>
      <x:c r="T565" s="81" t="inlineStr">
        <x:is>
          <x:t xml:space="preserve">Book 5, 5.1</x:t>
        </x:is>
      </x:c>
      <x:c r="U565" s="81" t="inlineStr">
        <x:is>
          <x:t xml:space="preserve">https://www.perseus.tufts.edu/hopper/text?doc=Perseus:text:2008.01.0641:book=5</x:t>
        </x:is>
      </x:c>
      <x:c r="V565" s="81" t="inlineStr">
        <x:is>
          <x:t xml:space="preserve">Primary Greek edition / institutional corpus</x:t>
        </x:is>
      </x:c>
      <x:c r="W565" s="81" t="inlineStr">
        <x:is>
          <x:t xml:space="preserve">Working translation</x:t>
        </x:is>
      </x:c>
      <x:c r="X565" s="81" t="inlineStr">
        <x:is>
          <x:t xml:space="preserve">A - Primary source</x:t>
        </x:is>
      </x:c>
      <x:c r="Y565" s="81" t="inlineStr">
        <x:is>
          <x:t xml:space="preserve">Greek source anchor checked against the Meditations textual tradition (Perseus Leopold 1908 / Greek Wikisource cross-check). Vietnamese is Selflo working translation, not a published translation.</x:t>
        </x:is>
      </x:c>
      <x:c r="Z565" s="81" t="inlineStr">
        <x:is>
          <x:t xml:space="preserve">Ancient work public domain; digital edition reuse terms apply</x:t>
        </x:is>
      </x:c>
      <x:c r="AA565" s="81" t="inlineStr">
        <x:is>
          <x:t xml:space="preserve">Use original Greek/source location plus fresh Selflo translation/adaptation; do not copy modern copyrighted translations.</x:t>
        </x:is>
      </x:c>
      <x:c r="AB565" s="81" t="inlineStr">
        <x:is>
          <x:t xml:space="preserve">Medium</x:t>
        </x:is>
      </x:c>
      <x:c r="AC565" s="81" t="inlineStr">
        <x:is>
          <x:t xml:space="preserve">Do not use as hustle pressure.</x:t>
        </x:is>
      </x:c>
      <x:c r="AD565" s="81" t="inlineStr">
        <x:is>
          <x:t xml:space="preserve">Needs editorial review</x:t>
        </x:is>
      </x:c>
      <x:c r="AE565" s="81" t="inlineStr">
        <x:is>
          <x:t xml:space="preserve">Needs semantic dedupe review</x:t>
        </x:is>
      </x:c>
      <x:c r="AF565" s="81" t="str"/>
      <x:c r="AG565" s="81" t="str"/>
      <x:c r="AH565" s="81" t="inlineStr">
        <x:is>
          <x:t xml:space="preserve">No</x:t>
        </x:is>
      </x:c>
      <x:c r="AI565" s="81" t="inlineStr">
        <x:is>
          <x:t xml:space="preserve">Not reviewed</x:t>
        </x:is>
      </x:c>
      <x:c r="AJ565" s="81" t="inlineStr">
        <x:is>
          <x:t xml:space="preserve">Research only</x:t>
        </x:is>
      </x:c>
      <x:c r="AK565" s="81" t="inlineStr">
        <x:is>
          <x:t xml:space="preserve">Research Pool</x:t>
        </x:is>
      </x:c>
      <x:c r="AL565" s="81" t="n">
        <x:v>8</x:v>
      </x:c>
      <x:c r="AM565" s="81" t="inlineStr">
        <x:is>
          <x:t xml:space="preserve">ChatGPT research</x:t>
        </x:is>
      </x:c>
      <x:c r="AN565" s="81" t="inlineStr">
        <x:is>
          <x:t xml:space="preserve">2026-09-18</x:t>
        </x:is>
      </x:c>
      <x:c r="AO565" s="81" t="inlineStr">
        <x:is>
          <x:t xml:space="preserve">Day 8 full first-pass screening of all 12 books of Meditations.</x:t>
        </x:is>
      </x:c>
    </x:row>
    <x:row r="566">
      <x:c r="A566" s="81" t="inlineStr">
        <x:is>
          <x:t xml:space="preserve">research.marcus.day8.book05.5_1.018</x:t>
        </x:is>
      </x:c>
      <x:c r="B566" s="81" t="inlineStr">
        <x:is>
          <x:t xml:space="preserve">Collected</x:t>
        </x:is>
      </x:c>
      <x:c r="C566" s="81" t="inlineStr">
        <x:is>
          <x:t xml:space="preserve">Công việc &amp; mục đích</x:t>
        </x:is>
      </x:c>
      <x:c r="D566" s="81" t="inlineStr">
        <x:is>
          <x:t xml:space="preserve">Day 8 / Marcus Aurelius — Meditations 1–12</x:t>
        </x:is>
      </x:c>
      <x:c r="E566" s="81" t="str"/>
      <x:c r="F566" s="81" t="inlineStr">
        <x:is>
          <x:t xml:space="preserve">Mâu thuẫn giữa nghỉ và việc cần làm</x:t>
        </x:is>
      </x:c>
      <x:c r="G566" s="81" t="inlineStr">
        <x:is>
          <x:t xml:space="preserve">Motivation</x:t>
        </x:is>
      </x:c>
      <x:c r="H566" s="81" t="str"/>
      <x:c r="I566" s="81" t="str"/>
      <x:c r="J566" s="81" t="str"/>
      <x:c r="K566" s="81" t="inlineStr">
        <x:is>
          <x:t xml:space="preserve">Open question</x:t>
        </x:is>
      </x:c>
      <x:c r="L566" s="81" t="inlineStr">
        <x:is>
          <x:t xml:space="preserve">Recognize</x:t>
        </x:is>
      </x:c>
      <x:c r="M566" s="81" t="inlineStr">
        <x:is>
          <x:t xml:space="preserve">Meditation / self-address</x:t>
        </x:is>
      </x:c>
      <x:c r="N566" s="81" t="inlineStr">
        <x:is>
          <x:t xml:space="preserve">ἢ ἐπὶ τῷ ἐν στρωματίοις κατακεῖσθαι γέγονα;</x:t>
        </x:is>
      </x:c>
      <x:c r="O566" s="81" t="inlineStr">
        <x:is>
          <x:t xml:space="preserve">Ancient Greek</x:t>
        </x:is>
      </x:c>
      <x:c r="P566" s="81" t="inlineStr">
        <x:is>
          <x:t xml:space="preserve">Ông tự hỏi: mình sinh ra chỉ để nằm mãi trong chăn sao?</x:t>
        </x:is>
      </x:c>
      <x:c r="Q566" s="81" t="inlineStr">
        <x:is>
          <x:t xml:space="preserve">Marcus Aurelius</x:t>
        </x:is>
      </x:c>
      <x:c r="R566" s="81" t="inlineStr">
        <x:is>
          <x:t xml:space="preserve">Stoic / Roman Empire</x:t>
        </x:is>
      </x:c>
      <x:c r="S566" s="81" t="inlineStr">
        <x:is>
          <x:t xml:space="preserve">Τὰ εἰς ἑαυτόν / Meditations</x:t>
        </x:is>
      </x:c>
      <x:c r="T566" s="81" t="inlineStr">
        <x:is>
          <x:t xml:space="preserve">Book 5, 5.1</x:t>
        </x:is>
      </x:c>
      <x:c r="U566" s="81" t="inlineStr">
        <x:is>
          <x:t xml:space="preserve">https://www.perseus.tufts.edu/hopper/text?doc=Perseus:text:2008.01.0641:book=5</x:t>
        </x:is>
      </x:c>
      <x:c r="V566" s="81" t="inlineStr">
        <x:is>
          <x:t xml:space="preserve">Primary Greek edition / institutional corpus</x:t>
        </x:is>
      </x:c>
      <x:c r="W566" s="81" t="inlineStr">
        <x:is>
          <x:t xml:space="preserve">Working translation</x:t>
        </x:is>
      </x:c>
      <x:c r="X566" s="81" t="inlineStr">
        <x:is>
          <x:t xml:space="preserve">A - Primary source</x:t>
        </x:is>
      </x:c>
      <x:c r="Y566" s="81" t="inlineStr">
        <x:is>
          <x:t xml:space="preserve">Greek source anchor checked against the Meditations textual tradition (Perseus Leopold 1908 / Greek Wikisource cross-check). Vietnamese is Selflo working translation, not a published translation.</x:t>
        </x:is>
      </x:c>
      <x:c r="Z566" s="81" t="inlineStr">
        <x:is>
          <x:t xml:space="preserve">Ancient work public domain; digital edition reuse terms apply</x:t>
        </x:is>
      </x:c>
      <x:c r="AA566" s="81" t="inlineStr">
        <x:is>
          <x:t xml:space="preserve">Use original Greek/source location plus fresh Selflo translation/adaptation; do not copy modern copyrighted translations.</x:t>
        </x:is>
      </x:c>
      <x:c r="AB566" s="81" t="inlineStr">
        <x:is>
          <x:t xml:space="preserve">Low</x:t>
        </x:is>
      </x:c>
      <x:c r="AC566" s="81" t="inlineStr">
        <x:is>
          <x:t xml:space="preserve">Could shame exhausted users; research only.</x:t>
        </x:is>
      </x:c>
      <x:c r="AD566" s="81" t="inlineStr">
        <x:is>
          <x:t xml:space="preserve">Needs editorial review</x:t>
        </x:is>
      </x:c>
      <x:c r="AE566" s="81" t="inlineStr">
        <x:is>
          <x:t xml:space="preserve">Needs semantic dedupe review</x:t>
        </x:is>
      </x:c>
      <x:c r="AF566" s="81" t="str"/>
      <x:c r="AG566" s="81" t="str"/>
      <x:c r="AH566" s="81" t="inlineStr">
        <x:is>
          <x:t xml:space="preserve">No</x:t>
        </x:is>
      </x:c>
      <x:c r="AI566" s="81" t="inlineStr">
        <x:is>
          <x:t xml:space="preserve">Not reviewed</x:t>
        </x:is>
      </x:c>
      <x:c r="AJ566" s="81" t="inlineStr">
        <x:is>
          <x:t xml:space="preserve">Research only</x:t>
        </x:is>
      </x:c>
      <x:c r="AK566" s="81" t="inlineStr">
        <x:is>
          <x:t xml:space="preserve">Research Pool</x:t>
        </x:is>
      </x:c>
      <x:c r="AL566" s="81" t="n">
        <x:v>8</x:v>
      </x:c>
      <x:c r="AM566" s="81" t="inlineStr">
        <x:is>
          <x:t xml:space="preserve">ChatGPT research</x:t>
        </x:is>
      </x:c>
      <x:c r="AN566" s="81" t="inlineStr">
        <x:is>
          <x:t xml:space="preserve">2026-09-18</x:t>
        </x:is>
      </x:c>
      <x:c r="AO566" s="81" t="inlineStr">
        <x:is>
          <x:t xml:space="preserve">Day 8 full first-pass screening of all 12 books of Meditations.</x:t>
        </x:is>
      </x:c>
    </x:row>
    <x:row r="567">
      <x:c r="A567" s="81" t="inlineStr">
        <x:is>
          <x:t xml:space="preserve">research.marcus.day8.book05.5_9.019</x:t>
        </x:is>
      </x:c>
      <x:c r="B567" s="81" t="inlineStr">
        <x:is>
          <x:t xml:space="preserve">Collected</x:t>
        </x:is>
      </x:c>
      <x:c r="C567" s="81" t="inlineStr">
        <x:is>
          <x:t xml:space="preserve">Nội tâm &amp; hiểu mình</x:t>
        </x:is>
      </x:c>
      <x:c r="D567" s="81" t="inlineStr">
        <x:is>
          <x:t xml:space="preserve">Day 8 / Marcus Aurelius — Meditations 1–12</x:t>
        </x:is>
      </x:c>
      <x:c r="E567" s="81" t="str"/>
      <x:c r="F567" s="81" t="inlineStr">
        <x:is>
          <x:t xml:space="preserve">Sai rồi quay lại</x:t>
        </x:is>
      </x:c>
      <x:c r="G567" s="81" t="inlineStr">
        <x:is>
          <x:t xml:space="preserve">Self-compassion</x:t>
        </x:is>
      </x:c>
      <x:c r="H567" s="81" t="str"/>
      <x:c r="I567" s="81" t="str"/>
      <x:c r="J567" s="81" t="str"/>
      <x:c r="K567" s="81" t="inlineStr">
        <x:is>
          <x:t xml:space="preserve">Permit</x:t>
        </x:is>
      </x:c>
      <x:c r="L567" s="81" t="inlineStr">
        <x:is>
          <x:t xml:space="preserve">Recognize</x:t>
        </x:is>
      </x:c>
      <x:c r="M567" s="81" t="inlineStr">
        <x:is>
          <x:t xml:space="preserve">Meditation / self-address</x:t>
        </x:is>
      </x:c>
      <x:c r="N567" s="81" t="inlineStr">
        <x:is>
          <x:t xml:space="preserve">μὴ ἀπαυδᾶν μηδὲ ἀπαγορεύειν</x:t>
        </x:is>
      </x:c>
      <x:c r="O567" s="81" t="inlineStr">
        <x:is>
          <x:t xml:space="preserve">Ancient Greek</x:t>
        </x:is>
      </x:c>
      <x:c r="P567" s="81" t="inlineStr">
        <x:is>
          <x:t xml:space="preserve">Đừng vội tuyệt vọng hay bỏ cuộc chỉ vì mình chưa làm được như mong muốn.</x:t>
        </x:is>
      </x:c>
      <x:c r="Q567" s="81" t="inlineStr">
        <x:is>
          <x:t xml:space="preserve">Marcus Aurelius</x:t>
        </x:is>
      </x:c>
      <x:c r="R567" s="81" t="inlineStr">
        <x:is>
          <x:t xml:space="preserve">Stoic / Roman Empire</x:t>
        </x:is>
      </x:c>
      <x:c r="S567" s="81" t="inlineStr">
        <x:is>
          <x:t xml:space="preserve">Τὰ εἰς ἑαυτόν / Meditations</x:t>
        </x:is>
      </x:c>
      <x:c r="T567" s="81" t="inlineStr">
        <x:is>
          <x:t xml:space="preserve">Book 5, 5.9</x:t>
        </x:is>
      </x:c>
      <x:c r="U567" s="81" t="inlineStr">
        <x:is>
          <x:t xml:space="preserve">https://www.perseus.tufts.edu/hopper/text?doc=Perseus:text:2008.01.0641:book=5</x:t>
        </x:is>
      </x:c>
      <x:c r="V567" s="81" t="inlineStr">
        <x:is>
          <x:t xml:space="preserve">Primary Greek edition / institutional corpus</x:t>
        </x:is>
      </x:c>
      <x:c r="W567" s="81" t="inlineStr">
        <x:is>
          <x:t xml:space="preserve">Working translation</x:t>
        </x:is>
      </x:c>
      <x:c r="X567" s="81" t="inlineStr">
        <x:is>
          <x:t xml:space="preserve">A - Primary source</x:t>
        </x:is>
      </x:c>
      <x:c r="Y567" s="81" t="inlineStr">
        <x:is>
          <x:t xml:space="preserve">Greek source anchor checked against the Meditations textual tradition (Perseus Leopold 1908 / Greek Wikisource cross-check). Vietnamese is Selflo working translation, not a published translation.</x:t>
        </x:is>
      </x:c>
      <x:c r="Z567" s="81" t="inlineStr">
        <x:is>
          <x:t xml:space="preserve">Ancient work public domain; digital edition reuse terms apply</x:t>
        </x:is>
      </x:c>
      <x:c r="AA567" s="81" t="inlineStr">
        <x:is>
          <x:t xml:space="preserve">Use original Greek/source location plus fresh Selflo translation/adaptation; do not copy modern copyrighted translations.</x:t>
        </x:is>
      </x:c>
      <x:c r="AB567" s="81" t="inlineStr">
        <x:is>
          <x:t xml:space="preserve">High</x:t>
        </x:is>
      </x:c>
      <x:c r="AC567" s="81" t="inlineStr">
        <x:is>
          <x:t xml:space="preserve">Context: return to principles after failure.</x:t>
        </x:is>
      </x:c>
      <x:c r="AD567" s="81" t="inlineStr">
        <x:is>
          <x:t xml:space="preserve">Needs editorial review</x:t>
        </x:is>
      </x:c>
      <x:c r="AE567" s="81" t="inlineStr">
        <x:is>
          <x:t xml:space="preserve">Needs semantic dedupe review</x:t>
        </x:is>
      </x:c>
      <x:c r="AF567" s="81" t="str"/>
      <x:c r="AG567" s="81" t="str"/>
      <x:c r="AH567" s="81" t="inlineStr">
        <x:is>
          <x:t xml:space="preserve">No</x:t>
        </x:is>
      </x:c>
      <x:c r="AI567" s="81" t="inlineStr">
        <x:is>
          <x:t xml:space="preserve">Not reviewed</x:t>
        </x:is>
      </x:c>
      <x:c r="AJ567" s="81" t="inlineStr">
        <x:is>
          <x:t xml:space="preserve">Research only</x:t>
        </x:is>
      </x:c>
      <x:c r="AK567" s="81" t="inlineStr">
        <x:is>
          <x:t xml:space="preserve">Research Pool</x:t>
        </x:is>
      </x:c>
      <x:c r="AL567" s="81" t="n">
        <x:v>8</x:v>
      </x:c>
      <x:c r="AM567" s="81" t="inlineStr">
        <x:is>
          <x:t xml:space="preserve">ChatGPT research</x:t>
        </x:is>
      </x:c>
      <x:c r="AN567" s="81" t="inlineStr">
        <x:is>
          <x:t xml:space="preserve">2026-09-18</x:t>
        </x:is>
      </x:c>
      <x:c r="AO567" s="81" t="inlineStr">
        <x:is>
          <x:t xml:space="preserve">Day 8 full first-pass screening of all 12 books of Meditations.</x:t>
        </x:is>
      </x:c>
    </x:row>
    <x:row r="568">
      <x:c r="A568" s="81" t="inlineStr">
        <x:is>
          <x:t xml:space="preserve">research.marcus.day8.book05.5_20.020</x:t>
        </x:is>
      </x:c>
      <x:c r="B568" s="81" t="inlineStr">
        <x:is>
          <x:t xml:space="preserve">Collected</x:t>
        </x:is>
      </x:c>
      <x:c r="C568" s="81" t="inlineStr">
        <x:is>
          <x:t xml:space="preserve">Nội tâm &amp; hiểu mình</x:t>
        </x:is>
      </x:c>
      <x:c r="D568" s="81" t="inlineStr">
        <x:is>
          <x:t xml:space="preserve">Day 8 / Marcus Aurelius — Meditations 1–12</x:t>
        </x:is>
      </x:c>
      <x:c r="E568" s="81" t="str"/>
      <x:c r="F568" s="81" t="inlineStr">
        <x:is>
          <x:t xml:space="preserve">Khó khăn ≠ lỗi con người</x:t>
        </x:is>
      </x:c>
      <x:c r="G568" s="81" t="inlineStr">
        <x:is>
          <x:t xml:space="preserve">Self-worth</x:t>
        </x:is>
      </x:c>
      <x:c r="H568" s="81" t="str"/>
      <x:c r="I568" s="81" t="str"/>
      <x:c r="J568" s="81" t="str"/>
      <x:c r="K568" s="81" t="inlineStr">
        <x:is>
          <x:t xml:space="preserve">Distinguish</x:t>
        </x:is>
      </x:c>
      <x:c r="L568" s="81" t="inlineStr">
        <x:is>
          <x:t xml:space="preserve">Recognize</x:t>
        </x:is>
      </x:c>
      <x:c r="M568" s="81" t="inlineStr">
        <x:is>
          <x:t xml:space="preserve">Meditation / self-address</x:t>
        </x:is>
      </x:c>
      <x:c r="N568" s="81" t="inlineStr">
        <x:is>
          <x:t xml:space="preserve">ἄλλο τὸ ἐμπόδιον, ἄλλο τὸ κακόν</x:t>
        </x:is>
      </x:c>
      <x:c r="O568" s="81" t="inlineStr">
        <x:is>
          <x:t xml:space="preserve">Ancient Greek</x:t>
        </x:is>
      </x:c>
      <x:c r="P568" s="81" t="inlineStr">
        <x:is>
          <x:t xml:space="preserve">Một trở ngại và một điều xấu về phẩm chất không phải cùng một thứ.</x:t>
        </x:is>
      </x:c>
      <x:c r="Q568" s="81" t="inlineStr">
        <x:is>
          <x:t xml:space="preserve">Marcus Aurelius</x:t>
        </x:is>
      </x:c>
      <x:c r="R568" s="81" t="inlineStr">
        <x:is>
          <x:t xml:space="preserve">Stoic / Roman Empire</x:t>
        </x:is>
      </x:c>
      <x:c r="S568" s="81" t="inlineStr">
        <x:is>
          <x:t xml:space="preserve">Τὰ εἰς ἑαυτόν / Meditations</x:t>
        </x:is>
      </x:c>
      <x:c r="T568" s="81" t="inlineStr">
        <x:is>
          <x:t xml:space="preserve">Book 5, 5.20</x:t>
        </x:is>
      </x:c>
      <x:c r="U568" s="81" t="inlineStr">
        <x:is>
          <x:t xml:space="preserve">https://www.perseus.tufts.edu/hopper/text?doc=Perseus:text:2008.01.0641:book=5</x:t>
        </x:is>
      </x:c>
      <x:c r="V568" s="81" t="inlineStr">
        <x:is>
          <x:t xml:space="preserve">Primary Greek edition / institutional corpus</x:t>
        </x:is>
      </x:c>
      <x:c r="W568" s="81" t="inlineStr">
        <x:is>
          <x:t xml:space="preserve">Working translation</x:t>
        </x:is>
      </x:c>
      <x:c r="X568" s="81" t="inlineStr">
        <x:is>
          <x:t xml:space="preserve">A - Primary source</x:t>
        </x:is>
      </x:c>
      <x:c r="Y568" s="81" t="inlineStr">
        <x:is>
          <x:t xml:space="preserve">Greek source anchor checked against the Meditations textual tradition (Perseus Leopold 1908 / Greek Wikisource cross-check). Vietnamese is Selflo working translation, not a published translation.</x:t>
        </x:is>
      </x:c>
      <x:c r="Z568" s="81" t="inlineStr">
        <x:is>
          <x:t xml:space="preserve">Ancient work public domain; digital edition reuse terms apply</x:t>
        </x:is>
      </x:c>
      <x:c r="AA568" s="81" t="inlineStr">
        <x:is>
          <x:t xml:space="preserve">Use original Greek/source location plus fresh Selflo translation/adaptation; do not copy modern copyrighted translations.</x:t>
        </x:is>
      </x:c>
      <x:c r="AB568" s="81" t="inlineStr">
        <x:is>
          <x:t xml:space="preserve">High</x:t>
        </x:is>
      </x:c>
      <x:c r="AC568" s="81" t="inlineStr">
        <x:is>
          <x:t xml:space="preserve">Very Selflo.</x:t>
        </x:is>
      </x:c>
      <x:c r="AD568" s="81" t="inlineStr">
        <x:is>
          <x:t xml:space="preserve">Needs editorial review</x:t>
        </x:is>
      </x:c>
      <x:c r="AE568" s="81" t="inlineStr">
        <x:is>
          <x:t xml:space="preserve">Needs semantic dedupe review</x:t>
        </x:is>
      </x:c>
      <x:c r="AF568" s="81" t="str"/>
      <x:c r="AG568" s="81" t="str"/>
      <x:c r="AH568" s="81" t="inlineStr">
        <x:is>
          <x:t xml:space="preserve">No</x:t>
        </x:is>
      </x:c>
      <x:c r="AI568" s="81" t="inlineStr">
        <x:is>
          <x:t xml:space="preserve">Not reviewed</x:t>
        </x:is>
      </x:c>
      <x:c r="AJ568" s="81" t="inlineStr">
        <x:is>
          <x:t xml:space="preserve">Research only</x:t>
        </x:is>
      </x:c>
      <x:c r="AK568" s="81" t="inlineStr">
        <x:is>
          <x:t xml:space="preserve">Research Pool</x:t>
        </x:is>
      </x:c>
      <x:c r="AL568" s="81" t="n">
        <x:v>8</x:v>
      </x:c>
      <x:c r="AM568" s="81" t="inlineStr">
        <x:is>
          <x:t xml:space="preserve">ChatGPT research</x:t>
        </x:is>
      </x:c>
      <x:c r="AN568" s="81" t="inlineStr">
        <x:is>
          <x:t xml:space="preserve">2026-09-18</x:t>
        </x:is>
      </x:c>
      <x:c r="AO568" s="81" t="inlineStr">
        <x:is>
          <x:t xml:space="preserve">Day 8 full first-pass screening of all 12 books of Meditations.</x:t>
        </x:is>
      </x:c>
    </x:row>
    <x:row r="569">
      <x:c r="A569" s="81" t="inlineStr">
        <x:is>
          <x:t xml:space="preserve">research.marcus.day8.book06.6_2.021</x:t>
        </x:is>
      </x:c>
      <x:c r="B569" s="81" t="inlineStr">
        <x:is>
          <x:t xml:space="preserve">Collected</x:t>
        </x:is>
      </x:c>
      <x:c r="C569" s="81" t="inlineStr">
        <x:is>
          <x:t xml:space="preserve">Công việc &amp; mục đích</x:t>
        </x:is>
      </x:c>
      <x:c r="D569" s="81" t="inlineStr">
        <x:is>
          <x:t xml:space="preserve">Day 8 / Marcus Aurelius — Meditations 1–12</x:t>
        </x:is>
      </x:c>
      <x:c r="E569" s="81" t="str"/>
      <x:c r="F569" s="81" t="inlineStr">
        <x:is>
          <x:t xml:space="preserve">Khó chịu và lựa chọn</x:t>
        </x:is>
      </x:c>
      <x:c r="G569" s="81" t="inlineStr">
        <x:is>
          <x:t xml:space="preserve">Agency</x:t>
        </x:is>
      </x:c>
      <x:c r="H569" s="81" t="str"/>
      <x:c r="I569" s="81" t="str"/>
      <x:c r="J569" s="81" t="str"/>
      <x:c r="K569" s="81" t="inlineStr">
        <x:is>
          <x:t xml:space="preserve">Distinguish</x:t>
        </x:is>
      </x:c>
      <x:c r="L569" s="81" t="inlineStr">
        <x:is>
          <x:t xml:space="preserve">Recognize</x:t>
        </x:is>
      </x:c>
      <x:c r="M569" s="81" t="inlineStr">
        <x:is>
          <x:t xml:space="preserve">Meditation / self-address</x:t>
        </x:is>
      </x:c>
      <x:c r="N569" s="81" t="inlineStr">
        <x:is>
          <x:t xml:space="preserve">ἐὰν τὸ καθῆκον ποιῇς, μή σε μελέτω εἰ ῥιγῶν ἢ θαλπόμενος</x:t>
        </x:is>
      </x:c>
      <x:c r="O569" s="81" t="inlineStr">
        <x:is>
          <x:t xml:space="preserve">Ancient Greek</x:t>
        </x:is>
      </x:c>
      <x:c r="P569" s="81" t="inlineStr">
        <x:is>
          <x:t xml:space="preserve">Khi đã chọn việc cần làm, đừng để mọi khó chịu nhỏ tự động quyết định thay mình.</x:t>
        </x:is>
      </x:c>
      <x:c r="Q569" s="81" t="inlineStr">
        <x:is>
          <x:t xml:space="preserve">Marcus Aurelius</x:t>
        </x:is>
      </x:c>
      <x:c r="R569" s="81" t="inlineStr">
        <x:is>
          <x:t xml:space="preserve">Stoic / Roman Empire</x:t>
        </x:is>
      </x:c>
      <x:c r="S569" s="81" t="inlineStr">
        <x:is>
          <x:t xml:space="preserve">Τὰ εἰς ἑαυτόν / Meditations</x:t>
        </x:is>
      </x:c>
      <x:c r="T569" s="81" t="inlineStr">
        <x:is>
          <x:t xml:space="preserve">Book 6, 6.2</x:t>
        </x:is>
      </x:c>
      <x:c r="U569" s="81" t="inlineStr">
        <x:is>
          <x:t xml:space="preserve">https://www.perseus.tufts.edu/hopper/text?doc=Perseus:text:2008.01.0641:book=6</x:t>
        </x:is>
      </x:c>
      <x:c r="V569" s="81" t="inlineStr">
        <x:is>
          <x:t xml:space="preserve">Primary Greek edition / institutional corpus</x:t>
        </x:is>
      </x:c>
      <x:c r="W569" s="81" t="inlineStr">
        <x:is>
          <x:t xml:space="preserve">Working translation</x:t>
        </x:is>
      </x:c>
      <x:c r="X569" s="81" t="inlineStr">
        <x:is>
          <x:t xml:space="preserve">A - Primary source</x:t>
        </x:is>
      </x:c>
      <x:c r="Y569" s="81" t="inlineStr">
        <x:is>
          <x:t xml:space="preserve">Greek source anchor checked against the Meditations textual tradition (Perseus Leopold 1908 / Greek Wikisource cross-check). Vietnamese is Selflo working translation, not a published translation.</x:t>
        </x:is>
      </x:c>
      <x:c r="Z569" s="81" t="inlineStr">
        <x:is>
          <x:t xml:space="preserve">Ancient work public domain; digital edition reuse terms apply</x:t>
        </x:is>
      </x:c>
      <x:c r="AA569" s="81" t="inlineStr">
        <x:is>
          <x:t xml:space="preserve">Use original Greek/source location plus fresh Selflo translation/adaptation; do not copy modern copyrighted translations.</x:t>
        </x:is>
      </x:c>
      <x:c r="AB569" s="81" t="inlineStr">
        <x:is>
          <x:t xml:space="preserve">Medium</x:t>
        </x:is>
      </x:c>
      <x:c r="AC569" s="81" t="inlineStr">
        <x:is>
          <x:t xml:space="preserve">Do not override health signals.</x:t>
        </x:is>
      </x:c>
      <x:c r="AD569" s="81" t="inlineStr">
        <x:is>
          <x:t xml:space="preserve">Needs editorial review</x:t>
        </x:is>
      </x:c>
      <x:c r="AE569" s="81" t="inlineStr">
        <x:is>
          <x:t xml:space="preserve">Needs semantic dedupe review</x:t>
        </x:is>
      </x:c>
      <x:c r="AF569" s="81" t="str"/>
      <x:c r="AG569" s="81" t="str"/>
      <x:c r="AH569" s="81" t="inlineStr">
        <x:is>
          <x:t xml:space="preserve">No</x:t>
        </x:is>
      </x:c>
      <x:c r="AI569" s="81" t="inlineStr">
        <x:is>
          <x:t xml:space="preserve">Not reviewed</x:t>
        </x:is>
      </x:c>
      <x:c r="AJ569" s="81" t="inlineStr">
        <x:is>
          <x:t xml:space="preserve">Research only</x:t>
        </x:is>
      </x:c>
      <x:c r="AK569" s="81" t="inlineStr">
        <x:is>
          <x:t xml:space="preserve">Research Pool</x:t>
        </x:is>
      </x:c>
      <x:c r="AL569" s="81" t="n">
        <x:v>8</x:v>
      </x:c>
      <x:c r="AM569" s="81" t="inlineStr">
        <x:is>
          <x:t xml:space="preserve">ChatGPT research</x:t>
        </x:is>
      </x:c>
      <x:c r="AN569" s="81" t="inlineStr">
        <x:is>
          <x:t xml:space="preserve">2026-09-18</x:t>
        </x:is>
      </x:c>
      <x:c r="AO569" s="81" t="inlineStr">
        <x:is>
          <x:t xml:space="preserve">Day 8 full first-pass screening of all 12 books of Meditations.</x:t>
        </x:is>
      </x:c>
    </x:row>
    <x:row r="570">
      <x:c r="A570" s="81" t="inlineStr">
        <x:is>
          <x:t xml:space="preserve">research.marcus.day8.book06.6_6.022</x:t>
        </x:is>
      </x:c>
      <x:c r="B570" s="81" t="inlineStr">
        <x:is>
          <x:t xml:space="preserve">Collected</x:t>
        </x:is>
      </x:c>
      <x:c r="C570" s="81" t="inlineStr">
        <x:is>
          <x:t xml:space="preserve">Công việc &amp; mục đích</x:t>
        </x:is>
      </x:c>
      <x:c r="D570" s="81" t="inlineStr">
        <x:is>
          <x:t xml:space="preserve">Day 8 / Marcus Aurelius — Meditations 1–12</x:t>
        </x:is>
      </x:c>
      <x:c r="E570" s="81" t="str"/>
      <x:c r="F570" s="81" t="inlineStr">
        <x:is>
          <x:t xml:space="preserve">Bị đối xử xấu nhưng giữ giá trị</x:t>
        </x:is>
      </x:c>
      <x:c r="G570" s="81" t="inlineStr">
        <x:is>
          <x:t xml:space="preserve">Values</x:t>
        </x:is>
      </x:c>
      <x:c r="H570" s="81" t="str"/>
      <x:c r="I570" s="81" t="str"/>
      <x:c r="J570" s="81" t="str"/>
      <x:c r="K570" s="81" t="inlineStr">
        <x:is>
          <x:t xml:space="preserve">Return agency</x:t>
        </x:is>
      </x:c>
      <x:c r="L570" s="81" t="inlineStr">
        <x:is>
          <x:t xml:space="preserve">Recognize</x:t>
        </x:is>
      </x:c>
      <x:c r="M570" s="81" t="inlineStr">
        <x:is>
          <x:t xml:space="preserve">Meditation / self-address</x:t>
        </x:is>
      </x:c>
      <x:c r="N570" s="81" t="inlineStr">
        <x:is>
          <x:t xml:space="preserve">ἄριστος τρόπος τοῦ ἀμύνεσθαι τὸ μὴ ἐξομοιοῦσθαι</x:t>
        </x:is>
      </x:c>
      <x:c r="O570" s="81" t="inlineStr">
        <x:is>
          <x:t xml:space="preserve">Ancient Greek</x:t>
        </x:is>
      </x:c>
      <x:c r="P570" s="81" t="inlineStr">
        <x:is>
          <x:t xml:space="preserve">Cách đáp lại tốt nhất không nhất thiết là trở thành giống điều mình phản đối.</x:t>
        </x:is>
      </x:c>
      <x:c r="Q570" s="81" t="inlineStr">
        <x:is>
          <x:t xml:space="preserve">Marcus Aurelius</x:t>
        </x:is>
      </x:c>
      <x:c r="R570" s="81" t="inlineStr">
        <x:is>
          <x:t xml:space="preserve">Stoic / Roman Empire</x:t>
        </x:is>
      </x:c>
      <x:c r="S570" s="81" t="inlineStr">
        <x:is>
          <x:t xml:space="preserve">Τὰ εἰς ἑαυτόν / Meditations</x:t>
        </x:is>
      </x:c>
      <x:c r="T570" s="81" t="inlineStr">
        <x:is>
          <x:t xml:space="preserve">Book 6, 6.6</x:t>
        </x:is>
      </x:c>
      <x:c r="U570" s="81" t="inlineStr">
        <x:is>
          <x:t xml:space="preserve">https://www.perseus.tufts.edu/hopper/text?doc=Perseus:text:2008.01.0641:book=6</x:t>
        </x:is>
      </x:c>
      <x:c r="V570" s="81" t="inlineStr">
        <x:is>
          <x:t xml:space="preserve">Primary Greek edition / institutional corpus</x:t>
        </x:is>
      </x:c>
      <x:c r="W570" s="81" t="inlineStr">
        <x:is>
          <x:t xml:space="preserve">Working translation</x:t>
        </x:is>
      </x:c>
      <x:c r="X570" s="81" t="inlineStr">
        <x:is>
          <x:t xml:space="preserve">A - Primary source</x:t>
        </x:is>
      </x:c>
      <x:c r="Y570" s="81" t="inlineStr">
        <x:is>
          <x:t xml:space="preserve">Greek source anchor checked against the Meditations textual tradition (Perseus Leopold 1908 / Greek Wikisource cross-check). Vietnamese is Selflo working translation, not a published translation.</x:t>
        </x:is>
      </x:c>
      <x:c r="Z570" s="81" t="inlineStr">
        <x:is>
          <x:t xml:space="preserve">Ancient work public domain; digital edition reuse terms apply</x:t>
        </x:is>
      </x:c>
      <x:c r="AA570" s="81" t="inlineStr">
        <x:is>
          <x:t xml:space="preserve">Use original Greek/source location plus fresh Selflo translation/adaptation; do not copy modern copyrighted translations.</x:t>
        </x:is>
      </x:c>
      <x:c r="AB570" s="81" t="inlineStr">
        <x:is>
          <x:t xml:space="preserve">High</x:t>
        </x:is>
      </x:c>
      <x:c r="AC570" s="81" t="inlineStr">
        <x:is>
          <x:t xml:space="preserve">Strong.</x:t>
        </x:is>
      </x:c>
      <x:c r="AD570" s="81" t="inlineStr">
        <x:is>
          <x:t xml:space="preserve">Needs editorial review</x:t>
        </x:is>
      </x:c>
      <x:c r="AE570" s="81" t="inlineStr">
        <x:is>
          <x:t xml:space="preserve">Needs semantic dedupe review</x:t>
        </x:is>
      </x:c>
      <x:c r="AF570" s="81" t="str"/>
      <x:c r="AG570" s="81" t="str"/>
      <x:c r="AH570" s="81" t="inlineStr">
        <x:is>
          <x:t xml:space="preserve">No</x:t>
        </x:is>
      </x:c>
      <x:c r="AI570" s="81" t="inlineStr">
        <x:is>
          <x:t xml:space="preserve">Not reviewed</x:t>
        </x:is>
      </x:c>
      <x:c r="AJ570" s="81" t="inlineStr">
        <x:is>
          <x:t xml:space="preserve">Research only</x:t>
        </x:is>
      </x:c>
      <x:c r="AK570" s="81" t="inlineStr">
        <x:is>
          <x:t xml:space="preserve">Research Pool</x:t>
        </x:is>
      </x:c>
      <x:c r="AL570" s="81" t="n">
        <x:v>8</x:v>
      </x:c>
      <x:c r="AM570" s="81" t="inlineStr">
        <x:is>
          <x:t xml:space="preserve">ChatGPT research</x:t>
        </x:is>
      </x:c>
      <x:c r="AN570" s="81" t="inlineStr">
        <x:is>
          <x:t xml:space="preserve">2026-09-18</x:t>
        </x:is>
      </x:c>
      <x:c r="AO570" s="81" t="inlineStr">
        <x:is>
          <x:t xml:space="preserve">Day 8 full first-pass screening of all 12 books of Meditations.</x:t>
        </x:is>
      </x:c>
    </x:row>
    <x:row r="571">
      <x:c r="A571" s="81" t="inlineStr">
        <x:is>
          <x:t xml:space="preserve">research.marcus.day8.book06.6_11.023</x:t>
        </x:is>
      </x:c>
      <x:c r="B571" s="81" t="inlineStr">
        <x:is>
          <x:t xml:space="preserve">Collected</x:t>
        </x:is>
      </x:c>
      <x:c r="C571" s="81" t="inlineStr">
        <x:is>
          <x:t xml:space="preserve">Nghỉ ngơi &amp; sức khỏe tinh thần</x:t>
        </x:is>
      </x:c>
      <x:c r="D571" s="81" t="inlineStr">
        <x:is>
          <x:t xml:space="preserve">Day 8 / Marcus Aurelius — Meditations 1–12</x:t>
        </x:is>
      </x:c>
      <x:c r="E571" s="81" t="str"/>
      <x:c r="F571" s="81" t="inlineStr">
        <x:is>
          <x:t xml:space="preserve">Bị cuốn khỏi nhịp riêng</x:t>
        </x:is>
      </x:c>
      <x:c r="G571" s="81" t="inlineStr">
        <x:is>
          <x:t xml:space="preserve">Recovery</x:t>
        </x:is>
      </x:c>
      <x:c r="H571" s="81" t="str"/>
      <x:c r="I571" s="81" t="str"/>
      <x:c r="J571" s="81" t="str"/>
      <x:c r="K571" s="81" t="inlineStr">
        <x:is>
          <x:t xml:space="preserve">Return agency</x:t>
        </x:is>
      </x:c>
      <x:c r="L571" s="81" t="inlineStr">
        <x:is>
          <x:t xml:space="preserve">Recognize</x:t>
        </x:is>
      </x:c>
      <x:c r="M571" s="81" t="inlineStr">
        <x:is>
          <x:t xml:space="preserve">Meditation / self-address</x:t>
        </x:is>
      </x:c>
      <x:c r="N571" s="81" t="inlineStr">
        <x:is>
          <x:t xml:space="preserve">ὅταν ὑπὸ τῶν περιεστώτων ὡσανεὶ βιαίως ἐκτραπῇς, τάχιστα εἰς σεαυτὸν ἐπανελθέ</x:t>
        </x:is>
      </x:c>
      <x:c r="O571" s="81" t="inlineStr">
        <x:is>
          <x:t xml:space="preserve">Ancient Greek</x:t>
        </x:is>
      </x:c>
      <x:c r="P571" s="81" t="inlineStr">
        <x:is>
          <x:t xml:space="preserve">Khi hoàn cảnh kéo mình lệch đi, hãy quay lại với mình sớm nhất có thể.</x:t>
        </x:is>
      </x:c>
      <x:c r="Q571" s="81" t="inlineStr">
        <x:is>
          <x:t xml:space="preserve">Marcus Aurelius</x:t>
        </x:is>
      </x:c>
      <x:c r="R571" s="81" t="inlineStr">
        <x:is>
          <x:t xml:space="preserve">Stoic / Roman Empire</x:t>
        </x:is>
      </x:c>
      <x:c r="S571" s="81" t="inlineStr">
        <x:is>
          <x:t xml:space="preserve">Τὰ εἰς ἑαυτόν / Meditations</x:t>
        </x:is>
      </x:c>
      <x:c r="T571" s="81" t="inlineStr">
        <x:is>
          <x:t xml:space="preserve">Book 6, 6.11</x:t>
        </x:is>
      </x:c>
      <x:c r="U571" s="81" t="inlineStr">
        <x:is>
          <x:t xml:space="preserve">https://www.perseus.tufts.edu/hopper/text?doc=Perseus:text:2008.01.0641:book=6</x:t>
        </x:is>
      </x:c>
      <x:c r="V571" s="81" t="inlineStr">
        <x:is>
          <x:t xml:space="preserve">Primary Greek edition / institutional corpus</x:t>
        </x:is>
      </x:c>
      <x:c r="W571" s="81" t="inlineStr">
        <x:is>
          <x:t xml:space="preserve">Working translation</x:t>
        </x:is>
      </x:c>
      <x:c r="X571" s="81" t="inlineStr">
        <x:is>
          <x:t xml:space="preserve">A - Primary source</x:t>
        </x:is>
      </x:c>
      <x:c r="Y571" s="81" t="inlineStr">
        <x:is>
          <x:t xml:space="preserve">Greek source anchor checked against the Meditations textual tradition (Perseus Leopold 1908 / Greek Wikisource cross-check). Vietnamese is Selflo working translation, not a published translation.</x:t>
        </x:is>
      </x:c>
      <x:c r="Z571" s="81" t="inlineStr">
        <x:is>
          <x:t xml:space="preserve">Ancient work public domain; digital edition reuse terms apply</x:t>
        </x:is>
      </x:c>
      <x:c r="AA571" s="81" t="inlineStr">
        <x:is>
          <x:t xml:space="preserve">Use original Greek/source location plus fresh Selflo translation/adaptation; do not copy modern copyrighted translations.</x:t>
        </x:is>
      </x:c>
      <x:c r="AB571" s="81" t="inlineStr">
        <x:is>
          <x:t xml:space="preserve">High</x:t>
        </x:is>
      </x:c>
      <x:c r="AC571" s="81" t="inlineStr">
        <x:is>
          <x:t xml:space="preserve">Core Selflo.</x:t>
        </x:is>
      </x:c>
      <x:c r="AD571" s="81" t="inlineStr">
        <x:is>
          <x:t xml:space="preserve">Needs editorial review</x:t>
        </x:is>
      </x:c>
      <x:c r="AE571" s="81" t="inlineStr">
        <x:is>
          <x:t xml:space="preserve">Needs semantic dedupe review</x:t>
        </x:is>
      </x:c>
      <x:c r="AF571" s="81" t="str"/>
      <x:c r="AG571" s="81" t="str"/>
      <x:c r="AH571" s="81" t="inlineStr">
        <x:is>
          <x:t xml:space="preserve">No</x:t>
        </x:is>
      </x:c>
      <x:c r="AI571" s="81" t="inlineStr">
        <x:is>
          <x:t xml:space="preserve">Not reviewed</x:t>
        </x:is>
      </x:c>
      <x:c r="AJ571" s="81" t="inlineStr">
        <x:is>
          <x:t xml:space="preserve">Research only</x:t>
        </x:is>
      </x:c>
      <x:c r="AK571" s="81" t="inlineStr">
        <x:is>
          <x:t xml:space="preserve">Research Pool</x:t>
        </x:is>
      </x:c>
      <x:c r="AL571" s="81" t="n">
        <x:v>8</x:v>
      </x:c>
      <x:c r="AM571" s="81" t="inlineStr">
        <x:is>
          <x:t xml:space="preserve">ChatGPT research</x:t>
        </x:is>
      </x:c>
      <x:c r="AN571" s="81" t="inlineStr">
        <x:is>
          <x:t xml:space="preserve">2026-09-18</x:t>
        </x:is>
      </x:c>
      <x:c r="AO571" s="81" t="inlineStr">
        <x:is>
          <x:t xml:space="preserve">Day 8 full first-pass screening of all 12 books of Meditations.</x:t>
        </x:is>
      </x:c>
    </x:row>
    <x:row r="572">
      <x:c r="A572" s="81" t="inlineStr">
        <x:is>
          <x:t xml:space="preserve">research.marcus.day8.book06.6_21.024</x:t>
        </x:is>
      </x:c>
      <x:c r="B572" s="81" t="inlineStr">
        <x:is>
          <x:t xml:space="preserve">Collected</x:t>
        </x:is>
      </x:c>
      <x:c r="C572" s="81" t="inlineStr">
        <x:is>
          <x:t xml:space="preserve">Công việc &amp; mục đích</x:t>
        </x:is>
      </x:c>
      <x:c r="D572" s="81" t="inlineStr">
        <x:is>
          <x:t xml:space="preserve">Day 8 / Marcus Aurelius — Meditations 1–12</x:t>
        </x:is>
      </x:c>
      <x:c r="E572" s="81" t="str"/>
      <x:c r="F572" s="81" t="inlineStr">
        <x:is>
          <x:t xml:space="preserve">Sửa quan điểm khi có bằng chứng tốt hơn</x:t>
        </x:is>
      </x:c>
      <x:c r="G572" s="81" t="inlineStr">
        <x:is>
          <x:t xml:space="preserve">Learning</x:t>
        </x:is>
      </x:c>
      <x:c r="H572" s="81" t="str"/>
      <x:c r="I572" s="81" t="str"/>
      <x:c r="J572" s="81" t="str"/>
      <x:c r="K572" s="81" t="inlineStr">
        <x:is>
          <x:t xml:space="preserve">Permit</x:t>
        </x:is>
      </x:c>
      <x:c r="L572" s="81" t="inlineStr">
        <x:is>
          <x:t xml:space="preserve">Recognize</x:t>
        </x:is>
      </x:c>
      <x:c r="M572" s="81" t="inlineStr">
        <x:is>
          <x:t xml:space="preserve">Meditation / self-address</x:t>
        </x:is>
      </x:c>
      <x:c r="N572" s="81" t="inlineStr">
        <x:is>
          <x:t xml:space="preserve">εἰ δύναταί με τις ἐλέγξαι... χαίρων μεταθήσομαι</x:t>
        </x:is>
      </x:c>
      <x:c r="O572" s="81" t="inlineStr">
        <x:is>
          <x:t xml:space="preserve">Ancient Greek</x:t>
        </x:is>
      </x:c>
      <x:c r="P572" s="81" t="inlineStr">
        <x:is>
          <x:t xml:space="preserve">Nếu ai chỉ ra rằng tôi sai, tôi sẽ vui lòng thay đổi.</x:t>
        </x:is>
      </x:c>
      <x:c r="Q572" s="81" t="inlineStr">
        <x:is>
          <x:t xml:space="preserve">Marcus Aurelius</x:t>
        </x:is>
      </x:c>
      <x:c r="R572" s="81" t="inlineStr">
        <x:is>
          <x:t xml:space="preserve">Stoic / Roman Empire</x:t>
        </x:is>
      </x:c>
      <x:c r="S572" s="81" t="inlineStr">
        <x:is>
          <x:t xml:space="preserve">Τὰ εἰς ἑαυτόν / Meditations</x:t>
        </x:is>
      </x:c>
      <x:c r="T572" s="81" t="inlineStr">
        <x:is>
          <x:t xml:space="preserve">Book 6, 6.21</x:t>
        </x:is>
      </x:c>
      <x:c r="U572" s="81" t="inlineStr">
        <x:is>
          <x:t xml:space="preserve">https://www.perseus.tufts.edu/hopper/text?doc=Perseus:text:2008.01.0641:book=6</x:t>
        </x:is>
      </x:c>
      <x:c r="V572" s="81" t="inlineStr">
        <x:is>
          <x:t xml:space="preserve">Primary Greek edition / institutional corpus</x:t>
        </x:is>
      </x:c>
      <x:c r="W572" s="81" t="inlineStr">
        <x:is>
          <x:t xml:space="preserve">Working translation</x:t>
        </x:is>
      </x:c>
      <x:c r="X572" s="81" t="inlineStr">
        <x:is>
          <x:t xml:space="preserve">A - Primary source</x:t>
        </x:is>
      </x:c>
      <x:c r="Y572" s="81" t="inlineStr">
        <x:is>
          <x:t xml:space="preserve">Greek source anchor checked against the Meditations textual tradition (Perseus Leopold 1908 / Greek Wikisource cross-check). Vietnamese is Selflo working translation, not a published translation.</x:t>
        </x:is>
      </x:c>
      <x:c r="Z572" s="81" t="inlineStr">
        <x:is>
          <x:t xml:space="preserve">Ancient work public domain; digital edition reuse terms apply</x:t>
        </x:is>
      </x:c>
      <x:c r="AA572" s="81" t="inlineStr">
        <x:is>
          <x:t xml:space="preserve">Use original Greek/source location plus fresh Selflo translation/adaptation; do not copy modern copyrighted translations.</x:t>
        </x:is>
      </x:c>
      <x:c r="AB572" s="81" t="inlineStr">
        <x:is>
          <x:t xml:space="preserve">High</x:t>
        </x:is>
      </x:c>
      <x:c r="AC572" s="81" t="inlineStr">
        <x:is>
          <x:t xml:space="preserve">Excellent epistemic humility.</x:t>
        </x:is>
      </x:c>
      <x:c r="AD572" s="81" t="inlineStr">
        <x:is>
          <x:t xml:space="preserve">Needs editorial review</x:t>
        </x:is>
      </x:c>
      <x:c r="AE572" s="81" t="inlineStr">
        <x:is>
          <x:t xml:space="preserve">Needs semantic dedupe review</x:t>
        </x:is>
      </x:c>
      <x:c r="AF572" s="81" t="str"/>
      <x:c r="AG572" s="81" t="str"/>
      <x:c r="AH572" s="81" t="inlineStr">
        <x:is>
          <x:t xml:space="preserve">No</x:t>
        </x:is>
      </x:c>
      <x:c r="AI572" s="81" t="inlineStr">
        <x:is>
          <x:t xml:space="preserve">Not reviewed</x:t>
        </x:is>
      </x:c>
      <x:c r="AJ572" s="81" t="inlineStr">
        <x:is>
          <x:t xml:space="preserve">Research only</x:t>
        </x:is>
      </x:c>
      <x:c r="AK572" s="81" t="inlineStr">
        <x:is>
          <x:t xml:space="preserve">Research Pool</x:t>
        </x:is>
      </x:c>
      <x:c r="AL572" s="81" t="n">
        <x:v>8</x:v>
      </x:c>
      <x:c r="AM572" s="81" t="inlineStr">
        <x:is>
          <x:t xml:space="preserve">ChatGPT research</x:t>
        </x:is>
      </x:c>
      <x:c r="AN572" s="81" t="inlineStr">
        <x:is>
          <x:t xml:space="preserve">2026-09-18</x:t>
        </x:is>
      </x:c>
      <x:c r="AO572" s="81" t="inlineStr">
        <x:is>
          <x:t xml:space="preserve">Day 8 full first-pass screening of all 12 books of Meditations.</x:t>
        </x:is>
      </x:c>
    </x:row>
    <x:row r="573">
      <x:c r="A573" s="81" t="inlineStr">
        <x:is>
          <x:t xml:space="preserve">research.marcus.day8.book07.7_2.025</x:t>
        </x:is>
      </x:c>
      <x:c r="B573" s="81" t="inlineStr">
        <x:is>
          <x:t xml:space="preserve">Collected</x:t>
        </x:is>
      </x:c>
      <x:c r="C573" s="81" t="inlineStr">
        <x:is>
          <x:t xml:space="preserve">Công việc &amp; mục đích</x:t>
        </x:is>
      </x:c>
      <x:c r="D573" s="81" t="inlineStr">
        <x:is>
          <x:t xml:space="preserve">Day 8 / Marcus Aurelius — Meditations 1–12</x:t>
        </x:is>
      </x:c>
      <x:c r="E573" s="81" t="str"/>
      <x:c r="F573" s="81" t="inlineStr">
        <x:is>
          <x:t xml:space="preserve">Biết nhưng không thực hành</x:t>
        </x:is>
      </x:c>
      <x:c r="G573" s="81" t="inlineStr">
        <x:is>
          <x:t xml:space="preserve">Learning</x:t>
        </x:is>
      </x:c>
      <x:c r="H573" s="81" t="str"/>
      <x:c r="I573" s="81" t="str"/>
      <x:c r="J573" s="81" t="str"/>
      <x:c r="K573" s="81" t="inlineStr">
        <x:is>
          <x:t xml:space="preserve">Recognize</x:t>
        </x:is>
      </x:c>
      <x:c r="L573" s="81" t="inlineStr">
        <x:is>
          <x:t xml:space="preserve">Distinguish</x:t>
        </x:is>
      </x:c>
      <x:c r="M573" s="81" t="inlineStr">
        <x:is>
          <x:t xml:space="preserve">Meditation / self-address</x:t>
        </x:is>
      </x:c>
      <x:c r="N573" s="81" t="inlineStr">
        <x:is>
          <x:t xml:space="preserve">τὰ δόγματα ζῇ</x:t>
        </x:is>
      </x:c>
      <x:c r="O573" s="81" t="inlineStr">
        <x:is>
          <x:t xml:space="preserve">Ancient Greek</x:t>
        </x:is>
      </x:c>
      <x:c r="P573" s="81" t="inlineStr">
        <x:is>
          <x:t xml:space="preserve">Những nguyên tắc chỉ sống khi mình tiếp tục làm mới và dùng chúng.</x:t>
        </x:is>
      </x:c>
      <x:c r="Q573" s="81" t="inlineStr">
        <x:is>
          <x:t xml:space="preserve">Marcus Aurelius</x:t>
        </x:is>
      </x:c>
      <x:c r="R573" s="81" t="inlineStr">
        <x:is>
          <x:t xml:space="preserve">Stoic / Roman Empire</x:t>
        </x:is>
      </x:c>
      <x:c r="S573" s="81" t="inlineStr">
        <x:is>
          <x:t xml:space="preserve">Τὰ εἰς ἑαυτόν / Meditations</x:t>
        </x:is>
      </x:c>
      <x:c r="T573" s="81" t="inlineStr">
        <x:is>
          <x:t xml:space="preserve">Book 7, 7.2</x:t>
        </x:is>
      </x:c>
      <x:c r="U573" s="81" t="inlineStr">
        <x:is>
          <x:t xml:space="preserve">https://www.perseus.tufts.edu/hopper/text?doc=Perseus:text:2008.01.0641:book=7</x:t>
        </x:is>
      </x:c>
      <x:c r="V573" s="81" t="inlineStr">
        <x:is>
          <x:t xml:space="preserve">Primary Greek edition / institutional corpus</x:t>
        </x:is>
      </x:c>
      <x:c r="W573" s="81" t="inlineStr">
        <x:is>
          <x:t xml:space="preserve">Working translation</x:t>
        </x:is>
      </x:c>
      <x:c r="X573" s="81" t="inlineStr">
        <x:is>
          <x:t xml:space="preserve">A - Primary source</x:t>
        </x:is>
      </x:c>
      <x:c r="Y573" s="81" t="inlineStr">
        <x:is>
          <x:t xml:space="preserve">Greek source anchor checked against the Meditations textual tradition (Perseus Leopold 1908 / Greek Wikisource cross-check). Vietnamese is Selflo working translation, not a published translation.</x:t>
        </x:is>
      </x:c>
      <x:c r="Z573" s="81" t="inlineStr">
        <x:is>
          <x:t xml:space="preserve">Ancient work public domain; digital edition reuse terms apply</x:t>
        </x:is>
      </x:c>
      <x:c r="AA573" s="81" t="inlineStr">
        <x:is>
          <x:t xml:space="preserve">Use original Greek/source location plus fresh Selflo translation/adaptation; do not copy modern copyrighted translations.</x:t>
        </x:is>
      </x:c>
      <x:c r="AB573" s="81" t="inlineStr">
        <x:is>
          <x:t xml:space="preserve">Medium</x:t>
        </x:is>
      </x:c>
      <x:c r="AC573" s="81" t="inlineStr">
        <x:is>
          <x:t xml:space="preserve">Short contextual anchor.</x:t>
        </x:is>
      </x:c>
      <x:c r="AD573" s="81" t="inlineStr">
        <x:is>
          <x:t xml:space="preserve">Needs editorial review</x:t>
        </x:is>
      </x:c>
      <x:c r="AE573" s="81" t="inlineStr">
        <x:is>
          <x:t xml:space="preserve">Needs semantic dedupe review</x:t>
        </x:is>
      </x:c>
      <x:c r="AF573" s="81" t="str"/>
      <x:c r="AG573" s="81" t="str"/>
      <x:c r="AH573" s="81" t="inlineStr">
        <x:is>
          <x:t xml:space="preserve">No</x:t>
        </x:is>
      </x:c>
      <x:c r="AI573" s="81" t="inlineStr">
        <x:is>
          <x:t xml:space="preserve">Not reviewed</x:t>
        </x:is>
      </x:c>
      <x:c r="AJ573" s="81" t="inlineStr">
        <x:is>
          <x:t xml:space="preserve">Research only</x:t>
        </x:is>
      </x:c>
      <x:c r="AK573" s="81" t="inlineStr">
        <x:is>
          <x:t xml:space="preserve">Research Pool</x:t>
        </x:is>
      </x:c>
      <x:c r="AL573" s="81" t="n">
        <x:v>8</x:v>
      </x:c>
      <x:c r="AM573" s="81" t="inlineStr">
        <x:is>
          <x:t xml:space="preserve">ChatGPT research</x:t>
        </x:is>
      </x:c>
      <x:c r="AN573" s="81" t="inlineStr">
        <x:is>
          <x:t xml:space="preserve">2026-09-18</x:t>
        </x:is>
      </x:c>
      <x:c r="AO573" s="81" t="inlineStr">
        <x:is>
          <x:t xml:space="preserve">Day 8 full first-pass screening of all 12 books of Meditations.</x:t>
        </x:is>
      </x:c>
    </x:row>
    <x:row r="574">
      <x:c r="A574" s="81" t="inlineStr">
        <x:is>
          <x:t xml:space="preserve">research.marcus.day8.book07.7_8.026</x:t>
        </x:is>
      </x:c>
      <x:c r="B574" s="81" t="inlineStr">
        <x:is>
          <x:t xml:space="preserve">Collected</x:t>
        </x:is>
      </x:c>
      <x:c r="C574" s="81" t="inlineStr">
        <x:is>
          <x:t xml:space="preserve">Nghỉ ngơi &amp; sức khỏe tinh thần</x:t>
        </x:is>
      </x:c>
      <x:c r="D574" s="81" t="inlineStr">
        <x:is>
          <x:t xml:space="preserve">Day 8 / Marcus Aurelius — Meditations 1–12</x:t>
        </x:is>
      </x:c>
      <x:c r="E574" s="81" t="str"/>
      <x:c r="F574" s="81" t="inlineStr">
        <x:is>
          <x:t xml:space="preserve">Lo tương lai</x:t>
        </x:is>
      </x:c>
      <x:c r="G574" s="81" t="inlineStr">
        <x:is>
          <x:t xml:space="preserve">Worry</x:t>
        </x:is>
      </x:c>
      <x:c r="H574" s="81" t="str"/>
      <x:c r="I574" s="81" t="str"/>
      <x:c r="J574" s="81" t="str"/>
      <x:c r="K574" s="81" t="inlineStr">
        <x:is>
          <x:t xml:space="preserve">Permit</x:t>
        </x:is>
      </x:c>
      <x:c r="L574" s="81" t="inlineStr">
        <x:is>
          <x:t xml:space="preserve">Recognize</x:t>
        </x:is>
      </x:c>
      <x:c r="M574" s="81" t="inlineStr">
        <x:is>
          <x:t xml:space="preserve">Meditation / self-address</x:t>
        </x:is>
      </x:c>
      <x:c r="N574" s="81" t="inlineStr">
        <x:is>
          <x:t xml:space="preserve">μὴ ταρασσέτω σε τὸ μέλλον</x:t>
        </x:is>
      </x:c>
      <x:c r="O574" s="81" t="inlineStr">
        <x:is>
          <x:t xml:space="preserve">Ancient Greek</x:t>
        </x:is>
      </x:c>
      <x:c r="P574" s="81" t="inlineStr">
        <x:is>
          <x:t xml:space="preserve">Đừng để toàn bộ tương lai tràn vào hiện tại cùng một lúc.</x:t>
        </x:is>
      </x:c>
      <x:c r="Q574" s="81" t="inlineStr">
        <x:is>
          <x:t xml:space="preserve">Marcus Aurelius</x:t>
        </x:is>
      </x:c>
      <x:c r="R574" s="81" t="inlineStr">
        <x:is>
          <x:t xml:space="preserve">Stoic / Roman Empire</x:t>
        </x:is>
      </x:c>
      <x:c r="S574" s="81" t="inlineStr">
        <x:is>
          <x:t xml:space="preserve">Τὰ εἰς ἑαυτόν / Meditations</x:t>
        </x:is>
      </x:c>
      <x:c r="T574" s="81" t="inlineStr">
        <x:is>
          <x:t xml:space="preserve">Book 7, 7.8</x:t>
        </x:is>
      </x:c>
      <x:c r="U574" s="81" t="inlineStr">
        <x:is>
          <x:t xml:space="preserve">https://www.perseus.tufts.edu/hopper/text?doc=Perseus:text:2008.01.0641:book=7</x:t>
        </x:is>
      </x:c>
      <x:c r="V574" s="81" t="inlineStr">
        <x:is>
          <x:t xml:space="preserve">Primary Greek edition / institutional corpus</x:t>
        </x:is>
      </x:c>
      <x:c r="W574" s="81" t="inlineStr">
        <x:is>
          <x:t xml:space="preserve">Working translation</x:t>
        </x:is>
      </x:c>
      <x:c r="X574" s="81" t="inlineStr">
        <x:is>
          <x:t xml:space="preserve">A - Primary source</x:t>
        </x:is>
      </x:c>
      <x:c r="Y574" s="81" t="inlineStr">
        <x:is>
          <x:t xml:space="preserve">Greek source anchor checked against the Meditations textual tradition (Perseus Leopold 1908 / Greek Wikisource cross-check). Vietnamese is Selflo working translation, not a published translation.</x:t>
        </x:is>
      </x:c>
      <x:c r="Z574" s="81" t="inlineStr">
        <x:is>
          <x:t xml:space="preserve">Ancient work public domain; digital edition reuse terms apply</x:t>
        </x:is>
      </x:c>
      <x:c r="AA574" s="81" t="inlineStr">
        <x:is>
          <x:t xml:space="preserve">Use original Greek/source location plus fresh Selflo translation/adaptation; do not copy modern copyrighted translations.</x:t>
        </x:is>
      </x:c>
      <x:c r="AB574" s="81" t="inlineStr">
        <x:is>
          <x:t xml:space="preserve">High</x:t>
        </x:is>
      </x:c>
      <x:c r="AC574" s="81" t="inlineStr">
        <x:is>
          <x:t xml:space="preserve">Working translation.</x:t>
        </x:is>
      </x:c>
      <x:c r="AD574" s="81" t="inlineStr">
        <x:is>
          <x:t xml:space="preserve">Needs editorial review</x:t>
        </x:is>
      </x:c>
      <x:c r="AE574" s="81" t="inlineStr">
        <x:is>
          <x:t xml:space="preserve">Needs semantic dedupe review</x:t>
        </x:is>
      </x:c>
      <x:c r="AF574" s="81" t="str"/>
      <x:c r="AG574" s="81" t="str"/>
      <x:c r="AH574" s="81" t="inlineStr">
        <x:is>
          <x:t xml:space="preserve">No</x:t>
        </x:is>
      </x:c>
      <x:c r="AI574" s="81" t="inlineStr">
        <x:is>
          <x:t xml:space="preserve">Not reviewed</x:t>
        </x:is>
      </x:c>
      <x:c r="AJ574" s="81" t="inlineStr">
        <x:is>
          <x:t xml:space="preserve">Research only</x:t>
        </x:is>
      </x:c>
      <x:c r="AK574" s="81" t="inlineStr">
        <x:is>
          <x:t xml:space="preserve">Research Pool</x:t>
        </x:is>
      </x:c>
      <x:c r="AL574" s="81" t="n">
        <x:v>8</x:v>
      </x:c>
      <x:c r="AM574" s="81" t="inlineStr">
        <x:is>
          <x:t xml:space="preserve">ChatGPT research</x:t>
        </x:is>
      </x:c>
      <x:c r="AN574" s="81" t="inlineStr">
        <x:is>
          <x:t xml:space="preserve">2026-09-18</x:t>
        </x:is>
      </x:c>
      <x:c r="AO574" s="81" t="inlineStr">
        <x:is>
          <x:t xml:space="preserve">Day 8 full first-pass screening of all 12 books of Meditations.</x:t>
        </x:is>
      </x:c>
    </x:row>
    <x:row r="575">
      <x:c r="A575" s="81" t="inlineStr">
        <x:is>
          <x:t xml:space="preserve">research.marcus.day8.book07.7_22.027</x:t>
        </x:is>
      </x:c>
      <x:c r="B575" s="81" t="inlineStr">
        <x:is>
          <x:t xml:space="preserve">Collected</x:t>
        </x:is>
      </x:c>
      <x:c r="C575" s="81" t="inlineStr">
        <x:is>
          <x:t xml:space="preserve">Quan hệ</x:t>
        </x:is>
      </x:c>
      <x:c r="D575" s="81" t="inlineStr">
        <x:is>
          <x:t xml:space="preserve">Day 8 / Marcus Aurelius — Meditations 1–12</x:t>
        </x:is>
      </x:c>
      <x:c r="E575" s="81" t="str"/>
      <x:c r="F575" s="81" t="inlineStr">
        <x:is>
          <x:t xml:space="preserve">Người khác sai và mình phản ứng</x:t>
        </x:is>
      </x:c>
      <x:c r="G575" s="81" t="inlineStr">
        <x:is>
          <x:t xml:space="preserve">Compassion</x:t>
        </x:is>
      </x:c>
      <x:c r="H575" s="81" t="str"/>
      <x:c r="I575" s="81" t="str"/>
      <x:c r="J575" s="81" t="str"/>
      <x:c r="K575" s="81" t="inlineStr">
        <x:is>
          <x:t xml:space="preserve">Reframe</x:t>
        </x:is>
      </x:c>
      <x:c r="L575" s="81" t="inlineStr">
        <x:is>
          <x:t xml:space="preserve">Recognize</x:t>
        </x:is>
      </x:c>
      <x:c r="M575" s="81" t="inlineStr">
        <x:is>
          <x:t xml:space="preserve">Meditation / self-address</x:t>
        </x:is>
      </x:c>
      <x:c r="N575" s="81" t="inlineStr">
        <x:is>
          <x:t xml:space="preserve">ἴδιον ἀνθρώπου φιλεῖν καὶ τοὺς πταίοντας</x:t>
        </x:is>
      </x:c>
      <x:c r="O575" s="81" t="inlineStr">
        <x:is>
          <x:t xml:space="preserve">Ancient Greek</x:t>
        </x:is>
      </x:c>
      <x:c r="P575" s="81" t="inlineStr">
        <x:is>
          <x:t xml:space="preserve">Marcus xem khả năng vẫn giữ nhân tính trước người sai lầm là một phần của đời sống xã hội.</x:t>
        </x:is>
      </x:c>
      <x:c r="Q575" s="81" t="inlineStr">
        <x:is>
          <x:t xml:space="preserve">Marcus Aurelius</x:t>
        </x:is>
      </x:c>
      <x:c r="R575" s="81" t="inlineStr">
        <x:is>
          <x:t xml:space="preserve">Stoic / Roman Empire</x:t>
        </x:is>
      </x:c>
      <x:c r="S575" s="81" t="inlineStr">
        <x:is>
          <x:t xml:space="preserve">Τὰ εἰς ἑαυτόν / Meditations</x:t>
        </x:is>
      </x:c>
      <x:c r="T575" s="81" t="inlineStr">
        <x:is>
          <x:t xml:space="preserve">Book 7, 7.22</x:t>
        </x:is>
      </x:c>
      <x:c r="U575" s="81" t="inlineStr">
        <x:is>
          <x:t xml:space="preserve">https://www.perseus.tufts.edu/hopper/text?doc=Perseus:text:2008.01.0641:book=7</x:t>
        </x:is>
      </x:c>
      <x:c r="V575" s="81" t="inlineStr">
        <x:is>
          <x:t xml:space="preserve">Primary Greek edition / institutional corpus</x:t>
        </x:is>
      </x:c>
      <x:c r="W575" s="81" t="inlineStr">
        <x:is>
          <x:t xml:space="preserve">Working translation</x:t>
        </x:is>
      </x:c>
      <x:c r="X575" s="81" t="inlineStr">
        <x:is>
          <x:t xml:space="preserve">A - Primary source</x:t>
        </x:is>
      </x:c>
      <x:c r="Y575" s="81" t="inlineStr">
        <x:is>
          <x:t xml:space="preserve">Greek source anchor checked against the Meditations textual tradition (Perseus Leopold 1908 / Greek Wikisource cross-check). Vietnamese is Selflo working translation, not a published translation.</x:t>
        </x:is>
      </x:c>
      <x:c r="Z575" s="81" t="inlineStr">
        <x:is>
          <x:t xml:space="preserve">Ancient work public domain; digital edition reuse terms apply</x:t>
        </x:is>
      </x:c>
      <x:c r="AA575" s="81" t="inlineStr">
        <x:is>
          <x:t xml:space="preserve">Use original Greek/source location plus fresh Selflo translation/adaptation; do not copy modern copyrighted translations.</x:t>
        </x:is>
      </x:c>
      <x:c r="AB575" s="81" t="inlineStr">
        <x:is>
          <x:t xml:space="preserve">Medium</x:t>
        </x:is>
      </x:c>
      <x:c r="AC575" s="81" t="inlineStr">
        <x:is>
          <x:t xml:space="preserve">Does not remove accountability.</x:t>
        </x:is>
      </x:c>
      <x:c r="AD575" s="81" t="inlineStr">
        <x:is>
          <x:t xml:space="preserve">Needs editorial review</x:t>
        </x:is>
      </x:c>
      <x:c r="AE575" s="81" t="inlineStr">
        <x:is>
          <x:t xml:space="preserve">Needs semantic dedupe review</x:t>
        </x:is>
      </x:c>
      <x:c r="AF575" s="81" t="str"/>
      <x:c r="AG575" s="81" t="str"/>
      <x:c r="AH575" s="81" t="inlineStr">
        <x:is>
          <x:t xml:space="preserve">No</x:t>
        </x:is>
      </x:c>
      <x:c r="AI575" s="81" t="inlineStr">
        <x:is>
          <x:t xml:space="preserve">Not reviewed</x:t>
        </x:is>
      </x:c>
      <x:c r="AJ575" s="81" t="inlineStr">
        <x:is>
          <x:t xml:space="preserve">Research only</x:t>
        </x:is>
      </x:c>
      <x:c r="AK575" s="81" t="inlineStr">
        <x:is>
          <x:t xml:space="preserve">Research Pool</x:t>
        </x:is>
      </x:c>
      <x:c r="AL575" s="81" t="n">
        <x:v>8</x:v>
      </x:c>
      <x:c r="AM575" s="81" t="inlineStr">
        <x:is>
          <x:t xml:space="preserve">ChatGPT research</x:t>
        </x:is>
      </x:c>
      <x:c r="AN575" s="81" t="inlineStr">
        <x:is>
          <x:t xml:space="preserve">2026-09-18</x:t>
        </x:is>
      </x:c>
      <x:c r="AO575" s="81" t="inlineStr">
        <x:is>
          <x:t xml:space="preserve">Day 8 full first-pass screening of all 12 books of Meditations.</x:t>
        </x:is>
      </x:c>
    </x:row>
    <x:row r="576">
      <x:c r="A576" s="81" t="inlineStr">
        <x:is>
          <x:t xml:space="preserve">research.marcus.day8.book07.7_54.028</x:t>
        </x:is>
      </x:c>
      <x:c r="B576" s="81" t="inlineStr">
        <x:is>
          <x:t xml:space="preserve">Collected</x:t>
        </x:is>
      </x:c>
      <x:c r="C576" s="81" t="inlineStr">
        <x:is>
          <x:t xml:space="preserve">Công việc &amp; mục đích</x:t>
        </x:is>
      </x:c>
      <x:c r="D576" s="81" t="inlineStr">
        <x:is>
          <x:t xml:space="preserve">Day 8 / Marcus Aurelius — Meditations 1–12</x:t>
        </x:is>
      </x:c>
      <x:c r="E576" s="81" t="str"/>
      <x:c r="F576" s="81" t="inlineStr">
        <x:is>
          <x:t xml:space="preserve">Bắt đầu lại</x:t>
        </x:is>
      </x:c>
      <x:c r="G576" s="81" t="inlineStr">
        <x:is>
          <x:t xml:space="preserve">Agency</x:t>
        </x:is>
      </x:c>
      <x:c r="H576" s="81" t="str"/>
      <x:c r="I576" s="81" t="str"/>
      <x:c r="J576" s="81" t="str"/>
      <x:c r="K576" s="81" t="inlineStr">
        <x:is>
          <x:t xml:space="preserve">Return agency</x:t>
        </x:is>
      </x:c>
      <x:c r="L576" s="81" t="inlineStr">
        <x:is>
          <x:t xml:space="preserve">Recognize</x:t>
        </x:is>
      </x:c>
      <x:c r="M576" s="81" t="inlineStr">
        <x:is>
          <x:t xml:space="preserve">Meditation / self-address</x:t>
        </x:is>
      </x:c>
      <x:c r="N576" s="81" t="inlineStr">
        <x:is>
          <x:t xml:space="preserve">πανταχοῦ καὶ διηνεκῶς ἐπὶ σοὶ τὸ παρόν</x:t>
        </x:is>
      </x:c>
      <x:c r="O576" s="81" t="inlineStr">
        <x:is>
          <x:t xml:space="preserve">Ancient Greek</x:t>
        </x:is>
      </x:c>
      <x:c r="P576" s="81" t="inlineStr">
        <x:is>
          <x:t xml:space="preserve">Ở bất cứ đâu, phần hiện tại vẫn là nơi mình có thể bắt đầu lại cách đáp lại.</x:t>
        </x:is>
      </x:c>
      <x:c r="Q576" s="81" t="inlineStr">
        <x:is>
          <x:t xml:space="preserve">Marcus Aurelius</x:t>
        </x:is>
      </x:c>
      <x:c r="R576" s="81" t="inlineStr">
        <x:is>
          <x:t xml:space="preserve">Stoic / Roman Empire</x:t>
        </x:is>
      </x:c>
      <x:c r="S576" s="81" t="inlineStr">
        <x:is>
          <x:t xml:space="preserve">Τὰ εἰς ἑαυτόν / Meditations</x:t>
        </x:is>
      </x:c>
      <x:c r="T576" s="81" t="inlineStr">
        <x:is>
          <x:t xml:space="preserve">Book 7, 7.54</x:t>
        </x:is>
      </x:c>
      <x:c r="U576" s="81" t="inlineStr">
        <x:is>
          <x:t xml:space="preserve">https://www.perseus.tufts.edu/hopper/text?doc=Perseus:text:2008.01.0641:book=7</x:t>
        </x:is>
      </x:c>
      <x:c r="V576" s="81" t="inlineStr">
        <x:is>
          <x:t xml:space="preserve">Primary Greek edition / institutional corpus</x:t>
        </x:is>
      </x:c>
      <x:c r="W576" s="81" t="inlineStr">
        <x:is>
          <x:t xml:space="preserve">Working translation</x:t>
        </x:is>
      </x:c>
      <x:c r="X576" s="81" t="inlineStr">
        <x:is>
          <x:t xml:space="preserve">A - Primary source</x:t>
        </x:is>
      </x:c>
      <x:c r="Y576" s="81" t="inlineStr">
        <x:is>
          <x:t xml:space="preserve">Greek source anchor checked against the Meditations textual tradition (Perseus Leopold 1908 / Greek Wikisource cross-check). Vietnamese is Selflo working translation, not a published translation.</x:t>
        </x:is>
      </x:c>
      <x:c r="Z576" s="81" t="inlineStr">
        <x:is>
          <x:t xml:space="preserve">Ancient work public domain; digital edition reuse terms apply</x:t>
        </x:is>
      </x:c>
      <x:c r="AA576" s="81" t="inlineStr">
        <x:is>
          <x:t xml:space="preserve">Use original Greek/source location plus fresh Selflo translation/adaptation; do not copy modern copyrighted translations.</x:t>
        </x:is>
      </x:c>
      <x:c r="AB576" s="81" t="inlineStr">
        <x:is>
          <x:t xml:space="preserve">High</x:t>
        </x:is>
      </x:c>
      <x:c r="AC576" s="81" t="inlineStr">
        <x:is>
          <x:t xml:space="preserve">Strong.</x:t>
        </x:is>
      </x:c>
      <x:c r="AD576" s="81" t="inlineStr">
        <x:is>
          <x:t xml:space="preserve">Needs editorial review</x:t>
        </x:is>
      </x:c>
      <x:c r="AE576" s="81" t="inlineStr">
        <x:is>
          <x:t xml:space="preserve">Needs semantic dedupe review</x:t>
        </x:is>
      </x:c>
      <x:c r="AF576" s="81" t="str"/>
      <x:c r="AG576" s="81" t="str"/>
      <x:c r="AH576" s="81" t="inlineStr">
        <x:is>
          <x:t xml:space="preserve">No</x:t>
        </x:is>
      </x:c>
      <x:c r="AI576" s="81" t="inlineStr">
        <x:is>
          <x:t xml:space="preserve">Not reviewed</x:t>
        </x:is>
      </x:c>
      <x:c r="AJ576" s="81" t="inlineStr">
        <x:is>
          <x:t xml:space="preserve">Research only</x:t>
        </x:is>
      </x:c>
      <x:c r="AK576" s="81" t="inlineStr">
        <x:is>
          <x:t xml:space="preserve">Research Pool</x:t>
        </x:is>
      </x:c>
      <x:c r="AL576" s="81" t="n">
        <x:v>8</x:v>
      </x:c>
      <x:c r="AM576" s="81" t="inlineStr">
        <x:is>
          <x:t xml:space="preserve">ChatGPT research</x:t>
        </x:is>
      </x:c>
      <x:c r="AN576" s="81" t="inlineStr">
        <x:is>
          <x:t xml:space="preserve">2026-09-18</x:t>
        </x:is>
      </x:c>
      <x:c r="AO576" s="81" t="inlineStr">
        <x:is>
          <x:t xml:space="preserve">Day 8 full first-pass screening of all 12 books of Meditations.</x:t>
        </x:is>
      </x:c>
    </x:row>
    <x:row r="577">
      <x:c r="A577" s="81" t="inlineStr">
        <x:is>
          <x:t xml:space="preserve">research.marcus.day8.book08.8_1.029</x:t>
        </x:is>
      </x:c>
      <x:c r="B577" s="81" t="inlineStr">
        <x:is>
          <x:t xml:space="preserve">Collected</x:t>
        </x:is>
      </x:c>
      <x:c r="C577" s="81" t="inlineStr">
        <x:is>
          <x:t xml:space="preserve">Nội tâm &amp; hiểu mình</x:t>
        </x:is>
      </x:c>
      <x:c r="D577" s="81" t="inlineStr">
        <x:is>
          <x:t xml:space="preserve">Day 8 / Marcus Aurelius — Meditations 1–12</x:t>
        </x:is>
      </x:c>
      <x:c r="E577" s="81" t="str"/>
      <x:c r="F577" s="81" t="inlineStr">
        <x:is>
          <x:t xml:space="preserve">Danh tiếng và bản sắc</x:t>
        </x:is>
      </x:c>
      <x:c r="G577" s="81" t="inlineStr">
        <x:is>
          <x:t xml:space="preserve">External validation</x:t>
        </x:is>
      </x:c>
      <x:c r="H577" s="81" t="str"/>
      <x:c r="I577" s="81" t="str"/>
      <x:c r="J577" s="81" t="str"/>
      <x:c r="K577" s="81" t="inlineStr">
        <x:is>
          <x:t xml:space="preserve">Permit</x:t>
        </x:is>
      </x:c>
      <x:c r="L577" s="81" t="inlineStr">
        <x:is>
          <x:t xml:space="preserve">Recognize</x:t>
        </x:is>
      </x:c>
      <x:c r="M577" s="81" t="inlineStr">
        <x:is>
          <x:t xml:space="preserve">Meditation / self-address</x:t>
        </x:is>
      </x:c>
      <x:c r="N577" s="81" t="inlineStr">
        <x:is>
          <x:t xml:space="preserve">τὸ μὲν τί δόξεις ἄφες</x:t>
        </x:is>
      </x:c>
      <x:c r="O577" s="81" t="inlineStr">
        <x:is>
          <x:t xml:space="preserve">Ancient Greek</x:t>
        </x:is>
      </x:c>
      <x:c r="P577" s="81" t="inlineStr">
        <x:is>
          <x:t xml:space="preserve">Bớt bận tâm mình sẽ trông như thế nào trong mắt người khác.</x:t>
        </x:is>
      </x:c>
      <x:c r="Q577" s="81" t="inlineStr">
        <x:is>
          <x:t xml:space="preserve">Marcus Aurelius</x:t>
        </x:is>
      </x:c>
      <x:c r="R577" s="81" t="inlineStr">
        <x:is>
          <x:t xml:space="preserve">Stoic / Roman Empire</x:t>
        </x:is>
      </x:c>
      <x:c r="S577" s="81" t="inlineStr">
        <x:is>
          <x:t xml:space="preserve">Τὰ εἰς ἑαυτόν / Meditations</x:t>
        </x:is>
      </x:c>
      <x:c r="T577" s="81" t="inlineStr">
        <x:is>
          <x:t xml:space="preserve">Book 8, 8.1</x:t>
        </x:is>
      </x:c>
      <x:c r="U577" s="81" t="inlineStr">
        <x:is>
          <x:t xml:space="preserve">https://www.perseus.tufts.edu/hopper/text?doc=Perseus:text:2008.01.0641:book=8</x:t>
        </x:is>
      </x:c>
      <x:c r="V577" s="81" t="inlineStr">
        <x:is>
          <x:t xml:space="preserve">Primary Greek edition / institutional corpus</x:t>
        </x:is>
      </x:c>
      <x:c r="W577" s="81" t="inlineStr">
        <x:is>
          <x:t xml:space="preserve">Working translation</x:t>
        </x:is>
      </x:c>
      <x:c r="X577" s="81" t="inlineStr">
        <x:is>
          <x:t xml:space="preserve">A - Primary source</x:t>
        </x:is>
      </x:c>
      <x:c r="Y577" s="81" t="inlineStr">
        <x:is>
          <x:t xml:space="preserve">Greek source anchor checked against the Meditations textual tradition (Perseus Leopold 1908 / Greek Wikisource cross-check). Vietnamese is Selflo working translation, not a published translation.</x:t>
        </x:is>
      </x:c>
      <x:c r="Z577" s="81" t="inlineStr">
        <x:is>
          <x:t xml:space="preserve">Ancient work public domain; digital edition reuse terms apply</x:t>
        </x:is>
      </x:c>
      <x:c r="AA577" s="81" t="inlineStr">
        <x:is>
          <x:t xml:space="preserve">Use original Greek/source location plus fresh Selflo translation/adaptation; do not copy modern copyrighted translations.</x:t>
        </x:is>
      </x:c>
      <x:c r="AB577" s="81" t="inlineStr">
        <x:is>
          <x:t xml:space="preserve">High</x:t>
        </x:is>
      </x:c>
      <x:c r="AC577" s="81" t="inlineStr">
        <x:is>
          <x:t xml:space="preserve">Book 8 opening.</x:t>
        </x:is>
      </x:c>
      <x:c r="AD577" s="81" t="inlineStr">
        <x:is>
          <x:t xml:space="preserve">Needs editorial review</x:t>
        </x:is>
      </x:c>
      <x:c r="AE577" s="81" t="inlineStr">
        <x:is>
          <x:t xml:space="preserve">Needs semantic dedupe review</x:t>
        </x:is>
      </x:c>
      <x:c r="AF577" s="81" t="str"/>
      <x:c r="AG577" s="81" t="str"/>
      <x:c r="AH577" s="81" t="inlineStr">
        <x:is>
          <x:t xml:space="preserve">No</x:t>
        </x:is>
      </x:c>
      <x:c r="AI577" s="81" t="inlineStr">
        <x:is>
          <x:t xml:space="preserve">Not reviewed</x:t>
        </x:is>
      </x:c>
      <x:c r="AJ577" s="81" t="inlineStr">
        <x:is>
          <x:t xml:space="preserve">Research only</x:t>
        </x:is>
      </x:c>
      <x:c r="AK577" s="81" t="inlineStr">
        <x:is>
          <x:t xml:space="preserve">Research Pool</x:t>
        </x:is>
      </x:c>
      <x:c r="AL577" s="81" t="n">
        <x:v>8</x:v>
      </x:c>
      <x:c r="AM577" s="81" t="inlineStr">
        <x:is>
          <x:t xml:space="preserve">ChatGPT research</x:t>
        </x:is>
      </x:c>
      <x:c r="AN577" s="81" t="inlineStr">
        <x:is>
          <x:t xml:space="preserve">2026-09-18</x:t>
        </x:is>
      </x:c>
      <x:c r="AO577" s="81" t="inlineStr">
        <x:is>
          <x:t xml:space="preserve">Day 8 full first-pass screening of all 12 books of Meditations.</x:t>
        </x:is>
      </x:c>
    </x:row>
    <x:row r="578">
      <x:c r="A578" s="81" t="inlineStr">
        <x:is>
          <x:t xml:space="preserve">research.marcus.day8.book08.8_2.030</x:t>
        </x:is>
      </x:c>
      <x:c r="B578" s="81" t="inlineStr">
        <x:is>
          <x:t xml:space="preserve">Collected</x:t>
        </x:is>
      </x:c>
      <x:c r="C578" s="81" t="inlineStr">
        <x:is>
          <x:t xml:space="preserve">AI &amp; tương lai</x:t>
        </x:is>
      </x:c>
      <x:c r="D578" s="81" t="inlineStr">
        <x:is>
          <x:t xml:space="preserve">Day 8 / Marcus Aurelius — Meditations 1–12</x:t>
        </x:is>
      </x:c>
      <x:c r="E578" s="81" t="str"/>
      <x:c r="F578" s="81" t="inlineStr">
        <x:is>
          <x:t xml:space="preserve">Tự kiểm tra trước hành động</x:t>
        </x:is>
      </x:c>
      <x:c r="G578" s="81" t="inlineStr">
        <x:is>
          <x:t xml:space="preserve">Reflection</x:t>
        </x:is>
      </x:c>
      <x:c r="H578" s="81" t="str"/>
      <x:c r="I578" s="81" t="str"/>
      <x:c r="J578" s="81" t="str"/>
      <x:c r="K578" s="81" t="inlineStr">
        <x:is>
          <x:t xml:space="preserve">Open question</x:t>
        </x:is>
      </x:c>
      <x:c r="L578" s="81" t="inlineStr">
        <x:is>
          <x:t xml:space="preserve">Recognize</x:t>
        </x:is>
      </x:c>
      <x:c r="M578" s="81" t="inlineStr">
        <x:is>
          <x:t xml:space="preserve">Meditation / self-address</x:t>
        </x:is>
      </x:c>
      <x:c r="N578" s="81" t="inlineStr">
        <x:is>
          <x:t xml:space="preserve">καθ᾽ ἑκάστην πρᾶξιν ἐρώτα σεαυτόν</x:t>
        </x:is>
      </x:c>
      <x:c r="O578" s="81" t="inlineStr">
        <x:is>
          <x:t xml:space="preserve">Ancient Greek</x:t>
        </x:is>
      </x:c>
      <x:c r="P578" s="81" t="inlineStr">
        <x:is>
          <x:t xml:space="preserve">Với mỗi hành động, hãy hỏi lại mình về nó.</x:t>
        </x:is>
      </x:c>
      <x:c r="Q578" s="81" t="inlineStr">
        <x:is>
          <x:t xml:space="preserve">Marcus Aurelius</x:t>
        </x:is>
      </x:c>
      <x:c r="R578" s="81" t="inlineStr">
        <x:is>
          <x:t xml:space="preserve">Stoic / Roman Empire</x:t>
        </x:is>
      </x:c>
      <x:c r="S578" s="81" t="inlineStr">
        <x:is>
          <x:t xml:space="preserve">Τὰ εἰς ἑαυτόν / Meditations</x:t>
        </x:is>
      </x:c>
      <x:c r="T578" s="81" t="inlineStr">
        <x:is>
          <x:t xml:space="preserve">Book 8, 8.2</x:t>
        </x:is>
      </x:c>
      <x:c r="U578" s="81" t="inlineStr">
        <x:is>
          <x:t xml:space="preserve">https://www.perseus.tufts.edu/hopper/text?doc=Perseus:text:2008.01.0641:book=8</x:t>
        </x:is>
      </x:c>
      <x:c r="V578" s="81" t="inlineStr">
        <x:is>
          <x:t xml:space="preserve">Primary Greek edition / institutional corpus</x:t>
        </x:is>
      </x:c>
      <x:c r="W578" s="81" t="inlineStr">
        <x:is>
          <x:t xml:space="preserve">Working translation</x:t>
        </x:is>
      </x:c>
      <x:c r="X578" s="81" t="inlineStr">
        <x:is>
          <x:t xml:space="preserve">A - Primary source</x:t>
        </x:is>
      </x:c>
      <x:c r="Y578" s="81" t="inlineStr">
        <x:is>
          <x:t xml:space="preserve">Greek source anchor checked against the Meditations textual tradition (Perseus Leopold 1908 / Greek Wikisource cross-check). Vietnamese is Selflo working translation, not a published translation.</x:t>
        </x:is>
      </x:c>
      <x:c r="Z578" s="81" t="inlineStr">
        <x:is>
          <x:t xml:space="preserve">Ancient work public domain; digital edition reuse terms apply</x:t>
        </x:is>
      </x:c>
      <x:c r="AA578" s="81" t="inlineStr">
        <x:is>
          <x:t xml:space="preserve">Use original Greek/source location plus fresh Selflo translation/adaptation; do not copy modern copyrighted translations.</x:t>
        </x:is>
      </x:c>
      <x:c r="AB578" s="81" t="inlineStr">
        <x:is>
          <x:t xml:space="preserve">High</x:t>
        </x:is>
      </x:c>
      <x:c r="AC578" s="81" t="inlineStr">
        <x:is>
          <x:t xml:space="preserve">Excellent Selflo prompt.</x:t>
        </x:is>
      </x:c>
      <x:c r="AD578" s="81" t="inlineStr">
        <x:is>
          <x:t xml:space="preserve">Needs editorial review</x:t>
        </x:is>
      </x:c>
      <x:c r="AE578" s="81" t="inlineStr">
        <x:is>
          <x:t xml:space="preserve">Needs semantic dedupe review</x:t>
        </x:is>
      </x:c>
      <x:c r="AF578" s="81" t="str"/>
      <x:c r="AG578" s="81" t="str"/>
      <x:c r="AH578" s="81" t="inlineStr">
        <x:is>
          <x:t xml:space="preserve">No</x:t>
        </x:is>
      </x:c>
      <x:c r="AI578" s="81" t="inlineStr">
        <x:is>
          <x:t xml:space="preserve">Not reviewed</x:t>
        </x:is>
      </x:c>
      <x:c r="AJ578" s="81" t="inlineStr">
        <x:is>
          <x:t xml:space="preserve">Research only</x:t>
        </x:is>
      </x:c>
      <x:c r="AK578" s="81" t="inlineStr">
        <x:is>
          <x:t xml:space="preserve">Research Pool</x:t>
        </x:is>
      </x:c>
      <x:c r="AL578" s="81" t="n">
        <x:v>8</x:v>
      </x:c>
      <x:c r="AM578" s="81" t="inlineStr">
        <x:is>
          <x:t xml:space="preserve">ChatGPT research</x:t>
        </x:is>
      </x:c>
      <x:c r="AN578" s="81" t="inlineStr">
        <x:is>
          <x:t xml:space="preserve">2026-09-18</x:t>
        </x:is>
      </x:c>
      <x:c r="AO578" s="81" t="inlineStr">
        <x:is>
          <x:t xml:space="preserve">Day 8 full first-pass screening of all 12 books of Meditations.</x:t>
        </x:is>
      </x:c>
    </x:row>
    <x:row r="579">
      <x:c r="A579" s="81" t="inlineStr">
        <x:is>
          <x:t xml:space="preserve">research.marcus.day8.book08.8_36.031</x:t>
        </x:is>
      </x:c>
      <x:c r="B579" s="81" t="inlineStr">
        <x:is>
          <x:t xml:space="preserve">Collected</x:t>
        </x:is>
      </x:c>
      <x:c r="C579" s="81" t="inlineStr">
        <x:is>
          <x:t xml:space="preserve">Nghỉ ngơi &amp; sức khỏe tinh thần</x:t>
        </x:is>
      </x:c>
      <x:c r="D579" s="81" t="inlineStr">
        <x:is>
          <x:t xml:space="preserve">Day 8 / Marcus Aurelius — Meditations 1–12</x:t>
        </x:is>
      </x:c>
      <x:c r="E579" s="81" t="str"/>
      <x:c r="F579" s="81" t="inlineStr">
        <x:is>
          <x:t xml:space="preserve">Quá tải nhận thức</x:t>
        </x:is>
      </x:c>
      <x:c r="G579" s="81" t="inlineStr">
        <x:is>
          <x:t xml:space="preserve">Overload</x:t>
        </x:is>
      </x:c>
      <x:c r="H579" s="81" t="str"/>
      <x:c r="I579" s="81" t="str"/>
      <x:c r="J579" s="81" t="str"/>
      <x:c r="K579" s="81" t="inlineStr">
        <x:is>
          <x:t xml:space="preserve">Recognize</x:t>
        </x:is>
      </x:c>
      <x:c r="L579" s="81" t="inlineStr">
        <x:is>
          <x:t xml:space="preserve">Distinguish</x:t>
        </x:is>
      </x:c>
      <x:c r="M579" s="81" t="inlineStr">
        <x:is>
          <x:t xml:space="preserve">Meditation / self-address</x:t>
        </x:is>
      </x:c>
      <x:c r="N579" s="81" t="inlineStr">
        <x:is>
          <x:t xml:space="preserve">μὴ σαυτὸν συγχέῃς</x:t>
        </x:is>
      </x:c>
      <x:c r="O579" s="81" t="inlineStr">
        <x:is>
          <x:t xml:space="preserve">Ancient Greek</x:t>
        </x:is>
      </x:c>
      <x:c r="P579" s="81" t="inlineStr">
        <x:is>
          <x:t xml:space="preserve">Đừng tự làm mình rối bằng cách gom quá nhiều thứ vào một khối.</x:t>
        </x:is>
      </x:c>
      <x:c r="Q579" s="81" t="inlineStr">
        <x:is>
          <x:t xml:space="preserve">Marcus Aurelius</x:t>
        </x:is>
      </x:c>
      <x:c r="R579" s="81" t="inlineStr">
        <x:is>
          <x:t xml:space="preserve">Stoic / Roman Empire</x:t>
        </x:is>
      </x:c>
      <x:c r="S579" s="81" t="inlineStr">
        <x:is>
          <x:t xml:space="preserve">Τὰ εἰς ἑαυτόν / Meditations</x:t>
        </x:is>
      </x:c>
      <x:c r="T579" s="81" t="inlineStr">
        <x:is>
          <x:t xml:space="preserve">Book 8, 8.36</x:t>
        </x:is>
      </x:c>
      <x:c r="U579" s="81" t="inlineStr">
        <x:is>
          <x:t xml:space="preserve">https://www.perseus.tufts.edu/hopper/text?doc=Perseus:text:2008.01.0641:book=8</x:t>
        </x:is>
      </x:c>
      <x:c r="V579" s="81" t="inlineStr">
        <x:is>
          <x:t xml:space="preserve">Primary Greek edition / institutional corpus</x:t>
        </x:is>
      </x:c>
      <x:c r="W579" s="81" t="inlineStr">
        <x:is>
          <x:t xml:space="preserve">Working translation</x:t>
        </x:is>
      </x:c>
      <x:c r="X579" s="81" t="inlineStr">
        <x:is>
          <x:t xml:space="preserve">A - Primary source</x:t>
        </x:is>
      </x:c>
      <x:c r="Y579" s="81" t="inlineStr">
        <x:is>
          <x:t xml:space="preserve">Greek source anchor checked against the Meditations textual tradition (Perseus Leopold 1908 / Greek Wikisource cross-check). Vietnamese is Selflo working translation, not a published translation.</x:t>
        </x:is>
      </x:c>
      <x:c r="Z579" s="81" t="inlineStr">
        <x:is>
          <x:t xml:space="preserve">Ancient work public domain; digital edition reuse terms apply</x:t>
        </x:is>
      </x:c>
      <x:c r="AA579" s="81" t="inlineStr">
        <x:is>
          <x:t xml:space="preserve">Use original Greek/source location plus fresh Selflo translation/adaptation; do not copy modern copyrighted translations.</x:t>
        </x:is>
      </x:c>
      <x:c r="AB579" s="81" t="inlineStr">
        <x:is>
          <x:t xml:space="preserve">High</x:t>
        </x:is>
      </x:c>
      <x:c r="AC579" s="81" t="inlineStr">
        <x:is>
          <x:t xml:space="preserve">Contextual.</x:t>
        </x:is>
      </x:c>
      <x:c r="AD579" s="81" t="inlineStr">
        <x:is>
          <x:t xml:space="preserve">Needs editorial review</x:t>
        </x:is>
      </x:c>
      <x:c r="AE579" s="81" t="inlineStr">
        <x:is>
          <x:t xml:space="preserve">Needs semantic dedupe review</x:t>
        </x:is>
      </x:c>
      <x:c r="AF579" s="81" t="str"/>
      <x:c r="AG579" s="81" t="str"/>
      <x:c r="AH579" s="81" t="inlineStr">
        <x:is>
          <x:t xml:space="preserve">No</x:t>
        </x:is>
      </x:c>
      <x:c r="AI579" s="81" t="inlineStr">
        <x:is>
          <x:t xml:space="preserve">Not reviewed</x:t>
        </x:is>
      </x:c>
      <x:c r="AJ579" s="81" t="inlineStr">
        <x:is>
          <x:t xml:space="preserve">Research only</x:t>
        </x:is>
      </x:c>
      <x:c r="AK579" s="81" t="inlineStr">
        <x:is>
          <x:t xml:space="preserve">Research Pool</x:t>
        </x:is>
      </x:c>
      <x:c r="AL579" s="81" t="n">
        <x:v>8</x:v>
      </x:c>
      <x:c r="AM579" s="81" t="inlineStr">
        <x:is>
          <x:t xml:space="preserve">ChatGPT research</x:t>
        </x:is>
      </x:c>
      <x:c r="AN579" s="81" t="inlineStr">
        <x:is>
          <x:t xml:space="preserve">2026-09-18</x:t>
        </x:is>
      </x:c>
      <x:c r="AO579" s="81" t="inlineStr">
        <x:is>
          <x:t xml:space="preserve">Day 8 full first-pass screening of all 12 books of Meditations.</x:t>
        </x:is>
      </x:c>
    </x:row>
    <x:row r="580">
      <x:c r="A580" s="81" t="inlineStr">
        <x:is>
          <x:t xml:space="preserve">research.marcus.day8.book08.8_47.032</x:t>
        </x:is>
      </x:c>
      <x:c r="B580" s="81" t="inlineStr">
        <x:is>
          <x:t xml:space="preserve">Collected</x:t>
        </x:is>
      </x:c>
      <x:c r="C580" s="81" t="inlineStr">
        <x:is>
          <x:t xml:space="preserve">AI &amp; tương lai</x:t>
        </x:is>
      </x:c>
      <x:c r="D580" s="81" t="inlineStr">
        <x:is>
          <x:t xml:space="preserve">Day 8 / Marcus Aurelius — Meditations 1–12</x:t>
        </x:is>
      </x:c>
      <x:c r="E580" s="81" t="str"/>
      <x:c r="F580" s="81" t="inlineStr">
        <x:is>
          <x:t xml:space="preserve">Sự kiện và phán đoán</x:t>
        </x:is>
      </x:c>
      <x:c r="G580" s="81" t="inlineStr">
        <x:is>
          <x:t xml:space="preserve">Judgment</x:t>
        </x:is>
      </x:c>
      <x:c r="H580" s="81" t="str"/>
      <x:c r="I580" s="81" t="str"/>
      <x:c r="J580" s="81" t="str"/>
      <x:c r="K580" s="81" t="inlineStr">
        <x:is>
          <x:t xml:space="preserve">Distinguish</x:t>
        </x:is>
      </x:c>
      <x:c r="L580" s="81" t="inlineStr">
        <x:is>
          <x:t xml:space="preserve">Recognize</x:t>
        </x:is>
      </x:c>
      <x:c r="M580" s="81" t="inlineStr">
        <x:is>
          <x:t xml:space="preserve">Meditation / self-address</x:t>
        </x:is>
      </x:c>
      <x:c r="N580" s="81" t="inlineStr">
        <x:is>
          <x:t xml:space="preserve">εἰ ἐκτός, οὐ τὸ πρᾶγμα ἐκεῖνό σε ἐνοχλεῖ, ἀλλὰ τὸ σὸν περὶ αὐτοῦ κρίμα</x:t>
        </x:is>
      </x:c>
      <x:c r="O580" s="81" t="inlineStr">
        <x:is>
          <x:t xml:space="preserve">Ancient Greek</x:t>
        </x:is>
      </x:c>
      <x:c r="P580" s="81" t="inlineStr">
        <x:is>
          <x:t xml:space="preserve">Nếu điều làm mình xáo trộn đến từ bên ngoài, hãy xem cả sự việc lẫn phán đoán mình đang mang về nó.</x:t>
        </x:is>
      </x:c>
      <x:c r="Q580" s="81" t="inlineStr">
        <x:is>
          <x:t xml:space="preserve">Marcus Aurelius</x:t>
        </x:is>
      </x:c>
      <x:c r="R580" s="81" t="inlineStr">
        <x:is>
          <x:t xml:space="preserve">Stoic / Roman Empire</x:t>
        </x:is>
      </x:c>
      <x:c r="S580" s="81" t="inlineStr">
        <x:is>
          <x:t xml:space="preserve">Τὰ εἰς ἑαυτόν / Meditations</x:t>
        </x:is>
      </x:c>
      <x:c r="T580" s="81" t="inlineStr">
        <x:is>
          <x:t xml:space="preserve">Book 8, 8.47</x:t>
        </x:is>
      </x:c>
      <x:c r="U580" s="81" t="inlineStr">
        <x:is>
          <x:t xml:space="preserve">https://www.perseus.tufts.edu/hopper/text?doc=Perseus:text:2008.01.0641:book=8</x:t>
        </x:is>
      </x:c>
      <x:c r="V580" s="81" t="inlineStr">
        <x:is>
          <x:t xml:space="preserve">Primary Greek edition / institutional corpus</x:t>
        </x:is>
      </x:c>
      <x:c r="W580" s="81" t="inlineStr">
        <x:is>
          <x:t xml:space="preserve">Working translation</x:t>
        </x:is>
      </x:c>
      <x:c r="X580" s="81" t="inlineStr">
        <x:is>
          <x:t xml:space="preserve">A - Primary source</x:t>
        </x:is>
      </x:c>
      <x:c r="Y580" s="81" t="inlineStr">
        <x:is>
          <x:t xml:space="preserve">Greek source anchor checked against the Meditations textual tradition (Perseus Leopold 1908 / Greek Wikisource cross-check). Vietnamese is Selflo working translation, not a published translation.</x:t>
        </x:is>
      </x:c>
      <x:c r="Z580" s="81" t="inlineStr">
        <x:is>
          <x:t xml:space="preserve">Ancient work public domain; digital edition reuse terms apply</x:t>
        </x:is>
      </x:c>
      <x:c r="AA580" s="81" t="inlineStr">
        <x:is>
          <x:t xml:space="preserve">Use original Greek/source location plus fresh Selflo translation/adaptation; do not copy modern copyrighted translations.</x:t>
        </x:is>
      </x:c>
      <x:c r="AB580" s="81" t="inlineStr">
        <x:is>
          <x:t xml:space="preserve">High</x:t>
        </x:is>
      </x:c>
      <x:c r="AC580" s="81" t="inlineStr">
        <x:is>
          <x:t xml:space="preserve">Again: don't deny external harm.</x:t>
        </x:is>
      </x:c>
      <x:c r="AD580" s="81" t="inlineStr">
        <x:is>
          <x:t xml:space="preserve">Needs editorial review</x:t>
        </x:is>
      </x:c>
      <x:c r="AE580" s="81" t="inlineStr">
        <x:is>
          <x:t xml:space="preserve">Needs semantic dedupe review</x:t>
        </x:is>
      </x:c>
      <x:c r="AF580" s="81" t="str"/>
      <x:c r="AG580" s="81" t="str"/>
      <x:c r="AH580" s="81" t="inlineStr">
        <x:is>
          <x:t xml:space="preserve">No</x:t>
        </x:is>
      </x:c>
      <x:c r="AI580" s="81" t="inlineStr">
        <x:is>
          <x:t xml:space="preserve">Not reviewed</x:t>
        </x:is>
      </x:c>
      <x:c r="AJ580" s="81" t="inlineStr">
        <x:is>
          <x:t xml:space="preserve">Research only</x:t>
        </x:is>
      </x:c>
      <x:c r="AK580" s="81" t="inlineStr">
        <x:is>
          <x:t xml:space="preserve">Research Pool</x:t>
        </x:is>
      </x:c>
      <x:c r="AL580" s="81" t="n">
        <x:v>8</x:v>
      </x:c>
      <x:c r="AM580" s="81" t="inlineStr">
        <x:is>
          <x:t xml:space="preserve">ChatGPT research</x:t>
        </x:is>
      </x:c>
      <x:c r="AN580" s="81" t="inlineStr">
        <x:is>
          <x:t xml:space="preserve">2026-09-18</x:t>
        </x:is>
      </x:c>
      <x:c r="AO580" s="81" t="inlineStr">
        <x:is>
          <x:t xml:space="preserve">Day 8 full first-pass screening of all 12 books of Meditations.</x:t>
        </x:is>
      </x:c>
    </x:row>
    <x:row r="581">
      <x:c r="A581" s="81" t="inlineStr">
        <x:is>
          <x:t xml:space="preserve">research.marcus.day8.book09.9_4.033</x:t>
        </x:is>
      </x:c>
      <x:c r="B581" s="81" t="inlineStr">
        <x:is>
          <x:t xml:space="preserve">Collected</x:t>
        </x:is>
      </x:c>
      <x:c r="C581" s="81" t="inlineStr">
        <x:is>
          <x:t xml:space="preserve">Quan hệ</x:t>
        </x:is>
      </x:c>
      <x:c r="D581" s="81" t="inlineStr">
        <x:is>
          <x:t xml:space="preserve">Day 8 / Marcus Aurelius — Meditations 1–12</x:t>
        </x:is>
      </x:c>
      <x:c r="E581" s="81" t="str"/>
      <x:c r="F581" s="81" t="inlineStr">
        <x:is>
          <x:t xml:space="preserve">Accountability without revenge</x:t>
        </x:is>
      </x:c>
      <x:c r="G581" s="81" t="inlineStr">
        <x:is>
          <x:t xml:space="preserve">Relationships</x:t>
        </x:is>
      </x:c>
      <x:c r="H581" s="81" t="str"/>
      <x:c r="I581" s="81" t="str"/>
      <x:c r="J581" s="81" t="str"/>
      <x:c r="K581" s="81" t="inlineStr">
        <x:is>
          <x:t xml:space="preserve">Reframe</x:t>
        </x:is>
      </x:c>
      <x:c r="L581" s="81" t="inlineStr">
        <x:is>
          <x:t xml:space="preserve">Recognize</x:t>
        </x:is>
      </x:c>
      <x:c r="M581" s="81" t="inlineStr">
        <x:is>
          <x:t xml:space="preserve">Meditation / self-address</x:t>
        </x:is>
      </x:c>
      <x:c r="N581" s="81" t="inlineStr">
        <x:is>
          <x:t xml:space="preserve">ὁ ἁμαρτάνων ἑαυτῷ ἁμαρτάνει</x:t>
        </x:is>
      </x:c>
      <x:c r="O581" s="81" t="inlineStr">
        <x:is>
          <x:t xml:space="preserve">Ancient Greek</x:t>
        </x:is>
      </x:c>
      <x:c r="P581" s="81" t="inlineStr">
        <x:is>
          <x:t xml:space="preserve">Người làm sai cũng đang làm tổn hại phần phẩm chất của chính họ.</x:t>
        </x:is>
      </x:c>
      <x:c r="Q581" s="81" t="inlineStr">
        <x:is>
          <x:t xml:space="preserve">Marcus Aurelius</x:t>
        </x:is>
      </x:c>
      <x:c r="R581" s="81" t="inlineStr">
        <x:is>
          <x:t xml:space="preserve">Stoic / Roman Empire</x:t>
        </x:is>
      </x:c>
      <x:c r="S581" s="81" t="inlineStr">
        <x:is>
          <x:t xml:space="preserve">Τὰ εἰς ἑαυτόν / Meditations</x:t>
        </x:is>
      </x:c>
      <x:c r="T581" s="81" t="inlineStr">
        <x:is>
          <x:t xml:space="preserve">Book 9, 9.4</x:t>
        </x:is>
      </x:c>
      <x:c r="U581" s="81" t="inlineStr">
        <x:is>
          <x:t xml:space="preserve">https://www.perseus.tufts.edu/hopper/text?doc=Perseus:text:2008.01.0641:book=9</x:t>
        </x:is>
      </x:c>
      <x:c r="V581" s="81" t="inlineStr">
        <x:is>
          <x:t xml:space="preserve">Primary Greek edition / institutional corpus</x:t>
        </x:is>
      </x:c>
      <x:c r="W581" s="81" t="inlineStr">
        <x:is>
          <x:t xml:space="preserve">Working translation</x:t>
        </x:is>
      </x:c>
      <x:c r="X581" s="81" t="inlineStr">
        <x:is>
          <x:t xml:space="preserve">A - Primary source</x:t>
        </x:is>
      </x:c>
      <x:c r="Y581" s="81" t="inlineStr">
        <x:is>
          <x:t xml:space="preserve">Greek source anchor checked against the Meditations textual tradition (Perseus Leopold 1908 / Greek Wikisource cross-check). Vietnamese is Selflo working translation, not a published translation.</x:t>
        </x:is>
      </x:c>
      <x:c r="Z581" s="81" t="inlineStr">
        <x:is>
          <x:t xml:space="preserve">Ancient work public domain; digital edition reuse terms apply</x:t>
        </x:is>
      </x:c>
      <x:c r="AA581" s="81" t="inlineStr">
        <x:is>
          <x:t xml:space="preserve">Use original Greek/source location plus fresh Selflo translation/adaptation; do not copy modern copyrighted translations.</x:t>
        </x:is>
      </x:c>
      <x:c r="AB581" s="81" t="inlineStr">
        <x:is>
          <x:t xml:space="preserve">Medium</x:t>
        </x:is>
      </x:c>
      <x:c r="AC581" s="81" t="inlineStr">
        <x:is>
          <x:t xml:space="preserve">Ancient moral frame.</x:t>
        </x:is>
      </x:c>
      <x:c r="AD581" s="81" t="inlineStr">
        <x:is>
          <x:t xml:space="preserve">Needs editorial review</x:t>
        </x:is>
      </x:c>
      <x:c r="AE581" s="81" t="inlineStr">
        <x:is>
          <x:t xml:space="preserve">Needs semantic dedupe review</x:t>
        </x:is>
      </x:c>
      <x:c r="AF581" s="81" t="str"/>
      <x:c r="AG581" s="81" t="str"/>
      <x:c r="AH581" s="81" t="inlineStr">
        <x:is>
          <x:t xml:space="preserve">No</x:t>
        </x:is>
      </x:c>
      <x:c r="AI581" s="81" t="inlineStr">
        <x:is>
          <x:t xml:space="preserve">Not reviewed</x:t>
        </x:is>
      </x:c>
      <x:c r="AJ581" s="81" t="inlineStr">
        <x:is>
          <x:t xml:space="preserve">Research only</x:t>
        </x:is>
      </x:c>
      <x:c r="AK581" s="81" t="inlineStr">
        <x:is>
          <x:t xml:space="preserve">Research Pool</x:t>
        </x:is>
      </x:c>
      <x:c r="AL581" s="81" t="n">
        <x:v>8</x:v>
      </x:c>
      <x:c r="AM581" s="81" t="inlineStr">
        <x:is>
          <x:t xml:space="preserve">ChatGPT research</x:t>
        </x:is>
      </x:c>
      <x:c r="AN581" s="81" t="inlineStr">
        <x:is>
          <x:t xml:space="preserve">2026-09-18</x:t>
        </x:is>
      </x:c>
      <x:c r="AO581" s="81" t="inlineStr">
        <x:is>
          <x:t xml:space="preserve">Day 8 full first-pass screening of all 12 books of Meditations.</x:t>
        </x:is>
      </x:c>
    </x:row>
    <x:row r="582">
      <x:c r="A582" s="81" t="inlineStr">
        <x:is>
          <x:t xml:space="preserve">research.marcus.day8.book09.9_6.034</x:t>
        </x:is>
      </x:c>
      <x:c r="B582" s="81" t="inlineStr">
        <x:is>
          <x:t xml:space="preserve">Collected</x:t>
        </x:is>
      </x:c>
      <x:c r="C582" s="81" t="inlineStr">
        <x:is>
          <x:t xml:space="preserve">AI &amp; tương lai</x:t>
        </x:is>
      </x:c>
      <x:c r="D582" s="81" t="inlineStr">
        <x:is>
          <x:t xml:space="preserve">Day 8 / Marcus Aurelius — Meditations 1–12</x:t>
        </x:is>
      </x:c>
      <x:c r="E582" s="81" t="str"/>
      <x:c r="F582" s="81" t="inlineStr">
        <x:is>
          <x:t xml:space="preserve">Một việc nhận thức tại một thời điểm</x:t>
        </x:is>
      </x:c>
      <x:c r="G582" s="81" t="inlineStr">
        <x:is>
          <x:t xml:space="preserve">Attention</x:t>
        </x:is>
      </x:c>
      <x:c r="H582" s="81" t="str"/>
      <x:c r="I582" s="81" t="str"/>
      <x:c r="J582" s="81" t="str"/>
      <x:c r="K582" s="81" t="inlineStr">
        <x:is>
          <x:t xml:space="preserve">Return agency</x:t>
        </x:is>
      </x:c>
      <x:c r="L582" s="81" t="inlineStr">
        <x:is>
          <x:t xml:space="preserve">Recognize</x:t>
        </x:is>
      </x:c>
      <x:c r="M582" s="81" t="inlineStr">
        <x:is>
          <x:t xml:space="preserve">Meditation / self-address</x:t>
        </x:is>
      </x:c>
      <x:c r="N582" s="81" t="inlineStr">
        <x:is>
          <x:t xml:space="preserve">ἀρκεῖ ἡ παροῦσα ὑπόληψις καταληπτική</x:t>
        </x:is>
      </x:c>
      <x:c r="O582" s="81" t="inlineStr">
        <x:is>
          <x:t xml:space="preserve">Ancient Greek</x:t>
        </x:is>
      </x:c>
      <x:c r="P582" s="81" t="inlineStr">
        <x:is>
          <x:t xml:space="preserve">Chỉ cần xử lý nhận định hiện đang ở trước mình, thay vì cả một đời cùng lúc.</x:t>
        </x:is>
      </x:c>
      <x:c r="Q582" s="81" t="inlineStr">
        <x:is>
          <x:t xml:space="preserve">Marcus Aurelius</x:t>
        </x:is>
      </x:c>
      <x:c r="R582" s="81" t="inlineStr">
        <x:is>
          <x:t xml:space="preserve">Stoic / Roman Empire</x:t>
        </x:is>
      </x:c>
      <x:c r="S582" s="81" t="inlineStr">
        <x:is>
          <x:t xml:space="preserve">Τὰ εἰς ἑαυτόν / Meditations</x:t>
        </x:is>
      </x:c>
      <x:c r="T582" s="81" t="inlineStr">
        <x:is>
          <x:t xml:space="preserve">Book 9, 9.6</x:t>
        </x:is>
      </x:c>
      <x:c r="U582" s="81" t="inlineStr">
        <x:is>
          <x:t xml:space="preserve">https://www.perseus.tufts.edu/hopper/text?doc=Perseus:text:2008.01.0641:book=9</x:t>
        </x:is>
      </x:c>
      <x:c r="V582" s="81" t="inlineStr">
        <x:is>
          <x:t xml:space="preserve">Primary Greek edition / institutional corpus</x:t>
        </x:is>
      </x:c>
      <x:c r="W582" s="81" t="inlineStr">
        <x:is>
          <x:t xml:space="preserve">Working translation</x:t>
        </x:is>
      </x:c>
      <x:c r="X582" s="81" t="inlineStr">
        <x:is>
          <x:t xml:space="preserve">A - Primary source</x:t>
        </x:is>
      </x:c>
      <x:c r="Y582" s="81" t="inlineStr">
        <x:is>
          <x:t xml:space="preserve">Greek source anchor checked against the Meditations textual tradition (Perseus Leopold 1908 / Greek Wikisource cross-check). Vietnamese is Selflo working translation, not a published translation.</x:t>
        </x:is>
      </x:c>
      <x:c r="Z582" s="81" t="inlineStr">
        <x:is>
          <x:t xml:space="preserve">Ancient work public domain; digital edition reuse terms apply</x:t>
        </x:is>
      </x:c>
      <x:c r="AA582" s="81" t="inlineStr">
        <x:is>
          <x:t xml:space="preserve">Use original Greek/source location plus fresh Selflo translation/adaptation; do not copy modern copyrighted translations.</x:t>
        </x:is>
      </x:c>
      <x:c r="AB582" s="81" t="inlineStr">
        <x:is>
          <x:t xml:space="preserve">High</x:t>
        </x:is>
      </x:c>
      <x:c r="AC582" s="81" t="inlineStr">
        <x:is>
          <x:t xml:space="preserve">Working translation.</x:t>
        </x:is>
      </x:c>
      <x:c r="AD582" s="81" t="inlineStr">
        <x:is>
          <x:t xml:space="preserve">Needs editorial review</x:t>
        </x:is>
      </x:c>
      <x:c r="AE582" s="81" t="inlineStr">
        <x:is>
          <x:t xml:space="preserve">Needs semantic dedupe review</x:t>
        </x:is>
      </x:c>
      <x:c r="AF582" s="81" t="str"/>
      <x:c r="AG582" s="81" t="str"/>
      <x:c r="AH582" s="81" t="inlineStr">
        <x:is>
          <x:t xml:space="preserve">No</x:t>
        </x:is>
      </x:c>
      <x:c r="AI582" s="81" t="inlineStr">
        <x:is>
          <x:t xml:space="preserve">Not reviewed</x:t>
        </x:is>
      </x:c>
      <x:c r="AJ582" s="81" t="inlineStr">
        <x:is>
          <x:t xml:space="preserve">Research only</x:t>
        </x:is>
      </x:c>
      <x:c r="AK582" s="81" t="inlineStr">
        <x:is>
          <x:t xml:space="preserve">Research Pool</x:t>
        </x:is>
      </x:c>
      <x:c r="AL582" s="81" t="n">
        <x:v>8</x:v>
      </x:c>
      <x:c r="AM582" s="81" t="inlineStr">
        <x:is>
          <x:t xml:space="preserve">ChatGPT research</x:t>
        </x:is>
      </x:c>
      <x:c r="AN582" s="81" t="inlineStr">
        <x:is>
          <x:t xml:space="preserve">2026-09-18</x:t>
        </x:is>
      </x:c>
      <x:c r="AO582" s="81" t="inlineStr">
        <x:is>
          <x:t xml:space="preserve">Day 8 full first-pass screening of all 12 books of Meditations.</x:t>
        </x:is>
      </x:c>
    </x:row>
    <x:row r="583">
      <x:c r="A583" s="81" t="inlineStr">
        <x:is>
          <x:t xml:space="preserve">research.marcus.day8.book09.9_42.035</x:t>
        </x:is>
      </x:c>
      <x:c r="B583" s="81" t="inlineStr">
        <x:is>
          <x:t xml:space="preserve">Collected</x:t>
        </x:is>
      </x:c>
      <x:c r="C583" s="81" t="inlineStr">
        <x:is>
          <x:t xml:space="preserve">Quan hệ</x:t>
        </x:is>
      </x:c>
      <x:c r="D583" s="81" t="inlineStr">
        <x:is>
          <x:t xml:space="preserve">Day 8 / Marcus Aurelius — Meditations 1–12</x:t>
        </x:is>
      </x:c>
      <x:c r="E583" s="81" t="str"/>
      <x:c r="F583" s="81" t="inlineStr">
        <x:is>
          <x:t xml:space="preserve">Giận dữ và nhân tính</x:t>
        </x:is>
      </x:c>
      <x:c r="G583" s="81" t="inlineStr">
        <x:is>
          <x:t xml:space="preserve">Compassion</x:t>
        </x:is>
      </x:c>
      <x:c r="H583" s="81" t="str"/>
      <x:c r="I583" s="81" t="str"/>
      <x:c r="J583" s="81" t="str"/>
      <x:c r="K583" s="81" t="inlineStr">
        <x:is>
          <x:t xml:space="preserve">Normalize</x:t>
        </x:is>
      </x:c>
      <x:c r="L583" s="81" t="inlineStr">
        <x:is>
          <x:t xml:space="preserve">Recognize</x:t>
        </x:is>
      </x:c>
      <x:c r="M583" s="81" t="inlineStr">
        <x:is>
          <x:t xml:space="preserve">Meditation / self-address</x:t>
        </x:is>
      </x:c>
      <x:c r="N583" s="81" t="inlineStr">
        <x:is>
          <x:t xml:space="preserve">ὅταν ὀργίζῃ... ἐνθύμου ὅτι τὸ ἁμαρτάνειν ἀνθρώπινον</x:t>
        </x:is>
      </x:c>
      <x:c r="O583" s="81" t="inlineStr">
        <x:is>
          <x:t xml:space="preserve">Ancient Greek</x:t>
        </x:is>
      </x:c>
      <x:c r="P583" s="81" t="inlineStr">
        <x:is>
          <x:t xml:space="preserve">Khi giận, nhớ rằng sai lầm là một phần của con người.</x:t>
        </x:is>
      </x:c>
      <x:c r="Q583" s="81" t="inlineStr">
        <x:is>
          <x:t xml:space="preserve">Marcus Aurelius</x:t>
        </x:is>
      </x:c>
      <x:c r="R583" s="81" t="inlineStr">
        <x:is>
          <x:t xml:space="preserve">Stoic / Roman Empire</x:t>
        </x:is>
      </x:c>
      <x:c r="S583" s="81" t="inlineStr">
        <x:is>
          <x:t xml:space="preserve">Τὰ εἰς ἑαυτόν / Meditations</x:t>
        </x:is>
      </x:c>
      <x:c r="T583" s="81" t="inlineStr">
        <x:is>
          <x:t xml:space="preserve">Book 9, 9.42</x:t>
        </x:is>
      </x:c>
      <x:c r="U583" s="81" t="inlineStr">
        <x:is>
          <x:t xml:space="preserve">https://www.perseus.tufts.edu/hopper/text?doc=Perseus:text:2008.01.0641:book=9</x:t>
        </x:is>
      </x:c>
      <x:c r="V583" s="81" t="inlineStr">
        <x:is>
          <x:t xml:space="preserve">Primary Greek edition / institutional corpus</x:t>
        </x:is>
      </x:c>
      <x:c r="W583" s="81" t="inlineStr">
        <x:is>
          <x:t xml:space="preserve">Working translation</x:t>
        </x:is>
      </x:c>
      <x:c r="X583" s="81" t="inlineStr">
        <x:is>
          <x:t xml:space="preserve">A - Primary source</x:t>
        </x:is>
      </x:c>
      <x:c r="Y583" s="81" t="inlineStr">
        <x:is>
          <x:t xml:space="preserve">Greek source anchor checked against the Meditations textual tradition (Perseus Leopold 1908 / Greek Wikisource cross-check). Vietnamese is Selflo working translation, not a published translation.</x:t>
        </x:is>
      </x:c>
      <x:c r="Z583" s="81" t="inlineStr">
        <x:is>
          <x:t xml:space="preserve">Ancient work public domain; digital edition reuse terms apply</x:t>
        </x:is>
      </x:c>
      <x:c r="AA583" s="81" t="inlineStr">
        <x:is>
          <x:t xml:space="preserve">Use original Greek/source location plus fresh Selflo translation/adaptation; do not copy modern copyrighted translations.</x:t>
        </x:is>
      </x:c>
      <x:c r="AB583" s="81" t="inlineStr">
        <x:is>
          <x:t xml:space="preserve">High</x:t>
        </x:is>
      </x:c>
      <x:c r="AC583" s="81" t="inlineStr">
        <x:is>
          <x:t xml:space="preserve">Does not excuse repeated harm.</x:t>
        </x:is>
      </x:c>
      <x:c r="AD583" s="81" t="inlineStr">
        <x:is>
          <x:t xml:space="preserve">Needs editorial review</x:t>
        </x:is>
      </x:c>
      <x:c r="AE583" s="81" t="inlineStr">
        <x:is>
          <x:t xml:space="preserve">Needs semantic dedupe review</x:t>
        </x:is>
      </x:c>
      <x:c r="AF583" s="81" t="str"/>
      <x:c r="AG583" s="81" t="str"/>
      <x:c r="AH583" s="81" t="inlineStr">
        <x:is>
          <x:t xml:space="preserve">No</x:t>
        </x:is>
      </x:c>
      <x:c r="AI583" s="81" t="inlineStr">
        <x:is>
          <x:t xml:space="preserve">Not reviewed</x:t>
        </x:is>
      </x:c>
      <x:c r="AJ583" s="81" t="inlineStr">
        <x:is>
          <x:t xml:space="preserve">Research only</x:t>
        </x:is>
      </x:c>
      <x:c r="AK583" s="81" t="inlineStr">
        <x:is>
          <x:t xml:space="preserve">Research Pool</x:t>
        </x:is>
      </x:c>
      <x:c r="AL583" s="81" t="n">
        <x:v>8</x:v>
      </x:c>
      <x:c r="AM583" s="81" t="inlineStr">
        <x:is>
          <x:t xml:space="preserve">ChatGPT research</x:t>
        </x:is>
      </x:c>
      <x:c r="AN583" s="81" t="inlineStr">
        <x:is>
          <x:t xml:space="preserve">2026-09-18</x:t>
        </x:is>
      </x:c>
      <x:c r="AO583" s="81" t="inlineStr">
        <x:is>
          <x:t xml:space="preserve">Day 8 full first-pass screening of all 12 books of Meditations.</x:t>
        </x:is>
      </x:c>
    </x:row>
    <x:row r="584">
      <x:c r="A584" s="81" t="inlineStr">
        <x:is>
          <x:t xml:space="preserve">research.marcus.day8.book10.10_1.036</x:t>
        </x:is>
      </x:c>
      <x:c r="B584" s="81" t="inlineStr">
        <x:is>
          <x:t xml:space="preserve">Collected</x:t>
        </x:is>
      </x:c>
      <x:c r="C584" s="81" t="inlineStr">
        <x:is>
          <x:t xml:space="preserve">Nghỉ ngơi &amp; sức khỏe tinh thần</x:t>
        </x:is>
      </x:c>
      <x:c r="D584" s="81" t="inlineStr">
        <x:is>
          <x:t xml:space="preserve">Day 8 / Marcus Aurelius — Meditations 1–12</x:t>
        </x:is>
      </x:c>
      <x:c r="E584" s="81" t="str"/>
      <x:c r="F584" s="81" t="inlineStr">
        <x:is>
          <x:t xml:space="preserve">Tâm trí bị kéo nhiều hướng</x:t>
        </x:is>
      </x:c>
      <x:c r="G584" s="81" t="inlineStr">
        <x:is>
          <x:t xml:space="preserve">Overload</x:t>
        </x:is>
      </x:c>
      <x:c r="H584" s="81" t="str"/>
      <x:c r="I584" s="81" t="str"/>
      <x:c r="J584" s="81" t="str"/>
      <x:c r="K584" s="81" t="inlineStr">
        <x:is>
          <x:t xml:space="preserve">Open question</x:t>
        </x:is>
      </x:c>
      <x:c r="L584" s="81" t="inlineStr">
        <x:is>
          <x:t xml:space="preserve">Recognize</x:t>
        </x:is>
      </x:c>
      <x:c r="M584" s="81" t="inlineStr">
        <x:is>
          <x:t xml:space="preserve">Meditation / self-address</x:t>
        </x:is>
      </x:c>
      <x:c r="N584" s="81" t="inlineStr">
        <x:is>
          <x:t xml:space="preserve">ἔσῃ ποτὲ ἆρα, ὦ ψυχή, ἀγαθὴ καὶ ἁπλῆ καὶ μία</x:t>
        </x:is>
      </x:c>
      <x:c r="O584" s="81" t="inlineStr">
        <x:is>
          <x:t xml:space="preserve">Ancient Greek</x:t>
        </x:is>
      </x:c>
      <x:c r="P584" s="81" t="inlineStr">
        <x:is>
          <x:t xml:space="preserve">Ông tự hỏi bao giờ tâm trí mình sẽ bớt chia cắt và trở nên đơn giản hơn.</x:t>
        </x:is>
      </x:c>
      <x:c r="Q584" s="81" t="inlineStr">
        <x:is>
          <x:t xml:space="preserve">Marcus Aurelius</x:t>
        </x:is>
      </x:c>
      <x:c r="R584" s="81" t="inlineStr">
        <x:is>
          <x:t xml:space="preserve">Stoic / Roman Empire</x:t>
        </x:is>
      </x:c>
      <x:c r="S584" s="81" t="inlineStr">
        <x:is>
          <x:t xml:space="preserve">Τὰ εἰς ἑαυτόν / Meditations</x:t>
        </x:is>
      </x:c>
      <x:c r="T584" s="81" t="inlineStr">
        <x:is>
          <x:t xml:space="preserve">Book 10, 10.1</x:t>
        </x:is>
      </x:c>
      <x:c r="U584" s="81" t="inlineStr">
        <x:is>
          <x:t xml:space="preserve">https://www.perseus.tufts.edu/hopper/text?doc=Perseus:text:2008.01.0641:book=10</x:t>
        </x:is>
      </x:c>
      <x:c r="V584" s="81" t="inlineStr">
        <x:is>
          <x:t xml:space="preserve">Primary Greek edition / institutional corpus</x:t>
        </x:is>
      </x:c>
      <x:c r="W584" s="81" t="inlineStr">
        <x:is>
          <x:t xml:space="preserve">Working translation</x:t>
        </x:is>
      </x:c>
      <x:c r="X584" s="81" t="inlineStr">
        <x:is>
          <x:t xml:space="preserve">A - Primary source</x:t>
        </x:is>
      </x:c>
      <x:c r="Y584" s="81" t="inlineStr">
        <x:is>
          <x:t xml:space="preserve">Greek source anchor checked against the Meditations textual tradition (Perseus Leopold 1908 / Greek Wikisource cross-check). Vietnamese is Selflo working translation, not a published translation.</x:t>
        </x:is>
      </x:c>
      <x:c r="Z584" s="81" t="inlineStr">
        <x:is>
          <x:t xml:space="preserve">Ancient work public domain; digital edition reuse terms apply</x:t>
        </x:is>
      </x:c>
      <x:c r="AA584" s="81" t="inlineStr">
        <x:is>
          <x:t xml:space="preserve">Use original Greek/source location plus fresh Selflo translation/adaptation; do not copy modern copyrighted translations.</x:t>
        </x:is>
      </x:c>
      <x:c r="AB584" s="81" t="inlineStr">
        <x:is>
          <x:t xml:space="preserve">High</x:t>
        </x:is>
      </x:c>
      <x:c r="AC584" s="81" t="inlineStr">
        <x:is>
          <x:t xml:space="preserve">Strong inner fragmentation.</x:t>
        </x:is>
      </x:c>
      <x:c r="AD584" s="81" t="inlineStr">
        <x:is>
          <x:t xml:space="preserve">Needs editorial review</x:t>
        </x:is>
      </x:c>
      <x:c r="AE584" s="81" t="inlineStr">
        <x:is>
          <x:t xml:space="preserve">Needs semantic dedupe review</x:t>
        </x:is>
      </x:c>
      <x:c r="AF584" s="81" t="str"/>
      <x:c r="AG584" s="81" t="str"/>
      <x:c r="AH584" s="81" t="inlineStr">
        <x:is>
          <x:t xml:space="preserve">No</x:t>
        </x:is>
      </x:c>
      <x:c r="AI584" s="81" t="inlineStr">
        <x:is>
          <x:t xml:space="preserve">Not reviewed</x:t>
        </x:is>
      </x:c>
      <x:c r="AJ584" s="81" t="inlineStr">
        <x:is>
          <x:t xml:space="preserve">Research only</x:t>
        </x:is>
      </x:c>
      <x:c r="AK584" s="81" t="inlineStr">
        <x:is>
          <x:t xml:space="preserve">Research Pool</x:t>
        </x:is>
      </x:c>
      <x:c r="AL584" s="81" t="n">
        <x:v>8</x:v>
      </x:c>
      <x:c r="AM584" s="81" t="inlineStr">
        <x:is>
          <x:t xml:space="preserve">ChatGPT research</x:t>
        </x:is>
      </x:c>
      <x:c r="AN584" s="81" t="inlineStr">
        <x:is>
          <x:t xml:space="preserve">2026-09-18</x:t>
        </x:is>
      </x:c>
      <x:c r="AO584" s="81" t="inlineStr">
        <x:is>
          <x:t xml:space="preserve">Day 8 full first-pass screening of all 12 books of Meditations.</x:t>
        </x:is>
      </x:c>
    </x:row>
    <x:row r="585">
      <x:c r="A585" s="81" t="inlineStr">
        <x:is>
          <x:t xml:space="preserve">research.marcus.day8.book10.10_8.037</x:t>
        </x:is>
      </x:c>
      <x:c r="B585" s="81" t="inlineStr">
        <x:is>
          <x:t xml:space="preserve">Collected</x:t>
        </x:is>
      </x:c>
      <x:c r="C585" s="81" t="inlineStr">
        <x:is>
          <x:t xml:space="preserve">Nội tâm &amp; hiểu mình</x:t>
        </x:is>
      </x:c>
      <x:c r="D585" s="81" t="inlineStr">
        <x:is>
          <x:t xml:space="preserve">Day 8 / Marcus Aurelius — Meditations 1–12</x:t>
        </x:is>
      </x:c>
      <x:c r="E585" s="81" t="str"/>
      <x:c r="F585" s="81" t="inlineStr">
        <x:is>
          <x:t xml:space="preserve">Danh và thực</x:t>
        </x:is>
      </x:c>
      <x:c r="G585" s="81" t="inlineStr">
        <x:is>
          <x:t xml:space="preserve">Identity</x:t>
        </x:is>
      </x:c>
      <x:c r="H585" s="81" t="str"/>
      <x:c r="I585" s="81" t="str"/>
      <x:c r="J585" s="81" t="str"/>
      <x:c r="K585" s="81" t="inlineStr">
        <x:is>
          <x:t xml:space="preserve">Distinguish</x:t>
        </x:is>
      </x:c>
      <x:c r="L585" s="81" t="inlineStr">
        <x:is>
          <x:t xml:space="preserve">Recognize</x:t>
        </x:is>
      </x:c>
      <x:c r="M585" s="81" t="inlineStr">
        <x:is>
          <x:t xml:space="preserve">Meditation / self-address</x:t>
        </x:is>
      </x:c>
      <x:c r="N585" s="81" t="inlineStr">
        <x:is>
          <x:t xml:space="preserve">ὀνόματα, ὀνόματα</x:t>
        </x:is>
      </x:c>
      <x:c r="O585" s="81" t="inlineStr">
        <x:is>
          <x:t xml:space="preserve">Ancient Greek</x:t>
        </x:is>
      </x:c>
      <x:c r="P585" s="81" t="inlineStr">
        <x:is>
          <x:t xml:space="preserve">Nhiều thứ ta đuổi theo cuối cùng cũng chỉ còn là tên gọi.</x:t>
        </x:is>
      </x:c>
      <x:c r="Q585" s="81" t="inlineStr">
        <x:is>
          <x:t xml:space="preserve">Marcus Aurelius</x:t>
        </x:is>
      </x:c>
      <x:c r="R585" s="81" t="inlineStr">
        <x:is>
          <x:t xml:space="preserve">Stoic / Roman Empire</x:t>
        </x:is>
      </x:c>
      <x:c r="S585" s="81" t="inlineStr">
        <x:is>
          <x:t xml:space="preserve">Τὰ εἰς ἑαυτόν / Meditations</x:t>
        </x:is>
      </x:c>
      <x:c r="T585" s="81" t="inlineStr">
        <x:is>
          <x:t xml:space="preserve">Book 10, 10.8</x:t>
        </x:is>
      </x:c>
      <x:c r="U585" s="81" t="inlineStr">
        <x:is>
          <x:t xml:space="preserve">https://www.perseus.tufts.edu/hopper/text?doc=Perseus:text:2008.01.0641:book=10</x:t>
        </x:is>
      </x:c>
      <x:c r="V585" s="81" t="inlineStr">
        <x:is>
          <x:t xml:space="preserve">Primary Greek edition / institutional corpus</x:t>
        </x:is>
      </x:c>
      <x:c r="W585" s="81" t="inlineStr">
        <x:is>
          <x:t xml:space="preserve">Working translation</x:t>
        </x:is>
      </x:c>
      <x:c r="X585" s="81" t="inlineStr">
        <x:is>
          <x:t xml:space="preserve">A - Primary source</x:t>
        </x:is>
      </x:c>
      <x:c r="Y585" s="81" t="inlineStr">
        <x:is>
          <x:t xml:space="preserve">Greek source anchor checked against the Meditations textual tradition (Perseus Leopold 1908 / Greek Wikisource cross-check). Vietnamese is Selflo working translation, not a published translation.</x:t>
        </x:is>
      </x:c>
      <x:c r="Z585" s="81" t="inlineStr">
        <x:is>
          <x:t xml:space="preserve">Ancient work public domain; digital edition reuse terms apply</x:t>
        </x:is>
      </x:c>
      <x:c r="AA585" s="81" t="inlineStr">
        <x:is>
          <x:t xml:space="preserve">Use original Greek/source location plus fresh Selflo translation/adaptation; do not copy modern copyrighted translations.</x:t>
        </x:is>
      </x:c>
      <x:c r="AB585" s="81" t="inlineStr">
        <x:is>
          <x:t xml:space="preserve">Medium</x:t>
        </x:is>
      </x:c>
      <x:c r="AC585" s="81" t="inlineStr">
        <x:is>
          <x:t xml:space="preserve">Contextual.</x:t>
        </x:is>
      </x:c>
      <x:c r="AD585" s="81" t="inlineStr">
        <x:is>
          <x:t xml:space="preserve">Needs editorial review</x:t>
        </x:is>
      </x:c>
      <x:c r="AE585" s="81" t="inlineStr">
        <x:is>
          <x:t xml:space="preserve">Needs semantic dedupe review</x:t>
        </x:is>
      </x:c>
      <x:c r="AF585" s="81" t="str"/>
      <x:c r="AG585" s="81" t="str"/>
      <x:c r="AH585" s="81" t="inlineStr">
        <x:is>
          <x:t xml:space="preserve">No</x:t>
        </x:is>
      </x:c>
      <x:c r="AI585" s="81" t="inlineStr">
        <x:is>
          <x:t xml:space="preserve">Not reviewed</x:t>
        </x:is>
      </x:c>
      <x:c r="AJ585" s="81" t="inlineStr">
        <x:is>
          <x:t xml:space="preserve">Research only</x:t>
        </x:is>
      </x:c>
      <x:c r="AK585" s="81" t="inlineStr">
        <x:is>
          <x:t xml:space="preserve">Research Pool</x:t>
        </x:is>
      </x:c>
      <x:c r="AL585" s="81" t="n">
        <x:v>8</x:v>
      </x:c>
      <x:c r="AM585" s="81" t="inlineStr">
        <x:is>
          <x:t xml:space="preserve">ChatGPT research</x:t>
        </x:is>
      </x:c>
      <x:c r="AN585" s="81" t="inlineStr">
        <x:is>
          <x:t xml:space="preserve">2026-09-18</x:t>
        </x:is>
      </x:c>
      <x:c r="AO585" s="81" t="inlineStr">
        <x:is>
          <x:t xml:space="preserve">Day 8 full first-pass screening of all 12 books of Meditations.</x:t>
        </x:is>
      </x:c>
    </x:row>
    <x:row r="586">
      <x:c r="A586" s="81" t="inlineStr">
        <x:is>
          <x:t xml:space="preserve">research.marcus.day8.book10.10_16.038</x:t>
        </x:is>
      </x:c>
      <x:c r="B586" s="81" t="inlineStr">
        <x:is>
          <x:t xml:space="preserve">Collected</x:t>
        </x:is>
      </x:c>
      <x:c r="C586" s="81" t="inlineStr">
        <x:is>
          <x:t xml:space="preserve">Công việc &amp; mục đích</x:t>
        </x:is>
      </x:c>
      <x:c r="D586" s="81" t="inlineStr">
        <x:is>
          <x:t xml:space="preserve">Day 8 / Marcus Aurelius — Meditations 1–12</x:t>
        </x:is>
      </x:c>
      <x:c r="E586" s="81" t="str"/>
      <x:c r="F586" s="81" t="inlineStr">
        <x:is>
          <x:t xml:space="preserve">Biết và sống</x:t>
        </x:is>
      </x:c>
      <x:c r="G586" s="81" t="inlineStr">
        <x:is>
          <x:t xml:space="preserve">Values</x:t>
        </x:is>
      </x:c>
      <x:c r="H586" s="81" t="str"/>
      <x:c r="I586" s="81" t="str"/>
      <x:c r="J586" s="81" t="str"/>
      <x:c r="K586" s="81" t="inlineStr">
        <x:is>
          <x:t xml:space="preserve">Return agency</x:t>
        </x:is>
      </x:c>
      <x:c r="L586" s="81" t="inlineStr">
        <x:is>
          <x:t xml:space="preserve">Recognize</x:t>
        </x:is>
      </x:c>
      <x:c r="M586" s="81" t="inlineStr">
        <x:is>
          <x:t xml:space="preserve">Meditation / self-address</x:t>
        </x:is>
      </x:c>
      <x:c r="N586" s="81" t="inlineStr">
        <x:is>
          <x:t xml:space="preserve">μηκέτι περὶ τοῦ οἷον δεῖ εἶναι τὸν ἀγαθὸν ἄνδρα διαλέγεσθαι, ἀλλὰ εἶναι</x:t>
        </x:is>
      </x:c>
      <x:c r="O586" s="81" t="inlineStr">
        <x:is>
          <x:t xml:space="preserve">Ancient Greek</x:t>
        </x:is>
      </x:c>
      <x:c r="P586" s="81" t="inlineStr">
        <x:is>
          <x:t xml:space="preserve">Đừng mãi bàn mình nên trở thành người thế nào; hãy bắt đầu sống phần mình đã nhận ra.</x:t>
        </x:is>
      </x:c>
      <x:c r="Q586" s="81" t="inlineStr">
        <x:is>
          <x:t xml:space="preserve">Marcus Aurelius</x:t>
        </x:is>
      </x:c>
      <x:c r="R586" s="81" t="inlineStr">
        <x:is>
          <x:t xml:space="preserve">Stoic / Roman Empire</x:t>
        </x:is>
      </x:c>
      <x:c r="S586" s="81" t="inlineStr">
        <x:is>
          <x:t xml:space="preserve">Τὰ εἰς ἑαυτόν / Meditations</x:t>
        </x:is>
      </x:c>
      <x:c r="T586" s="81" t="inlineStr">
        <x:is>
          <x:t xml:space="preserve">Book 10, 10.16</x:t>
        </x:is>
      </x:c>
      <x:c r="U586" s="81" t="inlineStr">
        <x:is>
          <x:t xml:space="preserve">https://www.perseus.tufts.edu/hopper/text?doc=Perseus:text:2008.01.0641:book=10</x:t>
        </x:is>
      </x:c>
      <x:c r="V586" s="81" t="inlineStr">
        <x:is>
          <x:t xml:space="preserve">Primary Greek edition / institutional corpus</x:t>
        </x:is>
      </x:c>
      <x:c r="W586" s="81" t="inlineStr">
        <x:is>
          <x:t xml:space="preserve">Working translation</x:t>
        </x:is>
      </x:c>
      <x:c r="X586" s="81" t="inlineStr">
        <x:is>
          <x:t xml:space="preserve">A - Primary source</x:t>
        </x:is>
      </x:c>
      <x:c r="Y586" s="81" t="inlineStr">
        <x:is>
          <x:t xml:space="preserve">Greek source anchor checked against the Meditations textual tradition (Perseus Leopold 1908 / Greek Wikisource cross-check). Vietnamese is Selflo working translation, not a published translation.</x:t>
        </x:is>
      </x:c>
      <x:c r="Z586" s="81" t="inlineStr">
        <x:is>
          <x:t xml:space="preserve">Ancient work public domain; digital edition reuse terms apply</x:t>
        </x:is>
      </x:c>
      <x:c r="AA586" s="81" t="inlineStr">
        <x:is>
          <x:t xml:space="preserve">Use original Greek/source location plus fresh Selflo translation/adaptation; do not copy modern copyrighted translations.</x:t>
        </x:is>
      </x:c>
      <x:c r="AB586" s="81" t="inlineStr">
        <x:is>
          <x:t xml:space="preserve">High</x:t>
        </x:is>
      </x:c>
      <x:c r="AC586" s="81" t="inlineStr">
        <x:is>
          <x:t xml:space="preserve">Canonical location.</x:t>
        </x:is>
      </x:c>
      <x:c r="AD586" s="81" t="inlineStr">
        <x:is>
          <x:t xml:space="preserve">Needs editorial review</x:t>
        </x:is>
      </x:c>
      <x:c r="AE586" s="81" t="inlineStr">
        <x:is>
          <x:t xml:space="preserve">Needs semantic dedupe review</x:t>
        </x:is>
      </x:c>
      <x:c r="AF586" s="81" t="str"/>
      <x:c r="AG586" s="81" t="str"/>
      <x:c r="AH586" s="81" t="inlineStr">
        <x:is>
          <x:t xml:space="preserve">No</x:t>
        </x:is>
      </x:c>
      <x:c r="AI586" s="81" t="inlineStr">
        <x:is>
          <x:t xml:space="preserve">Not reviewed</x:t>
        </x:is>
      </x:c>
      <x:c r="AJ586" s="81" t="inlineStr">
        <x:is>
          <x:t xml:space="preserve">Research only</x:t>
        </x:is>
      </x:c>
      <x:c r="AK586" s="81" t="inlineStr">
        <x:is>
          <x:t xml:space="preserve">Research Pool</x:t>
        </x:is>
      </x:c>
      <x:c r="AL586" s="81" t="n">
        <x:v>8</x:v>
      </x:c>
      <x:c r="AM586" s="81" t="inlineStr">
        <x:is>
          <x:t xml:space="preserve">ChatGPT research</x:t>
        </x:is>
      </x:c>
      <x:c r="AN586" s="81" t="inlineStr">
        <x:is>
          <x:t xml:space="preserve">2026-09-18</x:t>
        </x:is>
      </x:c>
      <x:c r="AO586" s="81" t="inlineStr">
        <x:is>
          <x:t xml:space="preserve">Day 8 full first-pass screening of all 12 books of Meditations.</x:t>
        </x:is>
      </x:c>
    </x:row>
    <x:row r="587">
      <x:c r="A587" s="81" t="inlineStr">
        <x:is>
          <x:t xml:space="preserve">research.marcus.day8.book10.10_31.039</x:t>
        </x:is>
      </x:c>
      <x:c r="B587" s="81" t="inlineStr">
        <x:is>
          <x:t xml:space="preserve">Collected</x:t>
        </x:is>
      </x:c>
      <x:c r="C587" s="81" t="inlineStr">
        <x:is>
          <x:t xml:space="preserve">AI &amp; tương lai</x:t>
        </x:is>
      </x:c>
      <x:c r="D587" s="81" t="inlineStr">
        <x:is>
          <x:t xml:space="preserve">Day 8 / Marcus Aurelius — Meditations 1–12</x:t>
        </x:is>
      </x:c>
      <x:c r="E587" s="81" t="str"/>
      <x:c r="F587" s="81" t="inlineStr">
        <x:is>
          <x:t xml:space="preserve">Khoảng cách thời gian</x:t>
        </x:is>
      </x:c>
      <x:c r="G587" s="81" t="inlineStr">
        <x:is>
          <x:t xml:space="preserve">Perspective</x:t>
        </x:is>
      </x:c>
      <x:c r="H587" s="81" t="str"/>
      <x:c r="I587" s="81" t="str"/>
      <x:c r="J587" s="81" t="str"/>
      <x:c r="K587" s="81" t="inlineStr">
        <x:is>
          <x:t xml:space="preserve">Reframe</x:t>
        </x:is>
      </x:c>
      <x:c r="L587" s="81" t="inlineStr">
        <x:is>
          <x:t xml:space="preserve">Recognize</x:t>
        </x:is>
      </x:c>
      <x:c r="M587" s="81" t="inlineStr">
        <x:is>
          <x:t xml:space="preserve">Meditation / self-address</x:t>
        </x:is>
      </x:c>
      <x:c r="N587" s="81" t="inlineStr">
        <x:is>
          <x:t xml:space="preserve">ἀναλογίζου τὸν βίον</x:t>
        </x:is>
      </x:c>
      <x:c r="O587" s="81" t="inlineStr">
        <x:is>
          <x:t xml:space="preserve">Ancient Greek</x:t>
        </x:is>
      </x:c>
      <x:c r="P587" s="81" t="inlineStr">
        <x:is>
          <x:t xml:space="preserve">Nhìn lại đời mình để thấy những thứ từng làm mình bận tâm đã thay đổi thế nào.</x:t>
        </x:is>
      </x:c>
      <x:c r="Q587" s="81" t="inlineStr">
        <x:is>
          <x:t xml:space="preserve">Marcus Aurelius</x:t>
        </x:is>
      </x:c>
      <x:c r="R587" s="81" t="inlineStr">
        <x:is>
          <x:t xml:space="preserve">Stoic / Roman Empire</x:t>
        </x:is>
      </x:c>
      <x:c r="S587" s="81" t="inlineStr">
        <x:is>
          <x:t xml:space="preserve">Τὰ εἰς ἑαυτόν / Meditations</x:t>
        </x:is>
      </x:c>
      <x:c r="T587" s="81" t="inlineStr">
        <x:is>
          <x:t xml:space="preserve">Book 10, 10.31</x:t>
        </x:is>
      </x:c>
      <x:c r="U587" s="81" t="inlineStr">
        <x:is>
          <x:t xml:space="preserve">https://www.perseus.tufts.edu/hopper/text?doc=Perseus:text:2008.01.0641:book=10</x:t>
        </x:is>
      </x:c>
      <x:c r="V587" s="81" t="inlineStr">
        <x:is>
          <x:t xml:space="preserve">Primary Greek edition / institutional corpus</x:t>
        </x:is>
      </x:c>
      <x:c r="W587" s="81" t="inlineStr">
        <x:is>
          <x:t xml:space="preserve">Working translation</x:t>
        </x:is>
      </x:c>
      <x:c r="X587" s="81" t="inlineStr">
        <x:is>
          <x:t xml:space="preserve">A - Primary source</x:t>
        </x:is>
      </x:c>
      <x:c r="Y587" s="81" t="inlineStr">
        <x:is>
          <x:t xml:space="preserve">Greek source anchor checked against the Meditations textual tradition (Perseus Leopold 1908 / Greek Wikisource cross-check). Vietnamese is Selflo working translation, not a published translation.</x:t>
        </x:is>
      </x:c>
      <x:c r="Z587" s="81" t="inlineStr">
        <x:is>
          <x:t xml:space="preserve">Ancient work public domain; digital edition reuse terms apply</x:t>
        </x:is>
      </x:c>
      <x:c r="AA587" s="81" t="inlineStr">
        <x:is>
          <x:t xml:space="preserve">Use original Greek/source location plus fresh Selflo translation/adaptation; do not copy modern copyrighted translations.</x:t>
        </x:is>
      </x:c>
      <x:c r="AB587" s="81" t="inlineStr">
        <x:is>
          <x:t xml:space="preserve">High</x:t>
        </x:is>
      </x:c>
      <x:c r="AC587" s="81" t="inlineStr">
        <x:is>
          <x:t xml:space="preserve">Good Journey/reflection.</x:t>
        </x:is>
      </x:c>
      <x:c r="AD587" s="81" t="inlineStr">
        <x:is>
          <x:t xml:space="preserve">Needs editorial review</x:t>
        </x:is>
      </x:c>
      <x:c r="AE587" s="81" t="inlineStr">
        <x:is>
          <x:t xml:space="preserve">Needs semantic dedupe review</x:t>
        </x:is>
      </x:c>
      <x:c r="AF587" s="81" t="str"/>
      <x:c r="AG587" s="81" t="str"/>
      <x:c r="AH587" s="81" t="inlineStr">
        <x:is>
          <x:t xml:space="preserve">No</x:t>
        </x:is>
      </x:c>
      <x:c r="AI587" s="81" t="inlineStr">
        <x:is>
          <x:t xml:space="preserve">Not reviewed</x:t>
        </x:is>
      </x:c>
      <x:c r="AJ587" s="81" t="inlineStr">
        <x:is>
          <x:t xml:space="preserve">Research only</x:t>
        </x:is>
      </x:c>
      <x:c r="AK587" s="81" t="inlineStr">
        <x:is>
          <x:t xml:space="preserve">Research Pool</x:t>
        </x:is>
      </x:c>
      <x:c r="AL587" s="81" t="n">
        <x:v>8</x:v>
      </x:c>
      <x:c r="AM587" s="81" t="inlineStr">
        <x:is>
          <x:t xml:space="preserve">ChatGPT research</x:t>
        </x:is>
      </x:c>
      <x:c r="AN587" s="81" t="inlineStr">
        <x:is>
          <x:t xml:space="preserve">2026-09-18</x:t>
        </x:is>
      </x:c>
      <x:c r="AO587" s="81" t="inlineStr">
        <x:is>
          <x:t xml:space="preserve">Day 8 full first-pass screening of all 12 books of Meditations.</x:t>
        </x:is>
      </x:c>
    </x:row>
    <x:row r="588">
      <x:c r="A588" s="81" t="inlineStr">
        <x:is>
          <x:t xml:space="preserve">research.marcus.day8.book11.11_1.040</x:t>
        </x:is>
      </x:c>
      <x:c r="B588" s="81" t="inlineStr">
        <x:is>
          <x:t xml:space="preserve">Collected</x:t>
        </x:is>
      </x:c>
      <x:c r="C588" s="81" t="inlineStr">
        <x:is>
          <x:t xml:space="preserve">AI &amp; tương lai</x:t>
        </x:is>
      </x:c>
      <x:c r="D588" s="81" t="inlineStr">
        <x:is>
          <x:t xml:space="preserve">Day 8 / Marcus Aurelius — Meditations 1–12</x:t>
        </x:is>
      </x:c>
      <x:c r="E588" s="81" t="str"/>
      <x:c r="F588" s="81" t="inlineStr">
        <x:is>
          <x:t xml:space="preserve">Meta-cognition</x:t>
        </x:is>
      </x:c>
      <x:c r="G588" s="81" t="inlineStr">
        <x:is>
          <x:t xml:space="preserve">Metacognition</x:t>
        </x:is>
      </x:c>
      <x:c r="H588" s="81" t="str"/>
      <x:c r="I588" s="81" t="str"/>
      <x:c r="J588" s="81" t="str"/>
      <x:c r="K588" s="81" t="inlineStr">
        <x:is>
          <x:t xml:space="preserve">Recognize</x:t>
        </x:is>
      </x:c>
      <x:c r="L588" s="81" t="inlineStr">
        <x:is>
          <x:t xml:space="preserve">Distinguish</x:t>
        </x:is>
      </x:c>
      <x:c r="M588" s="81" t="inlineStr">
        <x:is>
          <x:t xml:space="preserve">Meditation / self-address</x:t>
        </x:is>
      </x:c>
      <x:c r="N588" s="81" t="inlineStr">
        <x:is>
          <x:t xml:space="preserve">ἡ λογικὴ ψυχὴ περιέρχεται ἑαυτήν</x:t>
        </x:is>
      </x:c>
      <x:c r="O588" s="81" t="inlineStr">
        <x:is>
          <x:t xml:space="preserve">Ancient Greek</x:t>
        </x:is>
      </x:c>
      <x:c r="P588" s="81" t="inlineStr">
        <x:is>
          <x:t xml:space="preserve">Tâm trí có khả năng quay lại quan sát chính nó.</x:t>
        </x:is>
      </x:c>
      <x:c r="Q588" s="81" t="inlineStr">
        <x:is>
          <x:t xml:space="preserve">Marcus Aurelius</x:t>
        </x:is>
      </x:c>
      <x:c r="R588" s="81" t="inlineStr">
        <x:is>
          <x:t xml:space="preserve">Stoic / Roman Empire</x:t>
        </x:is>
      </x:c>
      <x:c r="S588" s="81" t="inlineStr">
        <x:is>
          <x:t xml:space="preserve">Τὰ εἰς ἑαυτόν / Meditations</x:t>
        </x:is>
      </x:c>
      <x:c r="T588" s="81" t="inlineStr">
        <x:is>
          <x:t xml:space="preserve">Book 11, 11.1</x:t>
        </x:is>
      </x:c>
      <x:c r="U588" s="81" t="inlineStr">
        <x:is>
          <x:t xml:space="preserve">https://www.perseus.tufts.edu/hopper/text?doc=Perseus:text:2008.01.0641:book=11</x:t>
        </x:is>
      </x:c>
      <x:c r="V588" s="81" t="inlineStr">
        <x:is>
          <x:t xml:space="preserve">Primary Greek edition / institutional corpus</x:t>
        </x:is>
      </x:c>
      <x:c r="W588" s="81" t="inlineStr">
        <x:is>
          <x:t xml:space="preserve">Working translation</x:t>
        </x:is>
      </x:c>
      <x:c r="X588" s="81" t="inlineStr">
        <x:is>
          <x:t xml:space="preserve">A - Primary source</x:t>
        </x:is>
      </x:c>
      <x:c r="Y588" s="81" t="inlineStr">
        <x:is>
          <x:t xml:space="preserve">Greek source anchor checked against the Meditations textual tradition (Perseus Leopold 1908 / Greek Wikisource cross-check). Vietnamese is Selflo working translation, not a published translation.</x:t>
        </x:is>
      </x:c>
      <x:c r="Z588" s="81" t="inlineStr">
        <x:is>
          <x:t xml:space="preserve">Ancient work public domain; digital edition reuse terms apply</x:t>
        </x:is>
      </x:c>
      <x:c r="AA588" s="81" t="inlineStr">
        <x:is>
          <x:t xml:space="preserve">Use original Greek/source location plus fresh Selflo translation/adaptation; do not copy modern copyrighted translations.</x:t>
        </x:is>
      </x:c>
      <x:c r="AB588" s="81" t="inlineStr">
        <x:is>
          <x:t xml:space="preserve">High</x:t>
        </x:is>
      </x:c>
      <x:c r="AC588" s="81" t="inlineStr">
        <x:is>
          <x:t xml:space="preserve">Very aligned with AI-age docs.</x:t>
        </x:is>
      </x:c>
      <x:c r="AD588" s="81" t="inlineStr">
        <x:is>
          <x:t xml:space="preserve">Needs editorial review</x:t>
        </x:is>
      </x:c>
      <x:c r="AE588" s="81" t="inlineStr">
        <x:is>
          <x:t xml:space="preserve">Needs semantic dedupe review</x:t>
        </x:is>
      </x:c>
      <x:c r="AF588" s="81" t="str"/>
      <x:c r="AG588" s="81" t="str"/>
      <x:c r="AH588" s="81" t="inlineStr">
        <x:is>
          <x:t xml:space="preserve">No</x:t>
        </x:is>
      </x:c>
      <x:c r="AI588" s="81" t="inlineStr">
        <x:is>
          <x:t xml:space="preserve">Not reviewed</x:t>
        </x:is>
      </x:c>
      <x:c r="AJ588" s="81" t="inlineStr">
        <x:is>
          <x:t xml:space="preserve">Research only</x:t>
        </x:is>
      </x:c>
      <x:c r="AK588" s="81" t="inlineStr">
        <x:is>
          <x:t xml:space="preserve">Research Pool</x:t>
        </x:is>
      </x:c>
      <x:c r="AL588" s="81" t="n">
        <x:v>8</x:v>
      </x:c>
      <x:c r="AM588" s="81" t="inlineStr">
        <x:is>
          <x:t xml:space="preserve">ChatGPT research</x:t>
        </x:is>
      </x:c>
      <x:c r="AN588" s="81" t="inlineStr">
        <x:is>
          <x:t xml:space="preserve">2026-09-18</x:t>
        </x:is>
      </x:c>
      <x:c r="AO588" s="81" t="inlineStr">
        <x:is>
          <x:t xml:space="preserve">Day 8 full first-pass screening of all 12 books of Meditations.</x:t>
        </x:is>
      </x:c>
    </x:row>
    <x:row r="589">
      <x:c r="A589" s="81" t="inlineStr">
        <x:is>
          <x:t xml:space="preserve">research.marcus.day8.book11.11_8.041</x:t>
        </x:is>
      </x:c>
      <x:c r="B589" s="81" t="inlineStr">
        <x:is>
          <x:t xml:space="preserve">Collected</x:t>
        </x:is>
      </x:c>
      <x:c r="C589" s="81" t="inlineStr">
        <x:is>
          <x:t xml:space="preserve">Quan hệ</x:t>
        </x:is>
      </x:c>
      <x:c r="D589" s="81" t="inlineStr">
        <x:is>
          <x:t xml:space="preserve">Day 8 / Marcus Aurelius — Meditations 1–12</x:t>
        </x:is>
      </x:c>
      <x:c r="E589" s="81" t="str"/>
      <x:c r="F589" s="81" t="inlineStr">
        <x:is>
          <x:t xml:space="preserve">Mất kết nối và quay lại</x:t>
        </x:is>
      </x:c>
      <x:c r="G589" s="81" t="inlineStr">
        <x:is>
          <x:t xml:space="preserve">Belonging</x:t>
        </x:is>
      </x:c>
      <x:c r="H589" s="81" t="str"/>
      <x:c r="I589" s="81" t="str"/>
      <x:c r="J589" s="81" t="str"/>
      <x:c r="K589" s="81" t="inlineStr">
        <x:is>
          <x:t xml:space="preserve">Reframe</x:t>
        </x:is>
      </x:c>
      <x:c r="L589" s="81" t="inlineStr">
        <x:is>
          <x:t xml:space="preserve">Recognize</x:t>
        </x:is>
      </x:c>
      <x:c r="M589" s="81" t="inlineStr">
        <x:is>
          <x:t xml:space="preserve">Meditation / self-address</x:t>
        </x:is>
      </x:c>
      <x:c r="N589" s="81" t="inlineStr">
        <x:is>
          <x:t xml:space="preserve">κλάδος ἀποκοπεὶς τοῦ συνεχόμενου κλάδου</x:t>
        </x:is>
      </x:c>
      <x:c r="O589" s="81" t="inlineStr">
        <x:is>
          <x:t xml:space="preserve">Ancient Greek</x:t>
        </x:is>
      </x:c>
      <x:c r="P589" s="81" t="inlineStr">
        <x:is>
          <x:t xml:space="preserve">Tách mình khỏi cộng đồng giống như một cành tự tách khỏi cây; nhưng con người còn có khả năng nối lại.</x:t>
        </x:is>
      </x:c>
      <x:c r="Q589" s="81" t="inlineStr">
        <x:is>
          <x:t xml:space="preserve">Marcus Aurelius</x:t>
        </x:is>
      </x:c>
      <x:c r="R589" s="81" t="inlineStr">
        <x:is>
          <x:t xml:space="preserve">Stoic / Roman Empire</x:t>
        </x:is>
      </x:c>
      <x:c r="S589" s="81" t="inlineStr">
        <x:is>
          <x:t xml:space="preserve">Τὰ εἰς ἑαυτόν / Meditations</x:t>
        </x:is>
      </x:c>
      <x:c r="T589" s="81" t="inlineStr">
        <x:is>
          <x:t xml:space="preserve">Book 11, 11.8</x:t>
        </x:is>
      </x:c>
      <x:c r="U589" s="81" t="inlineStr">
        <x:is>
          <x:t xml:space="preserve">https://www.perseus.tufts.edu/hopper/text?doc=Perseus:text:2008.01.0641:book=11</x:t>
        </x:is>
      </x:c>
      <x:c r="V589" s="81" t="inlineStr">
        <x:is>
          <x:t xml:space="preserve">Primary Greek edition / institutional corpus</x:t>
        </x:is>
      </x:c>
      <x:c r="W589" s="81" t="inlineStr">
        <x:is>
          <x:t xml:space="preserve">Working translation</x:t>
        </x:is>
      </x:c>
      <x:c r="X589" s="81" t="inlineStr">
        <x:is>
          <x:t xml:space="preserve">A - Primary source</x:t>
        </x:is>
      </x:c>
      <x:c r="Y589" s="81" t="inlineStr">
        <x:is>
          <x:t xml:space="preserve">Greek source anchor checked against the Meditations textual tradition (Perseus Leopold 1908 / Greek Wikisource cross-check). Vietnamese is Selflo working translation, not a published translation.</x:t>
        </x:is>
      </x:c>
      <x:c r="Z589" s="81" t="inlineStr">
        <x:is>
          <x:t xml:space="preserve">Ancient work public domain; digital edition reuse terms apply</x:t>
        </x:is>
      </x:c>
      <x:c r="AA589" s="81" t="inlineStr">
        <x:is>
          <x:t xml:space="preserve">Use original Greek/source location plus fresh Selflo translation/adaptation; do not copy modern copyrighted translations.</x:t>
        </x:is>
      </x:c>
      <x:c r="AB589" s="81" t="inlineStr">
        <x:is>
          <x:t xml:space="preserve">High</x:t>
        </x:is>
      </x:c>
      <x:c r="AC589" s="81" t="inlineStr">
        <x:is>
          <x:t xml:space="preserve">Strong social recovery.</x:t>
        </x:is>
      </x:c>
      <x:c r="AD589" s="81" t="inlineStr">
        <x:is>
          <x:t xml:space="preserve">Needs editorial review</x:t>
        </x:is>
      </x:c>
      <x:c r="AE589" s="81" t="inlineStr">
        <x:is>
          <x:t xml:space="preserve">Needs semantic dedupe review</x:t>
        </x:is>
      </x:c>
      <x:c r="AF589" s="81" t="str"/>
      <x:c r="AG589" s="81" t="str"/>
      <x:c r="AH589" s="81" t="inlineStr">
        <x:is>
          <x:t xml:space="preserve">No</x:t>
        </x:is>
      </x:c>
      <x:c r="AI589" s="81" t="inlineStr">
        <x:is>
          <x:t xml:space="preserve">Not reviewed</x:t>
        </x:is>
      </x:c>
      <x:c r="AJ589" s="81" t="inlineStr">
        <x:is>
          <x:t xml:space="preserve">Research only</x:t>
        </x:is>
      </x:c>
      <x:c r="AK589" s="81" t="inlineStr">
        <x:is>
          <x:t xml:space="preserve">Research Pool</x:t>
        </x:is>
      </x:c>
      <x:c r="AL589" s="81" t="n">
        <x:v>8</x:v>
      </x:c>
      <x:c r="AM589" s="81" t="inlineStr">
        <x:is>
          <x:t xml:space="preserve">ChatGPT research</x:t>
        </x:is>
      </x:c>
      <x:c r="AN589" s="81" t="inlineStr">
        <x:is>
          <x:t xml:space="preserve">2026-09-18</x:t>
        </x:is>
      </x:c>
      <x:c r="AO589" s="81" t="inlineStr">
        <x:is>
          <x:t xml:space="preserve">Day 8 full first-pass screening of all 12 books of Meditations.</x:t>
        </x:is>
      </x:c>
    </x:row>
    <x:row r="590">
      <x:c r="A590" s="81" t="inlineStr">
        <x:is>
          <x:t xml:space="preserve">research.marcus.day8.book11.11_18.042</x:t>
        </x:is>
      </x:c>
      <x:c r="B590" s="81" t="inlineStr">
        <x:is>
          <x:t xml:space="preserve">Collected</x:t>
        </x:is>
      </x:c>
      <x:c r="C590" s="81" t="inlineStr">
        <x:is>
          <x:t xml:space="preserve">Quan hệ</x:t>
        </x:is>
      </x:c>
      <x:c r="D590" s="81" t="inlineStr">
        <x:is>
          <x:t xml:space="preserve">Day 8 / Marcus Aurelius — Meditations 1–12</x:t>
        </x:is>
      </x:c>
      <x:c r="E590" s="81" t="str"/>
      <x:c r="F590" s="81" t="inlineStr">
        <x:is>
          <x:t xml:space="preserve">Xung đột</x:t>
        </x:is>
      </x:c>
      <x:c r="G590" s="81" t="inlineStr">
        <x:is>
          <x:t xml:space="preserve">Relationships</x:t>
        </x:is>
      </x:c>
      <x:c r="H590" s="81" t="str"/>
      <x:c r="I590" s="81" t="str"/>
      <x:c r="J590" s="81" t="str"/>
      <x:c r="K590" s="81" t="inlineStr">
        <x:is>
          <x:t xml:space="preserve">Reframe</x:t>
        </x:is>
      </x:c>
      <x:c r="L590" s="81" t="inlineStr">
        <x:is>
          <x:t xml:space="preserve">Recognize</x:t>
        </x:is>
      </x:c>
      <x:c r="M590" s="81" t="inlineStr">
        <x:is>
          <x:t xml:space="preserve">Meditation / self-address</x:t>
        </x:is>
      </x:c>
      <x:c r="N590" s="81" t="inlineStr">
        <x:is>
          <x:t xml:space="preserve">πρῶτον... ὅτι πρὸς ἀλλήλους γεγόναμεν</x:t>
        </x:is>
      </x:c>
      <x:c r="O590" s="81" t="inlineStr">
        <x:is>
          <x:t xml:space="preserve">Ancient Greek</x:t>
        </x:is>
      </x:c>
      <x:c r="P590" s="81" t="inlineStr">
        <x:is>
          <x:t xml:space="preserve">Khi giận người khác, một điểm bắt đầu là nhớ rằng đời sống con người vốn liên đới.</x:t>
        </x:is>
      </x:c>
      <x:c r="Q590" s="81" t="inlineStr">
        <x:is>
          <x:t xml:space="preserve">Marcus Aurelius</x:t>
        </x:is>
      </x:c>
      <x:c r="R590" s="81" t="inlineStr">
        <x:is>
          <x:t xml:space="preserve">Stoic / Roman Empire</x:t>
        </x:is>
      </x:c>
      <x:c r="S590" s="81" t="inlineStr">
        <x:is>
          <x:t xml:space="preserve">Τὰ εἰς ἑαυτόν / Meditations</x:t>
        </x:is>
      </x:c>
      <x:c r="T590" s="81" t="inlineStr">
        <x:is>
          <x:t xml:space="preserve">Book 11, 11.18</x:t>
        </x:is>
      </x:c>
      <x:c r="U590" s="81" t="inlineStr">
        <x:is>
          <x:t xml:space="preserve">https://www.perseus.tufts.edu/hopper/text?doc=Perseus:text:2008.01.0641:book=11</x:t>
        </x:is>
      </x:c>
      <x:c r="V590" s="81" t="inlineStr">
        <x:is>
          <x:t xml:space="preserve">Primary Greek edition / institutional corpus</x:t>
        </x:is>
      </x:c>
      <x:c r="W590" s="81" t="inlineStr">
        <x:is>
          <x:t xml:space="preserve">Working translation</x:t>
        </x:is>
      </x:c>
      <x:c r="X590" s="81" t="inlineStr">
        <x:is>
          <x:t xml:space="preserve">A - Primary source</x:t>
        </x:is>
      </x:c>
      <x:c r="Y590" s="81" t="inlineStr">
        <x:is>
          <x:t xml:space="preserve">Greek source anchor checked against the Meditations textual tradition (Perseus Leopold 1908 / Greek Wikisource cross-check). Vietnamese is Selflo working translation, not a published translation.</x:t>
        </x:is>
      </x:c>
      <x:c r="Z590" s="81" t="inlineStr">
        <x:is>
          <x:t xml:space="preserve">Ancient work public domain; digital edition reuse terms apply</x:t>
        </x:is>
      </x:c>
      <x:c r="AA590" s="81" t="inlineStr">
        <x:is>
          <x:t xml:space="preserve">Use original Greek/source location plus fresh Selflo translation/adaptation; do not copy modern copyrighted translations.</x:t>
        </x:is>
      </x:c>
      <x:c r="AB590" s="81" t="inlineStr">
        <x:is>
          <x:t xml:space="preserve">Medium</x:t>
        </x:is>
      </x:c>
      <x:c r="AC590" s="81" t="inlineStr">
        <x:is>
          <x:t xml:space="preserve">Keep boundaries.</x:t>
        </x:is>
      </x:c>
      <x:c r="AD590" s="81" t="inlineStr">
        <x:is>
          <x:t xml:space="preserve">Needs editorial review</x:t>
        </x:is>
      </x:c>
      <x:c r="AE590" s="81" t="inlineStr">
        <x:is>
          <x:t xml:space="preserve">Needs semantic dedupe review</x:t>
        </x:is>
      </x:c>
      <x:c r="AF590" s="81" t="str"/>
      <x:c r="AG590" s="81" t="str"/>
      <x:c r="AH590" s="81" t="inlineStr">
        <x:is>
          <x:t xml:space="preserve">No</x:t>
        </x:is>
      </x:c>
      <x:c r="AI590" s="81" t="inlineStr">
        <x:is>
          <x:t xml:space="preserve">Not reviewed</x:t>
        </x:is>
      </x:c>
      <x:c r="AJ590" s="81" t="inlineStr">
        <x:is>
          <x:t xml:space="preserve">Research only</x:t>
        </x:is>
      </x:c>
      <x:c r="AK590" s="81" t="inlineStr">
        <x:is>
          <x:t xml:space="preserve">Research Pool</x:t>
        </x:is>
      </x:c>
      <x:c r="AL590" s="81" t="n">
        <x:v>8</x:v>
      </x:c>
      <x:c r="AM590" s="81" t="inlineStr">
        <x:is>
          <x:t xml:space="preserve">ChatGPT research</x:t>
        </x:is>
      </x:c>
      <x:c r="AN590" s="81" t="inlineStr">
        <x:is>
          <x:t xml:space="preserve">2026-09-18</x:t>
        </x:is>
      </x:c>
      <x:c r="AO590" s="81" t="inlineStr">
        <x:is>
          <x:t xml:space="preserve">Day 8 full first-pass screening of all 12 books of Meditations.</x:t>
        </x:is>
      </x:c>
    </x:row>
    <x:row r="591">
      <x:c r="A591" s="81" t="inlineStr">
        <x:is>
          <x:t xml:space="preserve">research.marcus.day8.book11.11_18.043</x:t>
        </x:is>
      </x:c>
      <x:c r="B591" s="81" t="inlineStr">
        <x:is>
          <x:t xml:space="preserve">Collected</x:t>
        </x:is>
      </x:c>
      <x:c r="C591" s="81" t="inlineStr">
        <x:is>
          <x:t xml:space="preserve">Quan hệ</x:t>
        </x:is>
      </x:c>
      <x:c r="D591" s="81" t="inlineStr">
        <x:is>
          <x:t xml:space="preserve">Day 8 / Marcus Aurelius — Meditations 1–12</x:t>
        </x:is>
      </x:c>
      <x:c r="E591" s="81" t="str"/>
      <x:c r="F591" s="81" t="inlineStr">
        <x:is>
          <x:t xml:space="preserve">Judgment of others</x:t>
        </x:is>
      </x:c>
      <x:c r="G591" s="81" t="inlineStr">
        <x:is>
          <x:t xml:space="preserve">Humility</x:t>
        </x:is>
      </x:c>
      <x:c r="H591" s="81" t="str"/>
      <x:c r="I591" s="81" t="str"/>
      <x:c r="J591" s="81" t="str"/>
      <x:c r="K591" s="81" t="inlineStr">
        <x:is>
          <x:t xml:space="preserve">Recognize</x:t>
        </x:is>
      </x:c>
      <x:c r="L591" s="81" t="inlineStr">
        <x:is>
          <x:t xml:space="preserve">Distinguish</x:t>
        </x:is>
      </x:c>
      <x:c r="M591" s="81" t="inlineStr">
        <x:is>
          <x:t xml:space="preserve">Meditation / self-address</x:t>
        </x:is>
      </x:c>
      <x:c r="N591" s="81" t="inlineStr">
        <x:is>
          <x:t xml:space="preserve">ὅτι καὶ σὺ πολλὰ ἁμαρτάνεις</x:t>
        </x:is>
      </x:c>
      <x:c r="O591" s="81" t="inlineStr">
        <x:is>
          <x:t xml:space="preserve">Ancient Greek</x:t>
        </x:is>
      </x:c>
      <x:c r="P591" s="81" t="inlineStr">
        <x:is>
          <x:t xml:space="preserve">Nhớ rằng mình cũng từng sai giúp phán xét bớt tuyệt đối.</x:t>
        </x:is>
      </x:c>
      <x:c r="Q591" s="81" t="inlineStr">
        <x:is>
          <x:t xml:space="preserve">Marcus Aurelius</x:t>
        </x:is>
      </x:c>
      <x:c r="R591" s="81" t="inlineStr">
        <x:is>
          <x:t xml:space="preserve">Stoic / Roman Empire</x:t>
        </x:is>
      </x:c>
      <x:c r="S591" s="81" t="inlineStr">
        <x:is>
          <x:t xml:space="preserve">Τὰ εἰς ἑαυτόν / Meditations</x:t>
        </x:is>
      </x:c>
      <x:c r="T591" s="81" t="inlineStr">
        <x:is>
          <x:t xml:space="preserve">Book 11, 11.18</x:t>
        </x:is>
      </x:c>
      <x:c r="U591" s="81" t="inlineStr">
        <x:is>
          <x:t xml:space="preserve">https://www.perseus.tufts.edu/hopper/text?doc=Perseus:text:2008.01.0641:book=11</x:t>
        </x:is>
      </x:c>
      <x:c r="V591" s="81" t="inlineStr">
        <x:is>
          <x:t xml:space="preserve">Primary Greek edition / institutional corpus</x:t>
        </x:is>
      </x:c>
      <x:c r="W591" s="81" t="inlineStr">
        <x:is>
          <x:t xml:space="preserve">Working translation</x:t>
        </x:is>
      </x:c>
      <x:c r="X591" s="81" t="inlineStr">
        <x:is>
          <x:t xml:space="preserve">A - Primary source</x:t>
        </x:is>
      </x:c>
      <x:c r="Y591" s="81" t="inlineStr">
        <x:is>
          <x:t xml:space="preserve">Greek source anchor checked against the Meditations textual tradition (Perseus Leopold 1908 / Greek Wikisource cross-check). Vietnamese is Selflo working translation, not a published translation.</x:t>
        </x:is>
      </x:c>
      <x:c r="Z591" s="81" t="inlineStr">
        <x:is>
          <x:t xml:space="preserve">Ancient work public domain; digital edition reuse terms apply</x:t>
        </x:is>
      </x:c>
      <x:c r="AA591" s="81" t="inlineStr">
        <x:is>
          <x:t xml:space="preserve">Use original Greek/source location plus fresh Selflo translation/adaptation; do not copy modern copyrighted translations.</x:t>
        </x:is>
      </x:c>
      <x:c r="AB591" s="81" t="inlineStr">
        <x:is>
          <x:t xml:space="preserve">High</x:t>
        </x:is>
      </x:c>
      <x:c r="AC591" s="81" t="inlineStr">
        <x:is>
          <x:t xml:space="preserve">Strong.</x:t>
        </x:is>
      </x:c>
      <x:c r="AD591" s="81" t="inlineStr">
        <x:is>
          <x:t xml:space="preserve">Needs editorial review</x:t>
        </x:is>
      </x:c>
      <x:c r="AE591" s="81" t="inlineStr">
        <x:is>
          <x:t xml:space="preserve">Needs semantic dedupe review</x:t>
        </x:is>
      </x:c>
      <x:c r="AF591" s="81" t="str"/>
      <x:c r="AG591" s="81" t="str"/>
      <x:c r="AH591" s="81" t="inlineStr">
        <x:is>
          <x:t xml:space="preserve">No</x:t>
        </x:is>
      </x:c>
      <x:c r="AI591" s="81" t="inlineStr">
        <x:is>
          <x:t xml:space="preserve">Not reviewed</x:t>
        </x:is>
      </x:c>
      <x:c r="AJ591" s="81" t="inlineStr">
        <x:is>
          <x:t xml:space="preserve">Research only</x:t>
        </x:is>
      </x:c>
      <x:c r="AK591" s="81" t="inlineStr">
        <x:is>
          <x:t xml:space="preserve">Research Pool</x:t>
        </x:is>
      </x:c>
      <x:c r="AL591" s="81" t="n">
        <x:v>8</x:v>
      </x:c>
      <x:c r="AM591" s="81" t="inlineStr">
        <x:is>
          <x:t xml:space="preserve">ChatGPT research</x:t>
        </x:is>
      </x:c>
      <x:c r="AN591" s="81" t="inlineStr">
        <x:is>
          <x:t xml:space="preserve">2026-09-18</x:t>
        </x:is>
      </x:c>
      <x:c r="AO591" s="81" t="inlineStr">
        <x:is>
          <x:t xml:space="preserve">Day 8 full first-pass screening of all 12 books of Meditations.</x:t>
        </x:is>
      </x:c>
    </x:row>
    <x:row r="592">
      <x:c r="A592" s="81" t="inlineStr">
        <x:is>
          <x:t xml:space="preserve">research.marcus.day8.book12.12_1.044</x:t>
        </x:is>
      </x:c>
      <x:c r="B592" s="81" t="inlineStr">
        <x:is>
          <x:t xml:space="preserve">Collected</x:t>
        </x:is>
      </x:c>
      <x:c r="C592" s="81" t="inlineStr">
        <x:is>
          <x:t xml:space="preserve">Nội tâm &amp; hiểu mình</x:t>
        </x:is>
      </x:c>
      <x:c r="D592" s="81" t="inlineStr">
        <x:is>
          <x:t xml:space="preserve">Day 8 / Marcus Aurelius — Meditations 1–12</x:t>
        </x:is>
      </x:c>
      <x:c r="E592" s="81" t="str"/>
      <x:c r="F592" s="81" t="inlineStr">
        <x:is>
          <x:t xml:space="preserve">Không sống đồng thời cả quá khứ và tương lai</x:t>
        </x:is>
      </x:c>
      <x:c r="G592" s="81" t="inlineStr">
        <x:is>
          <x:t xml:space="preserve">Presence</x:t>
        </x:is>
      </x:c>
      <x:c r="H592" s="81" t="str"/>
      <x:c r="I592" s="81" t="str"/>
      <x:c r="J592" s="81" t="str"/>
      <x:c r="K592" s="81" t="inlineStr">
        <x:is>
          <x:t xml:space="preserve">Return agency</x:t>
        </x:is>
      </x:c>
      <x:c r="L592" s="81" t="inlineStr">
        <x:is>
          <x:t xml:space="preserve">Recognize</x:t>
        </x:is>
      </x:c>
      <x:c r="M592" s="81" t="inlineStr">
        <x:is>
          <x:t xml:space="preserve">Meditation / self-address</x:t>
        </x:is>
      </x:c>
      <x:c r="N592" s="81" t="inlineStr">
        <x:is>
          <x:t xml:space="preserve">τὸ παρὸν μόνον ἀπευθύνῃς</x:t>
        </x:is>
      </x:c>
      <x:c r="O592" s="81" t="inlineStr">
        <x:is>
          <x:t xml:space="preserve">Ancient Greek</x:t>
        </x:is>
      </x:c>
      <x:c r="P592" s="81" t="inlineStr">
        <x:is>
          <x:t xml:space="preserve">Chỉ cần hướng phần hiện tại theo điều mình cho là đúng và công bằng.</x:t>
        </x:is>
      </x:c>
      <x:c r="Q592" s="81" t="inlineStr">
        <x:is>
          <x:t xml:space="preserve">Marcus Aurelius</x:t>
        </x:is>
      </x:c>
      <x:c r="R592" s="81" t="inlineStr">
        <x:is>
          <x:t xml:space="preserve">Stoic / Roman Empire</x:t>
        </x:is>
      </x:c>
      <x:c r="S592" s="81" t="inlineStr">
        <x:is>
          <x:t xml:space="preserve">Τὰ εἰς ἑαυτόν / Meditations</x:t>
        </x:is>
      </x:c>
      <x:c r="T592" s="81" t="inlineStr">
        <x:is>
          <x:t xml:space="preserve">Book 12, 12.1</x:t>
        </x:is>
      </x:c>
      <x:c r="U592" s="81" t="inlineStr">
        <x:is>
          <x:t xml:space="preserve">https://www.perseus.tufts.edu/hopper/text?doc=Perseus:text:2008.01.0641:book=12</x:t>
        </x:is>
      </x:c>
      <x:c r="V592" s="81" t="inlineStr">
        <x:is>
          <x:t xml:space="preserve">Primary Greek edition / institutional corpus</x:t>
        </x:is>
      </x:c>
      <x:c r="W592" s="81" t="inlineStr">
        <x:is>
          <x:t xml:space="preserve">Working translation</x:t>
        </x:is>
      </x:c>
      <x:c r="X592" s="81" t="inlineStr">
        <x:is>
          <x:t xml:space="preserve">A - Primary source</x:t>
        </x:is>
      </x:c>
      <x:c r="Y592" s="81" t="inlineStr">
        <x:is>
          <x:t xml:space="preserve">Greek source anchor checked against the Meditations textual tradition (Perseus Leopold 1908 / Greek Wikisource cross-check). Vietnamese is Selflo working translation, not a published translation.</x:t>
        </x:is>
      </x:c>
      <x:c r="Z592" s="81" t="inlineStr">
        <x:is>
          <x:t xml:space="preserve">Ancient work public domain; digital edition reuse terms apply</x:t>
        </x:is>
      </x:c>
      <x:c r="AA592" s="81" t="inlineStr">
        <x:is>
          <x:t xml:space="preserve">Use original Greek/source location plus fresh Selflo translation/adaptation; do not copy modern copyrighted translations.</x:t>
        </x:is>
      </x:c>
      <x:c r="AB592" s="81" t="inlineStr">
        <x:is>
          <x:t xml:space="preserve">High</x:t>
        </x:is>
      </x:c>
      <x:c r="AC592" s="81" t="inlineStr">
        <x:is>
          <x:t xml:space="preserve">Strong.</x:t>
        </x:is>
      </x:c>
      <x:c r="AD592" s="81" t="inlineStr">
        <x:is>
          <x:t xml:space="preserve">Needs editorial review</x:t>
        </x:is>
      </x:c>
      <x:c r="AE592" s="81" t="inlineStr">
        <x:is>
          <x:t xml:space="preserve">Needs semantic dedupe review</x:t>
        </x:is>
      </x:c>
      <x:c r="AF592" s="81" t="str"/>
      <x:c r="AG592" s="81" t="str"/>
      <x:c r="AH592" s="81" t="inlineStr">
        <x:is>
          <x:t xml:space="preserve">No</x:t>
        </x:is>
      </x:c>
      <x:c r="AI592" s="81" t="inlineStr">
        <x:is>
          <x:t xml:space="preserve">Not reviewed</x:t>
        </x:is>
      </x:c>
      <x:c r="AJ592" s="81" t="inlineStr">
        <x:is>
          <x:t xml:space="preserve">Research only</x:t>
        </x:is>
      </x:c>
      <x:c r="AK592" s="81" t="inlineStr">
        <x:is>
          <x:t xml:space="preserve">Research Pool</x:t>
        </x:is>
      </x:c>
      <x:c r="AL592" s="81" t="n">
        <x:v>8</x:v>
      </x:c>
      <x:c r="AM592" s="81" t="inlineStr">
        <x:is>
          <x:t xml:space="preserve">ChatGPT research</x:t>
        </x:is>
      </x:c>
      <x:c r="AN592" s="81" t="inlineStr">
        <x:is>
          <x:t xml:space="preserve">2026-09-18</x:t>
        </x:is>
      </x:c>
      <x:c r="AO592" s="81" t="inlineStr">
        <x:is>
          <x:t xml:space="preserve">Day 8 full first-pass screening of all 12 books of Meditations.</x:t>
        </x:is>
      </x:c>
    </x:row>
    <x:row r="593">
      <x:c r="A593" s="81" t="inlineStr">
        <x:is>
          <x:t xml:space="preserve">research.marcus.day8.book12.12_3.045</x:t>
        </x:is>
      </x:c>
      <x:c r="B593" s="81" t="inlineStr">
        <x:is>
          <x:t xml:space="preserve">Collected</x:t>
        </x:is>
      </x:c>
      <x:c r="C593" s="81" t="inlineStr">
        <x:is>
          <x:t xml:space="preserve">Nội tâm &amp; hiểu mình</x:t>
        </x:is>
      </x:c>
      <x:c r="D593" s="81" t="inlineStr">
        <x:is>
          <x:t xml:space="preserve">Day 8 / Marcus Aurelius — Meditations 1–12</x:t>
        </x:is>
      </x:c>
      <x:c r="E593" s="81" t="str"/>
      <x:c r="F593" s="81" t="inlineStr">
        <x:is>
          <x:t xml:space="preserve">Tách lớp trải nghiệm</x:t>
        </x:is>
      </x:c>
      <x:c r="G593" s="81" t="inlineStr">
        <x:is>
          <x:t xml:space="preserve">Self-understanding</x:t>
        </x:is>
      </x:c>
      <x:c r="H593" s="81" t="str"/>
      <x:c r="I593" s="81" t="str"/>
      <x:c r="J593" s="81" t="str"/>
      <x:c r="K593" s="81" t="inlineStr">
        <x:is>
          <x:t xml:space="preserve">Distinguish</x:t>
        </x:is>
      </x:c>
      <x:c r="L593" s="81" t="inlineStr">
        <x:is>
          <x:t xml:space="preserve">Recognize</x:t>
        </x:is>
      </x:c>
      <x:c r="M593" s="81" t="inlineStr">
        <x:is>
          <x:t xml:space="preserve">Meditation / self-address</x:t>
        </x:is>
      </x:c>
      <x:c r="N593" s="81" t="inlineStr">
        <x:is>
          <x:t xml:space="preserve">τρία ἐξ ὧν συνέστηκας· σωμάτιον, πνευμάτιον, νοῦς</x:t>
        </x:is>
      </x:c>
      <x:c r="O593" s="81" t="inlineStr">
        <x:is>
          <x:t xml:space="preserve">Ancient Greek</x:t>
        </x:is>
      </x:c>
      <x:c r="P593" s="81" t="inlineStr">
        <x:is>
          <x:t xml:space="preserve">Marcus tách trải nghiệm thành nhiều phần thay vì xem mọi thứ là một khối duy nhất.</x:t>
        </x:is>
      </x:c>
      <x:c r="Q593" s="81" t="inlineStr">
        <x:is>
          <x:t xml:space="preserve">Marcus Aurelius</x:t>
        </x:is>
      </x:c>
      <x:c r="R593" s="81" t="inlineStr">
        <x:is>
          <x:t xml:space="preserve">Stoic / Roman Empire</x:t>
        </x:is>
      </x:c>
      <x:c r="S593" s="81" t="inlineStr">
        <x:is>
          <x:t xml:space="preserve">Τὰ εἰς ἑαυτόν / Meditations</x:t>
        </x:is>
      </x:c>
      <x:c r="T593" s="81" t="inlineStr">
        <x:is>
          <x:t xml:space="preserve">Book 12, 12.3</x:t>
        </x:is>
      </x:c>
      <x:c r="U593" s="81" t="inlineStr">
        <x:is>
          <x:t xml:space="preserve">https://www.perseus.tufts.edu/hopper/text?doc=Perseus:text:2008.01.0641:book=12</x:t>
        </x:is>
      </x:c>
      <x:c r="V593" s="81" t="inlineStr">
        <x:is>
          <x:t xml:space="preserve">Primary Greek edition / institutional corpus</x:t>
        </x:is>
      </x:c>
      <x:c r="W593" s="81" t="inlineStr">
        <x:is>
          <x:t xml:space="preserve">Working translation</x:t>
        </x:is>
      </x:c>
      <x:c r="X593" s="81" t="inlineStr">
        <x:is>
          <x:t xml:space="preserve">A - Primary source</x:t>
        </x:is>
      </x:c>
      <x:c r="Y593" s="81" t="inlineStr">
        <x:is>
          <x:t xml:space="preserve">Greek source anchor checked against the Meditations textual tradition (Perseus Leopold 1908 / Greek Wikisource cross-check). Vietnamese is Selflo working translation, not a published translation.</x:t>
        </x:is>
      </x:c>
      <x:c r="Z593" s="81" t="inlineStr">
        <x:is>
          <x:t xml:space="preserve">Ancient work public domain; digital edition reuse terms apply</x:t>
        </x:is>
      </x:c>
      <x:c r="AA593" s="81" t="inlineStr">
        <x:is>
          <x:t xml:space="preserve">Use original Greek/source location plus fresh Selflo translation/adaptation; do not copy modern copyrighted translations.</x:t>
        </x:is>
      </x:c>
      <x:c r="AB593" s="81" t="inlineStr">
        <x:is>
          <x:t xml:space="preserve">Medium</x:t>
        </x:is>
      </x:c>
      <x:c r="AC593" s="81" t="inlineStr">
        <x:is>
          <x:t xml:space="preserve">Ancient psychology.</x:t>
        </x:is>
      </x:c>
      <x:c r="AD593" s="81" t="inlineStr">
        <x:is>
          <x:t xml:space="preserve">Needs editorial review</x:t>
        </x:is>
      </x:c>
      <x:c r="AE593" s="81" t="inlineStr">
        <x:is>
          <x:t xml:space="preserve">Needs semantic dedupe review</x:t>
        </x:is>
      </x:c>
      <x:c r="AF593" s="81" t="str"/>
      <x:c r="AG593" s="81" t="str"/>
      <x:c r="AH593" s="81" t="inlineStr">
        <x:is>
          <x:t xml:space="preserve">No</x:t>
        </x:is>
      </x:c>
      <x:c r="AI593" s="81" t="inlineStr">
        <x:is>
          <x:t xml:space="preserve">Not reviewed</x:t>
        </x:is>
      </x:c>
      <x:c r="AJ593" s="81" t="inlineStr">
        <x:is>
          <x:t xml:space="preserve">Research only</x:t>
        </x:is>
      </x:c>
      <x:c r="AK593" s="81" t="inlineStr">
        <x:is>
          <x:t xml:space="preserve">Research Pool</x:t>
        </x:is>
      </x:c>
      <x:c r="AL593" s="81" t="n">
        <x:v>8</x:v>
      </x:c>
      <x:c r="AM593" s="81" t="inlineStr">
        <x:is>
          <x:t xml:space="preserve">ChatGPT research</x:t>
        </x:is>
      </x:c>
      <x:c r="AN593" s="81" t="inlineStr">
        <x:is>
          <x:t xml:space="preserve">2026-09-18</x:t>
        </x:is>
      </x:c>
      <x:c r="AO593" s="81" t="inlineStr">
        <x:is>
          <x:t xml:space="preserve">Day 8 full first-pass screening of all 12 books of Meditations.</x:t>
        </x:is>
      </x:c>
    </x:row>
    <x:row r="594">
      <x:c r="A594" s="81" t="inlineStr">
        <x:is>
          <x:t xml:space="preserve">research.marcus.day8.book12.12_8.046</x:t>
        </x:is>
      </x:c>
      <x:c r="B594" s="81" t="inlineStr">
        <x:is>
          <x:t xml:space="preserve">Collected</x:t>
        </x:is>
      </x:c>
      <x:c r="C594" s="81" t="inlineStr">
        <x:is>
          <x:t xml:space="preserve">AI &amp; tương lai</x:t>
        </x:is>
      </x:c>
      <x:c r="D594" s="81" t="inlineStr">
        <x:is>
          <x:t xml:space="preserve">Day 8 / Marcus Aurelius — Meditations 1–12</x:t>
        </x:is>
      </x:c>
      <x:c r="E594" s="81" t="str"/>
      <x:c r="F594" s="81" t="inlineStr">
        <x:is>
          <x:t xml:space="preserve">Giảm lớp diễn giải</x:t>
        </x:is>
      </x:c>
      <x:c r="G594" s="81" t="inlineStr">
        <x:is>
          <x:t xml:space="preserve">Judgment</x:t>
        </x:is>
      </x:c>
      <x:c r="H594" s="81" t="str"/>
      <x:c r="I594" s="81" t="str"/>
      <x:c r="J594" s="81" t="str"/>
      <x:c r="K594" s="81" t="inlineStr">
        <x:is>
          <x:t xml:space="preserve">Distinguish</x:t>
        </x:is>
      </x:c>
      <x:c r="L594" s="81" t="inlineStr">
        <x:is>
          <x:t xml:space="preserve">Recognize</x:t>
        </x:is>
      </x:c>
      <x:c r="M594" s="81" t="inlineStr">
        <x:is>
          <x:t xml:space="preserve">Meditation / self-address</x:t>
        </x:is>
      </x:c>
      <x:c r="N594" s="81" t="inlineStr">
        <x:is>
          <x:t xml:space="preserve">ὅρα τὰ πράγματα γυμνά</x:t>
        </x:is>
      </x:c>
      <x:c r="O594" s="81" t="inlineStr">
        <x:is>
          <x:t xml:space="preserve">Ancient Greek</x:t>
        </x:is>
      </x:c>
      <x:c r="P594" s="81" t="inlineStr">
        <x:is>
          <x:t xml:space="preserve">Hãy thử nhìn sự việc 'trần' hơn, trước khi phủ thêm danh tiếng và câu chuyện lên nó.</x:t>
        </x:is>
      </x:c>
      <x:c r="Q594" s="81" t="inlineStr">
        <x:is>
          <x:t xml:space="preserve">Marcus Aurelius</x:t>
        </x:is>
      </x:c>
      <x:c r="R594" s="81" t="inlineStr">
        <x:is>
          <x:t xml:space="preserve">Stoic / Roman Empire</x:t>
        </x:is>
      </x:c>
      <x:c r="S594" s="81" t="inlineStr">
        <x:is>
          <x:t xml:space="preserve">Τὰ εἰς ἑαυτόν / Meditations</x:t>
        </x:is>
      </x:c>
      <x:c r="T594" s="81" t="inlineStr">
        <x:is>
          <x:t xml:space="preserve">Book 12, 12.8</x:t>
        </x:is>
      </x:c>
      <x:c r="U594" s="81" t="inlineStr">
        <x:is>
          <x:t xml:space="preserve">https://www.perseus.tufts.edu/hopper/text?doc=Perseus:text:2008.01.0641:book=12</x:t>
        </x:is>
      </x:c>
      <x:c r="V594" s="81" t="inlineStr">
        <x:is>
          <x:t xml:space="preserve">Primary Greek edition / institutional corpus</x:t>
        </x:is>
      </x:c>
      <x:c r="W594" s="81" t="inlineStr">
        <x:is>
          <x:t xml:space="preserve">Working translation</x:t>
        </x:is>
      </x:c>
      <x:c r="X594" s="81" t="inlineStr">
        <x:is>
          <x:t xml:space="preserve">A - Primary source</x:t>
        </x:is>
      </x:c>
      <x:c r="Y594" s="81" t="inlineStr">
        <x:is>
          <x:t xml:space="preserve">Greek source anchor checked against the Meditations textual tradition (Perseus Leopold 1908 / Greek Wikisource cross-check). Vietnamese is Selflo working translation, not a published translation.</x:t>
        </x:is>
      </x:c>
      <x:c r="Z594" s="81" t="inlineStr">
        <x:is>
          <x:t xml:space="preserve">Ancient work public domain; digital edition reuse terms apply</x:t>
        </x:is>
      </x:c>
      <x:c r="AA594" s="81" t="inlineStr">
        <x:is>
          <x:t xml:space="preserve">Use original Greek/source location plus fresh Selflo translation/adaptation; do not copy modern copyrighted translations.</x:t>
        </x:is>
      </x:c>
      <x:c r="AB594" s="81" t="inlineStr">
        <x:is>
          <x:t xml:space="preserve">High</x:t>
        </x:is>
      </x:c>
      <x:c r="AC594" s="81" t="inlineStr">
        <x:is>
          <x:t xml:space="preserve">Excellent editorial principle.</x:t>
        </x:is>
      </x:c>
      <x:c r="AD594" s="81" t="inlineStr">
        <x:is>
          <x:t xml:space="preserve">Needs editorial review</x:t>
        </x:is>
      </x:c>
      <x:c r="AE594" s="81" t="inlineStr">
        <x:is>
          <x:t xml:space="preserve">Needs semantic dedupe review</x:t>
        </x:is>
      </x:c>
      <x:c r="AF594" s="81" t="str"/>
      <x:c r="AG594" s="81" t="str"/>
      <x:c r="AH594" s="81" t="inlineStr">
        <x:is>
          <x:t xml:space="preserve">No</x:t>
        </x:is>
      </x:c>
      <x:c r="AI594" s="81" t="inlineStr">
        <x:is>
          <x:t xml:space="preserve">Not reviewed</x:t>
        </x:is>
      </x:c>
      <x:c r="AJ594" s="81" t="inlineStr">
        <x:is>
          <x:t xml:space="preserve">Research only</x:t>
        </x:is>
      </x:c>
      <x:c r="AK594" s="81" t="inlineStr">
        <x:is>
          <x:t xml:space="preserve">Research Pool</x:t>
        </x:is>
      </x:c>
      <x:c r="AL594" s="81" t="n">
        <x:v>8</x:v>
      </x:c>
      <x:c r="AM594" s="81" t="inlineStr">
        <x:is>
          <x:t xml:space="preserve">ChatGPT research</x:t>
        </x:is>
      </x:c>
      <x:c r="AN594" s="81" t="inlineStr">
        <x:is>
          <x:t xml:space="preserve">2026-09-18</x:t>
        </x:is>
      </x:c>
      <x:c r="AO594" s="81" t="inlineStr">
        <x:is>
          <x:t xml:space="preserve">Day 8 full first-pass screening of all 12 books of Meditations.</x:t>
        </x:is>
      </x:c>
    </x:row>
    <x:row r="595">
      <x:c r="A595" s="81" t="inlineStr">
        <x:is>
          <x:t xml:space="preserve">research.marcus.day8.book12.12_17.047</x:t>
        </x:is>
      </x:c>
      <x:c r="B595" s="81" t="inlineStr">
        <x:is>
          <x:t xml:space="preserve">Collected</x:t>
        </x:is>
      </x:c>
      <x:c r="C595" s="81" t="inlineStr">
        <x:is>
          <x:t xml:space="preserve">Công việc &amp; mục đích</x:t>
        </x:is>
      </x:c>
      <x:c r="D595" s="81" t="inlineStr">
        <x:is>
          <x:t xml:space="preserve">Day 8 / Marcus Aurelius — Meditations 1–12</x:t>
        </x:is>
      </x:c>
      <x:c r="E595" s="81" t="str"/>
      <x:c r="F595" s="81" t="inlineStr">
        <x:is>
          <x:t xml:space="preserve">Giữ chuẩn trong hành động và lời nói</x:t>
        </x:is>
      </x:c>
      <x:c r="G595" s="81" t="inlineStr">
        <x:is>
          <x:t xml:space="preserve">Integrity</x:t>
        </x:is>
      </x:c>
      <x:c r="H595" s="81" t="str"/>
      <x:c r="I595" s="81" t="str"/>
      <x:c r="J595" s="81" t="str"/>
      <x:c r="K595" s="81" t="inlineStr">
        <x:is>
          <x:t xml:space="preserve">Return agency</x:t>
        </x:is>
      </x:c>
      <x:c r="L595" s="81" t="inlineStr">
        <x:is>
          <x:t xml:space="preserve">Recognize</x:t>
        </x:is>
      </x:c>
      <x:c r="M595" s="81" t="inlineStr">
        <x:is>
          <x:t xml:space="preserve">Meditation / self-address</x:t>
        </x:is>
      </x:c>
      <x:c r="N595" s="81" t="inlineStr">
        <x:is>
          <x:t xml:space="preserve">εἰ οὐκ ὀρθόν, μὴ ποιεῖ· εἰ μὴ ἀληθές, μὴ λέγε</x:t>
        </x:is>
      </x:c>
      <x:c r="O595" s="81" t="inlineStr">
        <x:is>
          <x:t xml:space="preserve">Ancient Greek</x:t>
        </x:is>
      </x:c>
      <x:c r="P595" s="81" t="inlineStr">
        <x:is>
          <x:t xml:space="preserve">Nếu thấy điều đó không đúng, đừng làm; nếu thấy điều đó không thật, đừng nói.</x:t>
        </x:is>
      </x:c>
      <x:c r="Q595" s="81" t="inlineStr">
        <x:is>
          <x:t xml:space="preserve">Marcus Aurelius</x:t>
        </x:is>
      </x:c>
      <x:c r="R595" s="81" t="inlineStr">
        <x:is>
          <x:t xml:space="preserve">Stoic / Roman Empire</x:t>
        </x:is>
      </x:c>
      <x:c r="S595" s="81" t="inlineStr">
        <x:is>
          <x:t xml:space="preserve">Τὰ εἰς ἑαυτόν / Meditations</x:t>
        </x:is>
      </x:c>
      <x:c r="T595" s="81" t="inlineStr">
        <x:is>
          <x:t xml:space="preserve">Book 12, 12.17</x:t>
        </x:is>
      </x:c>
      <x:c r="U595" s="81" t="inlineStr">
        <x:is>
          <x:t xml:space="preserve">https://www.perseus.tufts.edu/hopper/text?doc=Perseus:text:2008.01.0641:book=12</x:t>
        </x:is>
      </x:c>
      <x:c r="V595" s="81" t="inlineStr">
        <x:is>
          <x:t xml:space="preserve">Primary Greek edition / institutional corpus</x:t>
        </x:is>
      </x:c>
      <x:c r="W595" s="81" t="inlineStr">
        <x:is>
          <x:t xml:space="preserve">Working translation</x:t>
        </x:is>
      </x:c>
      <x:c r="X595" s="81" t="inlineStr">
        <x:is>
          <x:t xml:space="preserve">A - Primary source</x:t>
        </x:is>
      </x:c>
      <x:c r="Y595" s="81" t="inlineStr">
        <x:is>
          <x:t xml:space="preserve">Greek source anchor checked against the Meditations textual tradition (Perseus Leopold 1908 / Greek Wikisource cross-check). Vietnamese is Selflo working translation, not a published translation.</x:t>
        </x:is>
      </x:c>
      <x:c r="Z595" s="81" t="inlineStr">
        <x:is>
          <x:t xml:space="preserve">Ancient work public domain; digital edition reuse terms apply</x:t>
        </x:is>
      </x:c>
      <x:c r="AA595" s="81" t="inlineStr">
        <x:is>
          <x:t xml:space="preserve">Use original Greek/source location plus fresh Selflo translation/adaptation; do not copy modern copyrighted translations.</x:t>
        </x:is>
      </x:c>
      <x:c r="AB595" s="81" t="inlineStr">
        <x:is>
          <x:t xml:space="preserve">High</x:t>
        </x:is>
      </x:c>
      <x:c r="AC595" s="81" t="inlineStr">
        <x:is>
          <x:t xml:space="preserve">Concise.</x:t>
        </x:is>
      </x:c>
      <x:c r="AD595" s="81" t="inlineStr">
        <x:is>
          <x:t xml:space="preserve">Needs editorial review</x:t>
        </x:is>
      </x:c>
      <x:c r="AE595" s="81" t="inlineStr">
        <x:is>
          <x:t xml:space="preserve">Needs semantic dedupe review</x:t>
        </x:is>
      </x:c>
      <x:c r="AF595" s="81" t="str"/>
      <x:c r="AG595" s="81" t="str"/>
      <x:c r="AH595" s="81" t="inlineStr">
        <x:is>
          <x:t xml:space="preserve">No</x:t>
        </x:is>
      </x:c>
      <x:c r="AI595" s="81" t="inlineStr">
        <x:is>
          <x:t xml:space="preserve">Not reviewed</x:t>
        </x:is>
      </x:c>
      <x:c r="AJ595" s="81" t="inlineStr">
        <x:is>
          <x:t xml:space="preserve">Research only</x:t>
        </x:is>
      </x:c>
      <x:c r="AK595" s="81" t="inlineStr">
        <x:is>
          <x:t xml:space="preserve">Research Pool</x:t>
        </x:is>
      </x:c>
      <x:c r="AL595" s="81" t="n">
        <x:v>8</x:v>
      </x:c>
      <x:c r="AM595" s="81" t="inlineStr">
        <x:is>
          <x:t xml:space="preserve">ChatGPT research</x:t>
        </x:is>
      </x:c>
      <x:c r="AN595" s="81" t="inlineStr">
        <x:is>
          <x:t xml:space="preserve">2026-09-18</x:t>
        </x:is>
      </x:c>
      <x:c r="AO595" s="81" t="inlineStr">
        <x:is>
          <x:t xml:space="preserve">Day 8 full first-pass screening of all 12 books of Meditations.</x:t>
        </x:is>
      </x:c>
    </x:row>
    <x:row r="596">
      <x:c r="A596" s="136" t="inlineStr">
        <x:is>
          <x:t xml:space="preserve">research.seneca.day9.ep001_1</x:t>
        </x:is>
      </x:c>
      <x:c r="B596" s="136" t="inlineStr">
        <x:is>
          <x:t xml:space="preserve">Collected</x:t>
        </x:is>
      </x:c>
      <x:c r="C596" s="136" t="inlineStr">
        <x:is>
          <x:t xml:space="preserve">Nội tâm &amp; hiểu mình</x:t>
        </x:is>
      </x:c>
      <x:c r="D596" s="136" t="inlineStr">
        <x:is>
          <x:t xml:space="preserve">Day 9 / Seneca — Letters &amp; Essays</x:t>
        </x:is>
      </x:c>
      <x:c r="E596" s="136" t="inlineStr">
        <x:is>
          <x:t xml:space="preserve"/>
        </x:is>
      </x:c>
      <x:c r="F596" s="136" t="inlineStr">
        <x:is>
          <x:t xml:space="preserve">Thời gian bị người khác và việc khác chiếm</x:t>
        </x:is>
      </x:c>
      <x:c r="G596" s="136" t="inlineStr">
        <x:is>
          <x:t xml:space="preserve">Time / Agency</x:t>
        </x:is>
      </x:c>
      <x:c r="H596" s="136" t="inlineStr">
        <x:is>
          <x:t xml:space="preserve"/>
        </x:is>
      </x:c>
      <x:c r="I596" s="136" t="inlineStr">
        <x:is>
          <x:t xml:space="preserve"/>
        </x:is>
      </x:c>
      <x:c r="J596" s="136" t="inlineStr">
        <x:is>
          <x:t xml:space="preserve"/>
        </x:is>
      </x:c>
      <x:c r="K596" s="136" t="inlineStr">
        <x:is>
          <x:t xml:space="preserve">Return agency</x:t>
        </x:is>
      </x:c>
      <x:c r="L596" s="136" t="inlineStr">
        <x:is>
          <x:t xml:space="preserve"/>
        </x:is>
      </x:c>
      <x:c r="M596" s="136" t="inlineStr">
        <x:is>
          <x:t xml:space="preserve">Letter / philosophical reflection</x:t>
        </x:is>
      </x:c>
      <x:c r="N596" s="136" t="inlineStr">
        <x:is>
          <x:t xml:space="preserve">Ita fac, mi Lucili: vindica te tibi.</x:t>
        </x:is>
      </x:c>
      <x:c r="O596" s="136" t="inlineStr">
        <x:is>
          <x:t xml:space="preserve">Latin</x:t>
        </x:is>
      </x:c>
      <x:c r="P596" s="136" t="inlineStr">
        <x:is>
          <x:t xml:space="preserve">Hãy lấy lại chính mình cho mình.</x:t>
        </x:is>
      </x:c>
      <x:c r="Q596" s="136" t="inlineStr">
        <x:is>
          <x:t xml:space="preserve">Lucius Annaeus Seneca</x:t>
        </x:is>
      </x:c>
      <x:c r="R596" s="136" t="inlineStr">
        <x:is>
          <x:t xml:space="preserve">Roman Stoic / Rome</x:t>
        </x:is>
      </x:c>
      <x:c r="S596" s="136" t="inlineStr">
        <x:is>
          <x:t xml:space="preserve">Epistulae Morales</x:t>
        </x:is>
      </x:c>
      <x:c r="T596" s="136" t="inlineStr">
        <x:is>
          <x:t xml:space="preserve">1.1</x:t>
        </x:is>
      </x:c>
      <x:c r="U596" s="136" t="inlineStr">
        <x:is>
          <x:t xml:space="preserve">https://la.wikisource.org/wiki/Epistulae_morales_ad_Lucilium</x:t>
        </x:is>
      </x:c>
      <x:c r="V596" s="136" t="inlineStr">
        <x:is>
          <x:t xml:space="preserve">Primary Latin text / reputable digital corpus</x:t>
        </x:is>
      </x:c>
      <x:c r="W596" s="136" t="inlineStr">
        <x:is>
          <x:t xml:space="preserve">Original-source passage</x:t>
        </x:is>
      </x:c>
      <x:c r="X596" s="136" t="inlineStr">
        <x:is>
          <x:t xml:space="preserve">A - Primary-source text located</x:t>
        </x:is>
      </x:c>
      <x:c r="Y596" s="136" t="inlineStr">
        <x:is>
          <x:t xml:space="preserve">Latin anchor collected from Seneca primary-text corpus; exact punctuation/orthography can vary by edition. Release requires passage-level recheck.</x:t>
        </x:is>
      </x:c>
      <x:c r="Z596" s="136" t="inlineStr">
        <x:is>
          <x:t xml:space="preserve">Ancient work public domain; digital transcription terms apply</x:t>
        </x:is>
      </x:c>
      <x:c r="AA596" s="136" t="inlineStr">
        <x:is>
          <x:t xml:space="preserve">Keep Latin original and use fresh Selflo Vietnamese working translation; do not copy a modern copyrighted translation.</x:t>
        </x:is>
      </x:c>
      <x:c r="AB596" s="136" t="inlineStr">
        <x:is>
          <x:t xml:space="preserve">High</x:t>
        </x:is>
      </x:c>
      <x:c r="AC596" s="136" t="inlineStr">
        <x:is>
          <x:t xml:space="preserve">Collected for Day 9 coverage; editorial selection happens later.</x:t>
        </x:is>
      </x:c>
      <x:c r="AD596" s="136" t="inlineStr">
        <x:is>
          <x:t xml:space="preserve">Low–Medium</x:t>
        </x:is>
      </x:c>
      <x:c r="AE596" s="136" t="inlineStr">
        <x:is>
          <x:t xml:space="preserve">Needs semantic dedupe review</x:t>
        </x:is>
      </x:c>
      <x:c r="AF596" s="136" t="inlineStr">
        <x:is>
          <x:t xml:space="preserve"/>
        </x:is>
      </x:c>
      <x:c r="AG596" s="136" t="inlineStr">
        <x:is>
          <x:t xml:space="preserve"/>
        </x:is>
      </x:c>
      <x:c r="AH596" s="136" t="inlineStr">
        <x:is>
          <x:t xml:space="preserve">No</x:t>
        </x:is>
      </x:c>
      <x:c r="AI596" s="136" t="inlineStr">
        <x:is>
          <x:t xml:space="preserve">Not reviewed</x:t>
        </x:is>
      </x:c>
      <x:c r="AJ596" s="136" t="inlineStr">
        <x:is>
          <x:t xml:space="preserve">Research only</x:t>
        </x:is>
      </x:c>
      <x:c r="AK596" s="136" t="inlineStr">
        <x:is>
          <x:t xml:space="preserve">Research Pool</x:t>
        </x:is>
      </x:c>
      <x:c r="AL596" s="136" t="n">
        <x:v>9</x:v>
      </x:c>
      <x:c r="AM596" s="136" t="inlineStr">
        <x:is>
          <x:t xml:space="preserve">ChatGPT research</x:t>
        </x:is>
      </x:c>
      <x:c r="AN596" s="136" t="inlineStr">
        <x:is>
          <x:t xml:space="preserve">2026-09-18</x:t>
        </x:is>
      </x:c>
      <x:c r="AO596" s="136" t="inlineStr">
        <x:is>
          <x:t xml:space="preserve">Day 9 Seneca full-scope thematic screening; VI is Selflo working translation.</x:t>
        </x:is>
      </x:c>
      <x:c r="AP596" s="136" t="n"/>
      <x:c r="AQ596" s="136" t="n"/>
    </x:row>
    <x:row r="597">
      <x:c r="A597" s="136" t="inlineStr">
        <x:is>
          <x:t xml:space="preserve">research.seneca.day9.ep001_2</x:t>
        </x:is>
      </x:c>
      <x:c r="B597" s="136" t="inlineStr">
        <x:is>
          <x:t xml:space="preserve">Collected</x:t>
        </x:is>
      </x:c>
      <x:c r="C597" s="136" t="inlineStr">
        <x:is>
          <x:t xml:space="preserve">Nội tâm &amp; hiểu mình</x:t>
        </x:is>
      </x:c>
      <x:c r="D597" s="136" t="inlineStr">
        <x:is>
          <x:t xml:space="preserve">Day 9 / Seneca — Letters &amp; Essays</x:t>
        </x:is>
      </x:c>
      <x:c r="E597" s="136" t="inlineStr">
        <x:is>
          <x:t xml:space="preserve"/>
        </x:is>
      </x:c>
      <x:c r="F597" s="136" t="inlineStr">
        <x:is>
          <x:t xml:space="preserve">Nhận ra thời gian biến mất theo nhiều cách</x:t>
        </x:is>
      </x:c>
      <x:c r="G597" s="136" t="inlineStr">
        <x:is>
          <x:t xml:space="preserve">Time</x:t>
        </x:is>
      </x:c>
      <x:c r="H597" s="136" t="inlineStr">
        <x:is>
          <x:t xml:space="preserve"/>
        </x:is>
      </x:c>
      <x:c r="I597" s="136" t="inlineStr">
        <x:is>
          <x:t xml:space="preserve"/>
        </x:is>
      </x:c>
      <x:c r="J597" s="136" t="inlineStr">
        <x:is>
          <x:t xml:space="preserve"/>
        </x:is>
      </x:c>
      <x:c r="K597" s="136" t="inlineStr">
        <x:is>
          <x:t xml:space="preserve">Recognize</x:t>
        </x:is>
      </x:c>
      <x:c r="L597" s="136" t="inlineStr">
        <x:is>
          <x:t xml:space="preserve"/>
        </x:is>
      </x:c>
      <x:c r="M597" s="136" t="inlineStr">
        <x:is>
          <x:t xml:space="preserve">Letter / philosophical reflection</x:t>
        </x:is>
      </x:c>
      <x:c r="N597" s="136" t="inlineStr">
        <x:is>
          <x:t xml:space="preserve">quaedam tempora eripiuntur nobis, quaedam subducuntur, quaedam effluunt.</x:t>
        </x:is>
      </x:c>
      <x:c r="O597" s="136" t="inlineStr">
        <x:is>
          <x:t xml:space="preserve">Latin</x:t>
        </x:is>
      </x:c>
      <x:c r="P597" s="136" t="inlineStr">
        <x:is>
          <x:t xml:space="preserve">Có phần thời gian bị lấy mất, có phần bị lấy lén, có phần tự trôi đi.</x:t>
        </x:is>
      </x:c>
      <x:c r="Q597" s="136" t="inlineStr">
        <x:is>
          <x:t xml:space="preserve">Lucius Annaeus Seneca</x:t>
        </x:is>
      </x:c>
      <x:c r="R597" s="136" t="inlineStr">
        <x:is>
          <x:t xml:space="preserve">Roman Stoic / Rome</x:t>
        </x:is>
      </x:c>
      <x:c r="S597" s="136" t="inlineStr">
        <x:is>
          <x:t xml:space="preserve">Epistulae Morales</x:t>
        </x:is>
      </x:c>
      <x:c r="T597" s="136" t="inlineStr">
        <x:is>
          <x:t xml:space="preserve">1.1</x:t>
        </x:is>
      </x:c>
      <x:c r="U597" s="136" t="inlineStr">
        <x:is>
          <x:t xml:space="preserve">https://la.wikisource.org/wiki/Epistulae_morales_ad_Lucilium</x:t>
        </x:is>
      </x:c>
      <x:c r="V597" s="136" t="inlineStr">
        <x:is>
          <x:t xml:space="preserve">Primary Latin text / reputable digital corpus</x:t>
        </x:is>
      </x:c>
      <x:c r="W597" s="136" t="inlineStr">
        <x:is>
          <x:t xml:space="preserve">Original-source passage</x:t>
        </x:is>
      </x:c>
      <x:c r="X597" s="136" t="inlineStr">
        <x:is>
          <x:t xml:space="preserve">A - Primary-source text located</x:t>
        </x:is>
      </x:c>
      <x:c r="Y597" s="136" t="inlineStr">
        <x:is>
          <x:t xml:space="preserve">Latin anchor collected from Seneca primary-text corpus; exact punctuation/orthography can vary by edition. Release requires passage-level recheck.</x:t>
        </x:is>
      </x:c>
      <x:c r="Z597" s="136" t="inlineStr">
        <x:is>
          <x:t xml:space="preserve">Ancient work public domain; digital transcription terms apply</x:t>
        </x:is>
      </x:c>
      <x:c r="AA597" s="136" t="inlineStr">
        <x:is>
          <x:t xml:space="preserve">Keep Latin original and use fresh Selflo Vietnamese working translation; do not copy a modern copyrighted translation.</x:t>
        </x:is>
      </x:c>
      <x:c r="AB597" s="136" t="inlineStr">
        <x:is>
          <x:t xml:space="preserve">High</x:t>
        </x:is>
      </x:c>
      <x:c r="AC597" s="136" t="inlineStr">
        <x:is>
          <x:t xml:space="preserve">Collected for Day 9 coverage; editorial selection happens later.</x:t>
        </x:is>
      </x:c>
      <x:c r="AD597" s="136" t="inlineStr">
        <x:is>
          <x:t xml:space="preserve">Low–Medium</x:t>
        </x:is>
      </x:c>
      <x:c r="AE597" s="136" t="inlineStr">
        <x:is>
          <x:t xml:space="preserve">Needs semantic dedupe review</x:t>
        </x:is>
      </x:c>
      <x:c r="AF597" s="136" t="inlineStr">
        <x:is>
          <x:t xml:space="preserve"/>
        </x:is>
      </x:c>
      <x:c r="AG597" s="136" t="inlineStr">
        <x:is>
          <x:t xml:space="preserve"/>
        </x:is>
      </x:c>
      <x:c r="AH597" s="136" t="inlineStr">
        <x:is>
          <x:t xml:space="preserve">No</x:t>
        </x:is>
      </x:c>
      <x:c r="AI597" s="136" t="inlineStr">
        <x:is>
          <x:t xml:space="preserve">Not reviewed</x:t>
        </x:is>
      </x:c>
      <x:c r="AJ597" s="136" t="inlineStr">
        <x:is>
          <x:t xml:space="preserve">Research only</x:t>
        </x:is>
      </x:c>
      <x:c r="AK597" s="136" t="inlineStr">
        <x:is>
          <x:t xml:space="preserve">Research Pool</x:t>
        </x:is>
      </x:c>
      <x:c r="AL597" s="136" t="n">
        <x:v>9</x:v>
      </x:c>
      <x:c r="AM597" s="136" t="inlineStr">
        <x:is>
          <x:t xml:space="preserve">ChatGPT research</x:t>
        </x:is>
      </x:c>
      <x:c r="AN597" s="136" t="inlineStr">
        <x:is>
          <x:t xml:space="preserve">2026-09-18</x:t>
        </x:is>
      </x:c>
      <x:c r="AO597" s="136" t="inlineStr">
        <x:is>
          <x:t xml:space="preserve">Day 9 Seneca full-scope thematic screening; VI is Selflo working translation.</x:t>
        </x:is>
      </x:c>
      <x:c r="AP597" s="136" t="n"/>
      <x:c r="AQ597" s="136" t="n"/>
    </x:row>
    <x:row r="598">
      <x:c r="A598" s="136" t="inlineStr">
        <x:is>
          <x:t xml:space="preserve">research.seneca.day9.ep001_3</x:t>
        </x:is>
      </x:c>
      <x:c r="B598" s="136" t="inlineStr">
        <x:is>
          <x:t xml:space="preserve">Collected</x:t>
        </x:is>
      </x:c>
      <x:c r="C598" s="136" t="inlineStr">
        <x:is>
          <x:t xml:space="preserve">Nội tâm &amp; hiểu mình</x:t>
        </x:is>
      </x:c>
      <x:c r="D598" s="136" t="inlineStr">
        <x:is>
          <x:t xml:space="preserve">Day 9 / Seneca — Letters &amp; Essays</x:t>
        </x:is>
      </x:c>
      <x:c r="E598" s="136" t="inlineStr">
        <x:is>
          <x:t xml:space="preserve"/>
        </x:is>
      </x:c>
      <x:c r="F598" s="136" t="inlineStr">
        <x:is>
          <x:t xml:space="preserve">Sống với phần thời gian hiện tại</x:t>
        </x:is>
      </x:c>
      <x:c r="G598" s="136" t="inlineStr">
        <x:is>
          <x:t xml:space="preserve">Presence</x:t>
        </x:is>
      </x:c>
      <x:c r="H598" s="136" t="inlineStr">
        <x:is>
          <x:t xml:space="preserve"/>
        </x:is>
      </x:c>
      <x:c r="I598" s="136" t="inlineStr">
        <x:is>
          <x:t xml:space="preserve"/>
        </x:is>
      </x:c>
      <x:c r="J598" s="136" t="inlineStr">
        <x:is>
          <x:t xml:space="preserve"/>
        </x:is>
      </x:c>
      <x:c r="K598" s="136" t="inlineStr">
        <x:is>
          <x:t xml:space="preserve">Return agency</x:t>
        </x:is>
      </x:c>
      <x:c r="L598" s="136" t="inlineStr">
        <x:is>
          <x:t xml:space="preserve"/>
        </x:is>
      </x:c>
      <x:c r="M598" s="136" t="inlineStr">
        <x:is>
          <x:t xml:space="preserve">Letter / philosophical reflection</x:t>
        </x:is>
      </x:c>
      <x:c r="N598" s="136" t="inlineStr">
        <x:is>
          <x:t xml:space="preserve">omnes horas complectere</x:t>
        </x:is>
      </x:c>
      <x:c r="O598" s="136" t="inlineStr">
        <x:is>
          <x:t xml:space="preserve">Latin</x:t>
        </x:is>
      </x:c>
      <x:c r="P598" s="136" t="inlineStr">
        <x:is>
          <x:t xml:space="preserve">Hãy giữ lấy từng giờ đang có.</x:t>
        </x:is>
      </x:c>
      <x:c r="Q598" s="136" t="inlineStr">
        <x:is>
          <x:t xml:space="preserve">Lucius Annaeus Seneca</x:t>
        </x:is>
      </x:c>
      <x:c r="R598" s="136" t="inlineStr">
        <x:is>
          <x:t xml:space="preserve">Roman Stoic / Rome</x:t>
        </x:is>
      </x:c>
      <x:c r="S598" s="136" t="inlineStr">
        <x:is>
          <x:t xml:space="preserve">Epistulae Morales</x:t>
        </x:is>
      </x:c>
      <x:c r="T598" s="136" t="inlineStr">
        <x:is>
          <x:t xml:space="preserve">1.2</x:t>
        </x:is>
      </x:c>
      <x:c r="U598" s="136" t="inlineStr">
        <x:is>
          <x:t xml:space="preserve">https://la.wikisource.org/wiki/Epistulae_morales_ad_Lucilium</x:t>
        </x:is>
      </x:c>
      <x:c r="V598" s="136" t="inlineStr">
        <x:is>
          <x:t xml:space="preserve">Primary Latin text / reputable digital corpus</x:t>
        </x:is>
      </x:c>
      <x:c r="W598" s="136" t="inlineStr">
        <x:is>
          <x:t xml:space="preserve">Original-source passage</x:t>
        </x:is>
      </x:c>
      <x:c r="X598" s="136" t="inlineStr">
        <x:is>
          <x:t xml:space="preserve">A - Primary-source text located</x:t>
        </x:is>
      </x:c>
      <x:c r="Y598" s="136" t="inlineStr">
        <x:is>
          <x:t xml:space="preserve">Latin anchor collected from Seneca primary-text corpus; exact punctuation/orthography can vary by edition. Release requires passage-level recheck.</x:t>
        </x:is>
      </x:c>
      <x:c r="Z598" s="136" t="inlineStr">
        <x:is>
          <x:t xml:space="preserve">Ancient work public domain; digital transcription terms apply</x:t>
        </x:is>
      </x:c>
      <x:c r="AA598" s="136" t="inlineStr">
        <x:is>
          <x:t xml:space="preserve">Keep Latin original and use fresh Selflo Vietnamese working translation; do not copy a modern copyrighted translation.</x:t>
        </x:is>
      </x:c>
      <x:c r="AB598" s="136" t="inlineStr">
        <x:is>
          <x:t xml:space="preserve">High</x:t>
        </x:is>
      </x:c>
      <x:c r="AC598" s="136" t="inlineStr">
        <x:is>
          <x:t xml:space="preserve">Collected for Day 9 coverage; editorial selection happens later.</x:t>
        </x:is>
      </x:c>
      <x:c r="AD598" s="136" t="inlineStr">
        <x:is>
          <x:t xml:space="preserve">Low–Medium</x:t>
        </x:is>
      </x:c>
      <x:c r="AE598" s="136" t="inlineStr">
        <x:is>
          <x:t xml:space="preserve">Needs semantic dedupe review</x:t>
        </x:is>
      </x:c>
      <x:c r="AF598" s="136" t="inlineStr">
        <x:is>
          <x:t xml:space="preserve"/>
        </x:is>
      </x:c>
      <x:c r="AG598" s="136" t="inlineStr">
        <x:is>
          <x:t xml:space="preserve"/>
        </x:is>
      </x:c>
      <x:c r="AH598" s="136" t="inlineStr">
        <x:is>
          <x:t xml:space="preserve">No</x:t>
        </x:is>
      </x:c>
      <x:c r="AI598" s="136" t="inlineStr">
        <x:is>
          <x:t xml:space="preserve">Not reviewed</x:t>
        </x:is>
      </x:c>
      <x:c r="AJ598" s="136" t="inlineStr">
        <x:is>
          <x:t xml:space="preserve">Research only</x:t>
        </x:is>
      </x:c>
      <x:c r="AK598" s="136" t="inlineStr">
        <x:is>
          <x:t xml:space="preserve">Research Pool</x:t>
        </x:is>
      </x:c>
      <x:c r="AL598" s="136" t="n">
        <x:v>9</x:v>
      </x:c>
      <x:c r="AM598" s="136" t="inlineStr">
        <x:is>
          <x:t xml:space="preserve">ChatGPT research</x:t>
        </x:is>
      </x:c>
      <x:c r="AN598" s="136" t="inlineStr">
        <x:is>
          <x:t xml:space="preserve">2026-09-18</x:t>
        </x:is>
      </x:c>
      <x:c r="AO598" s="136" t="inlineStr">
        <x:is>
          <x:t xml:space="preserve">Day 9 Seneca full-scope thematic screening; VI is Selflo working translation.</x:t>
        </x:is>
      </x:c>
      <x:c r="AP598" s="136" t="n"/>
      <x:c r="AQ598" s="136" t="n"/>
    </x:row>
    <x:row r="599">
      <x:c r="A599" s="136" t="inlineStr">
        <x:is>
          <x:t xml:space="preserve">research.seneca.day9.ep002</x:t>
        </x:is>
      </x:c>
      <x:c r="B599" s="136" t="inlineStr">
        <x:is>
          <x:t xml:space="preserve">Collected</x:t>
        </x:is>
      </x:c>
      <x:c r="C599" s="136" t="inlineStr">
        <x:is>
          <x:t xml:space="preserve">Nội tâm &amp; hiểu mình</x:t>
        </x:is>
      </x:c>
      <x:c r="D599" s="136" t="inlineStr">
        <x:is>
          <x:t xml:space="preserve">Day 9 / Seneca — Letters &amp; Essays</x:t>
        </x:is>
      </x:c>
      <x:c r="E599" s="136" t="inlineStr">
        <x:is>
          <x:t xml:space="preserve"/>
        </x:is>
      </x:c>
      <x:c r="F599" s="136" t="inlineStr">
        <x:is>
          <x:t xml:space="preserve">Tâm trí phân tán</x:t>
        </x:is>
      </x:c>
      <x:c r="G599" s="136" t="inlineStr">
        <x:is>
          <x:t xml:space="preserve">Attention</x:t>
        </x:is>
      </x:c>
      <x:c r="H599" s="136" t="inlineStr">
        <x:is>
          <x:t xml:space="preserve"/>
        </x:is>
      </x:c>
      <x:c r="I599" s="136" t="inlineStr">
        <x:is>
          <x:t xml:space="preserve"/>
        </x:is>
      </x:c>
      <x:c r="J599" s="136" t="inlineStr">
        <x:is>
          <x:t xml:space="preserve"/>
        </x:is>
      </x:c>
      <x:c r="K599" s="136" t="inlineStr">
        <x:is>
          <x:t xml:space="preserve">Recognize</x:t>
        </x:is>
      </x:c>
      <x:c r="L599" s="136" t="inlineStr">
        <x:is>
          <x:t xml:space="preserve"/>
        </x:is>
      </x:c>
      <x:c r="M599" s="136" t="inlineStr">
        <x:is>
          <x:t xml:space="preserve">Letter / philosophical reflection</x:t>
        </x:is>
      </x:c>
      <x:c r="N599" s="136" t="inlineStr">
        <x:is>
          <x:t xml:space="preserve">nusquam est qui ubique est.</x:t>
        </x:is>
      </x:c>
      <x:c r="O599" s="136" t="inlineStr">
        <x:is>
          <x:t xml:space="preserve">Latin</x:t>
        </x:is>
      </x:c>
      <x:c r="P599" s="136" t="inlineStr">
        <x:is>
          <x:t xml:space="preserve">Người ở khắp nơi thường chẳng thật sự ở đâu.</x:t>
        </x:is>
      </x:c>
      <x:c r="Q599" s="136" t="inlineStr">
        <x:is>
          <x:t xml:space="preserve">Lucius Annaeus Seneca</x:t>
        </x:is>
      </x:c>
      <x:c r="R599" s="136" t="inlineStr">
        <x:is>
          <x:t xml:space="preserve">Roman Stoic / Rome</x:t>
        </x:is>
      </x:c>
      <x:c r="S599" s="136" t="inlineStr">
        <x:is>
          <x:t xml:space="preserve">Epistulae Morales</x:t>
        </x:is>
      </x:c>
      <x:c r="T599" s="136" t="inlineStr">
        <x:is>
          <x:t xml:space="preserve">2.2</x:t>
        </x:is>
      </x:c>
      <x:c r="U599" s="136" t="inlineStr">
        <x:is>
          <x:t xml:space="preserve">https://la.wikisource.org/wiki/Epistulae_morales_ad_Lucilium</x:t>
        </x:is>
      </x:c>
      <x:c r="V599" s="136" t="inlineStr">
        <x:is>
          <x:t xml:space="preserve">Primary Latin text / reputable digital corpus</x:t>
        </x:is>
      </x:c>
      <x:c r="W599" s="136" t="inlineStr">
        <x:is>
          <x:t xml:space="preserve">Original-source passage</x:t>
        </x:is>
      </x:c>
      <x:c r="X599" s="136" t="inlineStr">
        <x:is>
          <x:t xml:space="preserve">A - Primary-source text located</x:t>
        </x:is>
      </x:c>
      <x:c r="Y599" s="136" t="inlineStr">
        <x:is>
          <x:t xml:space="preserve">Latin anchor collected from Seneca primary-text corpus; exact punctuation/orthography can vary by edition. Release requires passage-level recheck.</x:t>
        </x:is>
      </x:c>
      <x:c r="Z599" s="136" t="inlineStr">
        <x:is>
          <x:t xml:space="preserve">Ancient work public domain; digital transcription terms apply</x:t>
        </x:is>
      </x:c>
      <x:c r="AA599" s="136" t="inlineStr">
        <x:is>
          <x:t xml:space="preserve">Keep Latin original and use fresh Selflo Vietnamese working translation; do not copy a modern copyrighted translation.</x:t>
        </x:is>
      </x:c>
      <x:c r="AB599" s="136" t="inlineStr">
        <x:is>
          <x:t xml:space="preserve">High</x:t>
        </x:is>
      </x:c>
      <x:c r="AC599" s="136" t="inlineStr">
        <x:is>
          <x:t xml:space="preserve">Collected for Day 9 coverage; editorial selection happens later.</x:t>
        </x:is>
      </x:c>
      <x:c r="AD599" s="136" t="inlineStr">
        <x:is>
          <x:t xml:space="preserve">Low–Medium</x:t>
        </x:is>
      </x:c>
      <x:c r="AE599" s="136" t="inlineStr">
        <x:is>
          <x:t xml:space="preserve">Needs semantic dedupe review</x:t>
        </x:is>
      </x:c>
      <x:c r="AF599" s="136" t="inlineStr">
        <x:is>
          <x:t xml:space="preserve"/>
        </x:is>
      </x:c>
      <x:c r="AG599" s="136" t="inlineStr">
        <x:is>
          <x:t xml:space="preserve"/>
        </x:is>
      </x:c>
      <x:c r="AH599" s="136" t="inlineStr">
        <x:is>
          <x:t xml:space="preserve">No</x:t>
        </x:is>
      </x:c>
      <x:c r="AI599" s="136" t="inlineStr">
        <x:is>
          <x:t xml:space="preserve">Not reviewed</x:t>
        </x:is>
      </x:c>
      <x:c r="AJ599" s="136" t="inlineStr">
        <x:is>
          <x:t xml:space="preserve">Research only</x:t>
        </x:is>
      </x:c>
      <x:c r="AK599" s="136" t="inlineStr">
        <x:is>
          <x:t xml:space="preserve">Research Pool</x:t>
        </x:is>
      </x:c>
      <x:c r="AL599" s="136" t="n">
        <x:v>9</x:v>
      </x:c>
      <x:c r="AM599" s="136" t="inlineStr">
        <x:is>
          <x:t xml:space="preserve">ChatGPT research</x:t>
        </x:is>
      </x:c>
      <x:c r="AN599" s="136" t="inlineStr">
        <x:is>
          <x:t xml:space="preserve">2026-09-18</x:t>
        </x:is>
      </x:c>
      <x:c r="AO599" s="136" t="inlineStr">
        <x:is>
          <x:t xml:space="preserve">Day 9 Seneca full-scope thematic screening; VI is Selflo working translation.</x:t>
        </x:is>
      </x:c>
      <x:c r="AP599" s="136" t="n"/>
      <x:c r="AQ599" s="136" t="n"/>
    </x:row>
    <x:row r="600">
      <x:c r="A600" s="136" t="inlineStr">
        <x:is>
          <x:t xml:space="preserve">research.seneca.day9.ep003</x:t>
        </x:is>
      </x:c>
      <x:c r="B600" s="136" t="inlineStr">
        <x:is>
          <x:t xml:space="preserve">Collected</x:t>
        </x:is>
      </x:c>
      <x:c r="C600" s="136" t="inlineStr">
        <x:is>
          <x:t xml:space="preserve">Quan hệ</x:t>
        </x:is>
      </x:c>
      <x:c r="D600" s="136" t="inlineStr">
        <x:is>
          <x:t xml:space="preserve">Day 9 / Seneca — Letters &amp; Essays</x:t>
        </x:is>
      </x:c>
      <x:c r="E600" s="136" t="inlineStr">
        <x:is>
          <x:t xml:space="preserve"/>
        </x:is>
      </x:c>
      <x:c r="F600" s="136" t="inlineStr">
        <x:is>
          <x:t xml:space="preserve">Tin cậy và phán đoán</x:t>
        </x:is>
      </x:c>
      <x:c r="G600" s="136" t="inlineStr">
        <x:is>
          <x:t xml:space="preserve">Relationships</x:t>
        </x:is>
      </x:c>
      <x:c r="H600" s="136" t="inlineStr">
        <x:is>
          <x:t xml:space="preserve"/>
        </x:is>
      </x:c>
      <x:c r="I600" s="136" t="inlineStr">
        <x:is>
          <x:t xml:space="preserve"/>
        </x:is>
      </x:c>
      <x:c r="J600" s="136" t="inlineStr">
        <x:is>
          <x:t xml:space="preserve"/>
        </x:is>
      </x:c>
      <x:c r="K600" s="136" t="inlineStr">
        <x:is>
          <x:t xml:space="preserve">Distinguish</x:t>
        </x:is>
      </x:c>
      <x:c r="L600" s="136" t="inlineStr">
        <x:is>
          <x:t xml:space="preserve"/>
        </x:is>
      </x:c>
      <x:c r="M600" s="136" t="inlineStr">
        <x:is>
          <x:t xml:space="preserve">Letter / philosophical reflection</x:t>
        </x:is>
      </x:c>
      <x:c r="N600" s="136" t="inlineStr">
        <x:is>
          <x:t xml:space="preserve">cum amicitia credendum est, ante amicitiam iudicandum.</x:t>
        </x:is>
      </x:c>
      <x:c r="O600" s="136" t="inlineStr">
        <x:is>
          <x:t xml:space="preserve">Latin</x:t>
        </x:is>
      </x:c>
      <x:c r="P600" s="136" t="inlineStr">
        <x:is>
          <x:t xml:space="preserve">Khi đã là bạn thì có chỗ cho tin cậy; trước khi kết bạn thì cần có phán đoán.</x:t>
        </x:is>
      </x:c>
      <x:c r="Q600" s="136" t="inlineStr">
        <x:is>
          <x:t xml:space="preserve">Lucius Annaeus Seneca</x:t>
        </x:is>
      </x:c>
      <x:c r="R600" s="136" t="inlineStr">
        <x:is>
          <x:t xml:space="preserve">Roman Stoic / Rome</x:t>
        </x:is>
      </x:c>
      <x:c r="S600" s="136" t="inlineStr">
        <x:is>
          <x:t xml:space="preserve">Epistulae Morales</x:t>
        </x:is>
      </x:c>
      <x:c r="T600" s="136" t="inlineStr">
        <x:is>
          <x:t xml:space="preserve">3.2</x:t>
        </x:is>
      </x:c>
      <x:c r="U600" s="136" t="inlineStr">
        <x:is>
          <x:t xml:space="preserve">https://la.wikisource.org/wiki/Epistulae_morales_ad_Lucilium</x:t>
        </x:is>
      </x:c>
      <x:c r="V600" s="136" t="inlineStr">
        <x:is>
          <x:t xml:space="preserve">Primary Latin text / reputable digital corpus</x:t>
        </x:is>
      </x:c>
      <x:c r="W600" s="136" t="inlineStr">
        <x:is>
          <x:t xml:space="preserve">Original-source passage</x:t>
        </x:is>
      </x:c>
      <x:c r="X600" s="136" t="inlineStr">
        <x:is>
          <x:t xml:space="preserve">A - Primary-source text located</x:t>
        </x:is>
      </x:c>
      <x:c r="Y600" s="136" t="inlineStr">
        <x:is>
          <x:t xml:space="preserve">Latin anchor collected from Seneca primary-text corpus; exact punctuation/orthography can vary by edition. Release requires passage-level recheck.</x:t>
        </x:is>
      </x:c>
      <x:c r="Z600" s="136" t="inlineStr">
        <x:is>
          <x:t xml:space="preserve">Ancient work public domain; digital transcription terms apply</x:t>
        </x:is>
      </x:c>
      <x:c r="AA600" s="136" t="inlineStr">
        <x:is>
          <x:t xml:space="preserve">Keep Latin original and use fresh Selflo Vietnamese working translation; do not copy a modern copyrighted translation.</x:t>
        </x:is>
      </x:c>
      <x:c r="AB600" s="136" t="inlineStr">
        <x:is>
          <x:t xml:space="preserve">High</x:t>
        </x:is>
      </x:c>
      <x:c r="AC600" s="136" t="inlineStr">
        <x:is>
          <x:t xml:space="preserve">Collected for Day 9 coverage; editorial selection happens later.</x:t>
        </x:is>
      </x:c>
      <x:c r="AD600" s="136" t="inlineStr">
        <x:is>
          <x:t xml:space="preserve">Low–Medium</x:t>
        </x:is>
      </x:c>
      <x:c r="AE600" s="136" t="inlineStr">
        <x:is>
          <x:t xml:space="preserve">Needs semantic dedupe review</x:t>
        </x:is>
      </x:c>
      <x:c r="AF600" s="136" t="inlineStr">
        <x:is>
          <x:t xml:space="preserve"/>
        </x:is>
      </x:c>
      <x:c r="AG600" s="136" t="inlineStr">
        <x:is>
          <x:t xml:space="preserve"/>
        </x:is>
      </x:c>
      <x:c r="AH600" s="136" t="inlineStr">
        <x:is>
          <x:t xml:space="preserve">No</x:t>
        </x:is>
      </x:c>
      <x:c r="AI600" s="136" t="inlineStr">
        <x:is>
          <x:t xml:space="preserve">Not reviewed</x:t>
        </x:is>
      </x:c>
      <x:c r="AJ600" s="136" t="inlineStr">
        <x:is>
          <x:t xml:space="preserve">Research only</x:t>
        </x:is>
      </x:c>
      <x:c r="AK600" s="136" t="inlineStr">
        <x:is>
          <x:t xml:space="preserve">Research Pool</x:t>
        </x:is>
      </x:c>
      <x:c r="AL600" s="136" t="n">
        <x:v>9</x:v>
      </x:c>
      <x:c r="AM600" s="136" t="inlineStr">
        <x:is>
          <x:t xml:space="preserve">ChatGPT research</x:t>
        </x:is>
      </x:c>
      <x:c r="AN600" s="136" t="inlineStr">
        <x:is>
          <x:t xml:space="preserve">2026-09-18</x:t>
        </x:is>
      </x:c>
      <x:c r="AO600" s="136" t="inlineStr">
        <x:is>
          <x:t xml:space="preserve">Day 9 Seneca full-scope thematic screening; VI is Selflo working translation.</x:t>
        </x:is>
      </x:c>
      <x:c r="AP600" s="136" t="n"/>
      <x:c r="AQ600" s="136" t="n"/>
    </x:row>
    <x:row r="601">
      <x:c r="A601" s="136" t="inlineStr">
        <x:is>
          <x:t xml:space="preserve">research.seneca.day9.ep006</x:t>
        </x:is>
      </x:c>
      <x:c r="B601" s="136" t="inlineStr">
        <x:is>
          <x:t xml:space="preserve">Collected</x:t>
        </x:is>
      </x:c>
      <x:c r="C601" s="136" t="inlineStr">
        <x:is>
          <x:t xml:space="preserve">Nội tâm &amp; hiểu mình</x:t>
        </x:is>
      </x:c>
      <x:c r="D601" s="136" t="inlineStr">
        <x:is>
          <x:t xml:space="preserve">Day 9 / Seneca — Letters &amp; Essays</x:t>
        </x:is>
      </x:c>
      <x:c r="E601" s="136" t="inlineStr">
        <x:is>
          <x:t xml:space="preserve"/>
        </x:is>
      </x:c>
      <x:c r="F601" s="136" t="inlineStr">
        <x:is>
          <x:t xml:space="preserve">Học bằng chia sẻ</x:t>
        </x:is>
      </x:c>
      <x:c r="G601" s="136" t="inlineStr">
        <x:is>
          <x:t xml:space="preserve">Learning</x:t>
        </x:is>
      </x:c>
      <x:c r="H601" s="136" t="inlineStr">
        <x:is>
          <x:t xml:space="preserve"/>
        </x:is>
      </x:c>
      <x:c r="I601" s="136" t="inlineStr">
        <x:is>
          <x:t xml:space="preserve"/>
        </x:is>
      </x:c>
      <x:c r="J601" s="136" t="inlineStr">
        <x:is>
          <x:t xml:space="preserve"/>
        </x:is>
      </x:c>
      <x:c r="K601" s="136" t="inlineStr">
        <x:is>
          <x:t xml:space="preserve">Reframe</x:t>
        </x:is>
      </x:c>
      <x:c r="L601" s="136" t="inlineStr">
        <x:is>
          <x:t xml:space="preserve"/>
        </x:is>
      </x:c>
      <x:c r="M601" s="136" t="inlineStr">
        <x:is>
          <x:t xml:space="preserve">Letter / philosophical reflection</x:t>
        </x:is>
      </x:c>
      <x:c r="N601" s="136" t="inlineStr">
        <x:is>
          <x:t xml:space="preserve">homines dum docent discunt.</x:t>
        </x:is>
      </x:c>
      <x:c r="O601" s="136" t="inlineStr">
        <x:is>
          <x:t xml:space="preserve">Latin</x:t>
        </x:is>
      </x:c>
      <x:c r="P601" s="136" t="inlineStr">
        <x:is>
          <x:t xml:space="preserve">Con người học trong khi dạy.</x:t>
        </x:is>
      </x:c>
      <x:c r="Q601" s="136" t="inlineStr">
        <x:is>
          <x:t xml:space="preserve">Lucius Annaeus Seneca</x:t>
        </x:is>
      </x:c>
      <x:c r="R601" s="136" t="inlineStr">
        <x:is>
          <x:t xml:space="preserve">Roman Stoic / Rome</x:t>
        </x:is>
      </x:c>
      <x:c r="S601" s="136" t="inlineStr">
        <x:is>
          <x:t xml:space="preserve">Epistulae Morales</x:t>
        </x:is>
      </x:c>
      <x:c r="T601" s="136" t="inlineStr">
        <x:is>
          <x:t xml:space="preserve">6.4</x:t>
        </x:is>
      </x:c>
      <x:c r="U601" s="136" t="inlineStr">
        <x:is>
          <x:t xml:space="preserve">https://la.wikisource.org/wiki/Epistulae_morales_ad_Lucilium</x:t>
        </x:is>
      </x:c>
      <x:c r="V601" s="136" t="inlineStr">
        <x:is>
          <x:t xml:space="preserve">Primary Latin text / reputable digital corpus</x:t>
        </x:is>
      </x:c>
      <x:c r="W601" s="136" t="inlineStr">
        <x:is>
          <x:t xml:space="preserve">Original-source passage</x:t>
        </x:is>
      </x:c>
      <x:c r="X601" s="136" t="inlineStr">
        <x:is>
          <x:t xml:space="preserve">A - Primary-source text located</x:t>
        </x:is>
      </x:c>
      <x:c r="Y601" s="136" t="inlineStr">
        <x:is>
          <x:t xml:space="preserve">Latin anchor collected from Seneca primary-text corpus; exact punctuation/orthography can vary by edition. Release requires passage-level recheck.</x:t>
        </x:is>
      </x:c>
      <x:c r="Z601" s="136" t="inlineStr">
        <x:is>
          <x:t xml:space="preserve">Ancient work public domain; digital transcription terms apply</x:t>
        </x:is>
      </x:c>
      <x:c r="AA601" s="136" t="inlineStr">
        <x:is>
          <x:t xml:space="preserve">Keep Latin original and use fresh Selflo Vietnamese working translation; do not copy a modern copyrighted translation.</x:t>
        </x:is>
      </x:c>
      <x:c r="AB601" s="136" t="inlineStr">
        <x:is>
          <x:t xml:space="preserve">High</x:t>
        </x:is>
      </x:c>
      <x:c r="AC601" s="136" t="inlineStr">
        <x:is>
          <x:t xml:space="preserve">Collected for Day 9 coverage; editorial selection happens later.</x:t>
        </x:is>
      </x:c>
      <x:c r="AD601" s="136" t="inlineStr">
        <x:is>
          <x:t xml:space="preserve">Low–Medium</x:t>
        </x:is>
      </x:c>
      <x:c r="AE601" s="136" t="inlineStr">
        <x:is>
          <x:t xml:space="preserve">Needs semantic dedupe review</x:t>
        </x:is>
      </x:c>
      <x:c r="AF601" s="136" t="inlineStr">
        <x:is>
          <x:t xml:space="preserve"/>
        </x:is>
      </x:c>
      <x:c r="AG601" s="136" t="inlineStr">
        <x:is>
          <x:t xml:space="preserve"/>
        </x:is>
      </x:c>
      <x:c r="AH601" s="136" t="inlineStr">
        <x:is>
          <x:t xml:space="preserve">No</x:t>
        </x:is>
      </x:c>
      <x:c r="AI601" s="136" t="inlineStr">
        <x:is>
          <x:t xml:space="preserve">Not reviewed</x:t>
        </x:is>
      </x:c>
      <x:c r="AJ601" s="136" t="inlineStr">
        <x:is>
          <x:t xml:space="preserve">Research only</x:t>
        </x:is>
      </x:c>
      <x:c r="AK601" s="136" t="inlineStr">
        <x:is>
          <x:t xml:space="preserve">Research Pool</x:t>
        </x:is>
      </x:c>
      <x:c r="AL601" s="136" t="n">
        <x:v>9</x:v>
      </x:c>
      <x:c r="AM601" s="136" t="inlineStr">
        <x:is>
          <x:t xml:space="preserve">ChatGPT research</x:t>
        </x:is>
      </x:c>
      <x:c r="AN601" s="136" t="inlineStr">
        <x:is>
          <x:t xml:space="preserve">2026-09-18</x:t>
        </x:is>
      </x:c>
      <x:c r="AO601" s="136" t="inlineStr">
        <x:is>
          <x:t xml:space="preserve">Day 9 Seneca full-scope thematic screening; VI is Selflo working translation.</x:t>
        </x:is>
      </x:c>
      <x:c r="AP601" s="136" t="n"/>
      <x:c r="AQ601" s="136" t="n"/>
    </x:row>
    <x:row r="602">
      <x:c r="A602" s="136" t="inlineStr">
        <x:is>
          <x:t xml:space="preserve">research.seneca.day9.ep007</x:t>
        </x:is>
      </x:c>
      <x:c r="B602" s="136" t="inlineStr">
        <x:is>
          <x:t xml:space="preserve">Collected</x:t>
        </x:is>
      </x:c>
      <x:c r="C602" s="136" t="inlineStr">
        <x:is>
          <x:t xml:space="preserve">Nội tâm &amp; hiểu mình</x:t>
        </x:is>
      </x:c>
      <x:c r="D602" s="136" t="inlineStr">
        <x:is>
          <x:t xml:space="preserve">Day 9 / Seneca — Letters &amp; Essays</x:t>
        </x:is>
      </x:c>
      <x:c r="E602" s="136" t="inlineStr">
        <x:is>
          <x:t xml:space="preserve"/>
        </x:is>
      </x:c>
      <x:c r="F602" s="136" t="inlineStr">
        <x:is>
          <x:t xml:space="preserve">Ảnh hưởng của đám đông</x:t>
        </x:is>
      </x:c>
      <x:c r="G602" s="136" t="inlineStr">
        <x:is>
          <x:t xml:space="preserve">Social influence</x:t>
        </x:is>
      </x:c>
      <x:c r="H602" s="136" t="inlineStr">
        <x:is>
          <x:t xml:space="preserve"/>
        </x:is>
      </x:c>
      <x:c r="I602" s="136" t="inlineStr">
        <x:is>
          <x:t xml:space="preserve"/>
        </x:is>
      </x:c>
      <x:c r="J602" s="136" t="inlineStr">
        <x:is>
          <x:t xml:space="preserve"/>
        </x:is>
      </x:c>
      <x:c r="K602" s="136" t="inlineStr">
        <x:is>
          <x:t xml:space="preserve">Recognize</x:t>
        </x:is>
      </x:c>
      <x:c r="L602" s="136" t="inlineStr">
        <x:is>
          <x:t xml:space="preserve"/>
        </x:is>
      </x:c>
      <x:c r="M602" s="136" t="inlineStr">
        <x:is>
          <x:t xml:space="preserve">Letter / philosophical reflection</x:t>
        </x:is>
      </x:c>
      <x:c r="N602" s="136" t="inlineStr">
        <x:is>
          <x:t xml:space="preserve">Quid tibi vitandum praecipue existimes quaeris? turbam.</x:t>
        </x:is>
      </x:c>
      <x:c r="O602" s="136" t="inlineStr">
        <x:is>
          <x:t xml:space="preserve">Latin</x:t>
        </x:is>
      </x:c>
      <x:c r="P602" s="136" t="inlineStr">
        <x:is>
          <x:t xml:space="preserve">Bạn hỏi điều gì nên dè chừng nhất? Seneca trả lời: đám đông.</x:t>
        </x:is>
      </x:c>
      <x:c r="Q602" s="136" t="inlineStr">
        <x:is>
          <x:t xml:space="preserve">Lucius Annaeus Seneca</x:t>
        </x:is>
      </x:c>
      <x:c r="R602" s="136" t="inlineStr">
        <x:is>
          <x:t xml:space="preserve">Roman Stoic / Rome</x:t>
        </x:is>
      </x:c>
      <x:c r="S602" s="136" t="inlineStr">
        <x:is>
          <x:t xml:space="preserve">Epistulae Morales</x:t>
        </x:is>
      </x:c>
      <x:c r="T602" s="136" t="inlineStr">
        <x:is>
          <x:t xml:space="preserve">7.1</x:t>
        </x:is>
      </x:c>
      <x:c r="U602" s="136" t="inlineStr">
        <x:is>
          <x:t xml:space="preserve">https://la.wikisource.org/wiki/Epistulae_morales_ad_Lucilium</x:t>
        </x:is>
      </x:c>
      <x:c r="V602" s="136" t="inlineStr">
        <x:is>
          <x:t xml:space="preserve">Primary Latin text / reputable digital corpus</x:t>
        </x:is>
      </x:c>
      <x:c r="W602" s="136" t="inlineStr">
        <x:is>
          <x:t xml:space="preserve">Original-source passage</x:t>
        </x:is>
      </x:c>
      <x:c r="X602" s="136" t="inlineStr">
        <x:is>
          <x:t xml:space="preserve">A - Primary-source text located</x:t>
        </x:is>
      </x:c>
      <x:c r="Y602" s="136" t="inlineStr">
        <x:is>
          <x:t xml:space="preserve">Latin anchor collected from Seneca primary-text corpus; exact punctuation/orthography can vary by edition. Release requires passage-level recheck.</x:t>
        </x:is>
      </x:c>
      <x:c r="Z602" s="136" t="inlineStr">
        <x:is>
          <x:t xml:space="preserve">Ancient work public domain; digital transcription terms apply</x:t>
        </x:is>
      </x:c>
      <x:c r="AA602" s="136" t="inlineStr">
        <x:is>
          <x:t xml:space="preserve">Keep Latin original and use fresh Selflo Vietnamese working translation; do not copy a modern copyrighted translation.</x:t>
        </x:is>
      </x:c>
      <x:c r="AB602" s="136" t="inlineStr">
        <x:is>
          <x:t xml:space="preserve">Medium</x:t>
        </x:is>
      </x:c>
      <x:c r="AC602" s="136" t="inlineStr">
        <x:is>
          <x:t xml:space="preserve">Collected for Day 9 coverage; editorial selection happens later.</x:t>
        </x:is>
      </x:c>
      <x:c r="AD602" s="136" t="inlineStr">
        <x:is>
          <x:t xml:space="preserve">Medium</x:t>
        </x:is>
      </x:c>
      <x:c r="AE602" s="136" t="inlineStr">
        <x:is>
          <x:t xml:space="preserve">Needs semantic dedupe review</x:t>
        </x:is>
      </x:c>
      <x:c r="AF602" s="136" t="inlineStr">
        <x:is>
          <x:t xml:space="preserve"/>
        </x:is>
      </x:c>
      <x:c r="AG602" s="136" t="inlineStr">
        <x:is>
          <x:t xml:space="preserve"/>
        </x:is>
      </x:c>
      <x:c r="AH602" s="136" t="inlineStr">
        <x:is>
          <x:t xml:space="preserve">No</x:t>
        </x:is>
      </x:c>
      <x:c r="AI602" s="136" t="inlineStr">
        <x:is>
          <x:t xml:space="preserve">Not reviewed</x:t>
        </x:is>
      </x:c>
      <x:c r="AJ602" s="136" t="inlineStr">
        <x:is>
          <x:t xml:space="preserve">Research only</x:t>
        </x:is>
      </x:c>
      <x:c r="AK602" s="136" t="inlineStr">
        <x:is>
          <x:t xml:space="preserve">Research Pool</x:t>
        </x:is>
      </x:c>
      <x:c r="AL602" s="136" t="n">
        <x:v>9</x:v>
      </x:c>
      <x:c r="AM602" s="136" t="inlineStr">
        <x:is>
          <x:t xml:space="preserve">ChatGPT research</x:t>
        </x:is>
      </x:c>
      <x:c r="AN602" s="136" t="inlineStr">
        <x:is>
          <x:t xml:space="preserve">2026-09-18</x:t>
        </x:is>
      </x:c>
      <x:c r="AO602" s="136" t="inlineStr">
        <x:is>
          <x:t xml:space="preserve">Day 9 Seneca full-scope thematic screening; VI is Selflo working translation.</x:t>
        </x:is>
      </x:c>
      <x:c r="AP602" s="136" t="n"/>
      <x:c r="AQ602" s="136" t="n"/>
    </x:row>
    <x:row r="603">
      <x:c r="A603" s="136" t="inlineStr">
        <x:is>
          <x:t xml:space="preserve">research.seneca.day9.ep007_2</x:t>
        </x:is>
      </x:c>
      <x:c r="B603" s="136" t="inlineStr">
        <x:is>
          <x:t xml:space="preserve">Collected</x:t>
        </x:is>
      </x:c>
      <x:c r="C603" s="136" t="inlineStr">
        <x:is>
          <x:t xml:space="preserve">Nội tâm &amp; hiểu mình</x:t>
        </x:is>
      </x:c>
      <x:c r="D603" s="136" t="inlineStr">
        <x:is>
          <x:t xml:space="preserve">Day 9 / Seneca — Letters &amp; Essays</x:t>
        </x:is>
      </x:c>
      <x:c r="E603" s="136" t="inlineStr">
        <x:is>
          <x:t xml:space="preserve"/>
        </x:is>
      </x:c>
      <x:c r="F603" s="136" t="inlineStr">
        <x:is>
          <x:t xml:space="preserve">Số đông không tự tạo giá trị</x:t>
        </x:is>
      </x:c>
      <x:c r="G603" s="136" t="inlineStr">
        <x:is>
          <x:t xml:space="preserve">External validation</x:t>
        </x:is>
      </x:c>
      <x:c r="H603" s="136" t="inlineStr">
        <x:is>
          <x:t xml:space="preserve"/>
        </x:is>
      </x:c>
      <x:c r="I603" s="136" t="inlineStr">
        <x:is>
          <x:t xml:space="preserve"/>
        </x:is>
      </x:c>
      <x:c r="J603" s="136" t="inlineStr">
        <x:is>
          <x:t xml:space="preserve"/>
        </x:is>
      </x:c>
      <x:c r="K603" s="136" t="inlineStr">
        <x:is>
          <x:t xml:space="preserve">Reframe</x:t>
        </x:is>
      </x:c>
      <x:c r="L603" s="136" t="inlineStr">
        <x:is>
          <x:t xml:space="preserve"/>
        </x:is>
      </x:c>
      <x:c r="M603" s="136" t="inlineStr">
        <x:is>
          <x:t xml:space="preserve">Letter / philosophical reflection</x:t>
        </x:is>
      </x:c>
      <x:c r="N603" s="136" t="inlineStr">
        <x:is>
          <x:t xml:space="preserve">unus mihi pro populo est, et populus pro uno.</x:t>
        </x:is>
      </x:c>
      <x:c r="O603" s="136" t="inlineStr">
        <x:is>
          <x:t xml:space="preserve">Latin</x:t>
        </x:is>
      </x:c>
      <x:c r="P603" s="136" t="inlineStr">
        <x:is>
          <x:t xml:space="preserve">Một người có thể đủ như cả đám đông; cả đám đông cũng có thể chỉ đáng như một người.</x:t>
        </x:is>
      </x:c>
      <x:c r="Q603" s="136" t="inlineStr">
        <x:is>
          <x:t xml:space="preserve">Lucius Annaeus Seneca</x:t>
        </x:is>
      </x:c>
      <x:c r="R603" s="136" t="inlineStr">
        <x:is>
          <x:t xml:space="preserve">Roman Stoic / Rome</x:t>
        </x:is>
      </x:c>
      <x:c r="S603" s="136" t="inlineStr">
        <x:is>
          <x:t xml:space="preserve">Epistulae Morales</x:t>
        </x:is>
      </x:c>
      <x:c r="T603" s="136" t="inlineStr">
        <x:is>
          <x:t xml:space="preserve">7.8</x:t>
        </x:is>
      </x:c>
      <x:c r="U603" s="136" t="inlineStr">
        <x:is>
          <x:t xml:space="preserve">https://la.wikisource.org/wiki/Epistulae_morales_ad_Lucilium</x:t>
        </x:is>
      </x:c>
      <x:c r="V603" s="136" t="inlineStr">
        <x:is>
          <x:t xml:space="preserve">Primary Latin text / reputable digital corpus</x:t>
        </x:is>
      </x:c>
      <x:c r="W603" s="136" t="inlineStr">
        <x:is>
          <x:t xml:space="preserve">Original-source passage</x:t>
        </x:is>
      </x:c>
      <x:c r="X603" s="136" t="inlineStr">
        <x:is>
          <x:t xml:space="preserve">A - Primary-source text located</x:t>
        </x:is>
      </x:c>
      <x:c r="Y603" s="136" t="inlineStr">
        <x:is>
          <x:t xml:space="preserve">Latin anchor collected from Seneca primary-text corpus; exact punctuation/orthography can vary by edition. Release requires passage-level recheck.</x:t>
        </x:is>
      </x:c>
      <x:c r="Z603" s="136" t="inlineStr">
        <x:is>
          <x:t xml:space="preserve">Ancient work public domain; digital transcription terms apply</x:t>
        </x:is>
      </x:c>
      <x:c r="AA603" s="136" t="inlineStr">
        <x:is>
          <x:t xml:space="preserve">Keep Latin original and use fresh Selflo Vietnamese working translation; do not copy a modern copyrighted translation.</x:t>
        </x:is>
      </x:c>
      <x:c r="AB603" s="136" t="inlineStr">
        <x:is>
          <x:t xml:space="preserve">Medium</x:t>
        </x:is>
      </x:c>
      <x:c r="AC603" s="136" t="inlineStr">
        <x:is>
          <x:t xml:space="preserve">Collected for Day 9 coverage; editorial selection happens later.</x:t>
        </x:is>
      </x:c>
      <x:c r="AD603" s="136" t="inlineStr">
        <x:is>
          <x:t xml:space="preserve">Medium</x:t>
        </x:is>
      </x:c>
      <x:c r="AE603" s="136" t="inlineStr">
        <x:is>
          <x:t xml:space="preserve">Needs semantic dedupe review</x:t>
        </x:is>
      </x:c>
      <x:c r="AF603" s="136" t="inlineStr">
        <x:is>
          <x:t xml:space="preserve"/>
        </x:is>
      </x:c>
      <x:c r="AG603" s="136" t="inlineStr">
        <x:is>
          <x:t xml:space="preserve"/>
        </x:is>
      </x:c>
      <x:c r="AH603" s="136" t="inlineStr">
        <x:is>
          <x:t xml:space="preserve">No</x:t>
        </x:is>
      </x:c>
      <x:c r="AI603" s="136" t="inlineStr">
        <x:is>
          <x:t xml:space="preserve">Not reviewed</x:t>
        </x:is>
      </x:c>
      <x:c r="AJ603" s="136" t="inlineStr">
        <x:is>
          <x:t xml:space="preserve">Research only</x:t>
        </x:is>
      </x:c>
      <x:c r="AK603" s="136" t="inlineStr">
        <x:is>
          <x:t xml:space="preserve">Research Pool</x:t>
        </x:is>
      </x:c>
      <x:c r="AL603" s="136" t="n">
        <x:v>9</x:v>
      </x:c>
      <x:c r="AM603" s="136" t="inlineStr">
        <x:is>
          <x:t xml:space="preserve">ChatGPT research</x:t>
        </x:is>
      </x:c>
      <x:c r="AN603" s="136" t="inlineStr">
        <x:is>
          <x:t xml:space="preserve">2026-09-18</x:t>
        </x:is>
      </x:c>
      <x:c r="AO603" s="136" t="inlineStr">
        <x:is>
          <x:t xml:space="preserve">Day 9 Seneca full-scope thematic screening; VI is Selflo working translation.</x:t>
        </x:is>
      </x:c>
      <x:c r="AP603" s="136" t="n"/>
      <x:c r="AQ603" s="136" t="n"/>
    </x:row>
    <x:row r="604">
      <x:c r="A604" s="136" t="inlineStr">
        <x:is>
          <x:t xml:space="preserve">research.seneca.day9.ep009</x:t>
        </x:is>
      </x:c>
      <x:c r="B604" s="136" t="inlineStr">
        <x:is>
          <x:t xml:space="preserve">Collected</x:t>
        </x:is>
      </x:c>
      <x:c r="C604" s="136" t="inlineStr">
        <x:is>
          <x:t xml:space="preserve">Nội tâm &amp; hiểu mình</x:t>
        </x:is>
      </x:c>
      <x:c r="D604" s="136" t="inlineStr">
        <x:is>
          <x:t xml:space="preserve">Day 9 / Seneca — Letters &amp; Essays</x:t>
        </x:is>
      </x:c>
      <x:c r="E604" s="136" t="inlineStr">
        <x:is>
          <x:t xml:space="preserve"/>
        </x:is>
      </x:c>
      <x:c r="F604" s="136" t="inlineStr">
        <x:is>
          <x:t xml:space="preserve">Tự đủ không đồng nghĩa cô lập</x:t>
        </x:is>
      </x:c>
      <x:c r="G604" s="136" t="inlineStr">
        <x:is>
          <x:t xml:space="preserve">Belonging</x:t>
        </x:is>
      </x:c>
      <x:c r="H604" s="136" t="inlineStr">
        <x:is>
          <x:t xml:space="preserve"/>
        </x:is>
      </x:c>
      <x:c r="I604" s="136" t="inlineStr">
        <x:is>
          <x:t xml:space="preserve"/>
        </x:is>
      </x:c>
      <x:c r="J604" s="136" t="inlineStr">
        <x:is>
          <x:t xml:space="preserve"/>
        </x:is>
      </x:c>
      <x:c r="K604" s="136" t="inlineStr">
        <x:is>
          <x:t xml:space="preserve">Distinguish</x:t>
        </x:is>
      </x:c>
      <x:c r="L604" s="136" t="inlineStr">
        <x:is>
          <x:t xml:space="preserve"/>
        </x:is>
      </x:c>
      <x:c r="M604" s="136" t="inlineStr">
        <x:is>
          <x:t xml:space="preserve">Letter / philosophical reflection</x:t>
        </x:is>
      </x:c>
      <x:c r="N604" s="136" t="inlineStr">
        <x:is>
          <x:t xml:space="preserve">sapiens etiam si contentus est se, tamen habere amicum vult.</x:t>
        </x:is>
      </x:c>
      <x:c r="O604" s="136" t="inlineStr">
        <x:is>
          <x:t xml:space="preserve">Latin</x:t>
        </x:is>
      </x:c>
      <x:c r="P604" s="136" t="inlineStr">
        <x:is>
          <x:t xml:space="preserve">Người biết đủ với chính mình vẫn muốn có bạn.</x:t>
        </x:is>
      </x:c>
      <x:c r="Q604" s="136" t="inlineStr">
        <x:is>
          <x:t xml:space="preserve">Lucius Annaeus Seneca</x:t>
        </x:is>
      </x:c>
      <x:c r="R604" s="136" t="inlineStr">
        <x:is>
          <x:t xml:space="preserve">Roman Stoic / Rome</x:t>
        </x:is>
      </x:c>
      <x:c r="S604" s="136" t="inlineStr">
        <x:is>
          <x:t xml:space="preserve">Epistulae Morales</x:t>
        </x:is>
      </x:c>
      <x:c r="T604" s="136" t="inlineStr">
        <x:is>
          <x:t xml:space="preserve">9.6</x:t>
        </x:is>
      </x:c>
      <x:c r="U604" s="136" t="inlineStr">
        <x:is>
          <x:t xml:space="preserve">https://la.wikisource.org/wiki/Epistulae_morales_ad_Lucilium</x:t>
        </x:is>
      </x:c>
      <x:c r="V604" s="136" t="inlineStr">
        <x:is>
          <x:t xml:space="preserve">Primary Latin text / reputable digital corpus</x:t>
        </x:is>
      </x:c>
      <x:c r="W604" s="136" t="inlineStr">
        <x:is>
          <x:t xml:space="preserve">Original-source passage</x:t>
        </x:is>
      </x:c>
      <x:c r="X604" s="136" t="inlineStr">
        <x:is>
          <x:t xml:space="preserve">A - Primary-source text located</x:t>
        </x:is>
      </x:c>
      <x:c r="Y604" s="136" t="inlineStr">
        <x:is>
          <x:t xml:space="preserve">Latin anchor collected from Seneca primary-text corpus; exact punctuation/orthography can vary by edition. Release requires passage-level recheck.</x:t>
        </x:is>
      </x:c>
      <x:c r="Z604" s="136" t="inlineStr">
        <x:is>
          <x:t xml:space="preserve">Ancient work public domain; digital transcription terms apply</x:t>
        </x:is>
      </x:c>
      <x:c r="AA604" s="136" t="inlineStr">
        <x:is>
          <x:t xml:space="preserve">Keep Latin original and use fresh Selflo Vietnamese working translation; do not copy a modern copyrighted translation.</x:t>
        </x:is>
      </x:c>
      <x:c r="AB604" s="136" t="inlineStr">
        <x:is>
          <x:t xml:space="preserve">High</x:t>
        </x:is>
      </x:c>
      <x:c r="AC604" s="136" t="inlineStr">
        <x:is>
          <x:t xml:space="preserve">Collected for Day 9 coverage; editorial selection happens later.</x:t>
        </x:is>
      </x:c>
      <x:c r="AD604" s="136" t="inlineStr">
        <x:is>
          <x:t xml:space="preserve">Low–Medium</x:t>
        </x:is>
      </x:c>
      <x:c r="AE604" s="136" t="inlineStr">
        <x:is>
          <x:t xml:space="preserve">Needs semantic dedupe review</x:t>
        </x:is>
      </x:c>
      <x:c r="AF604" s="136" t="inlineStr">
        <x:is>
          <x:t xml:space="preserve"/>
        </x:is>
      </x:c>
      <x:c r="AG604" s="136" t="inlineStr">
        <x:is>
          <x:t xml:space="preserve"/>
        </x:is>
      </x:c>
      <x:c r="AH604" s="136" t="inlineStr">
        <x:is>
          <x:t xml:space="preserve">No</x:t>
        </x:is>
      </x:c>
      <x:c r="AI604" s="136" t="inlineStr">
        <x:is>
          <x:t xml:space="preserve">Not reviewed</x:t>
        </x:is>
      </x:c>
      <x:c r="AJ604" s="136" t="inlineStr">
        <x:is>
          <x:t xml:space="preserve">Research only</x:t>
        </x:is>
      </x:c>
      <x:c r="AK604" s="136" t="inlineStr">
        <x:is>
          <x:t xml:space="preserve">Research Pool</x:t>
        </x:is>
      </x:c>
      <x:c r="AL604" s="136" t="n">
        <x:v>9</x:v>
      </x:c>
      <x:c r="AM604" s="136" t="inlineStr">
        <x:is>
          <x:t xml:space="preserve">ChatGPT research</x:t>
        </x:is>
      </x:c>
      <x:c r="AN604" s="136" t="inlineStr">
        <x:is>
          <x:t xml:space="preserve">2026-09-18</x:t>
        </x:is>
      </x:c>
      <x:c r="AO604" s="136" t="inlineStr">
        <x:is>
          <x:t xml:space="preserve">Day 9 Seneca full-scope thematic screening; VI is Selflo working translation.</x:t>
        </x:is>
      </x:c>
      <x:c r="AP604" s="136" t="n"/>
      <x:c r="AQ604" s="136" t="n"/>
    </x:row>
    <x:row r="605">
      <x:c r="A605" s="136" t="inlineStr">
        <x:is>
          <x:t xml:space="preserve">research.seneca.day9.ep013</x:t>
        </x:is>
      </x:c>
      <x:c r="B605" s="136" t="inlineStr">
        <x:is>
          <x:t xml:space="preserve">Collected</x:t>
        </x:is>
      </x:c>
      <x:c r="C605" s="136" t="inlineStr">
        <x:is>
          <x:t xml:space="preserve">Nội tâm &amp; hiểu mình</x:t>
        </x:is>
      </x:c>
      <x:c r="D605" s="136" t="inlineStr">
        <x:is>
          <x:t xml:space="preserve">Day 9 / Seneca — Letters &amp; Essays</x:t>
        </x:is>
      </x:c>
      <x:c r="E605" s="136" t="inlineStr">
        <x:is>
          <x:t xml:space="preserve"/>
        </x:is>
      </x:c>
      <x:c r="F605" s="136" t="inlineStr">
        <x:is>
          <x:t xml:space="preserve">Lo trước điều chưa xảy ra</x:t>
        </x:is>
      </x:c>
      <x:c r="G605" s="136" t="inlineStr">
        <x:is>
          <x:t xml:space="preserve">Worry</x:t>
        </x:is>
      </x:c>
      <x:c r="H605" s="136" t="inlineStr">
        <x:is>
          <x:t xml:space="preserve"/>
        </x:is>
      </x:c>
      <x:c r="I605" s="136" t="inlineStr">
        <x:is>
          <x:t xml:space="preserve"/>
        </x:is>
      </x:c>
      <x:c r="J605" s="136" t="inlineStr">
        <x:is>
          <x:t xml:space="preserve"/>
        </x:is>
      </x:c>
      <x:c r="K605" s="136" t="inlineStr">
        <x:is>
          <x:t xml:space="preserve">Recognize</x:t>
        </x:is>
      </x:c>
      <x:c r="L605" s="136" t="inlineStr">
        <x:is>
          <x:t xml:space="preserve"/>
        </x:is>
      </x:c>
      <x:c r="M605" s="136" t="inlineStr">
        <x:is>
          <x:t xml:space="preserve">Letter / philosophical reflection</x:t>
        </x:is>
      </x:c>
      <x:c r="N605" s="136" t="inlineStr">
        <x:is>
          <x:t xml:space="preserve">plura sunt, Lucili, quae nos terrent quam quae premunt.</x:t>
        </x:is>
      </x:c>
      <x:c r="O605" s="136" t="inlineStr">
        <x:is>
          <x:t xml:space="preserve">Latin</x:t>
        </x:is>
      </x:c>
      <x:c r="P605" s="136" t="inlineStr">
        <x:is>
          <x:t xml:space="preserve">Có nhiều điều làm ta sợ hơn số điều thực sự đang đè lên ta.</x:t>
        </x:is>
      </x:c>
      <x:c r="Q605" s="136" t="inlineStr">
        <x:is>
          <x:t xml:space="preserve">Lucius Annaeus Seneca</x:t>
        </x:is>
      </x:c>
      <x:c r="R605" s="136" t="inlineStr">
        <x:is>
          <x:t xml:space="preserve">Roman Stoic / Rome</x:t>
        </x:is>
      </x:c>
      <x:c r="S605" s="136" t="inlineStr">
        <x:is>
          <x:t xml:space="preserve">Epistulae Morales</x:t>
        </x:is>
      </x:c>
      <x:c r="T605" s="136" t="inlineStr">
        <x:is>
          <x:t xml:space="preserve">13.4</x:t>
        </x:is>
      </x:c>
      <x:c r="U605" s="136" t="inlineStr">
        <x:is>
          <x:t xml:space="preserve">https://la.wikisource.org/wiki/Epistulae_morales_ad_Lucilium</x:t>
        </x:is>
      </x:c>
      <x:c r="V605" s="136" t="inlineStr">
        <x:is>
          <x:t xml:space="preserve">Primary Latin text / reputable digital corpus</x:t>
        </x:is>
      </x:c>
      <x:c r="W605" s="136" t="inlineStr">
        <x:is>
          <x:t xml:space="preserve">Original-source passage</x:t>
        </x:is>
      </x:c>
      <x:c r="X605" s="136" t="inlineStr">
        <x:is>
          <x:t xml:space="preserve">A - Primary-source text located</x:t>
        </x:is>
      </x:c>
      <x:c r="Y605" s="136" t="inlineStr">
        <x:is>
          <x:t xml:space="preserve">Latin anchor collected from Seneca primary-text corpus; exact punctuation/orthography can vary by edition. Release requires passage-level recheck.</x:t>
        </x:is>
      </x:c>
      <x:c r="Z605" s="136" t="inlineStr">
        <x:is>
          <x:t xml:space="preserve">Ancient work public domain; digital transcription terms apply</x:t>
        </x:is>
      </x:c>
      <x:c r="AA605" s="136" t="inlineStr">
        <x:is>
          <x:t xml:space="preserve">Keep Latin original and use fresh Selflo Vietnamese working translation; do not copy a modern copyrighted translation.</x:t>
        </x:is>
      </x:c>
      <x:c r="AB605" s="136" t="inlineStr">
        <x:is>
          <x:t xml:space="preserve">High</x:t>
        </x:is>
      </x:c>
      <x:c r="AC605" s="136" t="inlineStr">
        <x:is>
          <x:t xml:space="preserve">Collected for Day 9 coverage; editorial selection happens later.</x:t>
        </x:is>
      </x:c>
      <x:c r="AD605" s="136" t="inlineStr">
        <x:is>
          <x:t xml:space="preserve">Low–Medium</x:t>
        </x:is>
      </x:c>
      <x:c r="AE605" s="136" t="inlineStr">
        <x:is>
          <x:t xml:space="preserve">Needs semantic dedupe review</x:t>
        </x:is>
      </x:c>
      <x:c r="AF605" s="136" t="inlineStr">
        <x:is>
          <x:t xml:space="preserve"/>
        </x:is>
      </x:c>
      <x:c r="AG605" s="136" t="inlineStr">
        <x:is>
          <x:t xml:space="preserve"/>
        </x:is>
      </x:c>
      <x:c r="AH605" s="136" t="inlineStr">
        <x:is>
          <x:t xml:space="preserve">No</x:t>
        </x:is>
      </x:c>
      <x:c r="AI605" s="136" t="inlineStr">
        <x:is>
          <x:t xml:space="preserve">Not reviewed</x:t>
        </x:is>
      </x:c>
      <x:c r="AJ605" s="136" t="inlineStr">
        <x:is>
          <x:t xml:space="preserve">Research only</x:t>
        </x:is>
      </x:c>
      <x:c r="AK605" s="136" t="inlineStr">
        <x:is>
          <x:t xml:space="preserve">Research Pool</x:t>
        </x:is>
      </x:c>
      <x:c r="AL605" s="136" t="n">
        <x:v>9</x:v>
      </x:c>
      <x:c r="AM605" s="136" t="inlineStr">
        <x:is>
          <x:t xml:space="preserve">ChatGPT research</x:t>
        </x:is>
      </x:c>
      <x:c r="AN605" s="136" t="inlineStr">
        <x:is>
          <x:t xml:space="preserve">2026-09-18</x:t>
        </x:is>
      </x:c>
      <x:c r="AO605" s="136" t="inlineStr">
        <x:is>
          <x:t xml:space="preserve">Day 9 Seneca full-scope thematic screening; VI is Selflo working translation.</x:t>
        </x:is>
      </x:c>
      <x:c r="AP605" s="136" t="n"/>
      <x:c r="AQ605" s="136" t="n"/>
    </x:row>
    <x:row r="606">
      <x:c r="A606" s="136" t="inlineStr">
        <x:is>
          <x:t xml:space="preserve">research.seneca.day9.ep013_2</x:t>
        </x:is>
      </x:c>
      <x:c r="B606" s="136" t="inlineStr">
        <x:is>
          <x:t xml:space="preserve">Collected</x:t>
        </x:is>
      </x:c>
      <x:c r="C606" s="136" t="inlineStr">
        <x:is>
          <x:t xml:space="preserve">Nội tâm &amp; hiểu mình</x:t>
        </x:is>
      </x:c>
      <x:c r="D606" s="136" t="inlineStr">
        <x:is>
          <x:t xml:space="preserve">Day 9 / Seneca — Letters &amp; Essays</x:t>
        </x:is>
      </x:c>
      <x:c r="E606" s="136" t="inlineStr">
        <x:is>
          <x:t xml:space="preserve"/>
        </x:is>
      </x:c>
      <x:c r="F606" s="136" t="inlineStr">
        <x:is>
          <x:t xml:space="preserve">Sự kiện và tưởng tượng</x:t>
        </x:is>
      </x:c>
      <x:c r="G606" s="136" t="inlineStr">
        <x:is>
          <x:t xml:space="preserve">Judgment</x:t>
        </x:is>
      </x:c>
      <x:c r="H606" s="136" t="inlineStr">
        <x:is>
          <x:t xml:space="preserve"/>
        </x:is>
      </x:c>
      <x:c r="I606" s="136" t="inlineStr">
        <x:is>
          <x:t xml:space="preserve"/>
        </x:is>
      </x:c>
      <x:c r="J606" s="136" t="inlineStr">
        <x:is>
          <x:t xml:space="preserve"/>
        </x:is>
      </x:c>
      <x:c r="K606" s="136" t="inlineStr">
        <x:is>
          <x:t xml:space="preserve">Distinguish</x:t>
        </x:is>
      </x:c>
      <x:c r="L606" s="136" t="inlineStr">
        <x:is>
          <x:t xml:space="preserve"/>
        </x:is>
      </x:c>
      <x:c r="M606" s="136" t="inlineStr">
        <x:is>
          <x:t xml:space="preserve">Letter / philosophical reflection</x:t>
        </x:is>
      </x:c>
      <x:c r="N606" s="136" t="inlineStr">
        <x:is>
          <x:t xml:space="preserve">saepius opinione quam re laboramus.</x:t>
        </x:is>
      </x:c>
      <x:c r="O606" s="136" t="inlineStr">
        <x:is>
          <x:t xml:space="preserve">Latin</x:t>
        </x:is>
      </x:c>
      <x:c r="P606" s="136" t="inlineStr">
        <x:is>
          <x:t xml:space="preserve">Ta thường khổ vì điều mình hình dung hơn vì chính sự việc.</x:t>
        </x:is>
      </x:c>
      <x:c r="Q606" s="136" t="inlineStr">
        <x:is>
          <x:t xml:space="preserve">Lucius Annaeus Seneca</x:t>
        </x:is>
      </x:c>
      <x:c r="R606" s="136" t="inlineStr">
        <x:is>
          <x:t xml:space="preserve">Roman Stoic / Rome</x:t>
        </x:is>
      </x:c>
      <x:c r="S606" s="136" t="inlineStr">
        <x:is>
          <x:t xml:space="preserve">Epistulae Morales</x:t>
        </x:is>
      </x:c>
      <x:c r="T606" s="136" t="inlineStr">
        <x:is>
          <x:t xml:space="preserve">13.5</x:t>
        </x:is>
      </x:c>
      <x:c r="U606" s="136" t="inlineStr">
        <x:is>
          <x:t xml:space="preserve">https://la.wikisource.org/wiki/Epistulae_morales_ad_Lucilium</x:t>
        </x:is>
      </x:c>
      <x:c r="V606" s="136" t="inlineStr">
        <x:is>
          <x:t xml:space="preserve">Primary Latin text / reputable digital corpus</x:t>
        </x:is>
      </x:c>
      <x:c r="W606" s="136" t="inlineStr">
        <x:is>
          <x:t xml:space="preserve">Original-source passage</x:t>
        </x:is>
      </x:c>
      <x:c r="X606" s="136" t="inlineStr">
        <x:is>
          <x:t xml:space="preserve">A - Primary-source text located</x:t>
        </x:is>
      </x:c>
      <x:c r="Y606" s="136" t="inlineStr">
        <x:is>
          <x:t xml:space="preserve">Latin anchor collected from Seneca primary-text corpus; exact punctuation/orthography can vary by edition. Release requires passage-level recheck.</x:t>
        </x:is>
      </x:c>
      <x:c r="Z606" s="136" t="inlineStr">
        <x:is>
          <x:t xml:space="preserve">Ancient work public domain; digital transcription terms apply</x:t>
        </x:is>
      </x:c>
      <x:c r="AA606" s="136" t="inlineStr">
        <x:is>
          <x:t xml:space="preserve">Keep Latin original and use fresh Selflo Vietnamese working translation; do not copy a modern copyrighted translation.</x:t>
        </x:is>
      </x:c>
      <x:c r="AB606" s="136" t="inlineStr">
        <x:is>
          <x:t xml:space="preserve">High</x:t>
        </x:is>
      </x:c>
      <x:c r="AC606" s="136" t="inlineStr">
        <x:is>
          <x:t xml:space="preserve">Collected for Day 9 coverage; editorial selection happens later.</x:t>
        </x:is>
      </x:c>
      <x:c r="AD606" s="136" t="inlineStr">
        <x:is>
          <x:t xml:space="preserve">Low–Medium</x:t>
        </x:is>
      </x:c>
      <x:c r="AE606" s="136" t="inlineStr">
        <x:is>
          <x:t xml:space="preserve">Needs semantic dedupe review</x:t>
        </x:is>
      </x:c>
      <x:c r="AF606" s="136" t="inlineStr">
        <x:is>
          <x:t xml:space="preserve"/>
        </x:is>
      </x:c>
      <x:c r="AG606" s="136" t="inlineStr">
        <x:is>
          <x:t xml:space="preserve"/>
        </x:is>
      </x:c>
      <x:c r="AH606" s="136" t="inlineStr">
        <x:is>
          <x:t xml:space="preserve">No</x:t>
        </x:is>
      </x:c>
      <x:c r="AI606" s="136" t="inlineStr">
        <x:is>
          <x:t xml:space="preserve">Not reviewed</x:t>
        </x:is>
      </x:c>
      <x:c r="AJ606" s="136" t="inlineStr">
        <x:is>
          <x:t xml:space="preserve">Research only</x:t>
        </x:is>
      </x:c>
      <x:c r="AK606" s="136" t="inlineStr">
        <x:is>
          <x:t xml:space="preserve">Research Pool</x:t>
        </x:is>
      </x:c>
      <x:c r="AL606" s="136" t="n">
        <x:v>9</x:v>
      </x:c>
      <x:c r="AM606" s="136" t="inlineStr">
        <x:is>
          <x:t xml:space="preserve">ChatGPT research</x:t>
        </x:is>
      </x:c>
      <x:c r="AN606" s="136" t="inlineStr">
        <x:is>
          <x:t xml:space="preserve">2026-09-18</x:t>
        </x:is>
      </x:c>
      <x:c r="AO606" s="136" t="inlineStr">
        <x:is>
          <x:t xml:space="preserve">Day 9 Seneca full-scope thematic screening; VI is Selflo working translation.</x:t>
        </x:is>
      </x:c>
      <x:c r="AP606" s="136" t="n"/>
      <x:c r="AQ606" s="136" t="n"/>
    </x:row>
    <x:row r="607">
      <x:c r="A607" s="136" t="inlineStr">
        <x:is>
          <x:t xml:space="preserve">research.seneca.day9.ep016</x:t>
        </x:is>
      </x:c>
      <x:c r="B607" s="136" t="inlineStr">
        <x:is>
          <x:t xml:space="preserve">Collected</x:t>
        </x:is>
      </x:c>
      <x:c r="C607" s="136" t="inlineStr">
        <x:is>
          <x:t xml:space="preserve">Nội tâm &amp; hiểu mình</x:t>
        </x:is>
      </x:c>
      <x:c r="D607" s="136" t="inlineStr">
        <x:is>
          <x:t xml:space="preserve">Day 9 / Seneca — Letters &amp; Essays</x:t>
        </x:is>
      </x:c>
      <x:c r="E607" s="136" t="inlineStr">
        <x:is>
          <x:t xml:space="preserve"/>
        </x:is>
      </x:c>
      <x:c r="F607" s="136" t="inlineStr">
        <x:is>
          <x:t xml:space="preserve">Triết lý phải đi vào đời sống</x:t>
        </x:is>
      </x:c>
      <x:c r="G607" s="136" t="inlineStr">
        <x:is>
          <x:t xml:space="preserve">Values</x:t>
        </x:is>
      </x:c>
      <x:c r="H607" s="136" t="inlineStr">
        <x:is>
          <x:t xml:space="preserve"/>
        </x:is>
      </x:c>
      <x:c r="I607" s="136" t="inlineStr">
        <x:is>
          <x:t xml:space="preserve"/>
        </x:is>
      </x:c>
      <x:c r="J607" s="136" t="inlineStr">
        <x:is>
          <x:t xml:space="preserve"/>
        </x:is>
      </x:c>
      <x:c r="K607" s="136" t="inlineStr">
        <x:is>
          <x:t xml:space="preserve">Reframe</x:t>
        </x:is>
      </x:c>
      <x:c r="L607" s="136" t="inlineStr">
        <x:is>
          <x:t xml:space="preserve"/>
        </x:is>
      </x:c>
      <x:c r="M607" s="136" t="inlineStr">
        <x:is>
          <x:t xml:space="preserve">Letter / philosophical reflection</x:t>
        </x:is>
      </x:c>
      <x:c r="N607" s="136" t="inlineStr">
        <x:is>
          <x:t xml:space="preserve">philosophia ... animum format et fabricat, vitam disponit, actiones regit.</x:t>
        </x:is>
      </x:c>
      <x:c r="O607" s="136" t="inlineStr">
        <x:is>
          <x:t xml:space="preserve">Latin</x:t>
        </x:is>
      </x:c>
      <x:c r="P607" s="136" t="inlineStr">
        <x:is>
          <x:t xml:space="preserve">Triết học tạo hình tâm trí, sắp xếp đời sống và soi cách hành động.</x:t>
        </x:is>
      </x:c>
      <x:c r="Q607" s="136" t="inlineStr">
        <x:is>
          <x:t xml:space="preserve">Lucius Annaeus Seneca</x:t>
        </x:is>
      </x:c>
      <x:c r="R607" s="136" t="inlineStr">
        <x:is>
          <x:t xml:space="preserve">Roman Stoic / Rome</x:t>
        </x:is>
      </x:c>
      <x:c r="S607" s="136" t="inlineStr">
        <x:is>
          <x:t xml:space="preserve">Epistulae Morales</x:t>
        </x:is>
      </x:c>
      <x:c r="T607" s="136" t="inlineStr">
        <x:is>
          <x:t xml:space="preserve">16.3</x:t>
        </x:is>
      </x:c>
      <x:c r="U607" s="136" t="inlineStr">
        <x:is>
          <x:t xml:space="preserve">https://la.wikisource.org/wiki/Epistulae_morales_ad_Lucilium</x:t>
        </x:is>
      </x:c>
      <x:c r="V607" s="136" t="inlineStr">
        <x:is>
          <x:t xml:space="preserve">Primary Latin text / reputable digital corpus</x:t>
        </x:is>
      </x:c>
      <x:c r="W607" s="136" t="inlineStr">
        <x:is>
          <x:t xml:space="preserve">Original-source passage</x:t>
        </x:is>
      </x:c>
      <x:c r="X607" s="136" t="inlineStr">
        <x:is>
          <x:t xml:space="preserve">A - Primary-source text located</x:t>
        </x:is>
      </x:c>
      <x:c r="Y607" s="136" t="inlineStr">
        <x:is>
          <x:t xml:space="preserve">Latin anchor collected from Seneca primary-text corpus; exact punctuation/orthography can vary by edition. Release requires passage-level recheck.</x:t>
        </x:is>
      </x:c>
      <x:c r="Z607" s="136" t="inlineStr">
        <x:is>
          <x:t xml:space="preserve">Ancient work public domain; digital transcription terms apply</x:t>
        </x:is>
      </x:c>
      <x:c r="AA607" s="136" t="inlineStr">
        <x:is>
          <x:t xml:space="preserve">Keep Latin original and use fresh Selflo Vietnamese working translation; do not copy a modern copyrighted translation.</x:t>
        </x:is>
      </x:c>
      <x:c r="AB607" s="136" t="inlineStr">
        <x:is>
          <x:t xml:space="preserve">High</x:t>
        </x:is>
      </x:c>
      <x:c r="AC607" s="136" t="inlineStr">
        <x:is>
          <x:t xml:space="preserve">Collected for Day 9 coverage; editorial selection happens later.</x:t>
        </x:is>
      </x:c>
      <x:c r="AD607" s="136" t="inlineStr">
        <x:is>
          <x:t xml:space="preserve">Low–Medium</x:t>
        </x:is>
      </x:c>
      <x:c r="AE607" s="136" t="inlineStr">
        <x:is>
          <x:t xml:space="preserve">Needs semantic dedupe review</x:t>
        </x:is>
      </x:c>
      <x:c r="AF607" s="136" t="inlineStr">
        <x:is>
          <x:t xml:space="preserve"/>
        </x:is>
      </x:c>
      <x:c r="AG607" s="136" t="inlineStr">
        <x:is>
          <x:t xml:space="preserve"/>
        </x:is>
      </x:c>
      <x:c r="AH607" s="136" t="inlineStr">
        <x:is>
          <x:t xml:space="preserve">No</x:t>
        </x:is>
      </x:c>
      <x:c r="AI607" s="136" t="inlineStr">
        <x:is>
          <x:t xml:space="preserve">Not reviewed</x:t>
        </x:is>
      </x:c>
      <x:c r="AJ607" s="136" t="inlineStr">
        <x:is>
          <x:t xml:space="preserve">Research only</x:t>
        </x:is>
      </x:c>
      <x:c r="AK607" s="136" t="inlineStr">
        <x:is>
          <x:t xml:space="preserve">Research Pool</x:t>
        </x:is>
      </x:c>
      <x:c r="AL607" s="136" t="n">
        <x:v>9</x:v>
      </x:c>
      <x:c r="AM607" s="136" t="inlineStr">
        <x:is>
          <x:t xml:space="preserve">ChatGPT research</x:t>
        </x:is>
      </x:c>
      <x:c r="AN607" s="136" t="inlineStr">
        <x:is>
          <x:t xml:space="preserve">2026-09-18</x:t>
        </x:is>
      </x:c>
      <x:c r="AO607" s="136" t="inlineStr">
        <x:is>
          <x:t xml:space="preserve">Day 9 Seneca full-scope thematic screening; VI is Selflo working translation.</x:t>
        </x:is>
      </x:c>
      <x:c r="AP607" s="136" t="n"/>
      <x:c r="AQ607" s="136" t="n"/>
    </x:row>
    <x:row r="608">
      <x:c r="A608" s="136" t="inlineStr">
        <x:is>
          <x:t xml:space="preserve">research.seneca.day9.ep019</x:t>
        </x:is>
      </x:c>
      <x:c r="B608" s="136" t="inlineStr">
        <x:is>
          <x:t xml:space="preserve">Collected</x:t>
        </x:is>
      </x:c>
      <x:c r="C608" s="136" t="inlineStr">
        <x:is>
          <x:t xml:space="preserve">Công việc &amp; mục đích</x:t>
        </x:is>
      </x:c>
      <x:c r="D608" s="136" t="inlineStr">
        <x:is>
          <x:t xml:space="preserve">Day 9 / Seneca — Letters &amp; Essays</x:t>
        </x:is>
      </x:c>
      <x:c r="E608" s="136" t="inlineStr">
        <x:is>
          <x:t xml:space="preserve"/>
        </x:is>
      </x:c>
      <x:c r="F608" s="136" t="inlineStr">
        <x:is>
          <x:t xml:space="preserve">Bận rộn chiếm hết đời sống</x:t>
        </x:is>
      </x:c>
      <x:c r="G608" s="136" t="inlineStr">
        <x:is>
          <x:t xml:space="preserve">Work / Overload</x:t>
        </x:is>
      </x:c>
      <x:c r="H608" s="136" t="inlineStr">
        <x:is>
          <x:t xml:space="preserve"/>
        </x:is>
      </x:c>
      <x:c r="I608" s="136" t="inlineStr">
        <x:is>
          <x:t xml:space="preserve"/>
        </x:is>
      </x:c>
      <x:c r="J608" s="136" t="inlineStr">
        <x:is>
          <x:t xml:space="preserve"/>
        </x:is>
      </x:c>
      <x:c r="K608" s="136" t="inlineStr">
        <x:is>
          <x:t xml:space="preserve">Return agency</x:t>
        </x:is>
      </x:c>
      <x:c r="L608" s="136" t="inlineStr">
        <x:is>
          <x:t xml:space="preserve"/>
        </x:is>
      </x:c>
      <x:c r="M608" s="136" t="inlineStr">
        <x:is>
          <x:t xml:space="preserve">Letter / philosophical reflection</x:t>
        </x:is>
      </x:c>
      <x:c r="N608" s="136" t="inlineStr">
        <x:is>
          <x:t xml:space="preserve">si potes, subducte istis occupationibus; si minus, eripe.</x:t>
        </x:is>
      </x:c>
      <x:c r="O608" s="136" t="inlineStr">
        <x:is>
          <x:t xml:space="preserve">Latin</x:t>
        </x:is>
      </x:c>
      <x:c r="P608" s="136" t="inlineStr">
        <x:is>
          <x:t xml:space="preserve">Nếu có thể, hãy rút mình khỏi những bận rộn ấy; nếu không, hãy giành lại mình khỏi chúng.</x:t>
        </x:is>
      </x:c>
      <x:c r="Q608" s="136" t="inlineStr">
        <x:is>
          <x:t xml:space="preserve">Lucius Annaeus Seneca</x:t>
        </x:is>
      </x:c>
      <x:c r="R608" s="136" t="inlineStr">
        <x:is>
          <x:t xml:space="preserve">Roman Stoic / Rome</x:t>
        </x:is>
      </x:c>
      <x:c r="S608" s="136" t="inlineStr">
        <x:is>
          <x:t xml:space="preserve">Epistulae Morales</x:t>
        </x:is>
      </x:c>
      <x:c r="T608" s="136" t="inlineStr">
        <x:is>
          <x:t xml:space="preserve">19.1</x:t>
        </x:is>
      </x:c>
      <x:c r="U608" s="136" t="inlineStr">
        <x:is>
          <x:t xml:space="preserve">https://la.wikisource.org/wiki/Epistulae_morales_ad_Lucilium</x:t>
        </x:is>
      </x:c>
      <x:c r="V608" s="136" t="inlineStr">
        <x:is>
          <x:t xml:space="preserve">Primary Latin text / reputable digital corpus</x:t>
        </x:is>
      </x:c>
      <x:c r="W608" s="136" t="inlineStr">
        <x:is>
          <x:t xml:space="preserve">Original-source passage</x:t>
        </x:is>
      </x:c>
      <x:c r="X608" s="136" t="inlineStr">
        <x:is>
          <x:t xml:space="preserve">A - Primary-source text located</x:t>
        </x:is>
      </x:c>
      <x:c r="Y608" s="136" t="inlineStr">
        <x:is>
          <x:t xml:space="preserve">Latin anchor collected from Seneca primary-text corpus; exact punctuation/orthography can vary by edition. Release requires passage-level recheck.</x:t>
        </x:is>
      </x:c>
      <x:c r="Z608" s="136" t="inlineStr">
        <x:is>
          <x:t xml:space="preserve">Ancient work public domain; digital transcription terms apply</x:t>
        </x:is>
      </x:c>
      <x:c r="AA608" s="136" t="inlineStr">
        <x:is>
          <x:t xml:space="preserve">Keep Latin original and use fresh Selflo Vietnamese working translation; do not copy a modern copyrighted translation.</x:t>
        </x:is>
      </x:c>
      <x:c r="AB608" s="136" t="inlineStr">
        <x:is>
          <x:t xml:space="preserve">High</x:t>
        </x:is>
      </x:c>
      <x:c r="AC608" s="136" t="inlineStr">
        <x:is>
          <x:t xml:space="preserve">Collected for Day 9 coverage; editorial selection happens later.</x:t>
        </x:is>
      </x:c>
      <x:c r="AD608" s="136" t="inlineStr">
        <x:is>
          <x:t xml:space="preserve">Low–Medium</x:t>
        </x:is>
      </x:c>
      <x:c r="AE608" s="136" t="inlineStr">
        <x:is>
          <x:t xml:space="preserve">Needs semantic dedupe review</x:t>
        </x:is>
      </x:c>
      <x:c r="AF608" s="136" t="inlineStr">
        <x:is>
          <x:t xml:space="preserve"/>
        </x:is>
      </x:c>
      <x:c r="AG608" s="136" t="inlineStr">
        <x:is>
          <x:t xml:space="preserve"/>
        </x:is>
      </x:c>
      <x:c r="AH608" s="136" t="inlineStr">
        <x:is>
          <x:t xml:space="preserve">No</x:t>
        </x:is>
      </x:c>
      <x:c r="AI608" s="136" t="inlineStr">
        <x:is>
          <x:t xml:space="preserve">Not reviewed</x:t>
        </x:is>
      </x:c>
      <x:c r="AJ608" s="136" t="inlineStr">
        <x:is>
          <x:t xml:space="preserve">Research only</x:t>
        </x:is>
      </x:c>
      <x:c r="AK608" s="136" t="inlineStr">
        <x:is>
          <x:t xml:space="preserve">Research Pool</x:t>
        </x:is>
      </x:c>
      <x:c r="AL608" s="136" t="n">
        <x:v>9</x:v>
      </x:c>
      <x:c r="AM608" s="136" t="inlineStr">
        <x:is>
          <x:t xml:space="preserve">ChatGPT research</x:t>
        </x:is>
      </x:c>
      <x:c r="AN608" s="136" t="inlineStr">
        <x:is>
          <x:t xml:space="preserve">2026-09-18</x:t>
        </x:is>
      </x:c>
      <x:c r="AO608" s="136" t="inlineStr">
        <x:is>
          <x:t xml:space="preserve">Day 9 Seneca full-scope thematic screening; VI is Selflo working translation.</x:t>
        </x:is>
      </x:c>
      <x:c r="AP608" s="136" t="n"/>
      <x:c r="AQ608" s="136" t="n"/>
    </x:row>
    <x:row r="609">
      <x:c r="A609" s="136" t="inlineStr">
        <x:is>
          <x:t xml:space="preserve">research.seneca.day9.ep020</x:t>
        </x:is>
      </x:c>
      <x:c r="B609" s="136" t="inlineStr">
        <x:is>
          <x:t xml:space="preserve">Collected</x:t>
        </x:is>
      </x:c>
      <x:c r="C609" s="136" t="inlineStr">
        <x:is>
          <x:t xml:space="preserve">Nội tâm &amp; hiểu mình</x:t>
        </x:is>
      </x:c>
      <x:c r="D609" s="136" t="inlineStr">
        <x:is>
          <x:t xml:space="preserve">Day 9 / Seneca — Letters &amp; Essays</x:t>
        </x:is>
      </x:c>
      <x:c r="E609" s="136" t="inlineStr">
        <x:is>
          <x:t xml:space="preserve"/>
        </x:is>
      </x:c>
      <x:c r="F609" s="136" t="inlineStr">
        <x:is>
          <x:t xml:space="preserve">Biết và sống</x:t>
        </x:is>
      </x:c>
      <x:c r="G609" s="136" t="inlineStr">
        <x:is>
          <x:t xml:space="preserve">Values</x:t>
        </x:is>
      </x:c>
      <x:c r="H609" s="136" t="inlineStr">
        <x:is>
          <x:t xml:space="preserve"/>
        </x:is>
      </x:c>
      <x:c r="I609" s="136" t="inlineStr">
        <x:is>
          <x:t xml:space="preserve"/>
        </x:is>
      </x:c>
      <x:c r="J609" s="136" t="inlineStr">
        <x:is>
          <x:t xml:space="preserve"/>
        </x:is>
      </x:c>
      <x:c r="K609" s="136" t="inlineStr">
        <x:is>
          <x:t xml:space="preserve">Return agency</x:t>
        </x:is>
      </x:c>
      <x:c r="L609" s="136" t="inlineStr">
        <x:is>
          <x:t xml:space="preserve"/>
        </x:is>
      </x:c>
      <x:c r="M609" s="136" t="inlineStr">
        <x:is>
          <x:t xml:space="preserve">Letter / philosophical reflection</x:t>
        </x:is>
      </x:c>
      <x:c r="N609" s="136" t="inlineStr">
        <x:is>
          <x:t xml:space="preserve">Facere docet philosophia, non dicere.</x:t>
        </x:is>
      </x:c>
      <x:c r="O609" s="136" t="inlineStr">
        <x:is>
          <x:t xml:space="preserve">Latin</x:t>
        </x:is>
      </x:c>
      <x:c r="P609" s="136" t="inlineStr">
        <x:is>
          <x:t xml:space="preserve">Triết học dạy cách sống, không chỉ cách nói.</x:t>
        </x:is>
      </x:c>
      <x:c r="Q609" s="136" t="inlineStr">
        <x:is>
          <x:t xml:space="preserve">Lucius Annaeus Seneca</x:t>
        </x:is>
      </x:c>
      <x:c r="R609" s="136" t="inlineStr">
        <x:is>
          <x:t xml:space="preserve">Roman Stoic / Rome</x:t>
        </x:is>
      </x:c>
      <x:c r="S609" s="136" t="inlineStr">
        <x:is>
          <x:t xml:space="preserve">Epistulae Morales</x:t>
        </x:is>
      </x:c>
      <x:c r="T609" s="136" t="inlineStr">
        <x:is>
          <x:t xml:space="preserve">20.2</x:t>
        </x:is>
      </x:c>
      <x:c r="U609" s="136" t="inlineStr">
        <x:is>
          <x:t xml:space="preserve">https://la.wikisource.org/wiki/Epistulae_morales_ad_Lucilium</x:t>
        </x:is>
      </x:c>
      <x:c r="V609" s="136" t="inlineStr">
        <x:is>
          <x:t xml:space="preserve">Primary Latin text / reputable digital corpus</x:t>
        </x:is>
      </x:c>
      <x:c r="W609" s="136" t="inlineStr">
        <x:is>
          <x:t xml:space="preserve">Original-source passage</x:t>
        </x:is>
      </x:c>
      <x:c r="X609" s="136" t="inlineStr">
        <x:is>
          <x:t xml:space="preserve">A - Primary-source text located</x:t>
        </x:is>
      </x:c>
      <x:c r="Y609" s="136" t="inlineStr">
        <x:is>
          <x:t xml:space="preserve">Latin anchor collected from Seneca primary-text corpus; exact punctuation/orthography can vary by edition. Release requires passage-level recheck.</x:t>
        </x:is>
      </x:c>
      <x:c r="Z609" s="136" t="inlineStr">
        <x:is>
          <x:t xml:space="preserve">Ancient work public domain; digital transcription terms apply</x:t>
        </x:is>
      </x:c>
      <x:c r="AA609" s="136" t="inlineStr">
        <x:is>
          <x:t xml:space="preserve">Keep Latin original and use fresh Selflo Vietnamese working translation; do not copy a modern copyrighted translation.</x:t>
        </x:is>
      </x:c>
      <x:c r="AB609" s="136" t="inlineStr">
        <x:is>
          <x:t xml:space="preserve">High</x:t>
        </x:is>
      </x:c>
      <x:c r="AC609" s="136" t="inlineStr">
        <x:is>
          <x:t xml:space="preserve">Collected for Day 9 coverage; editorial selection happens later.</x:t>
        </x:is>
      </x:c>
      <x:c r="AD609" s="136" t="inlineStr">
        <x:is>
          <x:t xml:space="preserve">Low–Medium</x:t>
        </x:is>
      </x:c>
      <x:c r="AE609" s="136" t="inlineStr">
        <x:is>
          <x:t xml:space="preserve">Needs semantic dedupe review</x:t>
        </x:is>
      </x:c>
      <x:c r="AF609" s="136" t="inlineStr">
        <x:is>
          <x:t xml:space="preserve"/>
        </x:is>
      </x:c>
      <x:c r="AG609" s="136" t="inlineStr">
        <x:is>
          <x:t xml:space="preserve"/>
        </x:is>
      </x:c>
      <x:c r="AH609" s="136" t="inlineStr">
        <x:is>
          <x:t xml:space="preserve">No</x:t>
        </x:is>
      </x:c>
      <x:c r="AI609" s="136" t="inlineStr">
        <x:is>
          <x:t xml:space="preserve">Not reviewed</x:t>
        </x:is>
      </x:c>
      <x:c r="AJ609" s="136" t="inlineStr">
        <x:is>
          <x:t xml:space="preserve">Research only</x:t>
        </x:is>
      </x:c>
      <x:c r="AK609" s="136" t="inlineStr">
        <x:is>
          <x:t xml:space="preserve">Research Pool</x:t>
        </x:is>
      </x:c>
      <x:c r="AL609" s="136" t="n">
        <x:v>9</x:v>
      </x:c>
      <x:c r="AM609" s="136" t="inlineStr">
        <x:is>
          <x:t xml:space="preserve">ChatGPT research</x:t>
        </x:is>
      </x:c>
      <x:c r="AN609" s="136" t="inlineStr">
        <x:is>
          <x:t xml:space="preserve">2026-09-18</x:t>
        </x:is>
      </x:c>
      <x:c r="AO609" s="136" t="inlineStr">
        <x:is>
          <x:t xml:space="preserve">Day 9 Seneca full-scope thematic screening; VI is Selflo working translation.</x:t>
        </x:is>
      </x:c>
      <x:c r="AP609" s="136" t="n"/>
      <x:c r="AQ609" s="136" t="n"/>
    </x:row>
    <x:row r="610">
      <x:c r="A610" s="136" t="inlineStr">
        <x:is>
          <x:t xml:space="preserve">research.seneca.day9.ep023</x:t>
        </x:is>
      </x:c>
      <x:c r="B610" s="136" t="inlineStr">
        <x:is>
          <x:t xml:space="preserve">Collected</x:t>
        </x:is>
      </x:c>
      <x:c r="C610" s="136" t="inlineStr">
        <x:is>
          <x:t xml:space="preserve">Nội tâm &amp; hiểu mình</x:t>
        </x:is>
      </x:c>
      <x:c r="D610" s="136" t="inlineStr">
        <x:is>
          <x:t xml:space="preserve">Day 9 / Seneca — Letters &amp; Essays</x:t>
        </x:is>
      </x:c>
      <x:c r="E610" s="136" t="inlineStr">
        <x:is>
          <x:t xml:space="preserve"/>
        </x:is>
      </x:c>
      <x:c r="F610" s="136" t="inlineStr">
        <x:is>
          <x:t xml:space="preserve">Niềm vui không hoàn toàn lệ thuộc bên ngoài</x:t>
        </x:is>
      </x:c>
      <x:c r="G610" s="136" t="inlineStr">
        <x:is>
          <x:t xml:space="preserve">Agency</x:t>
        </x:is>
      </x:c>
      <x:c r="H610" s="136" t="inlineStr">
        <x:is>
          <x:t xml:space="preserve"/>
        </x:is>
      </x:c>
      <x:c r="I610" s="136" t="inlineStr">
        <x:is>
          <x:t xml:space="preserve"/>
        </x:is>
      </x:c>
      <x:c r="J610" s="136" t="inlineStr">
        <x:is>
          <x:t xml:space="preserve"/>
        </x:is>
      </x:c>
      <x:c r="K610" s="136" t="inlineStr">
        <x:is>
          <x:t xml:space="preserve">Reframe</x:t>
        </x:is>
      </x:c>
      <x:c r="L610" s="136" t="inlineStr">
        <x:is>
          <x:t xml:space="preserve"/>
        </x:is>
      </x:c>
      <x:c r="M610" s="136" t="inlineStr">
        <x:is>
          <x:t xml:space="preserve">Letter / philosophical reflection</x:t>
        </x:is>
      </x:c>
      <x:c r="N610" s="136" t="inlineStr">
        <x:is>
          <x:t xml:space="preserve">ad verum bonum specta et de tuo gaude.</x:t>
        </x:is>
      </x:c>
      <x:c r="O610" s="136" t="inlineStr">
        <x:is>
          <x:t xml:space="preserve">Latin</x:t>
        </x:is>
      </x:c>
      <x:c r="P610" s="136" t="inlineStr">
        <x:is>
          <x:t xml:space="preserve">Hãy hướng tới điều tốt thật và tìm niềm vui từ phần thuộc về mình.</x:t>
        </x:is>
      </x:c>
      <x:c r="Q610" s="136" t="inlineStr">
        <x:is>
          <x:t xml:space="preserve">Lucius Annaeus Seneca</x:t>
        </x:is>
      </x:c>
      <x:c r="R610" s="136" t="inlineStr">
        <x:is>
          <x:t xml:space="preserve">Roman Stoic / Rome</x:t>
        </x:is>
      </x:c>
      <x:c r="S610" s="136" t="inlineStr">
        <x:is>
          <x:t xml:space="preserve">Epistulae Morales</x:t>
        </x:is>
      </x:c>
      <x:c r="T610" s="136" t="inlineStr">
        <x:is>
          <x:t xml:space="preserve">23.3</x:t>
        </x:is>
      </x:c>
      <x:c r="U610" s="136" t="inlineStr">
        <x:is>
          <x:t xml:space="preserve">https://la.wikisource.org/wiki/Epistulae_morales_ad_Lucilium</x:t>
        </x:is>
      </x:c>
      <x:c r="V610" s="136" t="inlineStr">
        <x:is>
          <x:t xml:space="preserve">Primary Latin text / reputable digital corpus</x:t>
        </x:is>
      </x:c>
      <x:c r="W610" s="136" t="inlineStr">
        <x:is>
          <x:t xml:space="preserve">Original-source passage</x:t>
        </x:is>
      </x:c>
      <x:c r="X610" s="136" t="inlineStr">
        <x:is>
          <x:t xml:space="preserve">A - Primary-source text located</x:t>
        </x:is>
      </x:c>
      <x:c r="Y610" s="136" t="inlineStr">
        <x:is>
          <x:t xml:space="preserve">Latin anchor collected from Seneca primary-text corpus; exact punctuation/orthography can vary by edition. Release requires passage-level recheck.</x:t>
        </x:is>
      </x:c>
      <x:c r="Z610" s="136" t="inlineStr">
        <x:is>
          <x:t xml:space="preserve">Ancient work public domain; digital transcription terms apply</x:t>
        </x:is>
      </x:c>
      <x:c r="AA610" s="136" t="inlineStr">
        <x:is>
          <x:t xml:space="preserve">Keep Latin original and use fresh Selflo Vietnamese working translation; do not copy a modern copyrighted translation.</x:t>
        </x:is>
      </x:c>
      <x:c r="AB610" s="136" t="inlineStr">
        <x:is>
          <x:t xml:space="preserve">Medium</x:t>
        </x:is>
      </x:c>
      <x:c r="AC610" s="136" t="inlineStr">
        <x:is>
          <x:t xml:space="preserve">Collected for Day 9 coverage; editorial selection happens later.</x:t>
        </x:is>
      </x:c>
      <x:c r="AD610" s="136" t="inlineStr">
        <x:is>
          <x:t xml:space="preserve">Medium</x:t>
        </x:is>
      </x:c>
      <x:c r="AE610" s="136" t="inlineStr">
        <x:is>
          <x:t xml:space="preserve">Needs semantic dedupe review</x:t>
        </x:is>
      </x:c>
      <x:c r="AF610" s="136" t="inlineStr">
        <x:is>
          <x:t xml:space="preserve"/>
        </x:is>
      </x:c>
      <x:c r="AG610" s="136" t="inlineStr">
        <x:is>
          <x:t xml:space="preserve"/>
        </x:is>
      </x:c>
      <x:c r="AH610" s="136" t="inlineStr">
        <x:is>
          <x:t xml:space="preserve">No</x:t>
        </x:is>
      </x:c>
      <x:c r="AI610" s="136" t="inlineStr">
        <x:is>
          <x:t xml:space="preserve">Not reviewed</x:t>
        </x:is>
      </x:c>
      <x:c r="AJ610" s="136" t="inlineStr">
        <x:is>
          <x:t xml:space="preserve">Research only</x:t>
        </x:is>
      </x:c>
      <x:c r="AK610" s="136" t="inlineStr">
        <x:is>
          <x:t xml:space="preserve">Research Pool</x:t>
        </x:is>
      </x:c>
      <x:c r="AL610" s="136" t="n">
        <x:v>9</x:v>
      </x:c>
      <x:c r="AM610" s="136" t="inlineStr">
        <x:is>
          <x:t xml:space="preserve">ChatGPT research</x:t>
        </x:is>
      </x:c>
      <x:c r="AN610" s="136" t="inlineStr">
        <x:is>
          <x:t xml:space="preserve">2026-09-18</x:t>
        </x:is>
      </x:c>
      <x:c r="AO610" s="136" t="inlineStr">
        <x:is>
          <x:t xml:space="preserve">Day 9 Seneca full-scope thematic screening; VI is Selflo working translation.</x:t>
        </x:is>
      </x:c>
      <x:c r="AP610" s="136" t="n"/>
      <x:c r="AQ610" s="136" t="n"/>
    </x:row>
    <x:row r="611">
      <x:c r="A611" s="136" t="inlineStr">
        <x:is>
          <x:t xml:space="preserve">research.seneca.day9.ep024</x:t>
        </x:is>
      </x:c>
      <x:c r="B611" s="136" t="inlineStr">
        <x:is>
          <x:t xml:space="preserve">Collected</x:t>
        </x:is>
      </x:c>
      <x:c r="C611" s="136" t="inlineStr">
        <x:is>
          <x:t xml:space="preserve">Nội tâm &amp; hiểu mình</x:t>
        </x:is>
      </x:c>
      <x:c r="D611" s="136" t="inlineStr">
        <x:is>
          <x:t xml:space="preserve">Day 9 / Seneca — Letters &amp; Essays</x:t>
        </x:is>
      </x:c>
      <x:c r="E611" s="136" t="inlineStr">
        <x:is>
          <x:t xml:space="preserve"/>
        </x:is>
      </x:c>
      <x:c r="F611" s="136" t="inlineStr">
        <x:is>
          <x:t xml:space="preserve">Tính hữu hạn</x:t>
        </x:is>
      </x:c>
      <x:c r="G611" s="136" t="inlineStr">
        <x:is>
          <x:t xml:space="preserve">Mortality</x:t>
        </x:is>
      </x:c>
      <x:c r="H611" s="136" t="inlineStr">
        <x:is>
          <x:t xml:space="preserve"/>
        </x:is>
      </x:c>
      <x:c r="I611" s="136" t="inlineStr">
        <x:is>
          <x:t xml:space="preserve"/>
        </x:is>
      </x:c>
      <x:c r="J611" s="136" t="inlineStr">
        <x:is>
          <x:t xml:space="preserve"/>
        </x:is>
      </x:c>
      <x:c r="K611" s="136" t="inlineStr">
        <x:is>
          <x:t xml:space="preserve">Recognize</x:t>
        </x:is>
      </x:c>
      <x:c r="L611" s="136" t="inlineStr">
        <x:is>
          <x:t xml:space="preserve"/>
        </x:is>
      </x:c>
      <x:c r="M611" s="136" t="inlineStr">
        <x:is>
          <x:t xml:space="preserve">Letter / philosophical reflection</x:t>
        </x:is>
      </x:c>
      <x:c r="N611" s="136" t="inlineStr">
        <x:is>
          <x:t xml:space="preserve">cotidie morimur.</x:t>
        </x:is>
      </x:c>
      <x:c r="O611" s="136" t="inlineStr">
        <x:is>
          <x:t xml:space="preserve">Latin</x:t>
        </x:is>
      </x:c>
      <x:c r="P611" s="136" t="inlineStr">
        <x:is>
          <x:t xml:space="preserve">Mỗi ngày, một phần đời đã đi qua.</x:t>
        </x:is>
      </x:c>
      <x:c r="Q611" s="136" t="inlineStr">
        <x:is>
          <x:t xml:space="preserve">Lucius Annaeus Seneca</x:t>
        </x:is>
      </x:c>
      <x:c r="R611" s="136" t="inlineStr">
        <x:is>
          <x:t xml:space="preserve">Roman Stoic / Rome</x:t>
        </x:is>
      </x:c>
      <x:c r="S611" s="136" t="inlineStr">
        <x:is>
          <x:t xml:space="preserve">Epistulae Morales</x:t>
        </x:is>
      </x:c>
      <x:c r="T611" s="136" t="inlineStr">
        <x:is>
          <x:t xml:space="preserve">24.18</x:t>
        </x:is>
      </x:c>
      <x:c r="U611" s="136" t="inlineStr">
        <x:is>
          <x:t xml:space="preserve">https://la.wikisource.org/wiki/Epistulae_morales_ad_Lucilium</x:t>
        </x:is>
      </x:c>
      <x:c r="V611" s="136" t="inlineStr">
        <x:is>
          <x:t xml:space="preserve">Primary Latin text / reputable digital corpus</x:t>
        </x:is>
      </x:c>
      <x:c r="W611" s="136" t="inlineStr">
        <x:is>
          <x:t xml:space="preserve">Original-source passage</x:t>
        </x:is>
      </x:c>
      <x:c r="X611" s="136" t="inlineStr">
        <x:is>
          <x:t xml:space="preserve">A - Primary-source text located</x:t>
        </x:is>
      </x:c>
      <x:c r="Y611" s="136" t="inlineStr">
        <x:is>
          <x:t xml:space="preserve">Latin anchor collected from Seneca primary-text corpus; exact punctuation/orthography can vary by edition. Release requires passage-level recheck.</x:t>
        </x:is>
      </x:c>
      <x:c r="Z611" s="136" t="inlineStr">
        <x:is>
          <x:t xml:space="preserve">Ancient work public domain; digital transcription terms apply</x:t>
        </x:is>
      </x:c>
      <x:c r="AA611" s="136" t="inlineStr">
        <x:is>
          <x:t xml:space="preserve">Keep Latin original and use fresh Selflo Vietnamese working translation; do not copy a modern copyrighted translation.</x:t>
        </x:is>
      </x:c>
      <x:c r="AB611" s="136" t="inlineStr">
        <x:is>
          <x:t xml:space="preserve">Medium</x:t>
        </x:is>
      </x:c>
      <x:c r="AC611" s="136" t="inlineStr">
        <x:is>
          <x:t xml:space="preserve">Collected for Day 9 coverage; editorial selection happens later.</x:t>
        </x:is>
      </x:c>
      <x:c r="AD611" s="136" t="inlineStr">
        <x:is>
          <x:t xml:space="preserve">Medium</x:t>
        </x:is>
      </x:c>
      <x:c r="AE611" s="136" t="inlineStr">
        <x:is>
          <x:t xml:space="preserve">Needs semantic dedupe review</x:t>
        </x:is>
      </x:c>
      <x:c r="AF611" s="136" t="inlineStr">
        <x:is>
          <x:t xml:space="preserve"/>
        </x:is>
      </x:c>
      <x:c r="AG611" s="136" t="inlineStr">
        <x:is>
          <x:t xml:space="preserve"/>
        </x:is>
      </x:c>
      <x:c r="AH611" s="136" t="inlineStr">
        <x:is>
          <x:t xml:space="preserve">No</x:t>
        </x:is>
      </x:c>
      <x:c r="AI611" s="136" t="inlineStr">
        <x:is>
          <x:t xml:space="preserve">Not reviewed</x:t>
        </x:is>
      </x:c>
      <x:c r="AJ611" s="136" t="inlineStr">
        <x:is>
          <x:t xml:space="preserve">Research only</x:t>
        </x:is>
      </x:c>
      <x:c r="AK611" s="136" t="inlineStr">
        <x:is>
          <x:t xml:space="preserve">Research Pool</x:t>
        </x:is>
      </x:c>
      <x:c r="AL611" s="136" t="n">
        <x:v>9</x:v>
      </x:c>
      <x:c r="AM611" s="136" t="inlineStr">
        <x:is>
          <x:t xml:space="preserve">ChatGPT research</x:t>
        </x:is>
      </x:c>
      <x:c r="AN611" s="136" t="inlineStr">
        <x:is>
          <x:t xml:space="preserve">2026-09-18</x:t>
        </x:is>
      </x:c>
      <x:c r="AO611" s="136" t="inlineStr">
        <x:is>
          <x:t xml:space="preserve">Day 9 Seneca full-scope thematic screening; VI is Selflo working translation.</x:t>
        </x:is>
      </x:c>
      <x:c r="AP611" s="136" t="n"/>
      <x:c r="AQ611" s="136" t="n"/>
    </x:row>
    <x:row r="612">
      <x:c r="A612" s="136" t="inlineStr">
        <x:is>
          <x:t xml:space="preserve">research.seneca.day9.ep027</x:t>
        </x:is>
      </x:c>
      <x:c r="B612" s="136" t="inlineStr">
        <x:is>
          <x:t xml:space="preserve">Collected</x:t>
        </x:is>
      </x:c>
      <x:c r="C612" s="136" t="inlineStr">
        <x:is>
          <x:t xml:space="preserve">Nội tâm &amp; hiểu mình</x:t>
        </x:is>
      </x:c>
      <x:c r="D612" s="136" t="inlineStr">
        <x:is>
          <x:t xml:space="preserve">Day 9 / Seneca — Letters &amp; Essays</x:t>
        </x:is>
      </x:c>
      <x:c r="E612" s="136" t="inlineStr">
        <x:is>
          <x:t xml:space="preserve"/>
        </x:is>
      </x:c>
      <x:c r="F612" s="136" t="inlineStr">
        <x:is>
          <x:t xml:space="preserve">Điều chưa thay đổi chỉ vì thời gian trôi</x:t>
        </x:is>
      </x:c>
      <x:c r="G612" s="136" t="inlineStr">
        <x:is>
          <x:t xml:space="preserve">Self-understanding</x:t>
        </x:is>
      </x:c>
      <x:c r="H612" s="136" t="inlineStr">
        <x:is>
          <x:t xml:space="preserve"/>
        </x:is>
      </x:c>
      <x:c r="I612" s="136" t="inlineStr">
        <x:is>
          <x:t xml:space="preserve"/>
        </x:is>
      </x:c>
      <x:c r="J612" s="136" t="inlineStr">
        <x:is>
          <x:t xml:space="preserve"/>
        </x:is>
      </x:c>
      <x:c r="K612" s="136" t="inlineStr">
        <x:is>
          <x:t xml:space="preserve">Recognize</x:t>
        </x:is>
      </x:c>
      <x:c r="L612" s="136" t="inlineStr">
        <x:is>
          <x:t xml:space="preserve"/>
        </x:is>
      </x:c>
      <x:c r="M612" s="136" t="inlineStr">
        <x:is>
          <x:t xml:space="preserve">Letter / philosophical reflection</x:t>
        </x:is>
      </x:c>
      <x:c r="N612" s="136" t="inlineStr">
        <x:is>
          <x:t xml:space="preserve">vitia nobiscum senescunt.</x:t>
        </x:is>
      </x:c>
      <x:c r="O612" s="136" t="inlineStr">
        <x:is>
          <x:t xml:space="preserve">Latin</x:t>
        </x:is>
      </x:c>
      <x:c r="P612" s="136" t="inlineStr">
        <x:is>
          <x:t xml:space="preserve">Những thói quen và điểm mù có thể già đi cùng ta.</x:t>
        </x:is>
      </x:c>
      <x:c r="Q612" s="136" t="inlineStr">
        <x:is>
          <x:t xml:space="preserve">Lucius Annaeus Seneca</x:t>
        </x:is>
      </x:c>
      <x:c r="R612" s="136" t="inlineStr">
        <x:is>
          <x:t xml:space="preserve">Roman Stoic / Rome</x:t>
        </x:is>
      </x:c>
      <x:c r="S612" s="136" t="inlineStr">
        <x:is>
          <x:t xml:space="preserve">Epistulae Morales</x:t>
        </x:is>
      </x:c>
      <x:c r="T612" s="136" t="inlineStr">
        <x:is>
          <x:t xml:space="preserve">27.1</x:t>
        </x:is>
      </x:c>
      <x:c r="U612" s="136" t="inlineStr">
        <x:is>
          <x:t xml:space="preserve">https://la.wikisource.org/wiki/Epistulae_morales_ad_Lucilium</x:t>
        </x:is>
      </x:c>
      <x:c r="V612" s="136" t="inlineStr">
        <x:is>
          <x:t xml:space="preserve">Primary Latin text / reputable digital corpus</x:t>
        </x:is>
      </x:c>
      <x:c r="W612" s="136" t="inlineStr">
        <x:is>
          <x:t xml:space="preserve">Original-source passage</x:t>
        </x:is>
      </x:c>
      <x:c r="X612" s="136" t="inlineStr">
        <x:is>
          <x:t xml:space="preserve">A - Primary-source text located</x:t>
        </x:is>
      </x:c>
      <x:c r="Y612" s="136" t="inlineStr">
        <x:is>
          <x:t xml:space="preserve">Latin anchor collected from Seneca primary-text corpus; exact punctuation/orthography can vary by edition. Release requires passage-level recheck.</x:t>
        </x:is>
      </x:c>
      <x:c r="Z612" s="136" t="inlineStr">
        <x:is>
          <x:t xml:space="preserve">Ancient work public domain; digital transcription terms apply</x:t>
        </x:is>
      </x:c>
      <x:c r="AA612" s="136" t="inlineStr">
        <x:is>
          <x:t xml:space="preserve">Keep Latin original and use fresh Selflo Vietnamese working translation; do not copy a modern copyrighted translation.</x:t>
        </x:is>
      </x:c>
      <x:c r="AB612" s="136" t="inlineStr">
        <x:is>
          <x:t xml:space="preserve">High</x:t>
        </x:is>
      </x:c>
      <x:c r="AC612" s="136" t="inlineStr">
        <x:is>
          <x:t xml:space="preserve">Collected for Day 9 coverage; editorial selection happens later.</x:t>
        </x:is>
      </x:c>
      <x:c r="AD612" s="136" t="inlineStr">
        <x:is>
          <x:t xml:space="preserve">Low–Medium</x:t>
        </x:is>
      </x:c>
      <x:c r="AE612" s="136" t="inlineStr">
        <x:is>
          <x:t xml:space="preserve">Needs semantic dedupe review</x:t>
        </x:is>
      </x:c>
      <x:c r="AF612" s="136" t="inlineStr">
        <x:is>
          <x:t xml:space="preserve"/>
        </x:is>
      </x:c>
      <x:c r="AG612" s="136" t="inlineStr">
        <x:is>
          <x:t xml:space="preserve"/>
        </x:is>
      </x:c>
      <x:c r="AH612" s="136" t="inlineStr">
        <x:is>
          <x:t xml:space="preserve">No</x:t>
        </x:is>
      </x:c>
      <x:c r="AI612" s="136" t="inlineStr">
        <x:is>
          <x:t xml:space="preserve">Not reviewed</x:t>
        </x:is>
      </x:c>
      <x:c r="AJ612" s="136" t="inlineStr">
        <x:is>
          <x:t xml:space="preserve">Research only</x:t>
        </x:is>
      </x:c>
      <x:c r="AK612" s="136" t="inlineStr">
        <x:is>
          <x:t xml:space="preserve">Research Pool</x:t>
        </x:is>
      </x:c>
      <x:c r="AL612" s="136" t="n">
        <x:v>9</x:v>
      </x:c>
      <x:c r="AM612" s="136" t="inlineStr">
        <x:is>
          <x:t xml:space="preserve">ChatGPT research</x:t>
        </x:is>
      </x:c>
      <x:c r="AN612" s="136" t="inlineStr">
        <x:is>
          <x:t xml:space="preserve">2026-09-18</x:t>
        </x:is>
      </x:c>
      <x:c r="AO612" s="136" t="inlineStr">
        <x:is>
          <x:t xml:space="preserve">Day 9 Seneca full-scope thematic screening; VI is Selflo working translation.</x:t>
        </x:is>
      </x:c>
      <x:c r="AP612" s="136" t="n"/>
      <x:c r="AQ612" s="136" t="n"/>
    </x:row>
    <x:row r="613">
      <x:c r="A613" s="136" t="inlineStr">
        <x:is>
          <x:t xml:space="preserve">research.seneca.day9.ep028</x:t>
        </x:is>
      </x:c>
      <x:c r="B613" s="136" t="inlineStr">
        <x:is>
          <x:t xml:space="preserve">Collected</x:t>
        </x:is>
      </x:c>
      <x:c r="C613" s="136" t="inlineStr">
        <x:is>
          <x:t xml:space="preserve">Nội tâm &amp; hiểu mình</x:t>
        </x:is>
      </x:c>
      <x:c r="D613" s="136" t="inlineStr">
        <x:is>
          <x:t xml:space="preserve">Day 9 / Seneca — Letters &amp; Essays</x:t>
        </x:is>
      </x:c>
      <x:c r="E613" s="136" t="inlineStr">
        <x:is>
          <x:t xml:space="preserve"/>
        </x:is>
      </x:c>
      <x:c r="F613" s="136" t="inlineStr">
        <x:is>
          <x:t xml:space="preserve">Đổi nơi nhưng mang theo cùng tâm trạng</x:t>
        </x:is>
      </x:c>
      <x:c r="G613" s="136" t="inlineStr">
        <x:is>
          <x:t xml:space="preserve">Self-understanding</x:t>
        </x:is>
      </x:c>
      <x:c r="H613" s="136" t="inlineStr">
        <x:is>
          <x:t xml:space="preserve"/>
        </x:is>
      </x:c>
      <x:c r="I613" s="136" t="inlineStr">
        <x:is>
          <x:t xml:space="preserve"/>
        </x:is>
      </x:c>
      <x:c r="J613" s="136" t="inlineStr">
        <x:is>
          <x:t xml:space="preserve"/>
        </x:is>
      </x:c>
      <x:c r="K613" s="136" t="inlineStr">
        <x:is>
          <x:t xml:space="preserve">Reframe</x:t>
        </x:is>
      </x:c>
      <x:c r="L613" s="136" t="inlineStr">
        <x:is>
          <x:t xml:space="preserve"/>
        </x:is>
      </x:c>
      <x:c r="M613" s="136" t="inlineStr">
        <x:is>
          <x:t xml:space="preserve">Letter / philosophical reflection</x:t>
        </x:is>
      </x:c>
      <x:c r="N613" s="136" t="inlineStr">
        <x:is>
          <x:t xml:space="preserve">Animum debes mutare, non caelum.</x:t>
        </x:is>
      </x:c>
      <x:c r="O613" s="136" t="inlineStr">
        <x:is>
          <x:t xml:space="preserve">Latin</x:t>
        </x:is>
      </x:c>
      <x:c r="P613" s="136" t="inlineStr">
        <x:is>
          <x:t xml:space="preserve">Điều cần thay đổi có khi là tâm trí, không phải bầu trời.</x:t>
        </x:is>
      </x:c>
      <x:c r="Q613" s="136" t="inlineStr">
        <x:is>
          <x:t xml:space="preserve">Lucius Annaeus Seneca</x:t>
        </x:is>
      </x:c>
      <x:c r="R613" s="136" t="inlineStr">
        <x:is>
          <x:t xml:space="preserve">Roman Stoic / Rome</x:t>
        </x:is>
      </x:c>
      <x:c r="S613" s="136" t="inlineStr">
        <x:is>
          <x:t xml:space="preserve">Epistulae Morales</x:t>
        </x:is>
      </x:c>
      <x:c r="T613" s="136" t="inlineStr">
        <x:is>
          <x:t xml:space="preserve">28.1</x:t>
        </x:is>
      </x:c>
      <x:c r="U613" s="136" t="inlineStr">
        <x:is>
          <x:t xml:space="preserve">https://la.wikisource.org/wiki/Epistulae_morales_ad_Lucilium</x:t>
        </x:is>
      </x:c>
      <x:c r="V613" s="136" t="inlineStr">
        <x:is>
          <x:t xml:space="preserve">Primary Latin text / reputable digital corpus</x:t>
        </x:is>
      </x:c>
      <x:c r="W613" s="136" t="inlineStr">
        <x:is>
          <x:t xml:space="preserve">Original-source passage</x:t>
        </x:is>
      </x:c>
      <x:c r="X613" s="136" t="inlineStr">
        <x:is>
          <x:t xml:space="preserve">A - Primary-source text located</x:t>
        </x:is>
      </x:c>
      <x:c r="Y613" s="136" t="inlineStr">
        <x:is>
          <x:t xml:space="preserve">Latin anchor collected from Seneca primary-text corpus; exact punctuation/orthography can vary by edition. Release requires passage-level recheck.</x:t>
        </x:is>
      </x:c>
      <x:c r="Z613" s="136" t="inlineStr">
        <x:is>
          <x:t xml:space="preserve">Ancient work public domain; digital transcription terms apply</x:t>
        </x:is>
      </x:c>
      <x:c r="AA613" s="136" t="inlineStr">
        <x:is>
          <x:t xml:space="preserve">Keep Latin original and use fresh Selflo Vietnamese working translation; do not copy a modern copyrighted translation.</x:t>
        </x:is>
      </x:c>
      <x:c r="AB613" s="136" t="inlineStr">
        <x:is>
          <x:t xml:space="preserve">High</x:t>
        </x:is>
      </x:c>
      <x:c r="AC613" s="136" t="inlineStr">
        <x:is>
          <x:t xml:space="preserve">Collected for Day 9 coverage; editorial selection happens later.</x:t>
        </x:is>
      </x:c>
      <x:c r="AD613" s="136" t="inlineStr">
        <x:is>
          <x:t xml:space="preserve">Low–Medium</x:t>
        </x:is>
      </x:c>
      <x:c r="AE613" s="136" t="inlineStr">
        <x:is>
          <x:t xml:space="preserve">Needs semantic dedupe review</x:t>
        </x:is>
      </x:c>
      <x:c r="AF613" s="136" t="inlineStr">
        <x:is>
          <x:t xml:space="preserve"/>
        </x:is>
      </x:c>
      <x:c r="AG613" s="136" t="inlineStr">
        <x:is>
          <x:t xml:space="preserve"/>
        </x:is>
      </x:c>
      <x:c r="AH613" s="136" t="inlineStr">
        <x:is>
          <x:t xml:space="preserve">No</x:t>
        </x:is>
      </x:c>
      <x:c r="AI613" s="136" t="inlineStr">
        <x:is>
          <x:t xml:space="preserve">Not reviewed</x:t>
        </x:is>
      </x:c>
      <x:c r="AJ613" s="136" t="inlineStr">
        <x:is>
          <x:t xml:space="preserve">Research only</x:t>
        </x:is>
      </x:c>
      <x:c r="AK613" s="136" t="inlineStr">
        <x:is>
          <x:t xml:space="preserve">Research Pool</x:t>
        </x:is>
      </x:c>
      <x:c r="AL613" s="136" t="n">
        <x:v>9</x:v>
      </x:c>
      <x:c r="AM613" s="136" t="inlineStr">
        <x:is>
          <x:t xml:space="preserve">ChatGPT research</x:t>
        </x:is>
      </x:c>
      <x:c r="AN613" s="136" t="inlineStr">
        <x:is>
          <x:t xml:space="preserve">2026-09-18</x:t>
        </x:is>
      </x:c>
      <x:c r="AO613" s="136" t="inlineStr">
        <x:is>
          <x:t xml:space="preserve">Day 9 Seneca full-scope thematic screening; VI is Selflo working translation.</x:t>
        </x:is>
      </x:c>
      <x:c r="AP613" s="136" t="n"/>
      <x:c r="AQ613" s="136" t="n"/>
    </x:row>
    <x:row r="614">
      <x:c r="A614" s="136" t="inlineStr">
        <x:is>
          <x:t xml:space="preserve">research.seneca.day9.ep028_2</x:t>
        </x:is>
      </x:c>
      <x:c r="B614" s="136" t="inlineStr">
        <x:is>
          <x:t xml:space="preserve">Collected</x:t>
        </x:is>
      </x:c>
      <x:c r="C614" s="136" t="inlineStr">
        <x:is>
          <x:t xml:space="preserve">Nội tâm &amp; hiểu mình</x:t>
        </x:is>
      </x:c>
      <x:c r="D614" s="136" t="inlineStr">
        <x:is>
          <x:t xml:space="preserve">Day 9 / Seneca — Letters &amp; Essays</x:t>
        </x:is>
      </x:c>
      <x:c r="E614" s="136" t="inlineStr">
        <x:is>
          <x:t xml:space="preserve"/>
        </x:is>
      </x:c>
      <x:c r="F614" s="136" t="inlineStr">
        <x:is>
          <x:t xml:space="preserve">Mang vấn đề theo mình</x:t>
        </x:is>
      </x:c>
      <x:c r="G614" s="136" t="inlineStr">
        <x:is>
          <x:t xml:space="preserve">Self-understanding</x:t>
        </x:is>
      </x:c>
      <x:c r="H614" s="136" t="inlineStr">
        <x:is>
          <x:t xml:space="preserve"/>
        </x:is>
      </x:c>
      <x:c r="I614" s="136" t="inlineStr">
        <x:is>
          <x:t xml:space="preserve"/>
        </x:is>
      </x:c>
      <x:c r="J614" s="136" t="inlineStr">
        <x:is>
          <x:t xml:space="preserve"/>
        </x:is>
      </x:c>
      <x:c r="K614" s="136" t="inlineStr">
        <x:is>
          <x:t xml:space="preserve">Recognize</x:t>
        </x:is>
      </x:c>
      <x:c r="L614" s="136" t="inlineStr">
        <x:is>
          <x:t xml:space="preserve"/>
        </x:is>
      </x:c>
      <x:c r="M614" s="136" t="inlineStr">
        <x:is>
          <x:t xml:space="preserve">Letter / philosophical reflection</x:t>
        </x:is>
      </x:c>
      <x:c r="N614" s="136" t="inlineStr">
        <x:is>
          <x:t xml:space="preserve">onus animi deponendum est: non ante tibi ullus placebit locus.</x:t>
        </x:is>
      </x:c>
      <x:c r="O614" s="136" t="inlineStr">
        <x:is>
          <x:t xml:space="preserve">Latin</x:t>
        </x:is>
      </x:c>
      <x:c r="P614" s="136" t="inlineStr">
        <x:is>
          <x:t xml:space="preserve">Cần nhìn vào gánh nặng đang mang trong tâm trí; nếu không, đổi nơi chưa chắc làm nơi nào trở nên dễ chịu.</x:t>
        </x:is>
      </x:c>
      <x:c r="Q614" s="136" t="inlineStr">
        <x:is>
          <x:t xml:space="preserve">Lucius Annaeus Seneca</x:t>
        </x:is>
      </x:c>
      <x:c r="R614" s="136" t="inlineStr">
        <x:is>
          <x:t xml:space="preserve">Roman Stoic / Rome</x:t>
        </x:is>
      </x:c>
      <x:c r="S614" s="136" t="inlineStr">
        <x:is>
          <x:t xml:space="preserve">Epistulae Morales</x:t>
        </x:is>
      </x:c>
      <x:c r="T614" s="136" t="inlineStr">
        <x:is>
          <x:t xml:space="preserve">28.2</x:t>
        </x:is>
      </x:c>
      <x:c r="U614" s="136" t="inlineStr">
        <x:is>
          <x:t xml:space="preserve">https://la.wikisource.org/wiki/Epistulae_morales_ad_Lucilium</x:t>
        </x:is>
      </x:c>
      <x:c r="V614" s="136" t="inlineStr">
        <x:is>
          <x:t xml:space="preserve">Primary Latin text / reputable digital corpus</x:t>
        </x:is>
      </x:c>
      <x:c r="W614" s="136" t="inlineStr">
        <x:is>
          <x:t xml:space="preserve">Original-source passage</x:t>
        </x:is>
      </x:c>
      <x:c r="X614" s="136" t="inlineStr">
        <x:is>
          <x:t xml:space="preserve">A - Primary-source text located</x:t>
        </x:is>
      </x:c>
      <x:c r="Y614" s="136" t="inlineStr">
        <x:is>
          <x:t xml:space="preserve">Latin anchor collected from Seneca primary-text corpus; exact punctuation/orthography can vary by edition. Release requires passage-level recheck.</x:t>
        </x:is>
      </x:c>
      <x:c r="Z614" s="136" t="inlineStr">
        <x:is>
          <x:t xml:space="preserve">Ancient work public domain; digital transcription terms apply</x:t>
        </x:is>
      </x:c>
      <x:c r="AA614" s="136" t="inlineStr">
        <x:is>
          <x:t xml:space="preserve">Keep Latin original and use fresh Selflo Vietnamese working translation; do not copy a modern copyrighted translation.</x:t>
        </x:is>
      </x:c>
      <x:c r="AB614" s="136" t="inlineStr">
        <x:is>
          <x:t xml:space="preserve">High</x:t>
        </x:is>
      </x:c>
      <x:c r="AC614" s="136" t="inlineStr">
        <x:is>
          <x:t xml:space="preserve">Collected for Day 9 coverage; editorial selection happens later.</x:t>
        </x:is>
      </x:c>
      <x:c r="AD614" s="136" t="inlineStr">
        <x:is>
          <x:t xml:space="preserve">Low–Medium</x:t>
        </x:is>
      </x:c>
      <x:c r="AE614" s="136" t="inlineStr">
        <x:is>
          <x:t xml:space="preserve">Needs semantic dedupe review</x:t>
        </x:is>
      </x:c>
      <x:c r="AF614" s="136" t="inlineStr">
        <x:is>
          <x:t xml:space="preserve"/>
        </x:is>
      </x:c>
      <x:c r="AG614" s="136" t="inlineStr">
        <x:is>
          <x:t xml:space="preserve"/>
        </x:is>
      </x:c>
      <x:c r="AH614" s="136" t="inlineStr">
        <x:is>
          <x:t xml:space="preserve">No</x:t>
        </x:is>
      </x:c>
      <x:c r="AI614" s="136" t="inlineStr">
        <x:is>
          <x:t xml:space="preserve">Not reviewed</x:t>
        </x:is>
      </x:c>
      <x:c r="AJ614" s="136" t="inlineStr">
        <x:is>
          <x:t xml:space="preserve">Research only</x:t>
        </x:is>
      </x:c>
      <x:c r="AK614" s="136" t="inlineStr">
        <x:is>
          <x:t xml:space="preserve">Research Pool</x:t>
        </x:is>
      </x:c>
      <x:c r="AL614" s="136" t="n">
        <x:v>9</x:v>
      </x:c>
      <x:c r="AM614" s="136" t="inlineStr">
        <x:is>
          <x:t xml:space="preserve">ChatGPT research</x:t>
        </x:is>
      </x:c>
      <x:c r="AN614" s="136" t="inlineStr">
        <x:is>
          <x:t xml:space="preserve">2026-09-18</x:t>
        </x:is>
      </x:c>
      <x:c r="AO614" s="136" t="inlineStr">
        <x:is>
          <x:t xml:space="preserve">Day 9 Seneca full-scope thematic screening; VI is Selflo working translation.</x:t>
        </x:is>
      </x:c>
      <x:c r="AP614" s="136" t="n"/>
      <x:c r="AQ614" s="136" t="n"/>
    </x:row>
    <x:row r="615">
      <x:c r="A615" s="136" t="inlineStr">
        <x:is>
          <x:t xml:space="preserve">research.seneca.day9.ep032</x:t>
        </x:is>
      </x:c>
      <x:c r="B615" s="136" t="inlineStr">
        <x:is>
          <x:t xml:space="preserve">Collected</x:t>
        </x:is>
      </x:c>
      <x:c r="C615" s="136" t="inlineStr">
        <x:is>
          <x:t xml:space="preserve">Nội tâm &amp; hiểu mình</x:t>
        </x:is>
      </x:c>
      <x:c r="D615" s="136" t="inlineStr">
        <x:is>
          <x:t xml:space="preserve">Day 9 / Seneca — Letters &amp; Essays</x:t>
        </x:is>
      </x:c>
      <x:c r="E615" s="136" t="inlineStr">
        <x:is>
          <x:t xml:space="preserve"/>
        </x:is>
      </x:c>
      <x:c r="F615" s="136" t="inlineStr">
        <x:is>
          <x:t xml:space="preserve">Trì hoãn sống</x:t>
        </x:is>
      </x:c>
      <x:c r="G615" s="136" t="inlineStr">
        <x:is>
          <x:t xml:space="preserve">Time</x:t>
        </x:is>
      </x:c>
      <x:c r="H615" s="136" t="inlineStr">
        <x:is>
          <x:t xml:space="preserve"/>
        </x:is>
      </x:c>
      <x:c r="I615" s="136" t="inlineStr">
        <x:is>
          <x:t xml:space="preserve"/>
        </x:is>
      </x:c>
      <x:c r="J615" s="136" t="inlineStr">
        <x:is>
          <x:t xml:space="preserve"/>
        </x:is>
      </x:c>
      <x:c r="K615" s="136" t="inlineStr">
        <x:is>
          <x:t xml:space="preserve">Recognize</x:t>
        </x:is>
      </x:c>
      <x:c r="L615" s="136" t="inlineStr">
        <x:is>
          <x:t xml:space="preserve"/>
        </x:is>
      </x:c>
      <x:c r="M615" s="136" t="inlineStr">
        <x:is>
          <x:t xml:space="preserve">Letter / philosophical reflection</x:t>
        </x:is>
      </x:c>
      <x:c r="N615" s="136" t="inlineStr">
        <x:is>
          <x:t xml:space="preserve">dum differtur vita transcurrit.</x:t>
        </x:is>
      </x:c>
      <x:c r="O615" s="136" t="inlineStr">
        <x:is>
          <x:t xml:space="preserve">Latin</x:t>
        </x:is>
      </x:c>
      <x:c r="P615" s="136" t="inlineStr">
        <x:is>
          <x:t xml:space="preserve">Trong lúc ta trì hoãn, đời vẫn trôi.</x:t>
        </x:is>
      </x:c>
      <x:c r="Q615" s="136" t="inlineStr">
        <x:is>
          <x:t xml:space="preserve">Lucius Annaeus Seneca</x:t>
        </x:is>
      </x:c>
      <x:c r="R615" s="136" t="inlineStr">
        <x:is>
          <x:t xml:space="preserve">Roman Stoic / Rome</x:t>
        </x:is>
      </x:c>
      <x:c r="S615" s="136" t="inlineStr">
        <x:is>
          <x:t xml:space="preserve">Epistulae Morales</x:t>
        </x:is>
      </x:c>
      <x:c r="T615" s="136" t="inlineStr">
        <x:is>
          <x:t xml:space="preserve">32.5</x:t>
        </x:is>
      </x:c>
      <x:c r="U615" s="136" t="inlineStr">
        <x:is>
          <x:t xml:space="preserve">https://la.wikisource.org/wiki/Epistulae_morales_ad_Lucilium</x:t>
        </x:is>
      </x:c>
      <x:c r="V615" s="136" t="inlineStr">
        <x:is>
          <x:t xml:space="preserve">Primary Latin text / reputable digital corpus</x:t>
        </x:is>
      </x:c>
      <x:c r="W615" s="136" t="inlineStr">
        <x:is>
          <x:t xml:space="preserve">Original-source passage</x:t>
        </x:is>
      </x:c>
      <x:c r="X615" s="136" t="inlineStr">
        <x:is>
          <x:t xml:space="preserve">A - Primary-source text located</x:t>
        </x:is>
      </x:c>
      <x:c r="Y615" s="136" t="inlineStr">
        <x:is>
          <x:t xml:space="preserve">Latin anchor collected from Seneca primary-text corpus; exact punctuation/orthography can vary by edition. Release requires passage-level recheck.</x:t>
        </x:is>
      </x:c>
      <x:c r="Z615" s="136" t="inlineStr">
        <x:is>
          <x:t xml:space="preserve">Ancient work public domain; digital transcription terms apply</x:t>
        </x:is>
      </x:c>
      <x:c r="AA615" s="136" t="inlineStr">
        <x:is>
          <x:t xml:space="preserve">Keep Latin original and use fresh Selflo Vietnamese working translation; do not copy a modern copyrighted translation.</x:t>
        </x:is>
      </x:c>
      <x:c r="AB615" s="136" t="inlineStr">
        <x:is>
          <x:t xml:space="preserve">High</x:t>
        </x:is>
      </x:c>
      <x:c r="AC615" s="136" t="inlineStr">
        <x:is>
          <x:t xml:space="preserve">Collected for Day 9 coverage; editorial selection happens later.</x:t>
        </x:is>
      </x:c>
      <x:c r="AD615" s="136" t="inlineStr">
        <x:is>
          <x:t xml:space="preserve">Low–Medium</x:t>
        </x:is>
      </x:c>
      <x:c r="AE615" s="136" t="inlineStr">
        <x:is>
          <x:t xml:space="preserve">Needs semantic dedupe review</x:t>
        </x:is>
      </x:c>
      <x:c r="AF615" s="136" t="inlineStr">
        <x:is>
          <x:t xml:space="preserve"/>
        </x:is>
      </x:c>
      <x:c r="AG615" s="136" t="inlineStr">
        <x:is>
          <x:t xml:space="preserve"/>
        </x:is>
      </x:c>
      <x:c r="AH615" s="136" t="inlineStr">
        <x:is>
          <x:t xml:space="preserve">No</x:t>
        </x:is>
      </x:c>
      <x:c r="AI615" s="136" t="inlineStr">
        <x:is>
          <x:t xml:space="preserve">Not reviewed</x:t>
        </x:is>
      </x:c>
      <x:c r="AJ615" s="136" t="inlineStr">
        <x:is>
          <x:t xml:space="preserve">Research only</x:t>
        </x:is>
      </x:c>
      <x:c r="AK615" s="136" t="inlineStr">
        <x:is>
          <x:t xml:space="preserve">Research Pool</x:t>
        </x:is>
      </x:c>
      <x:c r="AL615" s="136" t="n">
        <x:v>9</x:v>
      </x:c>
      <x:c r="AM615" s="136" t="inlineStr">
        <x:is>
          <x:t xml:space="preserve">ChatGPT research</x:t>
        </x:is>
      </x:c>
      <x:c r="AN615" s="136" t="inlineStr">
        <x:is>
          <x:t xml:space="preserve">2026-09-18</x:t>
        </x:is>
      </x:c>
      <x:c r="AO615" s="136" t="inlineStr">
        <x:is>
          <x:t xml:space="preserve">Day 9 Seneca full-scope thematic screening; VI is Selflo working translation.</x:t>
        </x:is>
      </x:c>
      <x:c r="AP615" s="136" t="n"/>
      <x:c r="AQ615" s="136" t="n"/>
    </x:row>
    <x:row r="616">
      <x:c r="A616" s="136" t="inlineStr">
        <x:is>
          <x:t xml:space="preserve">research.seneca.day9.ep041</x:t>
        </x:is>
      </x:c>
      <x:c r="B616" s="136" t="inlineStr">
        <x:is>
          <x:t xml:space="preserve">Collected</x:t>
        </x:is>
      </x:c>
      <x:c r="C616" s="136" t="inlineStr">
        <x:is>
          <x:t xml:space="preserve">Nội tâm &amp; hiểu mình</x:t>
        </x:is>
      </x:c>
      <x:c r="D616" s="136" t="inlineStr">
        <x:is>
          <x:t xml:space="preserve">Day 9 / Seneca — Letters &amp; Essays</x:t>
        </x:is>
      </x:c>
      <x:c r="E616" s="136" t="inlineStr">
        <x:is>
          <x:t xml:space="preserve"/>
        </x:is>
      </x:c>
      <x:c r="F616" s="136" t="inlineStr">
        <x:is>
          <x:t xml:space="preserve">Giá trị nội tại</x:t>
        </x:is>
      </x:c>
      <x:c r="G616" s="136" t="inlineStr">
        <x:is>
          <x:t xml:space="preserve">Self-worth</x:t>
        </x:is>
      </x:c>
      <x:c r="H616" s="136" t="inlineStr">
        <x:is>
          <x:t xml:space="preserve"/>
        </x:is>
      </x:c>
      <x:c r="I616" s="136" t="inlineStr">
        <x:is>
          <x:t xml:space="preserve"/>
        </x:is>
      </x:c>
      <x:c r="J616" s="136" t="inlineStr">
        <x:is>
          <x:t xml:space="preserve"/>
        </x:is>
      </x:c>
      <x:c r="K616" s="136" t="inlineStr">
        <x:is>
          <x:t xml:space="preserve">Reframe</x:t>
        </x:is>
      </x:c>
      <x:c r="L616" s="136" t="inlineStr">
        <x:is>
          <x:t xml:space="preserve"/>
        </x:is>
      </x:c>
      <x:c r="M616" s="136" t="inlineStr">
        <x:is>
          <x:t xml:space="preserve">Letter / philosophical reflection</x:t>
        </x:is>
      </x:c>
      <x:c r="N616" s="136" t="inlineStr">
        <x:is>
          <x:t xml:space="preserve">prope est a te deus, tecum est, intus est.</x:t>
        </x:is>
      </x:c>
      <x:c r="O616" s="136" t="inlineStr">
        <x:is>
          <x:t xml:space="preserve">Latin</x:t>
        </x:is>
      </x:c>
      <x:c r="P616" s="136" t="inlineStr">
        <x:is>
          <x:t xml:space="preserve">Seneca viết rằng điều thiêng liêng ở gần, ở cùng và ở bên trong con người.</x:t>
        </x:is>
      </x:c>
      <x:c r="Q616" s="136" t="inlineStr">
        <x:is>
          <x:t xml:space="preserve">Lucius Annaeus Seneca</x:t>
        </x:is>
      </x:c>
      <x:c r="R616" s="136" t="inlineStr">
        <x:is>
          <x:t xml:space="preserve">Roman Stoic / Rome</x:t>
        </x:is>
      </x:c>
      <x:c r="S616" s="136" t="inlineStr">
        <x:is>
          <x:t xml:space="preserve">Epistulae Morales</x:t>
        </x:is>
      </x:c>
      <x:c r="T616" s="136" t="inlineStr">
        <x:is>
          <x:t xml:space="preserve">41.1</x:t>
        </x:is>
      </x:c>
      <x:c r="U616" s="136" t="inlineStr">
        <x:is>
          <x:t xml:space="preserve">https://la.wikisource.org/wiki/Epistulae_morales_ad_Lucilium</x:t>
        </x:is>
      </x:c>
      <x:c r="V616" s="136" t="inlineStr">
        <x:is>
          <x:t xml:space="preserve">Primary Latin text / reputable digital corpus</x:t>
        </x:is>
      </x:c>
      <x:c r="W616" s="136" t="inlineStr">
        <x:is>
          <x:t xml:space="preserve">Original-source passage</x:t>
        </x:is>
      </x:c>
      <x:c r="X616" s="136" t="inlineStr">
        <x:is>
          <x:t xml:space="preserve">A - Primary-source text located</x:t>
        </x:is>
      </x:c>
      <x:c r="Y616" s="136" t="inlineStr">
        <x:is>
          <x:t xml:space="preserve">Latin anchor collected from Seneca primary-text corpus; exact punctuation/orthography can vary by edition. Release requires passage-level recheck.</x:t>
        </x:is>
      </x:c>
      <x:c r="Z616" s="136" t="inlineStr">
        <x:is>
          <x:t xml:space="preserve">Ancient work public domain; digital transcription terms apply</x:t>
        </x:is>
      </x:c>
      <x:c r="AA616" s="136" t="inlineStr">
        <x:is>
          <x:t xml:space="preserve">Keep Latin original and use fresh Selflo Vietnamese working translation; do not copy a modern copyrighted translation.</x:t>
        </x:is>
      </x:c>
      <x:c r="AB616" s="136" t="inlineStr">
        <x:is>
          <x:t xml:space="preserve">Medium</x:t>
        </x:is>
      </x:c>
      <x:c r="AC616" s="136" t="inlineStr">
        <x:is>
          <x:t xml:space="preserve">Collected for Day 9 coverage; editorial selection happens later.</x:t>
        </x:is>
      </x:c>
      <x:c r="AD616" s="136" t="inlineStr">
        <x:is>
          <x:t xml:space="preserve">Medium</x:t>
        </x:is>
      </x:c>
      <x:c r="AE616" s="136" t="inlineStr">
        <x:is>
          <x:t xml:space="preserve">Needs semantic dedupe review</x:t>
        </x:is>
      </x:c>
      <x:c r="AF616" s="136" t="inlineStr">
        <x:is>
          <x:t xml:space="preserve"/>
        </x:is>
      </x:c>
      <x:c r="AG616" s="136" t="inlineStr">
        <x:is>
          <x:t xml:space="preserve"/>
        </x:is>
      </x:c>
      <x:c r="AH616" s="136" t="inlineStr">
        <x:is>
          <x:t xml:space="preserve">No</x:t>
        </x:is>
      </x:c>
      <x:c r="AI616" s="136" t="inlineStr">
        <x:is>
          <x:t xml:space="preserve">Not reviewed</x:t>
        </x:is>
      </x:c>
      <x:c r="AJ616" s="136" t="inlineStr">
        <x:is>
          <x:t xml:space="preserve">Research only</x:t>
        </x:is>
      </x:c>
      <x:c r="AK616" s="136" t="inlineStr">
        <x:is>
          <x:t xml:space="preserve">Research Pool</x:t>
        </x:is>
      </x:c>
      <x:c r="AL616" s="136" t="n">
        <x:v>9</x:v>
      </x:c>
      <x:c r="AM616" s="136" t="inlineStr">
        <x:is>
          <x:t xml:space="preserve">ChatGPT research</x:t>
        </x:is>
      </x:c>
      <x:c r="AN616" s="136" t="inlineStr">
        <x:is>
          <x:t xml:space="preserve">2026-09-18</x:t>
        </x:is>
      </x:c>
      <x:c r="AO616" s="136" t="inlineStr">
        <x:is>
          <x:t xml:space="preserve">Day 9 Seneca full-scope thematic screening; VI is Selflo working translation.</x:t>
        </x:is>
      </x:c>
      <x:c r="AP616" s="136" t="n"/>
      <x:c r="AQ616" s="136" t="n"/>
    </x:row>
    <x:row r="617">
      <x:c r="A617" s="136" t="inlineStr">
        <x:is>
          <x:t xml:space="preserve">research.seneca.day9.ep047</x:t>
        </x:is>
      </x:c>
      <x:c r="B617" s="136" t="inlineStr">
        <x:is>
          <x:t xml:space="preserve">Collected</x:t>
        </x:is>
      </x:c>
      <x:c r="C617" s="136" t="inlineStr">
        <x:is>
          <x:t xml:space="preserve">Quan hệ</x:t>
        </x:is>
      </x:c>
      <x:c r="D617" s="136" t="inlineStr">
        <x:is>
          <x:t xml:space="preserve">Day 9 / Seneca — Letters &amp; Essays</x:t>
        </x:is>
      </x:c>
      <x:c r="E617" s="136" t="inlineStr">
        <x:is>
          <x:t xml:space="preserve"/>
        </x:is>
      </x:c>
      <x:c r="F617" s="136" t="inlineStr">
        <x:is>
          <x:t xml:space="preserve">Nhìn người qua vai trò xã hội</x:t>
        </x:is>
      </x:c>
      <x:c r="G617" s="136" t="inlineStr">
        <x:is>
          <x:t xml:space="preserve">Human dignity</x:t>
        </x:is>
      </x:c>
      <x:c r="H617" s="136" t="inlineStr">
        <x:is>
          <x:t xml:space="preserve"/>
        </x:is>
      </x:c>
      <x:c r="I617" s="136" t="inlineStr">
        <x:is>
          <x:t xml:space="preserve"/>
        </x:is>
      </x:c>
      <x:c r="J617" s="136" t="inlineStr">
        <x:is>
          <x:t xml:space="preserve"/>
        </x:is>
      </x:c>
      <x:c r="K617" s="136" t="inlineStr">
        <x:is>
          <x:t xml:space="preserve">Distinguish</x:t>
        </x:is>
      </x:c>
      <x:c r="L617" s="136" t="inlineStr">
        <x:is>
          <x:t xml:space="preserve"/>
        </x:is>
      </x:c>
      <x:c r="M617" s="136" t="inlineStr">
        <x:is>
          <x:t xml:space="preserve">Letter / philosophical reflection</x:t>
        </x:is>
      </x:c>
      <x:c r="N617" s="136" t="inlineStr">
        <x:is>
          <x:t xml:space="preserve">Servi sunt. Immo homines.</x:t>
        </x:is>
      </x:c>
      <x:c r="O617" s="136" t="inlineStr">
        <x:is>
          <x:t xml:space="preserve">Latin</x:t>
        </x:is>
      </x:c>
      <x:c r="P617" s="136" t="inlineStr">
        <x:is>
          <x:t xml:space="preserve">Họ là nô lệ? Không—trước hết họ là con người.</x:t>
        </x:is>
      </x:c>
      <x:c r="Q617" s="136" t="inlineStr">
        <x:is>
          <x:t xml:space="preserve">Lucius Annaeus Seneca</x:t>
        </x:is>
      </x:c>
      <x:c r="R617" s="136" t="inlineStr">
        <x:is>
          <x:t xml:space="preserve">Roman Stoic / Rome</x:t>
        </x:is>
      </x:c>
      <x:c r="S617" s="136" t="inlineStr">
        <x:is>
          <x:t xml:space="preserve">Epistulae Morales</x:t>
        </x:is>
      </x:c>
      <x:c r="T617" s="136" t="inlineStr">
        <x:is>
          <x:t xml:space="preserve">47.1</x:t>
        </x:is>
      </x:c>
      <x:c r="U617" s="136" t="inlineStr">
        <x:is>
          <x:t xml:space="preserve">https://la.wikisource.org/wiki/Epistulae_morales_ad_Lucilium</x:t>
        </x:is>
      </x:c>
      <x:c r="V617" s="136" t="inlineStr">
        <x:is>
          <x:t xml:space="preserve">Primary Latin text / reputable digital corpus</x:t>
        </x:is>
      </x:c>
      <x:c r="W617" s="136" t="inlineStr">
        <x:is>
          <x:t xml:space="preserve">Original-source passage</x:t>
        </x:is>
      </x:c>
      <x:c r="X617" s="136" t="inlineStr">
        <x:is>
          <x:t xml:space="preserve">A - Primary-source text located</x:t>
        </x:is>
      </x:c>
      <x:c r="Y617" s="136" t="inlineStr">
        <x:is>
          <x:t xml:space="preserve">Latin anchor collected from Seneca primary-text corpus; exact punctuation/orthography can vary by edition. Release requires passage-level recheck.</x:t>
        </x:is>
      </x:c>
      <x:c r="Z617" s="136" t="inlineStr">
        <x:is>
          <x:t xml:space="preserve">Ancient work public domain; digital transcription terms apply</x:t>
        </x:is>
      </x:c>
      <x:c r="AA617" s="136" t="inlineStr">
        <x:is>
          <x:t xml:space="preserve">Keep Latin original and use fresh Selflo Vietnamese working translation; do not copy a modern copyrighted translation.</x:t>
        </x:is>
      </x:c>
      <x:c r="AB617" s="136" t="inlineStr">
        <x:is>
          <x:t xml:space="preserve">High</x:t>
        </x:is>
      </x:c>
      <x:c r="AC617" s="136" t="inlineStr">
        <x:is>
          <x:t xml:space="preserve">Collected for Day 9 coverage; editorial selection happens later.</x:t>
        </x:is>
      </x:c>
      <x:c r="AD617" s="136" t="inlineStr">
        <x:is>
          <x:t xml:space="preserve">Low–Medium</x:t>
        </x:is>
      </x:c>
      <x:c r="AE617" s="136" t="inlineStr">
        <x:is>
          <x:t xml:space="preserve">Needs semantic dedupe review</x:t>
        </x:is>
      </x:c>
      <x:c r="AF617" s="136" t="inlineStr">
        <x:is>
          <x:t xml:space="preserve"/>
        </x:is>
      </x:c>
      <x:c r="AG617" s="136" t="inlineStr">
        <x:is>
          <x:t xml:space="preserve"/>
        </x:is>
      </x:c>
      <x:c r="AH617" s="136" t="inlineStr">
        <x:is>
          <x:t xml:space="preserve">No</x:t>
        </x:is>
      </x:c>
      <x:c r="AI617" s="136" t="inlineStr">
        <x:is>
          <x:t xml:space="preserve">Not reviewed</x:t>
        </x:is>
      </x:c>
      <x:c r="AJ617" s="136" t="inlineStr">
        <x:is>
          <x:t xml:space="preserve">Research only</x:t>
        </x:is>
      </x:c>
      <x:c r="AK617" s="136" t="inlineStr">
        <x:is>
          <x:t xml:space="preserve">Research Pool</x:t>
        </x:is>
      </x:c>
      <x:c r="AL617" s="136" t="n">
        <x:v>9</x:v>
      </x:c>
      <x:c r="AM617" s="136" t="inlineStr">
        <x:is>
          <x:t xml:space="preserve">ChatGPT research</x:t>
        </x:is>
      </x:c>
      <x:c r="AN617" s="136" t="inlineStr">
        <x:is>
          <x:t xml:space="preserve">2026-09-18</x:t>
        </x:is>
      </x:c>
      <x:c r="AO617" s="136" t="inlineStr">
        <x:is>
          <x:t xml:space="preserve">Day 9 Seneca full-scope thematic screening; VI is Selflo working translation.</x:t>
        </x:is>
      </x:c>
      <x:c r="AP617" s="136" t="n"/>
      <x:c r="AQ617" s="136" t="n"/>
    </x:row>
    <x:row r="618">
      <x:c r="A618" s="136" t="inlineStr">
        <x:is>
          <x:t xml:space="preserve">research.seneca.day9.ep047_2</x:t>
        </x:is>
      </x:c>
      <x:c r="B618" s="136" t="inlineStr">
        <x:is>
          <x:t xml:space="preserve">Collected</x:t>
        </x:is>
      </x:c>
      <x:c r="C618" s="136" t="inlineStr">
        <x:is>
          <x:t xml:space="preserve">Quan hệ</x:t>
        </x:is>
      </x:c>
      <x:c r="D618" s="136" t="inlineStr">
        <x:is>
          <x:t xml:space="preserve">Day 9 / Seneca — Letters &amp; Essays</x:t>
        </x:is>
      </x:c>
      <x:c r="E618" s="136" t="inlineStr">
        <x:is>
          <x:t xml:space="preserve"/>
        </x:is>
      </x:c>
      <x:c r="F618" s="136" t="inlineStr">
        <x:is>
          <x:t xml:space="preserve">Quyền lực và phẩm giá</x:t>
        </x:is>
      </x:c>
      <x:c r="G618" s="136" t="inlineStr">
        <x:is>
          <x:t xml:space="preserve">Relationships</x:t>
        </x:is>
      </x:c>
      <x:c r="H618" s="136" t="inlineStr">
        <x:is>
          <x:t xml:space="preserve"/>
        </x:is>
      </x:c>
      <x:c r="I618" s="136" t="inlineStr">
        <x:is>
          <x:t xml:space="preserve"/>
        </x:is>
      </x:c>
      <x:c r="J618" s="136" t="inlineStr">
        <x:is>
          <x:t xml:space="preserve"/>
        </x:is>
      </x:c>
      <x:c r="K618" s="136" t="inlineStr">
        <x:is>
          <x:t xml:space="preserve">Reframe</x:t>
        </x:is>
      </x:c>
      <x:c r="L618" s="136" t="inlineStr">
        <x:is>
          <x:t xml:space="preserve"/>
        </x:is>
      </x:c>
      <x:c r="M618" s="136" t="inlineStr">
        <x:is>
          <x:t xml:space="preserve">Letter / philosophical reflection</x:t>
        </x:is>
      </x:c>
      <x:c r="N618" s="136" t="inlineStr">
        <x:is>
          <x:t xml:space="preserve">sic cum inferiore vivas quemadmodum tecum superiorem velis vivere.</x:t>
        </x:is>
      </x:c>
      <x:c r="O618" s="136" t="inlineStr">
        <x:is>
          <x:t xml:space="preserve">Latin</x:t>
        </x:is>
      </x:c>
      <x:c r="P618" s="136" t="inlineStr">
        <x:is>
          <x:t xml:space="preserve">Hãy đối xử với người ở vị thế thấp hơn như cách bạn mong người ở trên đối xử với mình.</x:t>
        </x:is>
      </x:c>
      <x:c r="Q618" s="136" t="inlineStr">
        <x:is>
          <x:t xml:space="preserve">Lucius Annaeus Seneca</x:t>
        </x:is>
      </x:c>
      <x:c r="R618" s="136" t="inlineStr">
        <x:is>
          <x:t xml:space="preserve">Roman Stoic / Rome</x:t>
        </x:is>
      </x:c>
      <x:c r="S618" s="136" t="inlineStr">
        <x:is>
          <x:t xml:space="preserve">Epistulae Morales</x:t>
        </x:is>
      </x:c>
      <x:c r="T618" s="136" t="inlineStr">
        <x:is>
          <x:t xml:space="preserve">47.10</x:t>
        </x:is>
      </x:c>
      <x:c r="U618" s="136" t="inlineStr">
        <x:is>
          <x:t xml:space="preserve">https://la.wikisource.org/wiki/Epistulae_morales_ad_Lucilium</x:t>
        </x:is>
      </x:c>
      <x:c r="V618" s="136" t="inlineStr">
        <x:is>
          <x:t xml:space="preserve">Primary Latin text / reputable digital corpus</x:t>
        </x:is>
      </x:c>
      <x:c r="W618" s="136" t="inlineStr">
        <x:is>
          <x:t xml:space="preserve">Original-source passage</x:t>
        </x:is>
      </x:c>
      <x:c r="X618" s="136" t="inlineStr">
        <x:is>
          <x:t xml:space="preserve">A - Primary-source text located</x:t>
        </x:is>
      </x:c>
      <x:c r="Y618" s="136" t="inlineStr">
        <x:is>
          <x:t xml:space="preserve">Latin anchor collected from Seneca primary-text corpus; exact punctuation/orthography can vary by edition. Release requires passage-level recheck.</x:t>
        </x:is>
      </x:c>
      <x:c r="Z618" s="136" t="inlineStr">
        <x:is>
          <x:t xml:space="preserve">Ancient work public domain; digital transcription terms apply</x:t>
        </x:is>
      </x:c>
      <x:c r="AA618" s="136" t="inlineStr">
        <x:is>
          <x:t xml:space="preserve">Keep Latin original and use fresh Selflo Vietnamese working translation; do not copy a modern copyrighted translation.</x:t>
        </x:is>
      </x:c>
      <x:c r="AB618" s="136" t="inlineStr">
        <x:is>
          <x:t xml:space="preserve">High</x:t>
        </x:is>
      </x:c>
      <x:c r="AC618" s="136" t="inlineStr">
        <x:is>
          <x:t xml:space="preserve">Collected for Day 9 coverage; editorial selection happens later.</x:t>
        </x:is>
      </x:c>
      <x:c r="AD618" s="136" t="inlineStr">
        <x:is>
          <x:t xml:space="preserve">Low–Medium</x:t>
        </x:is>
      </x:c>
      <x:c r="AE618" s="136" t="inlineStr">
        <x:is>
          <x:t xml:space="preserve">Needs semantic dedupe review</x:t>
        </x:is>
      </x:c>
      <x:c r="AF618" s="136" t="inlineStr">
        <x:is>
          <x:t xml:space="preserve"/>
        </x:is>
      </x:c>
      <x:c r="AG618" s="136" t="inlineStr">
        <x:is>
          <x:t xml:space="preserve"/>
        </x:is>
      </x:c>
      <x:c r="AH618" s="136" t="inlineStr">
        <x:is>
          <x:t xml:space="preserve">No</x:t>
        </x:is>
      </x:c>
      <x:c r="AI618" s="136" t="inlineStr">
        <x:is>
          <x:t xml:space="preserve">Not reviewed</x:t>
        </x:is>
      </x:c>
      <x:c r="AJ618" s="136" t="inlineStr">
        <x:is>
          <x:t xml:space="preserve">Research only</x:t>
        </x:is>
      </x:c>
      <x:c r="AK618" s="136" t="inlineStr">
        <x:is>
          <x:t xml:space="preserve">Research Pool</x:t>
        </x:is>
      </x:c>
      <x:c r="AL618" s="136" t="n">
        <x:v>9</x:v>
      </x:c>
      <x:c r="AM618" s="136" t="inlineStr">
        <x:is>
          <x:t xml:space="preserve">ChatGPT research</x:t>
        </x:is>
      </x:c>
      <x:c r="AN618" s="136" t="inlineStr">
        <x:is>
          <x:t xml:space="preserve">2026-09-18</x:t>
        </x:is>
      </x:c>
      <x:c r="AO618" s="136" t="inlineStr">
        <x:is>
          <x:t xml:space="preserve">Day 9 Seneca full-scope thematic screening; VI is Selflo working translation.</x:t>
        </x:is>
      </x:c>
      <x:c r="AP618" s="136" t="n"/>
      <x:c r="AQ618" s="136" t="n"/>
    </x:row>
    <x:row r="619">
      <x:c r="A619" s="136" t="inlineStr">
        <x:is>
          <x:t xml:space="preserve">research.seneca.day9.ep054</x:t>
        </x:is>
      </x:c>
      <x:c r="B619" s="136" t="inlineStr">
        <x:is>
          <x:t xml:space="preserve">Collected</x:t>
        </x:is>
      </x:c>
      <x:c r="C619" s="136" t="inlineStr">
        <x:is>
          <x:t xml:space="preserve">Nội tâm &amp; hiểu mình</x:t>
        </x:is>
      </x:c>
      <x:c r="D619" s="136" t="inlineStr">
        <x:is>
          <x:t xml:space="preserve">Day 9 / Seneca — Letters &amp; Essays</x:t>
        </x:is>
      </x:c>
      <x:c r="E619" s="136" t="inlineStr">
        <x:is>
          <x:t xml:space="preserve"/>
        </x:is>
      </x:c>
      <x:c r="F619" s="136" t="inlineStr">
        <x:is>
          <x:t xml:space="preserve">Đối diện hữu hạn</x:t>
        </x:is>
      </x:c>
      <x:c r="G619" s="136" t="inlineStr">
        <x:is>
          <x:t xml:space="preserve">Mortality</x:t>
        </x:is>
      </x:c>
      <x:c r="H619" s="136" t="inlineStr">
        <x:is>
          <x:t xml:space="preserve"/>
        </x:is>
      </x:c>
      <x:c r="I619" s="136" t="inlineStr">
        <x:is>
          <x:t xml:space="preserve"/>
        </x:is>
      </x:c>
      <x:c r="J619" s="136" t="inlineStr">
        <x:is>
          <x:t xml:space="preserve"/>
        </x:is>
      </x:c>
      <x:c r="K619" s="136" t="inlineStr">
        <x:is>
          <x:t xml:space="preserve">Recognize</x:t>
        </x:is>
      </x:c>
      <x:c r="L619" s="136" t="inlineStr">
        <x:is>
          <x:t xml:space="preserve"/>
        </x:is>
      </x:c>
      <x:c r="M619" s="136" t="inlineStr">
        <x:is>
          <x:t xml:space="preserve">Letter / philosophical reflection</x:t>
        </x:is>
      </x:c>
      <x:c r="N619" s="136" t="inlineStr">
        <x:is>
          <x:t xml:space="preserve">non desino in hoc exitum cogitare.</x:t>
        </x:is>
      </x:c>
      <x:c r="O619" s="136" t="inlineStr">
        <x:is>
          <x:t xml:space="preserve">Latin</x:t>
        </x:is>
      </x:c>
      <x:c r="P619" s="136" t="inlineStr">
        <x:is>
          <x:t xml:space="preserve">Seneca không né việc nghĩ về cái chết và sự kết thúc.</x:t>
        </x:is>
      </x:c>
      <x:c r="Q619" s="136" t="inlineStr">
        <x:is>
          <x:t xml:space="preserve">Lucius Annaeus Seneca</x:t>
        </x:is>
      </x:c>
      <x:c r="R619" s="136" t="inlineStr">
        <x:is>
          <x:t xml:space="preserve">Roman Stoic / Rome</x:t>
        </x:is>
      </x:c>
      <x:c r="S619" s="136" t="inlineStr">
        <x:is>
          <x:t xml:space="preserve">Epistulae Morales</x:t>
        </x:is>
      </x:c>
      <x:c r="T619" s="136" t="inlineStr">
        <x:is>
          <x:t xml:space="preserve">54.7</x:t>
        </x:is>
      </x:c>
      <x:c r="U619" s="136" t="inlineStr">
        <x:is>
          <x:t xml:space="preserve">https://la.wikisource.org/wiki/Epistulae_morales_ad_Lucilium</x:t>
        </x:is>
      </x:c>
      <x:c r="V619" s="136" t="inlineStr">
        <x:is>
          <x:t xml:space="preserve">Primary Latin text / reputable digital corpus</x:t>
        </x:is>
      </x:c>
      <x:c r="W619" s="136" t="inlineStr">
        <x:is>
          <x:t xml:space="preserve">Original-source passage</x:t>
        </x:is>
      </x:c>
      <x:c r="X619" s="136" t="inlineStr">
        <x:is>
          <x:t xml:space="preserve">A - Primary-source text located</x:t>
        </x:is>
      </x:c>
      <x:c r="Y619" s="136" t="inlineStr">
        <x:is>
          <x:t xml:space="preserve">Latin anchor collected from Seneca primary-text corpus; exact punctuation/orthography can vary by edition. Release requires passage-level recheck.</x:t>
        </x:is>
      </x:c>
      <x:c r="Z619" s="136" t="inlineStr">
        <x:is>
          <x:t xml:space="preserve">Ancient work public domain; digital transcription terms apply</x:t>
        </x:is>
      </x:c>
      <x:c r="AA619" s="136" t="inlineStr">
        <x:is>
          <x:t xml:space="preserve">Keep Latin original and use fresh Selflo Vietnamese working translation; do not copy a modern copyrighted translation.</x:t>
        </x:is>
      </x:c>
      <x:c r="AB619" s="136" t="inlineStr">
        <x:is>
          <x:t xml:space="preserve">Low</x:t>
        </x:is>
      </x:c>
      <x:c r="AC619" s="136" t="inlineStr">
        <x:is>
          <x:t xml:space="preserve">Collected for Day 9 coverage; editorial selection happens later.</x:t>
        </x:is>
      </x:c>
      <x:c r="AD619" s="136" t="inlineStr">
        <x:is>
          <x:t xml:space="preserve">Low–Medium</x:t>
        </x:is>
      </x:c>
      <x:c r="AE619" s="136" t="inlineStr">
        <x:is>
          <x:t xml:space="preserve">Needs semantic dedupe review</x:t>
        </x:is>
      </x:c>
      <x:c r="AF619" s="136" t="inlineStr">
        <x:is>
          <x:t xml:space="preserve"/>
        </x:is>
      </x:c>
      <x:c r="AG619" s="136" t="inlineStr">
        <x:is>
          <x:t xml:space="preserve"/>
        </x:is>
      </x:c>
      <x:c r="AH619" s="136" t="inlineStr">
        <x:is>
          <x:t xml:space="preserve">No</x:t>
        </x:is>
      </x:c>
      <x:c r="AI619" s="136" t="inlineStr">
        <x:is>
          <x:t xml:space="preserve">Not reviewed</x:t>
        </x:is>
      </x:c>
      <x:c r="AJ619" s="136" t="inlineStr">
        <x:is>
          <x:t xml:space="preserve">Research only</x:t>
        </x:is>
      </x:c>
      <x:c r="AK619" s="136" t="inlineStr">
        <x:is>
          <x:t xml:space="preserve">Research Pool</x:t>
        </x:is>
      </x:c>
      <x:c r="AL619" s="136" t="n">
        <x:v>9</x:v>
      </x:c>
      <x:c r="AM619" s="136" t="inlineStr">
        <x:is>
          <x:t xml:space="preserve">ChatGPT research</x:t>
        </x:is>
      </x:c>
      <x:c r="AN619" s="136" t="inlineStr">
        <x:is>
          <x:t xml:space="preserve">2026-09-18</x:t>
        </x:is>
      </x:c>
      <x:c r="AO619" s="136" t="inlineStr">
        <x:is>
          <x:t xml:space="preserve">Day 9 Seneca full-scope thematic screening; VI is Selflo working translation.</x:t>
        </x:is>
      </x:c>
      <x:c r="AP619" s="136" t="n"/>
      <x:c r="AQ619" s="136" t="n"/>
    </x:row>
    <x:row r="620">
      <x:c r="A620" s="136" t="inlineStr">
        <x:is>
          <x:t xml:space="preserve">research.seneca.day9.ep056</x:t>
        </x:is>
      </x:c>
      <x:c r="B620" s="136" t="inlineStr">
        <x:is>
          <x:t xml:space="preserve">Collected</x:t>
        </x:is>
      </x:c>
      <x:c r="C620" s="136" t="inlineStr">
        <x:is>
          <x:t xml:space="preserve">Nội tâm &amp; hiểu mình</x:t>
        </x:is>
      </x:c>
      <x:c r="D620" s="136" t="inlineStr">
        <x:is>
          <x:t xml:space="preserve">Day 9 / Seneca — Letters &amp; Essays</x:t>
        </x:is>
      </x:c>
      <x:c r="E620" s="136" t="inlineStr">
        <x:is>
          <x:t xml:space="preserve"/>
        </x:is>
      </x:c>
      <x:c r="F620" s="136" t="inlineStr">
        <x:is>
          <x:t xml:space="preserve">Nghỉ bên ngoài nhưng tâm trí chưa nghỉ</x:t>
        </x:is>
      </x:c>
      <x:c r="G620" s="136" t="inlineStr">
        <x:is>
          <x:t xml:space="preserve">Recovery</x:t>
        </x:is>
      </x:c>
      <x:c r="H620" s="136" t="inlineStr">
        <x:is>
          <x:t xml:space="preserve"/>
        </x:is>
      </x:c>
      <x:c r="I620" s="136" t="inlineStr">
        <x:is>
          <x:t xml:space="preserve"/>
        </x:is>
      </x:c>
      <x:c r="J620" s="136" t="inlineStr">
        <x:is>
          <x:t xml:space="preserve"/>
        </x:is>
      </x:c>
      <x:c r="K620" s="136" t="inlineStr">
        <x:is>
          <x:t xml:space="preserve">Recognize</x:t>
        </x:is>
      </x:c>
      <x:c r="L620" s="136" t="inlineStr">
        <x:is>
          <x:t xml:space="preserve"/>
        </x:is>
      </x:c>
      <x:c r="M620" s="136" t="inlineStr">
        <x:is>
          <x:t xml:space="preserve">Letter / philosophical reflection</x:t>
        </x:is>
      </x:c>
      <x:c r="N620" s="136" t="inlineStr">
        <x:is>
          <x:t xml:space="preserve">quid prodest totius regionis silentium, si adfectus fremunt?</x:t>
        </x:is>
      </x:c>
      <x:c r="O620" s="136" t="inlineStr">
        <x:is>
          <x:t xml:space="preserve">Latin</x:t>
        </x:is>
      </x:c>
      <x:c r="P620" s="136" t="inlineStr">
        <x:is>
          <x:t xml:space="preserve">Sự yên tĩnh bên ngoài có ích gì nếu bên trong vẫn ồn ào?</x:t>
        </x:is>
      </x:c>
      <x:c r="Q620" s="136" t="inlineStr">
        <x:is>
          <x:t xml:space="preserve">Lucius Annaeus Seneca</x:t>
        </x:is>
      </x:c>
      <x:c r="R620" s="136" t="inlineStr">
        <x:is>
          <x:t xml:space="preserve">Roman Stoic / Rome</x:t>
        </x:is>
      </x:c>
      <x:c r="S620" s="136" t="inlineStr">
        <x:is>
          <x:t xml:space="preserve">Epistulae Morales</x:t>
        </x:is>
      </x:c>
      <x:c r="T620" s="136" t="inlineStr">
        <x:is>
          <x:t xml:space="preserve">56.5</x:t>
        </x:is>
      </x:c>
      <x:c r="U620" s="136" t="inlineStr">
        <x:is>
          <x:t xml:space="preserve">https://la.wikisource.org/wiki/Epistulae_morales_ad_Lucilium</x:t>
        </x:is>
      </x:c>
      <x:c r="V620" s="136" t="inlineStr">
        <x:is>
          <x:t xml:space="preserve">Primary Latin text / reputable digital corpus</x:t>
        </x:is>
      </x:c>
      <x:c r="W620" s="136" t="inlineStr">
        <x:is>
          <x:t xml:space="preserve">Original-source passage</x:t>
        </x:is>
      </x:c>
      <x:c r="X620" s="136" t="inlineStr">
        <x:is>
          <x:t xml:space="preserve">A - Primary-source text located</x:t>
        </x:is>
      </x:c>
      <x:c r="Y620" s="136" t="inlineStr">
        <x:is>
          <x:t xml:space="preserve">Latin anchor collected from Seneca primary-text corpus; exact punctuation/orthography can vary by edition. Release requires passage-level recheck.</x:t>
        </x:is>
      </x:c>
      <x:c r="Z620" s="136" t="inlineStr">
        <x:is>
          <x:t xml:space="preserve">Ancient work public domain; digital transcription terms apply</x:t>
        </x:is>
      </x:c>
      <x:c r="AA620" s="136" t="inlineStr">
        <x:is>
          <x:t xml:space="preserve">Keep Latin original and use fresh Selflo Vietnamese working translation; do not copy a modern copyrighted translation.</x:t>
        </x:is>
      </x:c>
      <x:c r="AB620" s="136" t="inlineStr">
        <x:is>
          <x:t xml:space="preserve">High</x:t>
        </x:is>
      </x:c>
      <x:c r="AC620" s="136" t="inlineStr">
        <x:is>
          <x:t xml:space="preserve">Collected for Day 9 coverage; editorial selection happens later.</x:t>
        </x:is>
      </x:c>
      <x:c r="AD620" s="136" t="inlineStr">
        <x:is>
          <x:t xml:space="preserve">Low–Medium</x:t>
        </x:is>
      </x:c>
      <x:c r="AE620" s="136" t="inlineStr">
        <x:is>
          <x:t xml:space="preserve">Needs semantic dedupe review</x:t>
        </x:is>
      </x:c>
      <x:c r="AF620" s="136" t="inlineStr">
        <x:is>
          <x:t xml:space="preserve"/>
        </x:is>
      </x:c>
      <x:c r="AG620" s="136" t="inlineStr">
        <x:is>
          <x:t xml:space="preserve"/>
        </x:is>
      </x:c>
      <x:c r="AH620" s="136" t="inlineStr">
        <x:is>
          <x:t xml:space="preserve">No</x:t>
        </x:is>
      </x:c>
      <x:c r="AI620" s="136" t="inlineStr">
        <x:is>
          <x:t xml:space="preserve">Not reviewed</x:t>
        </x:is>
      </x:c>
      <x:c r="AJ620" s="136" t="inlineStr">
        <x:is>
          <x:t xml:space="preserve">Research only</x:t>
        </x:is>
      </x:c>
      <x:c r="AK620" s="136" t="inlineStr">
        <x:is>
          <x:t xml:space="preserve">Research Pool</x:t>
        </x:is>
      </x:c>
      <x:c r="AL620" s="136" t="n">
        <x:v>9</x:v>
      </x:c>
      <x:c r="AM620" s="136" t="inlineStr">
        <x:is>
          <x:t xml:space="preserve">ChatGPT research</x:t>
        </x:is>
      </x:c>
      <x:c r="AN620" s="136" t="inlineStr">
        <x:is>
          <x:t xml:space="preserve">2026-09-18</x:t>
        </x:is>
      </x:c>
      <x:c r="AO620" s="136" t="inlineStr">
        <x:is>
          <x:t xml:space="preserve">Day 9 Seneca full-scope thematic screening; VI is Selflo working translation.</x:t>
        </x:is>
      </x:c>
      <x:c r="AP620" s="136" t="n"/>
      <x:c r="AQ620" s="136" t="n"/>
    </x:row>
    <x:row r="621">
      <x:c r="A621" s="136" t="inlineStr">
        <x:is>
          <x:t xml:space="preserve">research.seneca.day9.ep061</x:t>
        </x:is>
      </x:c>
      <x:c r="B621" s="136" t="inlineStr">
        <x:is>
          <x:t xml:space="preserve">Collected</x:t>
        </x:is>
      </x:c>
      <x:c r="C621" s="136" t="inlineStr">
        <x:is>
          <x:t xml:space="preserve">Nội tâm &amp; hiểu mình</x:t>
        </x:is>
      </x:c>
      <x:c r="D621" s="136" t="inlineStr">
        <x:is>
          <x:t xml:space="preserve">Day 9 / Seneca — Letters &amp; Essays</x:t>
        </x:is>
      </x:c>
      <x:c r="E621" s="136" t="inlineStr">
        <x:is>
          <x:t xml:space="preserve"/>
        </x:is>
      </x:c>
      <x:c r="F621" s="136" t="inlineStr">
        <x:is>
          <x:t xml:space="preserve">Các giai đoạn của đời</x:t>
        </x:is>
      </x:c>
      <x:c r="G621" s="136" t="inlineStr">
        <x:is>
          <x:t xml:space="preserve">Mortality</x:t>
        </x:is>
      </x:c>
      <x:c r="H621" s="136" t="inlineStr">
        <x:is>
          <x:t xml:space="preserve"/>
        </x:is>
      </x:c>
      <x:c r="I621" s="136" t="inlineStr">
        <x:is>
          <x:t xml:space="preserve"/>
        </x:is>
      </x:c>
      <x:c r="J621" s="136" t="inlineStr">
        <x:is>
          <x:t xml:space="preserve"/>
        </x:is>
      </x:c>
      <x:c r="K621" s="136" t="inlineStr">
        <x:is>
          <x:t xml:space="preserve">Reframe</x:t>
        </x:is>
      </x:c>
      <x:c r="L621" s="136" t="inlineStr">
        <x:is>
          <x:t xml:space="preserve"/>
        </x:is>
      </x:c>
      <x:c r="M621" s="136" t="inlineStr">
        <x:is>
          <x:t xml:space="preserve">Letter / philosophical reflection</x:t>
        </x:is>
      </x:c>
      <x:c r="N621" s="136" t="inlineStr">
        <x:is>
          <x:t xml:space="preserve">Ante senectutem curavi ut bene viverem, in senectute ut bene moriar.</x:t>
        </x:is>
      </x:c>
      <x:c r="O621" s="136" t="inlineStr">
        <x:is>
          <x:t xml:space="preserve">Latin</x:t>
        </x:is>
      </x:c>
      <x:c r="P621" s="136" t="inlineStr">
        <x:is>
          <x:t xml:space="preserve">Trước tuổi già, tôi lo sống cho tốt; khi già, tôi học cách đi đến cuối đời cho tốt.</x:t>
        </x:is>
      </x:c>
      <x:c r="Q621" s="136" t="inlineStr">
        <x:is>
          <x:t xml:space="preserve">Lucius Annaeus Seneca</x:t>
        </x:is>
      </x:c>
      <x:c r="R621" s="136" t="inlineStr">
        <x:is>
          <x:t xml:space="preserve">Roman Stoic / Rome</x:t>
        </x:is>
      </x:c>
      <x:c r="S621" s="136" t="inlineStr">
        <x:is>
          <x:t xml:space="preserve">Epistulae Morales</x:t>
        </x:is>
      </x:c>
      <x:c r="T621" s="136" t="inlineStr">
        <x:is>
          <x:t xml:space="preserve">61.1</x:t>
        </x:is>
      </x:c>
      <x:c r="U621" s="136" t="inlineStr">
        <x:is>
          <x:t xml:space="preserve">https://la.wikisource.org/wiki/Epistulae_morales_ad_Lucilium</x:t>
        </x:is>
      </x:c>
      <x:c r="V621" s="136" t="inlineStr">
        <x:is>
          <x:t xml:space="preserve">Primary Latin text / reputable digital corpus</x:t>
        </x:is>
      </x:c>
      <x:c r="W621" s="136" t="inlineStr">
        <x:is>
          <x:t xml:space="preserve">Original-source passage</x:t>
        </x:is>
      </x:c>
      <x:c r="X621" s="136" t="inlineStr">
        <x:is>
          <x:t xml:space="preserve">A - Primary-source text located</x:t>
        </x:is>
      </x:c>
      <x:c r="Y621" s="136" t="inlineStr">
        <x:is>
          <x:t xml:space="preserve">Latin anchor collected from Seneca primary-text corpus; exact punctuation/orthography can vary by edition. Release requires passage-level recheck.</x:t>
        </x:is>
      </x:c>
      <x:c r="Z621" s="136" t="inlineStr">
        <x:is>
          <x:t xml:space="preserve">Ancient work public domain; digital transcription terms apply</x:t>
        </x:is>
      </x:c>
      <x:c r="AA621" s="136" t="inlineStr">
        <x:is>
          <x:t xml:space="preserve">Keep Latin original and use fresh Selflo Vietnamese working translation; do not copy a modern copyrighted translation.</x:t>
        </x:is>
      </x:c>
      <x:c r="AB621" s="136" t="inlineStr">
        <x:is>
          <x:t xml:space="preserve">Medium</x:t>
        </x:is>
      </x:c>
      <x:c r="AC621" s="136" t="inlineStr">
        <x:is>
          <x:t xml:space="preserve">Collected for Day 9 coverage; editorial selection happens later.</x:t>
        </x:is>
      </x:c>
      <x:c r="AD621" s="136" t="inlineStr">
        <x:is>
          <x:t xml:space="preserve">Medium</x:t>
        </x:is>
      </x:c>
      <x:c r="AE621" s="136" t="inlineStr">
        <x:is>
          <x:t xml:space="preserve">Needs semantic dedupe review</x:t>
        </x:is>
      </x:c>
      <x:c r="AF621" s="136" t="inlineStr">
        <x:is>
          <x:t xml:space="preserve"/>
        </x:is>
      </x:c>
      <x:c r="AG621" s="136" t="inlineStr">
        <x:is>
          <x:t xml:space="preserve"/>
        </x:is>
      </x:c>
      <x:c r="AH621" s="136" t="inlineStr">
        <x:is>
          <x:t xml:space="preserve">No</x:t>
        </x:is>
      </x:c>
      <x:c r="AI621" s="136" t="inlineStr">
        <x:is>
          <x:t xml:space="preserve">Not reviewed</x:t>
        </x:is>
      </x:c>
      <x:c r="AJ621" s="136" t="inlineStr">
        <x:is>
          <x:t xml:space="preserve">Research only</x:t>
        </x:is>
      </x:c>
      <x:c r="AK621" s="136" t="inlineStr">
        <x:is>
          <x:t xml:space="preserve">Research Pool</x:t>
        </x:is>
      </x:c>
      <x:c r="AL621" s="136" t="n">
        <x:v>9</x:v>
      </x:c>
      <x:c r="AM621" s="136" t="inlineStr">
        <x:is>
          <x:t xml:space="preserve">ChatGPT research</x:t>
        </x:is>
      </x:c>
      <x:c r="AN621" s="136" t="inlineStr">
        <x:is>
          <x:t xml:space="preserve">2026-09-18</x:t>
        </x:is>
      </x:c>
      <x:c r="AO621" s="136" t="inlineStr">
        <x:is>
          <x:t xml:space="preserve">Day 9 Seneca full-scope thematic screening; VI is Selflo working translation.</x:t>
        </x:is>
      </x:c>
      <x:c r="AP621" s="136" t="n"/>
      <x:c r="AQ621" s="136" t="n"/>
    </x:row>
    <x:row r="622">
      <x:c r="A622" s="136" t="inlineStr">
        <x:is>
          <x:t xml:space="preserve">research.seneca.day9.ep063</x:t>
        </x:is>
      </x:c>
      <x:c r="B622" s="136" t="inlineStr">
        <x:is>
          <x:t xml:space="preserve">Collected</x:t>
        </x:is>
      </x:c>
      <x:c r="C622" s="136" t="inlineStr">
        <x:is>
          <x:t xml:space="preserve">Nội tâm &amp; hiểu mình</x:t>
        </x:is>
      </x:c>
      <x:c r="D622" s="136" t="inlineStr">
        <x:is>
          <x:t xml:space="preserve">Day 9 / Seneca — Letters &amp; Essays</x:t>
        </x:is>
      </x:c>
      <x:c r="E622" s="136" t="inlineStr">
        <x:is>
          <x:t xml:space="preserve"/>
        </x:is>
      </x:c>
      <x:c r="F622" s="136" t="inlineStr">
        <x:is>
          <x:t xml:space="preserve">Đau buồn có nhịp riêng</x:t>
        </x:is>
      </x:c>
      <x:c r="G622" s="136" t="inlineStr">
        <x:is>
          <x:t xml:space="preserve">Grief</x:t>
        </x:is>
      </x:c>
      <x:c r="H622" s="136" t="inlineStr">
        <x:is>
          <x:t xml:space="preserve"/>
        </x:is>
      </x:c>
      <x:c r="I622" s="136" t="inlineStr">
        <x:is>
          <x:t xml:space="preserve"/>
        </x:is>
      </x:c>
      <x:c r="J622" s="136" t="inlineStr">
        <x:is>
          <x:t xml:space="preserve"/>
        </x:is>
      </x:c>
      <x:c r="K622" s="136" t="inlineStr">
        <x:is>
          <x:t xml:space="preserve">Permit</x:t>
        </x:is>
      </x:c>
      <x:c r="L622" s="136" t="inlineStr">
        <x:is>
          <x:t xml:space="preserve"/>
        </x:is>
      </x:c>
      <x:c r="M622" s="136" t="inlineStr">
        <x:is>
          <x:t xml:space="preserve">Letter / philosophical reflection</x:t>
        </x:is>
      </x:c>
      <x:c r="N622" s="136" t="inlineStr">
        <x:is>
          <x:t xml:space="preserve">non est quod ad lacrimas ... exigamus.</x:t>
        </x:is>
      </x:c>
      <x:c r="O622" s="136" t="inlineStr">
        <x:is>
          <x:t xml:space="preserve">Latin</x:t>
        </x:is>
      </x:c>
      <x:c r="P622" s="136" t="inlineStr">
        <x:is>
          <x:t xml:space="preserve">Không cần ép nỗi buồn phải tuân theo một khuôn duy nhất.</x:t>
        </x:is>
      </x:c>
      <x:c r="Q622" s="136" t="inlineStr">
        <x:is>
          <x:t xml:space="preserve">Lucius Annaeus Seneca</x:t>
        </x:is>
      </x:c>
      <x:c r="R622" s="136" t="inlineStr">
        <x:is>
          <x:t xml:space="preserve">Roman Stoic / Rome</x:t>
        </x:is>
      </x:c>
      <x:c r="S622" s="136" t="inlineStr">
        <x:is>
          <x:t xml:space="preserve">Epistulae Morales</x:t>
        </x:is>
      </x:c>
      <x:c r="T622" s="136" t="inlineStr">
        <x:is>
          <x:t xml:space="preserve">63.1</x:t>
        </x:is>
      </x:c>
      <x:c r="U622" s="136" t="inlineStr">
        <x:is>
          <x:t xml:space="preserve">https://la.wikisource.org/wiki/Epistulae_morales_ad_Lucilium</x:t>
        </x:is>
      </x:c>
      <x:c r="V622" s="136" t="inlineStr">
        <x:is>
          <x:t xml:space="preserve">Primary Latin text / reputable digital corpus</x:t>
        </x:is>
      </x:c>
      <x:c r="W622" s="136" t="inlineStr">
        <x:is>
          <x:t xml:space="preserve">Original-source passage</x:t>
        </x:is>
      </x:c>
      <x:c r="X622" s="136" t="inlineStr">
        <x:is>
          <x:t xml:space="preserve">A - Primary-source text located</x:t>
        </x:is>
      </x:c>
      <x:c r="Y622" s="136" t="inlineStr">
        <x:is>
          <x:t xml:space="preserve">Latin anchor collected from Seneca primary-text corpus; exact punctuation/orthography can vary by edition. Release requires passage-level recheck.</x:t>
        </x:is>
      </x:c>
      <x:c r="Z622" s="136" t="inlineStr">
        <x:is>
          <x:t xml:space="preserve">Ancient work public domain; digital transcription terms apply</x:t>
        </x:is>
      </x:c>
      <x:c r="AA622" s="136" t="inlineStr">
        <x:is>
          <x:t xml:space="preserve">Keep Latin original and use fresh Selflo Vietnamese working translation; do not copy a modern copyrighted translation.</x:t>
        </x:is>
      </x:c>
      <x:c r="AB622" s="136" t="inlineStr">
        <x:is>
          <x:t xml:space="preserve">High</x:t>
        </x:is>
      </x:c>
      <x:c r="AC622" s="136" t="inlineStr">
        <x:is>
          <x:t xml:space="preserve">Collected for Day 9 coverage; editorial selection happens later.</x:t>
        </x:is>
      </x:c>
      <x:c r="AD622" s="136" t="inlineStr">
        <x:is>
          <x:t xml:space="preserve">Low–Medium</x:t>
        </x:is>
      </x:c>
      <x:c r="AE622" s="136" t="inlineStr">
        <x:is>
          <x:t xml:space="preserve">Needs semantic dedupe review</x:t>
        </x:is>
      </x:c>
      <x:c r="AF622" s="136" t="inlineStr">
        <x:is>
          <x:t xml:space="preserve"/>
        </x:is>
      </x:c>
      <x:c r="AG622" s="136" t="inlineStr">
        <x:is>
          <x:t xml:space="preserve"/>
        </x:is>
      </x:c>
      <x:c r="AH622" s="136" t="inlineStr">
        <x:is>
          <x:t xml:space="preserve">No</x:t>
        </x:is>
      </x:c>
      <x:c r="AI622" s="136" t="inlineStr">
        <x:is>
          <x:t xml:space="preserve">Not reviewed</x:t>
        </x:is>
      </x:c>
      <x:c r="AJ622" s="136" t="inlineStr">
        <x:is>
          <x:t xml:space="preserve">Research only</x:t>
        </x:is>
      </x:c>
      <x:c r="AK622" s="136" t="inlineStr">
        <x:is>
          <x:t xml:space="preserve">Research Pool</x:t>
        </x:is>
      </x:c>
      <x:c r="AL622" s="136" t="n">
        <x:v>9</x:v>
      </x:c>
      <x:c r="AM622" s="136" t="inlineStr">
        <x:is>
          <x:t xml:space="preserve">ChatGPT research</x:t>
        </x:is>
      </x:c>
      <x:c r="AN622" s="136" t="inlineStr">
        <x:is>
          <x:t xml:space="preserve">2026-09-18</x:t>
        </x:is>
      </x:c>
      <x:c r="AO622" s="136" t="inlineStr">
        <x:is>
          <x:t xml:space="preserve">Day 9 Seneca full-scope thematic screening; VI is Selflo working translation.</x:t>
        </x:is>
      </x:c>
      <x:c r="AP622" s="136" t="n"/>
      <x:c r="AQ622" s="136" t="n"/>
    </x:row>
    <x:row r="623">
      <x:c r="A623" s="136" t="inlineStr">
        <x:is>
          <x:t xml:space="preserve">research.seneca.day9.ep071</x:t>
        </x:is>
      </x:c>
      <x:c r="B623" s="136" t="inlineStr">
        <x:is>
          <x:t xml:space="preserve">Collected</x:t>
        </x:is>
      </x:c>
      <x:c r="C623" s="136" t="inlineStr">
        <x:is>
          <x:t xml:space="preserve">Nội tâm &amp; hiểu mình</x:t>
        </x:is>
      </x:c>
      <x:c r="D623" s="136" t="inlineStr">
        <x:is>
          <x:t xml:space="preserve">Day 9 / Seneca — Letters &amp; Essays</x:t>
        </x:is>
      </x:c>
      <x:c r="E623" s="136" t="inlineStr">
        <x:is>
          <x:t xml:space="preserve"/>
        </x:is>
      </x:c>
      <x:c r="F623" s="136" t="inlineStr">
        <x:is>
          <x:t xml:space="preserve">Quyết định và bức tranh đời sống</x:t>
        </x:is>
      </x:c>
      <x:c r="G623" s="136" t="inlineStr">
        <x:is>
          <x:t xml:space="preserve">Values</x:t>
        </x:is>
      </x:c>
      <x:c r="H623" s="136" t="inlineStr">
        <x:is>
          <x:t xml:space="preserve"/>
        </x:is>
      </x:c>
      <x:c r="I623" s="136" t="inlineStr">
        <x:is>
          <x:t xml:space="preserve"/>
        </x:is>
      </x:c>
      <x:c r="J623" s="136" t="inlineStr">
        <x:is>
          <x:t xml:space="preserve"/>
        </x:is>
      </x:c>
      <x:c r="K623" s="136" t="inlineStr">
        <x:is>
          <x:t xml:space="preserve">Open question</x:t>
        </x:is>
      </x:c>
      <x:c r="L623" s="136" t="inlineStr">
        <x:is>
          <x:t xml:space="preserve"/>
        </x:is>
      </x:c>
      <x:c r="M623" s="136" t="inlineStr">
        <x:is>
          <x:t xml:space="preserve">Letter / philosophical reflection</x:t>
        </x:is>
      </x:c>
      <x:c r="N623" s="136" t="inlineStr">
        <x:is>
          <x:t xml:space="preserve">omnia consilia nostra ad totius vitae rationem dirigantur.</x:t>
        </x:is>
      </x:c>
      <x:c r="O623" s="136" t="inlineStr">
        <x:is>
          <x:t xml:space="preserve">Latin</x:t>
        </x:is>
      </x:c>
      <x:c r="P623" s="136" t="inlineStr">
        <x:is>
          <x:t xml:space="preserve">Mỗi quyết định nên được nhìn trong tương quan với toàn bộ đời sống.</x:t>
        </x:is>
      </x:c>
      <x:c r="Q623" s="136" t="inlineStr">
        <x:is>
          <x:t xml:space="preserve">Lucius Annaeus Seneca</x:t>
        </x:is>
      </x:c>
      <x:c r="R623" s="136" t="inlineStr">
        <x:is>
          <x:t xml:space="preserve">Roman Stoic / Rome</x:t>
        </x:is>
      </x:c>
      <x:c r="S623" s="136" t="inlineStr">
        <x:is>
          <x:t xml:space="preserve">Epistulae Morales</x:t>
        </x:is>
      </x:c>
      <x:c r="T623" s="136" t="inlineStr">
        <x:is>
          <x:t xml:space="preserve">71.3</x:t>
        </x:is>
      </x:c>
      <x:c r="U623" s="136" t="inlineStr">
        <x:is>
          <x:t xml:space="preserve">https://la.wikisource.org/wiki/Epistulae_morales_ad_Lucilium</x:t>
        </x:is>
      </x:c>
      <x:c r="V623" s="136" t="inlineStr">
        <x:is>
          <x:t xml:space="preserve">Primary Latin text / reputable digital corpus</x:t>
        </x:is>
      </x:c>
      <x:c r="W623" s="136" t="inlineStr">
        <x:is>
          <x:t xml:space="preserve">Original-source passage</x:t>
        </x:is>
      </x:c>
      <x:c r="X623" s="136" t="inlineStr">
        <x:is>
          <x:t xml:space="preserve">A - Primary-source text located</x:t>
        </x:is>
      </x:c>
      <x:c r="Y623" s="136" t="inlineStr">
        <x:is>
          <x:t xml:space="preserve">Latin anchor collected from Seneca primary-text corpus; exact punctuation/orthography can vary by edition. Release requires passage-level recheck.</x:t>
        </x:is>
      </x:c>
      <x:c r="Z623" s="136" t="inlineStr">
        <x:is>
          <x:t xml:space="preserve">Ancient work public domain; digital transcription terms apply</x:t>
        </x:is>
      </x:c>
      <x:c r="AA623" s="136" t="inlineStr">
        <x:is>
          <x:t xml:space="preserve">Keep Latin original and use fresh Selflo Vietnamese working translation; do not copy a modern copyrighted translation.</x:t>
        </x:is>
      </x:c>
      <x:c r="AB623" s="136" t="inlineStr">
        <x:is>
          <x:t xml:space="preserve">High</x:t>
        </x:is>
      </x:c>
      <x:c r="AC623" s="136" t="inlineStr">
        <x:is>
          <x:t xml:space="preserve">Collected for Day 9 coverage; editorial selection happens later.</x:t>
        </x:is>
      </x:c>
      <x:c r="AD623" s="136" t="inlineStr">
        <x:is>
          <x:t xml:space="preserve">Low–Medium</x:t>
        </x:is>
      </x:c>
      <x:c r="AE623" s="136" t="inlineStr">
        <x:is>
          <x:t xml:space="preserve">Needs semantic dedupe review</x:t>
        </x:is>
      </x:c>
      <x:c r="AF623" s="136" t="inlineStr">
        <x:is>
          <x:t xml:space="preserve"/>
        </x:is>
      </x:c>
      <x:c r="AG623" s="136" t="inlineStr">
        <x:is>
          <x:t xml:space="preserve"/>
        </x:is>
      </x:c>
      <x:c r="AH623" s="136" t="inlineStr">
        <x:is>
          <x:t xml:space="preserve">No</x:t>
        </x:is>
      </x:c>
      <x:c r="AI623" s="136" t="inlineStr">
        <x:is>
          <x:t xml:space="preserve">Not reviewed</x:t>
        </x:is>
      </x:c>
      <x:c r="AJ623" s="136" t="inlineStr">
        <x:is>
          <x:t xml:space="preserve">Research only</x:t>
        </x:is>
      </x:c>
      <x:c r="AK623" s="136" t="inlineStr">
        <x:is>
          <x:t xml:space="preserve">Research Pool</x:t>
        </x:is>
      </x:c>
      <x:c r="AL623" s="136" t="n">
        <x:v>9</x:v>
      </x:c>
      <x:c r="AM623" s="136" t="inlineStr">
        <x:is>
          <x:t xml:space="preserve">ChatGPT research</x:t>
        </x:is>
      </x:c>
      <x:c r="AN623" s="136" t="inlineStr">
        <x:is>
          <x:t xml:space="preserve">2026-09-18</x:t>
        </x:is>
      </x:c>
      <x:c r="AO623" s="136" t="inlineStr">
        <x:is>
          <x:t xml:space="preserve">Day 9 Seneca full-scope thematic screening; VI is Selflo working translation.</x:t>
        </x:is>
      </x:c>
      <x:c r="AP623" s="136" t="n"/>
      <x:c r="AQ623" s="136" t="n"/>
    </x:row>
    <x:row r="624">
      <x:c r="A624" s="136" t="inlineStr">
        <x:is>
          <x:t xml:space="preserve">research.seneca.day9.ep078</x:t>
        </x:is>
      </x:c>
      <x:c r="B624" s="136" t="inlineStr">
        <x:is>
          <x:t xml:space="preserve">Collected</x:t>
        </x:is>
      </x:c>
      <x:c r="C624" s="136" t="inlineStr">
        <x:is>
          <x:t xml:space="preserve">Nội tâm &amp; hiểu mình</x:t>
        </x:is>
      </x:c>
      <x:c r="D624" s="136" t="inlineStr">
        <x:is>
          <x:t xml:space="preserve">Day 9 / Seneca — Letters &amp; Essays</x:t>
        </x:is>
      </x:c>
      <x:c r="E624" s="136" t="inlineStr">
        <x:is>
          <x:t xml:space="preserve"/>
        </x:is>
      </x:c>
      <x:c r="F624" s="136" t="inlineStr">
        <x:is>
          <x:t xml:space="preserve">Đau và diễn giải</x:t>
        </x:is>
      </x:c>
      <x:c r="G624" s="136" t="inlineStr">
        <x:is>
          <x:t xml:space="preserve">Judgment</x:t>
        </x:is>
      </x:c>
      <x:c r="H624" s="136" t="inlineStr">
        <x:is>
          <x:t xml:space="preserve"/>
        </x:is>
      </x:c>
      <x:c r="I624" s="136" t="inlineStr">
        <x:is>
          <x:t xml:space="preserve"/>
        </x:is>
      </x:c>
      <x:c r="J624" s="136" t="inlineStr">
        <x:is>
          <x:t xml:space="preserve"/>
        </x:is>
      </x:c>
      <x:c r="K624" s="136" t="inlineStr">
        <x:is>
          <x:t xml:space="preserve">Distinguish</x:t>
        </x:is>
      </x:c>
      <x:c r="L624" s="136" t="inlineStr">
        <x:is>
          <x:t xml:space="preserve"/>
        </x:is>
      </x:c>
      <x:c r="M624" s="136" t="inlineStr">
        <x:is>
          <x:t xml:space="preserve">Letter / philosophical reflection</x:t>
        </x:is>
      </x:c>
      <x:c r="N624" s="136" t="inlineStr">
        <x:is>
          <x:t xml:space="preserve">levis est dolor si nihil illi opinio adiecerit.</x:t>
        </x:is>
      </x:c>
      <x:c r="O624" s="136" t="inlineStr">
        <x:is>
          <x:t xml:space="preserve">Latin</x:t>
        </x:is>
      </x:c>
      <x:c r="P624" s="136" t="inlineStr">
        <x:is>
          <x:t xml:space="preserve">Nỗi đau có thể nặng thêm bởi điều tâm trí tiếp tục đặt lên nó.</x:t>
        </x:is>
      </x:c>
      <x:c r="Q624" s="136" t="inlineStr">
        <x:is>
          <x:t xml:space="preserve">Lucius Annaeus Seneca</x:t>
        </x:is>
      </x:c>
      <x:c r="R624" s="136" t="inlineStr">
        <x:is>
          <x:t xml:space="preserve">Roman Stoic / Rome</x:t>
        </x:is>
      </x:c>
      <x:c r="S624" s="136" t="inlineStr">
        <x:is>
          <x:t xml:space="preserve">Epistulae Morales</x:t>
        </x:is>
      </x:c>
      <x:c r="T624" s="136" t="inlineStr">
        <x:is>
          <x:t xml:space="preserve">78.14</x:t>
        </x:is>
      </x:c>
      <x:c r="U624" s="136" t="inlineStr">
        <x:is>
          <x:t xml:space="preserve">https://la.wikisource.org/wiki/Epistulae_morales_ad_Lucilium</x:t>
        </x:is>
      </x:c>
      <x:c r="V624" s="136" t="inlineStr">
        <x:is>
          <x:t xml:space="preserve">Primary Latin text / reputable digital corpus</x:t>
        </x:is>
      </x:c>
      <x:c r="W624" s="136" t="inlineStr">
        <x:is>
          <x:t xml:space="preserve">Original-source passage</x:t>
        </x:is>
      </x:c>
      <x:c r="X624" s="136" t="inlineStr">
        <x:is>
          <x:t xml:space="preserve">A - Primary-source text located</x:t>
        </x:is>
      </x:c>
      <x:c r="Y624" s="136" t="inlineStr">
        <x:is>
          <x:t xml:space="preserve">Latin anchor collected from Seneca primary-text corpus; exact punctuation/orthography can vary by edition. Release requires passage-level recheck.</x:t>
        </x:is>
      </x:c>
      <x:c r="Z624" s="136" t="inlineStr">
        <x:is>
          <x:t xml:space="preserve">Ancient work public domain; digital transcription terms apply</x:t>
        </x:is>
      </x:c>
      <x:c r="AA624" s="136" t="inlineStr">
        <x:is>
          <x:t xml:space="preserve">Keep Latin original and use fresh Selflo Vietnamese working translation; do not copy a modern copyrighted translation.</x:t>
        </x:is>
      </x:c>
      <x:c r="AB624" s="136" t="inlineStr">
        <x:is>
          <x:t xml:space="preserve">Medium</x:t>
        </x:is>
      </x:c>
      <x:c r="AC624" s="136" t="inlineStr">
        <x:is>
          <x:t xml:space="preserve">Collected for Day 9 coverage; editorial selection happens later.</x:t>
        </x:is>
      </x:c>
      <x:c r="AD624" s="136" t="inlineStr">
        <x:is>
          <x:t xml:space="preserve">Medium</x:t>
        </x:is>
      </x:c>
      <x:c r="AE624" s="136" t="inlineStr">
        <x:is>
          <x:t xml:space="preserve">Needs semantic dedupe review</x:t>
        </x:is>
      </x:c>
      <x:c r="AF624" s="136" t="inlineStr">
        <x:is>
          <x:t xml:space="preserve"/>
        </x:is>
      </x:c>
      <x:c r="AG624" s="136" t="inlineStr">
        <x:is>
          <x:t xml:space="preserve"/>
        </x:is>
      </x:c>
      <x:c r="AH624" s="136" t="inlineStr">
        <x:is>
          <x:t xml:space="preserve">No</x:t>
        </x:is>
      </x:c>
      <x:c r="AI624" s="136" t="inlineStr">
        <x:is>
          <x:t xml:space="preserve">Not reviewed</x:t>
        </x:is>
      </x:c>
      <x:c r="AJ624" s="136" t="inlineStr">
        <x:is>
          <x:t xml:space="preserve">Research only</x:t>
        </x:is>
      </x:c>
      <x:c r="AK624" s="136" t="inlineStr">
        <x:is>
          <x:t xml:space="preserve">Research Pool</x:t>
        </x:is>
      </x:c>
      <x:c r="AL624" s="136" t="n">
        <x:v>9</x:v>
      </x:c>
      <x:c r="AM624" s="136" t="inlineStr">
        <x:is>
          <x:t xml:space="preserve">ChatGPT research</x:t>
        </x:is>
      </x:c>
      <x:c r="AN624" s="136" t="inlineStr">
        <x:is>
          <x:t xml:space="preserve">2026-09-18</x:t>
        </x:is>
      </x:c>
      <x:c r="AO624" s="136" t="inlineStr">
        <x:is>
          <x:t xml:space="preserve">Day 9 Seneca full-scope thematic screening; VI is Selflo working translation.</x:t>
        </x:is>
      </x:c>
      <x:c r="AP624" s="136" t="n"/>
      <x:c r="AQ624" s="136" t="n"/>
    </x:row>
    <x:row r="625">
      <x:c r="A625" s="136" t="inlineStr">
        <x:is>
          <x:t xml:space="preserve">research.seneca.day9.ep083</x:t>
        </x:is>
      </x:c>
      <x:c r="B625" s="136" t="inlineStr">
        <x:is>
          <x:t xml:space="preserve">Collected</x:t>
        </x:is>
      </x:c>
      <x:c r="C625" s="136" t="inlineStr">
        <x:is>
          <x:t xml:space="preserve">Nội tâm &amp; hiểu mình</x:t>
        </x:is>
      </x:c>
      <x:c r="D625" s="136" t="inlineStr">
        <x:is>
          <x:t xml:space="preserve">Day 9 / Seneca — Letters &amp; Essays</x:t>
        </x:is>
      </x:c>
      <x:c r="E625" s="136" t="inlineStr">
        <x:is>
          <x:t xml:space="preserve"/>
        </x:is>
      </x:c>
      <x:c r="F625" s="136" t="inlineStr">
        <x:is>
          <x:t xml:space="preserve">Nhất quán khi không ai nhìn</x:t>
        </x:is>
      </x:c>
      <x:c r="G625" s="136" t="inlineStr">
        <x:is>
          <x:t xml:space="preserve">Integrity</x:t>
        </x:is>
      </x:c>
      <x:c r="H625" s="136" t="inlineStr">
        <x:is>
          <x:t xml:space="preserve"/>
        </x:is>
      </x:c>
      <x:c r="I625" s="136" t="inlineStr">
        <x:is>
          <x:t xml:space="preserve"/>
        </x:is>
      </x:c>
      <x:c r="J625" s="136" t="inlineStr">
        <x:is>
          <x:t xml:space="preserve"/>
        </x:is>
      </x:c>
      <x:c r="K625" s="136" t="inlineStr">
        <x:is>
          <x:t xml:space="preserve">Reframe</x:t>
        </x:is>
      </x:c>
      <x:c r="L625" s="136" t="inlineStr">
        <x:is>
          <x:t xml:space="preserve"/>
        </x:is>
      </x:c>
      <x:c r="M625" s="136" t="inlineStr">
        <x:is>
          <x:t xml:space="preserve">Letter / philosophical reflection</x:t>
        </x:is>
      </x:c>
      <x:c r="N625" s="136" t="inlineStr">
        <x:is>
          <x:t xml:space="preserve">Sic vive cum hominibus tamquam deus videat; sic loquere cum deo tamquam homines audiant.</x:t>
        </x:is>
      </x:c>
      <x:c r="O625" s="136" t="inlineStr">
        <x:is>
          <x:t xml:space="preserve">Latin</x:t>
        </x:is>
      </x:c>
      <x:c r="P625" s="136" t="inlineStr">
        <x:is>
          <x:t xml:space="preserve">Hãy sống giữa người khác như thể điều kín đáo vẫn có người thấy; và nói điều sâu kín như thể nó vẫn chịu trách nhiệm trước con người.</x:t>
        </x:is>
      </x:c>
      <x:c r="Q625" s="136" t="inlineStr">
        <x:is>
          <x:t xml:space="preserve">Lucius Annaeus Seneca</x:t>
        </x:is>
      </x:c>
      <x:c r="R625" s="136" t="inlineStr">
        <x:is>
          <x:t xml:space="preserve">Roman Stoic / Rome</x:t>
        </x:is>
      </x:c>
      <x:c r="S625" s="136" t="inlineStr">
        <x:is>
          <x:t xml:space="preserve">Epistulae Morales</x:t>
        </x:is>
      </x:c>
      <x:c r="T625" s="136" t="inlineStr">
        <x:is>
          <x:t xml:space="preserve">83.1</x:t>
        </x:is>
      </x:c>
      <x:c r="U625" s="136" t="inlineStr">
        <x:is>
          <x:t xml:space="preserve">https://la.wikisource.org/wiki/Epistulae_morales_ad_Lucilium</x:t>
        </x:is>
      </x:c>
      <x:c r="V625" s="136" t="inlineStr">
        <x:is>
          <x:t xml:space="preserve">Primary Latin text / reputable digital corpus</x:t>
        </x:is>
      </x:c>
      <x:c r="W625" s="136" t="inlineStr">
        <x:is>
          <x:t xml:space="preserve">Original-source passage</x:t>
        </x:is>
      </x:c>
      <x:c r="X625" s="136" t="inlineStr">
        <x:is>
          <x:t xml:space="preserve">A - Primary-source text located</x:t>
        </x:is>
      </x:c>
      <x:c r="Y625" s="136" t="inlineStr">
        <x:is>
          <x:t xml:space="preserve">Latin anchor collected from Seneca primary-text corpus; exact punctuation/orthography can vary by edition. Release requires passage-level recheck.</x:t>
        </x:is>
      </x:c>
      <x:c r="Z625" s="136" t="inlineStr">
        <x:is>
          <x:t xml:space="preserve">Ancient work public domain; digital transcription terms apply</x:t>
        </x:is>
      </x:c>
      <x:c r="AA625" s="136" t="inlineStr">
        <x:is>
          <x:t xml:space="preserve">Keep Latin original and use fresh Selflo Vietnamese working translation; do not copy a modern copyrighted translation.</x:t>
        </x:is>
      </x:c>
      <x:c r="AB625" s="136" t="inlineStr">
        <x:is>
          <x:t xml:space="preserve">Medium</x:t>
        </x:is>
      </x:c>
      <x:c r="AC625" s="136" t="inlineStr">
        <x:is>
          <x:t xml:space="preserve">Collected for Day 9 coverage; editorial selection happens later.</x:t>
        </x:is>
      </x:c>
      <x:c r="AD625" s="136" t="inlineStr">
        <x:is>
          <x:t xml:space="preserve">Medium</x:t>
        </x:is>
      </x:c>
      <x:c r="AE625" s="136" t="inlineStr">
        <x:is>
          <x:t xml:space="preserve">Needs semantic dedupe review</x:t>
        </x:is>
      </x:c>
      <x:c r="AF625" s="136" t="inlineStr">
        <x:is>
          <x:t xml:space="preserve"/>
        </x:is>
      </x:c>
      <x:c r="AG625" s="136" t="inlineStr">
        <x:is>
          <x:t xml:space="preserve"/>
        </x:is>
      </x:c>
      <x:c r="AH625" s="136" t="inlineStr">
        <x:is>
          <x:t xml:space="preserve">No</x:t>
        </x:is>
      </x:c>
      <x:c r="AI625" s="136" t="inlineStr">
        <x:is>
          <x:t xml:space="preserve">Not reviewed</x:t>
        </x:is>
      </x:c>
      <x:c r="AJ625" s="136" t="inlineStr">
        <x:is>
          <x:t xml:space="preserve">Research only</x:t>
        </x:is>
      </x:c>
      <x:c r="AK625" s="136" t="inlineStr">
        <x:is>
          <x:t xml:space="preserve">Research Pool</x:t>
        </x:is>
      </x:c>
      <x:c r="AL625" s="136" t="n">
        <x:v>9</x:v>
      </x:c>
      <x:c r="AM625" s="136" t="inlineStr">
        <x:is>
          <x:t xml:space="preserve">ChatGPT research</x:t>
        </x:is>
      </x:c>
      <x:c r="AN625" s="136" t="inlineStr">
        <x:is>
          <x:t xml:space="preserve">2026-09-18</x:t>
        </x:is>
      </x:c>
      <x:c r="AO625" s="136" t="inlineStr">
        <x:is>
          <x:t xml:space="preserve">Day 9 Seneca full-scope thematic screening; VI is Selflo working translation.</x:t>
        </x:is>
      </x:c>
      <x:c r="AP625" s="136" t="n"/>
      <x:c r="AQ625" s="136" t="n"/>
    </x:row>
    <x:row r="626">
      <x:c r="A626" s="136" t="inlineStr">
        <x:is>
          <x:t xml:space="preserve">research.seneca.day9.ep090</x:t>
        </x:is>
      </x:c>
      <x:c r="B626" s="136" t="inlineStr">
        <x:is>
          <x:t xml:space="preserve">Collected</x:t>
        </x:is>
      </x:c>
      <x:c r="C626" s="136" t="inlineStr">
        <x:is>
          <x:t xml:space="preserve">Nội tâm &amp; hiểu mình</x:t>
        </x:is>
      </x:c>
      <x:c r="D626" s="136" t="inlineStr">
        <x:is>
          <x:t xml:space="preserve">Day 9 / Seneca — Letters &amp; Essays</x:t>
        </x:is>
      </x:c>
      <x:c r="E626" s="136" t="inlineStr">
        <x:is>
          <x:t xml:space="preserve"/>
        </x:is>
      </x:c>
      <x:c r="F626" s="136" t="inlineStr">
        <x:is>
          <x:t xml:space="preserve">Triết lý và thực hành</x:t>
        </x:is>
      </x:c>
      <x:c r="G626" s="136" t="inlineStr">
        <x:is>
          <x:t xml:space="preserve">Values</x:t>
        </x:is>
      </x:c>
      <x:c r="H626" s="136" t="inlineStr">
        <x:is>
          <x:t xml:space="preserve"/>
        </x:is>
      </x:c>
      <x:c r="I626" s="136" t="inlineStr">
        <x:is>
          <x:t xml:space="preserve"/>
        </x:is>
      </x:c>
      <x:c r="J626" s="136" t="inlineStr">
        <x:is>
          <x:t xml:space="preserve"/>
        </x:is>
      </x:c>
      <x:c r="K626" s="136" t="inlineStr">
        <x:is>
          <x:t xml:space="preserve">Return agency</x:t>
        </x:is>
      </x:c>
      <x:c r="L626" s="136" t="inlineStr">
        <x:is>
          <x:t xml:space="preserve"/>
        </x:is>
      </x:c>
      <x:c r="M626" s="136" t="inlineStr">
        <x:is>
          <x:t xml:space="preserve">Letter / philosophical reflection</x:t>
        </x:is>
      </x:c>
      <x:c r="N626" s="136" t="inlineStr">
        <x:is>
          <x:t xml:space="preserve">philosophiae ... vita, non verba, opus est.</x:t>
        </x:is>
      </x:c>
      <x:c r="O626" s="136" t="inlineStr">
        <x:is>
          <x:t xml:space="preserve">Latin</x:t>
        </x:is>
      </x:c>
      <x:c r="P626" s="136" t="inlineStr">
        <x:is>
          <x:t xml:space="preserve">Triết học cần đời sống, không chỉ lời nói.</x:t>
        </x:is>
      </x:c>
      <x:c r="Q626" s="136" t="inlineStr">
        <x:is>
          <x:t xml:space="preserve">Lucius Annaeus Seneca</x:t>
        </x:is>
      </x:c>
      <x:c r="R626" s="136" t="inlineStr">
        <x:is>
          <x:t xml:space="preserve">Roman Stoic / Rome</x:t>
        </x:is>
      </x:c>
      <x:c r="S626" s="136" t="inlineStr">
        <x:is>
          <x:t xml:space="preserve">Epistulae Morales</x:t>
        </x:is>
      </x:c>
      <x:c r="T626" s="136" t="inlineStr">
        <x:is>
          <x:t xml:space="preserve">90.1</x:t>
        </x:is>
      </x:c>
      <x:c r="U626" s="136" t="inlineStr">
        <x:is>
          <x:t xml:space="preserve">https://la.wikisource.org/wiki/Epistulae_morales_ad_Lucilium</x:t>
        </x:is>
      </x:c>
      <x:c r="V626" s="136" t="inlineStr">
        <x:is>
          <x:t xml:space="preserve">Primary Latin text / reputable digital corpus</x:t>
        </x:is>
      </x:c>
      <x:c r="W626" s="136" t="inlineStr">
        <x:is>
          <x:t xml:space="preserve">Original-source passage</x:t>
        </x:is>
      </x:c>
      <x:c r="X626" s="136" t="inlineStr">
        <x:is>
          <x:t xml:space="preserve">A - Primary-source text located</x:t>
        </x:is>
      </x:c>
      <x:c r="Y626" s="136" t="inlineStr">
        <x:is>
          <x:t xml:space="preserve">Latin anchor collected from Seneca primary-text corpus; exact punctuation/orthography can vary by edition. Release requires passage-level recheck.</x:t>
        </x:is>
      </x:c>
      <x:c r="Z626" s="136" t="inlineStr">
        <x:is>
          <x:t xml:space="preserve">Ancient work public domain; digital transcription terms apply</x:t>
        </x:is>
      </x:c>
      <x:c r="AA626" s="136" t="inlineStr">
        <x:is>
          <x:t xml:space="preserve">Keep Latin original and use fresh Selflo Vietnamese working translation; do not copy a modern copyrighted translation.</x:t>
        </x:is>
      </x:c>
      <x:c r="AB626" s="136" t="inlineStr">
        <x:is>
          <x:t xml:space="preserve">High</x:t>
        </x:is>
      </x:c>
      <x:c r="AC626" s="136" t="inlineStr">
        <x:is>
          <x:t xml:space="preserve">Collected for Day 9 coverage; editorial selection happens later.</x:t>
        </x:is>
      </x:c>
      <x:c r="AD626" s="136" t="inlineStr">
        <x:is>
          <x:t xml:space="preserve">Low–Medium</x:t>
        </x:is>
      </x:c>
      <x:c r="AE626" s="136" t="inlineStr">
        <x:is>
          <x:t xml:space="preserve">Needs semantic dedupe review</x:t>
        </x:is>
      </x:c>
      <x:c r="AF626" s="136" t="inlineStr">
        <x:is>
          <x:t xml:space="preserve"/>
        </x:is>
      </x:c>
      <x:c r="AG626" s="136" t="inlineStr">
        <x:is>
          <x:t xml:space="preserve"/>
        </x:is>
      </x:c>
      <x:c r="AH626" s="136" t="inlineStr">
        <x:is>
          <x:t xml:space="preserve">No</x:t>
        </x:is>
      </x:c>
      <x:c r="AI626" s="136" t="inlineStr">
        <x:is>
          <x:t xml:space="preserve">Not reviewed</x:t>
        </x:is>
      </x:c>
      <x:c r="AJ626" s="136" t="inlineStr">
        <x:is>
          <x:t xml:space="preserve">Research only</x:t>
        </x:is>
      </x:c>
      <x:c r="AK626" s="136" t="inlineStr">
        <x:is>
          <x:t xml:space="preserve">Research Pool</x:t>
        </x:is>
      </x:c>
      <x:c r="AL626" s="136" t="n">
        <x:v>9</x:v>
      </x:c>
      <x:c r="AM626" s="136" t="inlineStr">
        <x:is>
          <x:t xml:space="preserve">ChatGPT research</x:t>
        </x:is>
      </x:c>
      <x:c r="AN626" s="136" t="inlineStr">
        <x:is>
          <x:t xml:space="preserve">2026-09-18</x:t>
        </x:is>
      </x:c>
      <x:c r="AO626" s="136" t="inlineStr">
        <x:is>
          <x:t xml:space="preserve">Day 9 Seneca full-scope thematic screening; VI is Selflo working translation.</x:t>
        </x:is>
      </x:c>
      <x:c r="AP626" s="136" t="n"/>
      <x:c r="AQ626" s="136" t="n"/>
    </x:row>
    <x:row r="627">
      <x:c r="A627" s="136" t="inlineStr">
        <x:is>
          <x:t xml:space="preserve">research.seneca.day9.ep094</x:t>
        </x:is>
      </x:c>
      <x:c r="B627" s="136" t="inlineStr">
        <x:is>
          <x:t xml:space="preserve">Collected</x:t>
        </x:is>
      </x:c>
      <x:c r="C627" s="136" t="inlineStr">
        <x:is>
          <x:t xml:space="preserve">Nội tâm &amp; hiểu mình</x:t>
        </x:is>
      </x:c>
      <x:c r="D627" s="136" t="inlineStr">
        <x:is>
          <x:t xml:space="preserve">Day 9 / Seneca — Letters &amp; Essays</x:t>
        </x:is>
      </x:c>
      <x:c r="E627" s="136" t="inlineStr">
        <x:is>
          <x:t xml:space="preserve"/>
        </x:is>
      </x:c>
      <x:c r="F627" s="136" t="inlineStr">
        <x:is>
          <x:t xml:space="preserve">Biết chưa đủ</x:t>
        </x:is>
      </x:c>
      <x:c r="G627" s="136" t="inlineStr">
        <x:is>
          <x:t xml:space="preserve">Learning</x:t>
        </x:is>
      </x:c>
      <x:c r="H627" s="136" t="inlineStr">
        <x:is>
          <x:t xml:space="preserve"/>
        </x:is>
      </x:c>
      <x:c r="I627" s="136" t="inlineStr">
        <x:is>
          <x:t xml:space="preserve"/>
        </x:is>
      </x:c>
      <x:c r="J627" s="136" t="inlineStr">
        <x:is>
          <x:t xml:space="preserve"/>
        </x:is>
      </x:c>
      <x:c r="K627" s="136" t="inlineStr">
        <x:is>
          <x:t xml:space="preserve">Distinguish</x:t>
        </x:is>
      </x:c>
      <x:c r="L627" s="136" t="inlineStr">
        <x:is>
          <x:t xml:space="preserve"/>
        </x:is>
      </x:c>
      <x:c r="M627" s="136" t="inlineStr">
        <x:is>
          <x:t xml:space="preserve">Letter / philosophical reflection</x:t>
        </x:is>
      </x:c>
      <x:c r="N627" s="136" t="inlineStr">
        <x:is>
          <x:t xml:space="preserve">pars virtutis disciplina constat, pars exercitatione.</x:t>
        </x:is>
      </x:c>
      <x:c r="O627" s="136" t="inlineStr">
        <x:is>
          <x:t xml:space="preserve">Latin</x:t>
        </x:is>
      </x:c>
      <x:c r="P627" s="136" t="inlineStr">
        <x:is>
          <x:t xml:space="preserve">Một phần phẩm chất đến từ học, một phần từ luyện tập.</x:t>
        </x:is>
      </x:c>
      <x:c r="Q627" s="136" t="inlineStr">
        <x:is>
          <x:t xml:space="preserve">Lucius Annaeus Seneca</x:t>
        </x:is>
      </x:c>
      <x:c r="R627" s="136" t="inlineStr">
        <x:is>
          <x:t xml:space="preserve">Roman Stoic / Rome</x:t>
        </x:is>
      </x:c>
      <x:c r="S627" s="136" t="inlineStr">
        <x:is>
          <x:t xml:space="preserve">Epistulae Morales</x:t>
        </x:is>
      </x:c>
      <x:c r="T627" s="136" t="inlineStr">
        <x:is>
          <x:t xml:space="preserve">94.46</x:t>
        </x:is>
      </x:c>
      <x:c r="U627" s="136" t="inlineStr">
        <x:is>
          <x:t xml:space="preserve">https://la.wikisource.org/wiki/Epistulae_morales_ad_Lucilium</x:t>
        </x:is>
      </x:c>
      <x:c r="V627" s="136" t="inlineStr">
        <x:is>
          <x:t xml:space="preserve">Primary Latin text / reputable digital corpus</x:t>
        </x:is>
      </x:c>
      <x:c r="W627" s="136" t="inlineStr">
        <x:is>
          <x:t xml:space="preserve">Original-source passage</x:t>
        </x:is>
      </x:c>
      <x:c r="X627" s="136" t="inlineStr">
        <x:is>
          <x:t xml:space="preserve">A - Primary-source text located</x:t>
        </x:is>
      </x:c>
      <x:c r="Y627" s="136" t="inlineStr">
        <x:is>
          <x:t xml:space="preserve">Latin anchor collected from Seneca primary-text corpus; exact punctuation/orthography can vary by edition. Release requires passage-level recheck.</x:t>
        </x:is>
      </x:c>
      <x:c r="Z627" s="136" t="inlineStr">
        <x:is>
          <x:t xml:space="preserve">Ancient work public domain; digital transcription terms apply</x:t>
        </x:is>
      </x:c>
      <x:c r="AA627" s="136" t="inlineStr">
        <x:is>
          <x:t xml:space="preserve">Keep Latin original and use fresh Selflo Vietnamese working translation; do not copy a modern copyrighted translation.</x:t>
        </x:is>
      </x:c>
      <x:c r="AB627" s="136" t="inlineStr">
        <x:is>
          <x:t xml:space="preserve">High</x:t>
        </x:is>
      </x:c>
      <x:c r="AC627" s="136" t="inlineStr">
        <x:is>
          <x:t xml:space="preserve">Collected for Day 9 coverage; editorial selection happens later.</x:t>
        </x:is>
      </x:c>
      <x:c r="AD627" s="136" t="inlineStr">
        <x:is>
          <x:t xml:space="preserve">Low–Medium</x:t>
        </x:is>
      </x:c>
      <x:c r="AE627" s="136" t="inlineStr">
        <x:is>
          <x:t xml:space="preserve">Needs semantic dedupe review</x:t>
        </x:is>
      </x:c>
      <x:c r="AF627" s="136" t="inlineStr">
        <x:is>
          <x:t xml:space="preserve"/>
        </x:is>
      </x:c>
      <x:c r="AG627" s="136" t="inlineStr">
        <x:is>
          <x:t xml:space="preserve"/>
        </x:is>
      </x:c>
      <x:c r="AH627" s="136" t="inlineStr">
        <x:is>
          <x:t xml:space="preserve">No</x:t>
        </x:is>
      </x:c>
      <x:c r="AI627" s="136" t="inlineStr">
        <x:is>
          <x:t xml:space="preserve">Not reviewed</x:t>
        </x:is>
      </x:c>
      <x:c r="AJ627" s="136" t="inlineStr">
        <x:is>
          <x:t xml:space="preserve">Research only</x:t>
        </x:is>
      </x:c>
      <x:c r="AK627" s="136" t="inlineStr">
        <x:is>
          <x:t xml:space="preserve">Research Pool</x:t>
        </x:is>
      </x:c>
      <x:c r="AL627" s="136" t="n">
        <x:v>9</x:v>
      </x:c>
      <x:c r="AM627" s="136" t="inlineStr">
        <x:is>
          <x:t xml:space="preserve">ChatGPT research</x:t>
        </x:is>
      </x:c>
      <x:c r="AN627" s="136" t="inlineStr">
        <x:is>
          <x:t xml:space="preserve">2026-09-18</x:t>
        </x:is>
      </x:c>
      <x:c r="AO627" s="136" t="inlineStr">
        <x:is>
          <x:t xml:space="preserve">Day 9 Seneca full-scope thematic screening; VI is Selflo working translation.</x:t>
        </x:is>
      </x:c>
      <x:c r="AP627" s="136" t="n"/>
      <x:c r="AQ627" s="136" t="n"/>
    </x:row>
    <x:row r="628">
      <x:c r="A628" s="136" t="inlineStr">
        <x:is>
          <x:t xml:space="preserve">research.seneca.day9.ep104</x:t>
        </x:is>
      </x:c>
      <x:c r="B628" s="136" t="inlineStr">
        <x:is>
          <x:t xml:space="preserve">Collected</x:t>
        </x:is>
      </x:c>
      <x:c r="C628" s="136" t="inlineStr">
        <x:is>
          <x:t xml:space="preserve">Nội tâm &amp; hiểu mình</x:t>
        </x:is>
      </x:c>
      <x:c r="D628" s="136" t="inlineStr">
        <x:is>
          <x:t xml:space="preserve">Day 9 / Seneca — Letters &amp; Essays</x:t>
        </x:is>
      </x:c>
      <x:c r="E628" s="136" t="inlineStr">
        <x:is>
          <x:t xml:space="preserve"/>
        </x:is>
      </x:c>
      <x:c r="F628" s="136" t="inlineStr">
        <x:is>
          <x:t xml:space="preserve">Đổi môi trường và đổi cách sống</x:t>
        </x:is>
      </x:c>
      <x:c r="G628" s="136" t="inlineStr">
        <x:is>
          <x:t xml:space="preserve">Self-understanding</x:t>
        </x:is>
      </x:c>
      <x:c r="H628" s="136" t="inlineStr">
        <x:is>
          <x:t xml:space="preserve"/>
        </x:is>
      </x:c>
      <x:c r="I628" s="136" t="inlineStr">
        <x:is>
          <x:t xml:space="preserve"/>
        </x:is>
      </x:c>
      <x:c r="J628" s="136" t="inlineStr">
        <x:is>
          <x:t xml:space="preserve"/>
        </x:is>
      </x:c>
      <x:c r="K628" s="136" t="inlineStr">
        <x:is>
          <x:t xml:space="preserve">Reframe</x:t>
        </x:is>
      </x:c>
      <x:c r="L628" s="136" t="inlineStr">
        <x:is>
          <x:t xml:space="preserve"/>
        </x:is>
      </x:c>
      <x:c r="M628" s="136" t="inlineStr">
        <x:is>
          <x:t xml:space="preserve">Letter / philosophical reflection</x:t>
        </x:is>
      </x:c>
      <x:c r="N628" s="136" t="inlineStr">
        <x:is>
          <x:t xml:space="preserve">te ipse mutare debes, non caelum.</x:t>
        </x:is>
      </x:c>
      <x:c r="O628" s="136" t="inlineStr">
        <x:is>
          <x:t xml:space="preserve">Latin</x:t>
        </x:is>
      </x:c>
      <x:c r="P628" s="136" t="inlineStr">
        <x:is>
          <x:t xml:space="preserve">Điều cần đổi có khi là chính mình, không phải bầu trời.</x:t>
        </x:is>
      </x:c>
      <x:c r="Q628" s="136" t="inlineStr">
        <x:is>
          <x:t xml:space="preserve">Lucius Annaeus Seneca</x:t>
        </x:is>
      </x:c>
      <x:c r="R628" s="136" t="inlineStr">
        <x:is>
          <x:t xml:space="preserve">Roman Stoic / Rome</x:t>
        </x:is>
      </x:c>
      <x:c r="S628" s="136" t="inlineStr">
        <x:is>
          <x:t xml:space="preserve">Epistulae Morales</x:t>
        </x:is>
      </x:c>
      <x:c r="T628" s="136" t="inlineStr">
        <x:is>
          <x:t xml:space="preserve">104.8</x:t>
        </x:is>
      </x:c>
      <x:c r="U628" s="136" t="inlineStr">
        <x:is>
          <x:t xml:space="preserve">https://la.wikisource.org/wiki/Epistulae_morales_ad_Lucilium</x:t>
        </x:is>
      </x:c>
      <x:c r="V628" s="136" t="inlineStr">
        <x:is>
          <x:t xml:space="preserve">Primary Latin text / reputable digital corpus</x:t>
        </x:is>
      </x:c>
      <x:c r="W628" s="136" t="inlineStr">
        <x:is>
          <x:t xml:space="preserve">Original-source passage</x:t>
        </x:is>
      </x:c>
      <x:c r="X628" s="136" t="inlineStr">
        <x:is>
          <x:t xml:space="preserve">A - Primary-source text located</x:t>
        </x:is>
      </x:c>
      <x:c r="Y628" s="136" t="inlineStr">
        <x:is>
          <x:t xml:space="preserve">Latin anchor collected from Seneca primary-text corpus; exact punctuation/orthography can vary by edition. Release requires passage-level recheck.</x:t>
        </x:is>
      </x:c>
      <x:c r="Z628" s="136" t="inlineStr">
        <x:is>
          <x:t xml:space="preserve">Ancient work public domain; digital transcription terms apply</x:t>
        </x:is>
      </x:c>
      <x:c r="AA628" s="136" t="inlineStr">
        <x:is>
          <x:t xml:space="preserve">Keep Latin original and use fresh Selflo Vietnamese working translation; do not copy a modern copyrighted translation.</x:t>
        </x:is>
      </x:c>
      <x:c r="AB628" s="136" t="inlineStr">
        <x:is>
          <x:t xml:space="preserve">High</x:t>
        </x:is>
      </x:c>
      <x:c r="AC628" s="136" t="inlineStr">
        <x:is>
          <x:t xml:space="preserve">Collected for Day 9 coverage; editorial selection happens later.</x:t>
        </x:is>
      </x:c>
      <x:c r="AD628" s="136" t="inlineStr">
        <x:is>
          <x:t xml:space="preserve">Low–Medium</x:t>
        </x:is>
      </x:c>
      <x:c r="AE628" s="136" t="inlineStr">
        <x:is>
          <x:t xml:space="preserve">Needs semantic dedupe review</x:t>
        </x:is>
      </x:c>
      <x:c r="AF628" s="136" t="inlineStr">
        <x:is>
          <x:t xml:space="preserve"/>
        </x:is>
      </x:c>
      <x:c r="AG628" s="136" t="inlineStr">
        <x:is>
          <x:t xml:space="preserve"/>
        </x:is>
      </x:c>
      <x:c r="AH628" s="136" t="inlineStr">
        <x:is>
          <x:t xml:space="preserve">No</x:t>
        </x:is>
      </x:c>
      <x:c r="AI628" s="136" t="inlineStr">
        <x:is>
          <x:t xml:space="preserve">Not reviewed</x:t>
        </x:is>
      </x:c>
      <x:c r="AJ628" s="136" t="inlineStr">
        <x:is>
          <x:t xml:space="preserve">Research only</x:t>
        </x:is>
      </x:c>
      <x:c r="AK628" s="136" t="inlineStr">
        <x:is>
          <x:t xml:space="preserve">Research Pool</x:t>
        </x:is>
      </x:c>
      <x:c r="AL628" s="136" t="n">
        <x:v>9</x:v>
      </x:c>
      <x:c r="AM628" s="136" t="inlineStr">
        <x:is>
          <x:t xml:space="preserve">ChatGPT research</x:t>
        </x:is>
      </x:c>
      <x:c r="AN628" s="136" t="inlineStr">
        <x:is>
          <x:t xml:space="preserve">2026-09-18</x:t>
        </x:is>
      </x:c>
      <x:c r="AO628" s="136" t="inlineStr">
        <x:is>
          <x:t xml:space="preserve">Day 9 Seneca full-scope thematic screening; VI is Selflo working translation.</x:t>
        </x:is>
      </x:c>
      <x:c r="AP628" s="136" t="n"/>
      <x:c r="AQ628" s="136" t="n"/>
    </x:row>
    <x:row r="629">
      <x:c r="A629" s="136" t="inlineStr">
        <x:is>
          <x:t xml:space="preserve">research.seneca.day9.ep106</x:t>
        </x:is>
      </x:c>
      <x:c r="B629" s="136" t="inlineStr">
        <x:is>
          <x:t xml:space="preserve">Collected</x:t>
        </x:is>
      </x:c>
      <x:c r="C629" s="136" t="inlineStr">
        <x:is>
          <x:t xml:space="preserve">Nội tâm &amp; hiểu mình</x:t>
        </x:is>
      </x:c>
      <x:c r="D629" s="136" t="inlineStr">
        <x:is>
          <x:t xml:space="preserve">Day 9 / Seneca — Letters &amp; Essays</x:t>
        </x:is>
      </x:c>
      <x:c r="E629" s="136" t="inlineStr">
        <x:is>
          <x:t xml:space="preserve"/>
        </x:is>
      </x:c>
      <x:c r="F629" s="136" t="inlineStr">
        <x:is>
          <x:t xml:space="preserve">Kiến thức tách khỏi đời sống</x:t>
        </x:is>
      </x:c>
      <x:c r="G629" s="136" t="inlineStr">
        <x:is>
          <x:t xml:space="preserve">Learning</x:t>
        </x:is>
      </x:c>
      <x:c r="H629" s="136" t="inlineStr">
        <x:is>
          <x:t xml:space="preserve"/>
        </x:is>
      </x:c>
      <x:c r="I629" s="136" t="inlineStr">
        <x:is>
          <x:t xml:space="preserve"/>
        </x:is>
      </x:c>
      <x:c r="J629" s="136" t="inlineStr">
        <x:is>
          <x:t xml:space="preserve"/>
        </x:is>
      </x:c>
      <x:c r="K629" s="136" t="inlineStr">
        <x:is>
          <x:t xml:space="preserve">Recognize</x:t>
        </x:is>
      </x:c>
      <x:c r="L629" s="136" t="inlineStr">
        <x:is>
          <x:t xml:space="preserve"/>
        </x:is>
      </x:c>
      <x:c r="M629" s="136" t="inlineStr">
        <x:is>
          <x:t xml:space="preserve">Letter / philosophical reflection</x:t>
        </x:is>
      </x:c>
      <x:c r="N629" s="136" t="inlineStr">
        <x:is>
          <x:t xml:space="preserve">non vitae sed scholae discimus.</x:t>
        </x:is>
      </x:c>
      <x:c r="O629" s="136" t="inlineStr">
        <x:is>
          <x:t xml:space="preserve">Latin</x:t>
        </x:is>
      </x:c>
      <x:c r="P629" s="136" t="inlineStr">
        <x:is>
          <x:t xml:space="preserve">Ta học cho trường lớp, không phải cho đời sống.</x:t>
        </x:is>
      </x:c>
      <x:c r="Q629" s="136" t="inlineStr">
        <x:is>
          <x:t xml:space="preserve">Lucius Annaeus Seneca</x:t>
        </x:is>
      </x:c>
      <x:c r="R629" s="136" t="inlineStr">
        <x:is>
          <x:t xml:space="preserve">Roman Stoic / Rome</x:t>
        </x:is>
      </x:c>
      <x:c r="S629" s="136" t="inlineStr">
        <x:is>
          <x:t xml:space="preserve">Epistulae Morales</x:t>
        </x:is>
      </x:c>
      <x:c r="T629" s="136" t="inlineStr">
        <x:is>
          <x:t xml:space="preserve">106.12</x:t>
        </x:is>
      </x:c>
      <x:c r="U629" s="136" t="inlineStr">
        <x:is>
          <x:t xml:space="preserve">https://la.wikisource.org/wiki/Epistulae_morales_ad_Lucilium</x:t>
        </x:is>
      </x:c>
      <x:c r="V629" s="136" t="inlineStr">
        <x:is>
          <x:t xml:space="preserve">Primary Latin text / reputable digital corpus</x:t>
        </x:is>
      </x:c>
      <x:c r="W629" s="136" t="inlineStr">
        <x:is>
          <x:t xml:space="preserve">Original-source passage</x:t>
        </x:is>
      </x:c>
      <x:c r="X629" s="136" t="inlineStr">
        <x:is>
          <x:t xml:space="preserve">A - Primary-source text located</x:t>
        </x:is>
      </x:c>
      <x:c r="Y629" s="136" t="inlineStr">
        <x:is>
          <x:t xml:space="preserve">Latin anchor collected from Seneca primary-text corpus; exact punctuation/orthography can vary by edition. Release requires passage-level recheck.</x:t>
        </x:is>
      </x:c>
      <x:c r="Z629" s="136" t="inlineStr">
        <x:is>
          <x:t xml:space="preserve">Ancient work public domain; digital transcription terms apply</x:t>
        </x:is>
      </x:c>
      <x:c r="AA629" s="136" t="inlineStr">
        <x:is>
          <x:t xml:space="preserve">Keep Latin original and use fresh Selflo Vietnamese working translation; do not copy a modern copyrighted translation.</x:t>
        </x:is>
      </x:c>
      <x:c r="AB629" s="136" t="inlineStr">
        <x:is>
          <x:t xml:space="preserve">High</x:t>
        </x:is>
      </x:c>
      <x:c r="AC629" s="136" t="inlineStr">
        <x:is>
          <x:t xml:space="preserve">Collected for Day 9 coverage; editorial selection happens later.</x:t>
        </x:is>
      </x:c>
      <x:c r="AD629" s="136" t="inlineStr">
        <x:is>
          <x:t xml:space="preserve">Low–Medium</x:t>
        </x:is>
      </x:c>
      <x:c r="AE629" s="136" t="inlineStr">
        <x:is>
          <x:t xml:space="preserve">Needs semantic dedupe review</x:t>
        </x:is>
      </x:c>
      <x:c r="AF629" s="136" t="inlineStr">
        <x:is>
          <x:t xml:space="preserve"/>
        </x:is>
      </x:c>
      <x:c r="AG629" s="136" t="inlineStr">
        <x:is>
          <x:t xml:space="preserve"/>
        </x:is>
      </x:c>
      <x:c r="AH629" s="136" t="inlineStr">
        <x:is>
          <x:t xml:space="preserve">No</x:t>
        </x:is>
      </x:c>
      <x:c r="AI629" s="136" t="inlineStr">
        <x:is>
          <x:t xml:space="preserve">Not reviewed</x:t>
        </x:is>
      </x:c>
      <x:c r="AJ629" s="136" t="inlineStr">
        <x:is>
          <x:t xml:space="preserve">Research only</x:t>
        </x:is>
      </x:c>
      <x:c r="AK629" s="136" t="inlineStr">
        <x:is>
          <x:t xml:space="preserve">Research Pool</x:t>
        </x:is>
      </x:c>
      <x:c r="AL629" s="136" t="n">
        <x:v>9</x:v>
      </x:c>
      <x:c r="AM629" s="136" t="inlineStr">
        <x:is>
          <x:t xml:space="preserve">ChatGPT research</x:t>
        </x:is>
      </x:c>
      <x:c r="AN629" s="136" t="inlineStr">
        <x:is>
          <x:t xml:space="preserve">2026-09-18</x:t>
        </x:is>
      </x:c>
      <x:c r="AO629" s="136" t="inlineStr">
        <x:is>
          <x:t xml:space="preserve">Day 9 Seneca full-scope thematic screening; VI is Selflo working translation.</x:t>
        </x:is>
      </x:c>
      <x:c r="AP629" s="136" t="n"/>
      <x:c r="AQ629" s="136" t="n"/>
    </x:row>
    <x:row r="630">
      <x:c r="A630" s="136" t="inlineStr">
        <x:is>
          <x:t xml:space="preserve">research.seneca.day9.ep108</x:t>
        </x:is>
      </x:c>
      <x:c r="B630" s="136" t="inlineStr">
        <x:is>
          <x:t xml:space="preserve">Collected</x:t>
        </x:is>
      </x:c>
      <x:c r="C630" s="136" t="inlineStr">
        <x:is>
          <x:t xml:space="preserve">Nội tâm &amp; hiểu mình</x:t>
        </x:is>
      </x:c>
      <x:c r="D630" s="136" t="inlineStr">
        <x:is>
          <x:t xml:space="preserve">Day 9 / Seneca — Letters &amp; Essays</x:t>
        </x:is>
      </x:c>
      <x:c r="E630" s="136" t="inlineStr">
        <x:is>
          <x:t xml:space="preserve"/>
        </x:is>
      </x:c>
      <x:c r="F630" s="136" t="inlineStr">
        <x:is>
          <x:t xml:space="preserve">Tiếp nhận không đồng nghĩa hiểu giống nhau</x:t>
        </x:is>
      </x:c>
      <x:c r="G630" s="136" t="inlineStr">
        <x:is>
          <x:t xml:space="preserve">Interpretation</x:t>
        </x:is>
      </x:c>
      <x:c r="H630" s="136" t="inlineStr">
        <x:is>
          <x:t xml:space="preserve"/>
        </x:is>
      </x:c>
      <x:c r="I630" s="136" t="inlineStr">
        <x:is>
          <x:t xml:space="preserve"/>
        </x:is>
      </x:c>
      <x:c r="J630" s="136" t="inlineStr">
        <x:is>
          <x:t xml:space="preserve"/>
        </x:is>
      </x:c>
      <x:c r="K630" s="136" t="inlineStr">
        <x:is>
          <x:t xml:space="preserve">Distinguish</x:t>
        </x:is>
      </x:c>
      <x:c r="L630" s="136" t="inlineStr">
        <x:is>
          <x:t xml:space="preserve"/>
        </x:is>
      </x:c>
      <x:c r="M630" s="136" t="inlineStr">
        <x:is>
          <x:t xml:space="preserve">Letter / philosophical reflection</x:t>
        </x:is>
      </x:c>
      <x:c r="N630" s="136" t="inlineStr">
        <x:is>
          <x:t xml:space="preserve">aliud propositum est audienti quam philosopho.</x:t>
        </x:is>
      </x:c>
      <x:c r="O630" s="136" t="inlineStr">
        <x:is>
          <x:t xml:space="preserve">Latin</x:t>
        </x:is>
      </x:c>
      <x:c r="P630" s="136" t="inlineStr">
        <x:is>
          <x:t xml:space="preserve">Người nghe có thể tìm một điều khác với điều người làm triết học muốn trao.</x:t>
        </x:is>
      </x:c>
      <x:c r="Q630" s="136" t="inlineStr">
        <x:is>
          <x:t xml:space="preserve">Lucius Annaeus Seneca</x:t>
        </x:is>
      </x:c>
      <x:c r="R630" s="136" t="inlineStr">
        <x:is>
          <x:t xml:space="preserve">Roman Stoic / Rome</x:t>
        </x:is>
      </x:c>
      <x:c r="S630" s="136" t="inlineStr">
        <x:is>
          <x:t xml:space="preserve">Epistulae Morales</x:t>
        </x:is>
      </x:c>
      <x:c r="T630" s="136" t="inlineStr">
        <x:is>
          <x:t xml:space="preserve">108.35</x:t>
        </x:is>
      </x:c>
      <x:c r="U630" s="136" t="inlineStr">
        <x:is>
          <x:t xml:space="preserve">https://la.wikisource.org/wiki/Epistulae_morales_ad_Lucilium</x:t>
        </x:is>
      </x:c>
      <x:c r="V630" s="136" t="inlineStr">
        <x:is>
          <x:t xml:space="preserve">Primary Latin text / reputable digital corpus</x:t>
        </x:is>
      </x:c>
      <x:c r="W630" s="136" t="inlineStr">
        <x:is>
          <x:t xml:space="preserve">Original-source passage</x:t>
        </x:is>
      </x:c>
      <x:c r="X630" s="136" t="inlineStr">
        <x:is>
          <x:t xml:space="preserve">A - Primary-source text located</x:t>
        </x:is>
      </x:c>
      <x:c r="Y630" s="136" t="inlineStr">
        <x:is>
          <x:t xml:space="preserve">Latin anchor collected from Seneca primary-text corpus; exact punctuation/orthography can vary by edition. Release requires passage-level recheck.</x:t>
        </x:is>
      </x:c>
      <x:c r="Z630" s="136" t="inlineStr">
        <x:is>
          <x:t xml:space="preserve">Ancient work public domain; digital transcription terms apply</x:t>
        </x:is>
      </x:c>
      <x:c r="AA630" s="136" t="inlineStr">
        <x:is>
          <x:t xml:space="preserve">Keep Latin original and use fresh Selflo Vietnamese working translation; do not copy a modern copyrighted translation.</x:t>
        </x:is>
      </x:c>
      <x:c r="AB630" s="136" t="inlineStr">
        <x:is>
          <x:t xml:space="preserve">High</x:t>
        </x:is>
      </x:c>
      <x:c r="AC630" s="136" t="inlineStr">
        <x:is>
          <x:t xml:space="preserve">Collected for Day 9 coverage; editorial selection happens later.</x:t>
        </x:is>
      </x:c>
      <x:c r="AD630" s="136" t="inlineStr">
        <x:is>
          <x:t xml:space="preserve">Low–Medium</x:t>
        </x:is>
      </x:c>
      <x:c r="AE630" s="136" t="inlineStr">
        <x:is>
          <x:t xml:space="preserve">Needs semantic dedupe review</x:t>
        </x:is>
      </x:c>
      <x:c r="AF630" s="136" t="inlineStr">
        <x:is>
          <x:t xml:space="preserve"/>
        </x:is>
      </x:c>
      <x:c r="AG630" s="136" t="inlineStr">
        <x:is>
          <x:t xml:space="preserve"/>
        </x:is>
      </x:c>
      <x:c r="AH630" s="136" t="inlineStr">
        <x:is>
          <x:t xml:space="preserve">No</x:t>
        </x:is>
      </x:c>
      <x:c r="AI630" s="136" t="inlineStr">
        <x:is>
          <x:t xml:space="preserve">Not reviewed</x:t>
        </x:is>
      </x:c>
      <x:c r="AJ630" s="136" t="inlineStr">
        <x:is>
          <x:t xml:space="preserve">Research only</x:t>
        </x:is>
      </x:c>
      <x:c r="AK630" s="136" t="inlineStr">
        <x:is>
          <x:t xml:space="preserve">Research Pool</x:t>
        </x:is>
      </x:c>
      <x:c r="AL630" s="136" t="n">
        <x:v>9</x:v>
      </x:c>
      <x:c r="AM630" s="136" t="inlineStr">
        <x:is>
          <x:t xml:space="preserve">ChatGPT research</x:t>
        </x:is>
      </x:c>
      <x:c r="AN630" s="136" t="inlineStr">
        <x:is>
          <x:t xml:space="preserve">2026-09-18</x:t>
        </x:is>
      </x:c>
      <x:c r="AO630" s="136" t="inlineStr">
        <x:is>
          <x:t xml:space="preserve">Day 9 Seneca full-scope thematic screening; VI is Selflo working translation.</x:t>
        </x:is>
      </x:c>
      <x:c r="AP630" s="136" t="n"/>
      <x:c r="AQ630" s="136" t="n"/>
    </x:row>
    <x:row r="631">
      <x:c r="A631" s="136" t="inlineStr">
        <x:is>
          <x:t xml:space="preserve">research.seneca.day9.ep118</x:t>
        </x:is>
      </x:c>
      <x:c r="B631" s="136" t="inlineStr">
        <x:is>
          <x:t xml:space="preserve">Collected</x:t>
        </x:is>
      </x:c>
      <x:c r="C631" s="136" t="inlineStr">
        <x:is>
          <x:t xml:space="preserve">Nội tâm &amp; hiểu mình</x:t>
        </x:is>
      </x:c>
      <x:c r="D631" s="136" t="inlineStr">
        <x:is>
          <x:t xml:space="preserve">Day 9 / Seneca — Letters &amp; Essays</x:t>
        </x:is>
      </x:c>
      <x:c r="E631" s="136" t="inlineStr">
        <x:is>
          <x:t xml:space="preserve"/>
        </x:is>
      </x:c>
      <x:c r="F631" s="136" t="inlineStr">
        <x:is>
          <x:t xml:space="preserve">Quan sát đời sống</x:t>
        </x:is>
      </x:c>
      <x:c r="G631" s="136" t="inlineStr">
        <x:is>
          <x:t xml:space="preserve">Reflection</x:t>
        </x:is>
      </x:c>
      <x:c r="H631" s="136" t="inlineStr">
        <x:is>
          <x:t xml:space="preserve"/>
        </x:is>
      </x:c>
      <x:c r="I631" s="136" t="inlineStr">
        <x:is>
          <x:t xml:space="preserve"/>
        </x:is>
      </x:c>
      <x:c r="J631" s="136" t="inlineStr">
        <x:is>
          <x:t xml:space="preserve"/>
        </x:is>
      </x:c>
      <x:c r="K631" s="136" t="inlineStr">
        <x:is>
          <x:t xml:space="preserve">Recognize</x:t>
        </x:is>
      </x:c>
      <x:c r="L631" s="136" t="inlineStr">
        <x:is>
          <x:t xml:space="preserve"/>
        </x:is>
      </x:c>
      <x:c r="M631" s="136" t="inlineStr">
        <x:is>
          <x:t xml:space="preserve">Letter / philosophical reflection</x:t>
        </x:is>
      </x:c>
      <x:c r="N631" s="136" t="inlineStr">
        <x:is>
          <x:t xml:space="preserve">Numquam potest deesse quod scribam.</x:t>
        </x:is>
      </x:c>
      <x:c r="O631" s="136" t="inlineStr">
        <x:is>
          <x:t xml:space="preserve">Latin</x:t>
        </x:is>
      </x:c>
      <x:c r="P631" s="136" t="inlineStr">
        <x:is>
          <x:t xml:space="preserve">Không bao giờ thiếu điều để viết nếu biết nhìn vào đời sống đang diễn ra.</x:t>
        </x:is>
      </x:c>
      <x:c r="Q631" s="136" t="inlineStr">
        <x:is>
          <x:t xml:space="preserve">Lucius Annaeus Seneca</x:t>
        </x:is>
      </x:c>
      <x:c r="R631" s="136" t="inlineStr">
        <x:is>
          <x:t xml:space="preserve">Roman Stoic / Rome</x:t>
        </x:is>
      </x:c>
      <x:c r="S631" s="136" t="inlineStr">
        <x:is>
          <x:t xml:space="preserve">Epistulae Morales</x:t>
        </x:is>
      </x:c>
      <x:c r="T631" s="136" t="inlineStr">
        <x:is>
          <x:t xml:space="preserve">118.1</x:t>
        </x:is>
      </x:c>
      <x:c r="U631" s="136" t="inlineStr">
        <x:is>
          <x:t xml:space="preserve">https://la.wikisource.org/wiki/Epistulae_morales_ad_Lucilium</x:t>
        </x:is>
      </x:c>
      <x:c r="V631" s="136" t="inlineStr">
        <x:is>
          <x:t xml:space="preserve">Primary Latin text / reputable digital corpus</x:t>
        </x:is>
      </x:c>
      <x:c r="W631" s="136" t="inlineStr">
        <x:is>
          <x:t xml:space="preserve">Original-source passage</x:t>
        </x:is>
      </x:c>
      <x:c r="X631" s="136" t="inlineStr">
        <x:is>
          <x:t xml:space="preserve">A - Primary-source text located</x:t>
        </x:is>
      </x:c>
      <x:c r="Y631" s="136" t="inlineStr">
        <x:is>
          <x:t xml:space="preserve">Latin anchor collected from Seneca primary-text corpus; exact punctuation/orthography can vary by edition. Release requires passage-level recheck.</x:t>
        </x:is>
      </x:c>
      <x:c r="Z631" s="136" t="inlineStr">
        <x:is>
          <x:t xml:space="preserve">Ancient work public domain; digital transcription terms apply</x:t>
        </x:is>
      </x:c>
      <x:c r="AA631" s="136" t="inlineStr">
        <x:is>
          <x:t xml:space="preserve">Keep Latin original and use fresh Selflo Vietnamese working translation; do not copy a modern copyrighted translation.</x:t>
        </x:is>
      </x:c>
      <x:c r="AB631" s="136" t="inlineStr">
        <x:is>
          <x:t xml:space="preserve">Medium</x:t>
        </x:is>
      </x:c>
      <x:c r="AC631" s="136" t="inlineStr">
        <x:is>
          <x:t xml:space="preserve">Collected for Day 9 coverage; editorial selection happens later.</x:t>
        </x:is>
      </x:c>
      <x:c r="AD631" s="136" t="inlineStr">
        <x:is>
          <x:t xml:space="preserve">Medium</x:t>
        </x:is>
      </x:c>
      <x:c r="AE631" s="136" t="inlineStr">
        <x:is>
          <x:t xml:space="preserve">Needs semantic dedupe review</x:t>
        </x:is>
      </x:c>
      <x:c r="AF631" s="136" t="inlineStr">
        <x:is>
          <x:t xml:space="preserve"/>
        </x:is>
      </x:c>
      <x:c r="AG631" s="136" t="inlineStr">
        <x:is>
          <x:t xml:space="preserve"/>
        </x:is>
      </x:c>
      <x:c r="AH631" s="136" t="inlineStr">
        <x:is>
          <x:t xml:space="preserve">No</x:t>
        </x:is>
      </x:c>
      <x:c r="AI631" s="136" t="inlineStr">
        <x:is>
          <x:t xml:space="preserve">Not reviewed</x:t>
        </x:is>
      </x:c>
      <x:c r="AJ631" s="136" t="inlineStr">
        <x:is>
          <x:t xml:space="preserve">Research only</x:t>
        </x:is>
      </x:c>
      <x:c r="AK631" s="136" t="inlineStr">
        <x:is>
          <x:t xml:space="preserve">Research Pool</x:t>
        </x:is>
      </x:c>
      <x:c r="AL631" s="136" t="n">
        <x:v>9</x:v>
      </x:c>
      <x:c r="AM631" s="136" t="inlineStr">
        <x:is>
          <x:t xml:space="preserve">ChatGPT research</x:t>
        </x:is>
      </x:c>
      <x:c r="AN631" s="136" t="inlineStr">
        <x:is>
          <x:t xml:space="preserve">2026-09-18</x:t>
        </x:is>
      </x:c>
      <x:c r="AO631" s="136" t="inlineStr">
        <x:is>
          <x:t xml:space="preserve">Day 9 Seneca full-scope thematic screening; VI is Selflo working translation.</x:t>
        </x:is>
      </x:c>
      <x:c r="AP631" s="136" t="n"/>
      <x:c r="AQ631" s="136" t="n"/>
    </x:row>
    <x:row r="632">
      <x:c r="A632" s="136" t="inlineStr">
        <x:is>
          <x:t xml:space="preserve">research.seneca.day9.ep119</x:t>
        </x:is>
      </x:c>
      <x:c r="B632" s="136" t="inlineStr">
        <x:is>
          <x:t xml:space="preserve">Collected</x:t>
        </x:is>
      </x:c>
      <x:c r="C632" s="136" t="inlineStr">
        <x:is>
          <x:t xml:space="preserve">Nội tâm &amp; hiểu mình</x:t>
        </x:is>
      </x:c>
      <x:c r="D632" s="136" t="inlineStr">
        <x:is>
          <x:t xml:space="preserve">Day 9 / Seneca — Letters &amp; Essays</x:t>
        </x:is>
      </x:c>
      <x:c r="E632" s="136" t="inlineStr">
        <x:is>
          <x:t xml:space="preserve"/>
        </x:is>
      </x:c>
      <x:c r="F632" s="136" t="inlineStr">
        <x:is>
          <x:t xml:space="preserve">Đủ và ham muốn</x:t>
        </x:is>
      </x:c>
      <x:c r="G632" s="136" t="inlineStr">
        <x:is>
          <x:t xml:space="preserve">Enoughness</x:t>
        </x:is>
      </x:c>
      <x:c r="H632" s="136" t="inlineStr">
        <x:is>
          <x:t xml:space="preserve"/>
        </x:is>
      </x:c>
      <x:c r="I632" s="136" t="inlineStr">
        <x:is>
          <x:t xml:space="preserve"/>
        </x:is>
      </x:c>
      <x:c r="J632" s="136" t="inlineStr">
        <x:is>
          <x:t xml:space="preserve"/>
        </x:is>
      </x:c>
      <x:c r="K632" s="136" t="inlineStr">
        <x:is>
          <x:t xml:space="preserve">Reframe</x:t>
        </x:is>
      </x:c>
      <x:c r="L632" s="136" t="inlineStr">
        <x:is>
          <x:t xml:space="preserve"/>
        </x:is>
      </x:c>
      <x:c r="M632" s="136" t="inlineStr">
        <x:is>
          <x:t xml:space="preserve">Letter / philosophical reflection</x:t>
        </x:is>
      </x:c>
      <x:c r="N632" s="136" t="inlineStr">
        <x:is>
          <x:t xml:space="preserve">nihil ... interest utrum non desideres an habeas.</x:t>
        </x:is>
      </x:c>
      <x:c r="O632" s="136" t="inlineStr">
        <x:is>
          <x:t xml:space="preserve">Latin</x:t>
        </x:is>
      </x:c>
      <x:c r="P632" s="136" t="inlineStr">
        <x:is>
          <x:t xml:space="preserve">Có những lúc không khao khát thêm đem lại cảm giác đủ gần với việc đã có.</x:t>
        </x:is>
      </x:c>
      <x:c r="Q632" s="136" t="inlineStr">
        <x:is>
          <x:t xml:space="preserve">Lucius Annaeus Seneca</x:t>
        </x:is>
      </x:c>
      <x:c r="R632" s="136" t="inlineStr">
        <x:is>
          <x:t xml:space="preserve">Roman Stoic / Rome</x:t>
        </x:is>
      </x:c>
      <x:c r="S632" s="136" t="inlineStr">
        <x:is>
          <x:t xml:space="preserve">Epistulae Morales</x:t>
        </x:is>
      </x:c>
      <x:c r="T632" s="136" t="inlineStr">
        <x:is>
          <x:t xml:space="preserve">119.2</x:t>
        </x:is>
      </x:c>
      <x:c r="U632" s="136" t="inlineStr">
        <x:is>
          <x:t xml:space="preserve">https://la.wikisource.org/wiki/Epistulae_morales_ad_Lucilium</x:t>
        </x:is>
      </x:c>
      <x:c r="V632" s="136" t="inlineStr">
        <x:is>
          <x:t xml:space="preserve">Primary Latin text / reputable digital corpus</x:t>
        </x:is>
      </x:c>
      <x:c r="W632" s="136" t="inlineStr">
        <x:is>
          <x:t xml:space="preserve">Original-source passage</x:t>
        </x:is>
      </x:c>
      <x:c r="X632" s="136" t="inlineStr">
        <x:is>
          <x:t xml:space="preserve">A - Primary-source text located</x:t>
        </x:is>
      </x:c>
      <x:c r="Y632" s="136" t="inlineStr">
        <x:is>
          <x:t xml:space="preserve">Latin anchor collected from Seneca primary-text corpus; exact punctuation/orthography can vary by edition. Release requires passage-level recheck.</x:t>
        </x:is>
      </x:c>
      <x:c r="Z632" s="136" t="inlineStr">
        <x:is>
          <x:t xml:space="preserve">Ancient work public domain; digital transcription terms apply</x:t>
        </x:is>
      </x:c>
      <x:c r="AA632" s="136" t="inlineStr">
        <x:is>
          <x:t xml:space="preserve">Keep Latin original and use fresh Selflo Vietnamese working translation; do not copy a modern copyrighted translation.</x:t>
        </x:is>
      </x:c>
      <x:c r="AB632" s="136" t="inlineStr">
        <x:is>
          <x:t xml:space="preserve">High</x:t>
        </x:is>
      </x:c>
      <x:c r="AC632" s="136" t="inlineStr">
        <x:is>
          <x:t xml:space="preserve">Collected for Day 9 coverage; editorial selection happens later.</x:t>
        </x:is>
      </x:c>
      <x:c r="AD632" s="136" t="inlineStr">
        <x:is>
          <x:t xml:space="preserve">Low–Medium</x:t>
        </x:is>
      </x:c>
      <x:c r="AE632" s="136" t="inlineStr">
        <x:is>
          <x:t xml:space="preserve">Needs semantic dedupe review</x:t>
        </x:is>
      </x:c>
      <x:c r="AF632" s="136" t="inlineStr">
        <x:is>
          <x:t xml:space="preserve"/>
        </x:is>
      </x:c>
      <x:c r="AG632" s="136" t="inlineStr">
        <x:is>
          <x:t xml:space="preserve"/>
        </x:is>
      </x:c>
      <x:c r="AH632" s="136" t="inlineStr">
        <x:is>
          <x:t xml:space="preserve">No</x:t>
        </x:is>
      </x:c>
      <x:c r="AI632" s="136" t="inlineStr">
        <x:is>
          <x:t xml:space="preserve">Not reviewed</x:t>
        </x:is>
      </x:c>
      <x:c r="AJ632" s="136" t="inlineStr">
        <x:is>
          <x:t xml:space="preserve">Research only</x:t>
        </x:is>
      </x:c>
      <x:c r="AK632" s="136" t="inlineStr">
        <x:is>
          <x:t xml:space="preserve">Research Pool</x:t>
        </x:is>
      </x:c>
      <x:c r="AL632" s="136" t="n">
        <x:v>9</x:v>
      </x:c>
      <x:c r="AM632" s="136" t="inlineStr">
        <x:is>
          <x:t xml:space="preserve">ChatGPT research</x:t>
        </x:is>
      </x:c>
      <x:c r="AN632" s="136" t="inlineStr">
        <x:is>
          <x:t xml:space="preserve">2026-09-18</x:t>
        </x:is>
      </x:c>
      <x:c r="AO632" s="136" t="inlineStr">
        <x:is>
          <x:t xml:space="preserve">Day 9 Seneca full-scope thematic screening; VI is Selflo working translation.</x:t>
        </x:is>
      </x:c>
      <x:c r="AP632" s="136" t="n"/>
      <x:c r="AQ632" s="136" t="n"/>
    </x:row>
    <x:row r="633">
      <x:c r="A633" s="136" t="inlineStr">
        <x:is>
          <x:t xml:space="preserve">research.seneca.day9.ep119_2</x:t>
        </x:is>
      </x:c>
      <x:c r="B633" s="136" t="inlineStr">
        <x:is>
          <x:t xml:space="preserve">Collected</x:t>
        </x:is>
      </x:c>
      <x:c r="C633" s="136" t="inlineStr">
        <x:is>
          <x:t xml:space="preserve">Nội tâm &amp; hiểu mình</x:t>
        </x:is>
      </x:c>
      <x:c r="D633" s="136" t="inlineStr">
        <x:is>
          <x:t xml:space="preserve">Day 9 / Seneca — Letters &amp; Essays</x:t>
        </x:is>
      </x:c>
      <x:c r="E633" s="136" t="inlineStr">
        <x:is>
          <x:t xml:space="preserve"/>
        </x:is>
      </x:c>
      <x:c r="F633" s="136" t="inlineStr">
        <x:is>
          <x:t xml:space="preserve">Nhu cầu và ham muốn</x:t>
        </x:is>
      </x:c>
      <x:c r="G633" s="136" t="inlineStr">
        <x:is>
          <x:t xml:space="preserve">Enoughness</x:t>
        </x:is>
      </x:c>
      <x:c r="H633" s="136" t="inlineStr">
        <x:is>
          <x:t xml:space="preserve"/>
        </x:is>
      </x:c>
      <x:c r="I633" s="136" t="inlineStr">
        <x:is>
          <x:t xml:space="preserve"/>
        </x:is>
      </x:c>
      <x:c r="J633" s="136" t="inlineStr">
        <x:is>
          <x:t xml:space="preserve"/>
        </x:is>
      </x:c>
      <x:c r="K633" s="136" t="inlineStr">
        <x:is>
          <x:t xml:space="preserve">Distinguish</x:t>
        </x:is>
      </x:c>
      <x:c r="L633" s="136" t="inlineStr">
        <x:is>
          <x:t xml:space="preserve"/>
        </x:is>
      </x:c>
      <x:c r="M633" s="136" t="inlineStr">
        <x:is>
          <x:t xml:space="preserve">Letter / philosophical reflection</x:t>
        </x:is>
      </x:c>
      <x:c r="N633" s="136" t="inlineStr">
        <x:is>
          <x:t xml:space="preserve">quidquid naturam excedit ... precarium esse, non necessarium.</x:t>
        </x:is>
      </x:c>
      <x:c r="O633" s="136" t="inlineStr">
        <x:is>
          <x:t xml:space="preserve">Latin</x:t>
        </x:is>
      </x:c>
      <x:c r="P633" s="136" t="inlineStr">
        <x:is>
          <x:t xml:space="preserve">Điều vượt quá nhu cầu căn bản có thể là thứ ta có thêm, không nhất thiết là thứ phải có.</x:t>
        </x:is>
      </x:c>
      <x:c r="Q633" s="136" t="inlineStr">
        <x:is>
          <x:t xml:space="preserve">Lucius Annaeus Seneca</x:t>
        </x:is>
      </x:c>
      <x:c r="R633" s="136" t="inlineStr">
        <x:is>
          <x:t xml:space="preserve">Roman Stoic / Rome</x:t>
        </x:is>
      </x:c>
      <x:c r="S633" s="136" t="inlineStr">
        <x:is>
          <x:t xml:space="preserve">Epistulae Morales</x:t>
        </x:is>
      </x:c>
      <x:c r="T633" s="136" t="inlineStr">
        <x:is>
          <x:t xml:space="preserve">119.2</x:t>
        </x:is>
      </x:c>
      <x:c r="U633" s="136" t="inlineStr">
        <x:is>
          <x:t xml:space="preserve">https://la.wikisource.org/wiki/Epistulae_morales_ad_Lucilium</x:t>
        </x:is>
      </x:c>
      <x:c r="V633" s="136" t="inlineStr">
        <x:is>
          <x:t xml:space="preserve">Primary Latin text / reputable digital corpus</x:t>
        </x:is>
      </x:c>
      <x:c r="W633" s="136" t="inlineStr">
        <x:is>
          <x:t xml:space="preserve">Original-source passage</x:t>
        </x:is>
      </x:c>
      <x:c r="X633" s="136" t="inlineStr">
        <x:is>
          <x:t xml:space="preserve">A - Primary-source text located</x:t>
        </x:is>
      </x:c>
      <x:c r="Y633" s="136" t="inlineStr">
        <x:is>
          <x:t xml:space="preserve">Latin anchor collected from Seneca primary-text corpus; exact punctuation/orthography can vary by edition. Release requires passage-level recheck.</x:t>
        </x:is>
      </x:c>
      <x:c r="Z633" s="136" t="inlineStr">
        <x:is>
          <x:t xml:space="preserve">Ancient work public domain; digital transcription terms apply</x:t>
        </x:is>
      </x:c>
      <x:c r="AA633" s="136" t="inlineStr">
        <x:is>
          <x:t xml:space="preserve">Keep Latin original and use fresh Selflo Vietnamese working translation; do not copy a modern copyrighted translation.</x:t>
        </x:is>
      </x:c>
      <x:c r="AB633" s="136" t="inlineStr">
        <x:is>
          <x:t xml:space="preserve">High</x:t>
        </x:is>
      </x:c>
      <x:c r="AC633" s="136" t="inlineStr">
        <x:is>
          <x:t xml:space="preserve">Collected for Day 9 coverage; editorial selection happens later.</x:t>
        </x:is>
      </x:c>
      <x:c r="AD633" s="136" t="inlineStr">
        <x:is>
          <x:t xml:space="preserve">Low–Medium</x:t>
        </x:is>
      </x:c>
      <x:c r="AE633" s="136" t="inlineStr">
        <x:is>
          <x:t xml:space="preserve">Needs semantic dedupe review</x:t>
        </x:is>
      </x:c>
      <x:c r="AF633" s="136" t="inlineStr">
        <x:is>
          <x:t xml:space="preserve"/>
        </x:is>
      </x:c>
      <x:c r="AG633" s="136" t="inlineStr">
        <x:is>
          <x:t xml:space="preserve"/>
        </x:is>
      </x:c>
      <x:c r="AH633" s="136" t="inlineStr">
        <x:is>
          <x:t xml:space="preserve">No</x:t>
        </x:is>
      </x:c>
      <x:c r="AI633" s="136" t="inlineStr">
        <x:is>
          <x:t xml:space="preserve">Not reviewed</x:t>
        </x:is>
      </x:c>
      <x:c r="AJ633" s="136" t="inlineStr">
        <x:is>
          <x:t xml:space="preserve">Research only</x:t>
        </x:is>
      </x:c>
      <x:c r="AK633" s="136" t="inlineStr">
        <x:is>
          <x:t xml:space="preserve">Research Pool</x:t>
        </x:is>
      </x:c>
      <x:c r="AL633" s="136" t="n">
        <x:v>9</x:v>
      </x:c>
      <x:c r="AM633" s="136" t="inlineStr">
        <x:is>
          <x:t xml:space="preserve">ChatGPT research</x:t>
        </x:is>
      </x:c>
      <x:c r="AN633" s="136" t="inlineStr">
        <x:is>
          <x:t xml:space="preserve">2026-09-18</x:t>
        </x:is>
      </x:c>
      <x:c r="AO633" s="136" t="inlineStr">
        <x:is>
          <x:t xml:space="preserve">Day 9 Seneca full-scope thematic screening; VI is Selflo working translation.</x:t>
        </x:is>
      </x:c>
      <x:c r="AP633" s="136" t="n"/>
      <x:c r="AQ633" s="136" t="n"/>
    </x:row>
    <x:row r="634">
      <x:c r="A634" s="136" t="inlineStr">
        <x:is>
          <x:t xml:space="preserve">research.seneca.day9.ep123</x:t>
        </x:is>
      </x:c>
      <x:c r="B634" s="136" t="inlineStr">
        <x:is>
          <x:t xml:space="preserve">Collected</x:t>
        </x:is>
      </x:c>
      <x:c r="C634" s="136" t="inlineStr">
        <x:is>
          <x:t xml:space="preserve">Nội tâm &amp; hiểu mình</x:t>
        </x:is>
      </x:c>
      <x:c r="D634" s="136" t="inlineStr">
        <x:is>
          <x:t xml:space="preserve">Day 9 / Seneca — Letters &amp; Essays</x:t>
        </x:is>
      </x:c>
      <x:c r="E634" s="136" t="inlineStr">
        <x:is>
          <x:t xml:space="preserve"/>
        </x:is>
      </x:c>
      <x:c r="F634" s="136" t="inlineStr">
        <x:is>
          <x:t xml:space="preserve">Khả năng thích nghi</x:t>
        </x:is>
      </x:c>
      <x:c r="G634" s="136" t="inlineStr">
        <x:is>
          <x:t xml:space="preserve">Enoughness</x:t>
        </x:is>
      </x:c>
      <x:c r="H634" s="136" t="inlineStr">
        <x:is>
          <x:t xml:space="preserve"/>
        </x:is>
      </x:c>
      <x:c r="I634" s="136" t="inlineStr">
        <x:is>
          <x:t xml:space="preserve"/>
        </x:is>
      </x:c>
      <x:c r="J634" s="136" t="inlineStr">
        <x:is>
          <x:t xml:space="preserve"/>
        </x:is>
      </x:c>
      <x:c r="K634" s="136" t="inlineStr">
        <x:is>
          <x:t xml:space="preserve">Reframe</x:t>
        </x:is>
      </x:c>
      <x:c r="L634" s="136" t="inlineStr">
        <x:is>
          <x:t xml:space="preserve"/>
        </x:is>
      </x:c>
      <x:c r="M634" s="136" t="inlineStr">
        <x:is>
          <x:t xml:space="preserve">Letter / philosophical reflection</x:t>
        </x:is>
      </x:c>
      <x:c r="N634" s="136" t="inlineStr">
        <x:is>
          <x:t xml:space="preserve">Necessarium est parvo adsuescere.</x:t>
        </x:is>
      </x:c>
      <x:c r="O634" s="136" t="inlineStr">
        <x:is>
          <x:t xml:space="preserve">Latin</x:t>
        </x:is>
      </x:c>
      <x:c r="P634" s="136" t="inlineStr">
        <x:is>
          <x:t xml:space="preserve">Biết sống với ít hơn đôi khi làm ta bớt lệ thuộc vào hoàn cảnh.</x:t>
        </x:is>
      </x:c>
      <x:c r="Q634" s="136" t="inlineStr">
        <x:is>
          <x:t xml:space="preserve">Lucius Annaeus Seneca</x:t>
        </x:is>
      </x:c>
      <x:c r="R634" s="136" t="inlineStr">
        <x:is>
          <x:t xml:space="preserve">Roman Stoic / Rome</x:t>
        </x:is>
      </x:c>
      <x:c r="S634" s="136" t="inlineStr">
        <x:is>
          <x:t xml:space="preserve">Epistulae Morales</x:t>
        </x:is>
      </x:c>
      <x:c r="T634" s="136" t="inlineStr">
        <x:is>
          <x:t xml:space="preserve">123.3</x:t>
        </x:is>
      </x:c>
      <x:c r="U634" s="136" t="inlineStr">
        <x:is>
          <x:t xml:space="preserve">https://la.wikisource.org/wiki/Epistulae_morales_ad_Lucilium</x:t>
        </x:is>
      </x:c>
      <x:c r="V634" s="136" t="inlineStr">
        <x:is>
          <x:t xml:space="preserve">Primary Latin text / reputable digital corpus</x:t>
        </x:is>
      </x:c>
      <x:c r="W634" s="136" t="inlineStr">
        <x:is>
          <x:t xml:space="preserve">Original-source passage</x:t>
        </x:is>
      </x:c>
      <x:c r="X634" s="136" t="inlineStr">
        <x:is>
          <x:t xml:space="preserve">A - Primary-source text located</x:t>
        </x:is>
      </x:c>
      <x:c r="Y634" s="136" t="inlineStr">
        <x:is>
          <x:t xml:space="preserve">Latin anchor collected from Seneca primary-text corpus; exact punctuation/orthography can vary by edition. Release requires passage-level recheck.</x:t>
        </x:is>
      </x:c>
      <x:c r="Z634" s="136" t="inlineStr">
        <x:is>
          <x:t xml:space="preserve">Ancient work public domain; digital transcription terms apply</x:t>
        </x:is>
      </x:c>
      <x:c r="AA634" s="136" t="inlineStr">
        <x:is>
          <x:t xml:space="preserve">Keep Latin original and use fresh Selflo Vietnamese working translation; do not copy a modern copyrighted translation.</x:t>
        </x:is>
      </x:c>
      <x:c r="AB634" s="136" t="inlineStr">
        <x:is>
          <x:t xml:space="preserve">Medium</x:t>
        </x:is>
      </x:c>
      <x:c r="AC634" s="136" t="inlineStr">
        <x:is>
          <x:t xml:space="preserve">Collected for Day 9 coverage; editorial selection happens later.</x:t>
        </x:is>
      </x:c>
      <x:c r="AD634" s="136" t="inlineStr">
        <x:is>
          <x:t xml:space="preserve">Medium</x:t>
        </x:is>
      </x:c>
      <x:c r="AE634" s="136" t="inlineStr">
        <x:is>
          <x:t xml:space="preserve">Needs semantic dedupe review</x:t>
        </x:is>
      </x:c>
      <x:c r="AF634" s="136" t="inlineStr">
        <x:is>
          <x:t xml:space="preserve"/>
        </x:is>
      </x:c>
      <x:c r="AG634" s="136" t="inlineStr">
        <x:is>
          <x:t xml:space="preserve"/>
        </x:is>
      </x:c>
      <x:c r="AH634" s="136" t="inlineStr">
        <x:is>
          <x:t xml:space="preserve">No</x:t>
        </x:is>
      </x:c>
      <x:c r="AI634" s="136" t="inlineStr">
        <x:is>
          <x:t xml:space="preserve">Not reviewed</x:t>
        </x:is>
      </x:c>
      <x:c r="AJ634" s="136" t="inlineStr">
        <x:is>
          <x:t xml:space="preserve">Research only</x:t>
        </x:is>
      </x:c>
      <x:c r="AK634" s="136" t="inlineStr">
        <x:is>
          <x:t xml:space="preserve">Research Pool</x:t>
        </x:is>
      </x:c>
      <x:c r="AL634" s="136" t="n">
        <x:v>9</x:v>
      </x:c>
      <x:c r="AM634" s="136" t="inlineStr">
        <x:is>
          <x:t xml:space="preserve">ChatGPT research</x:t>
        </x:is>
      </x:c>
      <x:c r="AN634" s="136" t="inlineStr">
        <x:is>
          <x:t xml:space="preserve">2026-09-18</x:t>
        </x:is>
      </x:c>
      <x:c r="AO634" s="136" t="inlineStr">
        <x:is>
          <x:t xml:space="preserve">Day 9 Seneca full-scope thematic screening; VI is Selflo working translation.</x:t>
        </x:is>
      </x:c>
      <x:c r="AP634" s="136" t="n"/>
      <x:c r="AQ634" s="136" t="n"/>
    </x:row>
    <x:row r="635">
      <x:c r="A635" s="136" t="inlineStr">
        <x:is>
          <x:t xml:space="preserve">research.seneca.day9.ep123_2</x:t>
        </x:is>
      </x:c>
      <x:c r="B635" s="136" t="inlineStr">
        <x:is>
          <x:t xml:space="preserve">Collected</x:t>
        </x:is>
      </x:c>
      <x:c r="C635" s="136" t="inlineStr">
        <x:is>
          <x:t xml:space="preserve">Nội tâm &amp; hiểu mình</x:t>
        </x:is>
      </x:c>
      <x:c r="D635" s="136" t="inlineStr">
        <x:is>
          <x:t xml:space="preserve">Day 9 / Seneca — Letters &amp; Essays</x:t>
        </x:is>
      </x:c>
      <x:c r="E635" s="136" t="inlineStr">
        <x:is>
          <x:t xml:space="preserve"/>
        </x:is>
      </x:c>
      <x:c r="F635" s="136" t="inlineStr">
        <x:is>
          <x:t xml:space="preserve">Ham muốn và tự do</x:t>
        </x:is>
      </x:c>
      <x:c r="G635" s="136" t="inlineStr">
        <x:is>
          <x:t xml:space="preserve">Agency</x:t>
        </x:is>
      </x:c>
      <x:c r="H635" s="136" t="inlineStr">
        <x:is>
          <x:t xml:space="preserve"/>
        </x:is>
      </x:c>
      <x:c r="I635" s="136" t="inlineStr">
        <x:is>
          <x:t xml:space="preserve"/>
        </x:is>
      </x:c>
      <x:c r="J635" s="136" t="inlineStr">
        <x:is>
          <x:t xml:space="preserve"/>
        </x:is>
      </x:c>
      <x:c r="K635" s="136" t="inlineStr">
        <x:is>
          <x:t xml:space="preserve">Reframe</x:t>
        </x:is>
      </x:c>
      <x:c r="L635" s="136" t="inlineStr">
        <x:is>
          <x:t xml:space="preserve"/>
        </x:is>
      </x:c>
      <x:c r="M635" s="136" t="inlineStr">
        <x:is>
          <x:t xml:space="preserve">Letter / philosophical reflection</x:t>
        </x:is>
      </x:c>
      <x:c r="N635" s="136" t="inlineStr">
        <x:is>
          <x:t xml:space="preserve">Magna pars libertatis est bene moratus venter.</x:t>
        </x:is>
      </x:c>
      <x:c r="O635" s="136" t="inlineStr">
        <x:is>
          <x:t xml:space="preserve">Latin</x:t>
        </x:is>
      </x:c>
      <x:c r="P635" s="136" t="inlineStr">
        <x:is>
          <x:t xml:space="preserve">Một phần tự do đến từ việc nhu cầu không luôn ra lệnh cho mình.</x:t>
        </x:is>
      </x:c>
      <x:c r="Q635" s="136" t="inlineStr">
        <x:is>
          <x:t xml:space="preserve">Lucius Annaeus Seneca</x:t>
        </x:is>
      </x:c>
      <x:c r="R635" s="136" t="inlineStr">
        <x:is>
          <x:t xml:space="preserve">Roman Stoic / Rome</x:t>
        </x:is>
      </x:c>
      <x:c r="S635" s="136" t="inlineStr">
        <x:is>
          <x:t xml:space="preserve">Epistulae Morales</x:t>
        </x:is>
      </x:c>
      <x:c r="T635" s="136" t="inlineStr">
        <x:is>
          <x:t xml:space="preserve">123.3</x:t>
        </x:is>
      </x:c>
      <x:c r="U635" s="136" t="inlineStr">
        <x:is>
          <x:t xml:space="preserve">https://la.wikisource.org/wiki/Epistulae_morales_ad_Lucilium</x:t>
        </x:is>
      </x:c>
      <x:c r="V635" s="136" t="inlineStr">
        <x:is>
          <x:t xml:space="preserve">Primary Latin text / reputable digital corpus</x:t>
        </x:is>
      </x:c>
      <x:c r="W635" s="136" t="inlineStr">
        <x:is>
          <x:t xml:space="preserve">Original-source passage</x:t>
        </x:is>
      </x:c>
      <x:c r="X635" s="136" t="inlineStr">
        <x:is>
          <x:t xml:space="preserve">A - Primary-source text located</x:t>
        </x:is>
      </x:c>
      <x:c r="Y635" s="136" t="inlineStr">
        <x:is>
          <x:t xml:space="preserve">Latin anchor collected from Seneca primary-text corpus; exact punctuation/orthography can vary by edition. Release requires passage-level recheck.</x:t>
        </x:is>
      </x:c>
      <x:c r="Z635" s="136" t="inlineStr">
        <x:is>
          <x:t xml:space="preserve">Ancient work public domain; digital transcription terms apply</x:t>
        </x:is>
      </x:c>
      <x:c r="AA635" s="136" t="inlineStr">
        <x:is>
          <x:t xml:space="preserve">Keep Latin original and use fresh Selflo Vietnamese working translation; do not copy a modern copyrighted translation.</x:t>
        </x:is>
      </x:c>
      <x:c r="AB635" s="136" t="inlineStr">
        <x:is>
          <x:t xml:space="preserve">Medium</x:t>
        </x:is>
      </x:c>
      <x:c r="AC635" s="136" t="inlineStr">
        <x:is>
          <x:t xml:space="preserve">Collected for Day 9 coverage; editorial selection happens later.</x:t>
        </x:is>
      </x:c>
      <x:c r="AD635" s="136" t="inlineStr">
        <x:is>
          <x:t xml:space="preserve">Medium</x:t>
        </x:is>
      </x:c>
      <x:c r="AE635" s="136" t="inlineStr">
        <x:is>
          <x:t xml:space="preserve">Needs semantic dedupe review</x:t>
        </x:is>
      </x:c>
      <x:c r="AF635" s="136" t="inlineStr">
        <x:is>
          <x:t xml:space="preserve"/>
        </x:is>
      </x:c>
      <x:c r="AG635" s="136" t="inlineStr">
        <x:is>
          <x:t xml:space="preserve"/>
        </x:is>
      </x:c>
      <x:c r="AH635" s="136" t="inlineStr">
        <x:is>
          <x:t xml:space="preserve">No</x:t>
        </x:is>
      </x:c>
      <x:c r="AI635" s="136" t="inlineStr">
        <x:is>
          <x:t xml:space="preserve">Not reviewed</x:t>
        </x:is>
      </x:c>
      <x:c r="AJ635" s="136" t="inlineStr">
        <x:is>
          <x:t xml:space="preserve">Research only</x:t>
        </x:is>
      </x:c>
      <x:c r="AK635" s="136" t="inlineStr">
        <x:is>
          <x:t xml:space="preserve">Research Pool</x:t>
        </x:is>
      </x:c>
      <x:c r="AL635" s="136" t="n">
        <x:v>9</x:v>
      </x:c>
      <x:c r="AM635" s="136" t="inlineStr">
        <x:is>
          <x:t xml:space="preserve">ChatGPT research</x:t>
        </x:is>
      </x:c>
      <x:c r="AN635" s="136" t="inlineStr">
        <x:is>
          <x:t xml:space="preserve">2026-09-18</x:t>
        </x:is>
      </x:c>
      <x:c r="AO635" s="136" t="inlineStr">
        <x:is>
          <x:t xml:space="preserve">Day 9 Seneca full-scope thematic screening; VI is Selflo working translation.</x:t>
        </x:is>
      </x:c>
      <x:c r="AP635" s="136" t="n"/>
      <x:c r="AQ635" s="136" t="n"/>
    </x:row>
    <x:row r="636">
      <x:c r="A636" s="136" t="inlineStr">
        <x:is>
          <x:t xml:space="preserve">research.seneca.day9.tranq1</x:t>
        </x:is>
      </x:c>
      <x:c r="B636" s="136" t="inlineStr">
        <x:is>
          <x:t xml:space="preserve">Collected</x:t>
        </x:is>
      </x:c>
      <x:c r="C636" s="136" t="inlineStr">
        <x:is>
          <x:t xml:space="preserve">Nội tâm &amp; hiểu mình</x:t>
        </x:is>
      </x:c>
      <x:c r="D636" s="136" t="inlineStr">
        <x:is>
          <x:t xml:space="preserve">Day 9 / Seneca — Letters &amp; Essays</x:t>
        </x:is>
      </x:c>
      <x:c r="E636" s="136" t="inlineStr">
        <x:is>
          <x:t xml:space="preserve"/>
        </x:is>
      </x:c>
      <x:c r="F636" s="136" t="inlineStr">
        <x:is>
          <x:t xml:space="preserve">Trạng thái ở giữa khỏe và không khỏe</x:t>
        </x:is>
      </x:c>
      <x:c r="G636" s="136" t="inlineStr">
        <x:is>
          <x:t xml:space="preserve">Recovery</x:t>
        </x:is>
      </x:c>
      <x:c r="H636" s="136" t="inlineStr">
        <x:is>
          <x:t xml:space="preserve"/>
        </x:is>
      </x:c>
      <x:c r="I636" s="136" t="inlineStr">
        <x:is>
          <x:t xml:space="preserve"/>
        </x:is>
      </x:c>
      <x:c r="J636" s="136" t="inlineStr">
        <x:is>
          <x:t xml:space="preserve"/>
        </x:is>
      </x:c>
      <x:c r="K636" s="136" t="inlineStr">
        <x:is>
          <x:t xml:space="preserve">Name experience</x:t>
        </x:is>
      </x:c>
      <x:c r="L636" s="136" t="inlineStr">
        <x:is>
          <x:t xml:space="preserve"/>
        </x:is>
      </x:c>
      <x:c r="M636" s="136" t="inlineStr">
        <x:is>
          <x:t xml:space="preserve">Essay / philosophical reflection</x:t>
        </x:is>
      </x:c>
      <x:c r="N636" s="136" t="inlineStr">
        <x:is>
          <x:t xml:space="preserve">nec aegroto nec valeo.</x:t>
        </x:is>
      </x:c>
      <x:c r="O636" s="136" t="inlineStr">
        <x:is>
          <x:t xml:space="preserve">Latin</x:t>
        </x:is>
      </x:c>
      <x:c r="P636" s="136" t="inlineStr">
        <x:is>
          <x:t xml:space="preserve">Tôi không hẳn đang bệnh, nhưng cũng chưa thật sự khỏe.</x:t>
        </x:is>
      </x:c>
      <x:c r="Q636" s="136" t="inlineStr">
        <x:is>
          <x:t xml:space="preserve">Lucius Annaeus Seneca</x:t>
        </x:is>
      </x:c>
      <x:c r="R636" s="136" t="inlineStr">
        <x:is>
          <x:t xml:space="preserve">Roman Stoic / Rome</x:t>
        </x:is>
      </x:c>
      <x:c r="S636" s="136" t="inlineStr">
        <x:is>
          <x:t xml:space="preserve">De Tranquillitate Animi</x:t>
        </x:is>
      </x:c>
      <x:c r="T636" s="136" t="inlineStr">
        <x:is>
          <x:t xml:space="preserve">1.2</x:t>
        </x:is>
      </x:c>
      <x:c r="U636" s="136" t="inlineStr">
        <x:is>
          <x:t xml:space="preserve">https://la.wikisource.org/wiki/De_Tranquillitate_Animi</x:t>
        </x:is>
      </x:c>
      <x:c r="V636" s="136" t="inlineStr">
        <x:is>
          <x:t xml:space="preserve">Primary Latin text / reputable digital corpus</x:t>
        </x:is>
      </x:c>
      <x:c r="W636" s="136" t="inlineStr">
        <x:is>
          <x:t xml:space="preserve">Original-source passage</x:t>
        </x:is>
      </x:c>
      <x:c r="X636" s="136" t="inlineStr">
        <x:is>
          <x:t xml:space="preserve">A - Primary-source text located</x:t>
        </x:is>
      </x:c>
      <x:c r="Y636" s="136" t="inlineStr">
        <x:is>
          <x:t xml:space="preserve">Latin anchor collected from Seneca primary-text corpus; exact punctuation/orthography can vary by edition. Release requires passage-level recheck.</x:t>
        </x:is>
      </x:c>
      <x:c r="Z636" s="136" t="inlineStr">
        <x:is>
          <x:t xml:space="preserve">Ancient work public domain; digital transcription terms apply</x:t>
        </x:is>
      </x:c>
      <x:c r="AA636" s="136" t="inlineStr">
        <x:is>
          <x:t xml:space="preserve">Keep Latin original and use fresh Selflo Vietnamese working translation; do not copy a modern copyrighted translation.</x:t>
        </x:is>
      </x:c>
      <x:c r="AB636" s="136" t="inlineStr">
        <x:is>
          <x:t xml:space="preserve">High</x:t>
        </x:is>
      </x:c>
      <x:c r="AC636" s="136" t="inlineStr">
        <x:is>
          <x:t xml:space="preserve">Collected for Day 9 coverage; editorial selection happens later.</x:t>
        </x:is>
      </x:c>
      <x:c r="AD636" s="136" t="inlineStr">
        <x:is>
          <x:t xml:space="preserve">Low–Medium</x:t>
        </x:is>
      </x:c>
      <x:c r="AE636" s="136" t="inlineStr">
        <x:is>
          <x:t xml:space="preserve">Needs semantic dedupe review</x:t>
        </x:is>
      </x:c>
      <x:c r="AF636" s="136" t="inlineStr">
        <x:is>
          <x:t xml:space="preserve"/>
        </x:is>
      </x:c>
      <x:c r="AG636" s="136" t="inlineStr">
        <x:is>
          <x:t xml:space="preserve"/>
        </x:is>
      </x:c>
      <x:c r="AH636" s="136" t="inlineStr">
        <x:is>
          <x:t xml:space="preserve">No</x:t>
        </x:is>
      </x:c>
      <x:c r="AI636" s="136" t="inlineStr">
        <x:is>
          <x:t xml:space="preserve">Not reviewed</x:t>
        </x:is>
      </x:c>
      <x:c r="AJ636" s="136" t="inlineStr">
        <x:is>
          <x:t xml:space="preserve">Research only</x:t>
        </x:is>
      </x:c>
      <x:c r="AK636" s="136" t="inlineStr">
        <x:is>
          <x:t xml:space="preserve">Research Pool</x:t>
        </x:is>
      </x:c>
      <x:c r="AL636" s="136" t="n">
        <x:v>9</x:v>
      </x:c>
      <x:c r="AM636" s="136" t="inlineStr">
        <x:is>
          <x:t xml:space="preserve">ChatGPT research</x:t>
        </x:is>
      </x:c>
      <x:c r="AN636" s="136" t="inlineStr">
        <x:is>
          <x:t xml:space="preserve">2026-09-18</x:t>
        </x:is>
      </x:c>
      <x:c r="AO636" s="136" t="inlineStr">
        <x:is>
          <x:t xml:space="preserve">Day 9 Seneca full-scope thematic screening; VI is Selflo working translation.</x:t>
        </x:is>
      </x:c>
      <x:c r="AP636" s="136" t="n"/>
      <x:c r="AQ636" s="136" t="n"/>
    </x:row>
    <x:row r="637">
      <x:c r="A637" s="136" t="inlineStr">
        <x:is>
          <x:t xml:space="preserve">research.seneca.day9.tranq2</x:t>
        </x:is>
      </x:c>
      <x:c r="B637" s="136" t="inlineStr">
        <x:is>
          <x:t xml:space="preserve">Collected</x:t>
        </x:is>
      </x:c>
      <x:c r="C637" s="136" t="inlineStr">
        <x:is>
          <x:t xml:space="preserve">Nội tâm &amp; hiểu mình</x:t>
        </x:is>
      </x:c>
      <x:c r="D637" s="136" t="inlineStr">
        <x:is>
          <x:t xml:space="preserve">Day 9 / Seneca — Letters &amp; Essays</x:t>
        </x:is>
      </x:c>
      <x:c r="E637" s="136" t="inlineStr">
        <x:is>
          <x:t xml:space="preserve"/>
        </x:is>
      </x:c>
      <x:c r="F637" s="136" t="inlineStr">
        <x:is>
          <x:t xml:space="preserve">Hồi phục sau giai đoạn khó</x:t>
        </x:is>
      </x:c>
      <x:c r="G637" s="136" t="inlineStr">
        <x:is>
          <x:t xml:space="preserve">Recovery</x:t>
        </x:is>
      </x:c>
      <x:c r="H637" s="136" t="inlineStr">
        <x:is>
          <x:t xml:space="preserve"/>
        </x:is>
      </x:c>
      <x:c r="I637" s="136" t="inlineStr">
        <x:is>
          <x:t xml:space="preserve"/>
        </x:is>
      </x:c>
      <x:c r="J637" s="136" t="inlineStr">
        <x:is>
          <x:t xml:space="preserve"/>
        </x:is>
      </x:c>
      <x:c r="K637" s="136" t="inlineStr">
        <x:is>
          <x:t xml:space="preserve">Normalize</x:t>
        </x:is>
      </x:c>
      <x:c r="L637" s="136" t="inlineStr">
        <x:is>
          <x:t xml:space="preserve"/>
        </x:is>
      </x:c>
      <x:c r="M637" s="136" t="inlineStr">
        <x:is>
          <x:t xml:space="preserve">Essay / philosophical reflection</x:t>
        </x:is>
      </x:c>
      <x:c r="N637" s="136" t="inlineStr">
        <x:is>
          <x:t xml:space="preserve">non parum sanum est corpus, sed sanitati parum assuevit.</x:t>
        </x:is>
      </x:c>
      <x:c r="O637" s="136" t="inlineStr">
        <x:is>
          <x:t xml:space="preserve">Latin</x:t>
        </x:is>
      </x:c>
      <x:c r="P637" s="136" t="inlineStr">
        <x:is>
          <x:t xml:space="preserve">Cơ thể không còn quá bệnh; chỉ là chưa quen lại với trạng thái khỏe.</x:t>
        </x:is>
      </x:c>
      <x:c r="Q637" s="136" t="inlineStr">
        <x:is>
          <x:t xml:space="preserve">Lucius Annaeus Seneca</x:t>
        </x:is>
      </x:c>
      <x:c r="R637" s="136" t="inlineStr">
        <x:is>
          <x:t xml:space="preserve">Roman Stoic / Rome</x:t>
        </x:is>
      </x:c>
      <x:c r="S637" s="136" t="inlineStr">
        <x:is>
          <x:t xml:space="preserve">De Tranquillitate Animi</x:t>
        </x:is>
      </x:c>
      <x:c r="T637" s="136" t="inlineStr">
        <x:is>
          <x:t xml:space="preserve">2.1</x:t>
        </x:is>
      </x:c>
      <x:c r="U637" s="136" t="inlineStr">
        <x:is>
          <x:t xml:space="preserve">https://la.wikisource.org/wiki/De_Tranquillitate_Animi</x:t>
        </x:is>
      </x:c>
      <x:c r="V637" s="136" t="inlineStr">
        <x:is>
          <x:t xml:space="preserve">Primary Latin text / reputable digital corpus</x:t>
        </x:is>
      </x:c>
      <x:c r="W637" s="136" t="inlineStr">
        <x:is>
          <x:t xml:space="preserve">Original-source passage</x:t>
        </x:is>
      </x:c>
      <x:c r="X637" s="136" t="inlineStr">
        <x:is>
          <x:t xml:space="preserve">A - Primary-source text located</x:t>
        </x:is>
      </x:c>
      <x:c r="Y637" s="136" t="inlineStr">
        <x:is>
          <x:t xml:space="preserve">Latin anchor collected from Seneca primary-text corpus; exact punctuation/orthography can vary by edition. Release requires passage-level recheck.</x:t>
        </x:is>
      </x:c>
      <x:c r="Z637" s="136" t="inlineStr">
        <x:is>
          <x:t xml:space="preserve">Ancient work public domain; digital transcription terms apply</x:t>
        </x:is>
      </x:c>
      <x:c r="AA637" s="136" t="inlineStr">
        <x:is>
          <x:t xml:space="preserve">Keep Latin original and use fresh Selflo Vietnamese working translation; do not copy a modern copyrighted translation.</x:t>
        </x:is>
      </x:c>
      <x:c r="AB637" s="136" t="inlineStr">
        <x:is>
          <x:t xml:space="preserve">High</x:t>
        </x:is>
      </x:c>
      <x:c r="AC637" s="136" t="inlineStr">
        <x:is>
          <x:t xml:space="preserve">Collected for Day 9 coverage; editorial selection happens later.</x:t>
        </x:is>
      </x:c>
      <x:c r="AD637" s="136" t="inlineStr">
        <x:is>
          <x:t xml:space="preserve">Low–Medium</x:t>
        </x:is>
      </x:c>
      <x:c r="AE637" s="136" t="inlineStr">
        <x:is>
          <x:t xml:space="preserve">Needs semantic dedupe review</x:t>
        </x:is>
      </x:c>
      <x:c r="AF637" s="136" t="inlineStr">
        <x:is>
          <x:t xml:space="preserve"/>
        </x:is>
      </x:c>
      <x:c r="AG637" s="136" t="inlineStr">
        <x:is>
          <x:t xml:space="preserve"/>
        </x:is>
      </x:c>
      <x:c r="AH637" s="136" t="inlineStr">
        <x:is>
          <x:t xml:space="preserve">No</x:t>
        </x:is>
      </x:c>
      <x:c r="AI637" s="136" t="inlineStr">
        <x:is>
          <x:t xml:space="preserve">Not reviewed</x:t>
        </x:is>
      </x:c>
      <x:c r="AJ637" s="136" t="inlineStr">
        <x:is>
          <x:t xml:space="preserve">Research only</x:t>
        </x:is>
      </x:c>
      <x:c r="AK637" s="136" t="inlineStr">
        <x:is>
          <x:t xml:space="preserve">Research Pool</x:t>
        </x:is>
      </x:c>
      <x:c r="AL637" s="136" t="n">
        <x:v>9</x:v>
      </x:c>
      <x:c r="AM637" s="136" t="inlineStr">
        <x:is>
          <x:t xml:space="preserve">ChatGPT research</x:t>
        </x:is>
      </x:c>
      <x:c r="AN637" s="136" t="inlineStr">
        <x:is>
          <x:t xml:space="preserve">2026-09-18</x:t>
        </x:is>
      </x:c>
      <x:c r="AO637" s="136" t="inlineStr">
        <x:is>
          <x:t xml:space="preserve">Day 9 Seneca full-scope thematic screening; VI is Selflo working translation.</x:t>
        </x:is>
      </x:c>
      <x:c r="AP637" s="136" t="n"/>
      <x:c r="AQ637" s="136" t="n"/>
    </x:row>
    <x:row r="638">
      <x:c r="A638" s="136" t="inlineStr">
        <x:is>
          <x:t xml:space="preserve">research.seneca.day9.tranq3</x:t>
        </x:is>
      </x:c>
      <x:c r="B638" s="136" t="inlineStr">
        <x:is>
          <x:t xml:space="preserve">Collected</x:t>
        </x:is>
      </x:c>
      <x:c r="C638" s="136" t="inlineStr">
        <x:is>
          <x:t xml:space="preserve">Nội tâm &amp; hiểu mình</x:t>
        </x:is>
      </x:c>
      <x:c r="D638" s="136" t="inlineStr">
        <x:is>
          <x:t xml:space="preserve">Day 9 / Seneca — Letters &amp; Essays</x:t>
        </x:is>
      </x:c>
      <x:c r="E638" s="136" t="inlineStr">
        <x:is>
          <x:t xml:space="preserve"/>
        </x:is>
      </x:c>
      <x:c r="F638" s="136" t="inlineStr">
        <x:is>
          <x:t xml:space="preserve">Biến cố qua rồi nhưng hệ thống chưa yên</x:t>
        </x:is>
      </x:c>
      <x:c r="G638" s="136" t="inlineStr">
        <x:is>
          <x:t xml:space="preserve">Recovery</x:t>
        </x:is>
      </x:c>
      <x:c r="H638" s="136" t="inlineStr">
        <x:is>
          <x:t xml:space="preserve"/>
        </x:is>
      </x:c>
      <x:c r="I638" s="136" t="inlineStr">
        <x:is>
          <x:t xml:space="preserve"/>
        </x:is>
      </x:c>
      <x:c r="J638" s="136" t="inlineStr">
        <x:is>
          <x:t xml:space="preserve"/>
        </x:is>
      </x:c>
      <x:c r="K638" s="136" t="inlineStr">
        <x:is>
          <x:t xml:space="preserve">Normalize</x:t>
        </x:is>
      </x:c>
      <x:c r="L638" s="136" t="inlineStr">
        <x:is>
          <x:t xml:space="preserve"/>
        </x:is>
      </x:c>
      <x:c r="M638" s="136" t="inlineStr">
        <x:is>
          <x:t xml:space="preserve">Essay / philosophical reflection</x:t>
        </x:is>
      </x:c>
      <x:c r="N638" s="136" t="inlineStr">
        <x:is>
          <x:t xml:space="preserve">sicut est quidam tremor etiam tranquilli maris ... cum ex tempestate requievit.</x:t>
        </x:is>
      </x:c>
      <x:c r="O638" s="136" t="inlineStr">
        <x:is>
          <x:t xml:space="preserve">Latin</x:t>
        </x:is>
      </x:c>
      <x:c r="P638" s="136" t="inlineStr">
        <x:is>
          <x:t xml:space="preserve">Ngay cả mặt biển đã yên vẫn còn một độ rung sau cơn bão.</x:t>
        </x:is>
      </x:c>
      <x:c r="Q638" s="136" t="inlineStr">
        <x:is>
          <x:t xml:space="preserve">Lucius Annaeus Seneca</x:t>
        </x:is>
      </x:c>
      <x:c r="R638" s="136" t="inlineStr">
        <x:is>
          <x:t xml:space="preserve">Roman Stoic / Rome</x:t>
        </x:is>
      </x:c>
      <x:c r="S638" s="136" t="inlineStr">
        <x:is>
          <x:t xml:space="preserve">De Tranquillitate Animi</x:t>
        </x:is>
      </x:c>
      <x:c r="T638" s="136" t="inlineStr">
        <x:is>
          <x:t xml:space="preserve">2.1</x:t>
        </x:is>
      </x:c>
      <x:c r="U638" s="136" t="inlineStr">
        <x:is>
          <x:t xml:space="preserve">https://la.wikisource.org/wiki/De_Tranquillitate_Animi</x:t>
        </x:is>
      </x:c>
      <x:c r="V638" s="136" t="inlineStr">
        <x:is>
          <x:t xml:space="preserve">Primary Latin text / reputable digital corpus</x:t>
        </x:is>
      </x:c>
      <x:c r="W638" s="136" t="inlineStr">
        <x:is>
          <x:t xml:space="preserve">Original-source passage</x:t>
        </x:is>
      </x:c>
      <x:c r="X638" s="136" t="inlineStr">
        <x:is>
          <x:t xml:space="preserve">A - Primary-source text located</x:t>
        </x:is>
      </x:c>
      <x:c r="Y638" s="136" t="inlineStr">
        <x:is>
          <x:t xml:space="preserve">Latin anchor collected from Seneca primary-text corpus; exact punctuation/orthography can vary by edition. Release requires passage-level recheck.</x:t>
        </x:is>
      </x:c>
      <x:c r="Z638" s="136" t="inlineStr">
        <x:is>
          <x:t xml:space="preserve">Ancient work public domain; digital transcription terms apply</x:t>
        </x:is>
      </x:c>
      <x:c r="AA638" s="136" t="inlineStr">
        <x:is>
          <x:t xml:space="preserve">Keep Latin original and use fresh Selflo Vietnamese working translation; do not copy a modern copyrighted translation.</x:t>
        </x:is>
      </x:c>
      <x:c r="AB638" s="136" t="inlineStr">
        <x:is>
          <x:t xml:space="preserve">High</x:t>
        </x:is>
      </x:c>
      <x:c r="AC638" s="136" t="inlineStr">
        <x:is>
          <x:t xml:space="preserve">Collected for Day 9 coverage; editorial selection happens later.</x:t>
        </x:is>
      </x:c>
      <x:c r="AD638" s="136" t="inlineStr">
        <x:is>
          <x:t xml:space="preserve">Low–Medium</x:t>
        </x:is>
      </x:c>
      <x:c r="AE638" s="136" t="inlineStr">
        <x:is>
          <x:t xml:space="preserve">Needs semantic dedupe review</x:t>
        </x:is>
      </x:c>
      <x:c r="AF638" s="136" t="inlineStr">
        <x:is>
          <x:t xml:space="preserve"/>
        </x:is>
      </x:c>
      <x:c r="AG638" s="136" t="inlineStr">
        <x:is>
          <x:t xml:space="preserve"/>
        </x:is>
      </x:c>
      <x:c r="AH638" s="136" t="inlineStr">
        <x:is>
          <x:t xml:space="preserve">No</x:t>
        </x:is>
      </x:c>
      <x:c r="AI638" s="136" t="inlineStr">
        <x:is>
          <x:t xml:space="preserve">Not reviewed</x:t>
        </x:is>
      </x:c>
      <x:c r="AJ638" s="136" t="inlineStr">
        <x:is>
          <x:t xml:space="preserve">Research only</x:t>
        </x:is>
      </x:c>
      <x:c r="AK638" s="136" t="inlineStr">
        <x:is>
          <x:t xml:space="preserve">Research Pool</x:t>
        </x:is>
      </x:c>
      <x:c r="AL638" s="136" t="n">
        <x:v>9</x:v>
      </x:c>
      <x:c r="AM638" s="136" t="inlineStr">
        <x:is>
          <x:t xml:space="preserve">ChatGPT research</x:t>
        </x:is>
      </x:c>
      <x:c r="AN638" s="136" t="inlineStr">
        <x:is>
          <x:t xml:space="preserve">2026-09-18</x:t>
        </x:is>
      </x:c>
      <x:c r="AO638" s="136" t="inlineStr">
        <x:is>
          <x:t xml:space="preserve">Day 9 Seneca full-scope thematic screening; VI is Selflo working translation.</x:t>
        </x:is>
      </x:c>
      <x:c r="AP638" s="136" t="n"/>
      <x:c r="AQ638" s="136" t="n"/>
    </x:row>
    <x:row r="639">
      <x:c r="A639" s="136" t="inlineStr">
        <x:is>
          <x:t xml:space="preserve">research.seneca.day9.tranq4</x:t>
        </x:is>
      </x:c>
      <x:c r="B639" s="136" t="inlineStr">
        <x:is>
          <x:t xml:space="preserve">Collected</x:t>
        </x:is>
      </x:c>
      <x:c r="C639" s="136" t="inlineStr">
        <x:is>
          <x:t xml:space="preserve">Nội tâm &amp; hiểu mình</x:t>
        </x:is>
      </x:c>
      <x:c r="D639" s="136" t="inlineStr">
        <x:is>
          <x:t xml:space="preserve">Day 9 / Seneca — Letters &amp; Essays</x:t>
        </x:is>
      </x:c>
      <x:c r="E639" s="136" t="inlineStr">
        <x:is>
          <x:t xml:space="preserve"/>
        </x:is>
      </x:c>
      <x:c r="F639" s="136" t="inlineStr">
        <x:is>
          <x:t xml:space="preserve">Mất niềm tin vào nhịp riêng</x:t>
        </x:is>
      </x:c>
      <x:c r="G639" s="136" t="inlineStr">
        <x:is>
          <x:t xml:space="preserve">Self-trust</x:t>
        </x:is>
      </x:c>
      <x:c r="H639" s="136" t="inlineStr">
        <x:is>
          <x:t xml:space="preserve"/>
        </x:is>
      </x:c>
      <x:c r="I639" s="136" t="inlineStr">
        <x:is>
          <x:t xml:space="preserve"/>
        </x:is>
      </x:c>
      <x:c r="J639" s="136" t="inlineStr">
        <x:is>
          <x:t xml:space="preserve"/>
        </x:is>
      </x:c>
      <x:c r="K639" s="136" t="inlineStr">
        <x:is>
          <x:t xml:space="preserve">Permit</x:t>
        </x:is>
      </x:c>
      <x:c r="L639" s="136" t="inlineStr">
        <x:is>
          <x:t xml:space="preserve"/>
        </x:is>
      </x:c>
      <x:c r="M639" s="136" t="inlineStr">
        <x:is>
          <x:t xml:space="preserve">Essay / philosophical reflection</x:t>
        </x:is>
      </x:c>
      <x:c r="N639" s="136" t="inlineStr">
        <x:is>
          <x:t xml:space="preserve">ut fidem tibi habeas et recta ire te via credas.</x:t>
        </x:is>
      </x:c>
      <x:c r="O639" s="136" t="inlineStr">
        <x:is>
          <x:t xml:space="preserve">Latin</x:t>
        </x:is>
      </x:c>
      <x:c r="P639" s="136" t="inlineStr">
        <x:is>
          <x:t xml:space="preserve">Một phần của sự ổn định là dần có lại niềm tin rằng mình đang đi trên con đường đã cân nhắc.</x:t>
        </x:is>
      </x:c>
      <x:c r="Q639" s="136" t="inlineStr">
        <x:is>
          <x:t xml:space="preserve">Lucius Annaeus Seneca</x:t>
        </x:is>
      </x:c>
      <x:c r="R639" s="136" t="inlineStr">
        <x:is>
          <x:t xml:space="preserve">Roman Stoic / Rome</x:t>
        </x:is>
      </x:c>
      <x:c r="S639" s="136" t="inlineStr">
        <x:is>
          <x:t xml:space="preserve">De Tranquillitate Animi</x:t>
        </x:is>
      </x:c>
      <x:c r="T639" s="136" t="inlineStr">
        <x:is>
          <x:t xml:space="preserve">2.2</x:t>
        </x:is>
      </x:c>
      <x:c r="U639" s="136" t="inlineStr">
        <x:is>
          <x:t xml:space="preserve">https://la.wikisource.org/wiki/De_Tranquillitate_Animi</x:t>
        </x:is>
      </x:c>
      <x:c r="V639" s="136" t="inlineStr">
        <x:is>
          <x:t xml:space="preserve">Primary Latin text / reputable digital corpus</x:t>
        </x:is>
      </x:c>
      <x:c r="W639" s="136" t="inlineStr">
        <x:is>
          <x:t xml:space="preserve">Original-source passage</x:t>
        </x:is>
      </x:c>
      <x:c r="X639" s="136" t="inlineStr">
        <x:is>
          <x:t xml:space="preserve">A - Primary-source text located</x:t>
        </x:is>
      </x:c>
      <x:c r="Y639" s="136" t="inlineStr">
        <x:is>
          <x:t xml:space="preserve">Latin anchor collected from Seneca primary-text corpus; exact punctuation/orthography can vary by edition. Release requires passage-level recheck.</x:t>
        </x:is>
      </x:c>
      <x:c r="Z639" s="136" t="inlineStr">
        <x:is>
          <x:t xml:space="preserve">Ancient work public domain; digital transcription terms apply</x:t>
        </x:is>
      </x:c>
      <x:c r="AA639" s="136" t="inlineStr">
        <x:is>
          <x:t xml:space="preserve">Keep Latin original and use fresh Selflo Vietnamese working translation; do not copy a modern copyrighted translation.</x:t>
        </x:is>
      </x:c>
      <x:c r="AB639" s="136" t="inlineStr">
        <x:is>
          <x:t xml:space="preserve">High</x:t>
        </x:is>
      </x:c>
      <x:c r="AC639" s="136" t="inlineStr">
        <x:is>
          <x:t xml:space="preserve">Collected for Day 9 coverage; editorial selection happens later.</x:t>
        </x:is>
      </x:c>
      <x:c r="AD639" s="136" t="inlineStr">
        <x:is>
          <x:t xml:space="preserve">Low–Medium</x:t>
        </x:is>
      </x:c>
      <x:c r="AE639" s="136" t="inlineStr">
        <x:is>
          <x:t xml:space="preserve">Needs semantic dedupe review</x:t>
        </x:is>
      </x:c>
      <x:c r="AF639" s="136" t="inlineStr">
        <x:is>
          <x:t xml:space="preserve"/>
        </x:is>
      </x:c>
      <x:c r="AG639" s="136" t="inlineStr">
        <x:is>
          <x:t xml:space="preserve"/>
        </x:is>
      </x:c>
      <x:c r="AH639" s="136" t="inlineStr">
        <x:is>
          <x:t xml:space="preserve">No</x:t>
        </x:is>
      </x:c>
      <x:c r="AI639" s="136" t="inlineStr">
        <x:is>
          <x:t xml:space="preserve">Not reviewed</x:t>
        </x:is>
      </x:c>
      <x:c r="AJ639" s="136" t="inlineStr">
        <x:is>
          <x:t xml:space="preserve">Research only</x:t>
        </x:is>
      </x:c>
      <x:c r="AK639" s="136" t="inlineStr">
        <x:is>
          <x:t xml:space="preserve">Research Pool</x:t>
        </x:is>
      </x:c>
      <x:c r="AL639" s="136" t="n">
        <x:v>9</x:v>
      </x:c>
      <x:c r="AM639" s="136" t="inlineStr">
        <x:is>
          <x:t xml:space="preserve">ChatGPT research</x:t>
        </x:is>
      </x:c>
      <x:c r="AN639" s="136" t="inlineStr">
        <x:is>
          <x:t xml:space="preserve">2026-09-18</x:t>
        </x:is>
      </x:c>
      <x:c r="AO639" s="136" t="inlineStr">
        <x:is>
          <x:t xml:space="preserve">Day 9 Seneca full-scope thematic screening; VI is Selflo working translation.</x:t>
        </x:is>
      </x:c>
      <x:c r="AP639" s="136" t="n"/>
      <x:c r="AQ639" s="136" t="n"/>
    </x:row>
    <x:row r="640">
      <x:c r="A640" s="136" t="inlineStr">
        <x:is>
          <x:t xml:space="preserve">research.seneca.day9.tranq5</x:t>
        </x:is>
      </x:c>
      <x:c r="B640" s="136" t="inlineStr">
        <x:is>
          <x:t xml:space="preserve">Collected</x:t>
        </x:is>
      </x:c>
      <x:c r="C640" s="136" t="inlineStr">
        <x:is>
          <x:t xml:space="preserve">Nội tâm &amp; hiểu mình</x:t>
        </x:is>
      </x:c>
      <x:c r="D640" s="136" t="inlineStr">
        <x:is>
          <x:t xml:space="preserve">Day 9 / Seneca — Letters &amp; Essays</x:t>
        </x:is>
      </x:c>
      <x:c r="E640" s="136" t="inlineStr">
        <x:is>
          <x:t xml:space="preserve"/>
        </x:is>
      </x:c>
      <x:c r="F640" s="136" t="inlineStr">
        <x:is>
          <x:t xml:space="preserve">Gọi tên sự bình ổn</x:t>
        </x:is>
      </x:c>
      <x:c r="G640" s="136" t="inlineStr">
        <x:is>
          <x:t xml:space="preserve">Recovery</x:t>
        </x:is>
      </x:c>
      <x:c r="H640" s="136" t="inlineStr">
        <x:is>
          <x:t xml:space="preserve"/>
        </x:is>
      </x:c>
      <x:c r="I640" s="136" t="inlineStr">
        <x:is>
          <x:t xml:space="preserve"/>
        </x:is>
      </x:c>
      <x:c r="J640" s="136" t="inlineStr">
        <x:is>
          <x:t xml:space="preserve"/>
        </x:is>
      </x:c>
      <x:c r="K640" s="136" t="inlineStr">
        <x:is>
          <x:t xml:space="preserve">Name experience</x:t>
        </x:is>
      </x:c>
      <x:c r="L640" s="136" t="inlineStr">
        <x:is>
          <x:t xml:space="preserve"/>
        </x:is>
      </x:c>
      <x:c r="M640" s="136" t="inlineStr">
        <x:is>
          <x:t xml:space="preserve">Essay / philosophical reflection</x:t>
        </x:is>
      </x:c>
      <x:c r="N640" s="136" t="inlineStr">
        <x:is>
          <x:t xml:space="preserve">Hanc stabilem animi sedem Graeci euthymian vocant, ego tranquillitatem voco.</x:t>
        </x:is>
      </x:c>
      <x:c r="O640" s="136" t="inlineStr">
        <x:is>
          <x:t xml:space="preserve">Latin</x:t>
        </x:is>
      </x:c>
      <x:c r="P640" s="136" t="inlineStr">
        <x:is>
          <x:t xml:space="preserve">Người Hy Lạp gọi trạng thái ổn định ấy là euthymia; Seneca gọi nó là sự tĩnh tại của tâm trí.</x:t>
        </x:is>
      </x:c>
      <x:c r="Q640" s="136" t="inlineStr">
        <x:is>
          <x:t xml:space="preserve">Lucius Annaeus Seneca</x:t>
        </x:is>
      </x:c>
      <x:c r="R640" s="136" t="inlineStr">
        <x:is>
          <x:t xml:space="preserve">Roman Stoic / Rome</x:t>
        </x:is>
      </x:c>
      <x:c r="S640" s="136" t="inlineStr">
        <x:is>
          <x:t xml:space="preserve">De Tranquillitate Animi</x:t>
        </x:is>
      </x:c>
      <x:c r="T640" s="136" t="inlineStr">
        <x:is>
          <x:t xml:space="preserve">2.3</x:t>
        </x:is>
      </x:c>
      <x:c r="U640" s="136" t="inlineStr">
        <x:is>
          <x:t xml:space="preserve">https://la.wikisource.org/wiki/De_Tranquillitate_Animi</x:t>
        </x:is>
      </x:c>
      <x:c r="V640" s="136" t="inlineStr">
        <x:is>
          <x:t xml:space="preserve">Primary Latin text / reputable digital corpus</x:t>
        </x:is>
      </x:c>
      <x:c r="W640" s="136" t="inlineStr">
        <x:is>
          <x:t xml:space="preserve">Original-source passage</x:t>
        </x:is>
      </x:c>
      <x:c r="X640" s="136" t="inlineStr">
        <x:is>
          <x:t xml:space="preserve">A - Primary-source text located</x:t>
        </x:is>
      </x:c>
      <x:c r="Y640" s="136" t="inlineStr">
        <x:is>
          <x:t xml:space="preserve">Latin anchor collected from Seneca primary-text corpus; exact punctuation/orthography can vary by edition. Release requires passage-level recheck.</x:t>
        </x:is>
      </x:c>
      <x:c r="Z640" s="136" t="inlineStr">
        <x:is>
          <x:t xml:space="preserve">Ancient work public domain; digital transcription terms apply</x:t>
        </x:is>
      </x:c>
      <x:c r="AA640" s="136" t="inlineStr">
        <x:is>
          <x:t xml:space="preserve">Keep Latin original and use fresh Selflo Vietnamese working translation; do not copy a modern copyrighted translation.</x:t>
        </x:is>
      </x:c>
      <x:c r="AB640" s="136" t="inlineStr">
        <x:is>
          <x:t xml:space="preserve">High</x:t>
        </x:is>
      </x:c>
      <x:c r="AC640" s="136" t="inlineStr">
        <x:is>
          <x:t xml:space="preserve">Collected for Day 9 coverage; editorial selection happens later.</x:t>
        </x:is>
      </x:c>
      <x:c r="AD640" s="136" t="inlineStr">
        <x:is>
          <x:t xml:space="preserve">Low–Medium</x:t>
        </x:is>
      </x:c>
      <x:c r="AE640" s="136" t="inlineStr">
        <x:is>
          <x:t xml:space="preserve">Needs semantic dedupe review</x:t>
        </x:is>
      </x:c>
      <x:c r="AF640" s="136" t="inlineStr">
        <x:is>
          <x:t xml:space="preserve"/>
        </x:is>
      </x:c>
      <x:c r="AG640" s="136" t="inlineStr">
        <x:is>
          <x:t xml:space="preserve"/>
        </x:is>
      </x:c>
      <x:c r="AH640" s="136" t="inlineStr">
        <x:is>
          <x:t xml:space="preserve">No</x:t>
        </x:is>
      </x:c>
      <x:c r="AI640" s="136" t="inlineStr">
        <x:is>
          <x:t xml:space="preserve">Not reviewed</x:t>
        </x:is>
      </x:c>
      <x:c r="AJ640" s="136" t="inlineStr">
        <x:is>
          <x:t xml:space="preserve">Research only</x:t>
        </x:is>
      </x:c>
      <x:c r="AK640" s="136" t="inlineStr">
        <x:is>
          <x:t xml:space="preserve">Research Pool</x:t>
        </x:is>
      </x:c>
      <x:c r="AL640" s="136" t="n">
        <x:v>9</x:v>
      </x:c>
      <x:c r="AM640" s="136" t="inlineStr">
        <x:is>
          <x:t xml:space="preserve">ChatGPT research</x:t>
        </x:is>
      </x:c>
      <x:c r="AN640" s="136" t="inlineStr">
        <x:is>
          <x:t xml:space="preserve">2026-09-18</x:t>
        </x:is>
      </x:c>
      <x:c r="AO640" s="136" t="inlineStr">
        <x:is>
          <x:t xml:space="preserve">Day 9 Seneca full-scope thematic screening; VI is Selflo working translation.</x:t>
        </x:is>
      </x:c>
      <x:c r="AP640" s="136" t="n"/>
      <x:c r="AQ640" s="136" t="n"/>
    </x:row>
    <x:row r="641">
      <x:c r="A641" s="136" t="inlineStr">
        <x:is>
          <x:t xml:space="preserve">research.seneca.day9.otio1</x:t>
        </x:is>
      </x:c>
      <x:c r="B641" s="136" t="inlineStr">
        <x:is>
          <x:t xml:space="preserve">Collected</x:t>
        </x:is>
      </x:c>
      <x:c r="C641" s="136" t="inlineStr">
        <x:is>
          <x:t xml:space="preserve">Nội tâm &amp; hiểu mình</x:t>
        </x:is>
      </x:c>
      <x:c r="D641" s="136" t="inlineStr">
        <x:is>
          <x:t xml:space="preserve">Day 9 / Seneca — Letters &amp; Essays</x:t>
        </x:is>
      </x:c>
      <x:c r="E641" s="136" t="inlineStr">
        <x:is>
          <x:t xml:space="preserve"/>
        </x:is>
      </x:c>
      <x:c r="F641" s="136" t="inlineStr">
        <x:is>
          <x:t xml:space="preserve">Khoảng lùi khỏi đám đông</x:t>
        </x:is>
      </x:c>
      <x:c r="G641" s="136" t="inlineStr">
        <x:is>
          <x:t xml:space="preserve">Recovery</x:t>
        </x:is>
      </x:c>
      <x:c r="H641" s="136" t="inlineStr">
        <x:is>
          <x:t xml:space="preserve"/>
        </x:is>
      </x:c>
      <x:c r="I641" s="136" t="inlineStr">
        <x:is>
          <x:t xml:space="preserve"/>
        </x:is>
      </x:c>
      <x:c r="J641" s="136" t="inlineStr">
        <x:is>
          <x:t xml:space="preserve"/>
        </x:is>
      </x:c>
      <x:c r="K641" s="136" t="inlineStr">
        <x:is>
          <x:t xml:space="preserve">Permit</x:t>
        </x:is>
      </x:c>
      <x:c r="L641" s="136" t="inlineStr">
        <x:is>
          <x:t xml:space="preserve"/>
        </x:is>
      </x:c>
      <x:c r="M641" s="136" t="inlineStr">
        <x:is>
          <x:t xml:space="preserve">Essay / philosophical reflection</x:t>
        </x:is>
      </x:c>
      <x:c r="N641" s="136" t="inlineStr">
        <x:is>
          <x:t xml:space="preserve">proderit tamen per se ipsum secedere: meliores erimus singuli.</x:t>
        </x:is>
      </x:c>
      <x:c r="O641" s="136" t="inlineStr">
        <x:is>
          <x:t xml:space="preserve">Latin</x:t>
        </x:is>
      </x:c>
      <x:c r="P641" s="136" t="inlineStr">
        <x:is>
          <x:t xml:space="preserve">Chỉ riêng việc lùi ra khỏi dòng cuốn đôi khi đã có ích.</x:t>
        </x:is>
      </x:c>
      <x:c r="Q641" s="136" t="inlineStr">
        <x:is>
          <x:t xml:space="preserve">Lucius Annaeus Seneca</x:t>
        </x:is>
      </x:c>
      <x:c r="R641" s="136" t="inlineStr">
        <x:is>
          <x:t xml:space="preserve">Roman Stoic / Rome</x:t>
        </x:is>
      </x:c>
      <x:c r="S641" s="136" t="inlineStr">
        <x:is>
          <x:t xml:space="preserve">De Otio</x:t>
        </x:is>
      </x:c>
      <x:c r="T641" s="136" t="inlineStr">
        <x:is>
          <x:t xml:space="preserve">1.1</x:t>
        </x:is>
      </x:c>
      <x:c r="U641" s="136" t="inlineStr">
        <x:is>
          <x:t xml:space="preserve">https://la.wikisource.org/wiki/De_Otio</x:t>
        </x:is>
      </x:c>
      <x:c r="V641" s="136" t="inlineStr">
        <x:is>
          <x:t xml:space="preserve">Primary Latin text / reputable digital corpus</x:t>
        </x:is>
      </x:c>
      <x:c r="W641" s="136" t="inlineStr">
        <x:is>
          <x:t xml:space="preserve">Original-source passage</x:t>
        </x:is>
      </x:c>
      <x:c r="X641" s="136" t="inlineStr">
        <x:is>
          <x:t xml:space="preserve">A - Primary-source text located</x:t>
        </x:is>
      </x:c>
      <x:c r="Y641" s="136" t="inlineStr">
        <x:is>
          <x:t xml:space="preserve">Latin anchor collected from Seneca primary-text corpus; exact punctuation/orthography can vary by edition. Release requires passage-level recheck.</x:t>
        </x:is>
      </x:c>
      <x:c r="Z641" s="136" t="inlineStr">
        <x:is>
          <x:t xml:space="preserve">Ancient work public domain; digital transcription terms apply</x:t>
        </x:is>
      </x:c>
      <x:c r="AA641" s="136" t="inlineStr">
        <x:is>
          <x:t xml:space="preserve">Keep Latin original and use fresh Selflo Vietnamese working translation; do not copy a modern copyrighted translation.</x:t>
        </x:is>
      </x:c>
      <x:c r="AB641" s="136" t="inlineStr">
        <x:is>
          <x:t xml:space="preserve">High</x:t>
        </x:is>
      </x:c>
      <x:c r="AC641" s="136" t="inlineStr">
        <x:is>
          <x:t xml:space="preserve">Collected for Day 9 coverage; editorial selection happens later.</x:t>
        </x:is>
      </x:c>
      <x:c r="AD641" s="136" t="inlineStr">
        <x:is>
          <x:t xml:space="preserve">Low–Medium</x:t>
        </x:is>
      </x:c>
      <x:c r="AE641" s="136" t="inlineStr">
        <x:is>
          <x:t xml:space="preserve">Needs semantic dedupe review</x:t>
        </x:is>
      </x:c>
      <x:c r="AF641" s="136" t="inlineStr">
        <x:is>
          <x:t xml:space="preserve"/>
        </x:is>
      </x:c>
      <x:c r="AG641" s="136" t="inlineStr">
        <x:is>
          <x:t xml:space="preserve"/>
        </x:is>
      </x:c>
      <x:c r="AH641" s="136" t="inlineStr">
        <x:is>
          <x:t xml:space="preserve">No</x:t>
        </x:is>
      </x:c>
      <x:c r="AI641" s="136" t="inlineStr">
        <x:is>
          <x:t xml:space="preserve">Not reviewed</x:t>
        </x:is>
      </x:c>
      <x:c r="AJ641" s="136" t="inlineStr">
        <x:is>
          <x:t xml:space="preserve">Research only</x:t>
        </x:is>
      </x:c>
      <x:c r="AK641" s="136" t="inlineStr">
        <x:is>
          <x:t xml:space="preserve">Research Pool</x:t>
        </x:is>
      </x:c>
      <x:c r="AL641" s="136" t="n">
        <x:v>9</x:v>
      </x:c>
      <x:c r="AM641" s="136" t="inlineStr">
        <x:is>
          <x:t xml:space="preserve">ChatGPT research</x:t>
        </x:is>
      </x:c>
      <x:c r="AN641" s="136" t="inlineStr">
        <x:is>
          <x:t xml:space="preserve">2026-09-18</x:t>
        </x:is>
      </x:c>
      <x:c r="AO641" s="136" t="inlineStr">
        <x:is>
          <x:t xml:space="preserve">Day 9 Seneca full-scope thematic screening; VI is Selflo working translation.</x:t>
        </x:is>
      </x:c>
      <x:c r="AP641" s="136" t="n"/>
      <x:c r="AQ641" s="136" t="n"/>
    </x:row>
    <x:row r="642">
      <x:c r="A642" s="136" t="inlineStr">
        <x:is>
          <x:t xml:space="preserve">research.seneca.day9.otio2</x:t>
        </x:is>
      </x:c>
      <x:c r="B642" s="136" t="inlineStr">
        <x:is>
          <x:t xml:space="preserve">Collected</x:t>
        </x:is>
      </x:c>
      <x:c r="C642" s="136" t="inlineStr">
        <x:is>
          <x:t xml:space="preserve">Nội tâm &amp; hiểu mình</x:t>
        </x:is>
      </x:c>
      <x:c r="D642" s="136" t="inlineStr">
        <x:is>
          <x:t xml:space="preserve">Day 9 / Seneca — Letters &amp; Essays</x:t>
        </x:is>
      </x:c>
      <x:c r="E642" s="136" t="inlineStr">
        <x:is>
          <x:t xml:space="preserve"/>
        </x:is>
      </x:c>
      <x:c r="F642" s="136" t="inlineStr">
        <x:is>
          <x:t xml:space="preserve">Quá nhiều mục tiêu</x:t>
        </x:is>
      </x:c>
      <x:c r="G642" s="136" t="inlineStr">
        <x:is>
          <x:t xml:space="preserve">Overload</x:t>
        </x:is>
      </x:c>
      <x:c r="H642" s="136" t="inlineStr">
        <x:is>
          <x:t xml:space="preserve"/>
        </x:is>
      </x:c>
      <x:c r="I642" s="136" t="inlineStr">
        <x:is>
          <x:t xml:space="preserve"/>
        </x:is>
      </x:c>
      <x:c r="J642" s="136" t="inlineStr">
        <x:is>
          <x:t xml:space="preserve"/>
        </x:is>
      </x:c>
      <x:c r="K642" s="136" t="inlineStr">
        <x:is>
          <x:t xml:space="preserve">Recognize</x:t>
        </x:is>
      </x:c>
      <x:c r="L642" s="136" t="inlineStr">
        <x:is>
          <x:t xml:space="preserve"/>
        </x:is>
      </x:c>
      <x:c r="M642" s="136" t="inlineStr">
        <x:is>
          <x:t xml:space="preserve">Essay / philosophical reflection</x:t>
        </x:is>
      </x:c>
      <x:c r="N642" s="136" t="inlineStr">
        <x:is>
          <x:t xml:space="preserve">tunc potest vita aequali et uno tenore procedere, quam propositis diversissimis scindimus.</x:t>
        </x:is>
      </x:c>
      <x:c r="O642" s="136" t="inlineStr">
        <x:is>
          <x:t xml:space="preserve">Latin</x:t>
        </x:is>
      </x:c>
      <x:c r="P642" s="136" t="inlineStr">
        <x:is>
          <x:t xml:space="preserve">Đời sống có thể tìm lại một nhịp hơn khi không bị xé bởi quá nhiều mục tiêu trái hướng.</x:t>
        </x:is>
      </x:c>
      <x:c r="Q642" s="136" t="inlineStr">
        <x:is>
          <x:t xml:space="preserve">Lucius Annaeus Seneca</x:t>
        </x:is>
      </x:c>
      <x:c r="R642" s="136" t="inlineStr">
        <x:is>
          <x:t xml:space="preserve">Roman Stoic / Rome</x:t>
        </x:is>
      </x:c>
      <x:c r="S642" s="136" t="inlineStr">
        <x:is>
          <x:t xml:space="preserve">De Otio</x:t>
        </x:is>
      </x:c>
      <x:c r="T642" s="136" t="inlineStr">
        <x:is>
          <x:t xml:space="preserve">1.1</x:t>
        </x:is>
      </x:c>
      <x:c r="U642" s="136" t="inlineStr">
        <x:is>
          <x:t xml:space="preserve">https://la.wikisource.org/wiki/De_Otio</x:t>
        </x:is>
      </x:c>
      <x:c r="V642" s="136" t="inlineStr">
        <x:is>
          <x:t xml:space="preserve">Primary Latin text / reputable digital corpus</x:t>
        </x:is>
      </x:c>
      <x:c r="W642" s="136" t="inlineStr">
        <x:is>
          <x:t xml:space="preserve">Original-source passage</x:t>
        </x:is>
      </x:c>
      <x:c r="X642" s="136" t="inlineStr">
        <x:is>
          <x:t xml:space="preserve">A - Primary-source text located</x:t>
        </x:is>
      </x:c>
      <x:c r="Y642" s="136" t="inlineStr">
        <x:is>
          <x:t xml:space="preserve">Latin anchor collected from Seneca primary-text corpus; exact punctuation/orthography can vary by edition. Release requires passage-level recheck.</x:t>
        </x:is>
      </x:c>
      <x:c r="Z642" s="136" t="inlineStr">
        <x:is>
          <x:t xml:space="preserve">Ancient work public domain; digital transcription terms apply</x:t>
        </x:is>
      </x:c>
      <x:c r="AA642" s="136" t="inlineStr">
        <x:is>
          <x:t xml:space="preserve">Keep Latin original and use fresh Selflo Vietnamese working translation; do not copy a modern copyrighted translation.</x:t>
        </x:is>
      </x:c>
      <x:c r="AB642" s="136" t="inlineStr">
        <x:is>
          <x:t xml:space="preserve">High</x:t>
        </x:is>
      </x:c>
      <x:c r="AC642" s="136" t="inlineStr">
        <x:is>
          <x:t xml:space="preserve">Collected for Day 9 coverage; editorial selection happens later.</x:t>
        </x:is>
      </x:c>
      <x:c r="AD642" s="136" t="inlineStr">
        <x:is>
          <x:t xml:space="preserve">Low–Medium</x:t>
        </x:is>
      </x:c>
      <x:c r="AE642" s="136" t="inlineStr">
        <x:is>
          <x:t xml:space="preserve">Needs semantic dedupe review</x:t>
        </x:is>
      </x:c>
      <x:c r="AF642" s="136" t="inlineStr">
        <x:is>
          <x:t xml:space="preserve"/>
        </x:is>
      </x:c>
      <x:c r="AG642" s="136" t="inlineStr">
        <x:is>
          <x:t xml:space="preserve"/>
        </x:is>
      </x:c>
      <x:c r="AH642" s="136" t="inlineStr">
        <x:is>
          <x:t xml:space="preserve">No</x:t>
        </x:is>
      </x:c>
      <x:c r="AI642" s="136" t="inlineStr">
        <x:is>
          <x:t xml:space="preserve">Not reviewed</x:t>
        </x:is>
      </x:c>
      <x:c r="AJ642" s="136" t="inlineStr">
        <x:is>
          <x:t xml:space="preserve">Research only</x:t>
        </x:is>
      </x:c>
      <x:c r="AK642" s="136" t="inlineStr">
        <x:is>
          <x:t xml:space="preserve">Research Pool</x:t>
        </x:is>
      </x:c>
      <x:c r="AL642" s="136" t="n">
        <x:v>9</x:v>
      </x:c>
      <x:c r="AM642" s="136" t="inlineStr">
        <x:is>
          <x:t xml:space="preserve">ChatGPT research</x:t>
        </x:is>
      </x:c>
      <x:c r="AN642" s="136" t="inlineStr">
        <x:is>
          <x:t xml:space="preserve">2026-09-18</x:t>
        </x:is>
      </x:c>
      <x:c r="AO642" s="136" t="inlineStr">
        <x:is>
          <x:t xml:space="preserve">Day 9 Seneca full-scope thematic screening; VI is Selflo working translation.</x:t>
        </x:is>
      </x:c>
      <x:c r="AP642" s="136" t="n"/>
      <x:c r="AQ642" s="136" t="n"/>
    </x:row>
    <x:row r="643">
      <x:c r="A643" s="136" t="inlineStr">
        <x:is>
          <x:t xml:space="preserve">research.seneca.day9.otio3</x:t>
        </x:is>
      </x:c>
      <x:c r="B643" s="136" t="inlineStr">
        <x:is>
          <x:t xml:space="preserve">Collected</x:t>
        </x:is>
      </x:c>
      <x:c r="C643" s="136" t="inlineStr">
        <x:is>
          <x:t xml:space="preserve">Nội tâm &amp; hiểu mình</x:t>
        </x:is>
      </x:c>
      <x:c r="D643" s="136" t="inlineStr">
        <x:is>
          <x:t xml:space="preserve">Day 9 / Seneca — Letters &amp; Essays</x:t>
        </x:is>
      </x:c>
      <x:c r="E643" s="136" t="inlineStr">
        <x:is>
          <x:t xml:space="preserve"/>
        </x:is>
      </x:c>
      <x:c r="F643" s="136" t="inlineStr">
        <x:is>
          <x:t xml:space="preserve">Phán đoán dễ bị kéo</x:t>
        </x:is>
      </x:c>
      <x:c r="G643" s="136" t="inlineStr">
        <x:is>
          <x:t xml:space="preserve">Judgment</x:t>
        </x:is>
      </x:c>
      <x:c r="H643" s="136" t="inlineStr">
        <x:is>
          <x:t xml:space="preserve"/>
        </x:is>
      </x:c>
      <x:c r="I643" s="136" t="inlineStr">
        <x:is>
          <x:t xml:space="preserve"/>
        </x:is>
      </x:c>
      <x:c r="J643" s="136" t="inlineStr">
        <x:is>
          <x:t xml:space="preserve"/>
        </x:is>
      </x:c>
      <x:c r="K643" s="136" t="inlineStr">
        <x:is>
          <x:t xml:space="preserve">Recognize</x:t>
        </x:is>
      </x:c>
      <x:c r="L643" s="136" t="inlineStr">
        <x:is>
          <x:t xml:space="preserve"/>
        </x:is>
      </x:c>
      <x:c r="M643" s="136" t="inlineStr">
        <x:is>
          <x:t xml:space="preserve">Essay / philosophical reflection</x:t>
        </x:is>
      </x:c>
      <x:c r="N643" s="136" t="inlineStr">
        <x:is>
          <x:t xml:space="preserve">iudicia nostra non tantum prava sed etiam levia sunt.</x:t>
        </x:is>
      </x:c>
      <x:c r="O643" s="136" t="inlineStr">
        <x:is>
          <x:t xml:space="preserve">Latin</x:t>
        </x:is>
      </x:c>
      <x:c r="P643" s="136" t="inlineStr">
        <x:is>
          <x:t xml:space="preserve">Phán đoán của ta không chỉ có thể sai mà còn có thể thay đổi quá nhẹ theo hoàn cảnh.</x:t>
        </x:is>
      </x:c>
      <x:c r="Q643" s="136" t="inlineStr">
        <x:is>
          <x:t xml:space="preserve">Lucius Annaeus Seneca</x:t>
        </x:is>
      </x:c>
      <x:c r="R643" s="136" t="inlineStr">
        <x:is>
          <x:t xml:space="preserve">Roman Stoic / Rome</x:t>
        </x:is>
      </x:c>
      <x:c r="S643" s="136" t="inlineStr">
        <x:is>
          <x:t xml:space="preserve">De Otio</x:t>
        </x:is>
      </x:c>
      <x:c r="T643" s="136" t="inlineStr">
        <x:is>
          <x:t xml:space="preserve">1.2</x:t>
        </x:is>
      </x:c>
      <x:c r="U643" s="136" t="inlineStr">
        <x:is>
          <x:t xml:space="preserve">https://la.wikisource.org/wiki/De_Otio</x:t>
        </x:is>
      </x:c>
      <x:c r="V643" s="136" t="inlineStr">
        <x:is>
          <x:t xml:space="preserve">Primary Latin text / reputable digital corpus</x:t>
        </x:is>
      </x:c>
      <x:c r="W643" s="136" t="inlineStr">
        <x:is>
          <x:t xml:space="preserve">Original-source passage</x:t>
        </x:is>
      </x:c>
      <x:c r="X643" s="136" t="inlineStr">
        <x:is>
          <x:t xml:space="preserve">A - Primary-source text located</x:t>
        </x:is>
      </x:c>
      <x:c r="Y643" s="136" t="inlineStr">
        <x:is>
          <x:t xml:space="preserve">Latin anchor collected from Seneca primary-text corpus; exact punctuation/orthography can vary by edition. Release requires passage-level recheck.</x:t>
        </x:is>
      </x:c>
      <x:c r="Z643" s="136" t="inlineStr">
        <x:is>
          <x:t xml:space="preserve">Ancient work public domain; digital transcription terms apply</x:t>
        </x:is>
      </x:c>
      <x:c r="AA643" s="136" t="inlineStr">
        <x:is>
          <x:t xml:space="preserve">Keep Latin original and use fresh Selflo Vietnamese working translation; do not copy a modern copyrighted translation.</x:t>
        </x:is>
      </x:c>
      <x:c r="AB643" s="136" t="inlineStr">
        <x:is>
          <x:t xml:space="preserve">High</x:t>
        </x:is>
      </x:c>
      <x:c r="AC643" s="136" t="inlineStr">
        <x:is>
          <x:t xml:space="preserve">Collected for Day 9 coverage; editorial selection happens later.</x:t>
        </x:is>
      </x:c>
      <x:c r="AD643" s="136" t="inlineStr">
        <x:is>
          <x:t xml:space="preserve">Low–Medium</x:t>
        </x:is>
      </x:c>
      <x:c r="AE643" s="136" t="inlineStr">
        <x:is>
          <x:t xml:space="preserve">Needs semantic dedupe review</x:t>
        </x:is>
      </x:c>
      <x:c r="AF643" s="136" t="inlineStr">
        <x:is>
          <x:t xml:space="preserve"/>
        </x:is>
      </x:c>
      <x:c r="AG643" s="136" t="inlineStr">
        <x:is>
          <x:t xml:space="preserve"/>
        </x:is>
      </x:c>
      <x:c r="AH643" s="136" t="inlineStr">
        <x:is>
          <x:t xml:space="preserve">No</x:t>
        </x:is>
      </x:c>
      <x:c r="AI643" s="136" t="inlineStr">
        <x:is>
          <x:t xml:space="preserve">Not reviewed</x:t>
        </x:is>
      </x:c>
      <x:c r="AJ643" s="136" t="inlineStr">
        <x:is>
          <x:t xml:space="preserve">Research only</x:t>
        </x:is>
      </x:c>
      <x:c r="AK643" s="136" t="inlineStr">
        <x:is>
          <x:t xml:space="preserve">Research Pool</x:t>
        </x:is>
      </x:c>
      <x:c r="AL643" s="136" t="n">
        <x:v>9</x:v>
      </x:c>
      <x:c r="AM643" s="136" t="inlineStr">
        <x:is>
          <x:t xml:space="preserve">ChatGPT research</x:t>
        </x:is>
      </x:c>
      <x:c r="AN643" s="136" t="inlineStr">
        <x:is>
          <x:t xml:space="preserve">2026-09-18</x:t>
        </x:is>
      </x:c>
      <x:c r="AO643" s="136" t="inlineStr">
        <x:is>
          <x:t xml:space="preserve">Day 9 Seneca full-scope thematic screening; VI is Selflo working translation.</x:t>
        </x:is>
      </x:c>
      <x:c r="AP643" s="136" t="n"/>
      <x:c r="AQ643" s="136" t="n"/>
    </x:row>
    <x:row r="644">
      <x:c r="A644" s="136" t="inlineStr">
        <x:is>
          <x:t xml:space="preserve">research.seneca.day9.otio4</x:t>
        </x:is>
      </x:c>
      <x:c r="B644" s="136" t="inlineStr">
        <x:is>
          <x:t xml:space="preserve">Collected</x:t>
        </x:is>
      </x:c>
      <x:c r="C644" s="136" t="inlineStr">
        <x:is>
          <x:t xml:space="preserve">Nội tâm &amp; hiểu mình</x:t>
        </x:is>
      </x:c>
      <x:c r="D644" s="136" t="inlineStr">
        <x:is>
          <x:t xml:space="preserve">Day 9 / Seneca — Letters &amp; Essays</x:t>
        </x:is>
      </x:c>
      <x:c r="E644" s="136" t="inlineStr">
        <x:is>
          <x:t xml:space="preserve"/>
        </x:is>
      </x:c>
      <x:c r="F644" s="136" t="inlineStr">
        <x:is>
          <x:t xml:space="preserve">Sống bằng đánh giá bên ngoài</x:t>
        </x:is>
      </x:c>
      <x:c r="G644" s="136" t="inlineStr">
        <x:is>
          <x:t xml:space="preserve">External validation</x:t>
        </x:is>
      </x:c>
      <x:c r="H644" s="136" t="inlineStr">
        <x:is>
          <x:t xml:space="preserve"/>
        </x:is>
      </x:c>
      <x:c r="I644" s="136" t="inlineStr">
        <x:is>
          <x:t xml:space="preserve"/>
        </x:is>
      </x:c>
      <x:c r="J644" s="136" t="inlineStr">
        <x:is>
          <x:t xml:space="preserve"/>
        </x:is>
      </x:c>
      <x:c r="K644" s="136" t="inlineStr">
        <x:is>
          <x:t xml:space="preserve">Recognize</x:t>
        </x:is>
      </x:c>
      <x:c r="L644" s="136" t="inlineStr">
        <x:is>
          <x:t xml:space="preserve"/>
        </x:is>
      </x:c>
      <x:c r="M644" s="136" t="inlineStr">
        <x:is>
          <x:t xml:space="preserve">Essay / philosophical reflection</x:t>
        </x:is>
      </x:c>
      <x:c r="N644" s="136" t="inlineStr">
        <x:is>
          <x:t xml:space="preserve">Pendemus enim toti ex alienis iudiciis.</x:t>
        </x:is>
      </x:c>
      <x:c r="O644" s="136" t="inlineStr">
        <x:is>
          <x:t xml:space="preserve">Latin</x:t>
        </x:is>
      </x:c>
      <x:c r="P644" s="136" t="inlineStr">
        <x:is>
          <x:t xml:space="preserve">Ta có thể treo cả mình vào phán đoán của người khác.</x:t>
        </x:is>
      </x:c>
      <x:c r="Q644" s="136" t="inlineStr">
        <x:is>
          <x:t xml:space="preserve">Lucius Annaeus Seneca</x:t>
        </x:is>
      </x:c>
      <x:c r="R644" s="136" t="inlineStr">
        <x:is>
          <x:t xml:space="preserve">Roman Stoic / Rome</x:t>
        </x:is>
      </x:c>
      <x:c r="S644" s="136" t="inlineStr">
        <x:is>
          <x:t xml:space="preserve">De Otio</x:t>
        </x:is>
      </x:c>
      <x:c r="T644" s="136" t="inlineStr">
        <x:is>
          <x:t xml:space="preserve">1.3</x:t>
        </x:is>
      </x:c>
      <x:c r="U644" s="136" t="inlineStr">
        <x:is>
          <x:t xml:space="preserve">https://la.wikisource.org/wiki/De_Otio</x:t>
        </x:is>
      </x:c>
      <x:c r="V644" s="136" t="inlineStr">
        <x:is>
          <x:t xml:space="preserve">Primary Latin text / reputable digital corpus</x:t>
        </x:is>
      </x:c>
      <x:c r="W644" s="136" t="inlineStr">
        <x:is>
          <x:t xml:space="preserve">Original-source passage</x:t>
        </x:is>
      </x:c>
      <x:c r="X644" s="136" t="inlineStr">
        <x:is>
          <x:t xml:space="preserve">A - Primary-source text located</x:t>
        </x:is>
      </x:c>
      <x:c r="Y644" s="136" t="inlineStr">
        <x:is>
          <x:t xml:space="preserve">Latin anchor collected from Seneca primary-text corpus; exact punctuation/orthography can vary by edition. Release requires passage-level recheck.</x:t>
        </x:is>
      </x:c>
      <x:c r="Z644" s="136" t="inlineStr">
        <x:is>
          <x:t xml:space="preserve">Ancient work public domain; digital transcription terms apply</x:t>
        </x:is>
      </x:c>
      <x:c r="AA644" s="136" t="inlineStr">
        <x:is>
          <x:t xml:space="preserve">Keep Latin original and use fresh Selflo Vietnamese working translation; do not copy a modern copyrighted translation.</x:t>
        </x:is>
      </x:c>
      <x:c r="AB644" s="136" t="inlineStr">
        <x:is>
          <x:t xml:space="preserve">High</x:t>
        </x:is>
      </x:c>
      <x:c r="AC644" s="136" t="inlineStr">
        <x:is>
          <x:t xml:space="preserve">Collected for Day 9 coverage; editorial selection happens later.</x:t>
        </x:is>
      </x:c>
      <x:c r="AD644" s="136" t="inlineStr">
        <x:is>
          <x:t xml:space="preserve">Low–Medium</x:t>
        </x:is>
      </x:c>
      <x:c r="AE644" s="136" t="inlineStr">
        <x:is>
          <x:t xml:space="preserve">Needs semantic dedupe review</x:t>
        </x:is>
      </x:c>
      <x:c r="AF644" s="136" t="inlineStr">
        <x:is>
          <x:t xml:space="preserve"/>
        </x:is>
      </x:c>
      <x:c r="AG644" s="136" t="inlineStr">
        <x:is>
          <x:t xml:space="preserve"/>
        </x:is>
      </x:c>
      <x:c r="AH644" s="136" t="inlineStr">
        <x:is>
          <x:t xml:space="preserve">No</x:t>
        </x:is>
      </x:c>
      <x:c r="AI644" s="136" t="inlineStr">
        <x:is>
          <x:t xml:space="preserve">Not reviewed</x:t>
        </x:is>
      </x:c>
      <x:c r="AJ644" s="136" t="inlineStr">
        <x:is>
          <x:t xml:space="preserve">Research only</x:t>
        </x:is>
      </x:c>
      <x:c r="AK644" s="136" t="inlineStr">
        <x:is>
          <x:t xml:space="preserve">Research Pool</x:t>
        </x:is>
      </x:c>
      <x:c r="AL644" s="136" t="n">
        <x:v>9</x:v>
      </x:c>
      <x:c r="AM644" s="136" t="inlineStr">
        <x:is>
          <x:t xml:space="preserve">ChatGPT research</x:t>
        </x:is>
      </x:c>
      <x:c r="AN644" s="136" t="inlineStr">
        <x:is>
          <x:t xml:space="preserve">2026-09-18</x:t>
        </x:is>
      </x:c>
      <x:c r="AO644" s="136" t="inlineStr">
        <x:is>
          <x:t xml:space="preserve">Day 9 Seneca full-scope thematic screening; VI is Selflo working translation.</x:t>
        </x:is>
      </x:c>
      <x:c r="AP644" s="136" t="n"/>
      <x:c r="AQ644" s="136" t="n"/>
    </x:row>
    <x:row r="645">
      <x:c r="A645" s="136" t="inlineStr">
        <x:is>
          <x:t xml:space="preserve">research.seneca.day9.otio5</x:t>
        </x:is>
      </x:c>
      <x:c r="B645" s="136" t="inlineStr">
        <x:is>
          <x:t xml:space="preserve">Collected</x:t>
        </x:is>
      </x:c>
      <x:c r="C645" s="136" t="inlineStr">
        <x:is>
          <x:t xml:space="preserve">Nội tâm &amp; hiểu mình</x:t>
        </x:is>
      </x:c>
      <x:c r="D645" s="136" t="inlineStr">
        <x:is>
          <x:t xml:space="preserve">Day 9 / Seneca — Letters &amp; Essays</x:t>
        </x:is>
      </x:c>
      <x:c r="E645" s="136" t="inlineStr">
        <x:is>
          <x:t xml:space="preserve"/>
        </x:is>
      </x:c>
      <x:c r="F645" s="136" t="inlineStr">
        <x:is>
          <x:t xml:space="preserve">Đám đông thay cho phán đoán cá nhân</x:t>
        </x:is>
      </x:c>
      <x:c r="G645" s="136" t="inlineStr">
        <x:is>
          <x:t xml:space="preserve">AI-age judgment</x:t>
        </x:is>
      </x:c>
      <x:c r="H645" s="136" t="inlineStr">
        <x:is>
          <x:t xml:space="preserve"/>
        </x:is>
      </x:c>
      <x:c r="I645" s="136" t="inlineStr">
        <x:is>
          <x:t xml:space="preserve"/>
        </x:is>
      </x:c>
      <x:c r="J645" s="136" t="inlineStr">
        <x:is>
          <x:t xml:space="preserve"/>
        </x:is>
      </x:c>
      <x:c r="K645" s="136" t="inlineStr">
        <x:is>
          <x:t xml:space="preserve">Distinguish</x:t>
        </x:is>
      </x:c>
      <x:c r="L645" s="136" t="inlineStr">
        <x:is>
          <x:t xml:space="preserve"/>
        </x:is>
      </x:c>
      <x:c r="M645" s="136" t="inlineStr">
        <x:is>
          <x:t xml:space="preserve">Essay / philosophical reflection</x:t>
        </x:is>
      </x:c>
      <x:c r="N645" s="136" t="inlineStr">
        <x:is>
          <x:t xml:space="preserve">nec viam bonam ac malam per se aestimamus sed turba vestigiorum.</x:t>
        </x:is>
      </x:c>
      <x:c r="O645" s="136" t="inlineStr">
        <x:is>
          <x:t xml:space="preserve">Latin</x:t>
        </x:is>
      </x:c>
      <x:c r="P645" s="136" t="inlineStr">
        <x:is>
          <x:t xml:space="preserve">Ta dễ đánh giá con đường bằng số dấu chân trên đó hơn là tự nhìn con đường.</x:t>
        </x:is>
      </x:c>
      <x:c r="Q645" s="136" t="inlineStr">
        <x:is>
          <x:t xml:space="preserve">Lucius Annaeus Seneca</x:t>
        </x:is>
      </x:c>
      <x:c r="R645" s="136" t="inlineStr">
        <x:is>
          <x:t xml:space="preserve">Roman Stoic / Rome</x:t>
        </x:is>
      </x:c>
      <x:c r="S645" s="136" t="inlineStr">
        <x:is>
          <x:t xml:space="preserve">De Otio</x:t>
        </x:is>
      </x:c>
      <x:c r="T645" s="136" t="inlineStr">
        <x:is>
          <x:t xml:space="preserve">1.3</x:t>
        </x:is>
      </x:c>
      <x:c r="U645" s="136" t="inlineStr">
        <x:is>
          <x:t xml:space="preserve">https://la.wikisource.org/wiki/De_Otio</x:t>
        </x:is>
      </x:c>
      <x:c r="V645" s="136" t="inlineStr">
        <x:is>
          <x:t xml:space="preserve">Primary Latin text / reputable digital corpus</x:t>
        </x:is>
      </x:c>
      <x:c r="W645" s="136" t="inlineStr">
        <x:is>
          <x:t xml:space="preserve">Original-source passage</x:t>
        </x:is>
      </x:c>
      <x:c r="X645" s="136" t="inlineStr">
        <x:is>
          <x:t xml:space="preserve">A - Primary-source text located</x:t>
        </x:is>
      </x:c>
      <x:c r="Y645" s="136" t="inlineStr">
        <x:is>
          <x:t xml:space="preserve">Latin anchor collected from Seneca primary-text corpus; exact punctuation/orthography can vary by edition. Release requires passage-level recheck.</x:t>
        </x:is>
      </x:c>
      <x:c r="Z645" s="136" t="inlineStr">
        <x:is>
          <x:t xml:space="preserve">Ancient work public domain; digital transcription terms apply</x:t>
        </x:is>
      </x:c>
      <x:c r="AA645" s="136" t="inlineStr">
        <x:is>
          <x:t xml:space="preserve">Keep Latin original and use fresh Selflo Vietnamese working translation; do not copy a modern copyrighted translation.</x:t>
        </x:is>
      </x:c>
      <x:c r="AB645" s="136" t="inlineStr">
        <x:is>
          <x:t xml:space="preserve">High</x:t>
        </x:is>
      </x:c>
      <x:c r="AC645" s="136" t="inlineStr">
        <x:is>
          <x:t xml:space="preserve">Collected for Day 9 coverage; editorial selection happens later.</x:t>
        </x:is>
      </x:c>
      <x:c r="AD645" s="136" t="inlineStr">
        <x:is>
          <x:t xml:space="preserve">Low–Medium</x:t>
        </x:is>
      </x:c>
      <x:c r="AE645" s="136" t="inlineStr">
        <x:is>
          <x:t xml:space="preserve">Needs semantic dedupe review</x:t>
        </x:is>
      </x:c>
      <x:c r="AF645" s="136" t="inlineStr">
        <x:is>
          <x:t xml:space="preserve"/>
        </x:is>
      </x:c>
      <x:c r="AG645" s="136" t="inlineStr">
        <x:is>
          <x:t xml:space="preserve"/>
        </x:is>
      </x:c>
      <x:c r="AH645" s="136" t="inlineStr">
        <x:is>
          <x:t xml:space="preserve">No</x:t>
        </x:is>
      </x:c>
      <x:c r="AI645" s="136" t="inlineStr">
        <x:is>
          <x:t xml:space="preserve">Not reviewed</x:t>
        </x:is>
      </x:c>
      <x:c r="AJ645" s="136" t="inlineStr">
        <x:is>
          <x:t xml:space="preserve">Research only</x:t>
        </x:is>
      </x:c>
      <x:c r="AK645" s="136" t="inlineStr">
        <x:is>
          <x:t xml:space="preserve">Research Pool</x:t>
        </x:is>
      </x:c>
      <x:c r="AL645" s="136" t="n">
        <x:v>9</x:v>
      </x:c>
      <x:c r="AM645" s="136" t="inlineStr">
        <x:is>
          <x:t xml:space="preserve">ChatGPT research</x:t>
        </x:is>
      </x:c>
      <x:c r="AN645" s="136" t="inlineStr">
        <x:is>
          <x:t xml:space="preserve">2026-09-18</x:t>
        </x:is>
      </x:c>
      <x:c r="AO645" s="136" t="inlineStr">
        <x:is>
          <x:t xml:space="preserve">Day 9 Seneca full-scope thematic screening; VI is Selflo working translation.</x:t>
        </x:is>
      </x:c>
      <x:c r="AP645" s="136" t="n"/>
      <x:c r="AQ645" s="136" t="n"/>
    </x:row>
    <x:row r="646">
      <x:c r="A646" s="136" t="inlineStr">
        <x:is>
          <x:t xml:space="preserve">research.seneca.day9.brev1</x:t>
        </x:is>
      </x:c>
      <x:c r="B646" s="136" t="inlineStr">
        <x:is>
          <x:t xml:space="preserve">Collected</x:t>
        </x:is>
      </x:c>
      <x:c r="C646" s="136" t="inlineStr">
        <x:is>
          <x:t xml:space="preserve">Nội tâm &amp; hiểu mình</x:t>
        </x:is>
      </x:c>
      <x:c r="D646" s="136" t="inlineStr">
        <x:is>
          <x:t xml:space="preserve">Day 9 / Seneca — Letters &amp; Essays</x:t>
        </x:is>
      </x:c>
      <x:c r="E646" s="136" t="inlineStr">
        <x:is>
          <x:t xml:space="preserve"/>
        </x:is>
      </x:c>
      <x:c r="F646" s="136" t="inlineStr">
        <x:is>
          <x:t xml:space="preserve">Chuẩn bị mãi mà chưa sống</x:t>
        </x:is>
      </x:c>
      <x:c r="G646" s="136" t="inlineStr">
        <x:is>
          <x:t xml:space="preserve">Time</x:t>
        </x:is>
      </x:c>
      <x:c r="H646" s="136" t="inlineStr">
        <x:is>
          <x:t xml:space="preserve"/>
        </x:is>
      </x:c>
      <x:c r="I646" s="136" t="inlineStr">
        <x:is>
          <x:t xml:space="preserve"/>
        </x:is>
      </x:c>
      <x:c r="J646" s="136" t="inlineStr">
        <x:is>
          <x:t xml:space="preserve"/>
        </x:is>
      </x:c>
      <x:c r="K646" s="136" t="inlineStr">
        <x:is>
          <x:t xml:space="preserve">Recognize</x:t>
        </x:is>
      </x:c>
      <x:c r="L646" s="136" t="inlineStr">
        <x:is>
          <x:t xml:space="preserve"/>
        </x:is>
      </x:c>
      <x:c r="M646" s="136" t="inlineStr">
        <x:is>
          <x:t xml:space="preserve">Essay / philosophical reflection</x:t>
        </x:is>
      </x:c>
      <x:c r="N646" s="136" t="inlineStr">
        <x:is>
          <x:t xml:space="preserve">in ipso vitae apparatu vita destituat.</x:t>
        </x:is>
      </x:c>
      <x:c r="O646" s="136" t="inlineStr">
        <x:is>
          <x:t xml:space="preserve">Latin</x:t>
        </x:is>
      </x:c>
      <x:c r="P646" s="136" t="inlineStr">
        <x:is>
          <x:t xml:space="preserve">Có người dành gần cả đời để chuẩn bị sống rồi đời đã đi qua.</x:t>
        </x:is>
      </x:c>
      <x:c r="Q646" s="136" t="inlineStr">
        <x:is>
          <x:t xml:space="preserve">Lucius Annaeus Seneca</x:t>
        </x:is>
      </x:c>
      <x:c r="R646" s="136" t="inlineStr">
        <x:is>
          <x:t xml:space="preserve">Roman Stoic / Rome</x:t>
        </x:is>
      </x:c>
      <x:c r="S646" s="136" t="inlineStr">
        <x:is>
          <x:t xml:space="preserve">De Brevitate Vitae</x:t>
        </x:is>
      </x:c>
      <x:c r="T646" s="136" t="inlineStr">
        <x:is>
          <x:t xml:space="preserve">1.1</x:t>
        </x:is>
      </x:c>
      <x:c r="U646" s="136" t="inlineStr">
        <x:is>
          <x:t xml:space="preserve">https://la.wikisource.org/wiki/De_brevitate_vitae</x:t>
        </x:is>
      </x:c>
      <x:c r="V646" s="136" t="inlineStr">
        <x:is>
          <x:t xml:space="preserve">Primary Latin text / reputable digital corpus</x:t>
        </x:is>
      </x:c>
      <x:c r="W646" s="136" t="inlineStr">
        <x:is>
          <x:t xml:space="preserve">Original-source passage</x:t>
        </x:is>
      </x:c>
      <x:c r="X646" s="136" t="inlineStr">
        <x:is>
          <x:t xml:space="preserve">A - Primary-source text located</x:t>
        </x:is>
      </x:c>
      <x:c r="Y646" s="136" t="inlineStr">
        <x:is>
          <x:t xml:space="preserve">Latin anchor collected from Seneca primary-text corpus; exact punctuation/orthography can vary by edition. Release requires passage-level recheck.</x:t>
        </x:is>
      </x:c>
      <x:c r="Z646" s="136" t="inlineStr">
        <x:is>
          <x:t xml:space="preserve">Ancient work public domain; digital transcription terms apply</x:t>
        </x:is>
      </x:c>
      <x:c r="AA646" s="136" t="inlineStr">
        <x:is>
          <x:t xml:space="preserve">Keep Latin original and use fresh Selflo Vietnamese working translation; do not copy a modern copyrighted translation.</x:t>
        </x:is>
      </x:c>
      <x:c r="AB646" s="136" t="inlineStr">
        <x:is>
          <x:t xml:space="preserve">High</x:t>
        </x:is>
      </x:c>
      <x:c r="AC646" s="136" t="inlineStr">
        <x:is>
          <x:t xml:space="preserve">Collected for Day 9 coverage; editorial selection happens later.</x:t>
        </x:is>
      </x:c>
      <x:c r="AD646" s="136" t="inlineStr">
        <x:is>
          <x:t xml:space="preserve">Low–Medium</x:t>
        </x:is>
      </x:c>
      <x:c r="AE646" s="136" t="inlineStr">
        <x:is>
          <x:t xml:space="preserve">Needs semantic dedupe review</x:t>
        </x:is>
      </x:c>
      <x:c r="AF646" s="136" t="inlineStr">
        <x:is>
          <x:t xml:space="preserve"/>
        </x:is>
      </x:c>
      <x:c r="AG646" s="136" t="inlineStr">
        <x:is>
          <x:t xml:space="preserve"/>
        </x:is>
      </x:c>
      <x:c r="AH646" s="136" t="inlineStr">
        <x:is>
          <x:t xml:space="preserve">No</x:t>
        </x:is>
      </x:c>
      <x:c r="AI646" s="136" t="inlineStr">
        <x:is>
          <x:t xml:space="preserve">Not reviewed</x:t>
        </x:is>
      </x:c>
      <x:c r="AJ646" s="136" t="inlineStr">
        <x:is>
          <x:t xml:space="preserve">Research only</x:t>
        </x:is>
      </x:c>
      <x:c r="AK646" s="136" t="inlineStr">
        <x:is>
          <x:t xml:space="preserve">Research Pool</x:t>
        </x:is>
      </x:c>
      <x:c r="AL646" s="136" t="n">
        <x:v>9</x:v>
      </x:c>
      <x:c r="AM646" s="136" t="inlineStr">
        <x:is>
          <x:t xml:space="preserve">ChatGPT research</x:t>
        </x:is>
      </x:c>
      <x:c r="AN646" s="136" t="inlineStr">
        <x:is>
          <x:t xml:space="preserve">2026-09-18</x:t>
        </x:is>
      </x:c>
      <x:c r="AO646" s="136" t="inlineStr">
        <x:is>
          <x:t xml:space="preserve">Day 9 Seneca full-scope thematic screening; VI is Selflo working translation.</x:t>
        </x:is>
      </x:c>
      <x:c r="AP646" s="136" t="n"/>
      <x:c r="AQ646" s="136" t="n"/>
    </x:row>
    <x:row r="647">
      <x:c r="A647" s="136" t="inlineStr">
        <x:is>
          <x:t xml:space="preserve">research.seneca.day9.brev2</x:t>
        </x:is>
      </x:c>
      <x:c r="B647" s="136" t="inlineStr">
        <x:is>
          <x:t xml:space="preserve">Collected</x:t>
        </x:is>
      </x:c>
      <x:c r="C647" s="136" t="inlineStr">
        <x:is>
          <x:t xml:space="preserve">Nội tâm &amp; hiểu mình</x:t>
        </x:is>
      </x:c>
      <x:c r="D647" s="136" t="inlineStr">
        <x:is>
          <x:t xml:space="preserve">Day 9 / Seneca — Letters &amp; Essays</x:t>
        </x:is>
      </x:c>
      <x:c r="E647" s="136" t="inlineStr">
        <x:is>
          <x:t xml:space="preserve"/>
        </x:is>
      </x:c>
      <x:c r="F647" s="136" t="inlineStr">
        <x:is>
          <x:t xml:space="preserve">Thời gian và attention</x:t>
        </x:is>
      </x:c>
      <x:c r="G647" s="136" t="inlineStr">
        <x:is>
          <x:t xml:space="preserve">Time</x:t>
        </x:is>
      </x:c>
      <x:c r="H647" s="136" t="inlineStr">
        <x:is>
          <x:t xml:space="preserve"/>
        </x:is>
      </x:c>
      <x:c r="I647" s="136" t="inlineStr">
        <x:is>
          <x:t xml:space="preserve"/>
        </x:is>
      </x:c>
      <x:c r="J647" s="136" t="inlineStr">
        <x:is>
          <x:t xml:space="preserve"/>
        </x:is>
      </x:c>
      <x:c r="K647" s="136" t="inlineStr">
        <x:is>
          <x:t xml:space="preserve">Reframe</x:t>
        </x:is>
      </x:c>
      <x:c r="L647" s="136" t="inlineStr">
        <x:is>
          <x:t xml:space="preserve"/>
        </x:is>
      </x:c>
      <x:c r="M647" s="136" t="inlineStr">
        <x:is>
          <x:t xml:space="preserve">Essay / philosophical reflection</x:t>
        </x:is>
      </x:c>
      <x:c r="N647" s="136" t="inlineStr">
        <x:is>
          <x:t xml:space="preserve">Non exiguum temporis habemus, sed multum perdidimus.</x:t>
        </x:is>
      </x:c>
      <x:c r="O647" s="136" t="inlineStr">
        <x:is>
          <x:t xml:space="preserve">Latin</x:t>
        </x:is>
      </x:c>
      <x:c r="P647" s="136" t="inlineStr">
        <x:is>
          <x:t xml:space="preserve">Không hẳn ta có quá ít thời gian; Seneca cho rằng phần lớn vấn đề là ta để mất nhiều thời gian.</x:t>
        </x:is>
      </x:c>
      <x:c r="Q647" s="136" t="inlineStr">
        <x:is>
          <x:t xml:space="preserve">Lucius Annaeus Seneca</x:t>
        </x:is>
      </x:c>
      <x:c r="R647" s="136" t="inlineStr">
        <x:is>
          <x:t xml:space="preserve">Roman Stoic / Rome</x:t>
        </x:is>
      </x:c>
      <x:c r="S647" s="136" t="inlineStr">
        <x:is>
          <x:t xml:space="preserve">De Brevitate Vitae</x:t>
        </x:is>
      </x:c>
      <x:c r="T647" s="136" t="inlineStr">
        <x:is>
          <x:t xml:space="preserve">2.1</x:t>
        </x:is>
      </x:c>
      <x:c r="U647" s="136" t="inlineStr">
        <x:is>
          <x:t xml:space="preserve">https://la.wikisource.org/wiki/De_brevitate_vitae</x:t>
        </x:is>
      </x:c>
      <x:c r="V647" s="136" t="inlineStr">
        <x:is>
          <x:t xml:space="preserve">Primary Latin text / reputable digital corpus</x:t>
        </x:is>
      </x:c>
      <x:c r="W647" s="136" t="inlineStr">
        <x:is>
          <x:t xml:space="preserve">Original-source passage</x:t>
        </x:is>
      </x:c>
      <x:c r="X647" s="136" t="inlineStr">
        <x:is>
          <x:t xml:space="preserve">A - Primary-source text located</x:t>
        </x:is>
      </x:c>
      <x:c r="Y647" s="136" t="inlineStr">
        <x:is>
          <x:t xml:space="preserve">Latin anchor collected from Seneca primary-text corpus; exact punctuation/orthography can vary by edition. Release requires passage-level recheck.</x:t>
        </x:is>
      </x:c>
      <x:c r="Z647" s="136" t="inlineStr">
        <x:is>
          <x:t xml:space="preserve">Ancient work public domain; digital transcription terms apply</x:t>
        </x:is>
      </x:c>
      <x:c r="AA647" s="136" t="inlineStr">
        <x:is>
          <x:t xml:space="preserve">Keep Latin original and use fresh Selflo Vietnamese working translation; do not copy a modern copyrighted translation.</x:t>
        </x:is>
      </x:c>
      <x:c r="AB647" s="136" t="inlineStr">
        <x:is>
          <x:t xml:space="preserve">High</x:t>
        </x:is>
      </x:c>
      <x:c r="AC647" s="136" t="inlineStr">
        <x:is>
          <x:t xml:space="preserve">Collected for Day 9 coverage; editorial selection happens later.</x:t>
        </x:is>
      </x:c>
      <x:c r="AD647" s="136" t="inlineStr">
        <x:is>
          <x:t xml:space="preserve">Low–Medium</x:t>
        </x:is>
      </x:c>
      <x:c r="AE647" s="136" t="inlineStr">
        <x:is>
          <x:t xml:space="preserve">Needs semantic dedupe review</x:t>
        </x:is>
      </x:c>
      <x:c r="AF647" s="136" t="inlineStr">
        <x:is>
          <x:t xml:space="preserve"/>
        </x:is>
      </x:c>
      <x:c r="AG647" s="136" t="inlineStr">
        <x:is>
          <x:t xml:space="preserve"/>
        </x:is>
      </x:c>
      <x:c r="AH647" s="136" t="inlineStr">
        <x:is>
          <x:t xml:space="preserve">No</x:t>
        </x:is>
      </x:c>
      <x:c r="AI647" s="136" t="inlineStr">
        <x:is>
          <x:t xml:space="preserve">Not reviewed</x:t>
        </x:is>
      </x:c>
      <x:c r="AJ647" s="136" t="inlineStr">
        <x:is>
          <x:t xml:space="preserve">Research only</x:t>
        </x:is>
      </x:c>
      <x:c r="AK647" s="136" t="inlineStr">
        <x:is>
          <x:t xml:space="preserve">Research Pool</x:t>
        </x:is>
      </x:c>
      <x:c r="AL647" s="136" t="n">
        <x:v>9</x:v>
      </x:c>
      <x:c r="AM647" s="136" t="inlineStr">
        <x:is>
          <x:t xml:space="preserve">ChatGPT research</x:t>
        </x:is>
      </x:c>
      <x:c r="AN647" s="136" t="inlineStr">
        <x:is>
          <x:t xml:space="preserve">2026-09-18</x:t>
        </x:is>
      </x:c>
      <x:c r="AO647" s="136" t="inlineStr">
        <x:is>
          <x:t xml:space="preserve">Day 9 Seneca full-scope thematic screening; VI is Selflo working translation.</x:t>
        </x:is>
      </x:c>
      <x:c r="AP647" s="136" t="n"/>
      <x:c r="AQ647" s="136" t="n"/>
    </x:row>
    <x:row r="648">
      <x:c r="A648" s="136" t="inlineStr">
        <x:is>
          <x:t xml:space="preserve">research.seneca.day9.brev3</x:t>
        </x:is>
      </x:c>
      <x:c r="B648" s="136" t="inlineStr">
        <x:is>
          <x:t xml:space="preserve">Collected</x:t>
        </x:is>
      </x:c>
      <x:c r="C648" s="136" t="inlineStr">
        <x:is>
          <x:t xml:space="preserve">Nội tâm &amp; hiểu mình</x:t>
        </x:is>
      </x:c>
      <x:c r="D648" s="136" t="inlineStr">
        <x:is>
          <x:t xml:space="preserve">Day 9 / Seneca — Letters &amp; Essays</x:t>
        </x:is>
      </x:c>
      <x:c r="E648" s="136" t="inlineStr">
        <x:is>
          <x:t xml:space="preserve"/>
        </x:is>
      </x:c>
      <x:c r="F648" s="136" t="inlineStr">
        <x:is>
          <x:t xml:space="preserve">Đủ thời gian cho điều có ý nghĩa</x:t>
        </x:is>
      </x:c>
      <x:c r="G648" s="136" t="inlineStr">
        <x:is>
          <x:t xml:space="preserve">Time</x:t>
        </x:is>
      </x:c>
      <x:c r="H648" s="136" t="inlineStr">
        <x:is>
          <x:t xml:space="preserve"/>
        </x:is>
      </x:c>
      <x:c r="I648" s="136" t="inlineStr">
        <x:is>
          <x:t xml:space="preserve"/>
        </x:is>
      </x:c>
      <x:c r="J648" s="136" t="inlineStr">
        <x:is>
          <x:t xml:space="preserve"/>
        </x:is>
      </x:c>
      <x:c r="K648" s="136" t="inlineStr">
        <x:is>
          <x:t xml:space="preserve">Reframe</x:t>
        </x:is>
      </x:c>
      <x:c r="L648" s="136" t="inlineStr">
        <x:is>
          <x:t xml:space="preserve"/>
        </x:is>
      </x:c>
      <x:c r="M648" s="136" t="inlineStr">
        <x:is>
          <x:t xml:space="preserve">Essay / philosophical reflection</x:t>
        </x:is>
      </x:c>
      <x:c r="N648" s="136" t="inlineStr">
        <x:is>
          <x:t xml:space="preserve">vita, si uti scias, longa est.</x:t>
        </x:is>
      </x:c>
      <x:c r="O648" s="136" t="inlineStr">
        <x:is>
          <x:t xml:space="preserve">Latin</x:t>
        </x:is>
      </x:c>
      <x:c r="P648" s="136" t="inlineStr">
        <x:is>
          <x:t xml:space="preserve">Một đời có thể đủ rộng nếu biết mình đang dùng nó cho điều gì.</x:t>
        </x:is>
      </x:c>
      <x:c r="Q648" s="136" t="inlineStr">
        <x:is>
          <x:t xml:space="preserve">Lucius Annaeus Seneca</x:t>
        </x:is>
      </x:c>
      <x:c r="R648" s="136" t="inlineStr">
        <x:is>
          <x:t xml:space="preserve">Roman Stoic / Rome</x:t>
        </x:is>
      </x:c>
      <x:c r="S648" s="136" t="inlineStr">
        <x:is>
          <x:t xml:space="preserve">De Brevitate Vitae</x:t>
        </x:is>
      </x:c>
      <x:c r="T648" s="136" t="inlineStr">
        <x:is>
          <x:t xml:space="preserve">2.1</x:t>
        </x:is>
      </x:c>
      <x:c r="U648" s="136" t="inlineStr">
        <x:is>
          <x:t xml:space="preserve">https://la.wikisource.org/wiki/De_brevitate_vitae</x:t>
        </x:is>
      </x:c>
      <x:c r="V648" s="136" t="inlineStr">
        <x:is>
          <x:t xml:space="preserve">Primary Latin text / reputable digital corpus</x:t>
        </x:is>
      </x:c>
      <x:c r="W648" s="136" t="inlineStr">
        <x:is>
          <x:t xml:space="preserve">Original-source passage</x:t>
        </x:is>
      </x:c>
      <x:c r="X648" s="136" t="inlineStr">
        <x:is>
          <x:t xml:space="preserve">A - Primary-source text located</x:t>
        </x:is>
      </x:c>
      <x:c r="Y648" s="136" t="inlineStr">
        <x:is>
          <x:t xml:space="preserve">Latin anchor collected from Seneca primary-text corpus; exact punctuation/orthography can vary by edition. Release requires passage-level recheck.</x:t>
        </x:is>
      </x:c>
      <x:c r="Z648" s="136" t="inlineStr">
        <x:is>
          <x:t xml:space="preserve">Ancient work public domain; digital transcription terms apply</x:t>
        </x:is>
      </x:c>
      <x:c r="AA648" s="136" t="inlineStr">
        <x:is>
          <x:t xml:space="preserve">Keep Latin original and use fresh Selflo Vietnamese working translation; do not copy a modern copyrighted translation.</x:t>
        </x:is>
      </x:c>
      <x:c r="AB648" s="136" t="inlineStr">
        <x:is>
          <x:t xml:space="preserve">High</x:t>
        </x:is>
      </x:c>
      <x:c r="AC648" s="136" t="inlineStr">
        <x:is>
          <x:t xml:space="preserve">Collected for Day 9 coverage; editorial selection happens later.</x:t>
        </x:is>
      </x:c>
      <x:c r="AD648" s="136" t="inlineStr">
        <x:is>
          <x:t xml:space="preserve">Low–Medium</x:t>
        </x:is>
      </x:c>
      <x:c r="AE648" s="136" t="inlineStr">
        <x:is>
          <x:t xml:space="preserve">Needs semantic dedupe review</x:t>
        </x:is>
      </x:c>
      <x:c r="AF648" s="136" t="inlineStr">
        <x:is>
          <x:t xml:space="preserve"/>
        </x:is>
      </x:c>
      <x:c r="AG648" s="136" t="inlineStr">
        <x:is>
          <x:t xml:space="preserve"/>
        </x:is>
      </x:c>
      <x:c r="AH648" s="136" t="inlineStr">
        <x:is>
          <x:t xml:space="preserve">No</x:t>
        </x:is>
      </x:c>
      <x:c r="AI648" s="136" t="inlineStr">
        <x:is>
          <x:t xml:space="preserve">Not reviewed</x:t>
        </x:is>
      </x:c>
      <x:c r="AJ648" s="136" t="inlineStr">
        <x:is>
          <x:t xml:space="preserve">Research only</x:t>
        </x:is>
      </x:c>
      <x:c r="AK648" s="136" t="inlineStr">
        <x:is>
          <x:t xml:space="preserve">Research Pool</x:t>
        </x:is>
      </x:c>
      <x:c r="AL648" s="136" t="n">
        <x:v>9</x:v>
      </x:c>
      <x:c r="AM648" s="136" t="inlineStr">
        <x:is>
          <x:t xml:space="preserve">ChatGPT research</x:t>
        </x:is>
      </x:c>
      <x:c r="AN648" s="136" t="inlineStr">
        <x:is>
          <x:t xml:space="preserve">2026-09-18</x:t>
        </x:is>
      </x:c>
      <x:c r="AO648" s="136" t="inlineStr">
        <x:is>
          <x:t xml:space="preserve">Day 9 Seneca full-scope thematic screening; VI is Selflo working translation.</x:t>
        </x:is>
      </x:c>
      <x:c r="AP648" s="136" t="n"/>
      <x:c r="AQ648" s="136" t="n"/>
    </x:row>
    <x:row r="649">
      <x:c r="A649" s="136" t="inlineStr">
        <x:is>
          <x:t xml:space="preserve">research.seneca.day9.brev4</x:t>
        </x:is>
      </x:c>
      <x:c r="B649" s="136" t="inlineStr">
        <x:is>
          <x:t xml:space="preserve">Collected</x:t>
        </x:is>
      </x:c>
      <x:c r="C649" s="136" t="inlineStr">
        <x:is>
          <x:t xml:space="preserve">Nội tâm &amp; hiểu mình</x:t>
        </x:is>
      </x:c>
      <x:c r="D649" s="136" t="inlineStr">
        <x:is>
          <x:t xml:space="preserve">Day 9 / Seneca — Letters &amp; Essays</x:t>
        </x:is>
      </x:c>
      <x:c r="E649" s="136" t="inlineStr">
        <x:is>
          <x:t xml:space="preserve"/>
        </x:is>
      </x:c>
      <x:c r="F649" s="136" t="inlineStr">
        <x:is>
          <x:t xml:space="preserve">Attention như tài nguyên</x:t>
        </x:is>
      </x:c>
      <x:c r="G649" s="136" t="inlineStr">
        <x:is>
          <x:t xml:space="preserve">Time</x:t>
        </x:is>
      </x:c>
      <x:c r="H649" s="136" t="inlineStr">
        <x:is>
          <x:t xml:space="preserve"/>
        </x:is>
      </x:c>
      <x:c r="I649" s="136" t="inlineStr">
        <x:is>
          <x:t xml:space="preserve"/>
        </x:is>
      </x:c>
      <x:c r="J649" s="136" t="inlineStr">
        <x:is>
          <x:t xml:space="preserve"/>
        </x:is>
      </x:c>
      <x:c r="K649" s="136" t="inlineStr">
        <x:is>
          <x:t xml:space="preserve">Recognize</x:t>
        </x:is>
      </x:c>
      <x:c r="L649" s="136" t="inlineStr">
        <x:is>
          <x:t xml:space="preserve"/>
        </x:is>
      </x:c>
      <x:c r="M649" s="136" t="inlineStr">
        <x:is>
          <x:t xml:space="preserve">Essay / philosophical reflection</x:t>
        </x:is>
      </x:c>
      <x:c r="N649" s="136" t="inlineStr">
        <x:is>
          <x:t xml:space="preserve">Nemo aestimat tempus; utuntur illo laxius quasi gratuito.</x:t>
        </x:is>
      </x:c>
      <x:c r="O649" s="136" t="inlineStr">
        <x:is>
          <x:t xml:space="preserve">Latin</x:t>
        </x:is>
      </x:c>
      <x:c r="P649" s="136" t="inlineStr">
        <x:is>
          <x:t xml:space="preserve">Ít người định giá thời gian; ta tiêu nó như thể nó miễn phí.</x:t>
        </x:is>
      </x:c>
      <x:c r="Q649" s="136" t="inlineStr">
        <x:is>
          <x:t xml:space="preserve">Lucius Annaeus Seneca</x:t>
        </x:is>
      </x:c>
      <x:c r="R649" s="136" t="inlineStr">
        <x:is>
          <x:t xml:space="preserve">Roman Stoic / Rome</x:t>
        </x:is>
      </x:c>
      <x:c r="S649" s="136" t="inlineStr">
        <x:is>
          <x:t xml:space="preserve">De Brevitate Vitae</x:t>
        </x:is>
      </x:c>
      <x:c r="T649" s="136" t="inlineStr">
        <x:is>
          <x:t xml:space="preserve">3.5</x:t>
        </x:is>
      </x:c>
      <x:c r="U649" s="136" t="inlineStr">
        <x:is>
          <x:t xml:space="preserve">https://la.wikisource.org/wiki/De_brevitate_vitae</x:t>
        </x:is>
      </x:c>
      <x:c r="V649" s="136" t="inlineStr">
        <x:is>
          <x:t xml:space="preserve">Primary Latin text / reputable digital corpus</x:t>
        </x:is>
      </x:c>
      <x:c r="W649" s="136" t="inlineStr">
        <x:is>
          <x:t xml:space="preserve">Original-source passage</x:t>
        </x:is>
      </x:c>
      <x:c r="X649" s="136" t="inlineStr">
        <x:is>
          <x:t xml:space="preserve">A - Primary-source text located</x:t>
        </x:is>
      </x:c>
      <x:c r="Y649" s="136" t="inlineStr">
        <x:is>
          <x:t xml:space="preserve">Latin anchor collected from Seneca primary-text corpus; exact punctuation/orthography can vary by edition. Release requires passage-level recheck.</x:t>
        </x:is>
      </x:c>
      <x:c r="Z649" s="136" t="inlineStr">
        <x:is>
          <x:t xml:space="preserve">Ancient work public domain; digital transcription terms apply</x:t>
        </x:is>
      </x:c>
      <x:c r="AA649" s="136" t="inlineStr">
        <x:is>
          <x:t xml:space="preserve">Keep Latin original and use fresh Selflo Vietnamese working translation; do not copy a modern copyrighted translation.</x:t>
        </x:is>
      </x:c>
      <x:c r="AB649" s="136" t="inlineStr">
        <x:is>
          <x:t xml:space="preserve">High</x:t>
        </x:is>
      </x:c>
      <x:c r="AC649" s="136" t="inlineStr">
        <x:is>
          <x:t xml:space="preserve">Collected for Day 9 coverage; editorial selection happens later.</x:t>
        </x:is>
      </x:c>
      <x:c r="AD649" s="136" t="inlineStr">
        <x:is>
          <x:t xml:space="preserve">Low–Medium</x:t>
        </x:is>
      </x:c>
      <x:c r="AE649" s="136" t="inlineStr">
        <x:is>
          <x:t xml:space="preserve">Needs semantic dedupe review</x:t>
        </x:is>
      </x:c>
      <x:c r="AF649" s="136" t="inlineStr">
        <x:is>
          <x:t xml:space="preserve"/>
        </x:is>
      </x:c>
      <x:c r="AG649" s="136" t="inlineStr">
        <x:is>
          <x:t xml:space="preserve"/>
        </x:is>
      </x:c>
      <x:c r="AH649" s="136" t="inlineStr">
        <x:is>
          <x:t xml:space="preserve">No</x:t>
        </x:is>
      </x:c>
      <x:c r="AI649" s="136" t="inlineStr">
        <x:is>
          <x:t xml:space="preserve">Not reviewed</x:t>
        </x:is>
      </x:c>
      <x:c r="AJ649" s="136" t="inlineStr">
        <x:is>
          <x:t xml:space="preserve">Research only</x:t>
        </x:is>
      </x:c>
      <x:c r="AK649" s="136" t="inlineStr">
        <x:is>
          <x:t xml:space="preserve">Research Pool</x:t>
        </x:is>
      </x:c>
      <x:c r="AL649" s="136" t="n">
        <x:v>9</x:v>
      </x:c>
      <x:c r="AM649" s="136" t="inlineStr">
        <x:is>
          <x:t xml:space="preserve">ChatGPT research</x:t>
        </x:is>
      </x:c>
      <x:c r="AN649" s="136" t="inlineStr">
        <x:is>
          <x:t xml:space="preserve">2026-09-18</x:t>
        </x:is>
      </x:c>
      <x:c r="AO649" s="136" t="inlineStr">
        <x:is>
          <x:t xml:space="preserve">Day 9 Seneca full-scope thematic screening; VI is Selflo working translation.</x:t>
        </x:is>
      </x:c>
      <x:c r="AP649" s="136" t="n"/>
      <x:c r="AQ649" s="136" t="n"/>
    </x:row>
    <x:row r="650">
      <x:c r="A650" s="136" t="inlineStr">
        <x:is>
          <x:t xml:space="preserve">research.seneca.day9.brev5</x:t>
        </x:is>
      </x:c>
      <x:c r="B650" s="136" t="inlineStr">
        <x:is>
          <x:t xml:space="preserve">Collected</x:t>
        </x:is>
      </x:c>
      <x:c r="C650" s="136" t="inlineStr">
        <x:is>
          <x:t xml:space="preserve">Nội tâm &amp; hiểu mình</x:t>
        </x:is>
      </x:c>
      <x:c r="D650" s="136" t="inlineStr">
        <x:is>
          <x:t xml:space="preserve">Day 9 / Seneca — Letters &amp; Essays</x:t>
        </x:is>
      </x:c>
      <x:c r="E650" s="136" t="inlineStr">
        <x:is>
          <x:t xml:space="preserve"/>
        </x:is>
      </x:c>
      <x:c r="F650" s="136" t="inlineStr">
        <x:is>
          <x:t xml:space="preserve">Ba lớp thời gian</x:t>
        </x:is>
      </x:c>
      <x:c r="G650" s="136" t="inlineStr">
        <x:is>
          <x:t xml:space="preserve">Time</x:t>
        </x:is>
      </x:c>
      <x:c r="H650" s="136" t="inlineStr">
        <x:is>
          <x:t xml:space="preserve"/>
        </x:is>
      </x:c>
      <x:c r="I650" s="136" t="inlineStr">
        <x:is>
          <x:t xml:space="preserve"/>
        </x:is>
      </x:c>
      <x:c r="J650" s="136" t="inlineStr">
        <x:is>
          <x:t xml:space="preserve"/>
        </x:is>
      </x:c>
      <x:c r="K650" s="136" t="inlineStr">
        <x:is>
          <x:t xml:space="preserve">Distinguish</x:t>
        </x:is>
      </x:c>
      <x:c r="L650" s="136" t="inlineStr">
        <x:is>
          <x:t xml:space="preserve"/>
        </x:is>
      </x:c>
      <x:c r="M650" s="136" t="inlineStr">
        <x:is>
          <x:t xml:space="preserve">Essay / philosophical reflection</x:t>
        </x:is>
      </x:c>
      <x:c r="N650" s="136" t="inlineStr">
        <x:is>
          <x:t xml:space="preserve">Vita ... in tria tempora dividitur: quod fuit, quod est, quod futurum est.</x:t>
        </x:is>
      </x:c>
      <x:c r="O650" s="136" t="inlineStr">
        <x:is>
          <x:t xml:space="preserve">Latin</x:t>
        </x:is>
      </x:c>
      <x:c r="P650" s="136" t="inlineStr">
        <x:is>
          <x:t xml:space="preserve">Đời sống có phần đã qua, phần đang có và phần chưa tới.</x:t>
        </x:is>
      </x:c>
      <x:c r="Q650" s="136" t="inlineStr">
        <x:is>
          <x:t xml:space="preserve">Lucius Annaeus Seneca</x:t>
        </x:is>
      </x:c>
      <x:c r="R650" s="136" t="inlineStr">
        <x:is>
          <x:t xml:space="preserve">Roman Stoic / Rome</x:t>
        </x:is>
      </x:c>
      <x:c r="S650" s="136" t="inlineStr">
        <x:is>
          <x:t xml:space="preserve">De Brevitate Vitae</x:t>
        </x:is>
      </x:c>
      <x:c r="T650" s="136" t="inlineStr">
        <x:is>
          <x:t xml:space="preserve">7.10</x:t>
        </x:is>
      </x:c>
      <x:c r="U650" s="136" t="inlineStr">
        <x:is>
          <x:t xml:space="preserve">https://la.wikisource.org/wiki/De_brevitate_vitae</x:t>
        </x:is>
      </x:c>
      <x:c r="V650" s="136" t="inlineStr">
        <x:is>
          <x:t xml:space="preserve">Primary Latin text / reputable digital corpus</x:t>
        </x:is>
      </x:c>
      <x:c r="W650" s="136" t="inlineStr">
        <x:is>
          <x:t xml:space="preserve">Original-source passage</x:t>
        </x:is>
      </x:c>
      <x:c r="X650" s="136" t="inlineStr">
        <x:is>
          <x:t xml:space="preserve">A - Primary-source text located</x:t>
        </x:is>
      </x:c>
      <x:c r="Y650" s="136" t="inlineStr">
        <x:is>
          <x:t xml:space="preserve">Latin anchor collected from Seneca primary-text corpus; exact punctuation/orthography can vary by edition. Release requires passage-level recheck.</x:t>
        </x:is>
      </x:c>
      <x:c r="Z650" s="136" t="inlineStr">
        <x:is>
          <x:t xml:space="preserve">Ancient work public domain; digital transcription terms apply</x:t>
        </x:is>
      </x:c>
      <x:c r="AA650" s="136" t="inlineStr">
        <x:is>
          <x:t xml:space="preserve">Keep Latin original and use fresh Selflo Vietnamese working translation; do not copy a modern copyrighted translation.</x:t>
        </x:is>
      </x:c>
      <x:c r="AB650" s="136" t="inlineStr">
        <x:is>
          <x:t xml:space="preserve">High</x:t>
        </x:is>
      </x:c>
      <x:c r="AC650" s="136" t="inlineStr">
        <x:is>
          <x:t xml:space="preserve">Collected for Day 9 coverage; editorial selection happens later.</x:t>
        </x:is>
      </x:c>
      <x:c r="AD650" s="136" t="inlineStr">
        <x:is>
          <x:t xml:space="preserve">Low–Medium</x:t>
        </x:is>
      </x:c>
      <x:c r="AE650" s="136" t="inlineStr">
        <x:is>
          <x:t xml:space="preserve">Needs semantic dedupe review</x:t>
        </x:is>
      </x:c>
      <x:c r="AF650" s="136" t="inlineStr">
        <x:is>
          <x:t xml:space="preserve"/>
        </x:is>
      </x:c>
      <x:c r="AG650" s="136" t="inlineStr">
        <x:is>
          <x:t xml:space="preserve"/>
        </x:is>
      </x:c>
      <x:c r="AH650" s="136" t="inlineStr">
        <x:is>
          <x:t xml:space="preserve">No</x:t>
        </x:is>
      </x:c>
      <x:c r="AI650" s="136" t="inlineStr">
        <x:is>
          <x:t xml:space="preserve">Not reviewed</x:t>
        </x:is>
      </x:c>
      <x:c r="AJ650" s="136" t="inlineStr">
        <x:is>
          <x:t xml:space="preserve">Research only</x:t>
        </x:is>
      </x:c>
      <x:c r="AK650" s="136" t="inlineStr">
        <x:is>
          <x:t xml:space="preserve">Research Pool</x:t>
        </x:is>
      </x:c>
      <x:c r="AL650" s="136" t="n">
        <x:v>9</x:v>
      </x:c>
      <x:c r="AM650" s="136" t="inlineStr">
        <x:is>
          <x:t xml:space="preserve">ChatGPT research</x:t>
        </x:is>
      </x:c>
      <x:c r="AN650" s="136" t="inlineStr">
        <x:is>
          <x:t xml:space="preserve">2026-09-18</x:t>
        </x:is>
      </x:c>
      <x:c r="AO650" s="136" t="inlineStr">
        <x:is>
          <x:t xml:space="preserve">Day 9 Seneca full-scope thematic screening; VI is Selflo working translation.</x:t>
        </x:is>
      </x:c>
      <x:c r="AP650" s="136" t="n"/>
      <x:c r="AQ650" s="136" t="n"/>
    </x:row>
    <x:row r="651">
      <x:c r="A651" s="136" t="inlineStr">
        <x:is>
          <x:t xml:space="preserve">research.seneca.day9.brev6</x:t>
        </x:is>
      </x:c>
      <x:c r="B651" s="136" t="inlineStr">
        <x:is>
          <x:t xml:space="preserve">Collected</x:t>
        </x:is>
      </x:c>
      <x:c r="C651" s="136" t="inlineStr">
        <x:is>
          <x:t xml:space="preserve">Nội tâm &amp; hiểu mình</x:t>
        </x:is>
      </x:c>
      <x:c r="D651" s="136" t="inlineStr">
        <x:is>
          <x:t xml:space="preserve">Day 9 / Seneca — Letters &amp; Essays</x:t>
        </x:is>
      </x:c>
      <x:c r="E651" s="136" t="inlineStr">
        <x:is>
          <x:t xml:space="preserve"/>
        </x:is>
      </x:c>
      <x:c r="F651" s="136" t="inlineStr">
        <x:is>
          <x:t xml:space="preserve">Chờ tương lai mới bắt đầu sống</x:t>
        </x:is>
      </x:c>
      <x:c r="G651" s="136" t="inlineStr">
        <x:is>
          <x:t xml:space="preserve">Time</x:t>
        </x:is>
      </x:c>
      <x:c r="H651" s="136" t="inlineStr">
        <x:is>
          <x:t xml:space="preserve"/>
        </x:is>
      </x:c>
      <x:c r="I651" s="136" t="inlineStr">
        <x:is>
          <x:t xml:space="preserve"/>
        </x:is>
      </x:c>
      <x:c r="J651" s="136" t="inlineStr">
        <x:is>
          <x:t xml:space="preserve"/>
        </x:is>
      </x:c>
      <x:c r="K651" s="136" t="inlineStr">
        <x:is>
          <x:t xml:space="preserve">Recognize</x:t>
        </x:is>
      </x:c>
      <x:c r="L651" s="136" t="inlineStr">
        <x:is>
          <x:t xml:space="preserve"/>
        </x:is>
      </x:c>
      <x:c r="M651" s="136" t="inlineStr">
        <x:is>
          <x:t xml:space="preserve">Essay / philosophical reflection</x:t>
        </x:is>
      </x:c>
      <x:c r="N651" s="136" t="inlineStr">
        <x:is>
          <x:t xml:space="preserve">Maximum vivendi impedimentum est expectatio, quae pendet ex crastino, perdit hodiernum.</x:t>
        </x:is>
      </x:c>
      <x:c r="O651" s="136" t="inlineStr">
        <x:is>
          <x:t xml:space="preserve">Latin</x:t>
        </x:is>
      </x:c>
      <x:c r="P651" s="136" t="inlineStr">
        <x:is>
          <x:t xml:space="preserve">Một trở ngại lớn của việc sống là cứ treo mình vào ngày mai và đánh mất hôm nay.</x:t>
        </x:is>
      </x:c>
      <x:c r="Q651" s="136" t="inlineStr">
        <x:is>
          <x:t xml:space="preserve">Lucius Annaeus Seneca</x:t>
        </x:is>
      </x:c>
      <x:c r="R651" s="136" t="inlineStr">
        <x:is>
          <x:t xml:space="preserve">Roman Stoic / Rome</x:t>
        </x:is>
      </x:c>
      <x:c r="S651" s="136" t="inlineStr">
        <x:is>
          <x:t xml:space="preserve">De Brevitate Vitae</x:t>
        </x:is>
      </x:c>
      <x:c r="T651" s="136" t="inlineStr">
        <x:is>
          <x:t xml:space="preserve">10.2</x:t>
        </x:is>
      </x:c>
      <x:c r="U651" s="136" t="inlineStr">
        <x:is>
          <x:t xml:space="preserve">https://la.wikisource.org/wiki/De_brevitate_vitae</x:t>
        </x:is>
      </x:c>
      <x:c r="V651" s="136" t="inlineStr">
        <x:is>
          <x:t xml:space="preserve">Primary Latin text / reputable digital corpus</x:t>
        </x:is>
      </x:c>
      <x:c r="W651" s="136" t="inlineStr">
        <x:is>
          <x:t xml:space="preserve">Original-source passage</x:t>
        </x:is>
      </x:c>
      <x:c r="X651" s="136" t="inlineStr">
        <x:is>
          <x:t xml:space="preserve">A - Primary-source text located</x:t>
        </x:is>
      </x:c>
      <x:c r="Y651" s="136" t="inlineStr">
        <x:is>
          <x:t xml:space="preserve">Latin anchor collected from Seneca primary-text corpus; exact punctuation/orthography can vary by edition. Release requires passage-level recheck.</x:t>
        </x:is>
      </x:c>
      <x:c r="Z651" s="136" t="inlineStr">
        <x:is>
          <x:t xml:space="preserve">Ancient work public domain; digital transcription terms apply</x:t>
        </x:is>
      </x:c>
      <x:c r="AA651" s="136" t="inlineStr">
        <x:is>
          <x:t xml:space="preserve">Keep Latin original and use fresh Selflo Vietnamese working translation; do not copy a modern copyrighted translation.</x:t>
        </x:is>
      </x:c>
      <x:c r="AB651" s="136" t="inlineStr">
        <x:is>
          <x:t xml:space="preserve">High</x:t>
        </x:is>
      </x:c>
      <x:c r="AC651" s="136" t="inlineStr">
        <x:is>
          <x:t xml:space="preserve">Collected for Day 9 coverage; editorial selection happens later.</x:t>
        </x:is>
      </x:c>
      <x:c r="AD651" s="136" t="inlineStr">
        <x:is>
          <x:t xml:space="preserve">Low–Medium</x:t>
        </x:is>
      </x:c>
      <x:c r="AE651" s="136" t="inlineStr">
        <x:is>
          <x:t xml:space="preserve">Needs semantic dedupe review</x:t>
        </x:is>
      </x:c>
      <x:c r="AF651" s="136" t="inlineStr">
        <x:is>
          <x:t xml:space="preserve"/>
        </x:is>
      </x:c>
      <x:c r="AG651" s="136" t="inlineStr">
        <x:is>
          <x:t xml:space="preserve"/>
        </x:is>
      </x:c>
      <x:c r="AH651" s="136" t="inlineStr">
        <x:is>
          <x:t xml:space="preserve">No</x:t>
        </x:is>
      </x:c>
      <x:c r="AI651" s="136" t="inlineStr">
        <x:is>
          <x:t xml:space="preserve">Not reviewed</x:t>
        </x:is>
      </x:c>
      <x:c r="AJ651" s="136" t="inlineStr">
        <x:is>
          <x:t xml:space="preserve">Research only</x:t>
        </x:is>
      </x:c>
      <x:c r="AK651" s="136" t="inlineStr">
        <x:is>
          <x:t xml:space="preserve">Research Pool</x:t>
        </x:is>
      </x:c>
      <x:c r="AL651" s="136" t="n">
        <x:v>9</x:v>
      </x:c>
      <x:c r="AM651" s="136" t="inlineStr">
        <x:is>
          <x:t xml:space="preserve">ChatGPT research</x:t>
        </x:is>
      </x:c>
      <x:c r="AN651" s="136" t="inlineStr">
        <x:is>
          <x:t xml:space="preserve">2026-09-18</x:t>
        </x:is>
      </x:c>
      <x:c r="AO651" s="136" t="inlineStr">
        <x:is>
          <x:t xml:space="preserve">Day 9 Seneca full-scope thematic screening; VI is Selflo working translation.</x:t>
        </x:is>
      </x:c>
      <x:c r="AP651" s="136" t="n"/>
      <x:c r="AQ651" s="136" t="n"/>
    </x:row>
    <x:row r="652">
      <x:c r="A652" s="136" t="inlineStr">
        <x:is>
          <x:t xml:space="preserve">research.seneca.day9.brev7</x:t>
        </x:is>
      </x:c>
      <x:c r="B652" s="136" t="inlineStr">
        <x:is>
          <x:t xml:space="preserve">Collected</x:t>
        </x:is>
      </x:c>
      <x:c r="C652" s="136" t="inlineStr">
        <x:is>
          <x:t xml:space="preserve">Nội tâm &amp; hiểu mình</x:t>
        </x:is>
      </x:c>
      <x:c r="D652" s="136" t="inlineStr">
        <x:is>
          <x:t xml:space="preserve">Day 9 / Seneca — Letters &amp; Essays</x:t>
        </x:is>
      </x:c>
      <x:c r="E652" s="136" t="inlineStr">
        <x:is>
          <x:t xml:space="preserve"/>
        </x:is>
      </x:c>
      <x:c r="F652" s="136" t="inlineStr">
        <x:is>
          <x:t xml:space="preserve">Khoảng trống cho suy ngẫm</x:t>
        </x:is>
      </x:c>
      <x:c r="G652" s="136" t="inlineStr">
        <x:is>
          <x:t xml:space="preserve">Reflection</x:t>
        </x:is>
      </x:c>
      <x:c r="H652" s="136" t="inlineStr">
        <x:is>
          <x:t xml:space="preserve"/>
        </x:is>
      </x:c>
      <x:c r="I652" s="136" t="inlineStr">
        <x:is>
          <x:t xml:space="preserve"/>
        </x:is>
      </x:c>
      <x:c r="J652" s="136" t="inlineStr">
        <x:is>
          <x:t xml:space="preserve"/>
        </x:is>
      </x:c>
      <x:c r="K652" s="136" t="inlineStr">
        <x:is>
          <x:t xml:space="preserve">Reframe</x:t>
        </x:is>
      </x:c>
      <x:c r="L652" s="136" t="inlineStr">
        <x:is>
          <x:t xml:space="preserve"/>
        </x:is>
      </x:c>
      <x:c r="M652" s="136" t="inlineStr">
        <x:is>
          <x:t xml:space="preserve">Essay / philosophical reflection</x:t>
        </x:is>
      </x:c>
      <x:c r="N652" s="136" t="inlineStr">
        <x:is>
          <x:t xml:space="preserve">soli omnium otiosi sunt qui sapientiae vacant, soli vivunt.</x:t>
        </x:is>
      </x:c>
      <x:c r="O652" s="136" t="inlineStr">
        <x:is>
          <x:t xml:space="preserve">Latin</x:t>
        </x:is>
      </x:c>
      <x:c r="P652" s="136" t="inlineStr">
        <x:is>
          <x:t xml:space="preserve">Seneca xem người dành chỗ cho sự khôn ngoan là người thật sự có leisure và thật sự sống.</x:t>
        </x:is>
      </x:c>
      <x:c r="Q652" s="136" t="inlineStr">
        <x:is>
          <x:t xml:space="preserve">Lucius Annaeus Seneca</x:t>
        </x:is>
      </x:c>
      <x:c r="R652" s="136" t="inlineStr">
        <x:is>
          <x:t xml:space="preserve">Roman Stoic / Rome</x:t>
        </x:is>
      </x:c>
      <x:c r="S652" s="136" t="inlineStr">
        <x:is>
          <x:t xml:space="preserve">De Brevitate Vitae</x:t>
        </x:is>
      </x:c>
      <x:c r="T652" s="136" t="inlineStr">
        <x:is>
          <x:t xml:space="preserve">15.5</x:t>
        </x:is>
      </x:c>
      <x:c r="U652" s="136" t="inlineStr">
        <x:is>
          <x:t xml:space="preserve">https://la.wikisource.org/wiki/De_brevitate_vitae</x:t>
        </x:is>
      </x:c>
      <x:c r="V652" s="136" t="inlineStr">
        <x:is>
          <x:t xml:space="preserve">Primary Latin text / reputable digital corpus</x:t>
        </x:is>
      </x:c>
      <x:c r="W652" s="136" t="inlineStr">
        <x:is>
          <x:t xml:space="preserve">Original-source passage</x:t>
        </x:is>
      </x:c>
      <x:c r="X652" s="136" t="inlineStr">
        <x:is>
          <x:t xml:space="preserve">A - Primary-source text located</x:t>
        </x:is>
      </x:c>
      <x:c r="Y652" s="136" t="inlineStr">
        <x:is>
          <x:t xml:space="preserve">Latin anchor collected from Seneca primary-text corpus; exact punctuation/orthography can vary by edition. Release requires passage-level recheck.</x:t>
        </x:is>
      </x:c>
      <x:c r="Z652" s="136" t="inlineStr">
        <x:is>
          <x:t xml:space="preserve">Ancient work public domain; digital transcription terms apply</x:t>
        </x:is>
      </x:c>
      <x:c r="AA652" s="136" t="inlineStr">
        <x:is>
          <x:t xml:space="preserve">Keep Latin original and use fresh Selflo Vietnamese working translation; do not copy a modern copyrighted translation.</x:t>
        </x:is>
      </x:c>
      <x:c r="AB652" s="136" t="inlineStr">
        <x:is>
          <x:t xml:space="preserve">Medium</x:t>
        </x:is>
      </x:c>
      <x:c r="AC652" s="136" t="inlineStr">
        <x:is>
          <x:t xml:space="preserve">Collected for Day 9 coverage; editorial selection happens later.</x:t>
        </x:is>
      </x:c>
      <x:c r="AD652" s="136" t="inlineStr">
        <x:is>
          <x:t xml:space="preserve">Medium</x:t>
        </x:is>
      </x:c>
      <x:c r="AE652" s="136" t="inlineStr">
        <x:is>
          <x:t xml:space="preserve">Needs semantic dedupe review</x:t>
        </x:is>
      </x:c>
      <x:c r="AF652" s="136" t="inlineStr">
        <x:is>
          <x:t xml:space="preserve"/>
        </x:is>
      </x:c>
      <x:c r="AG652" s="136" t="inlineStr">
        <x:is>
          <x:t xml:space="preserve"/>
        </x:is>
      </x:c>
      <x:c r="AH652" s="136" t="inlineStr">
        <x:is>
          <x:t xml:space="preserve">No</x:t>
        </x:is>
      </x:c>
      <x:c r="AI652" s="136" t="inlineStr">
        <x:is>
          <x:t xml:space="preserve">Not reviewed</x:t>
        </x:is>
      </x:c>
      <x:c r="AJ652" s="136" t="inlineStr">
        <x:is>
          <x:t xml:space="preserve">Research only</x:t>
        </x:is>
      </x:c>
      <x:c r="AK652" s="136" t="inlineStr">
        <x:is>
          <x:t xml:space="preserve">Research Pool</x:t>
        </x:is>
      </x:c>
      <x:c r="AL652" s="136" t="n">
        <x:v>9</x:v>
      </x:c>
      <x:c r="AM652" s="136" t="inlineStr">
        <x:is>
          <x:t xml:space="preserve">ChatGPT research</x:t>
        </x:is>
      </x:c>
      <x:c r="AN652" s="136" t="inlineStr">
        <x:is>
          <x:t xml:space="preserve">2026-09-18</x:t>
        </x:is>
      </x:c>
      <x:c r="AO652" s="136" t="inlineStr">
        <x:is>
          <x:t xml:space="preserve">Day 9 Seneca full-scope thematic screening; VI is Selflo working translation.</x:t>
        </x:is>
      </x:c>
      <x:c r="AP652" s="136" t="n"/>
      <x:c r="AQ652" s="136" t="n"/>
    </x:row>
    <x:row r="653">
      <x:c r="A653" s="136" t="inlineStr">
        <x:is>
          <x:t xml:space="preserve">research.seneca.day9.ira1</x:t>
        </x:is>
      </x:c>
      <x:c r="B653" s="136" t="inlineStr">
        <x:is>
          <x:t xml:space="preserve">Collected</x:t>
        </x:is>
      </x:c>
      <x:c r="C653" s="136" t="inlineStr">
        <x:is>
          <x:t xml:space="preserve">Nội tâm &amp; hiểu mình</x:t>
        </x:is>
      </x:c>
      <x:c r="D653" s="136" t="inlineStr">
        <x:is>
          <x:t xml:space="preserve">Day 9 / Seneca — Letters &amp; Essays</x:t>
        </x:is>
      </x:c>
      <x:c r="E653" s="136" t="inlineStr">
        <x:is>
          <x:t xml:space="preserve"/>
        </x:is>
      </x:c>
      <x:c r="F653" s="136" t="inlineStr">
        <x:is>
          <x:t xml:space="preserve">Giận bắt đầu từ nhận định bị tổn hại</x:t>
        </x:is>
      </x:c>
      <x:c r="G653" s="136" t="inlineStr">
        <x:is>
          <x:t xml:space="preserve">Anger</x:t>
        </x:is>
      </x:c>
      <x:c r="H653" s="136" t="inlineStr">
        <x:is>
          <x:t xml:space="preserve"/>
        </x:is>
      </x:c>
      <x:c r="I653" s="136" t="inlineStr">
        <x:is>
          <x:t xml:space="preserve"/>
        </x:is>
      </x:c>
      <x:c r="J653" s="136" t="inlineStr">
        <x:is>
          <x:t xml:space="preserve"/>
        </x:is>
      </x:c>
      <x:c r="K653" s="136" t="inlineStr">
        <x:is>
          <x:t xml:space="preserve">Recognize</x:t>
        </x:is>
      </x:c>
      <x:c r="L653" s="136" t="inlineStr">
        <x:is>
          <x:t xml:space="preserve"/>
        </x:is>
      </x:c>
      <x:c r="M653" s="136" t="inlineStr">
        <x:is>
          <x:t xml:space="preserve">Essay / philosophical reflection</x:t>
        </x:is>
      </x:c>
      <x:c r="N653" s="136" t="inlineStr">
        <x:is>
          <x:t xml:space="preserve">Iram quin species oblata iniuriae moveat non est dubium.</x:t>
        </x:is>
      </x:c>
      <x:c r="O653" s="136" t="inlineStr">
        <x:is>
          <x:t xml:space="preserve">Latin</x:t>
        </x:is>
      </x:c>
      <x:c r="P653" s="136" t="inlineStr">
        <x:is>
          <x:t xml:space="preserve">Cảm giác bị xúc phạm có thể là tín hiệu khởi đầu của cơn giận.</x:t>
        </x:is>
      </x:c>
      <x:c r="Q653" s="136" t="inlineStr">
        <x:is>
          <x:t xml:space="preserve">Lucius Annaeus Seneca</x:t>
        </x:is>
      </x:c>
      <x:c r="R653" s="136" t="inlineStr">
        <x:is>
          <x:t xml:space="preserve">Roman Stoic / Rome</x:t>
        </x:is>
      </x:c>
      <x:c r="S653" s="136" t="inlineStr">
        <x:is>
          <x:t xml:space="preserve">De Ira</x:t>
        </x:is>
      </x:c>
      <x:c r="T653" s="136" t="inlineStr">
        <x:is>
          <x:t xml:space="preserve">2.1.3</x:t>
        </x:is>
      </x:c>
      <x:c r="U653" s="136" t="inlineStr">
        <x:is>
          <x:t xml:space="preserve">https://la.wikisource.org/wiki/De_ira</x:t>
        </x:is>
      </x:c>
      <x:c r="V653" s="136" t="inlineStr">
        <x:is>
          <x:t xml:space="preserve">Primary Latin text / reputable digital corpus</x:t>
        </x:is>
      </x:c>
      <x:c r="W653" s="136" t="inlineStr">
        <x:is>
          <x:t xml:space="preserve">Original-source passage</x:t>
        </x:is>
      </x:c>
      <x:c r="X653" s="136" t="inlineStr">
        <x:is>
          <x:t xml:space="preserve">A - Primary-source text located</x:t>
        </x:is>
      </x:c>
      <x:c r="Y653" s="136" t="inlineStr">
        <x:is>
          <x:t xml:space="preserve">Latin anchor collected from Seneca primary-text corpus; exact punctuation/orthography can vary by edition. Release requires passage-level recheck.</x:t>
        </x:is>
      </x:c>
      <x:c r="Z653" s="136" t="inlineStr">
        <x:is>
          <x:t xml:space="preserve">Ancient work public domain; digital transcription terms apply</x:t>
        </x:is>
      </x:c>
      <x:c r="AA653" s="136" t="inlineStr">
        <x:is>
          <x:t xml:space="preserve">Keep Latin original and use fresh Selflo Vietnamese working translation; do not copy a modern copyrighted translation.</x:t>
        </x:is>
      </x:c>
      <x:c r="AB653" s="136" t="inlineStr">
        <x:is>
          <x:t xml:space="preserve">High</x:t>
        </x:is>
      </x:c>
      <x:c r="AC653" s="136" t="inlineStr">
        <x:is>
          <x:t xml:space="preserve">Collected for Day 9 coverage; editorial selection happens later.</x:t>
        </x:is>
      </x:c>
      <x:c r="AD653" s="136" t="inlineStr">
        <x:is>
          <x:t xml:space="preserve">Low–Medium</x:t>
        </x:is>
      </x:c>
      <x:c r="AE653" s="136" t="inlineStr">
        <x:is>
          <x:t xml:space="preserve">Needs semantic dedupe review</x:t>
        </x:is>
      </x:c>
      <x:c r="AF653" s="136" t="inlineStr">
        <x:is>
          <x:t xml:space="preserve"/>
        </x:is>
      </x:c>
      <x:c r="AG653" s="136" t="inlineStr">
        <x:is>
          <x:t xml:space="preserve"/>
        </x:is>
      </x:c>
      <x:c r="AH653" s="136" t="inlineStr">
        <x:is>
          <x:t xml:space="preserve">No</x:t>
        </x:is>
      </x:c>
      <x:c r="AI653" s="136" t="inlineStr">
        <x:is>
          <x:t xml:space="preserve">Not reviewed</x:t>
        </x:is>
      </x:c>
      <x:c r="AJ653" s="136" t="inlineStr">
        <x:is>
          <x:t xml:space="preserve">Research only</x:t>
        </x:is>
      </x:c>
      <x:c r="AK653" s="136" t="inlineStr">
        <x:is>
          <x:t xml:space="preserve">Research Pool</x:t>
        </x:is>
      </x:c>
      <x:c r="AL653" s="136" t="n">
        <x:v>9</x:v>
      </x:c>
      <x:c r="AM653" s="136" t="inlineStr">
        <x:is>
          <x:t xml:space="preserve">ChatGPT research</x:t>
        </x:is>
      </x:c>
      <x:c r="AN653" s="136" t="inlineStr">
        <x:is>
          <x:t xml:space="preserve">2026-09-18</x:t>
        </x:is>
      </x:c>
      <x:c r="AO653" s="136" t="inlineStr">
        <x:is>
          <x:t xml:space="preserve">Day 9 Seneca full-scope thematic screening; VI is Selflo working translation.</x:t>
        </x:is>
      </x:c>
      <x:c r="AP653" s="136" t="n"/>
      <x:c r="AQ653" s="136" t="n"/>
    </x:row>
    <x:row r="654">
      <x:c r="A654" s="136" t="inlineStr">
        <x:is>
          <x:t xml:space="preserve">research.seneca.day9.ira2</x:t>
        </x:is>
      </x:c>
      <x:c r="B654" s="136" t="inlineStr">
        <x:is>
          <x:t xml:space="preserve">Collected</x:t>
        </x:is>
      </x:c>
      <x:c r="C654" s="136" t="inlineStr">
        <x:is>
          <x:t xml:space="preserve">Nội tâm &amp; hiểu mình</x:t>
        </x:is>
      </x:c>
      <x:c r="D654" s="136" t="inlineStr">
        <x:is>
          <x:t xml:space="preserve">Day 9 / Seneca — Letters &amp; Essays</x:t>
        </x:is>
      </x:c>
      <x:c r="E654" s="136" t="inlineStr">
        <x:is>
          <x:t xml:space="preserve"/>
        </x:is>
      </x:c>
      <x:c r="F654" s="136" t="inlineStr">
        <x:is>
          <x:t xml:space="preserve">Khoảng giữa kích thích và phản ứng</x:t>
        </x:is>
      </x:c>
      <x:c r="G654" s="136" t="inlineStr">
        <x:is>
          <x:t xml:space="preserve">Anger / Agency</x:t>
        </x:is>
      </x:c>
      <x:c r="H654" s="136" t="inlineStr">
        <x:is>
          <x:t xml:space="preserve"/>
        </x:is>
      </x:c>
      <x:c r="I654" s="136" t="inlineStr">
        <x:is>
          <x:t xml:space="preserve"/>
        </x:is>
      </x:c>
      <x:c r="J654" s="136" t="inlineStr">
        <x:is>
          <x:t xml:space="preserve"/>
        </x:is>
      </x:c>
      <x:c r="K654" s="136" t="inlineStr">
        <x:is>
          <x:t xml:space="preserve">Open question</x:t>
        </x:is>
      </x:c>
      <x:c r="L654" s="136" t="inlineStr">
        <x:is>
          <x:t xml:space="preserve"/>
        </x:is>
      </x:c>
      <x:c r="M654" s="136" t="inlineStr">
        <x:is>
          <x:t xml:space="preserve">Essay / philosophical reflection</x:t>
        </x:is>
      </x:c>
      <x:c r="N654" s="136" t="inlineStr">
        <x:is>
          <x:t xml:space="preserve">utrum speciem ipsam statim sequatur ... an illo adsentiente moveatur quaerimus.</x:t>
        </x:is>
      </x:c>
      <x:c r="O654" s="136" t="inlineStr">
        <x:is>
          <x:t xml:space="preserve">Latin</x:t>
        </x:is>
      </x:c>
      <x:c r="P654" s="136" t="inlineStr">
        <x:is>
          <x:t xml:space="preserve">Seneca hỏi: phản ứng có tự chạy theo ấn tượng đầu tiên, hay còn một bước ta đồng thuận với nó?</x:t>
        </x:is>
      </x:c>
      <x:c r="Q654" s="136" t="inlineStr">
        <x:is>
          <x:t xml:space="preserve">Lucius Annaeus Seneca</x:t>
        </x:is>
      </x:c>
      <x:c r="R654" s="136" t="inlineStr">
        <x:is>
          <x:t xml:space="preserve">Roman Stoic / Rome</x:t>
        </x:is>
      </x:c>
      <x:c r="S654" s="136" t="inlineStr">
        <x:is>
          <x:t xml:space="preserve">De Ira</x:t>
        </x:is>
      </x:c>
      <x:c r="T654" s="136" t="inlineStr">
        <x:is>
          <x:t xml:space="preserve">2.1.3</x:t>
        </x:is>
      </x:c>
      <x:c r="U654" s="136" t="inlineStr">
        <x:is>
          <x:t xml:space="preserve">https://la.wikisource.org/wiki/De_ira</x:t>
        </x:is>
      </x:c>
      <x:c r="V654" s="136" t="inlineStr">
        <x:is>
          <x:t xml:space="preserve">Primary Latin text / reputable digital corpus</x:t>
        </x:is>
      </x:c>
      <x:c r="W654" s="136" t="inlineStr">
        <x:is>
          <x:t xml:space="preserve">Original-source passage</x:t>
        </x:is>
      </x:c>
      <x:c r="X654" s="136" t="inlineStr">
        <x:is>
          <x:t xml:space="preserve">A - Primary-source text located</x:t>
        </x:is>
      </x:c>
      <x:c r="Y654" s="136" t="inlineStr">
        <x:is>
          <x:t xml:space="preserve">Latin anchor collected from Seneca primary-text corpus; exact punctuation/orthography can vary by edition. Release requires passage-level recheck.</x:t>
        </x:is>
      </x:c>
      <x:c r="Z654" s="136" t="inlineStr">
        <x:is>
          <x:t xml:space="preserve">Ancient work public domain; digital transcription terms apply</x:t>
        </x:is>
      </x:c>
      <x:c r="AA654" s="136" t="inlineStr">
        <x:is>
          <x:t xml:space="preserve">Keep Latin original and use fresh Selflo Vietnamese working translation; do not copy a modern copyrighted translation.</x:t>
        </x:is>
      </x:c>
      <x:c r="AB654" s="136" t="inlineStr">
        <x:is>
          <x:t xml:space="preserve">High</x:t>
        </x:is>
      </x:c>
      <x:c r="AC654" s="136" t="inlineStr">
        <x:is>
          <x:t xml:space="preserve">Collected for Day 9 coverage; editorial selection happens later.</x:t>
        </x:is>
      </x:c>
      <x:c r="AD654" s="136" t="inlineStr">
        <x:is>
          <x:t xml:space="preserve">Low–Medium</x:t>
        </x:is>
      </x:c>
      <x:c r="AE654" s="136" t="inlineStr">
        <x:is>
          <x:t xml:space="preserve">Needs semantic dedupe review</x:t>
        </x:is>
      </x:c>
      <x:c r="AF654" s="136" t="inlineStr">
        <x:is>
          <x:t xml:space="preserve"/>
        </x:is>
      </x:c>
      <x:c r="AG654" s="136" t="inlineStr">
        <x:is>
          <x:t xml:space="preserve"/>
        </x:is>
      </x:c>
      <x:c r="AH654" s="136" t="inlineStr">
        <x:is>
          <x:t xml:space="preserve">No</x:t>
        </x:is>
      </x:c>
      <x:c r="AI654" s="136" t="inlineStr">
        <x:is>
          <x:t xml:space="preserve">Not reviewed</x:t>
        </x:is>
      </x:c>
      <x:c r="AJ654" s="136" t="inlineStr">
        <x:is>
          <x:t xml:space="preserve">Research only</x:t>
        </x:is>
      </x:c>
      <x:c r="AK654" s="136" t="inlineStr">
        <x:is>
          <x:t xml:space="preserve">Research Pool</x:t>
        </x:is>
      </x:c>
      <x:c r="AL654" s="136" t="n">
        <x:v>9</x:v>
      </x:c>
      <x:c r="AM654" s="136" t="inlineStr">
        <x:is>
          <x:t xml:space="preserve">ChatGPT research</x:t>
        </x:is>
      </x:c>
      <x:c r="AN654" s="136" t="inlineStr">
        <x:is>
          <x:t xml:space="preserve">2026-09-18</x:t>
        </x:is>
      </x:c>
      <x:c r="AO654" s="136" t="inlineStr">
        <x:is>
          <x:t xml:space="preserve">Day 9 Seneca full-scope thematic screening; VI is Selflo working translation.</x:t>
        </x:is>
      </x:c>
      <x:c r="AP654" s="136" t="n"/>
      <x:c r="AQ654" s="136" t="n"/>
    </x:row>
    <x:row r="655">
      <x:c r="A655" s="136" t="inlineStr">
        <x:is>
          <x:t xml:space="preserve">research.seneca.day9.ira3</x:t>
        </x:is>
      </x:c>
      <x:c r="B655" s="136" t="inlineStr">
        <x:is>
          <x:t xml:space="preserve">Collected</x:t>
        </x:is>
      </x:c>
      <x:c r="C655" s="136" t="inlineStr">
        <x:is>
          <x:t xml:space="preserve">Nội tâm &amp; hiểu mình</x:t>
        </x:is>
      </x:c>
      <x:c r="D655" s="136" t="inlineStr">
        <x:is>
          <x:t xml:space="preserve">Day 9 / Seneca — Letters &amp; Essays</x:t>
        </x:is>
      </x:c>
      <x:c r="E655" s="136" t="inlineStr">
        <x:is>
          <x:t xml:space="preserve"/>
        </x:is>
      </x:c>
      <x:c r="F655" s="136" t="inlineStr">
        <x:is>
          <x:t xml:space="preserve">Khoảng dừng khi giận</x:t>
        </x:is>
      </x:c>
      <x:c r="G655" s="136" t="inlineStr">
        <x:is>
          <x:t xml:space="preserve">Anger</x:t>
        </x:is>
      </x:c>
      <x:c r="H655" s="136" t="inlineStr">
        <x:is>
          <x:t xml:space="preserve"/>
        </x:is>
      </x:c>
      <x:c r="I655" s="136" t="inlineStr">
        <x:is>
          <x:t xml:space="preserve"/>
        </x:is>
      </x:c>
      <x:c r="J655" s="136" t="inlineStr">
        <x:is>
          <x:t xml:space="preserve"/>
        </x:is>
      </x:c>
      <x:c r="K655" s="136" t="inlineStr">
        <x:is>
          <x:t xml:space="preserve">Permit</x:t>
        </x:is>
      </x:c>
      <x:c r="L655" s="136" t="inlineStr">
        <x:is>
          <x:t xml:space="preserve"/>
        </x:is>
      </x:c>
      <x:c r="M655" s="136" t="inlineStr">
        <x:is>
          <x:t xml:space="preserve">Essay / philosophical reflection</x:t>
        </x:is>
      </x:c>
      <x:c r="N655" s="136" t="inlineStr">
        <x:is>
          <x:t xml:space="preserve">alios mora, lentum praecipitis mali remedium.</x:t>
        </x:is>
      </x:c>
      <x:c r="O655" s="136" t="inlineStr">
        <x:is>
          <x:t xml:space="preserve">Latin</x:t>
        </x:is>
      </x:c>
      <x:c r="P655" s="136" t="inlineStr">
        <x:is>
          <x:t xml:space="preserve">Với một số cơn giận, trì hoãn phản ứng là phương thuốc chậm cho một điều đang lao rất nhanh.</x:t>
        </x:is>
      </x:c>
      <x:c r="Q655" s="136" t="inlineStr">
        <x:is>
          <x:t xml:space="preserve">Lucius Annaeus Seneca</x:t>
        </x:is>
      </x:c>
      <x:c r="R655" s="136" t="inlineStr">
        <x:is>
          <x:t xml:space="preserve">Roman Stoic / Rome</x:t>
        </x:is>
      </x:c>
      <x:c r="S655" s="136" t="inlineStr">
        <x:is>
          <x:t xml:space="preserve">De Ira</x:t>
        </x:is>
      </x:c>
      <x:c r="T655" s="136" t="inlineStr">
        <x:is>
          <x:t xml:space="preserve">3.1.2</x:t>
        </x:is>
      </x:c>
      <x:c r="U655" s="136" t="inlineStr">
        <x:is>
          <x:t xml:space="preserve">https://la.wikisource.org/wiki/De_ira</x:t>
        </x:is>
      </x:c>
      <x:c r="V655" s="136" t="inlineStr">
        <x:is>
          <x:t xml:space="preserve">Primary Latin text / reputable digital corpus</x:t>
        </x:is>
      </x:c>
      <x:c r="W655" s="136" t="inlineStr">
        <x:is>
          <x:t xml:space="preserve">Original-source passage</x:t>
        </x:is>
      </x:c>
      <x:c r="X655" s="136" t="inlineStr">
        <x:is>
          <x:t xml:space="preserve">A - Primary-source text located</x:t>
        </x:is>
      </x:c>
      <x:c r="Y655" s="136" t="inlineStr">
        <x:is>
          <x:t xml:space="preserve">Latin anchor collected from Seneca primary-text corpus; exact punctuation/orthography can vary by edition. Release requires passage-level recheck.</x:t>
        </x:is>
      </x:c>
      <x:c r="Z655" s="136" t="inlineStr">
        <x:is>
          <x:t xml:space="preserve">Ancient work public domain; digital transcription terms apply</x:t>
        </x:is>
      </x:c>
      <x:c r="AA655" s="136" t="inlineStr">
        <x:is>
          <x:t xml:space="preserve">Keep Latin original and use fresh Selflo Vietnamese working translation; do not copy a modern copyrighted translation.</x:t>
        </x:is>
      </x:c>
      <x:c r="AB655" s="136" t="inlineStr">
        <x:is>
          <x:t xml:space="preserve">High</x:t>
        </x:is>
      </x:c>
      <x:c r="AC655" s="136" t="inlineStr">
        <x:is>
          <x:t xml:space="preserve">Collected for Day 9 coverage; editorial selection happens later.</x:t>
        </x:is>
      </x:c>
      <x:c r="AD655" s="136" t="inlineStr">
        <x:is>
          <x:t xml:space="preserve">Low–Medium</x:t>
        </x:is>
      </x:c>
      <x:c r="AE655" s="136" t="inlineStr">
        <x:is>
          <x:t xml:space="preserve">Needs semantic dedupe review</x:t>
        </x:is>
      </x:c>
      <x:c r="AF655" s="136" t="inlineStr">
        <x:is>
          <x:t xml:space="preserve"/>
        </x:is>
      </x:c>
      <x:c r="AG655" s="136" t="inlineStr">
        <x:is>
          <x:t xml:space="preserve"/>
        </x:is>
      </x:c>
      <x:c r="AH655" s="136" t="inlineStr">
        <x:is>
          <x:t xml:space="preserve">No</x:t>
        </x:is>
      </x:c>
      <x:c r="AI655" s="136" t="inlineStr">
        <x:is>
          <x:t xml:space="preserve">Not reviewed</x:t>
        </x:is>
      </x:c>
      <x:c r="AJ655" s="136" t="inlineStr">
        <x:is>
          <x:t xml:space="preserve">Research only</x:t>
        </x:is>
      </x:c>
      <x:c r="AK655" s="136" t="inlineStr">
        <x:is>
          <x:t xml:space="preserve">Research Pool</x:t>
        </x:is>
      </x:c>
      <x:c r="AL655" s="136" t="n">
        <x:v>9</x:v>
      </x:c>
      <x:c r="AM655" s="136" t="inlineStr">
        <x:is>
          <x:t xml:space="preserve">ChatGPT research</x:t>
        </x:is>
      </x:c>
      <x:c r="AN655" s="136" t="inlineStr">
        <x:is>
          <x:t xml:space="preserve">2026-09-18</x:t>
        </x:is>
      </x:c>
      <x:c r="AO655" s="136" t="inlineStr">
        <x:is>
          <x:t xml:space="preserve">Day 9 Seneca full-scope thematic screening; VI is Selflo working translation.</x:t>
        </x:is>
      </x:c>
      <x:c r="AP655" s="136" t="n"/>
      <x:c r="AQ655" s="136" t="n"/>
    </x:row>
    <x:row r="656">
      <x:c r="A656" s="136" t="inlineStr">
        <x:is>
          <x:t xml:space="preserve">research.seneca.day9.ira4</x:t>
        </x:is>
      </x:c>
      <x:c r="B656" s="136" t="inlineStr">
        <x:is>
          <x:t xml:space="preserve">Collected</x:t>
        </x:is>
      </x:c>
      <x:c r="C656" s="136" t="inlineStr">
        <x:is>
          <x:t xml:space="preserve">Nội tâm &amp; hiểu mình</x:t>
        </x:is>
      </x:c>
      <x:c r="D656" s="136" t="inlineStr">
        <x:is>
          <x:t xml:space="preserve">Day 9 / Seneca — Letters &amp; Essays</x:t>
        </x:is>
      </x:c>
      <x:c r="E656" s="136" t="inlineStr">
        <x:is>
          <x:t xml:space="preserve"/>
        </x:is>
      </x:c>
      <x:c r="F656" s="136" t="inlineStr">
        <x:is>
          <x:t xml:space="preserve">Capacity matters</x:t>
        </x:is>
      </x:c>
      <x:c r="G656" s="136" t="inlineStr">
        <x:is>
          <x:t xml:space="preserve">Capacity</x:t>
        </x:is>
      </x:c>
      <x:c r="H656" s="136" t="inlineStr">
        <x:is>
          <x:t xml:space="preserve"/>
        </x:is>
      </x:c>
      <x:c r="I656" s="136" t="inlineStr">
        <x:is>
          <x:t xml:space="preserve"/>
        </x:is>
      </x:c>
      <x:c r="J656" s="136" t="inlineStr">
        <x:is>
          <x:t xml:space="preserve"/>
        </x:is>
      </x:c>
      <x:c r="K656" s="136" t="inlineStr">
        <x:is>
          <x:t xml:space="preserve">Recognize</x:t>
        </x:is>
      </x:c>
      <x:c r="L656" s="136" t="inlineStr">
        <x:is>
          <x:t xml:space="preserve"/>
        </x:is>
      </x:c>
      <x:c r="M656" s="136" t="inlineStr">
        <x:is>
          <x:t xml:space="preserve">Essay / philosophical reflection</x:t>
        </x:is>
      </x:c>
      <x:c r="N656" s="136" t="inlineStr">
        <x:is>
          <x:t xml:space="preserve">refert quantas vires quamque integras habeat.</x:t>
        </x:is>
      </x:c>
      <x:c r="O656" s="136" t="inlineStr">
        <x:is>
          <x:t xml:space="preserve">Latin</x:t>
        </x:is>
      </x:c>
      <x:c r="P656" s="136" t="inlineStr">
        <x:is>
          <x:t xml:space="preserve">Cách xử lý còn tùy vào mình đang có bao nhiêu sức lực và độ vững.</x:t>
        </x:is>
      </x:c>
      <x:c r="Q656" s="136" t="inlineStr">
        <x:is>
          <x:t xml:space="preserve">Lucius Annaeus Seneca</x:t>
        </x:is>
      </x:c>
      <x:c r="R656" s="136" t="inlineStr">
        <x:is>
          <x:t xml:space="preserve">Roman Stoic / Rome</x:t>
        </x:is>
      </x:c>
      <x:c r="S656" s="136" t="inlineStr">
        <x:is>
          <x:t xml:space="preserve">De Ira</x:t>
        </x:is>
      </x:c>
      <x:c r="T656" s="136" t="inlineStr">
        <x:is>
          <x:t xml:space="preserve">3.1.1</x:t>
        </x:is>
      </x:c>
      <x:c r="U656" s="136" t="inlineStr">
        <x:is>
          <x:t xml:space="preserve">https://la.wikisource.org/wiki/De_ira</x:t>
        </x:is>
      </x:c>
      <x:c r="V656" s="136" t="inlineStr">
        <x:is>
          <x:t xml:space="preserve">Primary Latin text / reputable digital corpus</x:t>
        </x:is>
      </x:c>
      <x:c r="W656" s="136" t="inlineStr">
        <x:is>
          <x:t xml:space="preserve">Original-source passage</x:t>
        </x:is>
      </x:c>
      <x:c r="X656" s="136" t="inlineStr">
        <x:is>
          <x:t xml:space="preserve">A - Primary-source text located</x:t>
        </x:is>
      </x:c>
      <x:c r="Y656" s="136" t="inlineStr">
        <x:is>
          <x:t xml:space="preserve">Latin anchor collected from Seneca primary-text corpus; exact punctuation/orthography can vary by edition. Release requires passage-level recheck.</x:t>
        </x:is>
      </x:c>
      <x:c r="Z656" s="136" t="inlineStr">
        <x:is>
          <x:t xml:space="preserve">Ancient work public domain; digital transcription terms apply</x:t>
        </x:is>
      </x:c>
      <x:c r="AA656" s="136" t="inlineStr">
        <x:is>
          <x:t xml:space="preserve">Keep Latin original and use fresh Selflo Vietnamese working translation; do not copy a modern copyrighted translation.</x:t>
        </x:is>
      </x:c>
      <x:c r="AB656" s="136" t="inlineStr">
        <x:is>
          <x:t xml:space="preserve">High</x:t>
        </x:is>
      </x:c>
      <x:c r="AC656" s="136" t="inlineStr">
        <x:is>
          <x:t xml:space="preserve">Collected for Day 9 coverage; editorial selection happens later.</x:t>
        </x:is>
      </x:c>
      <x:c r="AD656" s="136" t="inlineStr">
        <x:is>
          <x:t xml:space="preserve">Low–Medium</x:t>
        </x:is>
      </x:c>
      <x:c r="AE656" s="136" t="inlineStr">
        <x:is>
          <x:t xml:space="preserve">Needs semantic dedupe review</x:t>
        </x:is>
      </x:c>
      <x:c r="AF656" s="136" t="inlineStr">
        <x:is>
          <x:t xml:space="preserve"/>
        </x:is>
      </x:c>
      <x:c r="AG656" s="136" t="inlineStr">
        <x:is>
          <x:t xml:space="preserve"/>
        </x:is>
      </x:c>
      <x:c r="AH656" s="136" t="inlineStr">
        <x:is>
          <x:t xml:space="preserve">No</x:t>
        </x:is>
      </x:c>
      <x:c r="AI656" s="136" t="inlineStr">
        <x:is>
          <x:t xml:space="preserve">Not reviewed</x:t>
        </x:is>
      </x:c>
      <x:c r="AJ656" s="136" t="inlineStr">
        <x:is>
          <x:t xml:space="preserve">Research only</x:t>
        </x:is>
      </x:c>
      <x:c r="AK656" s="136" t="inlineStr">
        <x:is>
          <x:t xml:space="preserve">Research Pool</x:t>
        </x:is>
      </x:c>
      <x:c r="AL656" s="136" t="n">
        <x:v>9</x:v>
      </x:c>
      <x:c r="AM656" s="136" t="inlineStr">
        <x:is>
          <x:t xml:space="preserve">ChatGPT research</x:t>
        </x:is>
      </x:c>
      <x:c r="AN656" s="136" t="inlineStr">
        <x:is>
          <x:t xml:space="preserve">2026-09-18</x:t>
        </x:is>
      </x:c>
      <x:c r="AO656" s="136" t="inlineStr">
        <x:is>
          <x:t xml:space="preserve">Day 9 Seneca full-scope thematic screening; VI is Selflo working translation.</x:t>
        </x:is>
      </x:c>
      <x:c r="AP656" s="136" t="n"/>
      <x:c r="AQ656" s="136" t="n"/>
    </x:row>
    <x:row r="657">
      <x:c r="A657" t="inlineStr">
        <x:is>
          <x:t xml:space="preserve">research.musonius.day10.d01_01</x:t>
        </x:is>
      </x:c>
      <x:c r="B657" t="inlineStr">
        <x:is>
          <x:t xml:space="preserve">Collected</x:t>
        </x:is>
      </x:c>
      <x:c r="C657" t="inlineStr">
        <x:is>
          <x:t xml:space="preserve">Công việc &amp; mục đích</x:t>
        </x:is>
      </x:c>
      <x:c r="D657" t="inlineStr">
        <x:is>
          <x:t xml:space="preserve">Day 10 / Musonius Rufus — Discourses + Fragments</x:t>
        </x:is>
      </x:c>
      <x:c r="F657" t="inlineStr">
        <x:is>
          <x:t xml:space="preserve">Khi nhiều lời làm mờ điều chính</x:t>
        </x:is>
      </x:c>
      <x:c r="G657" t="inlineStr">
        <x:is>
          <x:t xml:space="preserve">Learning / Clarity</x:t>
        </x:is>
      </x:c>
      <x:c r="K657" t="inlineStr">
        <x:is>
          <x:t xml:space="preserve">Distinguish</x:t>
        </x:is>
      </x:c>
      <x:c r="M657" t="inlineStr">
        <x:is>
          <x:t xml:space="preserve">Source-anchored paraphrase candidate</x:t>
        </x:is>
      </x:c>
      <x:c r="N657" t="inlineStr">
        <x:is>
          <x:t xml:space="preserve">[Không chép Greek khi chưa xác minh trực tiếp Hense/Lutz passage]</x:t>
        </x:is>
      </x:c>
      <x:c r="O657" t="inlineStr">
        <x:is>
          <x:t xml:space="preserve">Ancient Greek tradition</x:t>
        </x:is>
      </x:c>
      <x:c r="P657" t="inlineStr">
        <x:is>
          <x:t xml:space="preserve">Một vấn đề rõ không cần chất quá nhiều chứng minh; điều quan trọng là lý lẽ đủ sáng để người nghe thấy điều cần thấy.</x:t>
        </x:is>
      </x:c>
      <x:c r="Q657" t="inlineStr">
        <x:is>
          <x:t xml:space="preserve">Musonius Rufus (teachings preserved by students/compilers)</x:t>
        </x:is>
      </x:c>
      <x:c r="R657" t="inlineStr">
        <x:is>
          <x:t xml:space="preserve">Roman Stoic / Greek-language teaching</x:t>
        </x:is>
      </x:c>
      <x:c r="S657" t="inlineStr">
        <x:is>
          <x:t xml:space="preserve">Discourses</x:t>
        </x:is>
      </x:c>
      <x:c r="T657" t="inlineStr">
        <x:is>
          <x:t xml:space="preserve">1</x:t>
        </x:is>
      </x:c>
      <x:c r="U657" t="inlineStr">
        <x:is>
          <x:t xml:space="preserve">https://iep.utm.edu/musonius/</x:t>
        </x:is>
      </x:c>
      <x:c r="V657" t="inlineStr">
        <x:is>
          <x:t xml:space="preserve">Surviving discourse/fragment tradition; IEP + standard Hense/Lutz bibliography</x:t>
        </x:is>
      </x:c>
      <x:c r="W657" t="inlineStr">
        <x:is>
          <x:t xml:space="preserve">Research paraphrase — NOT verbatim quote</x:t>
        </x:is>
      </x:c>
      <x:c r="X657" t="inlineStr">
        <x:is>
          <x:t xml:space="preserve">B - discourse/theme source verified; original wording pending</x:t>
        </x:is>
      </x:c>
      <x:c r="Y657" t="inlineStr">
        <x:is>
          <x:t xml:space="preserve">Musonius' own writings do not survive. Teachings survive as 21 discourses and 32 apophthegms preserved by others. Do not present this Vietnamese wording as a direct quote.</x:t>
        </x:is>
      </x:c>
      <x:c r="Z657" t="inlineStr">
        <x:is>
          <x:t xml:space="preserve">Ancient source tradition public domain; modern translations may be copyrighted</x:t>
        </x:is>
      </x:c>
      <x:c r="AA657" t="inlineStr">
        <x:is>
          <x:t xml:space="preserve">Before Release, verify Greek against Hense 1905 or another public-domain Greek edition and create a fresh Selflo translation. Do not copy Lutz 2020/Yale translation.</x:t>
        </x:is>
      </x:c>
      <x:c r="AB657" t="inlineStr">
        <x:is>
          <x:t xml:space="preserve">High</x:t>
        </x:is>
      </x:c>
      <x:c r="AC657" t="inlineStr">
        <x:is>
          <x:t xml:space="preserve">Day 10 collection; selection later.</x:t>
        </x:is>
      </x:c>
      <x:c r="AD657" t="inlineStr">
        <x:is>
          <x:t xml:space="preserve">Medium</x:t>
        </x:is>
      </x:c>
      <x:c r="AE657" t="inlineStr">
        <x:is>
          <x:t xml:space="preserve">Needs semantic dedupe review</x:t>
        </x:is>
      </x:c>
      <x:c r="AH657" t="inlineStr">
        <x:is>
          <x:t xml:space="preserve">No</x:t>
        </x:is>
      </x:c>
      <x:c r="AI657" t="inlineStr">
        <x:is>
          <x:t xml:space="preserve">Not reviewed</x:t>
        </x:is>
      </x:c>
      <x:c r="AJ657" t="inlineStr">
        <x:is>
          <x:t xml:space="preserve">Research only</x:t>
        </x:is>
      </x:c>
      <x:c r="AK657" t="inlineStr">
        <x:is>
          <x:t xml:space="preserve">Research Pool</x:t>
        </x:is>
      </x:c>
      <x:c r="AL657" t="n">
        <x:v>10</x:v>
      </x:c>
      <x:c r="AM657" t="inlineStr">
        <x:is>
          <x:t xml:space="preserve">ChatGPT research</x:t>
        </x:is>
      </x:c>
      <x:c r="AN657" t="inlineStr">
        <x:is>
          <x:t xml:space="preserve">2026-09-18</x:t>
        </x:is>
      </x:c>
      <x:c r="AO657" t="inlineStr">
        <x:is>
          <x:t xml:space="preserve">Full first-pass across all 21 discourse topics + fragment tradition. Source-safe paraphrase until Greek is passage-verified.</x:t>
        </x:is>
      </x:c>
    </x:row>
    <x:row r="658">
      <x:c r="A658" t="inlineStr">
        <x:is>
          <x:t xml:space="preserve">research.musonius.day10.d01_02</x:t>
        </x:is>
      </x:c>
      <x:c r="B658" t="inlineStr">
        <x:is>
          <x:t xml:space="preserve">Collected</x:t>
        </x:is>
      </x:c>
      <x:c r="C658" t="inlineStr">
        <x:is>
          <x:t xml:space="preserve">Nội tâm &amp; hiểu mình</x:t>
        </x:is>
      </x:c>
      <x:c r="D658" t="inlineStr">
        <x:is>
          <x:t xml:space="preserve">Day 10 / Musonius Rufus — Discourses + Fragments</x:t>
        </x:is>
      </x:c>
      <x:c r="F658" t="inlineStr">
        <x:is>
          <x:t xml:space="preserve">Khi kiến thức trở thành trình diễn</x:t>
        </x:is>
      </x:c>
      <x:c r="G658" t="inlineStr">
        <x:is>
          <x:t xml:space="preserve">Communication</x:t>
        </x:is>
      </x:c>
      <x:c r="K658" t="inlineStr">
        <x:is>
          <x:t xml:space="preserve">Reframe</x:t>
        </x:is>
      </x:c>
      <x:c r="M658" t="inlineStr">
        <x:is>
          <x:t xml:space="preserve">Source-anchored paraphrase candidate</x:t>
        </x:is>
      </x:c>
      <x:c r="N658" t="inlineStr">
        <x:is>
          <x:t xml:space="preserve">[Không chép Greek khi chưa xác minh trực tiếp Hense/Lutz passage]</x:t>
        </x:is>
      </x:c>
      <x:c r="O658" t="inlineStr">
        <x:is>
          <x:t xml:space="preserve">Ancient Greek tradition</x:t>
        </x:is>
      </x:c>
      <x:c r="P658" t="inlineStr">
        <x:is>
          <x:t xml:space="preserve">Người dạy nên nói theo cách phù hợp với người nghe, thay vì dùng số lượng lập luận để phô khả năng.</x:t>
        </x:is>
      </x:c>
      <x:c r="Q658" t="inlineStr">
        <x:is>
          <x:t xml:space="preserve">Musonius Rufus (teachings preserved by students/compilers)</x:t>
        </x:is>
      </x:c>
      <x:c r="R658" t="inlineStr">
        <x:is>
          <x:t xml:space="preserve">Roman Stoic / Greek-language teaching</x:t>
        </x:is>
      </x:c>
      <x:c r="S658" t="inlineStr">
        <x:is>
          <x:t xml:space="preserve">Discourses</x:t>
        </x:is>
      </x:c>
      <x:c r="T658" t="inlineStr">
        <x:is>
          <x:t xml:space="preserve">1</x:t>
        </x:is>
      </x:c>
      <x:c r="U658" t="inlineStr">
        <x:is>
          <x:t xml:space="preserve">https://iep.utm.edu/musonius/</x:t>
        </x:is>
      </x:c>
      <x:c r="V658" t="inlineStr">
        <x:is>
          <x:t xml:space="preserve">Surviving discourse/fragment tradition; IEP + standard Hense/Lutz bibliography</x:t>
        </x:is>
      </x:c>
      <x:c r="W658" t="inlineStr">
        <x:is>
          <x:t xml:space="preserve">Research paraphrase — NOT verbatim quote</x:t>
        </x:is>
      </x:c>
      <x:c r="X658" t="inlineStr">
        <x:is>
          <x:t xml:space="preserve">B - discourse/theme source verified; original wording pending</x:t>
        </x:is>
      </x:c>
      <x:c r="Y658" t="inlineStr">
        <x:is>
          <x:t xml:space="preserve">Musonius' own writings do not survive. Teachings survive as 21 discourses and 32 apophthegms preserved by others. Do not present this Vietnamese wording as a direct quote.</x:t>
        </x:is>
      </x:c>
      <x:c r="Z658" t="inlineStr">
        <x:is>
          <x:t xml:space="preserve">Ancient source tradition public domain; modern translations may be copyrighted</x:t>
        </x:is>
      </x:c>
      <x:c r="AA658" t="inlineStr">
        <x:is>
          <x:t xml:space="preserve">Before Release, verify Greek against Hense 1905 or another public-domain Greek edition and create a fresh Selflo translation. Do not copy Lutz 2020/Yale translation.</x:t>
        </x:is>
      </x:c>
      <x:c r="AB658" t="inlineStr">
        <x:is>
          <x:t xml:space="preserve">High</x:t>
        </x:is>
      </x:c>
      <x:c r="AC658" t="inlineStr">
        <x:is>
          <x:t xml:space="preserve">Day 10 collection; selection later.</x:t>
        </x:is>
      </x:c>
      <x:c r="AD658" t="inlineStr">
        <x:is>
          <x:t xml:space="preserve">Medium</x:t>
        </x:is>
      </x:c>
      <x:c r="AE658" t="inlineStr">
        <x:is>
          <x:t xml:space="preserve">Needs semantic dedupe review</x:t>
        </x:is>
      </x:c>
      <x:c r="AH658" t="inlineStr">
        <x:is>
          <x:t xml:space="preserve">No</x:t>
        </x:is>
      </x:c>
      <x:c r="AI658" t="inlineStr">
        <x:is>
          <x:t xml:space="preserve">Not reviewed</x:t>
        </x:is>
      </x:c>
      <x:c r="AJ658" t="inlineStr">
        <x:is>
          <x:t xml:space="preserve">Research only</x:t>
        </x:is>
      </x:c>
      <x:c r="AK658" t="inlineStr">
        <x:is>
          <x:t xml:space="preserve">Research Pool</x:t>
        </x:is>
      </x:c>
      <x:c r="AL658" t="n">
        <x:v>10</x:v>
      </x:c>
      <x:c r="AM658" t="inlineStr">
        <x:is>
          <x:t xml:space="preserve">ChatGPT research</x:t>
        </x:is>
      </x:c>
      <x:c r="AN658" t="inlineStr">
        <x:is>
          <x:t xml:space="preserve">2026-09-18</x:t>
        </x:is>
      </x:c>
      <x:c r="AO658" t="inlineStr">
        <x:is>
          <x:t xml:space="preserve">Full first-pass across all 21 discourse topics + fragment tradition. Source-safe paraphrase until Greek is passage-verified.</x:t>
        </x:is>
      </x:c>
    </x:row>
    <x:row r="659">
      <x:c r="A659" t="inlineStr">
        <x:is>
          <x:t xml:space="preserve">research.musonius.day10.d02_01</x:t>
        </x:is>
      </x:c>
      <x:c r="B659" t="inlineStr">
        <x:is>
          <x:t xml:space="preserve">Collected</x:t>
        </x:is>
      </x:c>
      <x:c r="C659" t="inlineStr">
        <x:is>
          <x:t xml:space="preserve">Công việc &amp; mục đích</x:t>
        </x:is>
      </x:c>
      <x:c r="D659" t="inlineStr">
        <x:is>
          <x:t xml:space="preserve">Day 10 / Musonius Rufus — Discourses + Fragments</x:t>
        </x:is>
      </x:c>
      <x:c r="F659" t="inlineStr">
        <x:is>
          <x:t xml:space="preserve">Học như nhận ra chứ không chỉ nhận thêm</x:t>
        </x:is>
      </x:c>
      <x:c r="G659" t="inlineStr">
        <x:is>
          <x:t xml:space="preserve">Learning</x:t>
        </x:is>
      </x:c>
      <x:c r="K659" t="inlineStr">
        <x:is>
          <x:t xml:space="preserve">Recognize</x:t>
        </x:is>
      </x:c>
      <x:c r="M659" t="inlineStr">
        <x:is>
          <x:t xml:space="preserve">Source-anchored paraphrase candidate</x:t>
        </x:is>
      </x:c>
      <x:c r="N659" t="inlineStr">
        <x:is>
          <x:t xml:space="preserve">[Không chép Greek khi chưa xác minh trực tiếp Hense/Lutz passage]</x:t>
        </x:is>
      </x:c>
      <x:c r="O659" t="inlineStr">
        <x:is>
          <x:t xml:space="preserve">Ancient Greek tradition</x:t>
        </x:is>
      </x:c>
      <x:c r="P659" t="inlineStr">
        <x:is>
          <x:t xml:space="preserve">Con người không bắt đầu hoàn toàn trống rỗng trước điều tốt; việc học có thể đánh thức một khuynh hướng đã có.</x:t>
        </x:is>
      </x:c>
      <x:c r="Q659" t="inlineStr">
        <x:is>
          <x:t xml:space="preserve">Musonius Rufus (teachings preserved by students/compilers)</x:t>
        </x:is>
      </x:c>
      <x:c r="R659" t="inlineStr">
        <x:is>
          <x:t xml:space="preserve">Roman Stoic / Greek-language teaching</x:t>
        </x:is>
      </x:c>
      <x:c r="S659" t="inlineStr">
        <x:is>
          <x:t xml:space="preserve">Discourses</x:t>
        </x:is>
      </x:c>
      <x:c r="T659" t="inlineStr">
        <x:is>
          <x:t xml:space="preserve">2</x:t>
        </x:is>
      </x:c>
      <x:c r="U659" t="inlineStr">
        <x:is>
          <x:t xml:space="preserve">https://iep.utm.edu/musonius/</x:t>
        </x:is>
      </x:c>
      <x:c r="V659" t="inlineStr">
        <x:is>
          <x:t xml:space="preserve">Surviving discourse/fragment tradition; IEP + standard Hense/Lutz bibliography</x:t>
        </x:is>
      </x:c>
      <x:c r="W659" t="inlineStr">
        <x:is>
          <x:t xml:space="preserve">Research paraphrase — NOT verbatim quote</x:t>
        </x:is>
      </x:c>
      <x:c r="X659" t="inlineStr">
        <x:is>
          <x:t xml:space="preserve">B - discourse/theme source verified; original wording pending</x:t>
        </x:is>
      </x:c>
      <x:c r="Y659" t="inlineStr">
        <x:is>
          <x:t xml:space="preserve">Musonius' own writings do not survive. Teachings survive as 21 discourses and 32 apophthegms preserved by others. Do not present this Vietnamese wording as a direct quote.</x:t>
        </x:is>
      </x:c>
      <x:c r="Z659" t="inlineStr">
        <x:is>
          <x:t xml:space="preserve">Ancient source tradition public domain; modern translations may be copyrighted</x:t>
        </x:is>
      </x:c>
      <x:c r="AA659" t="inlineStr">
        <x:is>
          <x:t xml:space="preserve">Before Release, verify Greek against Hense 1905 or another public-domain Greek edition and create a fresh Selflo translation. Do not copy Lutz 2020/Yale translation.</x:t>
        </x:is>
      </x:c>
      <x:c r="AB659" t="inlineStr">
        <x:is>
          <x:t xml:space="preserve">Medium</x:t>
        </x:is>
      </x:c>
      <x:c r="AC659" t="inlineStr">
        <x:is>
          <x:t xml:space="preserve">Day 10 collection; selection later.</x:t>
        </x:is>
      </x:c>
      <x:c r="AD659" t="inlineStr">
        <x:is>
          <x:t xml:space="preserve">Medium</x:t>
        </x:is>
      </x:c>
      <x:c r="AE659" t="inlineStr">
        <x:is>
          <x:t xml:space="preserve">Needs semantic dedupe review</x:t>
        </x:is>
      </x:c>
      <x:c r="AH659" t="inlineStr">
        <x:is>
          <x:t xml:space="preserve">No</x:t>
        </x:is>
      </x:c>
      <x:c r="AI659" t="inlineStr">
        <x:is>
          <x:t xml:space="preserve">Not reviewed</x:t>
        </x:is>
      </x:c>
      <x:c r="AJ659" t="inlineStr">
        <x:is>
          <x:t xml:space="preserve">Research only</x:t>
        </x:is>
      </x:c>
      <x:c r="AK659" t="inlineStr">
        <x:is>
          <x:t xml:space="preserve">Research Pool</x:t>
        </x:is>
      </x:c>
      <x:c r="AL659" t="n">
        <x:v>10</x:v>
      </x:c>
      <x:c r="AM659" t="inlineStr">
        <x:is>
          <x:t xml:space="preserve">ChatGPT research</x:t>
        </x:is>
      </x:c>
      <x:c r="AN659" t="inlineStr">
        <x:is>
          <x:t xml:space="preserve">2026-09-18</x:t>
        </x:is>
      </x:c>
      <x:c r="AO659" t="inlineStr">
        <x:is>
          <x:t xml:space="preserve">Full first-pass across all 21 discourse topics + fragment tradition. Source-safe paraphrase until Greek is passage-verified.</x:t>
        </x:is>
      </x:c>
    </x:row>
    <x:row r="660">
      <x:c r="A660" t="inlineStr">
        <x:is>
          <x:t xml:space="preserve">research.musonius.day10.d03_01</x:t>
        </x:is>
      </x:c>
      <x:c r="B660" t="inlineStr">
        <x:is>
          <x:t xml:space="preserve">Collected</x:t>
        </x:is>
      </x:c>
      <x:c r="C660" t="inlineStr">
        <x:is>
          <x:t xml:space="preserve">Quan hệ</x:t>
        </x:is>
      </x:c>
      <x:c r="D660" t="inlineStr">
        <x:is>
          <x:t xml:space="preserve">Day 10 / Musonius Rufus — Discourses + Fragments</x:t>
        </x:is>
      </x:c>
      <x:c r="F660" t="inlineStr">
        <x:is>
          <x:t xml:space="preserve">Ai được quyền học và phát triển</x:t>
        </x:is>
      </x:c>
      <x:c r="G660" t="inlineStr">
        <x:is>
          <x:t xml:space="preserve">Human dignity / Equality</x:t>
        </x:is>
      </x:c>
      <x:c r="K660" t="inlineStr">
        <x:is>
          <x:t xml:space="preserve">Distinguish</x:t>
        </x:is>
      </x:c>
      <x:c r="M660" t="inlineStr">
        <x:is>
          <x:t xml:space="preserve">Source-anchored paraphrase candidate</x:t>
        </x:is>
      </x:c>
      <x:c r="N660" t="inlineStr">
        <x:is>
          <x:t xml:space="preserve">[Không chép Greek khi chưa xác minh trực tiếp Hense/Lutz passage]</x:t>
        </x:is>
      </x:c>
      <x:c r="O660" t="inlineStr">
        <x:is>
          <x:t xml:space="preserve">Ancient Greek tradition</x:t>
        </x:is>
      </x:c>
      <x:c r="P660" t="inlineStr">
        <x:is>
          <x:t xml:space="preserve">Nếu năng lực đạo đức không thuộc riêng một giới, việc học cách sống tốt cũng không nên thuộc riêng một giới.</x:t>
        </x:is>
      </x:c>
      <x:c r="Q660" t="inlineStr">
        <x:is>
          <x:t xml:space="preserve">Musonius Rufus (teachings preserved by students/compilers)</x:t>
        </x:is>
      </x:c>
      <x:c r="R660" t="inlineStr">
        <x:is>
          <x:t xml:space="preserve">Roman Stoic / Greek-language teaching</x:t>
        </x:is>
      </x:c>
      <x:c r="S660" t="inlineStr">
        <x:is>
          <x:t xml:space="preserve">Discourses</x:t>
        </x:is>
      </x:c>
      <x:c r="T660" t="inlineStr">
        <x:is>
          <x:t xml:space="preserve">3</x:t>
        </x:is>
      </x:c>
      <x:c r="U660" t="inlineStr">
        <x:is>
          <x:t xml:space="preserve">https://iep.utm.edu/musonius/</x:t>
        </x:is>
      </x:c>
      <x:c r="V660" t="inlineStr">
        <x:is>
          <x:t xml:space="preserve">Surviving discourse/fragment tradition; IEP + standard Hense/Lutz bibliography</x:t>
        </x:is>
      </x:c>
      <x:c r="W660" t="inlineStr">
        <x:is>
          <x:t xml:space="preserve">Research paraphrase — NOT verbatim quote</x:t>
        </x:is>
      </x:c>
      <x:c r="X660" t="inlineStr">
        <x:is>
          <x:t xml:space="preserve">B - discourse/theme source verified; original wording pending</x:t>
        </x:is>
      </x:c>
      <x:c r="Y660" t="inlineStr">
        <x:is>
          <x:t xml:space="preserve">Musonius' own writings do not survive. Teachings survive as 21 discourses and 32 apophthegms preserved by others. Do not present this Vietnamese wording as a direct quote.</x:t>
        </x:is>
      </x:c>
      <x:c r="Z660" t="inlineStr">
        <x:is>
          <x:t xml:space="preserve">Ancient source tradition public domain; modern translations may be copyrighted</x:t>
        </x:is>
      </x:c>
      <x:c r="AA660" t="inlineStr">
        <x:is>
          <x:t xml:space="preserve">Before Release, verify Greek against Hense 1905 or another public-domain Greek edition and create a fresh Selflo translation. Do not copy Lutz 2020/Yale translation.</x:t>
        </x:is>
      </x:c>
      <x:c r="AB660" t="inlineStr">
        <x:is>
          <x:t xml:space="preserve">High</x:t>
        </x:is>
      </x:c>
      <x:c r="AC660" t="inlineStr">
        <x:is>
          <x:t xml:space="preserve">Day 10 collection; selection later.</x:t>
        </x:is>
      </x:c>
      <x:c r="AD660" t="inlineStr">
        <x:is>
          <x:t xml:space="preserve">Medium</x:t>
        </x:is>
      </x:c>
      <x:c r="AE660" t="inlineStr">
        <x:is>
          <x:t xml:space="preserve">Needs semantic dedupe review</x:t>
        </x:is>
      </x:c>
      <x:c r="AH660" t="inlineStr">
        <x:is>
          <x:t xml:space="preserve">No</x:t>
        </x:is>
      </x:c>
      <x:c r="AI660" t="inlineStr">
        <x:is>
          <x:t xml:space="preserve">Not reviewed</x:t>
        </x:is>
      </x:c>
      <x:c r="AJ660" t="inlineStr">
        <x:is>
          <x:t xml:space="preserve">Research only</x:t>
        </x:is>
      </x:c>
      <x:c r="AK660" t="inlineStr">
        <x:is>
          <x:t xml:space="preserve">Research Pool</x:t>
        </x:is>
      </x:c>
      <x:c r="AL660" t="n">
        <x:v>10</x:v>
      </x:c>
      <x:c r="AM660" t="inlineStr">
        <x:is>
          <x:t xml:space="preserve">ChatGPT research</x:t>
        </x:is>
      </x:c>
      <x:c r="AN660" t="inlineStr">
        <x:is>
          <x:t xml:space="preserve">2026-09-18</x:t>
        </x:is>
      </x:c>
      <x:c r="AO660" t="inlineStr">
        <x:is>
          <x:t xml:space="preserve">Full first-pass across all 21 discourse topics + fragment tradition. Source-safe paraphrase until Greek is passage-verified.</x:t>
        </x:is>
      </x:c>
    </x:row>
    <x:row r="661">
      <x:c r="A661" t="inlineStr">
        <x:is>
          <x:t xml:space="preserve">research.musonius.day10.d03_02</x:t>
        </x:is>
      </x:c>
      <x:c r="B661" t="inlineStr">
        <x:is>
          <x:t xml:space="preserve">Collected</x:t>
        </x:is>
      </x:c>
      <x:c r="C661" t="inlineStr">
        <x:is>
          <x:t xml:space="preserve">Quan hệ</x:t>
        </x:is>
      </x:c>
      <x:c r="D661" t="inlineStr">
        <x:is>
          <x:t xml:space="preserve">Day 10 / Musonius Rufus — Discourses + Fragments</x:t>
        </x:is>
      </x:c>
      <x:c r="F661" t="inlineStr">
        <x:is>
          <x:t xml:space="preserve">Phẩm chất con người không nên bị khóa bởi vai trò giới</x:t>
        </x:is>
      </x:c>
      <x:c r="G661" t="inlineStr">
        <x:is>
          <x:t xml:space="preserve">Equality</x:t>
        </x:is>
      </x:c>
      <x:c r="K661" t="inlineStr">
        <x:is>
          <x:t xml:space="preserve">Reframe</x:t>
        </x:is>
      </x:c>
      <x:c r="M661" t="inlineStr">
        <x:is>
          <x:t xml:space="preserve">Source-anchored paraphrase candidate</x:t>
        </x:is>
      </x:c>
      <x:c r="N661" t="inlineStr">
        <x:is>
          <x:t xml:space="preserve">[Không chép Greek khi chưa xác minh trực tiếp Hense/Lutz passage]</x:t>
        </x:is>
      </x:c>
      <x:c r="O661" t="inlineStr">
        <x:is>
          <x:t xml:space="preserve">Ancient Greek tradition</x:t>
        </x:is>
      </x:c>
      <x:c r="P661" t="inlineStr">
        <x:is>
          <x:t xml:space="preserve">Courage, justice and self-control are not virtues reserved for one sex.</x:t>
        </x:is>
      </x:c>
      <x:c r="Q661" t="inlineStr">
        <x:is>
          <x:t xml:space="preserve">Musonius Rufus (teachings preserved by students/compilers)</x:t>
        </x:is>
      </x:c>
      <x:c r="R661" t="inlineStr">
        <x:is>
          <x:t xml:space="preserve">Roman Stoic / Greek-language teaching</x:t>
        </x:is>
      </x:c>
      <x:c r="S661" t="inlineStr">
        <x:is>
          <x:t xml:space="preserve">Discourses</x:t>
        </x:is>
      </x:c>
      <x:c r="T661" t="inlineStr">
        <x:is>
          <x:t xml:space="preserve">3</x:t>
        </x:is>
      </x:c>
      <x:c r="U661" t="inlineStr">
        <x:is>
          <x:t xml:space="preserve">https://iep.utm.edu/musonius/</x:t>
        </x:is>
      </x:c>
      <x:c r="V661" t="inlineStr">
        <x:is>
          <x:t xml:space="preserve">Surviving discourse/fragment tradition; IEP + standard Hense/Lutz bibliography</x:t>
        </x:is>
      </x:c>
      <x:c r="W661" t="inlineStr">
        <x:is>
          <x:t xml:space="preserve">Research paraphrase — NOT verbatim quote</x:t>
        </x:is>
      </x:c>
      <x:c r="X661" t="inlineStr">
        <x:is>
          <x:t xml:space="preserve">B - discourse/theme source verified; original wording pending</x:t>
        </x:is>
      </x:c>
      <x:c r="Y661" t="inlineStr">
        <x:is>
          <x:t xml:space="preserve">Musonius' own writings do not survive. Teachings survive as 21 discourses and 32 apophthegms preserved by others. Do not present this Vietnamese wording as a direct quote.</x:t>
        </x:is>
      </x:c>
      <x:c r="Z661" t="inlineStr">
        <x:is>
          <x:t xml:space="preserve">Ancient source tradition public domain; modern translations may be copyrighted</x:t>
        </x:is>
      </x:c>
      <x:c r="AA661" t="inlineStr">
        <x:is>
          <x:t xml:space="preserve">Before Release, verify Greek against Hense 1905 or another public-domain Greek edition and create a fresh Selflo translation. Do not copy Lutz 2020/Yale translation.</x:t>
        </x:is>
      </x:c>
      <x:c r="AB661" t="inlineStr">
        <x:is>
          <x:t xml:space="preserve">High</x:t>
        </x:is>
      </x:c>
      <x:c r="AC661" t="inlineStr">
        <x:is>
          <x:t xml:space="preserve">Day 10 collection; selection later.</x:t>
        </x:is>
      </x:c>
      <x:c r="AD661" t="inlineStr">
        <x:is>
          <x:t xml:space="preserve">Medium</x:t>
        </x:is>
      </x:c>
      <x:c r="AE661" t="inlineStr">
        <x:is>
          <x:t xml:space="preserve">Needs semantic dedupe review</x:t>
        </x:is>
      </x:c>
      <x:c r="AH661" t="inlineStr">
        <x:is>
          <x:t xml:space="preserve">No</x:t>
        </x:is>
      </x:c>
      <x:c r="AI661" t="inlineStr">
        <x:is>
          <x:t xml:space="preserve">Not reviewed</x:t>
        </x:is>
      </x:c>
      <x:c r="AJ661" t="inlineStr">
        <x:is>
          <x:t xml:space="preserve">Research only</x:t>
        </x:is>
      </x:c>
      <x:c r="AK661" t="inlineStr">
        <x:is>
          <x:t xml:space="preserve">Research Pool</x:t>
        </x:is>
      </x:c>
      <x:c r="AL661" t="n">
        <x:v>10</x:v>
      </x:c>
      <x:c r="AM661" t="inlineStr">
        <x:is>
          <x:t xml:space="preserve">ChatGPT research</x:t>
        </x:is>
      </x:c>
      <x:c r="AN661" t="inlineStr">
        <x:is>
          <x:t xml:space="preserve">2026-09-18</x:t>
        </x:is>
      </x:c>
      <x:c r="AO661" t="inlineStr">
        <x:is>
          <x:t xml:space="preserve">Full first-pass across all 21 discourse topics + fragment tradition. Source-safe paraphrase until Greek is passage-verified.</x:t>
        </x:is>
      </x:c>
    </x:row>
    <x:row r="662">
      <x:c r="A662" t="inlineStr">
        <x:is>
          <x:t xml:space="preserve">research.musonius.day10.d04_01</x:t>
        </x:is>
      </x:c>
      <x:c r="B662" t="inlineStr">
        <x:is>
          <x:t xml:space="preserve">Collected</x:t>
        </x:is>
      </x:c>
      <x:c r="C662" t="inlineStr">
        <x:is>
          <x:t xml:space="preserve">Công việc &amp; mục đích</x:t>
        </x:is>
      </x:c>
      <x:c r="D662" t="inlineStr">
        <x:is>
          <x:t xml:space="preserve">Day 10 / Musonius Rufus — Discourses + Fragments</x:t>
        </x:is>
      </x:c>
      <x:c r="F662" t="inlineStr">
        <x:is>
          <x:t xml:space="preserve">Giáo dục và cơ hội</x:t>
        </x:is>
      </x:c>
      <x:c r="G662" t="inlineStr">
        <x:is>
          <x:t xml:space="preserve">Equality / Learning</x:t>
        </x:is>
      </x:c>
      <x:c r="K662" t="inlineStr">
        <x:is>
          <x:t xml:space="preserve">Reframe</x:t>
        </x:is>
      </x:c>
      <x:c r="M662" t="inlineStr">
        <x:is>
          <x:t xml:space="preserve">Source-anchored paraphrase candidate</x:t>
        </x:is>
      </x:c>
      <x:c r="N662" t="inlineStr">
        <x:is>
          <x:t xml:space="preserve">[Không chép Greek khi chưa xác minh trực tiếp Hense/Lutz passage]</x:t>
        </x:is>
      </x:c>
      <x:c r="O662" t="inlineStr">
        <x:is>
          <x:t xml:space="preserve">Ancient Greek tradition</x:t>
        </x:is>
      </x:c>
      <x:c r="P662" t="inlineStr">
        <x:is>
          <x:t xml:space="preserve">Con gái và con trai có thể cần cùng nền giáo dục về phẩm chất, dù đời sống cụ thể của họ có thể khác.</x:t>
        </x:is>
      </x:c>
      <x:c r="Q662" t="inlineStr">
        <x:is>
          <x:t xml:space="preserve">Musonius Rufus (teachings preserved by students/compilers)</x:t>
        </x:is>
      </x:c>
      <x:c r="R662" t="inlineStr">
        <x:is>
          <x:t xml:space="preserve">Roman Stoic / Greek-language teaching</x:t>
        </x:is>
      </x:c>
      <x:c r="S662" t="inlineStr">
        <x:is>
          <x:t xml:space="preserve">Discourses</x:t>
        </x:is>
      </x:c>
      <x:c r="T662" t="inlineStr">
        <x:is>
          <x:t xml:space="preserve">4</x:t>
        </x:is>
      </x:c>
      <x:c r="U662" t="inlineStr">
        <x:is>
          <x:t xml:space="preserve">https://iep.utm.edu/musonius/</x:t>
        </x:is>
      </x:c>
      <x:c r="V662" t="inlineStr">
        <x:is>
          <x:t xml:space="preserve">Surviving discourse/fragment tradition; IEP + standard Hense/Lutz bibliography</x:t>
        </x:is>
      </x:c>
      <x:c r="W662" t="inlineStr">
        <x:is>
          <x:t xml:space="preserve">Research paraphrase — NOT verbatim quote</x:t>
        </x:is>
      </x:c>
      <x:c r="X662" t="inlineStr">
        <x:is>
          <x:t xml:space="preserve">B - discourse/theme source verified; original wording pending</x:t>
        </x:is>
      </x:c>
      <x:c r="Y662" t="inlineStr">
        <x:is>
          <x:t xml:space="preserve">Musonius' own writings do not survive. Teachings survive as 21 discourses and 32 apophthegms preserved by others. Do not present this Vietnamese wording as a direct quote.</x:t>
        </x:is>
      </x:c>
      <x:c r="Z662" t="inlineStr">
        <x:is>
          <x:t xml:space="preserve">Ancient source tradition public domain; modern translations may be copyrighted</x:t>
        </x:is>
      </x:c>
      <x:c r="AA662" t="inlineStr">
        <x:is>
          <x:t xml:space="preserve">Before Release, verify Greek against Hense 1905 or another public-domain Greek edition and create a fresh Selflo translation. Do not copy Lutz 2020/Yale translation.</x:t>
        </x:is>
      </x:c>
      <x:c r="AB662" t="inlineStr">
        <x:is>
          <x:t xml:space="preserve">High</x:t>
        </x:is>
      </x:c>
      <x:c r="AC662" t="inlineStr">
        <x:is>
          <x:t xml:space="preserve">Day 10 collection; selection later.</x:t>
        </x:is>
      </x:c>
      <x:c r="AD662" t="inlineStr">
        <x:is>
          <x:t xml:space="preserve">Medium</x:t>
        </x:is>
      </x:c>
      <x:c r="AE662" t="inlineStr">
        <x:is>
          <x:t xml:space="preserve">Needs semantic dedupe review</x:t>
        </x:is>
      </x:c>
      <x:c r="AH662" t="inlineStr">
        <x:is>
          <x:t xml:space="preserve">No</x:t>
        </x:is>
      </x:c>
      <x:c r="AI662" t="inlineStr">
        <x:is>
          <x:t xml:space="preserve">Not reviewed</x:t>
        </x:is>
      </x:c>
      <x:c r="AJ662" t="inlineStr">
        <x:is>
          <x:t xml:space="preserve">Research only</x:t>
        </x:is>
      </x:c>
      <x:c r="AK662" t="inlineStr">
        <x:is>
          <x:t xml:space="preserve">Research Pool</x:t>
        </x:is>
      </x:c>
      <x:c r="AL662" t="n">
        <x:v>10</x:v>
      </x:c>
      <x:c r="AM662" t="inlineStr">
        <x:is>
          <x:t xml:space="preserve">ChatGPT research</x:t>
        </x:is>
      </x:c>
      <x:c r="AN662" t="inlineStr">
        <x:is>
          <x:t xml:space="preserve">2026-09-18</x:t>
        </x:is>
      </x:c>
      <x:c r="AO662" t="inlineStr">
        <x:is>
          <x:t xml:space="preserve">Full first-pass across all 21 discourse topics + fragment tradition. Source-safe paraphrase until Greek is passage-verified.</x:t>
        </x:is>
      </x:c>
    </x:row>
    <x:row r="663">
      <x:c r="A663" t="inlineStr">
        <x:is>
          <x:t xml:space="preserve">research.musonius.day10.d05_01</x:t>
        </x:is>
      </x:c>
      <x:c r="B663" t="inlineStr">
        <x:is>
          <x:t xml:space="preserve">Collected</x:t>
        </x:is>
      </x:c>
      <x:c r="C663" t="inlineStr">
        <x:is>
          <x:t xml:space="preserve">Công việc &amp; mục đích</x:t>
        </x:is>
      </x:c>
      <x:c r="D663" t="inlineStr">
        <x:is>
          <x:t xml:space="preserve">Day 10 / Musonius Rufus — Discourses + Fragments</x:t>
        </x:is>
      </x:c>
      <x:c r="F663" t="inlineStr">
        <x:is>
          <x:t xml:space="preserve">Biết nhưng chưa làm được</x:t>
        </x:is>
      </x:c>
      <x:c r="G663" t="inlineStr">
        <x:is>
          <x:t xml:space="preserve">Practice</x:t>
        </x:is>
      </x:c>
      <x:c r="K663" t="inlineStr">
        <x:is>
          <x:t xml:space="preserve">Distinguish</x:t>
        </x:is>
      </x:c>
      <x:c r="M663" t="inlineStr">
        <x:is>
          <x:t xml:space="preserve">Source-anchored paraphrase candidate</x:t>
        </x:is>
      </x:c>
      <x:c r="N663" t="inlineStr">
        <x:is>
          <x:t xml:space="preserve">[Không chép Greek khi chưa xác minh trực tiếp Hense/Lutz passage]</x:t>
        </x:is>
      </x:c>
      <x:c r="O663" t="inlineStr">
        <x:is>
          <x:t xml:space="preserve">Ancient Greek tradition</x:t>
        </x:is>
      </x:c>
      <x:c r="P663" t="inlineStr">
        <x:is>
          <x:t xml:space="preserve">Lý thuyết có thể dạy điều nên làm; thực hành biến điều ấy thành khả năng thật.</x:t>
        </x:is>
      </x:c>
      <x:c r="Q663" t="inlineStr">
        <x:is>
          <x:t xml:space="preserve">Musonius Rufus (teachings preserved by students/compilers)</x:t>
        </x:is>
      </x:c>
      <x:c r="R663" t="inlineStr">
        <x:is>
          <x:t xml:space="preserve">Roman Stoic / Greek-language teaching</x:t>
        </x:is>
      </x:c>
      <x:c r="S663" t="inlineStr">
        <x:is>
          <x:t xml:space="preserve">Discourses</x:t>
        </x:is>
      </x:c>
      <x:c r="T663" t="inlineStr">
        <x:is>
          <x:t xml:space="preserve">5</x:t>
        </x:is>
      </x:c>
      <x:c r="U663" t="inlineStr">
        <x:is>
          <x:t xml:space="preserve">https://iep.utm.edu/musonius/</x:t>
        </x:is>
      </x:c>
      <x:c r="V663" t="inlineStr">
        <x:is>
          <x:t xml:space="preserve">Surviving discourse/fragment tradition; IEP + standard Hense/Lutz bibliography</x:t>
        </x:is>
      </x:c>
      <x:c r="W663" t="inlineStr">
        <x:is>
          <x:t xml:space="preserve">Research paraphrase — NOT verbatim quote</x:t>
        </x:is>
      </x:c>
      <x:c r="X663" t="inlineStr">
        <x:is>
          <x:t xml:space="preserve">B - discourse/theme source verified; original wording pending</x:t>
        </x:is>
      </x:c>
      <x:c r="Y663" t="inlineStr">
        <x:is>
          <x:t xml:space="preserve">Musonius' own writings do not survive. Teachings survive as 21 discourses and 32 apophthegms preserved by others. Do not present this Vietnamese wording as a direct quote.</x:t>
        </x:is>
      </x:c>
      <x:c r="Z663" t="inlineStr">
        <x:is>
          <x:t xml:space="preserve">Ancient source tradition public domain; modern translations may be copyrighted</x:t>
        </x:is>
      </x:c>
      <x:c r="AA663" t="inlineStr">
        <x:is>
          <x:t xml:space="preserve">Before Release, verify Greek against Hense 1905 or another public-domain Greek edition and create a fresh Selflo translation. Do not copy Lutz 2020/Yale translation.</x:t>
        </x:is>
      </x:c>
      <x:c r="AB663" t="inlineStr">
        <x:is>
          <x:t xml:space="preserve">High</x:t>
        </x:is>
      </x:c>
      <x:c r="AC663" t="inlineStr">
        <x:is>
          <x:t xml:space="preserve">Day 10 collection; selection later.</x:t>
        </x:is>
      </x:c>
      <x:c r="AD663" t="inlineStr">
        <x:is>
          <x:t xml:space="preserve">Medium</x:t>
        </x:is>
      </x:c>
      <x:c r="AE663" t="inlineStr">
        <x:is>
          <x:t xml:space="preserve">Needs semantic dedupe review</x:t>
        </x:is>
      </x:c>
      <x:c r="AH663" t="inlineStr">
        <x:is>
          <x:t xml:space="preserve">No</x:t>
        </x:is>
      </x:c>
      <x:c r="AI663" t="inlineStr">
        <x:is>
          <x:t xml:space="preserve">Not reviewed</x:t>
        </x:is>
      </x:c>
      <x:c r="AJ663" t="inlineStr">
        <x:is>
          <x:t xml:space="preserve">Research only</x:t>
        </x:is>
      </x:c>
      <x:c r="AK663" t="inlineStr">
        <x:is>
          <x:t xml:space="preserve">Research Pool</x:t>
        </x:is>
      </x:c>
      <x:c r="AL663" t="n">
        <x:v>10</x:v>
      </x:c>
      <x:c r="AM663" t="inlineStr">
        <x:is>
          <x:t xml:space="preserve">ChatGPT research</x:t>
        </x:is>
      </x:c>
      <x:c r="AN663" t="inlineStr">
        <x:is>
          <x:t xml:space="preserve">2026-09-18</x:t>
        </x:is>
      </x:c>
      <x:c r="AO663" t="inlineStr">
        <x:is>
          <x:t xml:space="preserve">Full first-pass across all 21 discourse topics + fragment tradition. Source-safe paraphrase until Greek is passage-verified.</x:t>
        </x:is>
      </x:c>
    </x:row>
    <x:row r="664">
      <x:c r="A664" t="inlineStr">
        <x:is>
          <x:t xml:space="preserve">research.musonius.day10.d05_02</x:t>
        </x:is>
      </x:c>
      <x:c r="B664" t="inlineStr">
        <x:is>
          <x:t xml:space="preserve">Collected</x:t>
        </x:is>
      </x:c>
      <x:c r="C664" t="inlineStr">
        <x:is>
          <x:t xml:space="preserve">Công việc &amp; mục đích</x:t>
        </x:is>
      </x:c>
      <x:c r="D664" t="inlineStr">
        <x:is>
          <x:t xml:space="preserve">Day 10 / Musonius Rufus — Discourses + Fragments</x:t>
        </x:is>
      </x:c>
      <x:c r="F664" t="inlineStr">
        <x:is>
          <x:t xml:space="preserve">Knowledge vs lived skill</x:t>
        </x:is>
      </x:c>
      <x:c r="G664" t="inlineStr">
        <x:is>
          <x:t xml:space="preserve">Practice</x:t>
        </x:is>
      </x:c>
      <x:c r="K664" t="inlineStr">
        <x:is>
          <x:t xml:space="preserve">Reframe</x:t>
        </x:is>
      </x:c>
      <x:c r="M664" t="inlineStr">
        <x:is>
          <x:t xml:space="preserve">Source-anchored paraphrase candidate</x:t>
        </x:is>
      </x:c>
      <x:c r="N664" t="inlineStr">
        <x:is>
          <x:t xml:space="preserve">[Không chép Greek khi chưa xác minh trực tiếp Hense/Lutz passage]</x:t>
        </x:is>
      </x:c>
      <x:c r="O664" t="inlineStr">
        <x:is>
          <x:t xml:space="preserve">Ancient Greek tradition</x:t>
        </x:is>
      </x:c>
      <x:c r="P664" t="inlineStr">
        <x:is>
          <x:t xml:space="preserve">Thực hành có sức nặng hơn lời giải thích khi mục tiêu là hình thành cách sống.</x:t>
        </x:is>
      </x:c>
      <x:c r="Q664" t="inlineStr">
        <x:is>
          <x:t xml:space="preserve">Musonius Rufus (teachings preserved by students/compilers)</x:t>
        </x:is>
      </x:c>
      <x:c r="R664" t="inlineStr">
        <x:is>
          <x:t xml:space="preserve">Roman Stoic / Greek-language teaching</x:t>
        </x:is>
      </x:c>
      <x:c r="S664" t="inlineStr">
        <x:is>
          <x:t xml:space="preserve">Discourses</x:t>
        </x:is>
      </x:c>
      <x:c r="T664" t="inlineStr">
        <x:is>
          <x:t xml:space="preserve">5</x:t>
        </x:is>
      </x:c>
      <x:c r="U664" t="inlineStr">
        <x:is>
          <x:t xml:space="preserve">https://iep.utm.edu/musonius/</x:t>
        </x:is>
      </x:c>
      <x:c r="V664" t="inlineStr">
        <x:is>
          <x:t xml:space="preserve">Surviving discourse/fragment tradition; IEP + standard Hense/Lutz bibliography</x:t>
        </x:is>
      </x:c>
      <x:c r="W664" t="inlineStr">
        <x:is>
          <x:t xml:space="preserve">Research paraphrase — NOT verbatim quote</x:t>
        </x:is>
      </x:c>
      <x:c r="X664" t="inlineStr">
        <x:is>
          <x:t xml:space="preserve">B - discourse/theme source verified; original wording pending</x:t>
        </x:is>
      </x:c>
      <x:c r="Y664" t="inlineStr">
        <x:is>
          <x:t xml:space="preserve">Musonius' own writings do not survive. Teachings survive as 21 discourses and 32 apophthegms preserved by others. Do not present this Vietnamese wording as a direct quote.</x:t>
        </x:is>
      </x:c>
      <x:c r="Z664" t="inlineStr">
        <x:is>
          <x:t xml:space="preserve">Ancient source tradition public domain; modern translations may be copyrighted</x:t>
        </x:is>
      </x:c>
      <x:c r="AA664" t="inlineStr">
        <x:is>
          <x:t xml:space="preserve">Before Release, verify Greek against Hense 1905 or another public-domain Greek edition and create a fresh Selflo translation. Do not copy Lutz 2020/Yale translation.</x:t>
        </x:is>
      </x:c>
      <x:c r="AB664" t="inlineStr">
        <x:is>
          <x:t xml:space="preserve">High</x:t>
        </x:is>
      </x:c>
      <x:c r="AC664" t="inlineStr">
        <x:is>
          <x:t xml:space="preserve">Day 10 collection; selection later.</x:t>
        </x:is>
      </x:c>
      <x:c r="AD664" t="inlineStr">
        <x:is>
          <x:t xml:space="preserve">Medium</x:t>
        </x:is>
      </x:c>
      <x:c r="AE664" t="inlineStr">
        <x:is>
          <x:t xml:space="preserve">Needs semantic dedupe review</x:t>
        </x:is>
      </x:c>
      <x:c r="AH664" t="inlineStr">
        <x:is>
          <x:t xml:space="preserve">No</x:t>
        </x:is>
      </x:c>
      <x:c r="AI664" t="inlineStr">
        <x:is>
          <x:t xml:space="preserve">Not reviewed</x:t>
        </x:is>
      </x:c>
      <x:c r="AJ664" t="inlineStr">
        <x:is>
          <x:t xml:space="preserve">Research only</x:t>
        </x:is>
      </x:c>
      <x:c r="AK664" t="inlineStr">
        <x:is>
          <x:t xml:space="preserve">Research Pool</x:t>
        </x:is>
      </x:c>
      <x:c r="AL664" t="n">
        <x:v>10</x:v>
      </x:c>
      <x:c r="AM664" t="inlineStr">
        <x:is>
          <x:t xml:space="preserve">ChatGPT research</x:t>
        </x:is>
      </x:c>
      <x:c r="AN664" t="inlineStr">
        <x:is>
          <x:t xml:space="preserve">2026-09-18</x:t>
        </x:is>
      </x:c>
      <x:c r="AO664" t="inlineStr">
        <x:is>
          <x:t xml:space="preserve">Full first-pass across all 21 discourse topics + fragment tradition. Source-safe paraphrase until Greek is passage-verified.</x:t>
        </x:is>
      </x:c>
    </x:row>
    <x:row r="665">
      <x:c r="A665" t="inlineStr">
        <x:is>
          <x:t xml:space="preserve">research.musonius.day10.d06_01</x:t>
        </x:is>
      </x:c>
      <x:c r="B665" t="inlineStr">
        <x:is>
          <x:t xml:space="preserve">Collected</x:t>
        </x:is>
      </x:c>
      <x:c r="C665" t="inlineStr">
        <x:is>
          <x:t xml:space="preserve">Công việc &amp; mục đích</x:t>
        </x:is>
      </x:c>
      <x:c r="D665" t="inlineStr">
        <x:is>
          <x:t xml:space="preserve">Day 10 / Musonius Rufus — Discourses + Fragments</x:t>
        </x:is>
      </x:c>
      <x:c r="F665" t="inlineStr">
        <x:is>
          <x:t xml:space="preserve">Body và mind không tách hoàn toàn</x:t>
        </x:is>
      </x:c>
      <x:c r="G665" t="inlineStr">
        <x:is>
          <x:t xml:space="preserve">Capacity / Practice</x:t>
        </x:is>
      </x:c>
      <x:c r="K665" t="inlineStr">
        <x:is>
          <x:t xml:space="preserve">Recognize</x:t>
        </x:is>
      </x:c>
      <x:c r="M665" t="inlineStr">
        <x:is>
          <x:t xml:space="preserve">Source-anchored paraphrase candidate</x:t>
        </x:is>
      </x:c>
      <x:c r="N665" t="inlineStr">
        <x:is>
          <x:t xml:space="preserve">[Không chép Greek khi chưa xác minh trực tiếp Hense/Lutz passage]</x:t>
        </x:is>
      </x:c>
      <x:c r="O665" t="inlineStr">
        <x:is>
          <x:t xml:space="preserve">Ancient Greek tradition</x:t>
        </x:is>
      </x:c>
      <x:c r="P665" t="inlineStr">
        <x:is>
          <x:t xml:space="preserve">Việc rèn luyện cần chạm cả phần thân thể lẫn phần phán đoán, vì đời sống đi qua cả hai.</x:t>
        </x:is>
      </x:c>
      <x:c r="Q665" t="inlineStr">
        <x:is>
          <x:t xml:space="preserve">Musonius Rufus (teachings preserved by students/compilers)</x:t>
        </x:is>
      </x:c>
      <x:c r="R665" t="inlineStr">
        <x:is>
          <x:t xml:space="preserve">Roman Stoic / Greek-language teaching</x:t>
        </x:is>
      </x:c>
      <x:c r="S665" t="inlineStr">
        <x:is>
          <x:t xml:space="preserve">Discourses</x:t>
        </x:is>
      </x:c>
      <x:c r="T665" t="inlineStr">
        <x:is>
          <x:t xml:space="preserve">6</x:t>
        </x:is>
      </x:c>
      <x:c r="U665" t="inlineStr">
        <x:is>
          <x:t xml:space="preserve">https://iep.utm.edu/musonius/</x:t>
        </x:is>
      </x:c>
      <x:c r="V665" t="inlineStr">
        <x:is>
          <x:t xml:space="preserve">Surviving discourse/fragment tradition; IEP + standard Hense/Lutz bibliography</x:t>
        </x:is>
      </x:c>
      <x:c r="W665" t="inlineStr">
        <x:is>
          <x:t xml:space="preserve">Research paraphrase — NOT verbatim quote</x:t>
        </x:is>
      </x:c>
      <x:c r="X665" t="inlineStr">
        <x:is>
          <x:t xml:space="preserve">B - discourse/theme source verified; original wording pending</x:t>
        </x:is>
      </x:c>
      <x:c r="Y665" t="inlineStr">
        <x:is>
          <x:t xml:space="preserve">Musonius' own writings do not survive. Teachings survive as 21 discourses and 32 apophthegms preserved by others. Do not present this Vietnamese wording as a direct quote.</x:t>
        </x:is>
      </x:c>
      <x:c r="Z665" t="inlineStr">
        <x:is>
          <x:t xml:space="preserve">Ancient source tradition public domain; modern translations may be copyrighted</x:t>
        </x:is>
      </x:c>
      <x:c r="AA665" t="inlineStr">
        <x:is>
          <x:t xml:space="preserve">Before Release, verify Greek against Hense 1905 or another public-domain Greek edition and create a fresh Selflo translation. Do not copy Lutz 2020/Yale translation.</x:t>
        </x:is>
      </x:c>
      <x:c r="AB665" t="inlineStr">
        <x:is>
          <x:t xml:space="preserve">Medium</x:t>
        </x:is>
      </x:c>
      <x:c r="AC665" t="inlineStr">
        <x:is>
          <x:t xml:space="preserve">Day 10 collection; selection later.</x:t>
        </x:is>
      </x:c>
      <x:c r="AD665" t="inlineStr">
        <x:is>
          <x:t xml:space="preserve">Medium</x:t>
        </x:is>
      </x:c>
      <x:c r="AE665" t="inlineStr">
        <x:is>
          <x:t xml:space="preserve">Needs semantic dedupe review</x:t>
        </x:is>
      </x:c>
      <x:c r="AH665" t="inlineStr">
        <x:is>
          <x:t xml:space="preserve">No</x:t>
        </x:is>
      </x:c>
      <x:c r="AI665" t="inlineStr">
        <x:is>
          <x:t xml:space="preserve">Not reviewed</x:t>
        </x:is>
      </x:c>
      <x:c r="AJ665" t="inlineStr">
        <x:is>
          <x:t xml:space="preserve">Research only</x:t>
        </x:is>
      </x:c>
      <x:c r="AK665" t="inlineStr">
        <x:is>
          <x:t xml:space="preserve">Research Pool</x:t>
        </x:is>
      </x:c>
      <x:c r="AL665" t="n">
        <x:v>10</x:v>
      </x:c>
      <x:c r="AM665" t="inlineStr">
        <x:is>
          <x:t xml:space="preserve">ChatGPT research</x:t>
        </x:is>
      </x:c>
      <x:c r="AN665" t="inlineStr">
        <x:is>
          <x:t xml:space="preserve">2026-09-18</x:t>
        </x:is>
      </x:c>
      <x:c r="AO665" t="inlineStr">
        <x:is>
          <x:t xml:space="preserve">Full first-pass across all 21 discourse topics + fragment tradition. Source-safe paraphrase until Greek is passage-verified.</x:t>
        </x:is>
      </x:c>
    </x:row>
    <x:row r="666">
      <x:c r="A666" t="inlineStr">
        <x:is>
          <x:t xml:space="preserve">research.musonius.day10.d06_02</x:t>
        </x:is>
      </x:c>
      <x:c r="B666" t="inlineStr">
        <x:is>
          <x:t xml:space="preserve">Collected</x:t>
        </x:is>
      </x:c>
      <x:c r="C666" t="inlineStr">
        <x:is>
          <x:t xml:space="preserve">Nội tâm &amp; hiểu mình</x:t>
        </x:is>
      </x:c>
      <x:c r="D666" t="inlineStr">
        <x:is>
          <x:t xml:space="preserve">Day 10 / Musonius Rufus — Discourses + Fragments</x:t>
        </x:is>
      </x:c>
      <x:c r="F666" t="inlineStr">
        <x:is>
          <x:t xml:space="preserve">Khó chịu và sức bền</x:t>
        </x:is>
      </x:c>
      <x:c r="G666" t="inlineStr">
        <x:is>
          <x:t xml:space="preserve">Capacity</x:t>
        </x:is>
      </x:c>
      <x:c r="K666" t="inlineStr">
        <x:is>
          <x:t xml:space="preserve">Distinguish</x:t>
        </x:is>
      </x:c>
      <x:c r="M666" t="inlineStr">
        <x:is>
          <x:t xml:space="preserve">Source-anchored paraphrase candidate</x:t>
        </x:is>
      </x:c>
      <x:c r="N666" t="inlineStr">
        <x:is>
          <x:t xml:space="preserve">[Không chép Greek khi chưa xác minh trực tiếp Hense/Lutz passage]</x:t>
        </x:is>
      </x:c>
      <x:c r="O666" t="inlineStr">
        <x:is>
          <x:t xml:space="preserve">Ancient Greek tradition</x:t>
        </x:is>
      </x:c>
      <x:c r="P666" t="inlineStr">
        <x:is>
          <x:t xml:space="preserve">Khó chịu có thể được luyện chịu đựng, nhưng mục tiêu của rèn luyện là năng lực sống chứ không phải tôn thờ đau khổ.</x:t>
        </x:is>
      </x:c>
      <x:c r="Q666" t="inlineStr">
        <x:is>
          <x:t xml:space="preserve">Musonius Rufus (teachings preserved by students/compilers)</x:t>
        </x:is>
      </x:c>
      <x:c r="R666" t="inlineStr">
        <x:is>
          <x:t xml:space="preserve">Roman Stoic / Greek-language teaching</x:t>
        </x:is>
      </x:c>
      <x:c r="S666" t="inlineStr">
        <x:is>
          <x:t xml:space="preserve">Discourses</x:t>
        </x:is>
      </x:c>
      <x:c r="T666" t="inlineStr">
        <x:is>
          <x:t xml:space="preserve">6</x:t>
        </x:is>
      </x:c>
      <x:c r="U666" t="inlineStr">
        <x:is>
          <x:t xml:space="preserve">https://iep.utm.edu/musonius/</x:t>
        </x:is>
      </x:c>
      <x:c r="V666" t="inlineStr">
        <x:is>
          <x:t xml:space="preserve">Surviving discourse/fragment tradition; IEP + standard Hense/Lutz bibliography</x:t>
        </x:is>
      </x:c>
      <x:c r="W666" t="inlineStr">
        <x:is>
          <x:t xml:space="preserve">Research paraphrase — NOT verbatim quote</x:t>
        </x:is>
      </x:c>
      <x:c r="X666" t="inlineStr">
        <x:is>
          <x:t xml:space="preserve">B - discourse/theme source verified; original wording pending</x:t>
        </x:is>
      </x:c>
      <x:c r="Y666" t="inlineStr">
        <x:is>
          <x:t xml:space="preserve">Musonius' own writings do not survive. Teachings survive as 21 discourses and 32 apophthegms preserved by others. Do not present this Vietnamese wording as a direct quote.</x:t>
        </x:is>
      </x:c>
      <x:c r="Z666" t="inlineStr">
        <x:is>
          <x:t xml:space="preserve">Ancient source tradition public domain; modern translations may be copyrighted</x:t>
        </x:is>
      </x:c>
      <x:c r="AA666" t="inlineStr">
        <x:is>
          <x:t xml:space="preserve">Before Release, verify Greek against Hense 1905 or another public-domain Greek edition and create a fresh Selflo translation. Do not copy Lutz 2020/Yale translation.</x:t>
        </x:is>
      </x:c>
      <x:c r="AB666" t="inlineStr">
        <x:is>
          <x:t xml:space="preserve">Medium</x:t>
        </x:is>
      </x:c>
      <x:c r="AC666" t="inlineStr">
        <x:is>
          <x:t xml:space="preserve">Day 10 collection; selection later.</x:t>
        </x:is>
      </x:c>
      <x:c r="AD666" t="inlineStr">
        <x:is>
          <x:t xml:space="preserve">Medium</x:t>
        </x:is>
      </x:c>
      <x:c r="AE666" t="inlineStr">
        <x:is>
          <x:t xml:space="preserve">Needs semantic dedupe review</x:t>
        </x:is>
      </x:c>
      <x:c r="AH666" t="inlineStr">
        <x:is>
          <x:t xml:space="preserve">No</x:t>
        </x:is>
      </x:c>
      <x:c r="AI666" t="inlineStr">
        <x:is>
          <x:t xml:space="preserve">Not reviewed</x:t>
        </x:is>
      </x:c>
      <x:c r="AJ666" t="inlineStr">
        <x:is>
          <x:t xml:space="preserve">Research only</x:t>
        </x:is>
      </x:c>
      <x:c r="AK666" t="inlineStr">
        <x:is>
          <x:t xml:space="preserve">Research Pool</x:t>
        </x:is>
      </x:c>
      <x:c r="AL666" t="n">
        <x:v>10</x:v>
      </x:c>
      <x:c r="AM666" t="inlineStr">
        <x:is>
          <x:t xml:space="preserve">ChatGPT research</x:t>
        </x:is>
      </x:c>
      <x:c r="AN666" t="inlineStr">
        <x:is>
          <x:t xml:space="preserve">2026-09-18</x:t>
        </x:is>
      </x:c>
      <x:c r="AO666" t="inlineStr">
        <x:is>
          <x:t xml:space="preserve">Full first-pass across all 21 discourse topics + fragment tradition. Source-safe paraphrase until Greek is passage-verified.</x:t>
        </x:is>
      </x:c>
    </x:row>
    <x:row r="667">
      <x:c r="A667" t="inlineStr">
        <x:is>
          <x:t xml:space="preserve">research.musonius.day10.d07_01</x:t>
        </x:is>
      </x:c>
      <x:c r="B667" t="inlineStr">
        <x:is>
          <x:t xml:space="preserve">Collected</x:t>
        </x:is>
      </x:c>
      <x:c r="C667" t="inlineStr">
        <x:is>
          <x:t xml:space="preserve">Nội tâm &amp; hiểu mình</x:t>
        </x:is>
      </x:c>
      <x:c r="D667" t="inlineStr">
        <x:is>
          <x:t xml:space="preserve">Day 10 / Musonius Rufus — Discourses + Fragments</x:t>
        </x:is>
      </x:c>
      <x:c r="F667" t="inlineStr">
        <x:is>
          <x:t xml:space="preserve">Khó khăn ≠ xấu</x:t>
        </x:is>
      </x:c>
      <x:c r="G667" t="inlineStr">
        <x:is>
          <x:t xml:space="preserve">Adversity</x:t>
        </x:is>
      </x:c>
      <x:c r="K667" t="inlineStr">
        <x:is>
          <x:t xml:space="preserve">Distinguish</x:t>
        </x:is>
      </x:c>
      <x:c r="M667" t="inlineStr">
        <x:is>
          <x:t xml:space="preserve">Source-anchored paraphrase candidate</x:t>
        </x:is>
      </x:c>
      <x:c r="N667" t="inlineStr">
        <x:is>
          <x:t xml:space="preserve">[Không chép Greek khi chưa xác minh trực tiếp Hense/Lutz passage]</x:t>
        </x:is>
      </x:c>
      <x:c r="O667" t="inlineStr">
        <x:is>
          <x:t xml:space="preserve">Ancient Greek tradition</x:t>
        </x:is>
      </x:c>
      <x:c r="P667" t="inlineStr">
        <x:is>
          <x:t xml:space="preserve">Một điều khó không tự động là một điều xấu.</x:t>
        </x:is>
      </x:c>
      <x:c r="Q667" t="inlineStr">
        <x:is>
          <x:t xml:space="preserve">Musonius Rufus (teachings preserved by students/compilers)</x:t>
        </x:is>
      </x:c>
      <x:c r="R667" t="inlineStr">
        <x:is>
          <x:t xml:space="preserve">Roman Stoic / Greek-language teaching</x:t>
        </x:is>
      </x:c>
      <x:c r="S667" t="inlineStr">
        <x:is>
          <x:t xml:space="preserve">Discourses</x:t>
        </x:is>
      </x:c>
      <x:c r="T667" t="inlineStr">
        <x:is>
          <x:t xml:space="preserve">7</x:t>
        </x:is>
      </x:c>
      <x:c r="U667" t="inlineStr">
        <x:is>
          <x:t xml:space="preserve">https://iep.utm.edu/musonius/</x:t>
        </x:is>
      </x:c>
      <x:c r="V667" t="inlineStr">
        <x:is>
          <x:t xml:space="preserve">Surviving discourse/fragment tradition; IEP + standard Hense/Lutz bibliography</x:t>
        </x:is>
      </x:c>
      <x:c r="W667" t="inlineStr">
        <x:is>
          <x:t xml:space="preserve">Research paraphrase — NOT verbatim quote</x:t>
        </x:is>
      </x:c>
      <x:c r="X667" t="inlineStr">
        <x:is>
          <x:t xml:space="preserve">B - discourse/theme source verified; original wording pending</x:t>
        </x:is>
      </x:c>
      <x:c r="Y667" t="inlineStr">
        <x:is>
          <x:t xml:space="preserve">Musonius' own writings do not survive. Teachings survive as 21 discourses and 32 apophthegms preserved by others. Do not present this Vietnamese wording as a direct quote.</x:t>
        </x:is>
      </x:c>
      <x:c r="Z667" t="inlineStr">
        <x:is>
          <x:t xml:space="preserve">Ancient source tradition public domain; modern translations may be copyrighted</x:t>
        </x:is>
      </x:c>
      <x:c r="AA667" t="inlineStr">
        <x:is>
          <x:t xml:space="preserve">Before Release, verify Greek against Hense 1905 or another public-domain Greek edition and create a fresh Selflo translation. Do not copy Lutz 2020/Yale translation.</x:t>
        </x:is>
      </x:c>
      <x:c r="AB667" t="inlineStr">
        <x:is>
          <x:t xml:space="preserve">High</x:t>
        </x:is>
      </x:c>
      <x:c r="AC667" t="inlineStr">
        <x:is>
          <x:t xml:space="preserve">Day 10 collection; selection later.</x:t>
        </x:is>
      </x:c>
      <x:c r="AD667" t="inlineStr">
        <x:is>
          <x:t xml:space="preserve">Medium</x:t>
        </x:is>
      </x:c>
      <x:c r="AE667" t="inlineStr">
        <x:is>
          <x:t xml:space="preserve">Needs semantic dedupe review</x:t>
        </x:is>
      </x:c>
      <x:c r="AH667" t="inlineStr">
        <x:is>
          <x:t xml:space="preserve">No</x:t>
        </x:is>
      </x:c>
      <x:c r="AI667" t="inlineStr">
        <x:is>
          <x:t xml:space="preserve">Not reviewed</x:t>
        </x:is>
      </x:c>
      <x:c r="AJ667" t="inlineStr">
        <x:is>
          <x:t xml:space="preserve">Research only</x:t>
        </x:is>
      </x:c>
      <x:c r="AK667" t="inlineStr">
        <x:is>
          <x:t xml:space="preserve">Research Pool</x:t>
        </x:is>
      </x:c>
      <x:c r="AL667" t="n">
        <x:v>10</x:v>
      </x:c>
      <x:c r="AM667" t="inlineStr">
        <x:is>
          <x:t xml:space="preserve">ChatGPT research</x:t>
        </x:is>
      </x:c>
      <x:c r="AN667" t="inlineStr">
        <x:is>
          <x:t xml:space="preserve">2026-09-18</x:t>
        </x:is>
      </x:c>
      <x:c r="AO667" t="inlineStr">
        <x:is>
          <x:t xml:space="preserve">Full first-pass across all 21 discourse topics + fragment tradition. Source-safe paraphrase until Greek is passage-verified.</x:t>
        </x:is>
      </x:c>
    </x:row>
    <x:row r="668">
      <x:c r="A668" t="inlineStr">
        <x:is>
          <x:t xml:space="preserve">research.musonius.day10.d07_02</x:t>
        </x:is>
      </x:c>
      <x:c r="B668" t="inlineStr">
        <x:is>
          <x:t xml:space="preserve">Collected</x:t>
        </x:is>
      </x:c>
      <x:c r="C668" t="inlineStr">
        <x:is>
          <x:t xml:space="preserve">Nội tâm &amp; hiểu mình</x:t>
        </x:is>
      </x:c>
      <x:c r="D668" t="inlineStr">
        <x:is>
          <x:t xml:space="preserve">Day 10 / Musonius Rufus — Discourses + Fragments</x:t>
        </x:is>
      </x:c>
      <x:c r="F668" t="inlineStr">
        <x:is>
          <x:t xml:space="preserve">Ý nghĩa và nỗ lực</x:t>
        </x:is>
      </x:c>
      <x:c r="G668" t="inlineStr">
        <x:is>
          <x:t xml:space="preserve">Purpose / Adversity</x:t>
        </x:is>
      </x:c>
      <x:c r="K668" t="inlineStr">
        <x:is>
          <x:t xml:space="preserve">Reframe</x:t>
        </x:is>
      </x:c>
      <x:c r="M668" t="inlineStr">
        <x:is>
          <x:t xml:space="preserve">Source-anchored paraphrase candidate</x:t>
        </x:is>
      </x:c>
      <x:c r="N668" t="inlineStr">
        <x:is>
          <x:t xml:space="preserve">[Không chép Greek khi chưa xác minh trực tiếp Hense/Lutz passage]</x:t>
        </x:is>
      </x:c>
      <x:c r="O668" t="inlineStr">
        <x:is>
          <x:t xml:space="preserve">Ancient Greek tradition</x:t>
        </x:is>
      </x:c>
      <x:c r="P668" t="inlineStr">
        <x:is>
          <x:t xml:space="preserve">Khi chịu khó vì một điều có ý nghĩa, trải nghiệm về cái khó thay đổi theo mục đích mình thấy trong nó.</x:t>
        </x:is>
      </x:c>
      <x:c r="Q668" t="inlineStr">
        <x:is>
          <x:t xml:space="preserve">Musonius Rufus (teachings preserved by students/compilers)</x:t>
        </x:is>
      </x:c>
      <x:c r="R668" t="inlineStr">
        <x:is>
          <x:t xml:space="preserve">Roman Stoic / Greek-language teaching</x:t>
        </x:is>
      </x:c>
      <x:c r="S668" t="inlineStr">
        <x:is>
          <x:t xml:space="preserve">Discourses</x:t>
        </x:is>
      </x:c>
      <x:c r="T668" t="inlineStr">
        <x:is>
          <x:t xml:space="preserve">7</x:t>
        </x:is>
      </x:c>
      <x:c r="U668" t="inlineStr">
        <x:is>
          <x:t xml:space="preserve">https://iep.utm.edu/musonius/</x:t>
        </x:is>
      </x:c>
      <x:c r="V668" t="inlineStr">
        <x:is>
          <x:t xml:space="preserve">Surviving discourse/fragment tradition; IEP + standard Hense/Lutz bibliography</x:t>
        </x:is>
      </x:c>
      <x:c r="W668" t="inlineStr">
        <x:is>
          <x:t xml:space="preserve">Research paraphrase — NOT verbatim quote</x:t>
        </x:is>
      </x:c>
      <x:c r="X668" t="inlineStr">
        <x:is>
          <x:t xml:space="preserve">B - discourse/theme source verified; original wording pending</x:t>
        </x:is>
      </x:c>
      <x:c r="Y668" t="inlineStr">
        <x:is>
          <x:t xml:space="preserve">Musonius' own writings do not survive. Teachings survive as 21 discourses and 32 apophthegms preserved by others. Do not present this Vietnamese wording as a direct quote.</x:t>
        </x:is>
      </x:c>
      <x:c r="Z668" t="inlineStr">
        <x:is>
          <x:t xml:space="preserve">Ancient source tradition public domain; modern translations may be copyrighted</x:t>
        </x:is>
      </x:c>
      <x:c r="AA668" t="inlineStr">
        <x:is>
          <x:t xml:space="preserve">Before Release, verify Greek against Hense 1905 or another public-domain Greek edition and create a fresh Selflo translation. Do not copy Lutz 2020/Yale translation.</x:t>
        </x:is>
      </x:c>
      <x:c r="AB668" t="inlineStr">
        <x:is>
          <x:t xml:space="preserve">High</x:t>
        </x:is>
      </x:c>
      <x:c r="AC668" t="inlineStr">
        <x:is>
          <x:t xml:space="preserve">Day 10 collection; selection later.</x:t>
        </x:is>
      </x:c>
      <x:c r="AD668" t="inlineStr">
        <x:is>
          <x:t xml:space="preserve">Medium</x:t>
        </x:is>
      </x:c>
      <x:c r="AE668" t="inlineStr">
        <x:is>
          <x:t xml:space="preserve">Needs semantic dedupe review</x:t>
        </x:is>
      </x:c>
      <x:c r="AH668" t="inlineStr">
        <x:is>
          <x:t xml:space="preserve">No</x:t>
        </x:is>
      </x:c>
      <x:c r="AI668" t="inlineStr">
        <x:is>
          <x:t xml:space="preserve">Not reviewed</x:t>
        </x:is>
      </x:c>
      <x:c r="AJ668" t="inlineStr">
        <x:is>
          <x:t xml:space="preserve">Research only</x:t>
        </x:is>
      </x:c>
      <x:c r="AK668" t="inlineStr">
        <x:is>
          <x:t xml:space="preserve">Research Pool</x:t>
        </x:is>
      </x:c>
      <x:c r="AL668" t="n">
        <x:v>10</x:v>
      </x:c>
      <x:c r="AM668" t="inlineStr">
        <x:is>
          <x:t xml:space="preserve">ChatGPT research</x:t>
        </x:is>
      </x:c>
      <x:c r="AN668" t="inlineStr">
        <x:is>
          <x:t xml:space="preserve">2026-09-18</x:t>
        </x:is>
      </x:c>
      <x:c r="AO668" t="inlineStr">
        <x:is>
          <x:t xml:space="preserve">Full first-pass across all 21 discourse topics + fragment tradition. Source-safe paraphrase until Greek is passage-verified.</x:t>
        </x:is>
      </x:c>
    </x:row>
    <x:row r="669">
      <x:c r="A669" t="inlineStr">
        <x:is>
          <x:t xml:space="preserve">research.musonius.day10.d08_01</x:t>
        </x:is>
      </x:c>
      <x:c r="B669" t="inlineStr">
        <x:is>
          <x:t xml:space="preserve">Collected</x:t>
        </x:is>
      </x:c>
      <x:c r="C669" t="inlineStr">
        <x:is>
          <x:t xml:space="preserve">Công việc &amp; mục đích</x:t>
        </x:is>
      </x:c>
      <x:c r="D669" t="inlineStr">
        <x:is>
          <x:t xml:space="preserve">Day 10 / Musonius Rufus — Discourses + Fragments</x:t>
        </x:is>
      </x:c>
      <x:c r="F669" t="inlineStr">
        <x:is>
          <x:t xml:space="preserve">Quyền lực và trách nhiệm</x:t>
        </x:is>
      </x:c>
      <x:c r="G669" t="inlineStr">
        <x:is>
          <x:t xml:space="preserve">Power / Judgment</x:t>
        </x:is>
      </x:c>
      <x:c r="K669" t="inlineStr">
        <x:is>
          <x:t xml:space="preserve">Distinguish</x:t>
        </x:is>
      </x:c>
      <x:c r="M669" t="inlineStr">
        <x:is>
          <x:t xml:space="preserve">Source-anchored paraphrase candidate</x:t>
        </x:is>
      </x:c>
      <x:c r="N669" t="inlineStr">
        <x:is>
          <x:t xml:space="preserve">[Không chép Greek khi chưa xác minh trực tiếp Hense/Lutz passage]</x:t>
        </x:is>
      </x:c>
      <x:c r="O669" t="inlineStr">
        <x:is>
          <x:t xml:space="preserve">Ancient Greek tradition</x:t>
        </x:is>
      </x:c>
      <x:c r="P669" t="inlineStr">
        <x:is>
          <x:t xml:space="preserve">Quyền lực làm tăng nhu cầu về phán đoán và công bằng, không làm giảm nó.</x:t>
        </x:is>
      </x:c>
      <x:c r="Q669" t="inlineStr">
        <x:is>
          <x:t xml:space="preserve">Musonius Rufus (teachings preserved by students/compilers)</x:t>
        </x:is>
      </x:c>
      <x:c r="R669" t="inlineStr">
        <x:is>
          <x:t xml:space="preserve">Roman Stoic / Greek-language teaching</x:t>
        </x:is>
      </x:c>
      <x:c r="S669" t="inlineStr">
        <x:is>
          <x:t xml:space="preserve">Discourses</x:t>
        </x:is>
      </x:c>
      <x:c r="T669" t="inlineStr">
        <x:is>
          <x:t xml:space="preserve">8</x:t>
        </x:is>
      </x:c>
      <x:c r="U669" t="inlineStr">
        <x:is>
          <x:t xml:space="preserve">https://iep.utm.edu/musonius/</x:t>
        </x:is>
      </x:c>
      <x:c r="V669" t="inlineStr">
        <x:is>
          <x:t xml:space="preserve">Surviving discourse/fragment tradition; IEP + standard Hense/Lutz bibliography</x:t>
        </x:is>
      </x:c>
      <x:c r="W669" t="inlineStr">
        <x:is>
          <x:t xml:space="preserve">Research paraphrase — NOT verbatim quote</x:t>
        </x:is>
      </x:c>
      <x:c r="X669" t="inlineStr">
        <x:is>
          <x:t xml:space="preserve">B - discourse/theme source verified; original wording pending</x:t>
        </x:is>
      </x:c>
      <x:c r="Y669" t="inlineStr">
        <x:is>
          <x:t xml:space="preserve">Musonius' own writings do not survive. Teachings survive as 21 discourses and 32 apophthegms preserved by others. Do not present this Vietnamese wording as a direct quote.</x:t>
        </x:is>
      </x:c>
      <x:c r="Z669" t="inlineStr">
        <x:is>
          <x:t xml:space="preserve">Ancient source tradition public domain; modern translations may be copyrighted</x:t>
        </x:is>
      </x:c>
      <x:c r="AA669" t="inlineStr">
        <x:is>
          <x:t xml:space="preserve">Before Release, verify Greek against Hense 1905 or another public-domain Greek edition and create a fresh Selflo translation. Do not copy Lutz 2020/Yale translation.</x:t>
        </x:is>
      </x:c>
      <x:c r="AB669" t="inlineStr">
        <x:is>
          <x:t xml:space="preserve">High</x:t>
        </x:is>
      </x:c>
      <x:c r="AC669" t="inlineStr">
        <x:is>
          <x:t xml:space="preserve">Day 10 collection; selection later.</x:t>
        </x:is>
      </x:c>
      <x:c r="AD669" t="inlineStr">
        <x:is>
          <x:t xml:space="preserve">Medium</x:t>
        </x:is>
      </x:c>
      <x:c r="AE669" t="inlineStr">
        <x:is>
          <x:t xml:space="preserve">Needs semantic dedupe review</x:t>
        </x:is>
      </x:c>
      <x:c r="AH669" t="inlineStr">
        <x:is>
          <x:t xml:space="preserve">No</x:t>
        </x:is>
      </x:c>
      <x:c r="AI669" t="inlineStr">
        <x:is>
          <x:t xml:space="preserve">Not reviewed</x:t>
        </x:is>
      </x:c>
      <x:c r="AJ669" t="inlineStr">
        <x:is>
          <x:t xml:space="preserve">Research only</x:t>
        </x:is>
      </x:c>
      <x:c r="AK669" t="inlineStr">
        <x:is>
          <x:t xml:space="preserve">Research Pool</x:t>
        </x:is>
      </x:c>
      <x:c r="AL669" t="n">
        <x:v>10</x:v>
      </x:c>
      <x:c r="AM669" t="inlineStr">
        <x:is>
          <x:t xml:space="preserve">ChatGPT research</x:t>
        </x:is>
      </x:c>
      <x:c r="AN669" t="inlineStr">
        <x:is>
          <x:t xml:space="preserve">2026-09-18</x:t>
        </x:is>
      </x:c>
      <x:c r="AO669" t="inlineStr">
        <x:is>
          <x:t xml:space="preserve">Full first-pass across all 21 discourse topics + fragment tradition. Source-safe paraphrase until Greek is passage-verified.</x:t>
        </x:is>
      </x:c>
    </x:row>
    <x:row r="670">
      <x:c r="A670" t="inlineStr">
        <x:is>
          <x:t xml:space="preserve">research.musonius.day10.d08_02</x:t>
        </x:is>
      </x:c>
      <x:c r="B670" t="inlineStr">
        <x:is>
          <x:t xml:space="preserve">Collected</x:t>
        </x:is>
      </x:c>
      <x:c r="C670" t="inlineStr">
        <x:is>
          <x:t xml:space="preserve">Công việc &amp; mục đích</x:t>
        </x:is>
      </x:c>
      <x:c r="D670" t="inlineStr">
        <x:is>
          <x:t xml:space="preserve">Day 10 / Musonius Rufus — Discourses + Fragments</x:t>
        </x:is>
      </x:c>
      <x:c r="F670" t="inlineStr">
        <x:is>
          <x:t xml:space="preserve">Leadership và hiểu con người</x:t>
        </x:is>
      </x:c>
      <x:c r="G670" t="inlineStr">
        <x:is>
          <x:t xml:space="preserve">Power / Human dignity</x:t>
        </x:is>
      </x:c>
      <x:c r="K670" t="inlineStr">
        <x:is>
          <x:t xml:space="preserve">Reframe</x:t>
        </x:is>
      </x:c>
      <x:c r="M670" t="inlineStr">
        <x:is>
          <x:t xml:space="preserve">Source-anchored paraphrase candidate</x:t>
        </x:is>
      </x:c>
      <x:c r="N670" t="inlineStr">
        <x:is>
          <x:t xml:space="preserve">[Không chép Greek khi chưa xác minh trực tiếp Hense/Lutz passage]</x:t>
        </x:is>
      </x:c>
      <x:c r="O670" t="inlineStr">
        <x:is>
          <x:t xml:space="preserve">Ancient Greek tradition</x:t>
        </x:is>
      </x:c>
      <x:c r="P670" t="inlineStr">
        <x:is>
          <x:t xml:space="preserve">Người lãnh đạo cần biết điều gì thực sự có ích cho con người, chứ không chỉ biết cách ra lệnh.</x:t>
        </x:is>
      </x:c>
      <x:c r="Q670" t="inlineStr">
        <x:is>
          <x:t xml:space="preserve">Musonius Rufus (teachings preserved by students/compilers)</x:t>
        </x:is>
      </x:c>
      <x:c r="R670" t="inlineStr">
        <x:is>
          <x:t xml:space="preserve">Roman Stoic / Greek-language teaching</x:t>
        </x:is>
      </x:c>
      <x:c r="S670" t="inlineStr">
        <x:is>
          <x:t xml:space="preserve">Discourses</x:t>
        </x:is>
      </x:c>
      <x:c r="T670" t="inlineStr">
        <x:is>
          <x:t xml:space="preserve">8</x:t>
        </x:is>
      </x:c>
      <x:c r="U670" t="inlineStr">
        <x:is>
          <x:t xml:space="preserve">https://iep.utm.edu/musonius/</x:t>
        </x:is>
      </x:c>
      <x:c r="V670" t="inlineStr">
        <x:is>
          <x:t xml:space="preserve">Surviving discourse/fragment tradition; IEP + standard Hense/Lutz bibliography</x:t>
        </x:is>
      </x:c>
      <x:c r="W670" t="inlineStr">
        <x:is>
          <x:t xml:space="preserve">Research paraphrase — NOT verbatim quote</x:t>
        </x:is>
      </x:c>
      <x:c r="X670" t="inlineStr">
        <x:is>
          <x:t xml:space="preserve">B - discourse/theme source verified; original wording pending</x:t>
        </x:is>
      </x:c>
      <x:c r="Y670" t="inlineStr">
        <x:is>
          <x:t xml:space="preserve">Musonius' own writings do not survive. Teachings survive as 21 discourses and 32 apophthegms preserved by others. Do not present this Vietnamese wording as a direct quote.</x:t>
        </x:is>
      </x:c>
      <x:c r="Z670" t="inlineStr">
        <x:is>
          <x:t xml:space="preserve">Ancient source tradition public domain; modern translations may be copyrighted</x:t>
        </x:is>
      </x:c>
      <x:c r="AA670" t="inlineStr">
        <x:is>
          <x:t xml:space="preserve">Before Release, verify Greek against Hense 1905 or another public-domain Greek edition and create a fresh Selflo translation. Do not copy Lutz 2020/Yale translation.</x:t>
        </x:is>
      </x:c>
      <x:c r="AB670" t="inlineStr">
        <x:is>
          <x:t xml:space="preserve">High</x:t>
        </x:is>
      </x:c>
      <x:c r="AC670" t="inlineStr">
        <x:is>
          <x:t xml:space="preserve">Day 10 collection; selection later.</x:t>
        </x:is>
      </x:c>
      <x:c r="AD670" t="inlineStr">
        <x:is>
          <x:t xml:space="preserve">Medium</x:t>
        </x:is>
      </x:c>
      <x:c r="AE670" t="inlineStr">
        <x:is>
          <x:t xml:space="preserve">Needs semantic dedupe review</x:t>
        </x:is>
      </x:c>
      <x:c r="AH670" t="inlineStr">
        <x:is>
          <x:t xml:space="preserve">No</x:t>
        </x:is>
      </x:c>
      <x:c r="AI670" t="inlineStr">
        <x:is>
          <x:t xml:space="preserve">Not reviewed</x:t>
        </x:is>
      </x:c>
      <x:c r="AJ670" t="inlineStr">
        <x:is>
          <x:t xml:space="preserve">Research only</x:t>
        </x:is>
      </x:c>
      <x:c r="AK670" t="inlineStr">
        <x:is>
          <x:t xml:space="preserve">Research Pool</x:t>
        </x:is>
      </x:c>
      <x:c r="AL670" t="n">
        <x:v>10</x:v>
      </x:c>
      <x:c r="AM670" t="inlineStr">
        <x:is>
          <x:t xml:space="preserve">ChatGPT research</x:t>
        </x:is>
      </x:c>
      <x:c r="AN670" t="inlineStr">
        <x:is>
          <x:t xml:space="preserve">2026-09-18</x:t>
        </x:is>
      </x:c>
      <x:c r="AO670" t="inlineStr">
        <x:is>
          <x:t xml:space="preserve">Full first-pass across all 21 discourse topics + fragment tradition. Source-safe paraphrase until Greek is passage-verified.</x:t>
        </x:is>
      </x:c>
    </x:row>
    <x:row r="671">
      <x:c r="A671" t="inlineStr">
        <x:is>
          <x:t xml:space="preserve">research.musonius.day10.d09_01</x:t>
        </x:is>
      </x:c>
      <x:c r="B671" t="inlineStr">
        <x:is>
          <x:t xml:space="preserve">Collected</x:t>
        </x:is>
      </x:c>
      <x:c r="C671" t="inlineStr">
        <x:is>
          <x:t xml:space="preserve">Nội tâm &amp; hiểu mình</x:t>
        </x:is>
      </x:c>
      <x:c r="D671" t="inlineStr">
        <x:is>
          <x:t xml:space="preserve">Day 10 / Musonius Rufus — Discourses + Fragments</x:t>
        </x:is>
      </x:c>
      <x:c r="F671" t="inlineStr">
        <x:is>
          <x:t xml:space="preserve">Mất nơi quen thuộc</x:t>
        </x:is>
      </x:c>
      <x:c r="G671" t="inlineStr">
        <x:is>
          <x:t xml:space="preserve">Change / Exile</x:t>
        </x:is>
      </x:c>
      <x:c r="K671" t="inlineStr">
        <x:is>
          <x:t xml:space="preserve">Reframe</x:t>
        </x:is>
      </x:c>
      <x:c r="M671" t="inlineStr">
        <x:is>
          <x:t xml:space="preserve">Source-anchored paraphrase candidate</x:t>
        </x:is>
      </x:c>
      <x:c r="N671" t="inlineStr">
        <x:is>
          <x:t xml:space="preserve">[Không chép Greek khi chưa xác minh trực tiếp Hense/Lutz passage]</x:t>
        </x:is>
      </x:c>
      <x:c r="O671" t="inlineStr">
        <x:is>
          <x:t xml:space="preserve">Ancient Greek tradition</x:t>
        </x:is>
      </x:c>
      <x:c r="P671" t="inlineStr">
        <x:is>
          <x:t xml:space="preserve">Bị đổi nơi sống không nhất thiết lấy đi khả năng học, suy nghĩ hay sống theo giá trị của mình.</x:t>
        </x:is>
      </x:c>
      <x:c r="Q671" t="inlineStr">
        <x:is>
          <x:t xml:space="preserve">Musonius Rufus (teachings preserved by students/compilers)</x:t>
        </x:is>
      </x:c>
      <x:c r="R671" t="inlineStr">
        <x:is>
          <x:t xml:space="preserve">Roman Stoic / Greek-language teaching</x:t>
        </x:is>
      </x:c>
      <x:c r="S671" t="inlineStr">
        <x:is>
          <x:t xml:space="preserve">Discourses</x:t>
        </x:is>
      </x:c>
      <x:c r="T671" t="inlineStr">
        <x:is>
          <x:t xml:space="preserve">9</x:t>
        </x:is>
      </x:c>
      <x:c r="U671" t="inlineStr">
        <x:is>
          <x:t xml:space="preserve">https://iep.utm.edu/musonius/</x:t>
        </x:is>
      </x:c>
      <x:c r="V671" t="inlineStr">
        <x:is>
          <x:t xml:space="preserve">Surviving discourse/fragment tradition; IEP + standard Hense/Lutz bibliography</x:t>
        </x:is>
      </x:c>
      <x:c r="W671" t="inlineStr">
        <x:is>
          <x:t xml:space="preserve">Research paraphrase — NOT verbatim quote</x:t>
        </x:is>
      </x:c>
      <x:c r="X671" t="inlineStr">
        <x:is>
          <x:t xml:space="preserve">B - discourse/theme source verified; original wording pending</x:t>
        </x:is>
      </x:c>
      <x:c r="Y671" t="inlineStr">
        <x:is>
          <x:t xml:space="preserve">Musonius' own writings do not survive. Teachings survive as 21 discourses and 32 apophthegms preserved by others. Do not present this Vietnamese wording as a direct quote.</x:t>
        </x:is>
      </x:c>
      <x:c r="Z671" t="inlineStr">
        <x:is>
          <x:t xml:space="preserve">Ancient source tradition public domain; modern translations may be copyrighted</x:t>
        </x:is>
      </x:c>
      <x:c r="AA671" t="inlineStr">
        <x:is>
          <x:t xml:space="preserve">Before Release, verify Greek against Hense 1905 or another public-domain Greek edition and create a fresh Selflo translation. Do not copy Lutz 2020/Yale translation.</x:t>
        </x:is>
      </x:c>
      <x:c r="AB671" t="inlineStr">
        <x:is>
          <x:t xml:space="preserve">High</x:t>
        </x:is>
      </x:c>
      <x:c r="AC671" t="inlineStr">
        <x:is>
          <x:t xml:space="preserve">Day 10 collection; selection later.</x:t>
        </x:is>
      </x:c>
      <x:c r="AD671" t="inlineStr">
        <x:is>
          <x:t xml:space="preserve">Medium</x:t>
        </x:is>
      </x:c>
      <x:c r="AE671" t="inlineStr">
        <x:is>
          <x:t xml:space="preserve">Needs semantic dedupe review</x:t>
        </x:is>
      </x:c>
      <x:c r="AH671" t="inlineStr">
        <x:is>
          <x:t xml:space="preserve">No</x:t>
        </x:is>
      </x:c>
      <x:c r="AI671" t="inlineStr">
        <x:is>
          <x:t xml:space="preserve">Not reviewed</x:t>
        </x:is>
      </x:c>
      <x:c r="AJ671" t="inlineStr">
        <x:is>
          <x:t xml:space="preserve">Research only</x:t>
        </x:is>
      </x:c>
      <x:c r="AK671" t="inlineStr">
        <x:is>
          <x:t xml:space="preserve">Research Pool</x:t>
        </x:is>
      </x:c>
      <x:c r="AL671" t="n">
        <x:v>10</x:v>
      </x:c>
      <x:c r="AM671" t="inlineStr">
        <x:is>
          <x:t xml:space="preserve">ChatGPT research</x:t>
        </x:is>
      </x:c>
      <x:c r="AN671" t="inlineStr">
        <x:is>
          <x:t xml:space="preserve">2026-09-18</x:t>
        </x:is>
      </x:c>
      <x:c r="AO671" t="inlineStr">
        <x:is>
          <x:t xml:space="preserve">Full first-pass across all 21 discourse topics + fragment tradition. Source-safe paraphrase until Greek is passage-verified.</x:t>
        </x:is>
      </x:c>
    </x:row>
    <x:row r="672">
      <x:c r="A672" t="inlineStr">
        <x:is>
          <x:t xml:space="preserve">research.musonius.day10.d09_02</x:t>
        </x:is>
      </x:c>
      <x:c r="B672" t="inlineStr">
        <x:is>
          <x:t xml:space="preserve">Collected</x:t>
        </x:is>
      </x:c>
      <x:c r="C672" t="inlineStr">
        <x:is>
          <x:t xml:space="preserve">Nội tâm &amp; hiểu mình</x:t>
        </x:is>
      </x:c>
      <x:c r="D672" t="inlineStr">
        <x:is>
          <x:t xml:space="preserve">Day 10 / Musonius Rufus — Discourses + Fragments</x:t>
        </x:is>
      </x:c>
      <x:c r="F672" t="inlineStr">
        <x:is>
          <x:t xml:space="preserve">Thay đổi hoàn cảnh và phần còn lại</x:t>
        </x:is>
      </x:c>
      <x:c r="G672" t="inlineStr">
        <x:is>
          <x:t xml:space="preserve">Identity</x:t>
        </x:is>
      </x:c>
      <x:c r="K672" t="inlineStr">
        <x:is>
          <x:t xml:space="preserve">Distinguish</x:t>
        </x:is>
      </x:c>
      <x:c r="M672" t="inlineStr">
        <x:is>
          <x:t xml:space="preserve">Source-anchored paraphrase candidate</x:t>
        </x:is>
      </x:c>
      <x:c r="N672" t="inlineStr">
        <x:is>
          <x:t xml:space="preserve">[Không chép Greek khi chưa xác minh trực tiếp Hense/Lutz passage]</x:t>
        </x:is>
      </x:c>
      <x:c r="O672" t="inlineStr">
        <x:is>
          <x:t xml:space="preserve">Ancient Greek tradition</x:t>
        </x:is>
      </x:c>
      <x:c r="P672" t="inlineStr">
        <x:is>
          <x:t xml:space="preserve">Địa điểm thay đổi; không phải mọi phần của con người đều bị lưu đày cùng địa điểm.</x:t>
        </x:is>
      </x:c>
      <x:c r="Q672" t="inlineStr">
        <x:is>
          <x:t xml:space="preserve">Musonius Rufus (teachings preserved by students/compilers)</x:t>
        </x:is>
      </x:c>
      <x:c r="R672" t="inlineStr">
        <x:is>
          <x:t xml:space="preserve">Roman Stoic / Greek-language teaching</x:t>
        </x:is>
      </x:c>
      <x:c r="S672" t="inlineStr">
        <x:is>
          <x:t xml:space="preserve">Discourses</x:t>
        </x:is>
      </x:c>
      <x:c r="T672" t="inlineStr">
        <x:is>
          <x:t xml:space="preserve">9</x:t>
        </x:is>
      </x:c>
      <x:c r="U672" t="inlineStr">
        <x:is>
          <x:t xml:space="preserve">https://iep.utm.edu/musonius/</x:t>
        </x:is>
      </x:c>
      <x:c r="V672" t="inlineStr">
        <x:is>
          <x:t xml:space="preserve">Surviving discourse/fragment tradition; IEP + standard Hense/Lutz bibliography</x:t>
        </x:is>
      </x:c>
      <x:c r="W672" t="inlineStr">
        <x:is>
          <x:t xml:space="preserve">Research paraphrase — NOT verbatim quote</x:t>
        </x:is>
      </x:c>
      <x:c r="X672" t="inlineStr">
        <x:is>
          <x:t xml:space="preserve">B - discourse/theme source verified; original wording pending</x:t>
        </x:is>
      </x:c>
      <x:c r="Y672" t="inlineStr">
        <x:is>
          <x:t xml:space="preserve">Musonius' own writings do not survive. Teachings survive as 21 discourses and 32 apophthegms preserved by others. Do not present this Vietnamese wording as a direct quote.</x:t>
        </x:is>
      </x:c>
      <x:c r="Z672" t="inlineStr">
        <x:is>
          <x:t xml:space="preserve">Ancient source tradition public domain; modern translations may be copyrighted</x:t>
        </x:is>
      </x:c>
      <x:c r="AA672" t="inlineStr">
        <x:is>
          <x:t xml:space="preserve">Before Release, verify Greek against Hense 1905 or another public-domain Greek edition and create a fresh Selflo translation. Do not copy Lutz 2020/Yale translation.</x:t>
        </x:is>
      </x:c>
      <x:c r="AB672" t="inlineStr">
        <x:is>
          <x:t xml:space="preserve">High</x:t>
        </x:is>
      </x:c>
      <x:c r="AC672" t="inlineStr">
        <x:is>
          <x:t xml:space="preserve">Day 10 collection; selection later.</x:t>
        </x:is>
      </x:c>
      <x:c r="AD672" t="inlineStr">
        <x:is>
          <x:t xml:space="preserve">Medium</x:t>
        </x:is>
      </x:c>
      <x:c r="AE672" t="inlineStr">
        <x:is>
          <x:t xml:space="preserve">Needs semantic dedupe review</x:t>
        </x:is>
      </x:c>
      <x:c r="AH672" t="inlineStr">
        <x:is>
          <x:t xml:space="preserve">No</x:t>
        </x:is>
      </x:c>
      <x:c r="AI672" t="inlineStr">
        <x:is>
          <x:t xml:space="preserve">Not reviewed</x:t>
        </x:is>
      </x:c>
      <x:c r="AJ672" t="inlineStr">
        <x:is>
          <x:t xml:space="preserve">Research only</x:t>
        </x:is>
      </x:c>
      <x:c r="AK672" t="inlineStr">
        <x:is>
          <x:t xml:space="preserve">Research Pool</x:t>
        </x:is>
      </x:c>
      <x:c r="AL672" t="n">
        <x:v>10</x:v>
      </x:c>
      <x:c r="AM672" t="inlineStr">
        <x:is>
          <x:t xml:space="preserve">ChatGPT research</x:t>
        </x:is>
      </x:c>
      <x:c r="AN672" t="inlineStr">
        <x:is>
          <x:t xml:space="preserve">2026-09-18</x:t>
        </x:is>
      </x:c>
      <x:c r="AO672" t="inlineStr">
        <x:is>
          <x:t xml:space="preserve">Full first-pass across all 21 discourse topics + fragment tradition. Source-safe paraphrase until Greek is passage-verified.</x:t>
        </x:is>
      </x:c>
    </x:row>
    <x:row r="673">
      <x:c r="A673" t="inlineStr">
        <x:is>
          <x:t xml:space="preserve">research.musonius.day10.d10_01</x:t>
        </x:is>
      </x:c>
      <x:c r="B673" t="inlineStr">
        <x:is>
          <x:t xml:space="preserve">Collected</x:t>
        </x:is>
      </x:c>
      <x:c r="C673" t="inlineStr">
        <x:is>
          <x:t xml:space="preserve">Nội tâm &amp; hiểu mình</x:t>
        </x:is>
      </x:c>
      <x:c r="D673" t="inlineStr">
        <x:is>
          <x:t xml:space="preserve">Day 10 / Musonius Rufus — Discourses + Fragments</x:t>
        </x:is>
      </x:c>
      <x:c r="F673" t="inlineStr">
        <x:is>
          <x:t xml:space="preserve">Lời người khác và giá trị bản thân</x:t>
        </x:is>
      </x:c>
      <x:c r="G673" t="inlineStr">
        <x:is>
          <x:t xml:space="preserve">Self-worth</x:t>
        </x:is>
      </x:c>
      <x:c r="K673" t="inlineStr">
        <x:is>
          <x:t xml:space="preserve">Distinguish</x:t>
        </x:is>
      </x:c>
      <x:c r="M673" t="inlineStr">
        <x:is>
          <x:t xml:space="preserve">Source-anchored paraphrase candidate</x:t>
        </x:is>
      </x:c>
      <x:c r="N673" t="inlineStr">
        <x:is>
          <x:t xml:space="preserve">[Không chép Greek khi chưa xác minh trực tiếp Hense/Lutz passage]</x:t>
        </x:is>
      </x:c>
      <x:c r="O673" t="inlineStr">
        <x:is>
          <x:t xml:space="preserve">Ancient Greek tradition</x:t>
        </x:is>
      </x:c>
      <x:c r="P673" t="inlineStr">
        <x:is>
          <x:t xml:space="preserve">Bị xúc phạm và mất phẩm giá không phải lúc nào cũng là cùng một việc.</x:t>
        </x:is>
      </x:c>
      <x:c r="Q673" t="inlineStr">
        <x:is>
          <x:t xml:space="preserve">Musonius Rufus (teachings preserved by students/compilers)</x:t>
        </x:is>
      </x:c>
      <x:c r="R673" t="inlineStr">
        <x:is>
          <x:t xml:space="preserve">Roman Stoic / Greek-language teaching</x:t>
        </x:is>
      </x:c>
      <x:c r="S673" t="inlineStr">
        <x:is>
          <x:t xml:space="preserve">Discourses</x:t>
        </x:is>
      </x:c>
      <x:c r="T673" t="inlineStr">
        <x:is>
          <x:t xml:space="preserve">10</x:t>
        </x:is>
      </x:c>
      <x:c r="U673" t="inlineStr">
        <x:is>
          <x:t xml:space="preserve">https://iep.utm.edu/musonius/</x:t>
        </x:is>
      </x:c>
      <x:c r="V673" t="inlineStr">
        <x:is>
          <x:t xml:space="preserve">Surviving discourse/fragment tradition; IEP + standard Hense/Lutz bibliography</x:t>
        </x:is>
      </x:c>
      <x:c r="W673" t="inlineStr">
        <x:is>
          <x:t xml:space="preserve">Research paraphrase — NOT verbatim quote</x:t>
        </x:is>
      </x:c>
      <x:c r="X673" t="inlineStr">
        <x:is>
          <x:t xml:space="preserve">B - discourse/theme source verified; original wording pending</x:t>
        </x:is>
      </x:c>
      <x:c r="Y673" t="inlineStr">
        <x:is>
          <x:t xml:space="preserve">Musonius' own writings do not survive. Teachings survive as 21 discourses and 32 apophthegms preserved by others. Do not present this Vietnamese wording as a direct quote.</x:t>
        </x:is>
      </x:c>
      <x:c r="Z673" t="inlineStr">
        <x:is>
          <x:t xml:space="preserve">Ancient source tradition public domain; modern translations may be copyrighted</x:t>
        </x:is>
      </x:c>
      <x:c r="AA673" t="inlineStr">
        <x:is>
          <x:t xml:space="preserve">Before Release, verify Greek against Hense 1905 or another public-domain Greek edition and create a fresh Selflo translation. Do not copy Lutz 2020/Yale translation.</x:t>
        </x:is>
      </x:c>
      <x:c r="AB673" t="inlineStr">
        <x:is>
          <x:t xml:space="preserve">Medium</x:t>
        </x:is>
      </x:c>
      <x:c r="AC673" t="inlineStr">
        <x:is>
          <x:t xml:space="preserve">Day 10 collection; selection later.</x:t>
        </x:is>
      </x:c>
      <x:c r="AD673" t="inlineStr">
        <x:is>
          <x:t xml:space="preserve">Medium</x:t>
        </x:is>
      </x:c>
      <x:c r="AE673" t="inlineStr">
        <x:is>
          <x:t xml:space="preserve">Needs semantic dedupe review</x:t>
        </x:is>
      </x:c>
      <x:c r="AH673" t="inlineStr">
        <x:is>
          <x:t xml:space="preserve">No</x:t>
        </x:is>
      </x:c>
      <x:c r="AI673" t="inlineStr">
        <x:is>
          <x:t xml:space="preserve">Not reviewed</x:t>
        </x:is>
      </x:c>
      <x:c r="AJ673" t="inlineStr">
        <x:is>
          <x:t xml:space="preserve">Research only</x:t>
        </x:is>
      </x:c>
      <x:c r="AK673" t="inlineStr">
        <x:is>
          <x:t xml:space="preserve">Research Pool</x:t>
        </x:is>
      </x:c>
      <x:c r="AL673" t="n">
        <x:v>10</x:v>
      </x:c>
      <x:c r="AM673" t="inlineStr">
        <x:is>
          <x:t xml:space="preserve">ChatGPT research</x:t>
        </x:is>
      </x:c>
      <x:c r="AN673" t="inlineStr">
        <x:is>
          <x:t xml:space="preserve">2026-09-18</x:t>
        </x:is>
      </x:c>
      <x:c r="AO673" t="inlineStr">
        <x:is>
          <x:t xml:space="preserve">Full first-pass across all 21 discourse topics + fragment tradition. Source-safe paraphrase until Greek is passage-verified.</x:t>
        </x:is>
      </x:c>
    </x:row>
    <x:row r="674">
      <x:c r="A674" t="inlineStr">
        <x:is>
          <x:t xml:space="preserve">research.musonius.day10.d10_02</x:t>
        </x:is>
      </x:c>
      <x:c r="B674" t="inlineStr">
        <x:is>
          <x:t xml:space="preserve">Collected</x:t>
        </x:is>
      </x:c>
      <x:c r="C674" t="inlineStr">
        <x:is>
          <x:t xml:space="preserve">Nội tâm &amp; hiểu mình</x:t>
        </x:is>
      </x:c>
      <x:c r="D674" t="inlineStr">
        <x:is>
          <x:t xml:space="preserve">Day 10 / Musonius Rufus — Discourses + Fragments</x:t>
        </x:is>
      </x:c>
      <x:c r="F674" t="inlineStr">
        <x:is>
          <x:t xml:space="preserve">Xúc phạm và agency</x:t>
        </x:is>
      </x:c>
      <x:c r="G674" t="inlineStr">
        <x:is>
          <x:t xml:space="preserve">Agency</x:t>
        </x:is>
      </x:c>
      <x:c r="K674" t="inlineStr">
        <x:is>
          <x:t xml:space="preserve">Reframe</x:t>
        </x:is>
      </x:c>
      <x:c r="M674" t="inlineStr">
        <x:is>
          <x:t xml:space="preserve">Source-anchored paraphrase candidate</x:t>
        </x:is>
      </x:c>
      <x:c r="N674" t="inlineStr">
        <x:is>
          <x:t xml:space="preserve">[Không chép Greek khi chưa xác minh trực tiếp Hense/Lutz passage]</x:t>
        </x:is>
      </x:c>
      <x:c r="O674" t="inlineStr">
        <x:is>
          <x:t xml:space="preserve">Ancient Greek tradition</x:t>
        </x:is>
      </x:c>
      <x:c r="P674" t="inlineStr">
        <x:is>
          <x:t xml:space="preserve">Phản ứng trả đũa có thể khiến mình trao thêm quyền cho điều người khác vừa làm.</x:t>
        </x:is>
      </x:c>
      <x:c r="Q674" t="inlineStr">
        <x:is>
          <x:t xml:space="preserve">Musonius Rufus (teachings preserved by students/compilers)</x:t>
        </x:is>
      </x:c>
      <x:c r="R674" t="inlineStr">
        <x:is>
          <x:t xml:space="preserve">Roman Stoic / Greek-language teaching</x:t>
        </x:is>
      </x:c>
      <x:c r="S674" t="inlineStr">
        <x:is>
          <x:t xml:space="preserve">Discourses</x:t>
        </x:is>
      </x:c>
      <x:c r="T674" t="inlineStr">
        <x:is>
          <x:t xml:space="preserve">10</x:t>
        </x:is>
      </x:c>
      <x:c r="U674" t="inlineStr">
        <x:is>
          <x:t xml:space="preserve">https://iep.utm.edu/musonius/</x:t>
        </x:is>
      </x:c>
      <x:c r="V674" t="inlineStr">
        <x:is>
          <x:t xml:space="preserve">Surviving discourse/fragment tradition; IEP + standard Hense/Lutz bibliography</x:t>
        </x:is>
      </x:c>
      <x:c r="W674" t="inlineStr">
        <x:is>
          <x:t xml:space="preserve">Research paraphrase — NOT verbatim quote</x:t>
        </x:is>
      </x:c>
      <x:c r="X674" t="inlineStr">
        <x:is>
          <x:t xml:space="preserve">B - discourse/theme source verified; original wording pending</x:t>
        </x:is>
      </x:c>
      <x:c r="Y674" t="inlineStr">
        <x:is>
          <x:t xml:space="preserve">Musonius' own writings do not survive. Teachings survive as 21 discourses and 32 apophthegms preserved by others. Do not present this Vietnamese wording as a direct quote.</x:t>
        </x:is>
      </x:c>
      <x:c r="Z674" t="inlineStr">
        <x:is>
          <x:t xml:space="preserve">Ancient source tradition public domain; modern translations may be copyrighted</x:t>
        </x:is>
      </x:c>
      <x:c r="AA674" t="inlineStr">
        <x:is>
          <x:t xml:space="preserve">Before Release, verify Greek against Hense 1905 or another public-domain Greek edition and create a fresh Selflo translation. Do not copy Lutz 2020/Yale translation.</x:t>
        </x:is>
      </x:c>
      <x:c r="AB674" t="inlineStr">
        <x:is>
          <x:t xml:space="preserve">Medium</x:t>
        </x:is>
      </x:c>
      <x:c r="AC674" t="inlineStr">
        <x:is>
          <x:t xml:space="preserve">Day 10 collection; selection later.</x:t>
        </x:is>
      </x:c>
      <x:c r="AD674" t="inlineStr">
        <x:is>
          <x:t xml:space="preserve">Medium</x:t>
        </x:is>
      </x:c>
      <x:c r="AE674" t="inlineStr">
        <x:is>
          <x:t xml:space="preserve">Needs semantic dedupe review</x:t>
        </x:is>
      </x:c>
      <x:c r="AH674" t="inlineStr">
        <x:is>
          <x:t xml:space="preserve">No</x:t>
        </x:is>
      </x:c>
      <x:c r="AI674" t="inlineStr">
        <x:is>
          <x:t xml:space="preserve">Not reviewed</x:t>
        </x:is>
      </x:c>
      <x:c r="AJ674" t="inlineStr">
        <x:is>
          <x:t xml:space="preserve">Research only</x:t>
        </x:is>
      </x:c>
      <x:c r="AK674" t="inlineStr">
        <x:is>
          <x:t xml:space="preserve">Research Pool</x:t>
        </x:is>
      </x:c>
      <x:c r="AL674" t="n">
        <x:v>10</x:v>
      </x:c>
      <x:c r="AM674" t="inlineStr">
        <x:is>
          <x:t xml:space="preserve">ChatGPT research</x:t>
        </x:is>
      </x:c>
      <x:c r="AN674" t="inlineStr">
        <x:is>
          <x:t xml:space="preserve">2026-09-18</x:t>
        </x:is>
      </x:c>
      <x:c r="AO674" t="inlineStr">
        <x:is>
          <x:t xml:space="preserve">Full first-pass across all 21 discourse topics + fragment tradition. Source-safe paraphrase until Greek is passage-verified.</x:t>
        </x:is>
      </x:c>
    </x:row>
    <x:row r="675">
      <x:c r="A675" t="inlineStr">
        <x:is>
          <x:t xml:space="preserve">research.musonius.day10.d11_01</x:t>
        </x:is>
      </x:c>
      <x:c r="B675" t="inlineStr">
        <x:is>
          <x:t xml:space="preserve">Collected</x:t>
        </x:is>
      </x:c>
      <x:c r="C675" t="inlineStr">
        <x:is>
          <x:t xml:space="preserve">Công việc &amp; mục đích</x:t>
        </x:is>
      </x:c>
      <x:c r="D675" t="inlineStr">
        <x:is>
          <x:t xml:space="preserve">Day 10 / Musonius Rufus — Discourses + Fragments</x:t>
        </x:is>
      </x:c>
      <x:c r="F675" t="inlineStr">
        <x:is>
          <x:t xml:space="preserve">Công việc và ý nghĩa</x:t>
        </x:is>
      </x:c>
      <x:c r="G675" t="inlineStr">
        <x:is>
          <x:t xml:space="preserve">Work / Purpose</x:t>
        </x:is>
      </x:c>
      <x:c r="K675" t="inlineStr">
        <x:is>
          <x:t xml:space="preserve">Reframe</x:t>
        </x:is>
      </x:c>
      <x:c r="M675" t="inlineStr">
        <x:is>
          <x:t xml:space="preserve">Source-anchored paraphrase candidate</x:t>
        </x:is>
      </x:c>
      <x:c r="N675" t="inlineStr">
        <x:is>
          <x:t xml:space="preserve">[Không chép Greek khi chưa xác minh trực tiếp Hense/Lutz passage]</x:t>
        </x:is>
      </x:c>
      <x:c r="O675" t="inlineStr">
        <x:is>
          <x:t xml:space="preserve">Ancient Greek tradition</x:t>
        </x:is>
      </x:c>
      <x:c r="P675" t="inlineStr">
        <x:is>
          <x:t xml:space="preserve">Công việc tay chân không nhất thiết cản đời sống suy ngẫm; một nghề đơn giản vẫn có thể để lại chỗ cho học và dạy.</x:t>
        </x:is>
      </x:c>
      <x:c r="Q675" t="inlineStr">
        <x:is>
          <x:t xml:space="preserve">Musonius Rufus (teachings preserved by students/compilers)</x:t>
        </x:is>
      </x:c>
      <x:c r="R675" t="inlineStr">
        <x:is>
          <x:t xml:space="preserve">Roman Stoic / Greek-language teaching</x:t>
        </x:is>
      </x:c>
      <x:c r="S675" t="inlineStr">
        <x:is>
          <x:t xml:space="preserve">Discourses</x:t>
        </x:is>
      </x:c>
      <x:c r="T675" t="inlineStr">
        <x:is>
          <x:t xml:space="preserve">11</x:t>
        </x:is>
      </x:c>
      <x:c r="U675" t="inlineStr">
        <x:is>
          <x:t xml:space="preserve">https://iep.utm.edu/musonius/</x:t>
        </x:is>
      </x:c>
      <x:c r="V675" t="inlineStr">
        <x:is>
          <x:t xml:space="preserve">Surviving discourse/fragment tradition; IEP + standard Hense/Lutz bibliography</x:t>
        </x:is>
      </x:c>
      <x:c r="W675" t="inlineStr">
        <x:is>
          <x:t xml:space="preserve">Research paraphrase — NOT verbatim quote</x:t>
        </x:is>
      </x:c>
      <x:c r="X675" t="inlineStr">
        <x:is>
          <x:t xml:space="preserve">B - discourse/theme source verified; original wording pending</x:t>
        </x:is>
      </x:c>
      <x:c r="Y675" t="inlineStr">
        <x:is>
          <x:t xml:space="preserve">Musonius' own writings do not survive. Teachings survive as 21 discourses and 32 apophthegms preserved by others. Do not present this Vietnamese wording as a direct quote.</x:t>
        </x:is>
      </x:c>
      <x:c r="Z675" t="inlineStr">
        <x:is>
          <x:t xml:space="preserve">Ancient source tradition public domain; modern translations may be copyrighted</x:t>
        </x:is>
      </x:c>
      <x:c r="AA675" t="inlineStr">
        <x:is>
          <x:t xml:space="preserve">Before Release, verify Greek against Hense 1905 or another public-domain Greek edition and create a fresh Selflo translation. Do not copy Lutz 2020/Yale translation.</x:t>
        </x:is>
      </x:c>
      <x:c r="AB675" t="inlineStr">
        <x:is>
          <x:t xml:space="preserve">High</x:t>
        </x:is>
      </x:c>
      <x:c r="AC675" t="inlineStr">
        <x:is>
          <x:t xml:space="preserve">Day 10 collection; selection later.</x:t>
        </x:is>
      </x:c>
      <x:c r="AD675" t="inlineStr">
        <x:is>
          <x:t xml:space="preserve">Medium</x:t>
        </x:is>
      </x:c>
      <x:c r="AE675" t="inlineStr">
        <x:is>
          <x:t xml:space="preserve">Needs semantic dedupe review</x:t>
        </x:is>
      </x:c>
      <x:c r="AH675" t="inlineStr">
        <x:is>
          <x:t xml:space="preserve">No</x:t>
        </x:is>
      </x:c>
      <x:c r="AI675" t="inlineStr">
        <x:is>
          <x:t xml:space="preserve">Not reviewed</x:t>
        </x:is>
      </x:c>
      <x:c r="AJ675" t="inlineStr">
        <x:is>
          <x:t xml:space="preserve">Research only</x:t>
        </x:is>
      </x:c>
      <x:c r="AK675" t="inlineStr">
        <x:is>
          <x:t xml:space="preserve">Research Pool</x:t>
        </x:is>
      </x:c>
      <x:c r="AL675" t="n">
        <x:v>10</x:v>
      </x:c>
      <x:c r="AM675" t="inlineStr">
        <x:is>
          <x:t xml:space="preserve">ChatGPT research</x:t>
        </x:is>
      </x:c>
      <x:c r="AN675" t="inlineStr">
        <x:is>
          <x:t xml:space="preserve">2026-09-18</x:t>
        </x:is>
      </x:c>
      <x:c r="AO675" t="inlineStr">
        <x:is>
          <x:t xml:space="preserve">Full first-pass across all 21 discourse topics + fragment tradition. Source-safe paraphrase until Greek is passage-verified.</x:t>
        </x:is>
      </x:c>
    </x:row>
    <x:row r="676">
      <x:c r="A676" t="inlineStr">
        <x:is>
          <x:t xml:space="preserve">research.musonius.day10.d11_02</x:t>
        </x:is>
      </x:c>
      <x:c r="B676" t="inlineStr">
        <x:is>
          <x:t xml:space="preserve">Collected</x:t>
        </x:is>
      </x:c>
      <x:c r="C676" t="inlineStr">
        <x:is>
          <x:t xml:space="preserve">Công việc &amp; mục đích</x:t>
        </x:is>
      </x:c>
      <x:c r="D676" t="inlineStr">
        <x:is>
          <x:t xml:space="preserve">Day 10 / Musonius Rufus — Discourses + Fragments</x:t>
        </x:is>
      </x:c>
      <x:c r="F676" t="inlineStr">
        <x:is>
          <x:t xml:space="preserve">Chọn nghề và đời sống</x:t>
        </x:is>
      </x:c>
      <x:c r="G676" t="inlineStr">
        <x:is>
          <x:t xml:space="preserve">Work / Choice</x:t>
        </x:is>
      </x:c>
      <x:c r="K676" t="inlineStr">
        <x:is>
          <x:t xml:space="preserve">Open question</x:t>
        </x:is>
      </x:c>
      <x:c r="M676" t="inlineStr">
        <x:is>
          <x:t xml:space="preserve">Source-anchored paraphrase candidate</x:t>
        </x:is>
      </x:c>
      <x:c r="N676" t="inlineStr">
        <x:is>
          <x:t xml:space="preserve">[Không chép Greek khi chưa xác minh trực tiếp Hense/Lutz passage]</x:t>
        </x:is>
      </x:c>
      <x:c r="O676" t="inlineStr">
        <x:is>
          <x:t xml:space="preserve">Ancient Greek tradition</x:t>
        </x:is>
      </x:c>
      <x:c r="P676" t="inlineStr">
        <x:is>
          <x:t xml:space="preserve">Một nghề nên được nhìn cả qua việc nó nuôi sống mình và loại đời sống nó cho phép mình sống.</x:t>
        </x:is>
      </x:c>
      <x:c r="Q676" t="inlineStr">
        <x:is>
          <x:t xml:space="preserve">Musonius Rufus (teachings preserved by students/compilers)</x:t>
        </x:is>
      </x:c>
      <x:c r="R676" t="inlineStr">
        <x:is>
          <x:t xml:space="preserve">Roman Stoic / Greek-language teaching</x:t>
        </x:is>
      </x:c>
      <x:c r="S676" t="inlineStr">
        <x:is>
          <x:t xml:space="preserve">Discourses</x:t>
        </x:is>
      </x:c>
      <x:c r="T676" t="inlineStr">
        <x:is>
          <x:t xml:space="preserve">11</x:t>
        </x:is>
      </x:c>
      <x:c r="U676" t="inlineStr">
        <x:is>
          <x:t xml:space="preserve">https://iep.utm.edu/musonius/</x:t>
        </x:is>
      </x:c>
      <x:c r="V676" t="inlineStr">
        <x:is>
          <x:t xml:space="preserve">Surviving discourse/fragment tradition; IEP + standard Hense/Lutz bibliography</x:t>
        </x:is>
      </x:c>
      <x:c r="W676" t="inlineStr">
        <x:is>
          <x:t xml:space="preserve">Research paraphrase — NOT verbatim quote</x:t>
        </x:is>
      </x:c>
      <x:c r="X676" t="inlineStr">
        <x:is>
          <x:t xml:space="preserve">B - discourse/theme source verified; original wording pending</x:t>
        </x:is>
      </x:c>
      <x:c r="Y676" t="inlineStr">
        <x:is>
          <x:t xml:space="preserve">Musonius' own writings do not survive. Teachings survive as 21 discourses and 32 apophthegms preserved by others. Do not present this Vietnamese wording as a direct quote.</x:t>
        </x:is>
      </x:c>
      <x:c r="Z676" t="inlineStr">
        <x:is>
          <x:t xml:space="preserve">Ancient source tradition public domain; modern translations may be copyrighted</x:t>
        </x:is>
      </x:c>
      <x:c r="AA676" t="inlineStr">
        <x:is>
          <x:t xml:space="preserve">Before Release, verify Greek against Hense 1905 or another public-domain Greek edition and create a fresh Selflo translation. Do not copy Lutz 2020/Yale translation.</x:t>
        </x:is>
      </x:c>
      <x:c r="AB676" t="inlineStr">
        <x:is>
          <x:t xml:space="preserve">High</x:t>
        </x:is>
      </x:c>
      <x:c r="AC676" t="inlineStr">
        <x:is>
          <x:t xml:space="preserve">Day 10 collection; selection later.</x:t>
        </x:is>
      </x:c>
      <x:c r="AD676" t="inlineStr">
        <x:is>
          <x:t xml:space="preserve">Medium</x:t>
        </x:is>
      </x:c>
      <x:c r="AE676" t="inlineStr">
        <x:is>
          <x:t xml:space="preserve">Needs semantic dedupe review</x:t>
        </x:is>
      </x:c>
      <x:c r="AH676" t="inlineStr">
        <x:is>
          <x:t xml:space="preserve">No</x:t>
        </x:is>
      </x:c>
      <x:c r="AI676" t="inlineStr">
        <x:is>
          <x:t xml:space="preserve">Not reviewed</x:t>
        </x:is>
      </x:c>
      <x:c r="AJ676" t="inlineStr">
        <x:is>
          <x:t xml:space="preserve">Research only</x:t>
        </x:is>
      </x:c>
      <x:c r="AK676" t="inlineStr">
        <x:is>
          <x:t xml:space="preserve">Research Pool</x:t>
        </x:is>
      </x:c>
      <x:c r="AL676" t="n">
        <x:v>10</x:v>
      </x:c>
      <x:c r="AM676" t="inlineStr">
        <x:is>
          <x:t xml:space="preserve">ChatGPT research</x:t>
        </x:is>
      </x:c>
      <x:c r="AN676" t="inlineStr">
        <x:is>
          <x:t xml:space="preserve">2026-09-18</x:t>
        </x:is>
      </x:c>
      <x:c r="AO676" t="inlineStr">
        <x:is>
          <x:t xml:space="preserve">Full first-pass across all 21 discourse topics + fragment tradition. Source-safe paraphrase until Greek is passage-verified.</x:t>
        </x:is>
      </x:c>
    </x:row>
    <x:row r="677">
      <x:c r="A677" t="inlineStr">
        <x:is>
          <x:t xml:space="preserve">research.musonius.day10.d12_01</x:t>
        </x:is>
      </x:c>
      <x:c r="B677" t="inlineStr">
        <x:is>
          <x:t xml:space="preserve">Collected</x:t>
        </x:is>
      </x:c>
      <x:c r="C677" t="inlineStr">
        <x:is>
          <x:t xml:space="preserve">Nội tâm &amp; hiểu mình</x:t>
        </x:is>
      </x:c>
      <x:c r="D677" t="inlineStr">
        <x:is>
          <x:t xml:space="preserve">Day 10 / Musonius Rufus — Discourses + Fragments</x:t>
        </x:is>
      </x:c>
      <x:c r="F677" t="inlineStr">
        <x:is>
          <x:t xml:space="preserve">Ham muốn và agency</x:t>
        </x:is>
      </x:c>
      <x:c r="G677" t="inlineStr">
        <x:is>
          <x:t xml:space="preserve">Desire / Agency</x:t>
        </x:is>
      </x:c>
      <x:c r="K677" t="inlineStr">
        <x:is>
          <x:t xml:space="preserve">Distinguish</x:t>
        </x:is>
      </x:c>
      <x:c r="M677" t="inlineStr">
        <x:is>
          <x:t xml:space="preserve">Source-anchored paraphrase candidate</x:t>
        </x:is>
      </x:c>
      <x:c r="N677" t="inlineStr">
        <x:is>
          <x:t xml:space="preserve">[Không chép Greek khi chưa xác minh trực tiếp Hense/Lutz passage]</x:t>
        </x:is>
      </x:c>
      <x:c r="O677" t="inlineStr">
        <x:is>
          <x:t xml:space="preserve">Ancient Greek tradition</x:t>
        </x:is>
      </x:c>
      <x:c r="P677" t="inlineStr">
        <x:is>
          <x:t xml:space="preserve">Ham muốn có thể mạnh nhưng không vì vậy nó phải trở thành người quyết định.</x:t>
        </x:is>
      </x:c>
      <x:c r="Q677" t="inlineStr">
        <x:is>
          <x:t xml:space="preserve">Musonius Rufus (teachings preserved by students/compilers)</x:t>
        </x:is>
      </x:c>
      <x:c r="R677" t="inlineStr">
        <x:is>
          <x:t xml:space="preserve">Roman Stoic / Greek-language teaching</x:t>
        </x:is>
      </x:c>
      <x:c r="S677" t="inlineStr">
        <x:is>
          <x:t xml:space="preserve">Discourses</x:t>
        </x:is>
      </x:c>
      <x:c r="T677" t="inlineStr">
        <x:is>
          <x:t xml:space="preserve">12</x:t>
        </x:is>
      </x:c>
      <x:c r="U677" t="inlineStr">
        <x:is>
          <x:t xml:space="preserve">https://iep.utm.edu/musonius/</x:t>
        </x:is>
      </x:c>
      <x:c r="V677" t="inlineStr">
        <x:is>
          <x:t xml:space="preserve">Surviving discourse/fragment tradition; IEP + standard Hense/Lutz bibliography</x:t>
        </x:is>
      </x:c>
      <x:c r="W677" t="inlineStr">
        <x:is>
          <x:t xml:space="preserve">Research paraphrase — NOT verbatim quote</x:t>
        </x:is>
      </x:c>
      <x:c r="X677" t="inlineStr">
        <x:is>
          <x:t xml:space="preserve">B - discourse/theme source verified; original wording pending</x:t>
        </x:is>
      </x:c>
      <x:c r="Y677" t="inlineStr">
        <x:is>
          <x:t xml:space="preserve">Musonius' own writings do not survive. Teachings survive as 21 discourses and 32 apophthegms preserved by others. Do not present this Vietnamese wording as a direct quote.</x:t>
        </x:is>
      </x:c>
      <x:c r="Z677" t="inlineStr">
        <x:is>
          <x:t xml:space="preserve">Ancient source tradition public domain; modern translations may be copyrighted</x:t>
        </x:is>
      </x:c>
      <x:c r="AA677" t="inlineStr">
        <x:is>
          <x:t xml:space="preserve">Before Release, verify Greek against Hense 1905 or another public-domain Greek edition and create a fresh Selflo translation. Do not copy Lutz 2020/Yale translation.</x:t>
        </x:is>
      </x:c>
      <x:c r="AB677" t="inlineStr">
        <x:is>
          <x:t xml:space="preserve">High</x:t>
        </x:is>
      </x:c>
      <x:c r="AC677" t="inlineStr">
        <x:is>
          <x:t xml:space="preserve">Day 10 collection; selection later.</x:t>
        </x:is>
      </x:c>
      <x:c r="AD677" t="inlineStr">
        <x:is>
          <x:t xml:space="preserve">Medium</x:t>
        </x:is>
      </x:c>
      <x:c r="AE677" t="inlineStr">
        <x:is>
          <x:t xml:space="preserve">Needs semantic dedupe review</x:t>
        </x:is>
      </x:c>
      <x:c r="AH677" t="inlineStr">
        <x:is>
          <x:t xml:space="preserve">No</x:t>
        </x:is>
      </x:c>
      <x:c r="AI677" t="inlineStr">
        <x:is>
          <x:t xml:space="preserve">Not reviewed</x:t>
        </x:is>
      </x:c>
      <x:c r="AJ677" t="inlineStr">
        <x:is>
          <x:t xml:space="preserve">Research only</x:t>
        </x:is>
      </x:c>
      <x:c r="AK677" t="inlineStr">
        <x:is>
          <x:t xml:space="preserve">Research Pool</x:t>
        </x:is>
      </x:c>
      <x:c r="AL677" t="n">
        <x:v>10</x:v>
      </x:c>
      <x:c r="AM677" t="inlineStr">
        <x:is>
          <x:t xml:space="preserve">ChatGPT research</x:t>
        </x:is>
      </x:c>
      <x:c r="AN677" t="inlineStr">
        <x:is>
          <x:t xml:space="preserve">2026-09-18</x:t>
        </x:is>
      </x:c>
      <x:c r="AO677" t="inlineStr">
        <x:is>
          <x:t xml:space="preserve">Full first-pass across all 21 discourse topics + fragment tradition. Source-safe paraphrase until Greek is passage-verified.</x:t>
        </x:is>
      </x:c>
    </x:row>
    <x:row r="678">
      <x:c r="A678" t="inlineStr">
        <x:is>
          <x:t xml:space="preserve">research.musonius.day10.d13_01</x:t>
        </x:is>
      </x:c>
      <x:c r="B678" t="inlineStr">
        <x:is>
          <x:t xml:space="preserve">Collected</x:t>
        </x:is>
      </x:c>
      <x:c r="C678" t="inlineStr">
        <x:is>
          <x:t xml:space="preserve">Quan hệ</x:t>
        </x:is>
      </x:c>
      <x:c r="D678" t="inlineStr">
        <x:is>
          <x:t xml:space="preserve">Day 10 / Musonius Rufus — Discourses + Fragments</x:t>
        </x:is>
      </x:c>
      <x:c r="F678" t="inlineStr">
        <x:is>
          <x:t xml:space="preserve">Quan hệ như hợp tác</x:t>
        </x:is>
      </x:c>
      <x:c r="G678" t="inlineStr">
        <x:is>
          <x:t xml:space="preserve">Relationships</x:t>
        </x:is>
      </x:c>
      <x:c r="K678" t="inlineStr">
        <x:is>
          <x:t xml:space="preserve">Reframe</x:t>
        </x:is>
      </x:c>
      <x:c r="M678" t="inlineStr">
        <x:is>
          <x:t xml:space="preserve">Source-anchored paraphrase candidate</x:t>
        </x:is>
      </x:c>
      <x:c r="N678" t="inlineStr">
        <x:is>
          <x:t xml:space="preserve">[Không chép Greek khi chưa xác minh trực tiếp Hense/Lutz passage]</x:t>
        </x:is>
      </x:c>
      <x:c r="O678" t="inlineStr">
        <x:is>
          <x:t xml:space="preserve">Ancient Greek tradition</x:t>
        </x:is>
      </x:c>
      <x:c r="P678" t="inlineStr">
        <x:is>
          <x:t xml:space="preserve">Một quan hệ gần gũi bền không chỉ nhờ ở cùng nhau mà còn ở việc cùng chăm phần tốt của nhau.</x:t>
        </x:is>
      </x:c>
      <x:c r="Q678" t="inlineStr">
        <x:is>
          <x:t xml:space="preserve">Musonius Rufus (teachings preserved by students/compilers)</x:t>
        </x:is>
      </x:c>
      <x:c r="R678" t="inlineStr">
        <x:is>
          <x:t xml:space="preserve">Roman Stoic / Greek-language teaching</x:t>
        </x:is>
      </x:c>
      <x:c r="S678" t="inlineStr">
        <x:is>
          <x:t xml:space="preserve">Discourses</x:t>
        </x:is>
      </x:c>
      <x:c r="T678" t="inlineStr">
        <x:is>
          <x:t xml:space="preserve">13A</x:t>
        </x:is>
      </x:c>
      <x:c r="U678" t="inlineStr">
        <x:is>
          <x:t xml:space="preserve">https://iep.utm.edu/musonius/</x:t>
        </x:is>
      </x:c>
      <x:c r="V678" t="inlineStr">
        <x:is>
          <x:t xml:space="preserve">Surviving discourse/fragment tradition; IEP + standard Hense/Lutz bibliography</x:t>
        </x:is>
      </x:c>
      <x:c r="W678" t="inlineStr">
        <x:is>
          <x:t xml:space="preserve">Research paraphrase — NOT verbatim quote</x:t>
        </x:is>
      </x:c>
      <x:c r="X678" t="inlineStr">
        <x:is>
          <x:t xml:space="preserve">B - discourse/theme source verified; original wording pending</x:t>
        </x:is>
      </x:c>
      <x:c r="Y678" t="inlineStr">
        <x:is>
          <x:t xml:space="preserve">Musonius' own writings do not survive. Teachings survive as 21 discourses and 32 apophthegms preserved by others. Do not present this Vietnamese wording as a direct quote.</x:t>
        </x:is>
      </x:c>
      <x:c r="Z678" t="inlineStr">
        <x:is>
          <x:t xml:space="preserve">Ancient source tradition public domain; modern translations may be copyrighted</x:t>
        </x:is>
      </x:c>
      <x:c r="AA678" t="inlineStr">
        <x:is>
          <x:t xml:space="preserve">Before Release, verify Greek against Hense 1905 or another public-domain Greek edition and create a fresh Selflo translation. Do not copy Lutz 2020/Yale translation.</x:t>
        </x:is>
      </x:c>
      <x:c r="AB678" t="inlineStr">
        <x:is>
          <x:t xml:space="preserve">Medium</x:t>
        </x:is>
      </x:c>
      <x:c r="AC678" t="inlineStr">
        <x:is>
          <x:t xml:space="preserve">Day 10 collection; selection later.</x:t>
        </x:is>
      </x:c>
      <x:c r="AD678" t="inlineStr">
        <x:is>
          <x:t xml:space="preserve">Medium</x:t>
        </x:is>
      </x:c>
      <x:c r="AE678" t="inlineStr">
        <x:is>
          <x:t xml:space="preserve">Needs semantic dedupe review</x:t>
        </x:is>
      </x:c>
      <x:c r="AH678" t="inlineStr">
        <x:is>
          <x:t xml:space="preserve">No</x:t>
        </x:is>
      </x:c>
      <x:c r="AI678" t="inlineStr">
        <x:is>
          <x:t xml:space="preserve">Not reviewed</x:t>
        </x:is>
      </x:c>
      <x:c r="AJ678" t="inlineStr">
        <x:is>
          <x:t xml:space="preserve">Research only</x:t>
        </x:is>
      </x:c>
      <x:c r="AK678" t="inlineStr">
        <x:is>
          <x:t xml:space="preserve">Research Pool</x:t>
        </x:is>
      </x:c>
      <x:c r="AL678" t="n">
        <x:v>10</x:v>
      </x:c>
      <x:c r="AM678" t="inlineStr">
        <x:is>
          <x:t xml:space="preserve">ChatGPT research</x:t>
        </x:is>
      </x:c>
      <x:c r="AN678" t="inlineStr">
        <x:is>
          <x:t xml:space="preserve">2026-09-18</x:t>
        </x:is>
      </x:c>
      <x:c r="AO678" t="inlineStr">
        <x:is>
          <x:t xml:space="preserve">Full first-pass across all 21 discourse topics + fragment tradition. Source-safe paraphrase until Greek is passage-verified.</x:t>
        </x:is>
      </x:c>
    </x:row>
    <x:row r="679">
      <x:c r="A679" t="inlineStr">
        <x:is>
          <x:t xml:space="preserve">research.musonius.day10.d13_02</x:t>
        </x:is>
      </x:c>
      <x:c r="B679" t="inlineStr">
        <x:is>
          <x:t xml:space="preserve">Collected</x:t>
        </x:is>
      </x:c>
      <x:c r="C679" t="inlineStr">
        <x:is>
          <x:t xml:space="preserve">Quan hệ</x:t>
        </x:is>
      </x:c>
      <x:c r="D679" t="inlineStr">
        <x:is>
          <x:t xml:space="preserve">Day 10 / Musonius Rufus — Discourses + Fragments</x:t>
        </x:is>
      </x:c>
      <x:c r="F679" t="inlineStr">
        <x:is>
          <x:t xml:space="preserve">Quan hệ và tính chủ thể</x:t>
        </x:is>
      </x:c>
      <x:c r="G679" t="inlineStr">
        <x:is>
          <x:t xml:space="preserve">Relationships / Agency</x:t>
        </x:is>
      </x:c>
      <x:c r="K679" t="inlineStr">
        <x:is>
          <x:t xml:space="preserve">Distinguish</x:t>
        </x:is>
      </x:c>
      <x:c r="M679" t="inlineStr">
        <x:is>
          <x:t xml:space="preserve">Source-anchored paraphrase candidate</x:t>
        </x:is>
      </x:c>
      <x:c r="N679" t="inlineStr">
        <x:is>
          <x:t xml:space="preserve">[Không chép Greek khi chưa xác minh trực tiếp Hense/Lutz passage]</x:t>
        </x:is>
      </x:c>
      <x:c r="O679" t="inlineStr">
        <x:is>
          <x:t xml:space="preserve">Ancient Greek tradition</x:t>
        </x:is>
      </x:c>
      <x:c r="P679" t="inlineStr">
        <x:is>
          <x:t xml:space="preserve">Một gia đình hay quan hệ không nên biến một người thành công cụ cho mục tiêu của người kia.</x:t>
        </x:is>
      </x:c>
      <x:c r="Q679" t="inlineStr">
        <x:is>
          <x:t xml:space="preserve">Musonius Rufus (teachings preserved by students/compilers)</x:t>
        </x:is>
      </x:c>
      <x:c r="R679" t="inlineStr">
        <x:is>
          <x:t xml:space="preserve">Roman Stoic / Greek-language teaching</x:t>
        </x:is>
      </x:c>
      <x:c r="S679" t="inlineStr">
        <x:is>
          <x:t xml:space="preserve">Discourses</x:t>
        </x:is>
      </x:c>
      <x:c r="T679" t="inlineStr">
        <x:is>
          <x:t xml:space="preserve">13B</x:t>
        </x:is>
      </x:c>
      <x:c r="U679" t="inlineStr">
        <x:is>
          <x:t xml:space="preserve">https://iep.utm.edu/musonius/</x:t>
        </x:is>
      </x:c>
      <x:c r="V679" t="inlineStr">
        <x:is>
          <x:t xml:space="preserve">Surviving discourse/fragment tradition; IEP + standard Hense/Lutz bibliography</x:t>
        </x:is>
      </x:c>
      <x:c r="W679" t="inlineStr">
        <x:is>
          <x:t xml:space="preserve">Research paraphrase — NOT verbatim quote</x:t>
        </x:is>
      </x:c>
      <x:c r="X679" t="inlineStr">
        <x:is>
          <x:t xml:space="preserve">B - discourse/theme source verified; original wording pending</x:t>
        </x:is>
      </x:c>
      <x:c r="Y679" t="inlineStr">
        <x:is>
          <x:t xml:space="preserve">Musonius' own writings do not survive. Teachings survive as 21 discourses and 32 apophthegms preserved by others. Do not present this Vietnamese wording as a direct quote.</x:t>
        </x:is>
      </x:c>
      <x:c r="Z679" t="inlineStr">
        <x:is>
          <x:t xml:space="preserve">Ancient source tradition public domain; modern translations may be copyrighted</x:t>
        </x:is>
      </x:c>
      <x:c r="AA679" t="inlineStr">
        <x:is>
          <x:t xml:space="preserve">Before Release, verify Greek against Hense 1905 or another public-domain Greek edition and create a fresh Selflo translation. Do not copy Lutz 2020/Yale translation.</x:t>
        </x:is>
      </x:c>
      <x:c r="AB679" t="inlineStr">
        <x:is>
          <x:t xml:space="preserve">High</x:t>
        </x:is>
      </x:c>
      <x:c r="AC679" t="inlineStr">
        <x:is>
          <x:t xml:space="preserve">Day 10 collection; selection later.</x:t>
        </x:is>
      </x:c>
      <x:c r="AD679" t="inlineStr">
        <x:is>
          <x:t xml:space="preserve">Medium</x:t>
        </x:is>
      </x:c>
      <x:c r="AE679" t="inlineStr">
        <x:is>
          <x:t xml:space="preserve">Needs semantic dedupe review</x:t>
        </x:is>
      </x:c>
      <x:c r="AH679" t="inlineStr">
        <x:is>
          <x:t xml:space="preserve">No</x:t>
        </x:is>
      </x:c>
      <x:c r="AI679" t="inlineStr">
        <x:is>
          <x:t xml:space="preserve">Not reviewed</x:t>
        </x:is>
      </x:c>
      <x:c r="AJ679" t="inlineStr">
        <x:is>
          <x:t xml:space="preserve">Research only</x:t>
        </x:is>
      </x:c>
      <x:c r="AK679" t="inlineStr">
        <x:is>
          <x:t xml:space="preserve">Research Pool</x:t>
        </x:is>
      </x:c>
      <x:c r="AL679" t="n">
        <x:v>10</x:v>
      </x:c>
      <x:c r="AM679" t="inlineStr">
        <x:is>
          <x:t xml:space="preserve">ChatGPT research</x:t>
        </x:is>
      </x:c>
      <x:c r="AN679" t="inlineStr">
        <x:is>
          <x:t xml:space="preserve">2026-09-18</x:t>
        </x:is>
      </x:c>
      <x:c r="AO679" t="inlineStr">
        <x:is>
          <x:t xml:space="preserve">Full first-pass across all 21 discourse topics + fragment tradition. Source-safe paraphrase until Greek is passage-verified.</x:t>
        </x:is>
      </x:c>
    </x:row>
    <x:row r="680">
      <x:c r="A680" t="inlineStr">
        <x:is>
          <x:t xml:space="preserve">research.musonius.day10.d14_01</x:t>
        </x:is>
      </x:c>
      <x:c r="B680" t="inlineStr">
        <x:is>
          <x:t xml:space="preserve">Collected</x:t>
        </x:is>
      </x:c>
      <x:c r="C680" t="inlineStr">
        <x:is>
          <x:t xml:space="preserve">Công việc &amp; mục đích</x:t>
        </x:is>
      </x:c>
      <x:c r="D680" t="inlineStr">
        <x:is>
          <x:t xml:space="preserve">Day 10 / Musonius Rufus — Discourses + Fragments</x:t>
        </x:is>
      </x:c>
      <x:c r="F680" t="inlineStr">
        <x:is>
          <x:t xml:space="preserve">Cam kết và phát triển bản thân</x:t>
        </x:is>
      </x:c>
      <x:c r="G680" t="inlineStr">
        <x:is>
          <x:t xml:space="preserve">Relationships / Learning</x:t>
        </x:is>
      </x:c>
      <x:c r="K680" t="inlineStr">
        <x:is>
          <x:t xml:space="preserve">Reframe</x:t>
        </x:is>
      </x:c>
      <x:c r="M680" t="inlineStr">
        <x:is>
          <x:t xml:space="preserve">Source-anchored paraphrase candidate</x:t>
        </x:is>
      </x:c>
      <x:c r="N680" t="inlineStr">
        <x:is>
          <x:t xml:space="preserve">[Không chép Greek khi chưa xác minh trực tiếp Hense/Lutz passage]</x:t>
        </x:is>
      </x:c>
      <x:c r="O680" t="inlineStr">
        <x:is>
          <x:t xml:space="preserve">Ancient Greek tradition</x:t>
        </x:is>
      </x:c>
      <x:c r="P680" t="inlineStr">
        <x:is>
          <x:t xml:space="preserve">Một cam kết trong đời sống không nhất thiết đối lập với việc học và suy ngẫm; vấn đề là cách nó được sống.</x:t>
        </x:is>
      </x:c>
      <x:c r="Q680" t="inlineStr">
        <x:is>
          <x:t xml:space="preserve">Musonius Rufus (teachings preserved by students/compilers)</x:t>
        </x:is>
      </x:c>
      <x:c r="R680" t="inlineStr">
        <x:is>
          <x:t xml:space="preserve">Roman Stoic / Greek-language teaching</x:t>
        </x:is>
      </x:c>
      <x:c r="S680" t="inlineStr">
        <x:is>
          <x:t xml:space="preserve">Discourses</x:t>
        </x:is>
      </x:c>
      <x:c r="T680" t="inlineStr">
        <x:is>
          <x:t xml:space="preserve">14</x:t>
        </x:is>
      </x:c>
      <x:c r="U680" t="inlineStr">
        <x:is>
          <x:t xml:space="preserve">https://iep.utm.edu/musonius/</x:t>
        </x:is>
      </x:c>
      <x:c r="V680" t="inlineStr">
        <x:is>
          <x:t xml:space="preserve">Surviving discourse/fragment tradition; IEP + standard Hense/Lutz bibliography</x:t>
        </x:is>
      </x:c>
      <x:c r="W680" t="inlineStr">
        <x:is>
          <x:t xml:space="preserve">Research paraphrase — NOT verbatim quote</x:t>
        </x:is>
      </x:c>
      <x:c r="X680" t="inlineStr">
        <x:is>
          <x:t xml:space="preserve">B - discourse/theme source verified; original wording pending</x:t>
        </x:is>
      </x:c>
      <x:c r="Y680" t="inlineStr">
        <x:is>
          <x:t xml:space="preserve">Musonius' own writings do not survive. Teachings survive as 21 discourses and 32 apophthegms preserved by others. Do not present this Vietnamese wording as a direct quote.</x:t>
        </x:is>
      </x:c>
      <x:c r="Z680" t="inlineStr">
        <x:is>
          <x:t xml:space="preserve">Ancient source tradition public domain; modern translations may be copyrighted</x:t>
        </x:is>
      </x:c>
      <x:c r="AA680" t="inlineStr">
        <x:is>
          <x:t xml:space="preserve">Before Release, verify Greek against Hense 1905 or another public-domain Greek edition and create a fresh Selflo translation. Do not copy Lutz 2020/Yale translation.</x:t>
        </x:is>
      </x:c>
      <x:c r="AB680" t="inlineStr">
        <x:is>
          <x:t xml:space="preserve">Medium</x:t>
        </x:is>
      </x:c>
      <x:c r="AC680" t="inlineStr">
        <x:is>
          <x:t xml:space="preserve">Day 10 collection; selection later.</x:t>
        </x:is>
      </x:c>
      <x:c r="AD680" t="inlineStr">
        <x:is>
          <x:t xml:space="preserve">Medium</x:t>
        </x:is>
      </x:c>
      <x:c r="AE680" t="inlineStr">
        <x:is>
          <x:t xml:space="preserve">Needs semantic dedupe review</x:t>
        </x:is>
      </x:c>
      <x:c r="AH680" t="inlineStr">
        <x:is>
          <x:t xml:space="preserve">No</x:t>
        </x:is>
      </x:c>
      <x:c r="AI680" t="inlineStr">
        <x:is>
          <x:t xml:space="preserve">Not reviewed</x:t>
        </x:is>
      </x:c>
      <x:c r="AJ680" t="inlineStr">
        <x:is>
          <x:t xml:space="preserve">Research only</x:t>
        </x:is>
      </x:c>
      <x:c r="AK680" t="inlineStr">
        <x:is>
          <x:t xml:space="preserve">Research Pool</x:t>
        </x:is>
      </x:c>
      <x:c r="AL680" t="n">
        <x:v>10</x:v>
      </x:c>
      <x:c r="AM680" t="inlineStr">
        <x:is>
          <x:t xml:space="preserve">ChatGPT research</x:t>
        </x:is>
      </x:c>
      <x:c r="AN680" t="inlineStr">
        <x:is>
          <x:t xml:space="preserve">2026-09-18</x:t>
        </x:is>
      </x:c>
      <x:c r="AO680" t="inlineStr">
        <x:is>
          <x:t xml:space="preserve">Full first-pass across all 21 discourse topics + fragment tradition. Source-safe paraphrase until Greek is passage-verified.</x:t>
        </x:is>
      </x:c>
    </x:row>
    <x:row r="681">
      <x:c r="A681" t="inlineStr">
        <x:is>
          <x:t xml:space="preserve">research.musonius.day10.d15_01</x:t>
        </x:is>
      </x:c>
      <x:c r="B681" t="inlineStr">
        <x:is>
          <x:t xml:space="preserve">Collected</x:t>
        </x:is>
      </x:c>
      <x:c r="C681" t="inlineStr">
        <x:is>
          <x:t xml:space="preserve">Quan hệ</x:t>
        </x:is>
      </x:c>
      <x:c r="D681" t="inlineStr">
        <x:is>
          <x:t xml:space="preserve">Day 10 / Musonius Rufus — Discourses + Fragments</x:t>
        </x:is>
      </x:c>
      <x:c r="F681" t="inlineStr">
        <x:is>
          <x:t xml:space="preserve">Quyết định gia đình</x:t>
        </x:is>
      </x:c>
      <x:c r="G681" t="inlineStr">
        <x:is>
          <x:t xml:space="preserve">Family / Historical context</x:t>
        </x:is>
      </x:c>
      <x:c r="K681" t="inlineStr">
        <x:is>
          <x:t xml:space="preserve">Recognize</x:t>
        </x:is>
      </x:c>
      <x:c r="M681" t="inlineStr">
        <x:is>
          <x:t xml:space="preserve">Source-anchored paraphrase candidate</x:t>
        </x:is>
      </x:c>
      <x:c r="N681" t="inlineStr">
        <x:is>
          <x:t xml:space="preserve">[Không chép Greek khi chưa xác minh trực tiếp Hense/Lutz passage]</x:t>
        </x:is>
      </x:c>
      <x:c r="O681" t="inlineStr">
        <x:is>
          <x:t xml:space="preserve">Ancient Greek tradition</x:t>
        </x:is>
      </x:c>
      <x:c r="P681" t="inlineStr">
        <x:is>
          <x:t xml:space="preserve">Quan niệm cổ về việc sinh và nuôi con cho thấy triết học cũng từng đi vào những quyết định gia đình rất cụ thể.</x:t>
        </x:is>
      </x:c>
      <x:c r="Q681" t="inlineStr">
        <x:is>
          <x:t xml:space="preserve">Musonius Rufus (teachings preserved by students/compilers)</x:t>
        </x:is>
      </x:c>
      <x:c r="R681" t="inlineStr">
        <x:is>
          <x:t xml:space="preserve">Roman Stoic / Greek-language teaching</x:t>
        </x:is>
      </x:c>
      <x:c r="S681" t="inlineStr">
        <x:is>
          <x:t xml:space="preserve">Discourses</x:t>
        </x:is>
      </x:c>
      <x:c r="T681" t="inlineStr">
        <x:is>
          <x:t xml:space="preserve">15</x:t>
        </x:is>
      </x:c>
      <x:c r="U681" t="inlineStr">
        <x:is>
          <x:t xml:space="preserve">https://iep.utm.edu/musonius/</x:t>
        </x:is>
      </x:c>
      <x:c r="V681" t="inlineStr">
        <x:is>
          <x:t xml:space="preserve">Surviving discourse/fragment tradition; IEP + standard Hense/Lutz bibliography</x:t>
        </x:is>
      </x:c>
      <x:c r="W681" t="inlineStr">
        <x:is>
          <x:t xml:space="preserve">Research paraphrase — NOT verbatim quote</x:t>
        </x:is>
      </x:c>
      <x:c r="X681" t="inlineStr">
        <x:is>
          <x:t xml:space="preserve">B - discourse/theme source verified; original wording pending</x:t>
        </x:is>
      </x:c>
      <x:c r="Y681" t="inlineStr">
        <x:is>
          <x:t xml:space="preserve">Musonius' own writings do not survive. Teachings survive as 21 discourses and 32 apophthegms preserved by others. Do not present this Vietnamese wording as a direct quote.</x:t>
        </x:is>
      </x:c>
      <x:c r="Z681" t="inlineStr">
        <x:is>
          <x:t xml:space="preserve">Ancient source tradition public domain; modern translations may be copyrighted</x:t>
        </x:is>
      </x:c>
      <x:c r="AA681" t="inlineStr">
        <x:is>
          <x:t xml:space="preserve">Before Release, verify Greek against Hense 1905 or another public-domain Greek edition and create a fresh Selflo translation. Do not copy Lutz 2020/Yale translation.</x:t>
        </x:is>
      </x:c>
      <x:c r="AB681" t="inlineStr">
        <x:is>
          <x:t xml:space="preserve">Low</x:t>
        </x:is>
      </x:c>
      <x:c r="AC681" t="inlineStr">
        <x:is>
          <x:t xml:space="preserve">Day 10 collection; selection later.</x:t>
        </x:is>
      </x:c>
      <x:c r="AD681" t="inlineStr">
        <x:is>
          <x:t xml:space="preserve">Medium</x:t>
        </x:is>
      </x:c>
      <x:c r="AE681" t="inlineStr">
        <x:is>
          <x:t xml:space="preserve">Needs semantic dedupe review</x:t>
        </x:is>
      </x:c>
      <x:c r="AH681" t="inlineStr">
        <x:is>
          <x:t xml:space="preserve">No</x:t>
        </x:is>
      </x:c>
      <x:c r="AI681" t="inlineStr">
        <x:is>
          <x:t xml:space="preserve">Not reviewed</x:t>
        </x:is>
      </x:c>
      <x:c r="AJ681" t="inlineStr">
        <x:is>
          <x:t xml:space="preserve">Research only</x:t>
        </x:is>
      </x:c>
      <x:c r="AK681" t="inlineStr">
        <x:is>
          <x:t xml:space="preserve">Research Pool</x:t>
        </x:is>
      </x:c>
      <x:c r="AL681" t="n">
        <x:v>10</x:v>
      </x:c>
      <x:c r="AM681" t="inlineStr">
        <x:is>
          <x:t xml:space="preserve">ChatGPT research</x:t>
        </x:is>
      </x:c>
      <x:c r="AN681" t="inlineStr">
        <x:is>
          <x:t xml:space="preserve">2026-09-18</x:t>
        </x:is>
      </x:c>
      <x:c r="AO681" t="inlineStr">
        <x:is>
          <x:t xml:space="preserve">Full first-pass across all 21 discourse topics + fragment tradition. Source-safe paraphrase until Greek is passage-verified.</x:t>
        </x:is>
      </x:c>
    </x:row>
    <x:row r="682">
      <x:c r="A682" t="inlineStr">
        <x:is>
          <x:t xml:space="preserve">research.musonius.day10.d16_01</x:t>
        </x:is>
      </x:c>
      <x:c r="B682" t="inlineStr">
        <x:is>
          <x:t xml:space="preserve">Collected</x:t>
        </x:is>
      </x:c>
      <x:c r="C682" t="inlineStr">
        <x:is>
          <x:t xml:space="preserve">Quan hệ</x:t>
        </x:is>
      </x:c>
      <x:c r="D682" t="inlineStr">
        <x:is>
          <x:t xml:space="preserve">Day 10 / Musonius Rufus — Discourses + Fragments</x:t>
        </x:is>
      </x:c>
      <x:c r="F682" t="inlineStr">
        <x:is>
          <x:t xml:space="preserve">Gia đình và quyền tự quyết</x:t>
        </x:is>
      </x:c>
      <x:c r="G682" t="inlineStr">
        <x:is>
          <x:t xml:space="preserve">Family / Agency</x:t>
        </x:is>
      </x:c>
      <x:c r="K682" t="inlineStr">
        <x:is>
          <x:t xml:space="preserve">Distinguish</x:t>
        </x:is>
      </x:c>
      <x:c r="M682" t="inlineStr">
        <x:is>
          <x:t xml:space="preserve">Source-anchored paraphrase candidate</x:t>
        </x:is>
      </x:c>
      <x:c r="N682" t="inlineStr">
        <x:is>
          <x:t xml:space="preserve">[Không chép Greek khi chưa xác minh trực tiếp Hense/Lutz passage]</x:t>
        </x:is>
      </x:c>
      <x:c r="O682" t="inlineStr">
        <x:is>
          <x:t xml:space="preserve">Ancient Greek tradition</x:t>
        </x:is>
      </x:c>
      <x:c r="P682" t="inlineStr">
        <x:is>
          <x:t xml:space="preserve">Vâng lời cha mẹ không phải một nguyên tắc không điều kiện; điều đúng vẫn cần được tự xem xét.</x:t>
        </x:is>
      </x:c>
      <x:c r="Q682" t="inlineStr">
        <x:is>
          <x:t xml:space="preserve">Musonius Rufus (teachings preserved by students/compilers)</x:t>
        </x:is>
      </x:c>
      <x:c r="R682" t="inlineStr">
        <x:is>
          <x:t xml:space="preserve">Roman Stoic / Greek-language teaching</x:t>
        </x:is>
      </x:c>
      <x:c r="S682" t="inlineStr">
        <x:is>
          <x:t xml:space="preserve">Discourses</x:t>
        </x:is>
      </x:c>
      <x:c r="T682" t="inlineStr">
        <x:is>
          <x:t xml:space="preserve">16</x:t>
        </x:is>
      </x:c>
      <x:c r="U682" t="inlineStr">
        <x:is>
          <x:t xml:space="preserve">https://iep.utm.edu/musonius/</x:t>
        </x:is>
      </x:c>
      <x:c r="V682" t="inlineStr">
        <x:is>
          <x:t xml:space="preserve">Surviving discourse/fragment tradition; IEP + standard Hense/Lutz bibliography</x:t>
        </x:is>
      </x:c>
      <x:c r="W682" t="inlineStr">
        <x:is>
          <x:t xml:space="preserve">Research paraphrase — NOT verbatim quote</x:t>
        </x:is>
      </x:c>
      <x:c r="X682" t="inlineStr">
        <x:is>
          <x:t xml:space="preserve">B - discourse/theme source verified; original wording pending</x:t>
        </x:is>
      </x:c>
      <x:c r="Y682" t="inlineStr">
        <x:is>
          <x:t xml:space="preserve">Musonius' own writings do not survive. Teachings survive as 21 discourses and 32 apophthegms preserved by others. Do not present this Vietnamese wording as a direct quote.</x:t>
        </x:is>
      </x:c>
      <x:c r="Z682" t="inlineStr">
        <x:is>
          <x:t xml:space="preserve">Ancient source tradition public domain; modern translations may be copyrighted</x:t>
        </x:is>
      </x:c>
      <x:c r="AA682" t="inlineStr">
        <x:is>
          <x:t xml:space="preserve">Before Release, verify Greek against Hense 1905 or another public-domain Greek edition and create a fresh Selflo translation. Do not copy Lutz 2020/Yale translation.</x:t>
        </x:is>
      </x:c>
      <x:c r="AB682" t="inlineStr">
        <x:is>
          <x:t xml:space="preserve">High</x:t>
        </x:is>
      </x:c>
      <x:c r="AC682" t="inlineStr">
        <x:is>
          <x:t xml:space="preserve">Day 10 collection; selection later.</x:t>
        </x:is>
      </x:c>
      <x:c r="AD682" t="inlineStr">
        <x:is>
          <x:t xml:space="preserve">Medium</x:t>
        </x:is>
      </x:c>
      <x:c r="AE682" t="inlineStr">
        <x:is>
          <x:t xml:space="preserve">Needs semantic dedupe review</x:t>
        </x:is>
      </x:c>
      <x:c r="AH682" t="inlineStr">
        <x:is>
          <x:t xml:space="preserve">No</x:t>
        </x:is>
      </x:c>
      <x:c r="AI682" t="inlineStr">
        <x:is>
          <x:t xml:space="preserve">Not reviewed</x:t>
        </x:is>
      </x:c>
      <x:c r="AJ682" t="inlineStr">
        <x:is>
          <x:t xml:space="preserve">Research only</x:t>
        </x:is>
      </x:c>
      <x:c r="AK682" t="inlineStr">
        <x:is>
          <x:t xml:space="preserve">Research Pool</x:t>
        </x:is>
      </x:c>
      <x:c r="AL682" t="n">
        <x:v>10</x:v>
      </x:c>
      <x:c r="AM682" t="inlineStr">
        <x:is>
          <x:t xml:space="preserve">ChatGPT research</x:t>
        </x:is>
      </x:c>
      <x:c r="AN682" t="inlineStr">
        <x:is>
          <x:t xml:space="preserve">2026-09-18</x:t>
        </x:is>
      </x:c>
      <x:c r="AO682" t="inlineStr">
        <x:is>
          <x:t xml:space="preserve">Full first-pass across all 21 discourse topics + fragment tradition. Source-safe paraphrase until Greek is passage-verified.</x:t>
        </x:is>
      </x:c>
    </x:row>
    <x:row r="683">
      <x:c r="A683" t="inlineStr">
        <x:is>
          <x:t xml:space="preserve">research.musonius.day10.d16_02</x:t>
        </x:is>
      </x:c>
      <x:c r="B683" t="inlineStr">
        <x:is>
          <x:t xml:space="preserve">Collected</x:t>
        </x:is>
      </x:c>
      <x:c r="C683" t="inlineStr">
        <x:is>
          <x:t xml:space="preserve">Quan hệ</x:t>
        </x:is>
      </x:c>
      <x:c r="D683" t="inlineStr">
        <x:is>
          <x:t xml:space="preserve">Day 10 / Musonius Rufus — Discourses + Fragments</x:t>
        </x:is>
      </x:c>
      <x:c r="F683" t="inlineStr">
        <x:is>
          <x:t xml:space="preserve">Ranh giới với người có quyền</x:t>
        </x:is>
      </x:c>
      <x:c r="G683" t="inlineStr">
        <x:is>
          <x:t xml:space="preserve">Boundaries / Agency</x:t>
        </x:is>
      </x:c>
      <x:c r="K683" t="inlineStr">
        <x:is>
          <x:t xml:space="preserve">Distinguish</x:t>
        </x:is>
      </x:c>
      <x:c r="M683" t="inlineStr">
        <x:is>
          <x:t xml:space="preserve">Source-anchored paraphrase candidate</x:t>
        </x:is>
      </x:c>
      <x:c r="N683" t="inlineStr">
        <x:is>
          <x:t xml:space="preserve">[Không chép Greek khi chưa xác minh trực tiếp Hense/Lutz passage]</x:t>
        </x:is>
      </x:c>
      <x:c r="O683" t="inlineStr">
        <x:is>
          <x:t xml:space="preserve">Ancient Greek tradition</x:t>
        </x:is>
      </x:c>
      <x:c r="P683" t="inlineStr">
        <x:is>
          <x:t xml:space="preserve">Tôn trọng một người không buộc mình phải xem mọi yêu cầu của họ là đúng.</x:t>
        </x:is>
      </x:c>
      <x:c r="Q683" t="inlineStr">
        <x:is>
          <x:t xml:space="preserve">Musonius Rufus (teachings preserved by students/compilers)</x:t>
        </x:is>
      </x:c>
      <x:c r="R683" t="inlineStr">
        <x:is>
          <x:t xml:space="preserve">Roman Stoic / Greek-language teaching</x:t>
        </x:is>
      </x:c>
      <x:c r="S683" t="inlineStr">
        <x:is>
          <x:t xml:space="preserve">Discourses</x:t>
        </x:is>
      </x:c>
      <x:c r="T683" t="inlineStr">
        <x:is>
          <x:t xml:space="preserve">16</x:t>
        </x:is>
      </x:c>
      <x:c r="U683" t="inlineStr">
        <x:is>
          <x:t xml:space="preserve">https://iep.utm.edu/musonius/</x:t>
        </x:is>
      </x:c>
      <x:c r="V683" t="inlineStr">
        <x:is>
          <x:t xml:space="preserve">Surviving discourse/fragment tradition; IEP + standard Hense/Lutz bibliography</x:t>
        </x:is>
      </x:c>
      <x:c r="W683" t="inlineStr">
        <x:is>
          <x:t xml:space="preserve">Research paraphrase — NOT verbatim quote</x:t>
        </x:is>
      </x:c>
      <x:c r="X683" t="inlineStr">
        <x:is>
          <x:t xml:space="preserve">B - discourse/theme source verified; original wording pending</x:t>
        </x:is>
      </x:c>
      <x:c r="Y683" t="inlineStr">
        <x:is>
          <x:t xml:space="preserve">Musonius' own writings do not survive. Teachings survive as 21 discourses and 32 apophthegms preserved by others. Do not present this Vietnamese wording as a direct quote.</x:t>
        </x:is>
      </x:c>
      <x:c r="Z683" t="inlineStr">
        <x:is>
          <x:t xml:space="preserve">Ancient source tradition public domain; modern translations may be copyrighted</x:t>
        </x:is>
      </x:c>
      <x:c r="AA683" t="inlineStr">
        <x:is>
          <x:t xml:space="preserve">Before Release, verify Greek against Hense 1905 or another public-domain Greek edition and create a fresh Selflo translation. Do not copy Lutz 2020/Yale translation.</x:t>
        </x:is>
      </x:c>
      <x:c r="AB683" t="inlineStr">
        <x:is>
          <x:t xml:space="preserve">High</x:t>
        </x:is>
      </x:c>
      <x:c r="AC683" t="inlineStr">
        <x:is>
          <x:t xml:space="preserve">Day 10 collection; selection later.</x:t>
        </x:is>
      </x:c>
      <x:c r="AD683" t="inlineStr">
        <x:is>
          <x:t xml:space="preserve">Medium</x:t>
        </x:is>
      </x:c>
      <x:c r="AE683" t="inlineStr">
        <x:is>
          <x:t xml:space="preserve">Needs semantic dedupe review</x:t>
        </x:is>
      </x:c>
      <x:c r="AH683" t="inlineStr">
        <x:is>
          <x:t xml:space="preserve">No</x:t>
        </x:is>
      </x:c>
      <x:c r="AI683" t="inlineStr">
        <x:is>
          <x:t xml:space="preserve">Not reviewed</x:t>
        </x:is>
      </x:c>
      <x:c r="AJ683" t="inlineStr">
        <x:is>
          <x:t xml:space="preserve">Research only</x:t>
        </x:is>
      </x:c>
      <x:c r="AK683" t="inlineStr">
        <x:is>
          <x:t xml:space="preserve">Research Pool</x:t>
        </x:is>
      </x:c>
      <x:c r="AL683" t="n">
        <x:v>10</x:v>
      </x:c>
      <x:c r="AM683" t="inlineStr">
        <x:is>
          <x:t xml:space="preserve">ChatGPT research</x:t>
        </x:is>
      </x:c>
      <x:c r="AN683" t="inlineStr">
        <x:is>
          <x:t xml:space="preserve">2026-09-18</x:t>
        </x:is>
      </x:c>
      <x:c r="AO683" t="inlineStr">
        <x:is>
          <x:t xml:space="preserve">Full first-pass across all 21 discourse topics + fragment tradition. Source-safe paraphrase until Greek is passage-verified.</x:t>
        </x:is>
      </x:c>
    </x:row>
    <x:row r="684">
      <x:c r="A684" t="inlineStr">
        <x:is>
          <x:t xml:space="preserve">research.musonius.day10.d17_01</x:t>
        </x:is>
      </x:c>
      <x:c r="B684" t="inlineStr">
        <x:is>
          <x:t xml:space="preserve">Collected</x:t>
        </x:is>
      </x:c>
      <x:c r="C684" t="inlineStr">
        <x:is>
          <x:t xml:space="preserve">Nội tâm &amp; hiểu mình</x:t>
        </x:is>
      </x:c>
      <x:c r="D684" t="inlineStr">
        <x:is>
          <x:t xml:space="preserve">Day 10 / Musonius Rufus — Discourses + Fragments</x:t>
        </x:is>
      </x:c>
      <x:c r="F684" t="inlineStr">
        <x:is>
          <x:t xml:space="preserve">Tuổi già và điều còn lại</x:t>
        </x:is>
      </x:c>
      <x:c r="G684" t="inlineStr">
        <x:is>
          <x:t xml:space="preserve">Aging / Values</x:t>
        </x:is>
      </x:c>
      <x:c r="K684" t="inlineStr">
        <x:is>
          <x:t xml:space="preserve">Reframe</x:t>
        </x:is>
      </x:c>
      <x:c r="M684" t="inlineStr">
        <x:is>
          <x:t xml:space="preserve">Source-anchored paraphrase candidate</x:t>
        </x:is>
      </x:c>
      <x:c r="N684" t="inlineStr">
        <x:is>
          <x:t xml:space="preserve">[Không chép Greek khi chưa xác minh trực tiếp Hense/Lutz passage]</x:t>
        </x:is>
      </x:c>
      <x:c r="O684" t="inlineStr">
        <x:is>
          <x:t xml:space="preserve">Ancient Greek tradition</x:t>
        </x:is>
      </x:c>
      <x:c r="P684" t="inlineStr">
        <x:is>
          <x:t xml:space="preserve">Tài sản không tự bảo vệ con người khỏi tuổi già; phẩm chất và cách sống mới là phần có thể đi cùng mình.</x:t>
        </x:is>
      </x:c>
      <x:c r="Q684" t="inlineStr">
        <x:is>
          <x:t xml:space="preserve">Musonius Rufus (teachings preserved by students/compilers)</x:t>
        </x:is>
      </x:c>
      <x:c r="R684" t="inlineStr">
        <x:is>
          <x:t xml:space="preserve">Roman Stoic / Greek-language teaching</x:t>
        </x:is>
      </x:c>
      <x:c r="S684" t="inlineStr">
        <x:is>
          <x:t xml:space="preserve">Discourses</x:t>
        </x:is>
      </x:c>
      <x:c r="T684" t="inlineStr">
        <x:is>
          <x:t xml:space="preserve">17</x:t>
        </x:is>
      </x:c>
      <x:c r="U684" t="inlineStr">
        <x:is>
          <x:t xml:space="preserve">https://iep.utm.edu/musonius/</x:t>
        </x:is>
      </x:c>
      <x:c r="V684" t="inlineStr">
        <x:is>
          <x:t xml:space="preserve">Surviving discourse/fragment tradition; IEP + standard Hense/Lutz bibliography</x:t>
        </x:is>
      </x:c>
      <x:c r="W684" t="inlineStr">
        <x:is>
          <x:t xml:space="preserve">Research paraphrase — NOT verbatim quote</x:t>
        </x:is>
      </x:c>
      <x:c r="X684" t="inlineStr">
        <x:is>
          <x:t xml:space="preserve">B - discourse/theme source verified; original wording pending</x:t>
        </x:is>
      </x:c>
      <x:c r="Y684" t="inlineStr">
        <x:is>
          <x:t xml:space="preserve">Musonius' own writings do not survive. Teachings survive as 21 discourses and 32 apophthegms preserved by others. Do not present this Vietnamese wording as a direct quote.</x:t>
        </x:is>
      </x:c>
      <x:c r="Z684" t="inlineStr">
        <x:is>
          <x:t xml:space="preserve">Ancient source tradition public domain; modern translations may be copyrighted</x:t>
        </x:is>
      </x:c>
      <x:c r="AA684" t="inlineStr">
        <x:is>
          <x:t xml:space="preserve">Before Release, verify Greek against Hense 1905 or another public-domain Greek edition and create a fresh Selflo translation. Do not copy Lutz 2020/Yale translation.</x:t>
        </x:is>
      </x:c>
      <x:c r="AB684" t="inlineStr">
        <x:is>
          <x:t xml:space="preserve">High</x:t>
        </x:is>
      </x:c>
      <x:c r="AC684" t="inlineStr">
        <x:is>
          <x:t xml:space="preserve">Day 10 collection; selection later.</x:t>
        </x:is>
      </x:c>
      <x:c r="AD684" t="inlineStr">
        <x:is>
          <x:t xml:space="preserve">Medium</x:t>
        </x:is>
      </x:c>
      <x:c r="AE684" t="inlineStr">
        <x:is>
          <x:t xml:space="preserve">Needs semantic dedupe review</x:t>
        </x:is>
      </x:c>
      <x:c r="AH684" t="inlineStr">
        <x:is>
          <x:t xml:space="preserve">No</x:t>
        </x:is>
      </x:c>
      <x:c r="AI684" t="inlineStr">
        <x:is>
          <x:t xml:space="preserve">Not reviewed</x:t>
        </x:is>
      </x:c>
      <x:c r="AJ684" t="inlineStr">
        <x:is>
          <x:t xml:space="preserve">Research only</x:t>
        </x:is>
      </x:c>
      <x:c r="AK684" t="inlineStr">
        <x:is>
          <x:t xml:space="preserve">Research Pool</x:t>
        </x:is>
      </x:c>
      <x:c r="AL684" t="n">
        <x:v>10</x:v>
      </x:c>
      <x:c r="AM684" t="inlineStr">
        <x:is>
          <x:t xml:space="preserve">ChatGPT research</x:t>
        </x:is>
      </x:c>
      <x:c r="AN684" t="inlineStr">
        <x:is>
          <x:t xml:space="preserve">2026-09-18</x:t>
        </x:is>
      </x:c>
      <x:c r="AO684" t="inlineStr">
        <x:is>
          <x:t xml:space="preserve">Full first-pass across all 21 discourse topics + fragment tradition. Source-safe paraphrase until Greek is passage-verified.</x:t>
        </x:is>
      </x:c>
    </x:row>
    <x:row r="685">
      <x:c r="A685" t="inlineStr">
        <x:is>
          <x:t xml:space="preserve">research.musonius.day10.d17_02</x:t>
        </x:is>
      </x:c>
      <x:c r="B685" t="inlineStr">
        <x:is>
          <x:t xml:space="preserve">Collected</x:t>
        </x:is>
      </x:c>
      <x:c r="C685" t="inlineStr">
        <x:is>
          <x:t xml:space="preserve">Nội tâm &amp; hiểu mình</x:t>
        </x:is>
      </x:c>
      <x:c r="D685" t="inlineStr">
        <x:is>
          <x:t xml:space="preserve">Day 10 / Musonius Rufus — Discourses + Fragments</x:t>
        </x:is>
      </x:c>
      <x:c r="F685" t="inlineStr">
        <x:is>
          <x:t xml:space="preserve">Tương lai và chuẩn bị</x:t>
        </x:is>
      </x:c>
      <x:c r="G685" t="inlineStr">
        <x:is>
          <x:t xml:space="preserve">Aging / Preparation</x:t>
        </x:is>
      </x:c>
      <x:c r="K685" t="inlineStr">
        <x:is>
          <x:t xml:space="preserve">Reframe</x:t>
        </x:is>
      </x:c>
      <x:c r="M685" t="inlineStr">
        <x:is>
          <x:t xml:space="preserve">Source-anchored paraphrase candidate</x:t>
        </x:is>
      </x:c>
      <x:c r="N685" t="inlineStr">
        <x:is>
          <x:t xml:space="preserve">[Không chép Greek khi chưa xác minh trực tiếp Hense/Lutz passage]</x:t>
        </x:is>
      </x:c>
      <x:c r="O685" t="inlineStr">
        <x:is>
          <x:t xml:space="preserve">Ancient Greek tradition</x:t>
        </x:is>
      </x:c>
      <x:c r="P685" t="inlineStr">
        <x:is>
          <x:t xml:space="preserve">Chuẩn bị cho tuổi già không chỉ là tích lũy bên ngoài mà còn là xây cách sống mình có thể mang theo.</x:t>
        </x:is>
      </x:c>
      <x:c r="Q685" t="inlineStr">
        <x:is>
          <x:t xml:space="preserve">Musonius Rufus (teachings preserved by students/compilers)</x:t>
        </x:is>
      </x:c>
      <x:c r="R685" t="inlineStr">
        <x:is>
          <x:t xml:space="preserve">Roman Stoic / Greek-language teaching</x:t>
        </x:is>
      </x:c>
      <x:c r="S685" t="inlineStr">
        <x:is>
          <x:t xml:space="preserve">Discourses</x:t>
        </x:is>
      </x:c>
      <x:c r="T685" t="inlineStr">
        <x:is>
          <x:t xml:space="preserve">17</x:t>
        </x:is>
      </x:c>
      <x:c r="U685" t="inlineStr">
        <x:is>
          <x:t xml:space="preserve">https://iep.utm.edu/musonius/</x:t>
        </x:is>
      </x:c>
      <x:c r="V685" t="inlineStr">
        <x:is>
          <x:t xml:space="preserve">Surviving discourse/fragment tradition; IEP + standard Hense/Lutz bibliography</x:t>
        </x:is>
      </x:c>
      <x:c r="W685" t="inlineStr">
        <x:is>
          <x:t xml:space="preserve">Research paraphrase — NOT verbatim quote</x:t>
        </x:is>
      </x:c>
      <x:c r="X685" t="inlineStr">
        <x:is>
          <x:t xml:space="preserve">B - discourse/theme source verified; original wording pending</x:t>
        </x:is>
      </x:c>
      <x:c r="Y685" t="inlineStr">
        <x:is>
          <x:t xml:space="preserve">Musonius' own writings do not survive. Teachings survive as 21 discourses and 32 apophthegms preserved by others. Do not present this Vietnamese wording as a direct quote.</x:t>
        </x:is>
      </x:c>
      <x:c r="Z685" t="inlineStr">
        <x:is>
          <x:t xml:space="preserve">Ancient source tradition public domain; modern translations may be copyrighted</x:t>
        </x:is>
      </x:c>
      <x:c r="AA685" t="inlineStr">
        <x:is>
          <x:t xml:space="preserve">Before Release, verify Greek against Hense 1905 or another public-domain Greek edition and create a fresh Selflo translation. Do not copy Lutz 2020/Yale translation.</x:t>
        </x:is>
      </x:c>
      <x:c r="AB685" t="inlineStr">
        <x:is>
          <x:t xml:space="preserve">High</x:t>
        </x:is>
      </x:c>
      <x:c r="AC685" t="inlineStr">
        <x:is>
          <x:t xml:space="preserve">Day 10 collection; selection later.</x:t>
        </x:is>
      </x:c>
      <x:c r="AD685" t="inlineStr">
        <x:is>
          <x:t xml:space="preserve">Medium</x:t>
        </x:is>
      </x:c>
      <x:c r="AE685" t="inlineStr">
        <x:is>
          <x:t xml:space="preserve">Needs semantic dedupe review</x:t>
        </x:is>
      </x:c>
      <x:c r="AH685" t="inlineStr">
        <x:is>
          <x:t xml:space="preserve">No</x:t>
        </x:is>
      </x:c>
      <x:c r="AI685" t="inlineStr">
        <x:is>
          <x:t xml:space="preserve">Not reviewed</x:t>
        </x:is>
      </x:c>
      <x:c r="AJ685" t="inlineStr">
        <x:is>
          <x:t xml:space="preserve">Research only</x:t>
        </x:is>
      </x:c>
      <x:c r="AK685" t="inlineStr">
        <x:is>
          <x:t xml:space="preserve">Research Pool</x:t>
        </x:is>
      </x:c>
      <x:c r="AL685" t="n">
        <x:v>10</x:v>
      </x:c>
      <x:c r="AM685" t="inlineStr">
        <x:is>
          <x:t xml:space="preserve">ChatGPT research</x:t>
        </x:is>
      </x:c>
      <x:c r="AN685" t="inlineStr">
        <x:is>
          <x:t xml:space="preserve">2026-09-18</x:t>
        </x:is>
      </x:c>
      <x:c r="AO685" t="inlineStr">
        <x:is>
          <x:t xml:space="preserve">Full first-pass across all 21 discourse topics + fragment tradition. Source-safe paraphrase until Greek is passage-verified.</x:t>
        </x:is>
      </x:c>
    </x:row>
    <x:row r="686">
      <x:c r="A686" t="inlineStr">
        <x:is>
          <x:t xml:space="preserve">research.musonius.day10.d18_01</x:t>
        </x:is>
      </x:c>
      <x:c r="B686" t="inlineStr">
        <x:is>
          <x:t xml:space="preserve">Collected</x:t>
        </x:is>
      </x:c>
      <x:c r="C686" t="inlineStr">
        <x:is>
          <x:t xml:space="preserve">Nội tâm &amp; hiểu mình</x:t>
        </x:is>
      </x:c>
      <x:c r="D686" t="inlineStr">
        <x:is>
          <x:t xml:space="preserve">Day 10 / Musonius Rufus — Discourses + Fragments</x:t>
        </x:is>
      </x:c>
      <x:c r="F686" t="inlineStr">
        <x:is>
          <x:t xml:space="preserve">Nhu cầu và ham muốn</x:t>
        </x:is>
      </x:c>
      <x:c r="G686" t="inlineStr">
        <x:is>
          <x:t xml:space="preserve">Enoughness</x:t>
        </x:is>
      </x:c>
      <x:c r="K686" t="inlineStr">
        <x:is>
          <x:t xml:space="preserve">Distinguish</x:t>
        </x:is>
      </x:c>
      <x:c r="M686" t="inlineStr">
        <x:is>
          <x:t xml:space="preserve">Source-anchored paraphrase candidate</x:t>
        </x:is>
      </x:c>
      <x:c r="N686" t="inlineStr">
        <x:is>
          <x:t xml:space="preserve">[Không chép Greek khi chưa xác minh trực tiếp Hense/Lutz passage]</x:t>
        </x:is>
      </x:c>
      <x:c r="O686" t="inlineStr">
        <x:is>
          <x:t xml:space="preserve">Ancient Greek tradition</x:t>
        </x:is>
      </x:c>
      <x:c r="P686" t="inlineStr">
        <x:is>
          <x:t xml:space="preserve">Ăn uống có thể được nhìn như nhu cầu trước khi trở thành nơi tìm vô hạn kích thích.</x:t>
        </x:is>
      </x:c>
      <x:c r="Q686" t="inlineStr">
        <x:is>
          <x:t xml:space="preserve">Musonius Rufus (teachings preserved by students/compilers)</x:t>
        </x:is>
      </x:c>
      <x:c r="R686" t="inlineStr">
        <x:is>
          <x:t xml:space="preserve">Roman Stoic / Greek-language teaching</x:t>
        </x:is>
      </x:c>
      <x:c r="S686" t="inlineStr">
        <x:is>
          <x:t xml:space="preserve">Discourses</x:t>
        </x:is>
      </x:c>
      <x:c r="T686" t="inlineStr">
        <x:is>
          <x:t xml:space="preserve">18A</x:t>
        </x:is>
      </x:c>
      <x:c r="U686" t="inlineStr">
        <x:is>
          <x:t xml:space="preserve">https://iep.utm.edu/musonius/</x:t>
        </x:is>
      </x:c>
      <x:c r="V686" t="inlineStr">
        <x:is>
          <x:t xml:space="preserve">Surviving discourse/fragment tradition; IEP + standard Hense/Lutz bibliography</x:t>
        </x:is>
      </x:c>
      <x:c r="W686" t="inlineStr">
        <x:is>
          <x:t xml:space="preserve">Research paraphrase — NOT verbatim quote</x:t>
        </x:is>
      </x:c>
      <x:c r="X686" t="inlineStr">
        <x:is>
          <x:t xml:space="preserve">B - discourse/theme source verified; original wording pending</x:t>
        </x:is>
      </x:c>
      <x:c r="Y686" t="inlineStr">
        <x:is>
          <x:t xml:space="preserve">Musonius' own writings do not survive. Teachings survive as 21 discourses and 32 apophthegms preserved by others. Do not present this Vietnamese wording as a direct quote.</x:t>
        </x:is>
      </x:c>
      <x:c r="Z686" t="inlineStr">
        <x:is>
          <x:t xml:space="preserve">Ancient source tradition public domain; modern translations may be copyrighted</x:t>
        </x:is>
      </x:c>
      <x:c r="AA686" t="inlineStr">
        <x:is>
          <x:t xml:space="preserve">Before Release, verify Greek against Hense 1905 or another public-domain Greek edition and create a fresh Selflo translation. Do not copy Lutz 2020/Yale translation.</x:t>
        </x:is>
      </x:c>
      <x:c r="AB686" t="inlineStr">
        <x:is>
          <x:t xml:space="preserve">Medium</x:t>
        </x:is>
      </x:c>
      <x:c r="AC686" t="inlineStr">
        <x:is>
          <x:t xml:space="preserve">Day 10 collection; selection later.</x:t>
        </x:is>
      </x:c>
      <x:c r="AD686" t="inlineStr">
        <x:is>
          <x:t xml:space="preserve">Medium</x:t>
        </x:is>
      </x:c>
      <x:c r="AE686" t="inlineStr">
        <x:is>
          <x:t xml:space="preserve">Needs semantic dedupe review</x:t>
        </x:is>
      </x:c>
      <x:c r="AH686" t="inlineStr">
        <x:is>
          <x:t xml:space="preserve">No</x:t>
        </x:is>
      </x:c>
      <x:c r="AI686" t="inlineStr">
        <x:is>
          <x:t xml:space="preserve">Not reviewed</x:t>
        </x:is>
      </x:c>
      <x:c r="AJ686" t="inlineStr">
        <x:is>
          <x:t xml:space="preserve">Research only</x:t>
        </x:is>
      </x:c>
      <x:c r="AK686" t="inlineStr">
        <x:is>
          <x:t xml:space="preserve">Research Pool</x:t>
        </x:is>
      </x:c>
      <x:c r="AL686" t="n">
        <x:v>10</x:v>
      </x:c>
      <x:c r="AM686" t="inlineStr">
        <x:is>
          <x:t xml:space="preserve">ChatGPT research</x:t>
        </x:is>
      </x:c>
      <x:c r="AN686" t="inlineStr">
        <x:is>
          <x:t xml:space="preserve">2026-09-18</x:t>
        </x:is>
      </x:c>
      <x:c r="AO686" t="inlineStr">
        <x:is>
          <x:t xml:space="preserve">Full first-pass across all 21 discourse topics + fragment tradition. Source-safe paraphrase until Greek is passage-verified.</x:t>
        </x:is>
      </x:c>
    </x:row>
    <x:row r="687">
      <x:c r="A687" t="inlineStr">
        <x:is>
          <x:t xml:space="preserve">research.musonius.day10.d18_02</x:t>
        </x:is>
      </x:c>
      <x:c r="B687" t="inlineStr">
        <x:is>
          <x:t xml:space="preserve">Collected</x:t>
        </x:is>
      </x:c>
      <x:c r="C687" t="inlineStr">
        <x:is>
          <x:t xml:space="preserve">Nội tâm &amp; hiểu mình</x:t>
        </x:is>
      </x:c>
      <x:c r="D687" t="inlineStr">
        <x:is>
          <x:t xml:space="preserve">Day 10 / Musonius Rufus — Discourses + Fragments</x:t>
        </x:is>
      </x:c>
      <x:c r="F687" t="inlineStr">
        <x:is>
          <x:t xml:space="preserve">Đủ ≠ tối đa</x:t>
        </x:is>
      </x:c>
      <x:c r="G687" t="inlineStr">
        <x:is>
          <x:t xml:space="preserve">Enoughness</x:t>
        </x:is>
      </x:c>
      <x:c r="K687" t="inlineStr">
        <x:is>
          <x:t xml:space="preserve">Reframe</x:t>
        </x:is>
      </x:c>
      <x:c r="M687" t="inlineStr">
        <x:is>
          <x:t xml:space="preserve">Source-anchored paraphrase candidate</x:t>
        </x:is>
      </x:c>
      <x:c r="N687" t="inlineStr">
        <x:is>
          <x:t xml:space="preserve">[Không chép Greek khi chưa xác minh trực tiếp Hense/Lutz passage]</x:t>
        </x:is>
      </x:c>
      <x:c r="O687" t="inlineStr">
        <x:is>
          <x:t xml:space="preserve">Ancient Greek tradition</x:t>
        </x:is>
      </x:c>
      <x:c r="P687" t="inlineStr">
        <x:is>
          <x:t xml:space="preserve">Thứ đơn giản vẫn có thể đủ cho nhu cầu dù không thỏa mọi ham muốn.</x:t>
        </x:is>
      </x:c>
      <x:c r="Q687" t="inlineStr">
        <x:is>
          <x:t xml:space="preserve">Musonius Rufus (teachings preserved by students/compilers)</x:t>
        </x:is>
      </x:c>
      <x:c r="R687" t="inlineStr">
        <x:is>
          <x:t xml:space="preserve">Roman Stoic / Greek-language teaching</x:t>
        </x:is>
      </x:c>
      <x:c r="S687" t="inlineStr">
        <x:is>
          <x:t xml:space="preserve">Discourses</x:t>
        </x:is>
      </x:c>
      <x:c r="T687" t="inlineStr">
        <x:is>
          <x:t xml:space="preserve">18B</x:t>
        </x:is>
      </x:c>
      <x:c r="U687" t="inlineStr">
        <x:is>
          <x:t xml:space="preserve">https://iep.utm.edu/musonius/</x:t>
        </x:is>
      </x:c>
      <x:c r="V687" t="inlineStr">
        <x:is>
          <x:t xml:space="preserve">Surviving discourse/fragment tradition; IEP + standard Hense/Lutz bibliography</x:t>
        </x:is>
      </x:c>
      <x:c r="W687" t="inlineStr">
        <x:is>
          <x:t xml:space="preserve">Research paraphrase — NOT verbatim quote</x:t>
        </x:is>
      </x:c>
      <x:c r="X687" t="inlineStr">
        <x:is>
          <x:t xml:space="preserve">B - discourse/theme source verified; original wording pending</x:t>
        </x:is>
      </x:c>
      <x:c r="Y687" t="inlineStr">
        <x:is>
          <x:t xml:space="preserve">Musonius' own writings do not survive. Teachings survive as 21 discourses and 32 apophthegms preserved by others. Do not present this Vietnamese wording as a direct quote.</x:t>
        </x:is>
      </x:c>
      <x:c r="Z687" t="inlineStr">
        <x:is>
          <x:t xml:space="preserve">Ancient source tradition public domain; modern translations may be copyrighted</x:t>
        </x:is>
      </x:c>
      <x:c r="AA687" t="inlineStr">
        <x:is>
          <x:t xml:space="preserve">Before Release, verify Greek against Hense 1905 or another public-domain Greek edition and create a fresh Selflo translation. Do not copy Lutz 2020/Yale translation.</x:t>
        </x:is>
      </x:c>
      <x:c r="AB687" t="inlineStr">
        <x:is>
          <x:t xml:space="preserve">High</x:t>
        </x:is>
      </x:c>
      <x:c r="AC687" t="inlineStr">
        <x:is>
          <x:t xml:space="preserve">Day 10 collection; selection later.</x:t>
        </x:is>
      </x:c>
      <x:c r="AD687" t="inlineStr">
        <x:is>
          <x:t xml:space="preserve">Medium</x:t>
        </x:is>
      </x:c>
      <x:c r="AE687" t="inlineStr">
        <x:is>
          <x:t xml:space="preserve">Needs semantic dedupe review</x:t>
        </x:is>
      </x:c>
      <x:c r="AH687" t="inlineStr">
        <x:is>
          <x:t xml:space="preserve">No</x:t>
        </x:is>
      </x:c>
      <x:c r="AI687" t="inlineStr">
        <x:is>
          <x:t xml:space="preserve">Not reviewed</x:t>
        </x:is>
      </x:c>
      <x:c r="AJ687" t="inlineStr">
        <x:is>
          <x:t xml:space="preserve">Research only</x:t>
        </x:is>
      </x:c>
      <x:c r="AK687" t="inlineStr">
        <x:is>
          <x:t xml:space="preserve">Research Pool</x:t>
        </x:is>
      </x:c>
      <x:c r="AL687" t="n">
        <x:v>10</x:v>
      </x:c>
      <x:c r="AM687" t="inlineStr">
        <x:is>
          <x:t xml:space="preserve">ChatGPT research</x:t>
        </x:is>
      </x:c>
      <x:c r="AN687" t="inlineStr">
        <x:is>
          <x:t xml:space="preserve">2026-09-18</x:t>
        </x:is>
      </x:c>
      <x:c r="AO687" t="inlineStr">
        <x:is>
          <x:t xml:space="preserve">Full first-pass across all 21 discourse topics + fragment tradition. Source-safe paraphrase until Greek is passage-verified.</x:t>
        </x:is>
      </x:c>
    </x:row>
    <x:row r="688">
      <x:c r="A688" t="inlineStr">
        <x:is>
          <x:t xml:space="preserve">research.musonius.day10.d19_01</x:t>
        </x:is>
      </x:c>
      <x:c r="B688" t="inlineStr">
        <x:is>
          <x:t xml:space="preserve">Collected</x:t>
        </x:is>
      </x:c>
      <x:c r="C688" t="inlineStr">
        <x:is>
          <x:t xml:space="preserve">Nội tâm &amp; hiểu mình</x:t>
        </x:is>
      </x:c>
      <x:c r="D688" t="inlineStr">
        <x:is>
          <x:t xml:space="preserve">Day 10 / Musonius Rufus — Discourses + Fragments</x:t>
        </x:is>
      </x:c>
      <x:c r="F688" t="inlineStr">
        <x:is>
          <x:t xml:space="preserve">Công dụng và hình ảnh</x:t>
        </x:is>
      </x:c>
      <x:c r="G688" t="inlineStr">
        <x:is>
          <x:t xml:space="preserve">Enoughness / Status</x:t>
        </x:is>
      </x:c>
      <x:c r="K688" t="inlineStr">
        <x:is>
          <x:t xml:space="preserve">Distinguish</x:t>
        </x:is>
      </x:c>
      <x:c r="M688" t="inlineStr">
        <x:is>
          <x:t xml:space="preserve">Source-anchored paraphrase candidate</x:t>
        </x:is>
      </x:c>
      <x:c r="N688" t="inlineStr">
        <x:is>
          <x:t xml:space="preserve">[Không chép Greek khi chưa xác minh trực tiếp Hense/Lutz passage]</x:t>
        </x:is>
      </x:c>
      <x:c r="O688" t="inlineStr">
        <x:is>
          <x:t xml:space="preserve">Ancient Greek tradition</x:t>
        </x:is>
      </x:c>
      <x:c r="P688" t="inlineStr">
        <x:is>
          <x:t xml:space="preserve">Quần áo và chỗ ở có chức năng trước khi trở thành tín hiệu địa vị.</x:t>
        </x:is>
      </x:c>
      <x:c r="Q688" t="inlineStr">
        <x:is>
          <x:t xml:space="preserve">Musonius Rufus (teachings preserved by students/compilers)</x:t>
        </x:is>
      </x:c>
      <x:c r="R688" t="inlineStr">
        <x:is>
          <x:t xml:space="preserve">Roman Stoic / Greek-language teaching</x:t>
        </x:is>
      </x:c>
      <x:c r="S688" t="inlineStr">
        <x:is>
          <x:t xml:space="preserve">Discourses</x:t>
        </x:is>
      </x:c>
      <x:c r="T688" t="inlineStr">
        <x:is>
          <x:t xml:space="preserve">19</x:t>
        </x:is>
      </x:c>
      <x:c r="U688" t="inlineStr">
        <x:is>
          <x:t xml:space="preserve">https://iep.utm.edu/musonius/</x:t>
        </x:is>
      </x:c>
      <x:c r="V688" t="inlineStr">
        <x:is>
          <x:t xml:space="preserve">Surviving discourse/fragment tradition; IEP + standard Hense/Lutz bibliography</x:t>
        </x:is>
      </x:c>
      <x:c r="W688" t="inlineStr">
        <x:is>
          <x:t xml:space="preserve">Research paraphrase — NOT verbatim quote</x:t>
        </x:is>
      </x:c>
      <x:c r="X688" t="inlineStr">
        <x:is>
          <x:t xml:space="preserve">B - discourse/theme source verified; original wording pending</x:t>
        </x:is>
      </x:c>
      <x:c r="Y688" t="inlineStr">
        <x:is>
          <x:t xml:space="preserve">Musonius' own writings do not survive. Teachings survive as 21 discourses and 32 apophthegms preserved by others. Do not present this Vietnamese wording as a direct quote.</x:t>
        </x:is>
      </x:c>
      <x:c r="Z688" t="inlineStr">
        <x:is>
          <x:t xml:space="preserve">Ancient source tradition public domain; modern translations may be copyrighted</x:t>
        </x:is>
      </x:c>
      <x:c r="AA688" t="inlineStr">
        <x:is>
          <x:t xml:space="preserve">Before Release, verify Greek against Hense 1905 or another public-domain Greek edition and create a fresh Selflo translation. Do not copy Lutz 2020/Yale translation.</x:t>
        </x:is>
      </x:c>
      <x:c r="AB688" t="inlineStr">
        <x:is>
          <x:t xml:space="preserve">High</x:t>
        </x:is>
      </x:c>
      <x:c r="AC688" t="inlineStr">
        <x:is>
          <x:t xml:space="preserve">Day 10 collection; selection later.</x:t>
        </x:is>
      </x:c>
      <x:c r="AD688" t="inlineStr">
        <x:is>
          <x:t xml:space="preserve">Medium</x:t>
        </x:is>
      </x:c>
      <x:c r="AE688" t="inlineStr">
        <x:is>
          <x:t xml:space="preserve">Needs semantic dedupe review</x:t>
        </x:is>
      </x:c>
      <x:c r="AH688" t="inlineStr">
        <x:is>
          <x:t xml:space="preserve">No</x:t>
        </x:is>
      </x:c>
      <x:c r="AI688" t="inlineStr">
        <x:is>
          <x:t xml:space="preserve">Not reviewed</x:t>
        </x:is>
      </x:c>
      <x:c r="AJ688" t="inlineStr">
        <x:is>
          <x:t xml:space="preserve">Research only</x:t>
        </x:is>
      </x:c>
      <x:c r="AK688" t="inlineStr">
        <x:is>
          <x:t xml:space="preserve">Research Pool</x:t>
        </x:is>
      </x:c>
      <x:c r="AL688" t="n">
        <x:v>10</x:v>
      </x:c>
      <x:c r="AM688" t="inlineStr">
        <x:is>
          <x:t xml:space="preserve">ChatGPT research</x:t>
        </x:is>
      </x:c>
      <x:c r="AN688" t="inlineStr">
        <x:is>
          <x:t xml:space="preserve">2026-09-18</x:t>
        </x:is>
      </x:c>
      <x:c r="AO688" t="inlineStr">
        <x:is>
          <x:t xml:space="preserve">Full first-pass across all 21 discourse topics + fragment tradition. Source-safe paraphrase until Greek is passage-verified.</x:t>
        </x:is>
      </x:c>
    </x:row>
    <x:row r="689">
      <x:c r="A689" t="inlineStr">
        <x:is>
          <x:t xml:space="preserve">research.musonius.day10.d20_01</x:t>
        </x:is>
      </x:c>
      <x:c r="B689" t="inlineStr">
        <x:is>
          <x:t xml:space="preserve">Collected</x:t>
        </x:is>
      </x:c>
      <x:c r="C689" t="inlineStr">
        <x:is>
          <x:t xml:space="preserve">Nội tâm &amp; hiểu mình</x:t>
        </x:is>
      </x:c>
      <x:c r="D689" t="inlineStr">
        <x:is>
          <x:t xml:space="preserve">Day 10 / Musonius Rufus — Discourses + Fragments</x:t>
        </x:is>
      </x:c>
      <x:c r="F689" t="inlineStr">
        <x:is>
          <x:t xml:space="preserve">Sở hữu và attention</x:t>
        </x:is>
      </x:c>
      <x:c r="G689" t="inlineStr">
        <x:is>
          <x:t xml:space="preserve">Material life / Values</x:t>
        </x:is>
      </x:c>
      <x:c r="K689" t="inlineStr">
        <x:is>
          <x:t xml:space="preserve">Reframe</x:t>
        </x:is>
      </x:c>
      <x:c r="M689" t="inlineStr">
        <x:is>
          <x:t xml:space="preserve">Source-anchored paraphrase candidate</x:t>
        </x:is>
      </x:c>
      <x:c r="N689" t="inlineStr">
        <x:is>
          <x:t xml:space="preserve">[Không chép Greek khi chưa xác minh trực tiếp Hense/Lutz passage]</x:t>
        </x:is>
      </x:c>
      <x:c r="O689" t="inlineStr">
        <x:is>
          <x:t xml:space="preserve">Ancient Greek tradition</x:t>
        </x:is>
      </x:c>
      <x:c r="P689" t="inlineStr">
        <x:is>
          <x:t xml:space="preserve">Đồ vật trong nhà có thể phục vụ đời sống hoặc biến thành mục tiêu để đời sống phục vụ chúng.</x:t>
        </x:is>
      </x:c>
      <x:c r="Q689" t="inlineStr">
        <x:is>
          <x:t xml:space="preserve">Musonius Rufus (teachings preserved by students/compilers)</x:t>
        </x:is>
      </x:c>
      <x:c r="R689" t="inlineStr">
        <x:is>
          <x:t xml:space="preserve">Roman Stoic / Greek-language teaching</x:t>
        </x:is>
      </x:c>
      <x:c r="S689" t="inlineStr">
        <x:is>
          <x:t xml:space="preserve">Discourses</x:t>
        </x:is>
      </x:c>
      <x:c r="T689" t="inlineStr">
        <x:is>
          <x:t xml:space="preserve">20</x:t>
        </x:is>
      </x:c>
      <x:c r="U689" t="inlineStr">
        <x:is>
          <x:t xml:space="preserve">https://iep.utm.edu/musonius/</x:t>
        </x:is>
      </x:c>
      <x:c r="V689" t="inlineStr">
        <x:is>
          <x:t xml:space="preserve">Surviving discourse/fragment tradition; IEP + standard Hense/Lutz bibliography</x:t>
        </x:is>
      </x:c>
      <x:c r="W689" t="inlineStr">
        <x:is>
          <x:t xml:space="preserve">Research paraphrase — NOT verbatim quote</x:t>
        </x:is>
      </x:c>
      <x:c r="X689" t="inlineStr">
        <x:is>
          <x:t xml:space="preserve">B - discourse/theme source verified; original wording pending</x:t>
        </x:is>
      </x:c>
      <x:c r="Y689" t="inlineStr">
        <x:is>
          <x:t xml:space="preserve">Musonius' own writings do not survive. Teachings survive as 21 discourses and 32 apophthegms preserved by others. Do not present this Vietnamese wording as a direct quote.</x:t>
        </x:is>
      </x:c>
      <x:c r="Z689" t="inlineStr">
        <x:is>
          <x:t xml:space="preserve">Ancient source tradition public domain; modern translations may be copyrighted</x:t>
        </x:is>
      </x:c>
      <x:c r="AA689" t="inlineStr">
        <x:is>
          <x:t xml:space="preserve">Before Release, verify Greek against Hense 1905 or another public-domain Greek edition and create a fresh Selflo translation. Do not copy Lutz 2020/Yale translation.</x:t>
        </x:is>
      </x:c>
      <x:c r="AB689" t="inlineStr">
        <x:is>
          <x:t xml:space="preserve">High</x:t>
        </x:is>
      </x:c>
      <x:c r="AC689" t="inlineStr">
        <x:is>
          <x:t xml:space="preserve">Day 10 collection; selection later.</x:t>
        </x:is>
      </x:c>
      <x:c r="AD689" t="inlineStr">
        <x:is>
          <x:t xml:space="preserve">Medium</x:t>
        </x:is>
      </x:c>
      <x:c r="AE689" t="inlineStr">
        <x:is>
          <x:t xml:space="preserve">Needs semantic dedupe review</x:t>
        </x:is>
      </x:c>
      <x:c r="AH689" t="inlineStr">
        <x:is>
          <x:t xml:space="preserve">No</x:t>
        </x:is>
      </x:c>
      <x:c r="AI689" t="inlineStr">
        <x:is>
          <x:t xml:space="preserve">Not reviewed</x:t>
        </x:is>
      </x:c>
      <x:c r="AJ689" t="inlineStr">
        <x:is>
          <x:t xml:space="preserve">Research only</x:t>
        </x:is>
      </x:c>
      <x:c r="AK689" t="inlineStr">
        <x:is>
          <x:t xml:space="preserve">Research Pool</x:t>
        </x:is>
      </x:c>
      <x:c r="AL689" t="n">
        <x:v>10</x:v>
      </x:c>
      <x:c r="AM689" t="inlineStr">
        <x:is>
          <x:t xml:space="preserve">ChatGPT research</x:t>
        </x:is>
      </x:c>
      <x:c r="AN689" t="inlineStr">
        <x:is>
          <x:t xml:space="preserve">2026-09-18</x:t>
        </x:is>
      </x:c>
      <x:c r="AO689" t="inlineStr">
        <x:is>
          <x:t xml:space="preserve">Full first-pass across all 21 discourse topics + fragment tradition. Source-safe paraphrase until Greek is passage-verified.</x:t>
        </x:is>
      </x:c>
    </x:row>
    <x:row r="690">
      <x:c r="A690" t="inlineStr">
        <x:is>
          <x:t xml:space="preserve">research.musonius.day10.d20_02</x:t>
        </x:is>
      </x:c>
      <x:c r="B690" t="inlineStr">
        <x:is>
          <x:t xml:space="preserve">Collected</x:t>
        </x:is>
      </x:c>
      <x:c r="C690" t="inlineStr">
        <x:is>
          <x:t xml:space="preserve">Nội tâm &amp; hiểu mình</x:t>
        </x:is>
      </x:c>
      <x:c r="D690" t="inlineStr">
        <x:is>
          <x:t xml:space="preserve">Day 10 / Musonius Rufus — Discourses + Fragments</x:t>
        </x:is>
      </x:c>
      <x:c r="F690" t="inlineStr">
        <x:is>
          <x:t xml:space="preserve">Giá tiền và giá trị</x:t>
        </x:is>
      </x:c>
      <x:c r="G690" t="inlineStr">
        <x:is>
          <x:t xml:space="preserve">Values / Consumption</x:t>
        </x:is>
      </x:c>
      <x:c r="K690" t="inlineStr">
        <x:is>
          <x:t xml:space="preserve">Distinguish</x:t>
        </x:is>
      </x:c>
      <x:c r="M690" t="inlineStr">
        <x:is>
          <x:t xml:space="preserve">Source-anchored paraphrase candidate</x:t>
        </x:is>
      </x:c>
      <x:c r="N690" t="inlineStr">
        <x:is>
          <x:t xml:space="preserve">[Không chép Greek khi chưa xác minh trực tiếp Hense/Lutz passage]</x:t>
        </x:is>
      </x:c>
      <x:c r="O690" t="inlineStr">
        <x:is>
          <x:t xml:space="preserve">Ancient Greek tradition</x:t>
        </x:is>
      </x:c>
      <x:c r="P690" t="inlineStr">
        <x:is>
          <x:t xml:space="preserve">Giá của một vật không tự nói nó đóng góp bao nhiêu cho một đời sống tốt.</x:t>
        </x:is>
      </x:c>
      <x:c r="Q690" t="inlineStr">
        <x:is>
          <x:t xml:space="preserve">Musonius Rufus (teachings preserved by students/compilers)</x:t>
        </x:is>
      </x:c>
      <x:c r="R690" t="inlineStr">
        <x:is>
          <x:t xml:space="preserve">Roman Stoic / Greek-language teaching</x:t>
        </x:is>
      </x:c>
      <x:c r="S690" t="inlineStr">
        <x:is>
          <x:t xml:space="preserve">Discourses</x:t>
        </x:is>
      </x:c>
      <x:c r="T690" t="inlineStr">
        <x:is>
          <x:t xml:space="preserve">20</x:t>
        </x:is>
      </x:c>
      <x:c r="U690" t="inlineStr">
        <x:is>
          <x:t xml:space="preserve">https://iep.utm.edu/musonius/</x:t>
        </x:is>
      </x:c>
      <x:c r="V690" t="inlineStr">
        <x:is>
          <x:t xml:space="preserve">Surviving discourse/fragment tradition; IEP + standard Hense/Lutz bibliography</x:t>
        </x:is>
      </x:c>
      <x:c r="W690" t="inlineStr">
        <x:is>
          <x:t xml:space="preserve">Research paraphrase — NOT verbatim quote</x:t>
        </x:is>
      </x:c>
      <x:c r="X690" t="inlineStr">
        <x:is>
          <x:t xml:space="preserve">B - discourse/theme source verified; original wording pending</x:t>
        </x:is>
      </x:c>
      <x:c r="Y690" t="inlineStr">
        <x:is>
          <x:t xml:space="preserve">Musonius' own writings do not survive. Teachings survive as 21 discourses and 32 apophthegms preserved by others. Do not present this Vietnamese wording as a direct quote.</x:t>
        </x:is>
      </x:c>
      <x:c r="Z690" t="inlineStr">
        <x:is>
          <x:t xml:space="preserve">Ancient source tradition public domain; modern translations may be copyrighted</x:t>
        </x:is>
      </x:c>
      <x:c r="AA690" t="inlineStr">
        <x:is>
          <x:t xml:space="preserve">Before Release, verify Greek against Hense 1905 or another public-domain Greek edition and create a fresh Selflo translation. Do not copy Lutz 2020/Yale translation.</x:t>
        </x:is>
      </x:c>
      <x:c r="AB690" t="inlineStr">
        <x:is>
          <x:t xml:space="preserve">High</x:t>
        </x:is>
      </x:c>
      <x:c r="AC690" t="inlineStr">
        <x:is>
          <x:t xml:space="preserve">Day 10 collection; selection later.</x:t>
        </x:is>
      </x:c>
      <x:c r="AD690" t="inlineStr">
        <x:is>
          <x:t xml:space="preserve">Medium</x:t>
        </x:is>
      </x:c>
      <x:c r="AE690" t="inlineStr">
        <x:is>
          <x:t xml:space="preserve">Needs semantic dedupe review</x:t>
        </x:is>
      </x:c>
      <x:c r="AH690" t="inlineStr">
        <x:is>
          <x:t xml:space="preserve">No</x:t>
        </x:is>
      </x:c>
      <x:c r="AI690" t="inlineStr">
        <x:is>
          <x:t xml:space="preserve">Not reviewed</x:t>
        </x:is>
      </x:c>
      <x:c r="AJ690" t="inlineStr">
        <x:is>
          <x:t xml:space="preserve">Research only</x:t>
        </x:is>
      </x:c>
      <x:c r="AK690" t="inlineStr">
        <x:is>
          <x:t xml:space="preserve">Research Pool</x:t>
        </x:is>
      </x:c>
      <x:c r="AL690" t="n">
        <x:v>10</x:v>
      </x:c>
      <x:c r="AM690" t="inlineStr">
        <x:is>
          <x:t xml:space="preserve">ChatGPT research</x:t>
        </x:is>
      </x:c>
      <x:c r="AN690" t="inlineStr">
        <x:is>
          <x:t xml:space="preserve">2026-09-18</x:t>
        </x:is>
      </x:c>
      <x:c r="AO690" t="inlineStr">
        <x:is>
          <x:t xml:space="preserve">Full first-pass across all 21 discourse topics + fragment tradition. Source-safe paraphrase until Greek is passage-verified.</x:t>
        </x:is>
      </x:c>
    </x:row>
    <x:row r="691">
      <x:c r="A691" t="inlineStr">
        <x:is>
          <x:t xml:space="preserve">research.musonius.day10.d21_01</x:t>
        </x:is>
      </x:c>
      <x:c r="B691" t="inlineStr">
        <x:is>
          <x:t xml:space="preserve">Collected</x:t>
        </x:is>
      </x:c>
      <x:c r="C691" t="inlineStr">
        <x:is>
          <x:t xml:space="preserve">Nội tâm &amp; hiểu mình</x:t>
        </x:is>
      </x:c>
      <x:c r="D691" t="inlineStr">
        <x:is>
          <x:t xml:space="preserve">Day 10 / Musonius Rufus — Discourses + Fragments</x:t>
        </x:is>
      </x:c>
      <x:c r="F691" t="inlineStr">
        <x:is>
          <x:t xml:space="preserve">Ngoại hình và bản sắc</x:t>
        </x:is>
      </x:c>
      <x:c r="G691" t="inlineStr">
        <x:is>
          <x:t xml:space="preserve">Identity / Appearance</x:t>
        </x:is>
      </x:c>
      <x:c r="K691" t="inlineStr">
        <x:is>
          <x:t xml:space="preserve">Distinguish</x:t>
        </x:is>
      </x:c>
      <x:c r="M691" t="inlineStr">
        <x:is>
          <x:t xml:space="preserve">Source-anchored paraphrase candidate</x:t>
        </x:is>
      </x:c>
      <x:c r="N691" t="inlineStr">
        <x:is>
          <x:t xml:space="preserve">[Không chép Greek khi chưa xác minh trực tiếp Hense/Lutz passage]</x:t>
        </x:is>
      </x:c>
      <x:c r="O691" t="inlineStr">
        <x:is>
          <x:t xml:space="preserve">Ancient Greek tradition</x:t>
        </x:is>
      </x:c>
      <x:c r="P691" t="inlineStr">
        <x:is>
          <x:t xml:space="preserve">Việc chăm hình thức có thể có chỗ của nó, nhưng không nên chiếm vị trí của việc chăm cách mình sống.</x:t>
        </x:is>
      </x:c>
      <x:c r="Q691" t="inlineStr">
        <x:is>
          <x:t xml:space="preserve">Musonius Rufus (teachings preserved by students/compilers)</x:t>
        </x:is>
      </x:c>
      <x:c r="R691" t="inlineStr">
        <x:is>
          <x:t xml:space="preserve">Roman Stoic / Greek-language teaching</x:t>
        </x:is>
      </x:c>
      <x:c r="S691" t="inlineStr">
        <x:is>
          <x:t xml:space="preserve">Discourses</x:t>
        </x:is>
      </x:c>
      <x:c r="T691" t="inlineStr">
        <x:is>
          <x:t xml:space="preserve">21</x:t>
        </x:is>
      </x:c>
      <x:c r="U691" t="inlineStr">
        <x:is>
          <x:t xml:space="preserve">https://iep.utm.edu/musonius/</x:t>
        </x:is>
      </x:c>
      <x:c r="V691" t="inlineStr">
        <x:is>
          <x:t xml:space="preserve">Surviving discourse/fragment tradition; IEP + standard Hense/Lutz bibliography</x:t>
        </x:is>
      </x:c>
      <x:c r="W691" t="inlineStr">
        <x:is>
          <x:t xml:space="preserve">Research paraphrase — NOT verbatim quote</x:t>
        </x:is>
      </x:c>
      <x:c r="X691" t="inlineStr">
        <x:is>
          <x:t xml:space="preserve">B - discourse/theme source verified; original wording pending</x:t>
        </x:is>
      </x:c>
      <x:c r="Y691" t="inlineStr">
        <x:is>
          <x:t xml:space="preserve">Musonius' own writings do not survive. Teachings survive as 21 discourses and 32 apophthegms preserved by others. Do not present this Vietnamese wording as a direct quote.</x:t>
        </x:is>
      </x:c>
      <x:c r="Z691" t="inlineStr">
        <x:is>
          <x:t xml:space="preserve">Ancient source tradition public domain; modern translations may be copyrighted</x:t>
        </x:is>
      </x:c>
      <x:c r="AA691" t="inlineStr">
        <x:is>
          <x:t xml:space="preserve">Before Release, verify Greek against Hense 1905 or another public-domain Greek edition and create a fresh Selflo translation. Do not copy Lutz 2020/Yale translation.</x:t>
        </x:is>
      </x:c>
      <x:c r="AB691" t="inlineStr">
        <x:is>
          <x:t xml:space="preserve">High</x:t>
        </x:is>
      </x:c>
      <x:c r="AC691" t="inlineStr">
        <x:is>
          <x:t xml:space="preserve">Day 10 collection; selection later.</x:t>
        </x:is>
      </x:c>
      <x:c r="AD691" t="inlineStr">
        <x:is>
          <x:t xml:space="preserve">Medium</x:t>
        </x:is>
      </x:c>
      <x:c r="AE691" t="inlineStr">
        <x:is>
          <x:t xml:space="preserve">Needs semantic dedupe review</x:t>
        </x:is>
      </x:c>
      <x:c r="AH691" t="inlineStr">
        <x:is>
          <x:t xml:space="preserve">No</x:t>
        </x:is>
      </x:c>
      <x:c r="AI691" t="inlineStr">
        <x:is>
          <x:t xml:space="preserve">Not reviewed</x:t>
        </x:is>
      </x:c>
      <x:c r="AJ691" t="inlineStr">
        <x:is>
          <x:t xml:space="preserve">Research only</x:t>
        </x:is>
      </x:c>
      <x:c r="AK691" t="inlineStr">
        <x:is>
          <x:t xml:space="preserve">Research Pool</x:t>
        </x:is>
      </x:c>
      <x:c r="AL691" t="n">
        <x:v>10</x:v>
      </x:c>
      <x:c r="AM691" t="inlineStr">
        <x:is>
          <x:t xml:space="preserve">ChatGPT research</x:t>
        </x:is>
      </x:c>
      <x:c r="AN691" t="inlineStr">
        <x:is>
          <x:t xml:space="preserve">2026-09-18</x:t>
        </x:is>
      </x:c>
      <x:c r="AO691" t="inlineStr">
        <x:is>
          <x:t xml:space="preserve">Full first-pass across all 21 discourse topics + fragment tradition. Source-safe paraphrase until Greek is passage-verified.</x:t>
        </x:is>
      </x:c>
    </x:row>
    <x:row r="692">
      <x:c r="A692" t="inlineStr">
        <x:is>
          <x:t xml:space="preserve">research.musonius.day10.frag01</x:t>
        </x:is>
      </x:c>
      <x:c r="B692" t="inlineStr">
        <x:is>
          <x:t xml:space="preserve">Collected</x:t>
        </x:is>
      </x:c>
      <x:c r="C692" t="inlineStr">
        <x:is>
          <x:t xml:space="preserve">Công việc &amp; mục đích</x:t>
        </x:is>
      </x:c>
      <x:c r="D692" t="inlineStr">
        <x:is>
          <x:t xml:space="preserve">Day 10 / Musonius Rufus — Discourses + Fragments</x:t>
        </x:is>
      </x:c>
      <x:c r="F692" t="inlineStr">
        <x:is>
          <x:t xml:space="preserve">Triết lý và đời sống</x:t>
        </x:is>
      </x:c>
      <x:c r="G692" t="inlineStr">
        <x:is>
          <x:t xml:space="preserve">Practice</x:t>
        </x:is>
      </x:c>
      <x:c r="K692" t="inlineStr">
        <x:is>
          <x:t xml:space="preserve">Reframe</x:t>
        </x:is>
      </x:c>
      <x:c r="M692" t="inlineStr">
        <x:is>
          <x:t xml:space="preserve">Source-anchored paraphrase candidate</x:t>
        </x:is>
      </x:c>
      <x:c r="N692" t="inlineStr">
        <x:is>
          <x:t xml:space="preserve">[Không chép Greek khi chưa xác minh trực tiếp Hense/Lutz passage]</x:t>
        </x:is>
      </x:c>
      <x:c r="O692" t="inlineStr">
        <x:is>
          <x:t xml:space="preserve">Ancient Greek tradition</x:t>
        </x:is>
      </x:c>
      <x:c r="P692" t="inlineStr">
        <x:is>
          <x:t xml:space="preserve">Triết học được nhận ra rõ nhất khi nó đi vào hành động thường ngày.</x:t>
        </x:is>
      </x:c>
      <x:c r="Q692" t="inlineStr">
        <x:is>
          <x:t xml:space="preserve">Musonius Rufus (teachings preserved by students/compilers)</x:t>
        </x:is>
      </x:c>
      <x:c r="R692" t="inlineStr">
        <x:is>
          <x:t xml:space="preserve">Roman Stoic / Greek-language teaching</x:t>
        </x:is>
      </x:c>
      <x:c r="S692" t="inlineStr">
        <x:is>
          <x:t xml:space="preserve">Fragments</x:t>
        </x:is>
      </x:c>
      <x:c r="T692" t="inlineStr">
        <x:is>
          <x:t xml:space="preserve">Fragment tradition</x:t>
        </x:is>
      </x:c>
      <x:c r="U692" t="inlineStr">
        <x:is>
          <x:t xml:space="preserve">https://iep.utm.edu/musonius/</x:t>
        </x:is>
      </x:c>
      <x:c r="V692" t="inlineStr">
        <x:is>
          <x:t xml:space="preserve">Surviving discourse/fragment tradition; IEP + standard Hense/Lutz bibliography</x:t>
        </x:is>
      </x:c>
      <x:c r="W692" t="inlineStr">
        <x:is>
          <x:t xml:space="preserve">Research paraphrase — NOT verbatim quote</x:t>
        </x:is>
      </x:c>
      <x:c r="X692" t="inlineStr">
        <x:is>
          <x:t xml:space="preserve">B - discourse/theme source verified; original wording pending</x:t>
        </x:is>
      </x:c>
      <x:c r="Y692" t="inlineStr">
        <x:is>
          <x:t xml:space="preserve">Musonius' own writings do not survive. Teachings survive as 21 discourses and 32 apophthegms preserved by others. Do not present this Vietnamese wording as a direct quote.</x:t>
        </x:is>
      </x:c>
      <x:c r="Z692" t="inlineStr">
        <x:is>
          <x:t xml:space="preserve">Ancient source tradition public domain; modern translations may be copyrighted</x:t>
        </x:is>
      </x:c>
      <x:c r="AA692" t="inlineStr">
        <x:is>
          <x:t xml:space="preserve">Before Release, verify Greek against Hense 1905 or another public-domain Greek edition and create a fresh Selflo translation. Do not copy Lutz 2020/Yale translation.</x:t>
        </x:is>
      </x:c>
      <x:c r="AB692" t="inlineStr">
        <x:is>
          <x:t xml:space="preserve">High</x:t>
        </x:is>
      </x:c>
      <x:c r="AC692" t="inlineStr">
        <x:is>
          <x:t xml:space="preserve">Day 10 collection; selection later.</x:t>
        </x:is>
      </x:c>
      <x:c r="AD692" t="inlineStr">
        <x:is>
          <x:t xml:space="preserve">Medium</x:t>
        </x:is>
      </x:c>
      <x:c r="AE692" t="inlineStr">
        <x:is>
          <x:t xml:space="preserve">Needs semantic dedupe review</x:t>
        </x:is>
      </x:c>
      <x:c r="AH692" t="inlineStr">
        <x:is>
          <x:t xml:space="preserve">No</x:t>
        </x:is>
      </x:c>
      <x:c r="AI692" t="inlineStr">
        <x:is>
          <x:t xml:space="preserve">Not reviewed</x:t>
        </x:is>
      </x:c>
      <x:c r="AJ692" t="inlineStr">
        <x:is>
          <x:t xml:space="preserve">Research only</x:t>
        </x:is>
      </x:c>
      <x:c r="AK692" t="inlineStr">
        <x:is>
          <x:t xml:space="preserve">Research Pool</x:t>
        </x:is>
      </x:c>
      <x:c r="AL692" t="n">
        <x:v>10</x:v>
      </x:c>
      <x:c r="AM692" t="inlineStr">
        <x:is>
          <x:t xml:space="preserve">ChatGPT research</x:t>
        </x:is>
      </x:c>
      <x:c r="AN692" t="inlineStr">
        <x:is>
          <x:t xml:space="preserve">2026-09-18</x:t>
        </x:is>
      </x:c>
      <x:c r="AO692" t="inlineStr">
        <x:is>
          <x:t xml:space="preserve">Full first-pass across all 21 discourse topics + fragment tradition. Source-safe paraphrase until Greek is passage-verified.</x:t>
        </x:is>
      </x:c>
    </x:row>
    <x:row r="693">
      <x:c r="A693" t="inlineStr">
        <x:is>
          <x:t xml:space="preserve">research.musonius.day10.frag02</x:t>
        </x:is>
      </x:c>
      <x:c r="B693" t="inlineStr">
        <x:is>
          <x:t xml:space="preserve">Collected</x:t>
        </x:is>
      </x:c>
      <x:c r="C693" t="inlineStr">
        <x:is>
          <x:t xml:space="preserve">Công việc &amp; mục đích</x:t>
        </x:is>
      </x:c>
      <x:c r="D693" t="inlineStr">
        <x:is>
          <x:t xml:space="preserve">Day 10 / Musonius Rufus — Discourses + Fragments</x:t>
        </x:is>
      </x:c>
      <x:c r="F693" t="inlineStr">
        <x:is>
          <x:t xml:space="preserve">Thông tin nhiều và hiểu biết</x:t>
        </x:is>
      </x:c>
      <x:c r="G693" t="inlineStr">
        <x:is>
          <x:t xml:space="preserve">Learning / Clarity</x:t>
        </x:is>
      </x:c>
      <x:c r="K693" t="inlineStr">
        <x:is>
          <x:t xml:space="preserve">Reframe</x:t>
        </x:is>
      </x:c>
      <x:c r="M693" t="inlineStr">
        <x:is>
          <x:t xml:space="preserve">Source-anchored paraphrase candidate</x:t>
        </x:is>
      </x:c>
      <x:c r="N693" t="inlineStr">
        <x:is>
          <x:t xml:space="preserve">[Không chép Greek khi chưa xác minh trực tiếp Hense/Lutz passage]</x:t>
        </x:is>
      </x:c>
      <x:c r="O693" t="inlineStr">
        <x:is>
          <x:t xml:space="preserve">Ancient Greek tradition</x:t>
        </x:is>
      </x:c>
      <x:c r="P693" t="inlineStr">
        <x:is>
          <x:t xml:space="preserve">Lời nói ngắn và rõ có thể hữu ích hơn một màn trình diễn lý luận dài.</x:t>
        </x:is>
      </x:c>
      <x:c r="Q693" t="inlineStr">
        <x:is>
          <x:t xml:space="preserve">Musonius Rufus (teachings preserved by students/compilers)</x:t>
        </x:is>
      </x:c>
      <x:c r="R693" t="inlineStr">
        <x:is>
          <x:t xml:space="preserve">Roman Stoic / Greek-language teaching</x:t>
        </x:is>
      </x:c>
      <x:c r="S693" t="inlineStr">
        <x:is>
          <x:t xml:space="preserve">Fragments</x:t>
        </x:is>
      </x:c>
      <x:c r="T693" t="inlineStr">
        <x:is>
          <x:t xml:space="preserve">Fragment tradition</x:t>
        </x:is>
      </x:c>
      <x:c r="U693" t="inlineStr">
        <x:is>
          <x:t xml:space="preserve">https://iep.utm.edu/musonius/</x:t>
        </x:is>
      </x:c>
      <x:c r="V693" t="inlineStr">
        <x:is>
          <x:t xml:space="preserve">Surviving discourse/fragment tradition; IEP + standard Hense/Lutz bibliography</x:t>
        </x:is>
      </x:c>
      <x:c r="W693" t="inlineStr">
        <x:is>
          <x:t xml:space="preserve">Research paraphrase — NOT verbatim quote</x:t>
        </x:is>
      </x:c>
      <x:c r="X693" t="inlineStr">
        <x:is>
          <x:t xml:space="preserve">B - discourse/theme source verified; original wording pending</x:t>
        </x:is>
      </x:c>
      <x:c r="Y693" t="inlineStr">
        <x:is>
          <x:t xml:space="preserve">Musonius' own writings do not survive. Teachings survive as 21 discourses and 32 apophthegms preserved by others. Do not present this Vietnamese wording as a direct quote.</x:t>
        </x:is>
      </x:c>
      <x:c r="Z693" t="inlineStr">
        <x:is>
          <x:t xml:space="preserve">Ancient source tradition public domain; modern translations may be copyrighted</x:t>
        </x:is>
      </x:c>
      <x:c r="AA693" t="inlineStr">
        <x:is>
          <x:t xml:space="preserve">Before Release, verify Greek against Hense 1905 or another public-domain Greek edition and create a fresh Selflo translation. Do not copy Lutz 2020/Yale translation.</x:t>
        </x:is>
      </x:c>
      <x:c r="AB693" t="inlineStr">
        <x:is>
          <x:t xml:space="preserve">High</x:t>
        </x:is>
      </x:c>
      <x:c r="AC693" t="inlineStr">
        <x:is>
          <x:t xml:space="preserve">Day 10 collection; selection later.</x:t>
        </x:is>
      </x:c>
      <x:c r="AD693" t="inlineStr">
        <x:is>
          <x:t xml:space="preserve">Medium</x:t>
        </x:is>
      </x:c>
      <x:c r="AE693" t="inlineStr">
        <x:is>
          <x:t xml:space="preserve">Needs semantic dedupe review</x:t>
        </x:is>
      </x:c>
      <x:c r="AH693" t="inlineStr">
        <x:is>
          <x:t xml:space="preserve">No</x:t>
        </x:is>
      </x:c>
      <x:c r="AI693" t="inlineStr">
        <x:is>
          <x:t xml:space="preserve">Not reviewed</x:t>
        </x:is>
      </x:c>
      <x:c r="AJ693" t="inlineStr">
        <x:is>
          <x:t xml:space="preserve">Research only</x:t>
        </x:is>
      </x:c>
      <x:c r="AK693" t="inlineStr">
        <x:is>
          <x:t xml:space="preserve">Research Pool</x:t>
        </x:is>
      </x:c>
      <x:c r="AL693" t="n">
        <x:v>10</x:v>
      </x:c>
      <x:c r="AM693" t="inlineStr">
        <x:is>
          <x:t xml:space="preserve">ChatGPT research</x:t>
        </x:is>
      </x:c>
      <x:c r="AN693" t="inlineStr">
        <x:is>
          <x:t xml:space="preserve">2026-09-18</x:t>
        </x:is>
      </x:c>
      <x:c r="AO693" t="inlineStr">
        <x:is>
          <x:t xml:space="preserve">Full first-pass across all 21 discourse topics + fragment tradition. Source-safe paraphrase until Greek is passage-verified.</x:t>
        </x:is>
      </x:c>
    </x:row>
    <x:row r="694">
      <x:c r="A694" t="inlineStr">
        <x:is>
          <x:t xml:space="preserve">research.musonius.day10.frag03</x:t>
        </x:is>
      </x:c>
      <x:c r="B694" t="inlineStr">
        <x:is>
          <x:t xml:space="preserve">Collected</x:t>
        </x:is>
      </x:c>
      <x:c r="C694" t="inlineStr">
        <x:is>
          <x:t xml:space="preserve">Nội tâm &amp; hiểu mình</x:t>
        </x:is>
      </x:c>
      <x:c r="D694" t="inlineStr">
        <x:is>
          <x:t xml:space="preserve">Day 10 / Musonius Rufus — Discourses + Fragments</x:t>
        </x:is>
      </x:c>
      <x:c r="F694" t="inlineStr">
        <x:is>
          <x:t xml:space="preserve">Sức bền không phải tự hành xác</x:t>
        </x:is>
      </x:c>
      <x:c r="G694" t="inlineStr">
        <x:is>
          <x:t xml:space="preserve">Capacity / Values</x:t>
        </x:is>
      </x:c>
      <x:c r="K694" t="inlineStr">
        <x:is>
          <x:t xml:space="preserve">Distinguish</x:t>
        </x:is>
      </x:c>
      <x:c r="M694" t="inlineStr">
        <x:is>
          <x:t xml:space="preserve">Source-anchored paraphrase candidate</x:t>
        </x:is>
      </x:c>
      <x:c r="N694" t="inlineStr">
        <x:is>
          <x:t xml:space="preserve">[Không chép Greek khi chưa xác minh trực tiếp Hense/Lutz passage]</x:t>
        </x:is>
      </x:c>
      <x:c r="O694" t="inlineStr">
        <x:is>
          <x:t xml:space="preserve">Ancient Greek tradition</x:t>
        </x:is>
      </x:c>
      <x:c r="P694" t="inlineStr">
        <x:is>
          <x:t xml:space="preserve">Không phải mọi khó chịu đều cần tránh; nhưng chịu đựng chỉ có ý nghĩa khi phục vụ điều đáng giữ.</x:t>
        </x:is>
      </x:c>
      <x:c r="Q694" t="inlineStr">
        <x:is>
          <x:t xml:space="preserve">Musonius Rufus (teachings preserved by students/compilers)</x:t>
        </x:is>
      </x:c>
      <x:c r="R694" t="inlineStr">
        <x:is>
          <x:t xml:space="preserve">Roman Stoic / Greek-language teaching</x:t>
        </x:is>
      </x:c>
      <x:c r="S694" t="inlineStr">
        <x:is>
          <x:t xml:space="preserve">Fragments</x:t>
        </x:is>
      </x:c>
      <x:c r="T694" t="inlineStr">
        <x:is>
          <x:t xml:space="preserve">Fragment tradition</x:t>
        </x:is>
      </x:c>
      <x:c r="U694" t="inlineStr">
        <x:is>
          <x:t xml:space="preserve">https://iep.utm.edu/musonius/</x:t>
        </x:is>
      </x:c>
      <x:c r="V694" t="inlineStr">
        <x:is>
          <x:t xml:space="preserve">Surviving discourse/fragment tradition; IEP + standard Hense/Lutz bibliography</x:t>
        </x:is>
      </x:c>
      <x:c r="W694" t="inlineStr">
        <x:is>
          <x:t xml:space="preserve">Research paraphrase — NOT verbatim quote</x:t>
        </x:is>
      </x:c>
      <x:c r="X694" t="inlineStr">
        <x:is>
          <x:t xml:space="preserve">B - discourse/theme source verified; original wording pending</x:t>
        </x:is>
      </x:c>
      <x:c r="Y694" t="inlineStr">
        <x:is>
          <x:t xml:space="preserve">Musonius' own writings do not survive. Teachings survive as 21 discourses and 32 apophthegms preserved by others. Do not present this Vietnamese wording as a direct quote.</x:t>
        </x:is>
      </x:c>
      <x:c r="Z694" t="inlineStr">
        <x:is>
          <x:t xml:space="preserve">Ancient source tradition public domain; modern translations may be copyrighted</x:t>
        </x:is>
      </x:c>
      <x:c r="AA694" t="inlineStr">
        <x:is>
          <x:t xml:space="preserve">Before Release, verify Greek against Hense 1905 or another public-domain Greek edition and create a fresh Selflo translation. Do not copy Lutz 2020/Yale translation.</x:t>
        </x:is>
      </x:c>
      <x:c r="AB694" t="inlineStr">
        <x:is>
          <x:t xml:space="preserve">High</x:t>
        </x:is>
      </x:c>
      <x:c r="AC694" t="inlineStr">
        <x:is>
          <x:t xml:space="preserve">Day 10 collection; selection later.</x:t>
        </x:is>
      </x:c>
      <x:c r="AD694" t="inlineStr">
        <x:is>
          <x:t xml:space="preserve">Medium</x:t>
        </x:is>
      </x:c>
      <x:c r="AE694" t="inlineStr">
        <x:is>
          <x:t xml:space="preserve">Needs semantic dedupe review</x:t>
        </x:is>
      </x:c>
      <x:c r="AH694" t="inlineStr">
        <x:is>
          <x:t xml:space="preserve">No</x:t>
        </x:is>
      </x:c>
      <x:c r="AI694" t="inlineStr">
        <x:is>
          <x:t xml:space="preserve">Not reviewed</x:t>
        </x:is>
      </x:c>
      <x:c r="AJ694" t="inlineStr">
        <x:is>
          <x:t xml:space="preserve">Research only</x:t>
        </x:is>
      </x:c>
      <x:c r="AK694" t="inlineStr">
        <x:is>
          <x:t xml:space="preserve">Research Pool</x:t>
        </x:is>
      </x:c>
      <x:c r="AL694" t="n">
        <x:v>10</x:v>
      </x:c>
      <x:c r="AM694" t="inlineStr">
        <x:is>
          <x:t xml:space="preserve">ChatGPT research</x:t>
        </x:is>
      </x:c>
      <x:c r="AN694" t="inlineStr">
        <x:is>
          <x:t xml:space="preserve">2026-09-18</x:t>
        </x:is>
      </x:c>
      <x:c r="AO694" t="inlineStr">
        <x:is>
          <x:t xml:space="preserve">Full first-pass across all 21 discourse topics + fragment tradition. Source-safe paraphrase until Greek is passage-verified.</x:t>
        </x:is>
      </x:c>
    </x:row>
    <x:row r="695">
      <x:c r="A695" t="inlineStr">
        <x:is>
          <x:t xml:space="preserve">research.dhammapada.day11.v001</x:t>
        </x:is>
      </x:c>
      <x:c r="B695" t="inlineStr">
        <x:is>
          <x:t xml:space="preserve">Collected</x:t>
        </x:is>
      </x:c>
      <x:c r="C695" t="inlineStr">
        <x:is>
          <x:t xml:space="preserve">Nội tâm &amp; hiểu mình</x:t>
        </x:is>
      </x:c>
      <x:c r="D695" t="inlineStr">
        <x:is>
          <x:t xml:space="preserve">Day 11 / Dhammapada — 26 chapters / 423 verses</x:t>
        </x:is>
      </x:c>
      <x:c r="F695" t="inlineStr">
        <x:is>
          <x:t xml:space="preserve">Mind shapes action</x:t>
        </x:is>
      </x:c>
      <x:c r="G695" t="inlineStr">
        <x:is>
          <x:t xml:space="preserve">Mind / Conduct</x:t>
        </x:is>
      </x:c>
      <x:c r="K695" t="inlineStr">
        <x:is>
          <x:t xml:space="preserve">Recognize</x:t>
        </x:is>
      </x:c>
      <x:c r="M695" t="inlineStr">
        <x:is>
          <x:t xml:space="preserve">Canonical verse / gāthā</x:t>
        </x:is>
      </x:c>
      <x:c r="N695" t="inlineStr">
        <x:is>
          <x:t xml:space="preserve">Manopubbaṅgamā dhammā, manoseṭṭhā manomayā; manasā ce paduṭṭhena bhāsati vā karoti vā, tato naṁ dukkham-anveti cakkaṁ va vahato padaṁ.</x:t>
        </x:is>
      </x:c>
      <x:c r="O695" t="inlineStr">
        <x:is>
          <x:t xml:space="preserve">Pāḷi</x:t>
        </x:is>
      </x:c>
      <x:c r="P695" t="inlineStr">
        <x:is>
          <x:t xml:space="preserve">Ý nghĩ đi trước; khi lời nói hay hành động đi cùng một tâm bị nhuốm, khổ có thể theo sau như bánh xe theo chân con vật kéo xe.</x:t>
        </x:is>
      </x:c>
      <x:c r="Q695" t="inlineStr">
        <x:is>
          <x:t xml:space="preserve">Dhammapada (Buddhist canonical verse tradition)</x:t>
        </x:is>
      </x:c>
      <x:c r="R695" t="inlineStr">
        <x:is>
          <x:t xml:space="preserve">Early Buddhist / Pāḷi tradition</x:t>
        </x:is>
      </x:c>
      <x:c r="S695" t="inlineStr">
        <x:is>
          <x:t xml:space="preserve">Dhammapada (Khuddaka Nikāya 2)</x:t>
        </x:is>
      </x:c>
      <x:c r="T695" t="inlineStr">
        <x:is>
          <x:t xml:space="preserve">Verse 1, chapter 1</x:t>
        </x:is>
      </x:c>
      <x:c r="U695" t="inlineStr">
        <x:is>
          <x:t xml:space="preserve">https://ancient-buddhist-texts.net/Texts-and-Translations/Dhammapada/01-Pairs.htm</x:t>
        </x:is>
      </x:c>
      <x:c r="V695" t="inlineStr">
        <x:is>
          <x:t xml:space="preserve">Primary Pāḷi text with interlinear scholarly translation</x:t>
        </x:is>
      </x:c>
      <x:c r="W695" t="inlineStr">
        <x:is>
          <x:t xml:space="preserve">Canonical verse</x:t>
        </x:is>
      </x:c>
      <x:c r="X695" t="inlineStr">
        <x:is>
          <x:t xml:space="preserve">A - Pāḷi verse source located</x:t>
        </x:is>
      </x:c>
      <x:c r="Y695" t="inlineStr">
        <x:is>
          <x:t xml:space="preserve">Pāḷi checked against Ancient Buddhist Texts Dhammapada edition. Vietnamese is a fresh Selflo working translation, not a published translation.</x:t>
        </x:is>
      </x:c>
      <x:c r="Z695" t="inlineStr">
        <x:is>
          <x:t xml:space="preserve">Ancient canonical text public domain; modern translation copyright separate</x:t>
        </x:is>
      </x:c>
      <x:c r="AA695" t="inlineStr">
        <x:is>
          <x:t xml:space="preserve">Retain Pāḷi original; use fresh Vietnamese translation. Do not copy a modern copyrighted translation verbatim.</x:t>
        </x:is>
      </x:c>
      <x:c r="AB695" t="inlineStr">
        <x:is>
          <x:t xml:space="preserve">High</x:t>
        </x:is>
      </x:c>
      <x:c r="AC695" t="inlineStr">
        <x:is>
          <x:t xml:space="preserve">Selected after full 26-chapter thematic screening; collection ≠ release approval.</x:t>
        </x:is>
      </x:c>
      <x:c r="AD695" t="inlineStr">
        <x:is>
          <x:t xml:space="preserve">Medium — ancient ethical/religious text needs contextual editorial review</x:t>
        </x:is>
      </x:c>
      <x:c r="AE695" t="inlineStr">
        <x:is>
          <x:t xml:space="preserve">Needs semantic dedupe review against Days 1–10 and existing Selflo originals</x:t>
        </x:is>
      </x:c>
      <x:c r="AH695" t="inlineStr">
        <x:is>
          <x:t xml:space="preserve">No</x:t>
        </x:is>
      </x:c>
      <x:c r="AI695" t="inlineStr">
        <x:is>
          <x:t xml:space="preserve">Not reviewed</x:t>
        </x:is>
      </x:c>
      <x:c r="AJ695" t="inlineStr">
        <x:is>
          <x:t xml:space="preserve">Research only</x:t>
        </x:is>
      </x:c>
      <x:c r="AK695" t="inlineStr">
        <x:is>
          <x:t xml:space="preserve">Research Pool</x:t>
        </x:is>
      </x:c>
      <x:c r="AL695" t="n">
        <x:v>11</x:v>
      </x:c>
      <x:c r="AM695" t="inlineStr">
        <x:is>
          <x:t xml:space="preserve">ChatGPT research</x:t>
        </x:is>
      </x:c>
      <x:c r="AN695" t="inlineStr">
        <x:is>
          <x:t xml:space="preserve">2026-09-18</x:t>
        </x:is>
      </x:c>
      <x:c r="AO695" t="inlineStr">
        <x:is>
          <x:t xml:space="preserve">Day 11 Dhammapada. Avoid converting Buddhist doctrinal claims into universal psychological claims without context.</x:t>
        </x:is>
      </x:c>
    </x:row>
    <x:row r="696">
      <x:c r="A696" t="inlineStr">
        <x:is>
          <x:t xml:space="preserve">research.dhammapada.day11.v002</x:t>
        </x:is>
      </x:c>
      <x:c r="B696" t="inlineStr">
        <x:is>
          <x:t xml:space="preserve">Collected</x:t>
        </x:is>
      </x:c>
      <x:c r="C696" t="inlineStr">
        <x:is>
          <x:t xml:space="preserve">Nội tâm &amp; hiểu mình</x:t>
        </x:is>
      </x:c>
      <x:c r="D696" t="inlineStr">
        <x:is>
          <x:t xml:space="preserve">Day 11 / Dhammapada — 26 chapters / 423 verses</x:t>
        </x:is>
      </x:c>
      <x:c r="F696" t="inlineStr">
        <x:is>
          <x:t xml:space="preserve">Mind shapes action</x:t>
        </x:is>
      </x:c>
      <x:c r="G696" t="inlineStr">
        <x:is>
          <x:t xml:space="preserve">Mind / Conduct</x:t>
        </x:is>
      </x:c>
      <x:c r="K696" t="inlineStr">
        <x:is>
          <x:t xml:space="preserve">Recognize</x:t>
        </x:is>
      </x:c>
      <x:c r="M696" t="inlineStr">
        <x:is>
          <x:t xml:space="preserve">Canonical verse / gāthā</x:t>
        </x:is>
      </x:c>
      <x:c r="N696" t="inlineStr">
        <x:is>
          <x:t xml:space="preserve">Manopubbaṅgamā dhammā, manoseṭṭhā manomayā; manasā ce pasannena bhāsati vā karoti vā, tato naṁ sukham-anveti chāyā va anapāyinī.</x:t>
        </x:is>
      </x:c>
      <x:c r="O696" t="inlineStr">
        <x:is>
          <x:t xml:space="preserve">Pāḷi</x:t>
        </x:is>
      </x:c>
      <x:c r="P696" t="inlineStr">
        <x:is>
          <x:t xml:space="preserve">Ý nghĩ đi trước; khi lời nói hay hành động đi cùng một tâm sáng, an lành có thể theo sau như chiếc bóng không rời.</x:t>
        </x:is>
      </x:c>
      <x:c r="Q696" t="inlineStr">
        <x:is>
          <x:t xml:space="preserve">Dhammapada (Buddhist canonical verse tradition)</x:t>
        </x:is>
      </x:c>
      <x:c r="R696" t="inlineStr">
        <x:is>
          <x:t xml:space="preserve">Early Buddhist / Pāḷi tradition</x:t>
        </x:is>
      </x:c>
      <x:c r="S696" t="inlineStr">
        <x:is>
          <x:t xml:space="preserve">Dhammapada (Khuddaka Nikāya 2)</x:t>
        </x:is>
      </x:c>
      <x:c r="T696" t="inlineStr">
        <x:is>
          <x:t xml:space="preserve">Verse 2, chapter 1</x:t>
        </x:is>
      </x:c>
      <x:c r="U696" t="inlineStr">
        <x:is>
          <x:t xml:space="preserve">https://ancient-buddhist-texts.net/Texts-and-Translations/Dhammapada/01-Pairs.htm</x:t>
        </x:is>
      </x:c>
      <x:c r="V696" t="inlineStr">
        <x:is>
          <x:t xml:space="preserve">Primary Pāḷi text with interlinear scholarly translation</x:t>
        </x:is>
      </x:c>
      <x:c r="W696" t="inlineStr">
        <x:is>
          <x:t xml:space="preserve">Canonical verse</x:t>
        </x:is>
      </x:c>
      <x:c r="X696" t="inlineStr">
        <x:is>
          <x:t xml:space="preserve">A - Pāḷi verse source located</x:t>
        </x:is>
      </x:c>
      <x:c r="Y696" t="inlineStr">
        <x:is>
          <x:t xml:space="preserve">Pāḷi checked against Ancient Buddhist Texts Dhammapada edition. Vietnamese is a fresh Selflo working translation, not a published translation.</x:t>
        </x:is>
      </x:c>
      <x:c r="Z696" t="inlineStr">
        <x:is>
          <x:t xml:space="preserve">Ancient canonical text public domain; modern translation copyright separate</x:t>
        </x:is>
      </x:c>
      <x:c r="AA696" t="inlineStr">
        <x:is>
          <x:t xml:space="preserve">Retain Pāḷi original; use fresh Vietnamese translation. Do not copy a modern copyrighted translation verbatim.</x:t>
        </x:is>
      </x:c>
      <x:c r="AB696" t="inlineStr">
        <x:is>
          <x:t xml:space="preserve">High</x:t>
        </x:is>
      </x:c>
      <x:c r="AC696" t="inlineStr">
        <x:is>
          <x:t xml:space="preserve">Selected after full 26-chapter thematic screening; collection ≠ release approval.</x:t>
        </x:is>
      </x:c>
      <x:c r="AD696" t="inlineStr">
        <x:is>
          <x:t xml:space="preserve">Medium — ancient ethical/religious text needs contextual editorial review</x:t>
        </x:is>
      </x:c>
      <x:c r="AE696" t="inlineStr">
        <x:is>
          <x:t xml:space="preserve">Needs semantic dedupe review against Days 1–10 and existing Selflo originals</x:t>
        </x:is>
      </x:c>
      <x:c r="AH696" t="inlineStr">
        <x:is>
          <x:t xml:space="preserve">No</x:t>
        </x:is>
      </x:c>
      <x:c r="AI696" t="inlineStr">
        <x:is>
          <x:t xml:space="preserve">Not reviewed</x:t>
        </x:is>
      </x:c>
      <x:c r="AJ696" t="inlineStr">
        <x:is>
          <x:t xml:space="preserve">Research only</x:t>
        </x:is>
      </x:c>
      <x:c r="AK696" t="inlineStr">
        <x:is>
          <x:t xml:space="preserve">Research Pool</x:t>
        </x:is>
      </x:c>
      <x:c r="AL696" t="n">
        <x:v>11</x:v>
      </x:c>
      <x:c r="AM696" t="inlineStr">
        <x:is>
          <x:t xml:space="preserve">ChatGPT research</x:t>
        </x:is>
      </x:c>
      <x:c r="AN696" t="inlineStr">
        <x:is>
          <x:t xml:space="preserve">2026-09-18</x:t>
        </x:is>
      </x:c>
      <x:c r="AO696" t="inlineStr">
        <x:is>
          <x:t xml:space="preserve">Day 11 Dhammapada. Avoid converting Buddhist doctrinal claims into universal psychological claims without context.</x:t>
        </x:is>
      </x:c>
    </x:row>
    <x:row r="697">
      <x:c r="A697" t="inlineStr">
        <x:is>
          <x:t xml:space="preserve">research.dhammapada.day11.v003</x:t>
        </x:is>
      </x:c>
      <x:c r="B697" t="inlineStr">
        <x:is>
          <x:t xml:space="preserve">Collected</x:t>
        </x:is>
      </x:c>
      <x:c r="C697" t="inlineStr">
        <x:is>
          <x:t xml:space="preserve">Nội tâm &amp; hiểu mình</x:t>
        </x:is>
      </x:c>
      <x:c r="D697" t="inlineStr">
        <x:is>
          <x:t xml:space="preserve">Day 11 / Dhammapada — 26 chapters / 423 verses</x:t>
        </x:is>
      </x:c>
      <x:c r="F697" t="inlineStr">
        <x:is>
          <x:t xml:space="preserve">Rumination after hurt</x:t>
        </x:is>
      </x:c>
      <x:c r="G697" t="inlineStr">
        <x:is>
          <x:t xml:space="preserve">Anger / Rumination</x:t>
        </x:is>
      </x:c>
      <x:c r="K697" t="inlineStr">
        <x:is>
          <x:t xml:space="preserve">Recognize</x:t>
        </x:is>
      </x:c>
      <x:c r="M697" t="inlineStr">
        <x:is>
          <x:t xml:space="preserve">Canonical verse / gāthā</x:t>
        </x:is>
      </x:c>
      <x:c r="N697" t="inlineStr">
        <x:is>
          <x:t xml:space="preserve">“Akkocchi maṁ, avadhi maṁ, ajini maṁ, ahāsi me”, ye ca taṁ upanayhanti veraṁ tesaṁ na sammati.</x:t>
        </x:is>
      </x:c>
      <x:c r="O697" t="inlineStr">
        <x:is>
          <x:t xml:space="preserve">Pāḷi</x:t>
        </x:is>
      </x:c>
      <x:c r="P697" t="inlineStr">
        <x:is>
          <x:t xml:space="preserve">Khi cứ giữ chặt câu chuyện “họ đã làm tôi tổn thương”, sự đối nghịch khó lắng xuống.</x:t>
        </x:is>
      </x:c>
      <x:c r="Q697" t="inlineStr">
        <x:is>
          <x:t xml:space="preserve">Dhammapada (Buddhist canonical verse tradition)</x:t>
        </x:is>
      </x:c>
      <x:c r="R697" t="inlineStr">
        <x:is>
          <x:t xml:space="preserve">Early Buddhist / Pāḷi tradition</x:t>
        </x:is>
      </x:c>
      <x:c r="S697" t="inlineStr">
        <x:is>
          <x:t xml:space="preserve">Dhammapada (Khuddaka Nikāya 2)</x:t>
        </x:is>
      </x:c>
      <x:c r="T697" t="inlineStr">
        <x:is>
          <x:t xml:space="preserve">Verse 3, chapter 1</x:t>
        </x:is>
      </x:c>
      <x:c r="U697" t="inlineStr">
        <x:is>
          <x:t xml:space="preserve">https://ancient-buddhist-texts.net/Texts-and-Translations/Dhammapada/01-Pairs.htm</x:t>
        </x:is>
      </x:c>
      <x:c r="V697" t="inlineStr">
        <x:is>
          <x:t xml:space="preserve">Primary Pāḷi text with interlinear scholarly translation</x:t>
        </x:is>
      </x:c>
      <x:c r="W697" t="inlineStr">
        <x:is>
          <x:t xml:space="preserve">Canonical verse</x:t>
        </x:is>
      </x:c>
      <x:c r="X697" t="inlineStr">
        <x:is>
          <x:t xml:space="preserve">A - Pāḷi verse source located</x:t>
        </x:is>
      </x:c>
      <x:c r="Y697" t="inlineStr">
        <x:is>
          <x:t xml:space="preserve">Pāḷi checked against Ancient Buddhist Texts Dhammapada edition. Vietnamese is a fresh Selflo working translation, not a published translation.</x:t>
        </x:is>
      </x:c>
      <x:c r="Z697" t="inlineStr">
        <x:is>
          <x:t xml:space="preserve">Ancient canonical text public domain; modern translation copyright separate</x:t>
        </x:is>
      </x:c>
      <x:c r="AA697" t="inlineStr">
        <x:is>
          <x:t xml:space="preserve">Retain Pāḷi original; use fresh Vietnamese translation. Do not copy a modern copyrighted translation verbatim.</x:t>
        </x:is>
      </x:c>
      <x:c r="AB697" t="inlineStr">
        <x:is>
          <x:t xml:space="preserve">High</x:t>
        </x:is>
      </x:c>
      <x:c r="AC697" t="inlineStr">
        <x:is>
          <x:t xml:space="preserve">Selected after full 26-chapter thematic screening; collection ≠ release approval.</x:t>
        </x:is>
      </x:c>
      <x:c r="AD697" t="inlineStr">
        <x:is>
          <x:t xml:space="preserve">Medium — ancient ethical/religious text needs contextual editorial review</x:t>
        </x:is>
      </x:c>
      <x:c r="AE697" t="inlineStr">
        <x:is>
          <x:t xml:space="preserve">Needs semantic dedupe review against Days 1–10 and existing Selflo originals</x:t>
        </x:is>
      </x:c>
      <x:c r="AH697" t="inlineStr">
        <x:is>
          <x:t xml:space="preserve">No</x:t>
        </x:is>
      </x:c>
      <x:c r="AI697" t="inlineStr">
        <x:is>
          <x:t xml:space="preserve">Not reviewed</x:t>
        </x:is>
      </x:c>
      <x:c r="AJ697" t="inlineStr">
        <x:is>
          <x:t xml:space="preserve">Research only</x:t>
        </x:is>
      </x:c>
      <x:c r="AK697" t="inlineStr">
        <x:is>
          <x:t xml:space="preserve">Research Pool</x:t>
        </x:is>
      </x:c>
      <x:c r="AL697" t="n">
        <x:v>11</x:v>
      </x:c>
      <x:c r="AM697" t="inlineStr">
        <x:is>
          <x:t xml:space="preserve">ChatGPT research</x:t>
        </x:is>
      </x:c>
      <x:c r="AN697" t="inlineStr">
        <x:is>
          <x:t xml:space="preserve">2026-09-18</x:t>
        </x:is>
      </x:c>
      <x:c r="AO697" t="inlineStr">
        <x:is>
          <x:t xml:space="preserve">Day 11 Dhammapada. Avoid converting Buddhist doctrinal claims into universal psychological claims without context.</x:t>
        </x:is>
      </x:c>
    </x:row>
    <x:row r="698">
      <x:c r="A698" t="inlineStr">
        <x:is>
          <x:t xml:space="preserve">research.dhammapada.day11.v004</x:t>
        </x:is>
      </x:c>
      <x:c r="B698" t="inlineStr">
        <x:is>
          <x:t xml:space="preserve">Collected</x:t>
        </x:is>
      </x:c>
      <x:c r="C698" t="inlineStr">
        <x:is>
          <x:t xml:space="preserve">Nội tâm &amp; hiểu mình</x:t>
        </x:is>
      </x:c>
      <x:c r="D698" t="inlineStr">
        <x:is>
          <x:t xml:space="preserve">Day 11 / Dhammapada — 26 chapters / 423 verses</x:t>
        </x:is>
      </x:c>
      <x:c r="F698" t="inlineStr">
        <x:is>
          <x:t xml:space="preserve">Letting the grievance loosen</x:t>
        </x:is>
      </x:c>
      <x:c r="G698" t="inlineStr">
        <x:is>
          <x:t xml:space="preserve">Anger / Rumination</x:t>
        </x:is>
      </x:c>
      <x:c r="K698" t="inlineStr">
        <x:is>
          <x:t xml:space="preserve">Permit</x:t>
        </x:is>
      </x:c>
      <x:c r="M698" t="inlineStr">
        <x:is>
          <x:t xml:space="preserve">Canonical verse / gāthā</x:t>
        </x:is>
      </x:c>
      <x:c r="N698" t="inlineStr">
        <x:is>
          <x:t xml:space="preserve">“Akkocchi maṁ, avadhi maṁ, ajini maṁ, ahāsi me”, ye taṁ na upanayhanti veraṁ tesūpasammati.</x:t>
        </x:is>
      </x:c>
      <x:c r="O698" t="inlineStr">
        <x:is>
          <x:t xml:space="preserve">Pāḷi</x:t>
        </x:is>
      </x:c>
      <x:c r="P698" t="inlineStr">
        <x:is>
          <x:t xml:space="preserve">Khi không tiếp tục ôm chặt câu chuyện bị tổn thương, sự đối nghịch có chỗ để lắng xuống.</x:t>
        </x:is>
      </x:c>
      <x:c r="Q698" t="inlineStr">
        <x:is>
          <x:t xml:space="preserve">Dhammapada (Buddhist canonical verse tradition)</x:t>
        </x:is>
      </x:c>
      <x:c r="R698" t="inlineStr">
        <x:is>
          <x:t xml:space="preserve">Early Buddhist / Pāḷi tradition</x:t>
        </x:is>
      </x:c>
      <x:c r="S698" t="inlineStr">
        <x:is>
          <x:t xml:space="preserve">Dhammapada (Khuddaka Nikāya 2)</x:t>
        </x:is>
      </x:c>
      <x:c r="T698" t="inlineStr">
        <x:is>
          <x:t xml:space="preserve">Verse 4, chapter 1</x:t>
        </x:is>
      </x:c>
      <x:c r="U698" t="inlineStr">
        <x:is>
          <x:t xml:space="preserve">https://ancient-buddhist-texts.net/Texts-and-Translations/Dhammapada/01-Pairs.htm</x:t>
        </x:is>
      </x:c>
      <x:c r="V698" t="inlineStr">
        <x:is>
          <x:t xml:space="preserve">Primary Pāḷi text with interlinear scholarly translation</x:t>
        </x:is>
      </x:c>
      <x:c r="W698" t="inlineStr">
        <x:is>
          <x:t xml:space="preserve">Canonical verse</x:t>
        </x:is>
      </x:c>
      <x:c r="X698" t="inlineStr">
        <x:is>
          <x:t xml:space="preserve">A - Pāḷi verse source located</x:t>
        </x:is>
      </x:c>
      <x:c r="Y698" t="inlineStr">
        <x:is>
          <x:t xml:space="preserve">Pāḷi checked against Ancient Buddhist Texts Dhammapada edition. Vietnamese is a fresh Selflo working translation, not a published translation.</x:t>
        </x:is>
      </x:c>
      <x:c r="Z698" t="inlineStr">
        <x:is>
          <x:t xml:space="preserve">Ancient canonical text public domain; modern translation copyright separate</x:t>
        </x:is>
      </x:c>
      <x:c r="AA698" t="inlineStr">
        <x:is>
          <x:t xml:space="preserve">Retain Pāḷi original; use fresh Vietnamese translation. Do not copy a modern copyrighted translation verbatim.</x:t>
        </x:is>
      </x:c>
      <x:c r="AB698" t="inlineStr">
        <x:is>
          <x:t xml:space="preserve">High</x:t>
        </x:is>
      </x:c>
      <x:c r="AC698" t="inlineStr">
        <x:is>
          <x:t xml:space="preserve">Selected after full 26-chapter thematic screening; collection ≠ release approval.</x:t>
        </x:is>
      </x:c>
      <x:c r="AD698" t="inlineStr">
        <x:is>
          <x:t xml:space="preserve">Medium — ancient ethical/religious text needs contextual editorial review</x:t>
        </x:is>
      </x:c>
      <x:c r="AE698" t="inlineStr">
        <x:is>
          <x:t xml:space="preserve">Needs semantic dedupe review against Days 1–10 and existing Selflo originals</x:t>
        </x:is>
      </x:c>
      <x:c r="AH698" t="inlineStr">
        <x:is>
          <x:t xml:space="preserve">No</x:t>
        </x:is>
      </x:c>
      <x:c r="AI698" t="inlineStr">
        <x:is>
          <x:t xml:space="preserve">Not reviewed</x:t>
        </x:is>
      </x:c>
      <x:c r="AJ698" t="inlineStr">
        <x:is>
          <x:t xml:space="preserve">Research only</x:t>
        </x:is>
      </x:c>
      <x:c r="AK698" t="inlineStr">
        <x:is>
          <x:t xml:space="preserve">Research Pool</x:t>
        </x:is>
      </x:c>
      <x:c r="AL698" t="n">
        <x:v>11</x:v>
      </x:c>
      <x:c r="AM698" t="inlineStr">
        <x:is>
          <x:t xml:space="preserve">ChatGPT research</x:t>
        </x:is>
      </x:c>
      <x:c r="AN698" t="inlineStr">
        <x:is>
          <x:t xml:space="preserve">2026-09-18</x:t>
        </x:is>
      </x:c>
      <x:c r="AO698" t="inlineStr">
        <x:is>
          <x:t xml:space="preserve">Day 11 Dhammapada. Avoid converting Buddhist doctrinal claims into universal psychological claims without context.</x:t>
        </x:is>
      </x:c>
    </x:row>
    <x:row r="699">
      <x:c r="A699" t="inlineStr">
        <x:is>
          <x:t xml:space="preserve">research.dhammapada.day11.v005</x:t>
        </x:is>
      </x:c>
      <x:c r="B699" t="inlineStr">
        <x:is>
          <x:t xml:space="preserve">Collected</x:t>
        </x:is>
      </x:c>
      <x:c r="C699" t="inlineStr">
        <x:is>
          <x:t xml:space="preserve">Nội tâm &amp; hiểu mình</x:t>
        </x:is>
      </x:c>
      <x:c r="D699" t="inlineStr">
        <x:is>
          <x:t xml:space="preserve">Day 11 / Dhammapada — 26 chapters / 423 verses</x:t>
        </x:is>
      </x:c>
      <x:c r="F699" t="inlineStr">
        <x:is>
          <x:t xml:space="preserve">Conflict escalation</x:t>
        </x:is>
      </x:c>
      <x:c r="G699" t="inlineStr">
        <x:is>
          <x:t xml:space="preserve">Anger / Relationships</x:t>
        </x:is>
      </x:c>
      <x:c r="K699" t="inlineStr">
        <x:is>
          <x:t xml:space="preserve">Distinguish</x:t>
        </x:is>
      </x:c>
      <x:c r="M699" t="inlineStr">
        <x:is>
          <x:t xml:space="preserve">Canonical verse / gāthā</x:t>
        </x:is>
      </x:c>
      <x:c r="N699" t="inlineStr">
        <x:is>
          <x:t xml:space="preserve">Na hi verena verāni sammantīdha kudācanaṁ; averena ca sammanti, esa dhammo sanantano.</x:t>
        </x:is>
      </x:c>
      <x:c r="O699" t="inlineStr">
        <x:is>
          <x:t xml:space="preserve">Pāḷi</x:t>
        </x:is>
      </x:c>
      <x:c r="P699" t="inlineStr">
        <x:is>
          <x:t xml:space="preserve">Hận thù không chấm dứt bằng thêm hận thù; nó lắng bằng điều không phải hận thù.</x:t>
        </x:is>
      </x:c>
      <x:c r="Q699" t="inlineStr">
        <x:is>
          <x:t xml:space="preserve">Dhammapada (Buddhist canonical verse tradition)</x:t>
        </x:is>
      </x:c>
      <x:c r="R699" t="inlineStr">
        <x:is>
          <x:t xml:space="preserve">Early Buddhist / Pāḷi tradition</x:t>
        </x:is>
      </x:c>
      <x:c r="S699" t="inlineStr">
        <x:is>
          <x:t xml:space="preserve">Dhammapada (Khuddaka Nikāya 2)</x:t>
        </x:is>
      </x:c>
      <x:c r="T699" t="inlineStr">
        <x:is>
          <x:t xml:space="preserve">Verse 5, chapter 1</x:t>
        </x:is>
      </x:c>
      <x:c r="U699" t="inlineStr">
        <x:is>
          <x:t xml:space="preserve">https://ancient-buddhist-texts.net/Texts-and-Translations/Dhammapada/01-Pairs.htm</x:t>
        </x:is>
      </x:c>
      <x:c r="V699" t="inlineStr">
        <x:is>
          <x:t xml:space="preserve">Primary Pāḷi text with interlinear scholarly translation</x:t>
        </x:is>
      </x:c>
      <x:c r="W699" t="inlineStr">
        <x:is>
          <x:t xml:space="preserve">Canonical verse</x:t>
        </x:is>
      </x:c>
      <x:c r="X699" t="inlineStr">
        <x:is>
          <x:t xml:space="preserve">A - Pāḷi verse source located</x:t>
        </x:is>
      </x:c>
      <x:c r="Y699" t="inlineStr">
        <x:is>
          <x:t xml:space="preserve">Pāḷi checked against Ancient Buddhist Texts Dhammapada edition. Vietnamese is a fresh Selflo working translation, not a published translation.</x:t>
        </x:is>
      </x:c>
      <x:c r="Z699" t="inlineStr">
        <x:is>
          <x:t xml:space="preserve">Ancient canonical text public domain; modern translation copyright separate</x:t>
        </x:is>
      </x:c>
      <x:c r="AA699" t="inlineStr">
        <x:is>
          <x:t xml:space="preserve">Retain Pāḷi original; use fresh Vietnamese translation. Do not copy a modern copyrighted translation verbatim.</x:t>
        </x:is>
      </x:c>
      <x:c r="AB699" t="inlineStr">
        <x:is>
          <x:t xml:space="preserve">High</x:t>
        </x:is>
      </x:c>
      <x:c r="AC699" t="inlineStr">
        <x:is>
          <x:t xml:space="preserve">Selected after full 26-chapter thematic screening; collection ≠ release approval.</x:t>
        </x:is>
      </x:c>
      <x:c r="AD699" t="inlineStr">
        <x:is>
          <x:t xml:space="preserve">Medium — ancient ethical/religious text needs contextual editorial review</x:t>
        </x:is>
      </x:c>
      <x:c r="AE699" t="inlineStr">
        <x:is>
          <x:t xml:space="preserve">Needs semantic dedupe review against Days 1–10 and existing Selflo originals</x:t>
        </x:is>
      </x:c>
      <x:c r="AH699" t="inlineStr">
        <x:is>
          <x:t xml:space="preserve">No</x:t>
        </x:is>
      </x:c>
      <x:c r="AI699" t="inlineStr">
        <x:is>
          <x:t xml:space="preserve">Not reviewed</x:t>
        </x:is>
      </x:c>
      <x:c r="AJ699" t="inlineStr">
        <x:is>
          <x:t xml:space="preserve">Research only</x:t>
        </x:is>
      </x:c>
      <x:c r="AK699" t="inlineStr">
        <x:is>
          <x:t xml:space="preserve">Research Pool</x:t>
        </x:is>
      </x:c>
      <x:c r="AL699" t="n">
        <x:v>11</x:v>
      </x:c>
      <x:c r="AM699" t="inlineStr">
        <x:is>
          <x:t xml:space="preserve">ChatGPT research</x:t>
        </x:is>
      </x:c>
      <x:c r="AN699" t="inlineStr">
        <x:is>
          <x:t xml:space="preserve">2026-09-18</x:t>
        </x:is>
      </x:c>
      <x:c r="AO699" t="inlineStr">
        <x:is>
          <x:t xml:space="preserve">Day 11 Dhammapada. Avoid converting Buddhist doctrinal claims into universal psychological claims without context.</x:t>
        </x:is>
      </x:c>
    </x:row>
    <x:row r="700">
      <x:c r="A700" t="inlineStr">
        <x:is>
          <x:t xml:space="preserve">research.dhammapada.day11.v006</x:t>
        </x:is>
      </x:c>
      <x:c r="B700" t="inlineStr">
        <x:is>
          <x:t xml:space="preserve">Collected</x:t>
        </x:is>
      </x:c>
      <x:c r="C700" t="inlineStr">
        <x:is>
          <x:t xml:space="preserve">Nội tâm &amp; hiểu mình</x:t>
        </x:is>
      </x:c>
      <x:c r="D700" t="inlineStr">
        <x:is>
          <x:t xml:space="preserve">Day 11 / Dhammapada — 26 chapters / 423 verses</x:t>
        </x:is>
      </x:c>
      <x:c r="F700" t="inlineStr">
        <x:is>
          <x:t xml:space="preserve">Conflict and mortality</x:t>
        </x:is>
      </x:c>
      <x:c r="G700" t="inlineStr">
        <x:is>
          <x:t xml:space="preserve">Relationships</x:t>
        </x:is>
      </x:c>
      <x:c r="K700" t="inlineStr">
        <x:is>
          <x:t xml:space="preserve">Reframe</x:t>
        </x:is>
      </x:c>
      <x:c r="M700" t="inlineStr">
        <x:is>
          <x:t xml:space="preserve">Canonical verse / gāthā</x:t>
        </x:is>
      </x:c>
      <x:c r="N700" t="inlineStr">
        <x:is>
          <x:t xml:space="preserve">Pare ca na vijānanti mayam-ettha yamāmase; ye ca tattha vijānanti tato sammanti medhagā.</x:t>
        </x:is>
      </x:c>
      <x:c r="O700" t="inlineStr">
        <x:is>
          <x:t xml:space="preserve">Pāḷi</x:t>
        </x:is>
      </x:c>
      <x:c r="P700" t="inlineStr">
        <x:is>
          <x:t xml:space="preserve">Khi nhận ra mình cũng hữu hạn trong cuộc xung đột này, tranh chấp có thể bắt đầu dịu lại.</x:t>
        </x:is>
      </x:c>
      <x:c r="Q700" t="inlineStr">
        <x:is>
          <x:t xml:space="preserve">Dhammapada (Buddhist canonical verse tradition)</x:t>
        </x:is>
      </x:c>
      <x:c r="R700" t="inlineStr">
        <x:is>
          <x:t xml:space="preserve">Early Buddhist / Pāḷi tradition</x:t>
        </x:is>
      </x:c>
      <x:c r="S700" t="inlineStr">
        <x:is>
          <x:t xml:space="preserve">Dhammapada (Khuddaka Nikāya 2)</x:t>
        </x:is>
      </x:c>
      <x:c r="T700" t="inlineStr">
        <x:is>
          <x:t xml:space="preserve">Verse 6, chapter 1</x:t>
        </x:is>
      </x:c>
      <x:c r="U700" t="inlineStr">
        <x:is>
          <x:t xml:space="preserve">https://ancient-buddhist-texts.net/Texts-and-Translations/Dhammapada/01-Pairs.htm</x:t>
        </x:is>
      </x:c>
      <x:c r="V700" t="inlineStr">
        <x:is>
          <x:t xml:space="preserve">Primary Pāḷi text with interlinear scholarly translation</x:t>
        </x:is>
      </x:c>
      <x:c r="W700" t="inlineStr">
        <x:is>
          <x:t xml:space="preserve">Canonical verse</x:t>
        </x:is>
      </x:c>
      <x:c r="X700" t="inlineStr">
        <x:is>
          <x:t xml:space="preserve">A - Pāḷi verse source located</x:t>
        </x:is>
      </x:c>
      <x:c r="Y700" t="inlineStr">
        <x:is>
          <x:t xml:space="preserve">Pāḷi checked against Ancient Buddhist Texts Dhammapada edition. Vietnamese is a fresh Selflo working translation, not a published translation.</x:t>
        </x:is>
      </x:c>
      <x:c r="Z700" t="inlineStr">
        <x:is>
          <x:t xml:space="preserve">Ancient canonical text public domain; modern translation copyright separate</x:t>
        </x:is>
      </x:c>
      <x:c r="AA700" t="inlineStr">
        <x:is>
          <x:t xml:space="preserve">Retain Pāḷi original; use fresh Vietnamese translation. Do not copy a modern copyrighted translation verbatim.</x:t>
        </x:is>
      </x:c>
      <x:c r="AB700" t="inlineStr">
        <x:is>
          <x:t xml:space="preserve">Medium</x:t>
        </x:is>
      </x:c>
      <x:c r="AC700" t="inlineStr">
        <x:is>
          <x:t xml:space="preserve">Selected after full 26-chapter thematic screening; collection ≠ release approval.</x:t>
        </x:is>
      </x:c>
      <x:c r="AD700" t="inlineStr">
        <x:is>
          <x:t xml:space="preserve">Medium — ancient ethical/religious text needs contextual editorial review</x:t>
        </x:is>
      </x:c>
      <x:c r="AE700" t="inlineStr">
        <x:is>
          <x:t xml:space="preserve">Needs semantic dedupe review against Days 1–10 and existing Selflo originals</x:t>
        </x:is>
      </x:c>
      <x:c r="AH700" t="inlineStr">
        <x:is>
          <x:t xml:space="preserve">No</x:t>
        </x:is>
      </x:c>
      <x:c r="AI700" t="inlineStr">
        <x:is>
          <x:t xml:space="preserve">Not reviewed</x:t>
        </x:is>
      </x:c>
      <x:c r="AJ700" t="inlineStr">
        <x:is>
          <x:t xml:space="preserve">Research only</x:t>
        </x:is>
      </x:c>
      <x:c r="AK700" t="inlineStr">
        <x:is>
          <x:t xml:space="preserve">Research Pool</x:t>
        </x:is>
      </x:c>
      <x:c r="AL700" t="n">
        <x:v>11</x:v>
      </x:c>
      <x:c r="AM700" t="inlineStr">
        <x:is>
          <x:t xml:space="preserve">ChatGPT research</x:t>
        </x:is>
      </x:c>
      <x:c r="AN700" t="inlineStr">
        <x:is>
          <x:t xml:space="preserve">2026-09-18</x:t>
        </x:is>
      </x:c>
      <x:c r="AO700" t="inlineStr">
        <x:is>
          <x:t xml:space="preserve">Day 11 Dhammapada. Avoid converting Buddhist doctrinal claims into universal psychological claims without context.</x:t>
        </x:is>
      </x:c>
    </x:row>
    <x:row r="701">
      <x:c r="A701" t="inlineStr">
        <x:is>
          <x:t xml:space="preserve">research.dhammapada.day11.v011</x:t>
        </x:is>
      </x:c>
      <x:c r="B701" t="inlineStr">
        <x:is>
          <x:t xml:space="preserve">Collected</x:t>
        </x:is>
      </x:c>
      <x:c r="C701" t="inlineStr">
        <x:is>
          <x:t xml:space="preserve">Nội tâm &amp; hiểu mình</x:t>
        </x:is>
      </x:c>
      <x:c r="D701" t="inlineStr">
        <x:is>
          <x:t xml:space="preserve">Day 11 / Dhammapada — 26 chapters / 423 verses</x:t>
        </x:is>
      </x:c>
      <x:c r="F701" t="inlineStr">
        <x:is>
          <x:t xml:space="preserve">What matters</x:t>
        </x:is>
      </x:c>
      <x:c r="G701" t="inlineStr">
        <x:is>
          <x:t xml:space="preserve">Values / Judgment</x:t>
        </x:is>
      </x:c>
      <x:c r="K701" t="inlineStr">
        <x:is>
          <x:t xml:space="preserve">Distinguish</x:t>
        </x:is>
      </x:c>
      <x:c r="M701" t="inlineStr">
        <x:is>
          <x:t xml:space="preserve">Canonical verse / gāthā</x:t>
        </x:is>
      </x:c>
      <x:c r="N701" t="inlineStr">
        <x:is>
          <x:t xml:space="preserve">Asāre sāramatino, sāre cāsāradassino, te sāraṁ nādhigacchanti, micchāsaṅkappagocarā.</x:t>
        </x:is>
      </x:c>
      <x:c r="O701" t="inlineStr">
        <x:is>
          <x:t xml:space="preserve">Pāḷi</x:t>
        </x:is>
      </x:c>
      <x:c r="P701" t="inlineStr">
        <x:is>
          <x:t xml:space="preserve">Nếu xem điều không cốt yếu là cốt yếu và bỏ qua điều cốt yếu, ta dễ đi xa khỏi điều thật sự quan trọng.</x:t>
        </x:is>
      </x:c>
      <x:c r="Q701" t="inlineStr">
        <x:is>
          <x:t xml:space="preserve">Dhammapada (Buddhist canonical verse tradition)</x:t>
        </x:is>
      </x:c>
      <x:c r="R701" t="inlineStr">
        <x:is>
          <x:t xml:space="preserve">Early Buddhist / Pāḷi tradition</x:t>
        </x:is>
      </x:c>
      <x:c r="S701" t="inlineStr">
        <x:is>
          <x:t xml:space="preserve">Dhammapada (Khuddaka Nikāya 2)</x:t>
        </x:is>
      </x:c>
      <x:c r="T701" t="inlineStr">
        <x:is>
          <x:t xml:space="preserve">Verse 11, chapter 1</x:t>
        </x:is>
      </x:c>
      <x:c r="U701" t="inlineStr">
        <x:is>
          <x:t xml:space="preserve">https://ancient-buddhist-texts.net/Texts-and-Translations/Dhammapada/01-Pairs.htm</x:t>
        </x:is>
      </x:c>
      <x:c r="V701" t="inlineStr">
        <x:is>
          <x:t xml:space="preserve">Primary Pāḷi text with interlinear scholarly translation</x:t>
        </x:is>
      </x:c>
      <x:c r="W701" t="inlineStr">
        <x:is>
          <x:t xml:space="preserve">Canonical verse</x:t>
        </x:is>
      </x:c>
      <x:c r="X701" t="inlineStr">
        <x:is>
          <x:t xml:space="preserve">A - Pāḷi verse source located</x:t>
        </x:is>
      </x:c>
      <x:c r="Y701" t="inlineStr">
        <x:is>
          <x:t xml:space="preserve">Pāḷi checked against Ancient Buddhist Texts Dhammapada edition. Vietnamese is a fresh Selflo working translation, not a published translation.</x:t>
        </x:is>
      </x:c>
      <x:c r="Z701" t="inlineStr">
        <x:is>
          <x:t xml:space="preserve">Ancient canonical text public domain; modern translation copyright separate</x:t>
        </x:is>
      </x:c>
      <x:c r="AA701" t="inlineStr">
        <x:is>
          <x:t xml:space="preserve">Retain Pāḷi original; use fresh Vietnamese translation. Do not copy a modern copyrighted translation verbatim.</x:t>
        </x:is>
      </x:c>
      <x:c r="AB701" t="inlineStr">
        <x:is>
          <x:t xml:space="preserve">High</x:t>
        </x:is>
      </x:c>
      <x:c r="AC701" t="inlineStr">
        <x:is>
          <x:t xml:space="preserve">Selected after full 26-chapter thematic screening; collection ≠ release approval.</x:t>
        </x:is>
      </x:c>
      <x:c r="AD701" t="inlineStr">
        <x:is>
          <x:t xml:space="preserve">Medium — ancient ethical/religious text needs contextual editorial review</x:t>
        </x:is>
      </x:c>
      <x:c r="AE701" t="inlineStr">
        <x:is>
          <x:t xml:space="preserve">Needs semantic dedupe review against Days 1–10 and existing Selflo originals</x:t>
        </x:is>
      </x:c>
      <x:c r="AH701" t="inlineStr">
        <x:is>
          <x:t xml:space="preserve">No</x:t>
        </x:is>
      </x:c>
      <x:c r="AI701" t="inlineStr">
        <x:is>
          <x:t xml:space="preserve">Not reviewed</x:t>
        </x:is>
      </x:c>
      <x:c r="AJ701" t="inlineStr">
        <x:is>
          <x:t xml:space="preserve">Research only</x:t>
        </x:is>
      </x:c>
      <x:c r="AK701" t="inlineStr">
        <x:is>
          <x:t xml:space="preserve">Research Pool</x:t>
        </x:is>
      </x:c>
      <x:c r="AL701" t="n">
        <x:v>11</x:v>
      </x:c>
      <x:c r="AM701" t="inlineStr">
        <x:is>
          <x:t xml:space="preserve">ChatGPT research</x:t>
        </x:is>
      </x:c>
      <x:c r="AN701" t="inlineStr">
        <x:is>
          <x:t xml:space="preserve">2026-09-18</x:t>
        </x:is>
      </x:c>
      <x:c r="AO701" t="inlineStr">
        <x:is>
          <x:t xml:space="preserve">Day 11 Dhammapada. Avoid converting Buddhist doctrinal claims into universal psychological claims without context.</x:t>
        </x:is>
      </x:c>
    </x:row>
    <x:row r="702">
      <x:c r="A702" t="inlineStr">
        <x:is>
          <x:t xml:space="preserve">research.dhammapada.day11.v012</x:t>
        </x:is>
      </x:c>
      <x:c r="B702" t="inlineStr">
        <x:is>
          <x:t xml:space="preserve">Collected</x:t>
        </x:is>
      </x:c>
      <x:c r="C702" t="inlineStr">
        <x:is>
          <x:t xml:space="preserve">Nội tâm &amp; hiểu mình</x:t>
        </x:is>
      </x:c>
      <x:c r="D702" t="inlineStr">
        <x:is>
          <x:t xml:space="preserve">Day 11 / Dhammapada — 26 chapters / 423 verses</x:t>
        </x:is>
      </x:c>
      <x:c r="F702" t="inlineStr">
        <x:is>
          <x:t xml:space="preserve">Clarifying priorities</x:t>
        </x:is>
      </x:c>
      <x:c r="G702" t="inlineStr">
        <x:is>
          <x:t xml:space="preserve">Values / Judgment</x:t>
        </x:is>
      </x:c>
      <x:c r="K702" t="inlineStr">
        <x:is>
          <x:t xml:space="preserve">Return agency</x:t>
        </x:is>
      </x:c>
      <x:c r="M702" t="inlineStr">
        <x:is>
          <x:t xml:space="preserve">Canonical verse / gāthā</x:t>
        </x:is>
      </x:c>
      <x:c r="N702" t="inlineStr">
        <x:is>
          <x:t xml:space="preserve">Sārañ-ca sārato ñatvā, asārañ-ca asārato, te sāraṁ adhigacchanti, sammāsaṅkappagocarā.</x:t>
        </x:is>
      </x:c>
      <x:c r="O702" t="inlineStr">
        <x:is>
          <x:t xml:space="preserve">Pāḷi</x:t>
        </x:is>
      </x:c>
      <x:c r="P702" t="inlineStr">
        <x:is>
          <x:t xml:space="preserve">Nhìn điều cốt yếu như điều cốt yếu, và điều không cốt yếu đúng như nó là, giúp ta trở lại với điều đáng giữ.</x:t>
        </x:is>
      </x:c>
      <x:c r="Q702" t="inlineStr">
        <x:is>
          <x:t xml:space="preserve">Dhammapada (Buddhist canonical verse tradition)</x:t>
        </x:is>
      </x:c>
      <x:c r="R702" t="inlineStr">
        <x:is>
          <x:t xml:space="preserve">Early Buddhist / Pāḷi tradition</x:t>
        </x:is>
      </x:c>
      <x:c r="S702" t="inlineStr">
        <x:is>
          <x:t xml:space="preserve">Dhammapada (Khuddaka Nikāya 2)</x:t>
        </x:is>
      </x:c>
      <x:c r="T702" t="inlineStr">
        <x:is>
          <x:t xml:space="preserve">Verse 12, chapter 1</x:t>
        </x:is>
      </x:c>
      <x:c r="U702" t="inlineStr">
        <x:is>
          <x:t xml:space="preserve">https://ancient-buddhist-texts.net/Texts-and-Translations/Dhammapada/01-Pairs.htm</x:t>
        </x:is>
      </x:c>
      <x:c r="V702" t="inlineStr">
        <x:is>
          <x:t xml:space="preserve">Primary Pāḷi text with interlinear scholarly translation</x:t>
        </x:is>
      </x:c>
      <x:c r="W702" t="inlineStr">
        <x:is>
          <x:t xml:space="preserve">Canonical verse</x:t>
        </x:is>
      </x:c>
      <x:c r="X702" t="inlineStr">
        <x:is>
          <x:t xml:space="preserve">A - Pāḷi verse source located</x:t>
        </x:is>
      </x:c>
      <x:c r="Y702" t="inlineStr">
        <x:is>
          <x:t xml:space="preserve">Pāḷi checked against Ancient Buddhist Texts Dhammapada edition. Vietnamese is a fresh Selflo working translation, not a published translation.</x:t>
        </x:is>
      </x:c>
      <x:c r="Z702" t="inlineStr">
        <x:is>
          <x:t xml:space="preserve">Ancient canonical text public domain; modern translation copyright separate</x:t>
        </x:is>
      </x:c>
      <x:c r="AA702" t="inlineStr">
        <x:is>
          <x:t xml:space="preserve">Retain Pāḷi original; use fresh Vietnamese translation. Do not copy a modern copyrighted translation verbatim.</x:t>
        </x:is>
      </x:c>
      <x:c r="AB702" t="inlineStr">
        <x:is>
          <x:t xml:space="preserve">High</x:t>
        </x:is>
      </x:c>
      <x:c r="AC702" t="inlineStr">
        <x:is>
          <x:t xml:space="preserve">Selected after full 26-chapter thematic screening; collection ≠ release approval.</x:t>
        </x:is>
      </x:c>
      <x:c r="AD702" t="inlineStr">
        <x:is>
          <x:t xml:space="preserve">Medium — ancient ethical/religious text needs contextual editorial review</x:t>
        </x:is>
      </x:c>
      <x:c r="AE702" t="inlineStr">
        <x:is>
          <x:t xml:space="preserve">Needs semantic dedupe review against Days 1–10 and existing Selflo originals</x:t>
        </x:is>
      </x:c>
      <x:c r="AH702" t="inlineStr">
        <x:is>
          <x:t xml:space="preserve">No</x:t>
        </x:is>
      </x:c>
      <x:c r="AI702" t="inlineStr">
        <x:is>
          <x:t xml:space="preserve">Not reviewed</x:t>
        </x:is>
      </x:c>
      <x:c r="AJ702" t="inlineStr">
        <x:is>
          <x:t xml:space="preserve">Research only</x:t>
        </x:is>
      </x:c>
      <x:c r="AK702" t="inlineStr">
        <x:is>
          <x:t xml:space="preserve">Research Pool</x:t>
        </x:is>
      </x:c>
      <x:c r="AL702" t="n">
        <x:v>11</x:v>
      </x:c>
      <x:c r="AM702" t="inlineStr">
        <x:is>
          <x:t xml:space="preserve">ChatGPT research</x:t>
        </x:is>
      </x:c>
      <x:c r="AN702" t="inlineStr">
        <x:is>
          <x:t xml:space="preserve">2026-09-18</x:t>
        </x:is>
      </x:c>
      <x:c r="AO702" t="inlineStr">
        <x:is>
          <x:t xml:space="preserve">Day 11 Dhammapada. Avoid converting Buddhist doctrinal claims into universal psychological claims without context.</x:t>
        </x:is>
      </x:c>
    </x:row>
    <x:row r="703">
      <x:c r="A703" t="inlineStr">
        <x:is>
          <x:t xml:space="preserve">research.dhammapada.day11.v019</x:t>
        </x:is>
      </x:c>
      <x:c r="B703" t="inlineStr">
        <x:is>
          <x:t xml:space="preserve">Collected</x:t>
        </x:is>
      </x:c>
      <x:c r="C703" t="inlineStr">
        <x:is>
          <x:t xml:space="preserve">Nội tâm &amp; hiểu mình</x:t>
        </x:is>
      </x:c>
      <x:c r="D703" t="inlineStr">
        <x:is>
          <x:t xml:space="preserve">Day 11 / Dhammapada — 26 chapters / 423 verses</x:t>
        </x:is>
      </x:c>
      <x:c r="F703" t="inlineStr">
        <x:is>
          <x:t xml:space="preserve">Knowledge without lived practice</x:t>
        </x:is>
      </x:c>
      <x:c r="G703" t="inlineStr">
        <x:is>
          <x:t xml:space="preserve">Learning / AI age</x:t>
        </x:is>
      </x:c>
      <x:c r="K703" t="inlineStr">
        <x:is>
          <x:t xml:space="preserve">Distinguish</x:t>
        </x:is>
      </x:c>
      <x:c r="M703" t="inlineStr">
        <x:is>
          <x:t xml:space="preserve">Canonical verse / gāthā</x:t>
        </x:is>
      </x:c>
      <x:c r="N703" t="inlineStr">
        <x:is>
          <x:t xml:space="preserve">Bahum-pi ce sahitaṁ bhāsamāno, na takkaro hoti naro pamatto, gopo va gāvo gaṇayaṁ paresaṁ, na bhāgavā sāmaññassa hoti.</x:t>
        </x:is>
      </x:c>
      <x:c r="O703" t="inlineStr">
        <x:is>
          <x:t xml:space="preserve">Pāḷi</x:t>
        </x:is>
      </x:c>
      <x:c r="P703" t="inlineStr">
        <x:is>
          <x:t xml:space="preserve">Có thể biết và nói rất nhiều mà vẫn chưa sống được điều mình biết—như người chỉ đếm đàn bò của người khác.</x:t>
        </x:is>
      </x:c>
      <x:c r="Q703" t="inlineStr">
        <x:is>
          <x:t xml:space="preserve">Dhammapada (Buddhist canonical verse tradition)</x:t>
        </x:is>
      </x:c>
      <x:c r="R703" t="inlineStr">
        <x:is>
          <x:t xml:space="preserve">Early Buddhist / Pāḷi tradition</x:t>
        </x:is>
      </x:c>
      <x:c r="S703" t="inlineStr">
        <x:is>
          <x:t xml:space="preserve">Dhammapada (Khuddaka Nikāya 2)</x:t>
        </x:is>
      </x:c>
      <x:c r="T703" t="inlineStr">
        <x:is>
          <x:t xml:space="preserve">Verse 19, chapter 1</x:t>
        </x:is>
      </x:c>
      <x:c r="U703" t="inlineStr">
        <x:is>
          <x:t xml:space="preserve">https://ancient-buddhist-texts.net/Texts-and-Translations/Dhammapada/01-Pairs.htm</x:t>
        </x:is>
      </x:c>
      <x:c r="V703" t="inlineStr">
        <x:is>
          <x:t xml:space="preserve">Primary Pāḷi text with interlinear scholarly translation</x:t>
        </x:is>
      </x:c>
      <x:c r="W703" t="inlineStr">
        <x:is>
          <x:t xml:space="preserve">Canonical verse</x:t>
        </x:is>
      </x:c>
      <x:c r="X703" t="inlineStr">
        <x:is>
          <x:t xml:space="preserve">A - Pāḷi verse source located</x:t>
        </x:is>
      </x:c>
      <x:c r="Y703" t="inlineStr">
        <x:is>
          <x:t xml:space="preserve">Pāḷi checked against Ancient Buddhist Texts Dhammapada edition. Vietnamese is a fresh Selflo working translation, not a published translation.</x:t>
        </x:is>
      </x:c>
      <x:c r="Z703" t="inlineStr">
        <x:is>
          <x:t xml:space="preserve">Ancient canonical text public domain; modern translation copyright separate</x:t>
        </x:is>
      </x:c>
      <x:c r="AA703" t="inlineStr">
        <x:is>
          <x:t xml:space="preserve">Retain Pāḷi original; use fresh Vietnamese translation. Do not copy a modern copyrighted translation verbatim.</x:t>
        </x:is>
      </x:c>
      <x:c r="AB703" t="inlineStr">
        <x:is>
          <x:t xml:space="preserve">High</x:t>
        </x:is>
      </x:c>
      <x:c r="AC703" t="inlineStr">
        <x:is>
          <x:t xml:space="preserve">Selected after full 26-chapter thematic screening; collection ≠ release approval.</x:t>
        </x:is>
      </x:c>
      <x:c r="AD703" t="inlineStr">
        <x:is>
          <x:t xml:space="preserve">Medium — ancient ethical/religious text needs contextual editorial review</x:t>
        </x:is>
      </x:c>
      <x:c r="AE703" t="inlineStr">
        <x:is>
          <x:t xml:space="preserve">Needs semantic dedupe review against Days 1–10 and existing Selflo originals</x:t>
        </x:is>
      </x:c>
      <x:c r="AH703" t="inlineStr">
        <x:is>
          <x:t xml:space="preserve">No</x:t>
        </x:is>
      </x:c>
      <x:c r="AI703" t="inlineStr">
        <x:is>
          <x:t xml:space="preserve">Not reviewed</x:t>
        </x:is>
      </x:c>
      <x:c r="AJ703" t="inlineStr">
        <x:is>
          <x:t xml:space="preserve">Research only</x:t>
        </x:is>
      </x:c>
      <x:c r="AK703" t="inlineStr">
        <x:is>
          <x:t xml:space="preserve">Research Pool</x:t>
        </x:is>
      </x:c>
      <x:c r="AL703" t="n">
        <x:v>11</x:v>
      </x:c>
      <x:c r="AM703" t="inlineStr">
        <x:is>
          <x:t xml:space="preserve">ChatGPT research</x:t>
        </x:is>
      </x:c>
      <x:c r="AN703" t="inlineStr">
        <x:is>
          <x:t xml:space="preserve">2026-09-18</x:t>
        </x:is>
      </x:c>
      <x:c r="AO703" t="inlineStr">
        <x:is>
          <x:t xml:space="preserve">Day 11 Dhammapada. Avoid converting Buddhist doctrinal claims into universal psychological claims without context.</x:t>
        </x:is>
      </x:c>
    </x:row>
    <x:row r="704">
      <x:c r="A704" t="inlineStr">
        <x:is>
          <x:t xml:space="preserve">research.dhammapada.day11.v020</x:t>
        </x:is>
      </x:c>
      <x:c r="B704" t="inlineStr">
        <x:is>
          <x:t xml:space="preserve">Collected</x:t>
        </x:is>
      </x:c>
      <x:c r="C704" t="inlineStr">
        <x:is>
          <x:t xml:space="preserve">Nội tâm &amp; hiểu mình</x:t>
        </x:is>
      </x:c>
      <x:c r="D704" t="inlineStr">
        <x:is>
          <x:t xml:space="preserve">Day 11 / Dhammapada — 26 chapters / 423 verses</x:t>
        </x:is>
      </x:c>
      <x:c r="F704" t="inlineStr">
        <x:is>
          <x:t xml:space="preserve">Knowledge into life</x:t>
        </x:is>
      </x:c>
      <x:c r="G704" t="inlineStr">
        <x:is>
          <x:t xml:space="preserve">Learning / AI age</x:t>
        </x:is>
      </x:c>
      <x:c r="K704" t="inlineStr">
        <x:is>
          <x:t xml:space="preserve">Reframe</x:t>
        </x:is>
      </x:c>
      <x:c r="M704" t="inlineStr">
        <x:is>
          <x:t xml:space="preserve">Canonical verse / gāthā</x:t>
        </x:is>
      </x:c>
      <x:c r="N704" t="inlineStr">
        <x:is>
          <x:t xml:space="preserve">Appam-pi ce sahitaṁ bhāsamāno, Dhammassa hoti anudhammacārī ... sa bhāgavā sāmaññassa hoti.</x:t>
        </x:is>
      </x:c>
      <x:c r="O704" t="inlineStr">
        <x:is>
          <x:t xml:space="preserve">Pāḷi</x:t>
        </x:is>
      </x:c>
      <x:c r="P704" t="inlineStr">
        <x:is>
          <x:t xml:space="preserve">Biết ít hơn nhưng thật sự sống được điều mình hiểu có thể có giá trị hơn việc chỉ tích lũy lời.</x:t>
        </x:is>
      </x:c>
      <x:c r="Q704" t="inlineStr">
        <x:is>
          <x:t xml:space="preserve">Dhammapada (Buddhist canonical verse tradition)</x:t>
        </x:is>
      </x:c>
      <x:c r="R704" t="inlineStr">
        <x:is>
          <x:t xml:space="preserve">Early Buddhist / Pāḷi tradition</x:t>
        </x:is>
      </x:c>
      <x:c r="S704" t="inlineStr">
        <x:is>
          <x:t xml:space="preserve">Dhammapada (Khuddaka Nikāya 2)</x:t>
        </x:is>
      </x:c>
      <x:c r="T704" t="inlineStr">
        <x:is>
          <x:t xml:space="preserve">Verse 20, chapter 1</x:t>
        </x:is>
      </x:c>
      <x:c r="U704" t="inlineStr">
        <x:is>
          <x:t xml:space="preserve">https://ancient-buddhist-texts.net/Texts-and-Translations/Dhammapada/01-Pairs.htm</x:t>
        </x:is>
      </x:c>
      <x:c r="V704" t="inlineStr">
        <x:is>
          <x:t xml:space="preserve">Primary Pāḷi text with interlinear scholarly translation</x:t>
        </x:is>
      </x:c>
      <x:c r="W704" t="inlineStr">
        <x:is>
          <x:t xml:space="preserve">Canonical verse</x:t>
        </x:is>
      </x:c>
      <x:c r="X704" t="inlineStr">
        <x:is>
          <x:t xml:space="preserve">A - Pāḷi verse source located</x:t>
        </x:is>
      </x:c>
      <x:c r="Y704" t="inlineStr">
        <x:is>
          <x:t xml:space="preserve">Pāḷi checked against Ancient Buddhist Texts Dhammapada edition. Vietnamese is a fresh Selflo working translation, not a published translation.</x:t>
        </x:is>
      </x:c>
      <x:c r="Z704" t="inlineStr">
        <x:is>
          <x:t xml:space="preserve">Ancient canonical text public domain; modern translation copyright separate</x:t>
        </x:is>
      </x:c>
      <x:c r="AA704" t="inlineStr">
        <x:is>
          <x:t xml:space="preserve">Retain Pāḷi original; use fresh Vietnamese translation. Do not copy a modern copyrighted translation verbatim.</x:t>
        </x:is>
      </x:c>
      <x:c r="AB704" t="inlineStr">
        <x:is>
          <x:t xml:space="preserve">High</x:t>
        </x:is>
      </x:c>
      <x:c r="AC704" t="inlineStr">
        <x:is>
          <x:t xml:space="preserve">Selected after full 26-chapter thematic screening; collection ≠ release approval.</x:t>
        </x:is>
      </x:c>
      <x:c r="AD704" t="inlineStr">
        <x:is>
          <x:t xml:space="preserve">Medium — ancient ethical/religious text needs contextual editorial review</x:t>
        </x:is>
      </x:c>
      <x:c r="AE704" t="inlineStr">
        <x:is>
          <x:t xml:space="preserve">Needs semantic dedupe review against Days 1–10 and existing Selflo originals</x:t>
        </x:is>
      </x:c>
      <x:c r="AH704" t="inlineStr">
        <x:is>
          <x:t xml:space="preserve">No</x:t>
        </x:is>
      </x:c>
      <x:c r="AI704" t="inlineStr">
        <x:is>
          <x:t xml:space="preserve">Not reviewed</x:t>
        </x:is>
      </x:c>
      <x:c r="AJ704" t="inlineStr">
        <x:is>
          <x:t xml:space="preserve">Research only</x:t>
        </x:is>
      </x:c>
      <x:c r="AK704" t="inlineStr">
        <x:is>
          <x:t xml:space="preserve">Research Pool</x:t>
        </x:is>
      </x:c>
      <x:c r="AL704" t="n">
        <x:v>11</x:v>
      </x:c>
      <x:c r="AM704" t="inlineStr">
        <x:is>
          <x:t xml:space="preserve">ChatGPT research</x:t>
        </x:is>
      </x:c>
      <x:c r="AN704" t="inlineStr">
        <x:is>
          <x:t xml:space="preserve">2026-09-18</x:t>
        </x:is>
      </x:c>
      <x:c r="AO704" t="inlineStr">
        <x:is>
          <x:t xml:space="preserve">Day 11 Dhammapada. Avoid converting Buddhist doctrinal claims into universal psychological claims without context.</x:t>
        </x:is>
      </x:c>
    </x:row>
    <x:row r="705">
      <x:c r="A705" t="inlineStr">
        <x:is>
          <x:t xml:space="preserve">research.dhammapada.day11.v021</x:t>
        </x:is>
      </x:c>
      <x:c r="B705" t="inlineStr">
        <x:is>
          <x:t xml:space="preserve">Collected</x:t>
        </x:is>
      </x:c>
      <x:c r="C705" t="inlineStr">
        <x:is>
          <x:t xml:space="preserve">Nội tâm &amp; hiểu mình</x:t>
        </x:is>
      </x:c>
      <x:c r="D705" t="inlineStr">
        <x:is>
          <x:t xml:space="preserve">Day 11 / Dhammapada — 26 chapters / 423 verses</x:t>
        </x:is>
      </x:c>
      <x:c r="F705" t="inlineStr">
        <x:is>
          <x:t xml:space="preserve">Attention</x:t>
        </x:is>
      </x:c>
      <x:c r="G705" t="inlineStr">
        <x:is>
          <x:t xml:space="preserve">Attention / Presence</x:t>
        </x:is>
      </x:c>
      <x:c r="K705" t="inlineStr">
        <x:is>
          <x:t xml:space="preserve">Recognize</x:t>
        </x:is>
      </x:c>
      <x:c r="M705" t="inlineStr">
        <x:is>
          <x:t xml:space="preserve">Canonical verse / gāthā</x:t>
        </x:is>
      </x:c>
      <x:c r="N705" t="inlineStr">
        <x:is>
          <x:t xml:space="preserve">Appamādo amatapadaṁ, pamādo maccuno padaṁ; appamattā na mīyanti, ye pamattā yathā matā.</x:t>
        </x:is>
      </x:c>
      <x:c r="O705" t="inlineStr">
        <x:is>
          <x:t xml:space="preserve">Pāḷi</x:t>
        </x:is>
      </x:c>
      <x:c r="P705" t="inlineStr">
        <x:is>
          <x:t xml:space="preserve">Sự tỉnh thức giữ đời sống hiện diện; sống trong lơ đãng khiến nhiều phần của đời trôi qua như chưa từng được sống.</x:t>
        </x:is>
      </x:c>
      <x:c r="Q705" t="inlineStr">
        <x:is>
          <x:t xml:space="preserve">Dhammapada (Buddhist canonical verse tradition)</x:t>
        </x:is>
      </x:c>
      <x:c r="R705" t="inlineStr">
        <x:is>
          <x:t xml:space="preserve">Early Buddhist / Pāḷi tradition</x:t>
        </x:is>
      </x:c>
      <x:c r="S705" t="inlineStr">
        <x:is>
          <x:t xml:space="preserve">Dhammapada (Khuddaka Nikāya 2)</x:t>
        </x:is>
      </x:c>
      <x:c r="T705" t="inlineStr">
        <x:is>
          <x:t xml:space="preserve">Verse 21, chapter 2</x:t>
        </x:is>
      </x:c>
      <x:c r="U705" t="inlineStr">
        <x:is>
          <x:t xml:space="preserve">https://ancient-buddhist-texts.net/Texts-and-Translations/Dhammapada/02-Heedfulness.htm</x:t>
        </x:is>
      </x:c>
      <x:c r="V705" t="inlineStr">
        <x:is>
          <x:t xml:space="preserve">Primary Pāḷi text with interlinear scholarly translation</x:t>
        </x:is>
      </x:c>
      <x:c r="W705" t="inlineStr">
        <x:is>
          <x:t xml:space="preserve">Canonical verse</x:t>
        </x:is>
      </x:c>
      <x:c r="X705" t="inlineStr">
        <x:is>
          <x:t xml:space="preserve">A - Pāḷi verse source located</x:t>
        </x:is>
      </x:c>
      <x:c r="Y705" t="inlineStr">
        <x:is>
          <x:t xml:space="preserve">Pāḷi checked against Ancient Buddhist Texts Dhammapada edition. Vietnamese is a fresh Selflo working translation, not a published translation.</x:t>
        </x:is>
      </x:c>
      <x:c r="Z705" t="inlineStr">
        <x:is>
          <x:t xml:space="preserve">Ancient canonical text public domain; modern translation copyright separate</x:t>
        </x:is>
      </x:c>
      <x:c r="AA705" t="inlineStr">
        <x:is>
          <x:t xml:space="preserve">Retain Pāḷi original; use fresh Vietnamese translation. Do not copy a modern copyrighted translation verbatim.</x:t>
        </x:is>
      </x:c>
      <x:c r="AB705" t="inlineStr">
        <x:is>
          <x:t xml:space="preserve">High</x:t>
        </x:is>
      </x:c>
      <x:c r="AC705" t="inlineStr">
        <x:is>
          <x:t xml:space="preserve">Selected after full 26-chapter thematic screening; collection ≠ release approval.</x:t>
        </x:is>
      </x:c>
      <x:c r="AD705" t="inlineStr">
        <x:is>
          <x:t xml:space="preserve">Medium — ancient ethical/religious text needs contextual editorial review</x:t>
        </x:is>
      </x:c>
      <x:c r="AE705" t="inlineStr">
        <x:is>
          <x:t xml:space="preserve">Needs semantic dedupe review against Days 1–10 and existing Selflo originals</x:t>
        </x:is>
      </x:c>
      <x:c r="AH705" t="inlineStr">
        <x:is>
          <x:t xml:space="preserve">No</x:t>
        </x:is>
      </x:c>
      <x:c r="AI705" t="inlineStr">
        <x:is>
          <x:t xml:space="preserve">Not reviewed</x:t>
        </x:is>
      </x:c>
      <x:c r="AJ705" t="inlineStr">
        <x:is>
          <x:t xml:space="preserve">Research only</x:t>
        </x:is>
      </x:c>
      <x:c r="AK705" t="inlineStr">
        <x:is>
          <x:t xml:space="preserve">Research Pool</x:t>
        </x:is>
      </x:c>
      <x:c r="AL705" t="n">
        <x:v>11</x:v>
      </x:c>
      <x:c r="AM705" t="inlineStr">
        <x:is>
          <x:t xml:space="preserve">ChatGPT research</x:t>
        </x:is>
      </x:c>
      <x:c r="AN705" t="inlineStr">
        <x:is>
          <x:t xml:space="preserve">2026-09-18</x:t>
        </x:is>
      </x:c>
      <x:c r="AO705" t="inlineStr">
        <x:is>
          <x:t xml:space="preserve">Day 11 Dhammapada. Avoid converting Buddhist doctrinal claims into universal psychological claims without context.</x:t>
        </x:is>
      </x:c>
    </x:row>
    <x:row r="706">
      <x:c r="A706" t="inlineStr">
        <x:is>
          <x:t xml:space="preserve">research.dhammapada.day11.v025</x:t>
        </x:is>
      </x:c>
      <x:c r="B706" t="inlineStr">
        <x:is>
          <x:t xml:space="preserve">Collected</x:t>
        </x:is>
      </x:c>
      <x:c r="C706" t="inlineStr">
        <x:is>
          <x:t xml:space="preserve">Nội tâm &amp; hiểu mình</x:t>
        </x:is>
      </x:c>
      <x:c r="D706" t="inlineStr">
        <x:is>
          <x:t xml:space="preserve">Day 11 / Dhammapada — 26 chapters / 423 verses</x:t>
        </x:is>
      </x:c>
      <x:c r="F706" t="inlineStr">
        <x:is>
          <x:t xml:space="preserve">Inner stability</x:t>
        </x:is>
      </x:c>
      <x:c r="G706" t="inlineStr">
        <x:is>
          <x:t xml:space="preserve">Resilience / Attention</x:t>
        </x:is>
      </x:c>
      <x:c r="K706" t="inlineStr">
        <x:is>
          <x:t xml:space="preserve">Reframe</x:t>
        </x:is>
      </x:c>
      <x:c r="M706" t="inlineStr">
        <x:is>
          <x:t xml:space="preserve">Canonical verse / gāthā</x:t>
        </x:is>
      </x:c>
      <x:c r="N706" t="inlineStr">
        <x:is>
          <x:t xml:space="preserve">Uṭṭhānen’ appamādena saṁyamena damena ca, dīpaṁ kayirātha medhāvī yaṁ ogho nābhikīrati.</x:t>
        </x:is>
      </x:c>
      <x:c r="O706" t="inlineStr">
        <x:is>
          <x:t xml:space="preserve">Pāḷi</x:t>
        </x:is>
      </x:c>
      <x:c r="P706" t="inlineStr">
        <x:is>
          <x:t xml:space="preserve">Bằng sự tỉnh thức và tự chủ, người ta có thể tạo một hòn đảo bên trong mà dòng nước khó cuốn mất.</x:t>
        </x:is>
      </x:c>
      <x:c r="Q706" t="inlineStr">
        <x:is>
          <x:t xml:space="preserve">Dhammapada (Buddhist canonical verse tradition)</x:t>
        </x:is>
      </x:c>
      <x:c r="R706" t="inlineStr">
        <x:is>
          <x:t xml:space="preserve">Early Buddhist / Pāḷi tradition</x:t>
        </x:is>
      </x:c>
      <x:c r="S706" t="inlineStr">
        <x:is>
          <x:t xml:space="preserve">Dhammapada (Khuddaka Nikāya 2)</x:t>
        </x:is>
      </x:c>
      <x:c r="T706" t="inlineStr">
        <x:is>
          <x:t xml:space="preserve">Verse 25, chapter 2</x:t>
        </x:is>
      </x:c>
      <x:c r="U706" t="inlineStr">
        <x:is>
          <x:t xml:space="preserve">https://ancient-buddhist-texts.net/Texts-and-Translations/Dhammapada/02-Heedfulness.htm</x:t>
        </x:is>
      </x:c>
      <x:c r="V706" t="inlineStr">
        <x:is>
          <x:t xml:space="preserve">Primary Pāḷi text with interlinear scholarly translation</x:t>
        </x:is>
      </x:c>
      <x:c r="W706" t="inlineStr">
        <x:is>
          <x:t xml:space="preserve">Canonical verse</x:t>
        </x:is>
      </x:c>
      <x:c r="X706" t="inlineStr">
        <x:is>
          <x:t xml:space="preserve">A - Pāḷi verse source located</x:t>
        </x:is>
      </x:c>
      <x:c r="Y706" t="inlineStr">
        <x:is>
          <x:t xml:space="preserve">Pāḷi checked against Ancient Buddhist Texts Dhammapada edition. Vietnamese is a fresh Selflo working translation, not a published translation.</x:t>
        </x:is>
      </x:c>
      <x:c r="Z706" t="inlineStr">
        <x:is>
          <x:t xml:space="preserve">Ancient canonical text public domain; modern translation copyright separate</x:t>
        </x:is>
      </x:c>
      <x:c r="AA706" t="inlineStr">
        <x:is>
          <x:t xml:space="preserve">Retain Pāḷi original; use fresh Vietnamese translation. Do not copy a modern copyrighted translation verbatim.</x:t>
        </x:is>
      </x:c>
      <x:c r="AB706" t="inlineStr">
        <x:is>
          <x:t xml:space="preserve">High</x:t>
        </x:is>
      </x:c>
      <x:c r="AC706" t="inlineStr">
        <x:is>
          <x:t xml:space="preserve">Selected after full 26-chapter thematic screening; collection ≠ release approval.</x:t>
        </x:is>
      </x:c>
      <x:c r="AD706" t="inlineStr">
        <x:is>
          <x:t xml:space="preserve">Medium — ancient ethical/religious text needs contextual editorial review</x:t>
        </x:is>
      </x:c>
      <x:c r="AE706" t="inlineStr">
        <x:is>
          <x:t xml:space="preserve">Needs semantic dedupe review against Days 1–10 and existing Selflo originals</x:t>
        </x:is>
      </x:c>
      <x:c r="AH706" t="inlineStr">
        <x:is>
          <x:t xml:space="preserve">No</x:t>
        </x:is>
      </x:c>
      <x:c r="AI706" t="inlineStr">
        <x:is>
          <x:t xml:space="preserve">Not reviewed</x:t>
        </x:is>
      </x:c>
      <x:c r="AJ706" t="inlineStr">
        <x:is>
          <x:t xml:space="preserve">Research only</x:t>
        </x:is>
      </x:c>
      <x:c r="AK706" t="inlineStr">
        <x:is>
          <x:t xml:space="preserve">Research Pool</x:t>
        </x:is>
      </x:c>
      <x:c r="AL706" t="n">
        <x:v>11</x:v>
      </x:c>
      <x:c r="AM706" t="inlineStr">
        <x:is>
          <x:t xml:space="preserve">ChatGPT research</x:t>
        </x:is>
      </x:c>
      <x:c r="AN706" t="inlineStr">
        <x:is>
          <x:t xml:space="preserve">2026-09-18</x:t>
        </x:is>
      </x:c>
      <x:c r="AO706" t="inlineStr">
        <x:is>
          <x:t xml:space="preserve">Day 11 Dhammapada. Avoid converting Buddhist doctrinal claims into universal psychological claims without context.</x:t>
        </x:is>
      </x:c>
    </x:row>
    <x:row r="707">
      <x:c r="A707" t="inlineStr">
        <x:is>
          <x:t xml:space="preserve">research.dhammapada.day11.v033</x:t>
        </x:is>
      </x:c>
      <x:c r="B707" t="inlineStr">
        <x:is>
          <x:t xml:space="preserve">Collected</x:t>
        </x:is>
      </x:c>
      <x:c r="C707" t="inlineStr">
        <x:is>
          <x:t xml:space="preserve">Nội tâm &amp; hiểu mình</x:t>
        </x:is>
      </x:c>
      <x:c r="D707" t="inlineStr">
        <x:is>
          <x:t xml:space="preserve">Day 11 / Dhammapada — 26 chapters / 423 verses</x:t>
        </x:is>
      </x:c>
      <x:c r="F707" t="inlineStr">
        <x:is>
          <x:t xml:space="preserve">Restless mind</x:t>
        </x:is>
      </x:c>
      <x:c r="G707" t="inlineStr">
        <x:is>
          <x:t xml:space="preserve">Mind / Attention</x:t>
        </x:is>
      </x:c>
      <x:c r="K707" t="inlineStr">
        <x:is>
          <x:t xml:space="preserve">Normalize</x:t>
        </x:is>
      </x:c>
      <x:c r="M707" t="inlineStr">
        <x:is>
          <x:t xml:space="preserve">Canonical verse / gāthā</x:t>
        </x:is>
      </x:c>
      <x:c r="N707" t="inlineStr">
        <x:is>
          <x:t xml:space="preserve">Phandanaṁ capalaṁ cittaṁ, dūrakkhaṁ dunnivārayaṁ; ujuṁ karoti medhāvī usukāro va tejanaṁ.</x:t>
        </x:is>
      </x:c>
      <x:c r="O707" t="inlineStr">
        <x:is>
          <x:t xml:space="preserve">Pāḷi</x:t>
        </x:is>
      </x:c>
      <x:c r="P707" t="inlineStr">
        <x:is>
          <x:t xml:space="preserve">Tâm trí dễ lay động và khó giữ; việc rèn nó giống như người làm tên kiên nhẫn nắn thẳng mũi tên.</x:t>
        </x:is>
      </x:c>
      <x:c r="Q707" t="inlineStr">
        <x:is>
          <x:t xml:space="preserve">Dhammapada (Buddhist canonical verse tradition)</x:t>
        </x:is>
      </x:c>
      <x:c r="R707" t="inlineStr">
        <x:is>
          <x:t xml:space="preserve">Early Buddhist / Pāḷi tradition</x:t>
        </x:is>
      </x:c>
      <x:c r="S707" t="inlineStr">
        <x:is>
          <x:t xml:space="preserve">Dhammapada (Khuddaka Nikāya 2)</x:t>
        </x:is>
      </x:c>
      <x:c r="T707" t="inlineStr">
        <x:is>
          <x:t xml:space="preserve">Verse 33, chapter 3</x:t>
        </x:is>
      </x:c>
      <x:c r="U707" t="inlineStr">
        <x:is>
          <x:t xml:space="preserve">https://ancient-buddhist-texts.net/Texts-and-Translations/Dhammapada/03-Mind.htm</x:t>
        </x:is>
      </x:c>
      <x:c r="V707" t="inlineStr">
        <x:is>
          <x:t xml:space="preserve">Primary Pāḷi text with interlinear scholarly translation</x:t>
        </x:is>
      </x:c>
      <x:c r="W707" t="inlineStr">
        <x:is>
          <x:t xml:space="preserve">Canonical verse</x:t>
        </x:is>
      </x:c>
      <x:c r="X707" t="inlineStr">
        <x:is>
          <x:t xml:space="preserve">A - Pāḷi verse source located</x:t>
        </x:is>
      </x:c>
      <x:c r="Y707" t="inlineStr">
        <x:is>
          <x:t xml:space="preserve">Pāḷi checked against Ancient Buddhist Texts Dhammapada edition. Vietnamese is a fresh Selflo working translation, not a published translation.</x:t>
        </x:is>
      </x:c>
      <x:c r="Z707" t="inlineStr">
        <x:is>
          <x:t xml:space="preserve">Ancient canonical text public domain; modern translation copyright separate</x:t>
        </x:is>
      </x:c>
      <x:c r="AA707" t="inlineStr">
        <x:is>
          <x:t xml:space="preserve">Retain Pāḷi original; use fresh Vietnamese translation. Do not copy a modern copyrighted translation verbatim.</x:t>
        </x:is>
      </x:c>
      <x:c r="AB707" t="inlineStr">
        <x:is>
          <x:t xml:space="preserve">High</x:t>
        </x:is>
      </x:c>
      <x:c r="AC707" t="inlineStr">
        <x:is>
          <x:t xml:space="preserve">Selected after full 26-chapter thematic screening; collection ≠ release approval.</x:t>
        </x:is>
      </x:c>
      <x:c r="AD707" t="inlineStr">
        <x:is>
          <x:t xml:space="preserve">Medium — ancient ethical/religious text needs contextual editorial review</x:t>
        </x:is>
      </x:c>
      <x:c r="AE707" t="inlineStr">
        <x:is>
          <x:t xml:space="preserve">Needs semantic dedupe review against Days 1–10 and existing Selflo originals</x:t>
        </x:is>
      </x:c>
      <x:c r="AH707" t="inlineStr">
        <x:is>
          <x:t xml:space="preserve">No</x:t>
        </x:is>
      </x:c>
      <x:c r="AI707" t="inlineStr">
        <x:is>
          <x:t xml:space="preserve">Not reviewed</x:t>
        </x:is>
      </x:c>
      <x:c r="AJ707" t="inlineStr">
        <x:is>
          <x:t xml:space="preserve">Research only</x:t>
        </x:is>
      </x:c>
      <x:c r="AK707" t="inlineStr">
        <x:is>
          <x:t xml:space="preserve">Research Pool</x:t>
        </x:is>
      </x:c>
      <x:c r="AL707" t="n">
        <x:v>11</x:v>
      </x:c>
      <x:c r="AM707" t="inlineStr">
        <x:is>
          <x:t xml:space="preserve">ChatGPT research</x:t>
        </x:is>
      </x:c>
      <x:c r="AN707" t="inlineStr">
        <x:is>
          <x:t xml:space="preserve">2026-09-18</x:t>
        </x:is>
      </x:c>
      <x:c r="AO707" t="inlineStr">
        <x:is>
          <x:t xml:space="preserve">Day 11 Dhammapada. Avoid converting Buddhist doctrinal claims into universal psychological claims without context.</x:t>
        </x:is>
      </x:c>
    </x:row>
    <x:row r="708">
      <x:c r="A708" t="inlineStr">
        <x:is>
          <x:t xml:space="preserve">research.dhammapada.day11.v035</x:t>
        </x:is>
      </x:c>
      <x:c r="B708" t="inlineStr">
        <x:is>
          <x:t xml:space="preserve">Collected</x:t>
        </x:is>
      </x:c>
      <x:c r="C708" t="inlineStr">
        <x:is>
          <x:t xml:space="preserve">Nội tâm &amp; hiểu mình</x:t>
        </x:is>
      </x:c>
      <x:c r="D708" t="inlineStr">
        <x:is>
          <x:t xml:space="preserve">Day 11 / Dhammapada — 26 chapters / 423 verses</x:t>
        </x:is>
      </x:c>
      <x:c r="F708" t="inlineStr">
        <x:is>
          <x:t xml:space="preserve">Attention drift</x:t>
        </x:is>
      </x:c>
      <x:c r="G708" t="inlineStr">
        <x:is>
          <x:t xml:space="preserve">Mind / Attention</x:t>
        </x:is>
      </x:c>
      <x:c r="K708" t="inlineStr">
        <x:is>
          <x:t xml:space="preserve">Normalize</x:t>
        </x:is>
      </x:c>
      <x:c r="M708" t="inlineStr">
        <x:is>
          <x:t xml:space="preserve">Canonical verse / gāthā</x:t>
        </x:is>
      </x:c>
      <x:c r="N708" t="inlineStr">
        <x:is>
          <x:t xml:space="preserve">Dunniggahassa lahuno yatthakāmanipātino; cittassa damatho sādhu, cittaṁ dantaṁ sukhāvahaṁ.</x:t>
        </x:is>
      </x:c>
      <x:c r="O708" t="inlineStr">
        <x:is>
          <x:t xml:space="preserve">Pāḷi</x:t>
        </x:is>
      </x:c>
      <x:c r="P708" t="inlineStr">
        <x:is>
          <x:t xml:space="preserve">Tâm trí nhanh và thường chạy theo nơi nó muốn; học cách làm quen với việc dẫn nó trở lại có thể đem lại nhẹ hơn.</x:t>
        </x:is>
      </x:c>
      <x:c r="Q708" t="inlineStr">
        <x:is>
          <x:t xml:space="preserve">Dhammapada (Buddhist canonical verse tradition)</x:t>
        </x:is>
      </x:c>
      <x:c r="R708" t="inlineStr">
        <x:is>
          <x:t xml:space="preserve">Early Buddhist / Pāḷi tradition</x:t>
        </x:is>
      </x:c>
      <x:c r="S708" t="inlineStr">
        <x:is>
          <x:t xml:space="preserve">Dhammapada (Khuddaka Nikāya 2)</x:t>
        </x:is>
      </x:c>
      <x:c r="T708" t="inlineStr">
        <x:is>
          <x:t xml:space="preserve">Verse 35, chapter 3</x:t>
        </x:is>
      </x:c>
      <x:c r="U708" t="inlineStr">
        <x:is>
          <x:t xml:space="preserve">https://ancient-buddhist-texts.net/Texts-and-Translations/Dhammapada/03-Mind.htm</x:t>
        </x:is>
      </x:c>
      <x:c r="V708" t="inlineStr">
        <x:is>
          <x:t xml:space="preserve">Primary Pāḷi text with interlinear scholarly translation</x:t>
        </x:is>
      </x:c>
      <x:c r="W708" t="inlineStr">
        <x:is>
          <x:t xml:space="preserve">Canonical verse</x:t>
        </x:is>
      </x:c>
      <x:c r="X708" t="inlineStr">
        <x:is>
          <x:t xml:space="preserve">A - Pāḷi verse source located</x:t>
        </x:is>
      </x:c>
      <x:c r="Y708" t="inlineStr">
        <x:is>
          <x:t xml:space="preserve">Pāḷi checked against Ancient Buddhist Texts Dhammapada edition. Vietnamese is a fresh Selflo working translation, not a published translation.</x:t>
        </x:is>
      </x:c>
      <x:c r="Z708" t="inlineStr">
        <x:is>
          <x:t xml:space="preserve">Ancient canonical text public domain; modern translation copyright separate</x:t>
        </x:is>
      </x:c>
      <x:c r="AA708" t="inlineStr">
        <x:is>
          <x:t xml:space="preserve">Retain Pāḷi original; use fresh Vietnamese translation. Do not copy a modern copyrighted translation verbatim.</x:t>
        </x:is>
      </x:c>
      <x:c r="AB708" t="inlineStr">
        <x:is>
          <x:t xml:space="preserve">High</x:t>
        </x:is>
      </x:c>
      <x:c r="AC708" t="inlineStr">
        <x:is>
          <x:t xml:space="preserve">Selected after full 26-chapter thematic screening; collection ≠ release approval.</x:t>
        </x:is>
      </x:c>
      <x:c r="AD708" t="inlineStr">
        <x:is>
          <x:t xml:space="preserve">Medium — ancient ethical/religious text needs contextual editorial review</x:t>
        </x:is>
      </x:c>
      <x:c r="AE708" t="inlineStr">
        <x:is>
          <x:t xml:space="preserve">Needs semantic dedupe review against Days 1–10 and existing Selflo originals</x:t>
        </x:is>
      </x:c>
      <x:c r="AH708" t="inlineStr">
        <x:is>
          <x:t xml:space="preserve">No</x:t>
        </x:is>
      </x:c>
      <x:c r="AI708" t="inlineStr">
        <x:is>
          <x:t xml:space="preserve">Not reviewed</x:t>
        </x:is>
      </x:c>
      <x:c r="AJ708" t="inlineStr">
        <x:is>
          <x:t xml:space="preserve">Research only</x:t>
        </x:is>
      </x:c>
      <x:c r="AK708" t="inlineStr">
        <x:is>
          <x:t xml:space="preserve">Research Pool</x:t>
        </x:is>
      </x:c>
      <x:c r="AL708" t="n">
        <x:v>11</x:v>
      </x:c>
      <x:c r="AM708" t="inlineStr">
        <x:is>
          <x:t xml:space="preserve">ChatGPT research</x:t>
        </x:is>
      </x:c>
      <x:c r="AN708" t="inlineStr">
        <x:is>
          <x:t xml:space="preserve">2026-09-18</x:t>
        </x:is>
      </x:c>
      <x:c r="AO708" t="inlineStr">
        <x:is>
          <x:t xml:space="preserve">Day 11 Dhammapada. Avoid converting Buddhist doctrinal claims into universal psychological claims without context.</x:t>
        </x:is>
      </x:c>
    </x:row>
    <x:row r="709">
      <x:c r="A709" t="inlineStr">
        <x:is>
          <x:t xml:space="preserve">research.dhammapada.day11.v042</x:t>
        </x:is>
      </x:c>
      <x:c r="B709" t="inlineStr">
        <x:is>
          <x:t xml:space="preserve">Collected</x:t>
        </x:is>
      </x:c>
      <x:c r="C709" t="inlineStr">
        <x:is>
          <x:t xml:space="preserve">Nội tâm &amp; hiểu mình</x:t>
        </x:is>
      </x:c>
      <x:c r="D709" t="inlineStr">
        <x:is>
          <x:t xml:space="preserve">Day 11 / Dhammapada — 26 chapters / 423 verses</x:t>
        </x:is>
      </x:c>
      <x:c r="F709" t="inlineStr">
        <x:is>
          <x:t xml:space="preserve">Inner narrative</x:t>
        </x:is>
      </x:c>
      <x:c r="G709" t="inlineStr">
        <x:is>
          <x:t xml:space="preserve">Mind / Self-harmful judgment</x:t>
        </x:is>
      </x:c>
      <x:c r="K709" t="inlineStr">
        <x:is>
          <x:t xml:space="preserve">Recognize</x:t>
        </x:is>
      </x:c>
      <x:c r="M709" t="inlineStr">
        <x:is>
          <x:t xml:space="preserve">Canonical verse / gāthā</x:t>
        </x:is>
      </x:c>
      <x:c r="N709" t="inlineStr">
        <x:is>
          <x:t xml:space="preserve">Diso disaṁ yan-taṁ kayirā, verī vā pana verinaṁ; micchāpaṇihitaṁ cittaṁ pāpiyo naṁ tato kare.</x:t>
        </x:is>
      </x:c>
      <x:c r="O709" t="inlineStr">
        <x:is>
          <x:t xml:space="preserve">Pāḷi</x:t>
        </x:is>
      </x:c>
      <x:c r="P709" t="inlineStr">
        <x:is>
          <x:t xml:space="preserve">Một tâm trí bị đặt sai hướng có thể gây cho mình nhiều tổn hại hơn cả điều người khác muốn làm với mình.</x:t>
        </x:is>
      </x:c>
      <x:c r="Q709" t="inlineStr">
        <x:is>
          <x:t xml:space="preserve">Dhammapada (Buddhist canonical verse tradition)</x:t>
        </x:is>
      </x:c>
      <x:c r="R709" t="inlineStr">
        <x:is>
          <x:t xml:space="preserve">Early Buddhist / Pāḷi tradition</x:t>
        </x:is>
      </x:c>
      <x:c r="S709" t="inlineStr">
        <x:is>
          <x:t xml:space="preserve">Dhammapada (Khuddaka Nikāya 2)</x:t>
        </x:is>
      </x:c>
      <x:c r="T709" t="inlineStr">
        <x:is>
          <x:t xml:space="preserve">Verse 42, chapter 3</x:t>
        </x:is>
      </x:c>
      <x:c r="U709" t="inlineStr">
        <x:is>
          <x:t xml:space="preserve">https://ancient-buddhist-texts.net/Texts-and-Translations/Dhammapada/03-Mind.htm</x:t>
        </x:is>
      </x:c>
      <x:c r="V709" t="inlineStr">
        <x:is>
          <x:t xml:space="preserve">Primary Pāḷi text with interlinear scholarly translation</x:t>
        </x:is>
      </x:c>
      <x:c r="W709" t="inlineStr">
        <x:is>
          <x:t xml:space="preserve">Canonical verse</x:t>
        </x:is>
      </x:c>
      <x:c r="X709" t="inlineStr">
        <x:is>
          <x:t xml:space="preserve">A - Pāḷi verse source located</x:t>
        </x:is>
      </x:c>
      <x:c r="Y709" t="inlineStr">
        <x:is>
          <x:t xml:space="preserve">Pāḷi checked against Ancient Buddhist Texts Dhammapada edition. Vietnamese is a fresh Selflo working translation, not a published translation.</x:t>
        </x:is>
      </x:c>
      <x:c r="Z709" t="inlineStr">
        <x:is>
          <x:t xml:space="preserve">Ancient canonical text public domain; modern translation copyright separate</x:t>
        </x:is>
      </x:c>
      <x:c r="AA709" t="inlineStr">
        <x:is>
          <x:t xml:space="preserve">Retain Pāḷi original; use fresh Vietnamese translation. Do not copy a modern copyrighted translation verbatim.</x:t>
        </x:is>
      </x:c>
      <x:c r="AB709" t="inlineStr">
        <x:is>
          <x:t xml:space="preserve">Medium</x:t>
        </x:is>
      </x:c>
      <x:c r="AC709" t="inlineStr">
        <x:is>
          <x:t xml:space="preserve">Selected after full 26-chapter thematic screening; collection ≠ release approval.</x:t>
        </x:is>
      </x:c>
      <x:c r="AD709" t="inlineStr">
        <x:is>
          <x:t xml:space="preserve">Medium — ancient ethical/religious text needs contextual editorial review</x:t>
        </x:is>
      </x:c>
      <x:c r="AE709" t="inlineStr">
        <x:is>
          <x:t xml:space="preserve">Needs semantic dedupe review against Days 1–10 and existing Selflo originals</x:t>
        </x:is>
      </x:c>
      <x:c r="AH709" t="inlineStr">
        <x:is>
          <x:t xml:space="preserve">No</x:t>
        </x:is>
      </x:c>
      <x:c r="AI709" t="inlineStr">
        <x:is>
          <x:t xml:space="preserve">Not reviewed</x:t>
        </x:is>
      </x:c>
      <x:c r="AJ709" t="inlineStr">
        <x:is>
          <x:t xml:space="preserve">Research only</x:t>
        </x:is>
      </x:c>
      <x:c r="AK709" t="inlineStr">
        <x:is>
          <x:t xml:space="preserve">Research Pool</x:t>
        </x:is>
      </x:c>
      <x:c r="AL709" t="n">
        <x:v>11</x:v>
      </x:c>
      <x:c r="AM709" t="inlineStr">
        <x:is>
          <x:t xml:space="preserve">ChatGPT research</x:t>
        </x:is>
      </x:c>
      <x:c r="AN709" t="inlineStr">
        <x:is>
          <x:t xml:space="preserve">2026-09-18</x:t>
        </x:is>
      </x:c>
      <x:c r="AO709" t="inlineStr">
        <x:is>
          <x:t xml:space="preserve">Day 11 Dhammapada. Avoid converting Buddhist doctrinal claims into universal psychological claims without context.</x:t>
        </x:is>
      </x:c>
    </x:row>
    <x:row r="710">
      <x:c r="A710" t="inlineStr">
        <x:is>
          <x:t xml:space="preserve">research.dhammapada.day11.v043</x:t>
        </x:is>
      </x:c>
      <x:c r="B710" t="inlineStr">
        <x:is>
          <x:t xml:space="preserve">Collected</x:t>
        </x:is>
      </x:c>
      <x:c r="C710" t="inlineStr">
        <x:is>
          <x:t xml:space="preserve">Nội tâm &amp; hiểu mình</x:t>
        </x:is>
      </x:c>
      <x:c r="D710" t="inlineStr">
        <x:is>
          <x:t xml:space="preserve">Day 11 / Dhammapada — 26 chapters / 423 verses</x:t>
        </x:is>
      </x:c>
      <x:c r="F710" t="inlineStr">
        <x:is>
          <x:t xml:space="preserve">Inner agency</x:t>
        </x:is>
      </x:c>
      <x:c r="G710" t="inlineStr">
        <x:is>
          <x:t xml:space="preserve">Mind / Agency</x:t>
        </x:is>
      </x:c>
      <x:c r="K710" t="inlineStr">
        <x:is>
          <x:t xml:space="preserve">Return agency</x:t>
        </x:is>
      </x:c>
      <x:c r="M710" t="inlineStr">
        <x:is>
          <x:t xml:space="preserve">Canonical verse / gāthā</x:t>
        </x:is>
      </x:c>
      <x:c r="N710" t="inlineStr">
        <x:is>
          <x:t xml:space="preserve">Na taṁ mātā pitā kayirā aññe vā pi ca ñātakā; sammāpaṇihitaṁ cittaṁ seyyaso naṁ tato kare.</x:t>
        </x:is>
      </x:c>
      <x:c r="O710" t="inlineStr">
        <x:is>
          <x:t xml:space="preserve">Pāḷi</x:t>
        </x:is>
      </x:c>
      <x:c r="P710" t="inlineStr">
        <x:is>
          <x:t xml:space="preserve">Một tâm trí được đặt đúng hướng có thể làm cho đời mình điều mà ngay cả người thân cũng không thể làm thay.</x:t>
        </x:is>
      </x:c>
      <x:c r="Q710" t="inlineStr">
        <x:is>
          <x:t xml:space="preserve">Dhammapada (Buddhist canonical verse tradition)</x:t>
        </x:is>
      </x:c>
      <x:c r="R710" t="inlineStr">
        <x:is>
          <x:t xml:space="preserve">Early Buddhist / Pāḷi tradition</x:t>
        </x:is>
      </x:c>
      <x:c r="S710" t="inlineStr">
        <x:is>
          <x:t xml:space="preserve">Dhammapada (Khuddaka Nikāya 2)</x:t>
        </x:is>
      </x:c>
      <x:c r="T710" t="inlineStr">
        <x:is>
          <x:t xml:space="preserve">Verse 43, chapter 3</x:t>
        </x:is>
      </x:c>
      <x:c r="U710" t="inlineStr">
        <x:is>
          <x:t xml:space="preserve">https://ancient-buddhist-texts.net/Texts-and-Translations/Dhammapada/03-Mind.htm</x:t>
        </x:is>
      </x:c>
      <x:c r="V710" t="inlineStr">
        <x:is>
          <x:t xml:space="preserve">Primary Pāḷi text with interlinear scholarly translation</x:t>
        </x:is>
      </x:c>
      <x:c r="W710" t="inlineStr">
        <x:is>
          <x:t xml:space="preserve">Canonical verse</x:t>
        </x:is>
      </x:c>
      <x:c r="X710" t="inlineStr">
        <x:is>
          <x:t xml:space="preserve">A - Pāḷi verse source located</x:t>
        </x:is>
      </x:c>
      <x:c r="Y710" t="inlineStr">
        <x:is>
          <x:t xml:space="preserve">Pāḷi checked against Ancient Buddhist Texts Dhammapada edition. Vietnamese is a fresh Selflo working translation, not a published translation.</x:t>
        </x:is>
      </x:c>
      <x:c r="Z710" t="inlineStr">
        <x:is>
          <x:t xml:space="preserve">Ancient canonical text public domain; modern translation copyright separate</x:t>
        </x:is>
      </x:c>
      <x:c r="AA710" t="inlineStr">
        <x:is>
          <x:t xml:space="preserve">Retain Pāḷi original; use fresh Vietnamese translation. Do not copy a modern copyrighted translation verbatim.</x:t>
        </x:is>
      </x:c>
      <x:c r="AB710" t="inlineStr">
        <x:is>
          <x:t xml:space="preserve">High</x:t>
        </x:is>
      </x:c>
      <x:c r="AC710" t="inlineStr">
        <x:is>
          <x:t xml:space="preserve">Selected after full 26-chapter thematic screening; collection ≠ release approval.</x:t>
        </x:is>
      </x:c>
      <x:c r="AD710" t="inlineStr">
        <x:is>
          <x:t xml:space="preserve">Medium — ancient ethical/religious text needs contextual editorial review</x:t>
        </x:is>
      </x:c>
      <x:c r="AE710" t="inlineStr">
        <x:is>
          <x:t xml:space="preserve">Needs semantic dedupe review against Days 1–10 and existing Selflo originals</x:t>
        </x:is>
      </x:c>
      <x:c r="AH710" t="inlineStr">
        <x:is>
          <x:t xml:space="preserve">No</x:t>
        </x:is>
      </x:c>
      <x:c r="AI710" t="inlineStr">
        <x:is>
          <x:t xml:space="preserve">Not reviewed</x:t>
        </x:is>
      </x:c>
      <x:c r="AJ710" t="inlineStr">
        <x:is>
          <x:t xml:space="preserve">Research only</x:t>
        </x:is>
      </x:c>
      <x:c r="AK710" t="inlineStr">
        <x:is>
          <x:t xml:space="preserve">Research Pool</x:t>
        </x:is>
      </x:c>
      <x:c r="AL710" t="n">
        <x:v>11</x:v>
      </x:c>
      <x:c r="AM710" t="inlineStr">
        <x:is>
          <x:t xml:space="preserve">ChatGPT research</x:t>
        </x:is>
      </x:c>
      <x:c r="AN710" t="inlineStr">
        <x:is>
          <x:t xml:space="preserve">2026-09-18</x:t>
        </x:is>
      </x:c>
      <x:c r="AO710" t="inlineStr">
        <x:is>
          <x:t xml:space="preserve">Day 11 Dhammapada. Avoid converting Buddhist doctrinal claims into universal psychological claims without context.</x:t>
        </x:is>
      </x:c>
    </x:row>
    <x:row r="711">
      <x:c r="A711" t="inlineStr">
        <x:is>
          <x:t xml:space="preserve">research.dhammapada.day11.v050</x:t>
        </x:is>
      </x:c>
      <x:c r="B711" t="inlineStr">
        <x:is>
          <x:t xml:space="preserve">Collected</x:t>
        </x:is>
      </x:c>
      <x:c r="C711" t="inlineStr">
        <x:is>
          <x:t xml:space="preserve">Nội tâm &amp; hiểu mình</x:t>
        </x:is>
      </x:c>
      <x:c r="D711" t="inlineStr">
        <x:is>
          <x:t xml:space="preserve">Day 11 / Dhammapada — 26 chapters / 423 verses</x:t>
        </x:is>
      </x:c>
      <x:c r="F711" t="inlineStr">
        <x:is>
          <x:t xml:space="preserve">Comparison / blame</x:t>
        </x:is>
      </x:c>
      <x:c r="G711" t="inlineStr">
        <x:is>
          <x:t xml:space="preserve">Self-reflection</x:t>
        </x:is>
      </x:c>
      <x:c r="K711" t="inlineStr">
        <x:is>
          <x:t xml:space="preserve">Return agency</x:t>
        </x:is>
      </x:c>
      <x:c r="M711" t="inlineStr">
        <x:is>
          <x:t xml:space="preserve">Canonical verse / gāthā</x:t>
        </x:is>
      </x:c>
      <x:c r="N711" t="inlineStr">
        <x:is>
          <x:t xml:space="preserve">Na paresaṁ vilomāni, na paresaṁ katākataṁ; attano va avekkheyya katāni akatāni ca.</x:t>
        </x:is>
      </x:c>
      <x:c r="O711" t="inlineStr">
        <x:is>
          <x:t xml:space="preserve">Pāḷi</x:t>
        </x:is>
      </x:c>
      <x:c r="P711" t="inlineStr">
        <x:is>
          <x:t xml:space="preserve">Thay vì chỉ nhìn điều người khác làm hay không làm, có lúc đáng quay lại nhìn phần mình đã làm và chưa làm.</x:t>
        </x:is>
      </x:c>
      <x:c r="Q711" t="inlineStr">
        <x:is>
          <x:t xml:space="preserve">Dhammapada (Buddhist canonical verse tradition)</x:t>
        </x:is>
      </x:c>
      <x:c r="R711" t="inlineStr">
        <x:is>
          <x:t xml:space="preserve">Early Buddhist / Pāḷi tradition</x:t>
        </x:is>
      </x:c>
      <x:c r="S711" t="inlineStr">
        <x:is>
          <x:t xml:space="preserve">Dhammapada (Khuddaka Nikāya 2)</x:t>
        </x:is>
      </x:c>
      <x:c r="T711" t="inlineStr">
        <x:is>
          <x:t xml:space="preserve">Verse 50, chapter 4</x:t>
        </x:is>
      </x:c>
      <x:c r="U711" t="inlineStr">
        <x:is>
          <x:t xml:space="preserve">https://ancient-buddhist-texts.net/Texts-and-Translations/Dhammapada/04-Flowers.htm</x:t>
        </x:is>
      </x:c>
      <x:c r="V711" t="inlineStr">
        <x:is>
          <x:t xml:space="preserve">Primary Pāḷi text with interlinear scholarly translation</x:t>
        </x:is>
      </x:c>
      <x:c r="W711" t="inlineStr">
        <x:is>
          <x:t xml:space="preserve">Canonical verse</x:t>
        </x:is>
      </x:c>
      <x:c r="X711" t="inlineStr">
        <x:is>
          <x:t xml:space="preserve">A - Pāḷi verse source located</x:t>
        </x:is>
      </x:c>
      <x:c r="Y711" t="inlineStr">
        <x:is>
          <x:t xml:space="preserve">Pāḷi checked against Ancient Buddhist Texts Dhammapada edition. Vietnamese is a fresh Selflo working translation, not a published translation.</x:t>
        </x:is>
      </x:c>
      <x:c r="Z711" t="inlineStr">
        <x:is>
          <x:t xml:space="preserve">Ancient canonical text public domain; modern translation copyright separate</x:t>
        </x:is>
      </x:c>
      <x:c r="AA711" t="inlineStr">
        <x:is>
          <x:t xml:space="preserve">Retain Pāḷi original; use fresh Vietnamese translation. Do not copy a modern copyrighted translation verbatim.</x:t>
        </x:is>
      </x:c>
      <x:c r="AB711" t="inlineStr">
        <x:is>
          <x:t xml:space="preserve">High</x:t>
        </x:is>
      </x:c>
      <x:c r="AC711" t="inlineStr">
        <x:is>
          <x:t xml:space="preserve">Selected after full 26-chapter thematic screening; collection ≠ release approval.</x:t>
        </x:is>
      </x:c>
      <x:c r="AD711" t="inlineStr">
        <x:is>
          <x:t xml:space="preserve">Medium — ancient ethical/religious text needs contextual editorial review</x:t>
        </x:is>
      </x:c>
      <x:c r="AE711" t="inlineStr">
        <x:is>
          <x:t xml:space="preserve">Needs semantic dedupe review against Days 1–10 and existing Selflo originals</x:t>
        </x:is>
      </x:c>
      <x:c r="AH711" t="inlineStr">
        <x:is>
          <x:t xml:space="preserve">No</x:t>
        </x:is>
      </x:c>
      <x:c r="AI711" t="inlineStr">
        <x:is>
          <x:t xml:space="preserve">Not reviewed</x:t>
        </x:is>
      </x:c>
      <x:c r="AJ711" t="inlineStr">
        <x:is>
          <x:t xml:space="preserve">Research only</x:t>
        </x:is>
      </x:c>
      <x:c r="AK711" t="inlineStr">
        <x:is>
          <x:t xml:space="preserve">Research Pool</x:t>
        </x:is>
      </x:c>
      <x:c r="AL711" t="n">
        <x:v>11</x:v>
      </x:c>
      <x:c r="AM711" t="inlineStr">
        <x:is>
          <x:t xml:space="preserve">ChatGPT research</x:t>
        </x:is>
      </x:c>
      <x:c r="AN711" t="inlineStr">
        <x:is>
          <x:t xml:space="preserve">2026-09-18</x:t>
        </x:is>
      </x:c>
      <x:c r="AO711" t="inlineStr">
        <x:is>
          <x:t xml:space="preserve">Day 11 Dhammapada. Avoid converting Buddhist doctrinal claims into universal psychological claims without context.</x:t>
        </x:is>
      </x:c>
    </x:row>
    <x:row r="712">
      <x:c r="A712" t="inlineStr">
        <x:is>
          <x:t xml:space="preserve">research.dhammapada.day11.v051</x:t>
        </x:is>
      </x:c>
      <x:c r="B712" t="inlineStr">
        <x:is>
          <x:t xml:space="preserve">Collected</x:t>
        </x:is>
      </x:c>
      <x:c r="C712" t="inlineStr">
        <x:is>
          <x:t xml:space="preserve">Nội tâm &amp; hiểu mình</x:t>
        </x:is>
      </x:c>
      <x:c r="D712" t="inlineStr">
        <x:is>
          <x:t xml:space="preserve">Day 11 / Dhammapada — 26 chapters / 423 verses</x:t>
        </x:is>
      </x:c>
      <x:c r="F712" t="inlineStr">
        <x:is>
          <x:t xml:space="preserve">Words vs action</x:t>
        </x:is>
      </x:c>
      <x:c r="G712" t="inlineStr">
        <x:is>
          <x:t xml:space="preserve">Learning / Practice</x:t>
        </x:is>
      </x:c>
      <x:c r="K712" t="inlineStr">
        <x:is>
          <x:t xml:space="preserve">Distinguish</x:t>
        </x:is>
      </x:c>
      <x:c r="M712" t="inlineStr">
        <x:is>
          <x:t xml:space="preserve">Canonical verse / gāthā</x:t>
        </x:is>
      </x:c>
      <x:c r="N712" t="inlineStr">
        <x:is>
          <x:t xml:space="preserve">Yathā pi ruciraṁ pupphaṁ vaṇṇavantaṁ agandhakaṁ; evaṁ subhāsitā vācā aphalā hoti akubbato.</x:t>
        </x:is>
      </x:c>
      <x:c r="O712" t="inlineStr">
        <x:is>
          <x:t xml:space="preserve">Pāḷi</x:t>
        </x:is>
      </x:c>
      <x:c r="P712" t="inlineStr">
        <x:is>
          <x:t xml:space="preserve">Lời đẹp mà không đi vào đời sống giống một bông hoa có màu nhưng không hương.</x:t>
        </x:is>
      </x:c>
      <x:c r="Q712" t="inlineStr">
        <x:is>
          <x:t xml:space="preserve">Dhammapada (Buddhist canonical verse tradition)</x:t>
        </x:is>
      </x:c>
      <x:c r="R712" t="inlineStr">
        <x:is>
          <x:t xml:space="preserve">Early Buddhist / Pāḷi tradition</x:t>
        </x:is>
      </x:c>
      <x:c r="S712" t="inlineStr">
        <x:is>
          <x:t xml:space="preserve">Dhammapada (Khuddaka Nikāya 2)</x:t>
        </x:is>
      </x:c>
      <x:c r="T712" t="inlineStr">
        <x:is>
          <x:t xml:space="preserve">Verse 51, chapter 4</x:t>
        </x:is>
      </x:c>
      <x:c r="U712" t="inlineStr">
        <x:is>
          <x:t xml:space="preserve">https://ancient-buddhist-texts.net/Texts-and-Translations/Dhammapada/04-Flowers.htm</x:t>
        </x:is>
      </x:c>
      <x:c r="V712" t="inlineStr">
        <x:is>
          <x:t xml:space="preserve">Primary Pāḷi text with interlinear scholarly translation</x:t>
        </x:is>
      </x:c>
      <x:c r="W712" t="inlineStr">
        <x:is>
          <x:t xml:space="preserve">Canonical verse</x:t>
        </x:is>
      </x:c>
      <x:c r="X712" t="inlineStr">
        <x:is>
          <x:t xml:space="preserve">A - Pāḷi verse source located</x:t>
        </x:is>
      </x:c>
      <x:c r="Y712" t="inlineStr">
        <x:is>
          <x:t xml:space="preserve">Pāḷi checked against Ancient Buddhist Texts Dhammapada edition. Vietnamese is a fresh Selflo working translation, not a published translation.</x:t>
        </x:is>
      </x:c>
      <x:c r="Z712" t="inlineStr">
        <x:is>
          <x:t xml:space="preserve">Ancient canonical text public domain; modern translation copyright separate</x:t>
        </x:is>
      </x:c>
      <x:c r="AA712" t="inlineStr">
        <x:is>
          <x:t xml:space="preserve">Retain Pāḷi original; use fresh Vietnamese translation. Do not copy a modern copyrighted translation verbatim.</x:t>
        </x:is>
      </x:c>
      <x:c r="AB712" t="inlineStr">
        <x:is>
          <x:t xml:space="preserve">High</x:t>
        </x:is>
      </x:c>
      <x:c r="AC712" t="inlineStr">
        <x:is>
          <x:t xml:space="preserve">Selected after full 26-chapter thematic screening; collection ≠ release approval.</x:t>
        </x:is>
      </x:c>
      <x:c r="AD712" t="inlineStr">
        <x:is>
          <x:t xml:space="preserve">Medium — ancient ethical/religious text needs contextual editorial review</x:t>
        </x:is>
      </x:c>
      <x:c r="AE712" t="inlineStr">
        <x:is>
          <x:t xml:space="preserve">Needs semantic dedupe review against Days 1–10 and existing Selflo originals</x:t>
        </x:is>
      </x:c>
      <x:c r="AH712" t="inlineStr">
        <x:is>
          <x:t xml:space="preserve">No</x:t>
        </x:is>
      </x:c>
      <x:c r="AI712" t="inlineStr">
        <x:is>
          <x:t xml:space="preserve">Not reviewed</x:t>
        </x:is>
      </x:c>
      <x:c r="AJ712" t="inlineStr">
        <x:is>
          <x:t xml:space="preserve">Research only</x:t>
        </x:is>
      </x:c>
      <x:c r="AK712" t="inlineStr">
        <x:is>
          <x:t xml:space="preserve">Research Pool</x:t>
        </x:is>
      </x:c>
      <x:c r="AL712" t="n">
        <x:v>11</x:v>
      </x:c>
      <x:c r="AM712" t="inlineStr">
        <x:is>
          <x:t xml:space="preserve">ChatGPT research</x:t>
        </x:is>
      </x:c>
      <x:c r="AN712" t="inlineStr">
        <x:is>
          <x:t xml:space="preserve">2026-09-18</x:t>
        </x:is>
      </x:c>
      <x:c r="AO712" t="inlineStr">
        <x:is>
          <x:t xml:space="preserve">Day 11 Dhammapada. Avoid converting Buddhist doctrinal claims into universal psychological claims without context.</x:t>
        </x:is>
      </x:c>
    </x:row>
    <x:row r="713">
      <x:c r="A713" t="inlineStr">
        <x:is>
          <x:t xml:space="preserve">research.dhammapada.day11.v052</x:t>
        </x:is>
      </x:c>
      <x:c r="B713" t="inlineStr">
        <x:is>
          <x:t xml:space="preserve">Collected</x:t>
        </x:is>
      </x:c>
      <x:c r="C713" t="inlineStr">
        <x:is>
          <x:t xml:space="preserve">Nội tâm &amp; hiểu mình</x:t>
        </x:is>
      </x:c>
      <x:c r="D713" t="inlineStr">
        <x:is>
          <x:t xml:space="preserve">Day 11 / Dhammapada — 26 chapters / 423 verses</x:t>
        </x:is>
      </x:c>
      <x:c r="F713" t="inlineStr">
        <x:is>
          <x:t xml:space="preserve">Words embodied</x:t>
        </x:is>
      </x:c>
      <x:c r="G713" t="inlineStr">
        <x:is>
          <x:t xml:space="preserve">Learning / Practice</x:t>
        </x:is>
      </x:c>
      <x:c r="K713" t="inlineStr">
        <x:is>
          <x:t xml:space="preserve">Reframe</x:t>
        </x:is>
      </x:c>
      <x:c r="M713" t="inlineStr">
        <x:is>
          <x:t xml:space="preserve">Canonical verse / gāthā</x:t>
        </x:is>
      </x:c>
      <x:c r="N713" t="inlineStr">
        <x:is>
          <x:t xml:space="preserve">Yathā pi ruciraṁ pupphaṁ vaṇṇavantaṁ sagandhakaṁ; evaṁ subhāsitā vācā saphalā hoti pakubbato.</x:t>
        </x:is>
      </x:c>
      <x:c r="O713" t="inlineStr">
        <x:is>
          <x:t xml:space="preserve">Pāḷi</x:t>
        </x:is>
      </x:c>
      <x:c r="P713" t="inlineStr">
        <x:is>
          <x:t xml:space="preserve">Khi lời nói đi cùng cách sống, nó giống bông hoa vừa có sắc vừa có hương.</x:t>
        </x:is>
      </x:c>
      <x:c r="Q713" t="inlineStr">
        <x:is>
          <x:t xml:space="preserve">Dhammapada (Buddhist canonical verse tradition)</x:t>
        </x:is>
      </x:c>
      <x:c r="R713" t="inlineStr">
        <x:is>
          <x:t xml:space="preserve">Early Buddhist / Pāḷi tradition</x:t>
        </x:is>
      </x:c>
      <x:c r="S713" t="inlineStr">
        <x:is>
          <x:t xml:space="preserve">Dhammapada (Khuddaka Nikāya 2)</x:t>
        </x:is>
      </x:c>
      <x:c r="T713" t="inlineStr">
        <x:is>
          <x:t xml:space="preserve">Verse 52, chapter 4</x:t>
        </x:is>
      </x:c>
      <x:c r="U713" t="inlineStr">
        <x:is>
          <x:t xml:space="preserve">https://ancient-buddhist-texts.net/Texts-and-Translations/Dhammapada/04-Flowers.htm</x:t>
        </x:is>
      </x:c>
      <x:c r="V713" t="inlineStr">
        <x:is>
          <x:t xml:space="preserve">Primary Pāḷi text with interlinear scholarly translation</x:t>
        </x:is>
      </x:c>
      <x:c r="W713" t="inlineStr">
        <x:is>
          <x:t xml:space="preserve">Canonical verse</x:t>
        </x:is>
      </x:c>
      <x:c r="X713" t="inlineStr">
        <x:is>
          <x:t xml:space="preserve">A - Pāḷi verse source located</x:t>
        </x:is>
      </x:c>
      <x:c r="Y713" t="inlineStr">
        <x:is>
          <x:t xml:space="preserve">Pāḷi checked against Ancient Buddhist Texts Dhammapada edition. Vietnamese is a fresh Selflo working translation, not a published translation.</x:t>
        </x:is>
      </x:c>
      <x:c r="Z713" t="inlineStr">
        <x:is>
          <x:t xml:space="preserve">Ancient canonical text public domain; modern translation copyright separate</x:t>
        </x:is>
      </x:c>
      <x:c r="AA713" t="inlineStr">
        <x:is>
          <x:t xml:space="preserve">Retain Pāḷi original; use fresh Vietnamese translation. Do not copy a modern copyrighted translation verbatim.</x:t>
        </x:is>
      </x:c>
      <x:c r="AB713" t="inlineStr">
        <x:is>
          <x:t xml:space="preserve">High</x:t>
        </x:is>
      </x:c>
      <x:c r="AC713" t="inlineStr">
        <x:is>
          <x:t xml:space="preserve">Selected after full 26-chapter thematic screening; collection ≠ release approval.</x:t>
        </x:is>
      </x:c>
      <x:c r="AD713" t="inlineStr">
        <x:is>
          <x:t xml:space="preserve">Medium — ancient ethical/religious text needs contextual editorial review</x:t>
        </x:is>
      </x:c>
      <x:c r="AE713" t="inlineStr">
        <x:is>
          <x:t xml:space="preserve">Needs semantic dedupe review against Days 1–10 and existing Selflo originals</x:t>
        </x:is>
      </x:c>
      <x:c r="AH713" t="inlineStr">
        <x:is>
          <x:t xml:space="preserve">No</x:t>
        </x:is>
      </x:c>
      <x:c r="AI713" t="inlineStr">
        <x:is>
          <x:t xml:space="preserve">Not reviewed</x:t>
        </x:is>
      </x:c>
      <x:c r="AJ713" t="inlineStr">
        <x:is>
          <x:t xml:space="preserve">Research only</x:t>
        </x:is>
      </x:c>
      <x:c r="AK713" t="inlineStr">
        <x:is>
          <x:t xml:space="preserve">Research Pool</x:t>
        </x:is>
      </x:c>
      <x:c r="AL713" t="n">
        <x:v>11</x:v>
      </x:c>
      <x:c r="AM713" t="inlineStr">
        <x:is>
          <x:t xml:space="preserve">ChatGPT research</x:t>
        </x:is>
      </x:c>
      <x:c r="AN713" t="inlineStr">
        <x:is>
          <x:t xml:space="preserve">2026-09-18</x:t>
        </x:is>
      </x:c>
      <x:c r="AO713" t="inlineStr">
        <x:is>
          <x:t xml:space="preserve">Day 11 Dhammapada. Avoid converting Buddhist doctrinal claims into universal psychological claims without context.</x:t>
        </x:is>
      </x:c>
    </x:row>
    <x:row r="714">
      <x:c r="A714" t="inlineStr">
        <x:is>
          <x:t xml:space="preserve">research.dhammapada.day11.v061</x:t>
        </x:is>
      </x:c>
      <x:c r="B714" t="inlineStr">
        <x:is>
          <x:t xml:space="preserve">Collected</x:t>
        </x:is>
      </x:c>
      <x:c r="C714" t="inlineStr">
        <x:is>
          <x:t xml:space="preserve">Nội tâm &amp; hiểu mình</x:t>
        </x:is>
      </x:c>
      <x:c r="D714" t="inlineStr">
        <x:is>
          <x:t xml:space="preserve">Day 11 / Dhammapada — 26 chapters / 423 verses</x:t>
        </x:is>
      </x:c>
      <x:c r="F714" t="inlineStr">
        <x:is>
          <x:t xml:space="preserve">Choosing companions</x:t>
        </x:is>
      </x:c>
      <x:c r="G714" t="inlineStr">
        <x:is>
          <x:t xml:space="preserve">Relationships / Choice</x:t>
        </x:is>
      </x:c>
      <x:c r="K714" t="inlineStr">
        <x:is>
          <x:t xml:space="preserve">Return agency</x:t>
        </x:is>
      </x:c>
      <x:c r="M714" t="inlineStr">
        <x:is>
          <x:t xml:space="preserve">Canonical verse / gāthā</x:t>
        </x:is>
      </x:c>
      <x:c r="N714" t="inlineStr">
        <x:is>
          <x:t xml:space="preserve">Carañ-ce nādhigaccheyya seyyaṁ sadisam-attano; ekacariyaṁ daḷhaṁ kayirā, natthi bāle sahāyatā.</x:t>
        </x:is>
      </x:c>
      <x:c r="O714" t="inlineStr">
        <x:is>
          <x:t xml:space="preserve">Pāḷi</x:t>
        </x:is>
      </x:c>
      <x:c r="P714" t="inlineStr">
        <x:is>
          <x:t xml:space="preserve">Nếu chưa gặp được người đồng hành phù hợp, đi một đoạn một mình có thể tốt hơn gắn mình vào một sự đồng hành làm mình lạc hướng.</x:t>
        </x:is>
      </x:c>
      <x:c r="Q714" t="inlineStr">
        <x:is>
          <x:t xml:space="preserve">Dhammapada (Buddhist canonical verse tradition)</x:t>
        </x:is>
      </x:c>
      <x:c r="R714" t="inlineStr">
        <x:is>
          <x:t xml:space="preserve">Early Buddhist / Pāḷi tradition</x:t>
        </x:is>
      </x:c>
      <x:c r="S714" t="inlineStr">
        <x:is>
          <x:t xml:space="preserve">Dhammapada (Khuddaka Nikāya 2)</x:t>
        </x:is>
      </x:c>
      <x:c r="T714" t="inlineStr">
        <x:is>
          <x:t xml:space="preserve">Verse 61, chapter 5</x:t>
        </x:is>
      </x:c>
      <x:c r="U714" t="inlineStr">
        <x:is>
          <x:t xml:space="preserve">https://ancient-buddhist-texts.net/Texts-and-Translations/Dhammapada/05-Fools.htm</x:t>
        </x:is>
      </x:c>
      <x:c r="V714" t="inlineStr">
        <x:is>
          <x:t xml:space="preserve">Primary Pāḷi text with interlinear scholarly translation</x:t>
        </x:is>
      </x:c>
      <x:c r="W714" t="inlineStr">
        <x:is>
          <x:t xml:space="preserve">Canonical verse</x:t>
        </x:is>
      </x:c>
      <x:c r="X714" t="inlineStr">
        <x:is>
          <x:t xml:space="preserve">A - Pāḷi verse source located</x:t>
        </x:is>
      </x:c>
      <x:c r="Y714" t="inlineStr">
        <x:is>
          <x:t xml:space="preserve">Pāḷi checked against Ancient Buddhist Texts Dhammapada edition. Vietnamese is a fresh Selflo working translation, not a published translation.</x:t>
        </x:is>
      </x:c>
      <x:c r="Z714" t="inlineStr">
        <x:is>
          <x:t xml:space="preserve">Ancient canonical text public domain; modern translation copyright separate</x:t>
        </x:is>
      </x:c>
      <x:c r="AA714" t="inlineStr">
        <x:is>
          <x:t xml:space="preserve">Retain Pāḷi original; use fresh Vietnamese translation. Do not copy a modern copyrighted translation verbatim.</x:t>
        </x:is>
      </x:c>
      <x:c r="AB714" t="inlineStr">
        <x:is>
          <x:t xml:space="preserve">Medium</x:t>
        </x:is>
      </x:c>
      <x:c r="AC714" t="inlineStr">
        <x:is>
          <x:t xml:space="preserve">Selected after full 26-chapter thematic screening; collection ≠ release approval.</x:t>
        </x:is>
      </x:c>
      <x:c r="AD714" t="inlineStr">
        <x:is>
          <x:t xml:space="preserve">Medium — ancient ethical/religious text needs contextual editorial review</x:t>
        </x:is>
      </x:c>
      <x:c r="AE714" t="inlineStr">
        <x:is>
          <x:t xml:space="preserve">Needs semantic dedupe review against Days 1–10 and existing Selflo originals</x:t>
        </x:is>
      </x:c>
      <x:c r="AH714" t="inlineStr">
        <x:is>
          <x:t xml:space="preserve">No</x:t>
        </x:is>
      </x:c>
      <x:c r="AI714" t="inlineStr">
        <x:is>
          <x:t xml:space="preserve">Not reviewed</x:t>
        </x:is>
      </x:c>
      <x:c r="AJ714" t="inlineStr">
        <x:is>
          <x:t xml:space="preserve">Research only</x:t>
        </x:is>
      </x:c>
      <x:c r="AK714" t="inlineStr">
        <x:is>
          <x:t xml:space="preserve">Research Pool</x:t>
        </x:is>
      </x:c>
      <x:c r="AL714" t="n">
        <x:v>11</x:v>
      </x:c>
      <x:c r="AM714" t="inlineStr">
        <x:is>
          <x:t xml:space="preserve">ChatGPT research</x:t>
        </x:is>
      </x:c>
      <x:c r="AN714" t="inlineStr">
        <x:is>
          <x:t xml:space="preserve">2026-09-18</x:t>
        </x:is>
      </x:c>
      <x:c r="AO714" t="inlineStr">
        <x:is>
          <x:t xml:space="preserve">Day 11 Dhammapada. Avoid converting Buddhist doctrinal claims into universal psychological claims without context.</x:t>
        </x:is>
      </x:c>
    </x:row>
    <x:row r="715">
      <x:c r="A715" t="inlineStr">
        <x:is>
          <x:t xml:space="preserve">research.dhammapada.day11.v064</x:t>
        </x:is>
      </x:c>
      <x:c r="B715" t="inlineStr">
        <x:is>
          <x:t xml:space="preserve">Collected</x:t>
        </x:is>
      </x:c>
      <x:c r="C715" t="inlineStr">
        <x:is>
          <x:t xml:space="preserve">Nội tâm &amp; hiểu mình</x:t>
        </x:is>
      </x:c>
      <x:c r="D715" t="inlineStr">
        <x:is>
          <x:t xml:space="preserve">Day 11 / Dhammapada — 26 chapters / 423 verses</x:t>
        </x:is>
      </x:c>
      <x:c r="F715" t="inlineStr">
        <x:is>
          <x:t xml:space="preserve">Exposure ≠ understanding</x:t>
        </x:is>
      </x:c>
      <x:c r="G715" t="inlineStr">
        <x:is>
          <x:t xml:space="preserve">Learning / AI age</x:t>
        </x:is>
      </x:c>
      <x:c r="K715" t="inlineStr">
        <x:is>
          <x:t xml:space="preserve">Distinguish</x:t>
        </x:is>
      </x:c>
      <x:c r="M715" t="inlineStr">
        <x:is>
          <x:t xml:space="preserve">Canonical verse / gāthā</x:t>
        </x:is>
      </x:c>
      <x:c r="N715" t="inlineStr">
        <x:is>
          <x:t xml:space="preserve">Yāvajīvam-pi ce bālo paṇḍitaṁ payirupāsati; na so Dhammaṁ vijānāti, dabbī sūparasaṁ yathā.</x:t>
        </x:is>
      </x:c>
      <x:c r="O715" t="inlineStr">
        <x:is>
          <x:t xml:space="preserve">Pāḷi</x:t>
        </x:is>
      </x:c>
      <x:c r="P715" t="inlineStr">
        <x:is>
          <x:t xml:space="preserve">Ở cạnh tri thức rất lâu chưa chắc đã hiểu—như chiếc muỗng nằm trong món ăn mà không biết vị của nó.</x:t>
        </x:is>
      </x:c>
      <x:c r="Q715" t="inlineStr">
        <x:is>
          <x:t xml:space="preserve">Dhammapada (Buddhist canonical verse tradition)</x:t>
        </x:is>
      </x:c>
      <x:c r="R715" t="inlineStr">
        <x:is>
          <x:t xml:space="preserve">Early Buddhist / Pāḷi tradition</x:t>
        </x:is>
      </x:c>
      <x:c r="S715" t="inlineStr">
        <x:is>
          <x:t xml:space="preserve">Dhammapada (Khuddaka Nikāya 2)</x:t>
        </x:is>
      </x:c>
      <x:c r="T715" t="inlineStr">
        <x:is>
          <x:t xml:space="preserve">Verse 64, chapter 5</x:t>
        </x:is>
      </x:c>
      <x:c r="U715" t="inlineStr">
        <x:is>
          <x:t xml:space="preserve">https://ancient-buddhist-texts.net/Texts-and-Translations/Dhammapada/05-Fools.htm</x:t>
        </x:is>
      </x:c>
      <x:c r="V715" t="inlineStr">
        <x:is>
          <x:t xml:space="preserve">Primary Pāḷi text with interlinear scholarly translation</x:t>
        </x:is>
      </x:c>
      <x:c r="W715" t="inlineStr">
        <x:is>
          <x:t xml:space="preserve">Canonical verse</x:t>
        </x:is>
      </x:c>
      <x:c r="X715" t="inlineStr">
        <x:is>
          <x:t xml:space="preserve">A - Pāḷi verse source located</x:t>
        </x:is>
      </x:c>
      <x:c r="Y715" t="inlineStr">
        <x:is>
          <x:t xml:space="preserve">Pāḷi checked against Ancient Buddhist Texts Dhammapada edition. Vietnamese is a fresh Selflo working translation, not a published translation.</x:t>
        </x:is>
      </x:c>
      <x:c r="Z715" t="inlineStr">
        <x:is>
          <x:t xml:space="preserve">Ancient canonical text public domain; modern translation copyright separate</x:t>
        </x:is>
      </x:c>
      <x:c r="AA715" t="inlineStr">
        <x:is>
          <x:t xml:space="preserve">Retain Pāḷi original; use fresh Vietnamese translation. Do not copy a modern copyrighted translation verbatim.</x:t>
        </x:is>
      </x:c>
      <x:c r="AB715" t="inlineStr">
        <x:is>
          <x:t xml:space="preserve">High</x:t>
        </x:is>
      </x:c>
      <x:c r="AC715" t="inlineStr">
        <x:is>
          <x:t xml:space="preserve">Selected after full 26-chapter thematic screening; collection ≠ release approval.</x:t>
        </x:is>
      </x:c>
      <x:c r="AD715" t="inlineStr">
        <x:is>
          <x:t xml:space="preserve">Medium — ancient ethical/religious text needs contextual editorial review</x:t>
        </x:is>
      </x:c>
      <x:c r="AE715" t="inlineStr">
        <x:is>
          <x:t xml:space="preserve">Needs semantic dedupe review against Days 1–10 and existing Selflo originals</x:t>
        </x:is>
      </x:c>
      <x:c r="AH715" t="inlineStr">
        <x:is>
          <x:t xml:space="preserve">No</x:t>
        </x:is>
      </x:c>
      <x:c r="AI715" t="inlineStr">
        <x:is>
          <x:t xml:space="preserve">Not reviewed</x:t>
        </x:is>
      </x:c>
      <x:c r="AJ715" t="inlineStr">
        <x:is>
          <x:t xml:space="preserve">Research only</x:t>
        </x:is>
      </x:c>
      <x:c r="AK715" t="inlineStr">
        <x:is>
          <x:t xml:space="preserve">Research Pool</x:t>
        </x:is>
      </x:c>
      <x:c r="AL715" t="n">
        <x:v>11</x:v>
      </x:c>
      <x:c r="AM715" t="inlineStr">
        <x:is>
          <x:t xml:space="preserve">ChatGPT research</x:t>
        </x:is>
      </x:c>
      <x:c r="AN715" t="inlineStr">
        <x:is>
          <x:t xml:space="preserve">2026-09-18</x:t>
        </x:is>
      </x:c>
      <x:c r="AO715" t="inlineStr">
        <x:is>
          <x:t xml:space="preserve">Day 11 Dhammapada. Avoid converting Buddhist doctrinal claims into universal psychological claims without context.</x:t>
        </x:is>
      </x:c>
    </x:row>
    <x:row r="716">
      <x:c r="A716" t="inlineStr">
        <x:is>
          <x:t xml:space="preserve">research.dhammapada.day11.v065</x:t>
        </x:is>
      </x:c>
      <x:c r="B716" t="inlineStr">
        <x:is>
          <x:t xml:space="preserve">Collected</x:t>
        </x:is>
      </x:c>
      <x:c r="C716" t="inlineStr">
        <x:is>
          <x:t xml:space="preserve">Nội tâm &amp; hiểu mình</x:t>
        </x:is>
      </x:c>
      <x:c r="D716" t="inlineStr">
        <x:is>
          <x:t xml:space="preserve">Day 11 / Dhammapada — 26 chapters / 423 verses</x:t>
        </x:is>
      </x:c>
      <x:c r="F716" t="inlineStr">
        <x:is>
          <x:t xml:space="preserve">Experience and understanding</x:t>
        </x:is>
      </x:c>
      <x:c r="G716" t="inlineStr">
        <x:is>
          <x:t xml:space="preserve">Learning / AI age</x:t>
        </x:is>
      </x:c>
      <x:c r="K716" t="inlineStr">
        <x:is>
          <x:t xml:space="preserve">Reframe</x:t>
        </x:is>
      </x:c>
      <x:c r="M716" t="inlineStr">
        <x:is>
          <x:t xml:space="preserve">Canonical verse / gāthā</x:t>
        </x:is>
      </x:c>
      <x:c r="N716" t="inlineStr">
        <x:is>
          <x:t xml:space="preserve">Muhuttam-api ce viññū paṇḍitaṁ payirupāsati; khippaṁ Dhammaṁ vijānāti, jivhā sūparasaṁ yathā.</x:t>
        </x:is>
      </x:c>
      <x:c r="O716" t="inlineStr">
        <x:is>
          <x:t xml:space="preserve">Pāḷi</x:t>
        </x:is>
      </x:c>
      <x:c r="P716" t="inlineStr">
        <x:is>
          <x:t xml:space="preserve">Người thật sự nếm trải có thể hiểu rất nhanh—như lưỡi nhận ra vị mà chiếc muỗng không thể.</x:t>
        </x:is>
      </x:c>
      <x:c r="Q716" t="inlineStr">
        <x:is>
          <x:t xml:space="preserve">Dhammapada (Buddhist canonical verse tradition)</x:t>
        </x:is>
      </x:c>
      <x:c r="R716" t="inlineStr">
        <x:is>
          <x:t xml:space="preserve">Early Buddhist / Pāḷi tradition</x:t>
        </x:is>
      </x:c>
      <x:c r="S716" t="inlineStr">
        <x:is>
          <x:t xml:space="preserve">Dhammapada (Khuddaka Nikāya 2)</x:t>
        </x:is>
      </x:c>
      <x:c r="T716" t="inlineStr">
        <x:is>
          <x:t xml:space="preserve">Verse 65, chapter 5</x:t>
        </x:is>
      </x:c>
      <x:c r="U716" t="inlineStr">
        <x:is>
          <x:t xml:space="preserve">https://ancient-buddhist-texts.net/Texts-and-Translations/Dhammapada/05-Fools.htm</x:t>
        </x:is>
      </x:c>
      <x:c r="V716" t="inlineStr">
        <x:is>
          <x:t xml:space="preserve">Primary Pāḷi text with interlinear scholarly translation</x:t>
        </x:is>
      </x:c>
      <x:c r="W716" t="inlineStr">
        <x:is>
          <x:t xml:space="preserve">Canonical verse</x:t>
        </x:is>
      </x:c>
      <x:c r="X716" t="inlineStr">
        <x:is>
          <x:t xml:space="preserve">A - Pāḷi verse source located</x:t>
        </x:is>
      </x:c>
      <x:c r="Y716" t="inlineStr">
        <x:is>
          <x:t xml:space="preserve">Pāḷi checked against Ancient Buddhist Texts Dhammapada edition. Vietnamese is a fresh Selflo working translation, not a published translation.</x:t>
        </x:is>
      </x:c>
      <x:c r="Z716" t="inlineStr">
        <x:is>
          <x:t xml:space="preserve">Ancient canonical text public domain; modern translation copyright separate</x:t>
        </x:is>
      </x:c>
      <x:c r="AA716" t="inlineStr">
        <x:is>
          <x:t xml:space="preserve">Retain Pāḷi original; use fresh Vietnamese translation. Do not copy a modern copyrighted translation verbatim.</x:t>
        </x:is>
      </x:c>
      <x:c r="AB716" t="inlineStr">
        <x:is>
          <x:t xml:space="preserve">High</x:t>
        </x:is>
      </x:c>
      <x:c r="AC716" t="inlineStr">
        <x:is>
          <x:t xml:space="preserve">Selected after full 26-chapter thematic screening; collection ≠ release approval.</x:t>
        </x:is>
      </x:c>
      <x:c r="AD716" t="inlineStr">
        <x:is>
          <x:t xml:space="preserve">Medium — ancient ethical/religious text needs contextual editorial review</x:t>
        </x:is>
      </x:c>
      <x:c r="AE716" t="inlineStr">
        <x:is>
          <x:t xml:space="preserve">Needs semantic dedupe review against Days 1–10 and existing Selflo originals</x:t>
        </x:is>
      </x:c>
      <x:c r="AH716" t="inlineStr">
        <x:is>
          <x:t xml:space="preserve">No</x:t>
        </x:is>
      </x:c>
      <x:c r="AI716" t="inlineStr">
        <x:is>
          <x:t xml:space="preserve">Not reviewed</x:t>
        </x:is>
      </x:c>
      <x:c r="AJ716" t="inlineStr">
        <x:is>
          <x:t xml:space="preserve">Research only</x:t>
        </x:is>
      </x:c>
      <x:c r="AK716" t="inlineStr">
        <x:is>
          <x:t xml:space="preserve">Research Pool</x:t>
        </x:is>
      </x:c>
      <x:c r="AL716" t="n">
        <x:v>11</x:v>
      </x:c>
      <x:c r="AM716" t="inlineStr">
        <x:is>
          <x:t xml:space="preserve">ChatGPT research</x:t>
        </x:is>
      </x:c>
      <x:c r="AN716" t="inlineStr">
        <x:is>
          <x:t xml:space="preserve">2026-09-18</x:t>
        </x:is>
      </x:c>
      <x:c r="AO716" t="inlineStr">
        <x:is>
          <x:t xml:space="preserve">Day 11 Dhammapada. Avoid converting Buddhist doctrinal claims into universal psychological claims without context.</x:t>
        </x:is>
      </x:c>
    </x:row>
    <x:row r="717">
      <x:c r="A717" t="inlineStr">
        <x:is>
          <x:t xml:space="preserve">research.dhammapada.day11.v076</x:t>
        </x:is>
      </x:c>
      <x:c r="B717" t="inlineStr">
        <x:is>
          <x:t xml:space="preserve">Collected</x:t>
        </x:is>
      </x:c>
      <x:c r="C717" t="inlineStr">
        <x:is>
          <x:t xml:space="preserve">Nội tâm &amp; hiểu mình</x:t>
        </x:is>
      </x:c>
      <x:c r="D717" t="inlineStr">
        <x:is>
          <x:t xml:space="preserve">Day 11 / Dhammapada — 26 chapters / 423 verses</x:t>
        </x:is>
      </x:c>
      <x:c r="F717" t="inlineStr">
        <x:is>
          <x:t xml:space="preserve">Receiving feedback</x:t>
        </x:is>
      </x:c>
      <x:c r="G717" t="inlineStr">
        <x:is>
          <x:t xml:space="preserve">Learning / Feedback</x:t>
        </x:is>
      </x:c>
      <x:c r="K717" t="inlineStr">
        <x:is>
          <x:t xml:space="preserve">Reframe</x:t>
        </x:is>
      </x:c>
      <x:c r="M717" t="inlineStr">
        <x:is>
          <x:t xml:space="preserve">Canonical verse / gāthā</x:t>
        </x:is>
      </x:c>
      <x:c r="N717" t="inlineStr">
        <x:is>
          <x:t xml:space="preserve">Nidhīnaṁ va pavattāraṁ yaṁ passe vajjadassinaṁ; niggayhavādiṁ medhāviṁ tādisaṁ paṇḍitaṁ bhaje.</x:t>
        </x:is>
      </x:c>
      <x:c r="O717" t="inlineStr">
        <x:is>
          <x:t xml:space="preserve">Pāḷi</x:t>
        </x:is>
      </x:c>
      <x:c r="P717" t="inlineStr">
        <x:is>
          <x:t xml:space="preserve">Người chỉ ra điều mình chưa thấy có thể giống người chỉ nơi cất một kho báu; lời khó nghe đôi khi vẫn có ích.</x:t>
        </x:is>
      </x:c>
      <x:c r="Q717" t="inlineStr">
        <x:is>
          <x:t xml:space="preserve">Dhammapada (Buddhist canonical verse tradition)</x:t>
        </x:is>
      </x:c>
      <x:c r="R717" t="inlineStr">
        <x:is>
          <x:t xml:space="preserve">Early Buddhist / Pāḷi tradition</x:t>
        </x:is>
      </x:c>
      <x:c r="S717" t="inlineStr">
        <x:is>
          <x:t xml:space="preserve">Dhammapada (Khuddaka Nikāya 2)</x:t>
        </x:is>
      </x:c>
      <x:c r="T717" t="inlineStr">
        <x:is>
          <x:t xml:space="preserve">Verse 76, chapter 6</x:t>
        </x:is>
      </x:c>
      <x:c r="U717" t="inlineStr">
        <x:is>
          <x:t xml:space="preserve">https://ancient-buddhist-texts.net/Texts-and-Translations/Dhammapada/06-Wise.htm</x:t>
        </x:is>
      </x:c>
      <x:c r="V717" t="inlineStr">
        <x:is>
          <x:t xml:space="preserve">Primary Pāḷi text with interlinear scholarly translation</x:t>
        </x:is>
      </x:c>
      <x:c r="W717" t="inlineStr">
        <x:is>
          <x:t xml:space="preserve">Canonical verse</x:t>
        </x:is>
      </x:c>
      <x:c r="X717" t="inlineStr">
        <x:is>
          <x:t xml:space="preserve">A - Pāḷi verse source located</x:t>
        </x:is>
      </x:c>
      <x:c r="Y717" t="inlineStr">
        <x:is>
          <x:t xml:space="preserve">Pāḷi checked against Ancient Buddhist Texts Dhammapada edition. Vietnamese is a fresh Selflo working translation, not a published translation.</x:t>
        </x:is>
      </x:c>
      <x:c r="Z717" t="inlineStr">
        <x:is>
          <x:t xml:space="preserve">Ancient canonical text public domain; modern translation copyright separate</x:t>
        </x:is>
      </x:c>
      <x:c r="AA717" t="inlineStr">
        <x:is>
          <x:t xml:space="preserve">Retain Pāḷi original; use fresh Vietnamese translation. Do not copy a modern copyrighted translation verbatim.</x:t>
        </x:is>
      </x:c>
      <x:c r="AB717" t="inlineStr">
        <x:is>
          <x:t xml:space="preserve">Medium</x:t>
        </x:is>
      </x:c>
      <x:c r="AC717" t="inlineStr">
        <x:is>
          <x:t xml:space="preserve">Selected after full 26-chapter thematic screening; collection ≠ release approval.</x:t>
        </x:is>
      </x:c>
      <x:c r="AD717" t="inlineStr">
        <x:is>
          <x:t xml:space="preserve">Medium — ancient ethical/religious text needs contextual editorial review</x:t>
        </x:is>
      </x:c>
      <x:c r="AE717" t="inlineStr">
        <x:is>
          <x:t xml:space="preserve">Needs semantic dedupe review against Days 1–10 and existing Selflo originals</x:t>
        </x:is>
      </x:c>
      <x:c r="AH717" t="inlineStr">
        <x:is>
          <x:t xml:space="preserve">No</x:t>
        </x:is>
      </x:c>
      <x:c r="AI717" t="inlineStr">
        <x:is>
          <x:t xml:space="preserve">Not reviewed</x:t>
        </x:is>
      </x:c>
      <x:c r="AJ717" t="inlineStr">
        <x:is>
          <x:t xml:space="preserve">Research only</x:t>
        </x:is>
      </x:c>
      <x:c r="AK717" t="inlineStr">
        <x:is>
          <x:t xml:space="preserve">Research Pool</x:t>
        </x:is>
      </x:c>
      <x:c r="AL717" t="n">
        <x:v>11</x:v>
      </x:c>
      <x:c r="AM717" t="inlineStr">
        <x:is>
          <x:t xml:space="preserve">ChatGPT research</x:t>
        </x:is>
      </x:c>
      <x:c r="AN717" t="inlineStr">
        <x:is>
          <x:t xml:space="preserve">2026-09-18</x:t>
        </x:is>
      </x:c>
      <x:c r="AO717" t="inlineStr">
        <x:is>
          <x:t xml:space="preserve">Day 11 Dhammapada. Avoid converting Buddhist doctrinal claims into universal psychological claims without context.</x:t>
        </x:is>
      </x:c>
    </x:row>
    <x:row r="718">
      <x:c r="A718" t="inlineStr">
        <x:is>
          <x:t xml:space="preserve">research.dhammapada.day11.v081</x:t>
        </x:is>
      </x:c>
      <x:c r="B718" t="inlineStr">
        <x:is>
          <x:t xml:space="preserve">Collected</x:t>
        </x:is>
      </x:c>
      <x:c r="C718" t="inlineStr">
        <x:is>
          <x:t xml:space="preserve">Nội tâm &amp; hiểu mình</x:t>
        </x:is>
      </x:c>
      <x:c r="D718" t="inlineStr">
        <x:is>
          <x:t xml:space="preserve">Day 11 / Dhammapada — 26 chapters / 423 verses</x:t>
        </x:is>
      </x:c>
      <x:c r="F718" t="inlineStr">
        <x:is>
          <x:t xml:space="preserve">Praise and criticism</x:t>
        </x:is>
      </x:c>
      <x:c r="G718" t="inlineStr">
        <x:is>
          <x:t xml:space="preserve">External validation</x:t>
        </x:is>
      </x:c>
      <x:c r="K718" t="inlineStr">
        <x:is>
          <x:t xml:space="preserve">Reframe</x:t>
        </x:is>
      </x:c>
      <x:c r="M718" t="inlineStr">
        <x:is>
          <x:t xml:space="preserve">Canonical verse / gāthā</x:t>
        </x:is>
      </x:c>
      <x:c r="N718" t="inlineStr">
        <x:is>
          <x:t xml:space="preserve">Selo yathā ekaghano vātena na samīrati; evaṁ nindāpasaṁsāsu na samiñjanti paṇḍitā.</x:t>
        </x:is>
      </x:c>
      <x:c r="O718" t="inlineStr">
        <x:is>
          <x:t xml:space="preserve">Pāḷi</x:t>
        </x:is>
      </x:c>
      <x:c r="P718" t="inlineStr">
        <x:is>
          <x:t xml:space="preserve">Như tảng đá không nghiêng theo từng cơn gió, một người có thể học cách không để khen chê quyết định toàn bộ giá trị của mình.</x:t>
        </x:is>
      </x:c>
      <x:c r="Q718" t="inlineStr">
        <x:is>
          <x:t xml:space="preserve">Dhammapada (Buddhist canonical verse tradition)</x:t>
        </x:is>
      </x:c>
      <x:c r="R718" t="inlineStr">
        <x:is>
          <x:t xml:space="preserve">Early Buddhist / Pāḷi tradition</x:t>
        </x:is>
      </x:c>
      <x:c r="S718" t="inlineStr">
        <x:is>
          <x:t xml:space="preserve">Dhammapada (Khuddaka Nikāya 2)</x:t>
        </x:is>
      </x:c>
      <x:c r="T718" t="inlineStr">
        <x:is>
          <x:t xml:space="preserve">Verse 81, chapter 6</x:t>
        </x:is>
      </x:c>
      <x:c r="U718" t="inlineStr">
        <x:is>
          <x:t xml:space="preserve">https://ancient-buddhist-texts.net/Texts-and-Translations/Dhammapada/06-Wise.htm</x:t>
        </x:is>
      </x:c>
      <x:c r="V718" t="inlineStr">
        <x:is>
          <x:t xml:space="preserve">Primary Pāḷi text with interlinear scholarly translation</x:t>
        </x:is>
      </x:c>
      <x:c r="W718" t="inlineStr">
        <x:is>
          <x:t xml:space="preserve">Canonical verse</x:t>
        </x:is>
      </x:c>
      <x:c r="X718" t="inlineStr">
        <x:is>
          <x:t xml:space="preserve">A - Pāḷi verse source located</x:t>
        </x:is>
      </x:c>
      <x:c r="Y718" t="inlineStr">
        <x:is>
          <x:t xml:space="preserve">Pāḷi checked against Ancient Buddhist Texts Dhammapada edition. Vietnamese is a fresh Selflo working translation, not a published translation.</x:t>
        </x:is>
      </x:c>
      <x:c r="Z718" t="inlineStr">
        <x:is>
          <x:t xml:space="preserve">Ancient canonical text public domain; modern translation copyright separate</x:t>
        </x:is>
      </x:c>
      <x:c r="AA718" t="inlineStr">
        <x:is>
          <x:t xml:space="preserve">Retain Pāḷi original; use fresh Vietnamese translation. Do not copy a modern copyrighted translation verbatim.</x:t>
        </x:is>
      </x:c>
      <x:c r="AB718" t="inlineStr">
        <x:is>
          <x:t xml:space="preserve">High</x:t>
        </x:is>
      </x:c>
      <x:c r="AC718" t="inlineStr">
        <x:is>
          <x:t xml:space="preserve">Selected after full 26-chapter thematic screening; collection ≠ release approval.</x:t>
        </x:is>
      </x:c>
      <x:c r="AD718" t="inlineStr">
        <x:is>
          <x:t xml:space="preserve">Medium — ancient ethical/religious text needs contextual editorial review</x:t>
        </x:is>
      </x:c>
      <x:c r="AE718" t="inlineStr">
        <x:is>
          <x:t xml:space="preserve">Needs semantic dedupe review against Days 1–10 and existing Selflo originals</x:t>
        </x:is>
      </x:c>
      <x:c r="AH718" t="inlineStr">
        <x:is>
          <x:t xml:space="preserve">No</x:t>
        </x:is>
      </x:c>
      <x:c r="AI718" t="inlineStr">
        <x:is>
          <x:t xml:space="preserve">Not reviewed</x:t>
        </x:is>
      </x:c>
      <x:c r="AJ718" t="inlineStr">
        <x:is>
          <x:t xml:space="preserve">Research only</x:t>
        </x:is>
      </x:c>
      <x:c r="AK718" t="inlineStr">
        <x:is>
          <x:t xml:space="preserve">Research Pool</x:t>
        </x:is>
      </x:c>
      <x:c r="AL718" t="n">
        <x:v>11</x:v>
      </x:c>
      <x:c r="AM718" t="inlineStr">
        <x:is>
          <x:t xml:space="preserve">ChatGPT research</x:t>
        </x:is>
      </x:c>
      <x:c r="AN718" t="inlineStr">
        <x:is>
          <x:t xml:space="preserve">2026-09-18</x:t>
        </x:is>
      </x:c>
      <x:c r="AO718" t="inlineStr">
        <x:is>
          <x:t xml:space="preserve">Day 11 Dhammapada. Avoid converting Buddhist doctrinal claims into universal psychological claims without context.</x:t>
        </x:is>
      </x:c>
    </x:row>
    <x:row r="719">
      <x:c r="A719" t="inlineStr">
        <x:is>
          <x:t xml:space="preserve">research.dhammapada.day11.v083</x:t>
        </x:is>
      </x:c>
      <x:c r="B719" t="inlineStr">
        <x:is>
          <x:t xml:space="preserve">Collected</x:t>
        </x:is>
      </x:c>
      <x:c r="C719" t="inlineStr">
        <x:is>
          <x:t xml:space="preserve">Nội tâm &amp; hiểu mình</x:t>
        </x:is>
      </x:c>
      <x:c r="D719" t="inlineStr">
        <x:is>
          <x:t xml:space="preserve">Day 11 / Dhammapada — 26 chapters / 423 verses</x:t>
        </x:is>
      </x:c>
      <x:c r="F719" t="inlineStr">
        <x:is>
          <x:t xml:space="preserve">Emotional swings</x:t>
        </x:is>
      </x:c>
      <x:c r="G719" t="inlineStr">
        <x:is>
          <x:t xml:space="preserve">Equanimity</x:t>
        </x:is>
      </x:c>
      <x:c r="K719" t="inlineStr">
        <x:is>
          <x:t xml:space="preserve">Normalize</x:t>
        </x:is>
      </x:c>
      <x:c r="M719" t="inlineStr">
        <x:is>
          <x:t xml:space="preserve">Canonical verse / gāthā</x:t>
        </x:is>
      </x:c>
      <x:c r="N719" t="inlineStr">
        <x:is>
          <x:t xml:space="preserve">Sabbattha ve sappurisā cajanti, na kāmakāmā lapayanti santo; sukhena phuṭṭhā atha vā dukhena, na uccāvacaṁ paṇḍitā dassayanti.</x:t>
        </x:is>
      </x:c>
      <x:c r="O719" t="inlineStr">
        <x:is>
          <x:t xml:space="preserve">Pāḷi</x:t>
        </x:is>
      </x:c>
      <x:c r="P719" t="inlineStr">
        <x:is>
          <x:t xml:space="preserve">Người vững không nhất thiết bị nâng lên hoàn toàn bởi dễ chịu hay kéo xuống hoàn toàn bởi khó chịu.</x:t>
        </x:is>
      </x:c>
      <x:c r="Q719" t="inlineStr">
        <x:is>
          <x:t xml:space="preserve">Dhammapada (Buddhist canonical verse tradition)</x:t>
        </x:is>
      </x:c>
      <x:c r="R719" t="inlineStr">
        <x:is>
          <x:t xml:space="preserve">Early Buddhist / Pāḷi tradition</x:t>
        </x:is>
      </x:c>
      <x:c r="S719" t="inlineStr">
        <x:is>
          <x:t xml:space="preserve">Dhammapada (Khuddaka Nikāya 2)</x:t>
        </x:is>
      </x:c>
      <x:c r="T719" t="inlineStr">
        <x:is>
          <x:t xml:space="preserve">Verse 83, chapter 6</x:t>
        </x:is>
      </x:c>
      <x:c r="U719" t="inlineStr">
        <x:is>
          <x:t xml:space="preserve">https://ancient-buddhist-texts.net/Texts-and-Translations/Dhammapada/06-Wise.htm</x:t>
        </x:is>
      </x:c>
      <x:c r="V719" t="inlineStr">
        <x:is>
          <x:t xml:space="preserve">Primary Pāḷi text with interlinear scholarly translation</x:t>
        </x:is>
      </x:c>
      <x:c r="W719" t="inlineStr">
        <x:is>
          <x:t xml:space="preserve">Canonical verse</x:t>
        </x:is>
      </x:c>
      <x:c r="X719" t="inlineStr">
        <x:is>
          <x:t xml:space="preserve">A - Pāḷi verse source located</x:t>
        </x:is>
      </x:c>
      <x:c r="Y719" t="inlineStr">
        <x:is>
          <x:t xml:space="preserve">Pāḷi checked against Ancient Buddhist Texts Dhammapada edition. Vietnamese is a fresh Selflo working translation, not a published translation.</x:t>
        </x:is>
      </x:c>
      <x:c r="Z719" t="inlineStr">
        <x:is>
          <x:t xml:space="preserve">Ancient canonical text public domain; modern translation copyright separate</x:t>
        </x:is>
      </x:c>
      <x:c r="AA719" t="inlineStr">
        <x:is>
          <x:t xml:space="preserve">Retain Pāḷi original; use fresh Vietnamese translation. Do not copy a modern copyrighted translation verbatim.</x:t>
        </x:is>
      </x:c>
      <x:c r="AB719" t="inlineStr">
        <x:is>
          <x:t xml:space="preserve">Medium</x:t>
        </x:is>
      </x:c>
      <x:c r="AC719" t="inlineStr">
        <x:is>
          <x:t xml:space="preserve">Selected after full 26-chapter thematic screening; collection ≠ release approval.</x:t>
        </x:is>
      </x:c>
      <x:c r="AD719" t="inlineStr">
        <x:is>
          <x:t xml:space="preserve">Medium — ancient ethical/religious text needs contextual editorial review</x:t>
        </x:is>
      </x:c>
      <x:c r="AE719" t="inlineStr">
        <x:is>
          <x:t xml:space="preserve">Needs semantic dedupe review against Days 1–10 and existing Selflo originals</x:t>
        </x:is>
      </x:c>
      <x:c r="AH719" t="inlineStr">
        <x:is>
          <x:t xml:space="preserve">No</x:t>
        </x:is>
      </x:c>
      <x:c r="AI719" t="inlineStr">
        <x:is>
          <x:t xml:space="preserve">Not reviewed</x:t>
        </x:is>
      </x:c>
      <x:c r="AJ719" t="inlineStr">
        <x:is>
          <x:t xml:space="preserve">Research only</x:t>
        </x:is>
      </x:c>
      <x:c r="AK719" t="inlineStr">
        <x:is>
          <x:t xml:space="preserve">Research Pool</x:t>
        </x:is>
      </x:c>
      <x:c r="AL719" t="n">
        <x:v>11</x:v>
      </x:c>
      <x:c r="AM719" t="inlineStr">
        <x:is>
          <x:t xml:space="preserve">ChatGPT research</x:t>
        </x:is>
      </x:c>
      <x:c r="AN719" t="inlineStr">
        <x:is>
          <x:t xml:space="preserve">2026-09-18</x:t>
        </x:is>
      </x:c>
      <x:c r="AO719" t="inlineStr">
        <x:is>
          <x:t xml:space="preserve">Day 11 Dhammapada. Avoid converting Buddhist doctrinal claims into universal psychological claims without context.</x:t>
        </x:is>
      </x:c>
    </x:row>
    <x:row r="720">
      <x:c r="A720" t="inlineStr">
        <x:is>
          <x:t xml:space="preserve">research.dhammapada.day11.v100</x:t>
        </x:is>
      </x:c>
      <x:c r="B720" t="inlineStr">
        <x:is>
          <x:t xml:space="preserve">Collected</x:t>
        </x:is>
      </x:c>
      <x:c r="C720" t="inlineStr">
        <x:is>
          <x:t xml:space="preserve">Nội tâm &amp; hiểu mình</x:t>
        </x:is>
      </x:c>
      <x:c r="D720" t="inlineStr">
        <x:is>
          <x:t xml:space="preserve">Day 11 / Dhammapada — 26 chapters / 423 verses</x:t>
        </x:is>
      </x:c>
      <x:c r="F720" t="inlineStr">
        <x:is>
          <x:t xml:space="preserve">Information overload</x:t>
        </x:is>
      </x:c>
      <x:c r="G720" t="inlineStr">
        <x:is>
          <x:t xml:space="preserve">Learning / AI age</x:t>
        </x:is>
      </x:c>
      <x:c r="K720" t="inlineStr">
        <x:is>
          <x:t xml:space="preserve">Distinguish</x:t>
        </x:is>
      </x:c>
      <x:c r="M720" t="inlineStr">
        <x:is>
          <x:t xml:space="preserve">Canonical verse / gāthā</x:t>
        </x:is>
      </x:c>
      <x:c r="N720" t="inlineStr">
        <x:is>
          <x:t xml:space="preserve">Sahassam-api ce vācā anatthapadasaṁhitā; ekaṁ atthapadaṁ seyyo yaṁ sutvā upasammati.</x:t>
        </x:is>
      </x:c>
      <x:c r="O720" t="inlineStr">
        <x:is>
          <x:t xml:space="preserve">Pāḷi</x:t>
        </x:is>
      </x:c>
      <x:c r="P720" t="inlineStr">
        <x:is>
          <x:t xml:space="preserve">Một câu có ý nghĩa giúp tâm lắng lại có thể đáng hơn cả nghìn câu không đưa mình tới đâu.</x:t>
        </x:is>
      </x:c>
      <x:c r="Q720" t="inlineStr">
        <x:is>
          <x:t xml:space="preserve">Dhammapada (Buddhist canonical verse tradition)</x:t>
        </x:is>
      </x:c>
      <x:c r="R720" t="inlineStr">
        <x:is>
          <x:t xml:space="preserve">Early Buddhist / Pāḷi tradition</x:t>
        </x:is>
      </x:c>
      <x:c r="S720" t="inlineStr">
        <x:is>
          <x:t xml:space="preserve">Dhammapada (Khuddaka Nikāya 2)</x:t>
        </x:is>
      </x:c>
      <x:c r="T720" t="inlineStr">
        <x:is>
          <x:t xml:space="preserve">Verse 100, chapter 8</x:t>
        </x:is>
      </x:c>
      <x:c r="U720" t="inlineStr">
        <x:is>
          <x:t xml:space="preserve">https://ancient-buddhist-texts.net/Texts-and-Translations/Dhammapada/08-Thousands.htm</x:t>
        </x:is>
      </x:c>
      <x:c r="V720" t="inlineStr">
        <x:is>
          <x:t xml:space="preserve">Primary Pāḷi text with interlinear scholarly translation</x:t>
        </x:is>
      </x:c>
      <x:c r="W720" t="inlineStr">
        <x:is>
          <x:t xml:space="preserve">Canonical verse</x:t>
        </x:is>
      </x:c>
      <x:c r="X720" t="inlineStr">
        <x:is>
          <x:t xml:space="preserve">A - Pāḷi verse source located</x:t>
        </x:is>
      </x:c>
      <x:c r="Y720" t="inlineStr">
        <x:is>
          <x:t xml:space="preserve">Pāḷi checked against Ancient Buddhist Texts Dhammapada edition. Vietnamese is a fresh Selflo working translation, not a published translation.</x:t>
        </x:is>
      </x:c>
      <x:c r="Z720" t="inlineStr">
        <x:is>
          <x:t xml:space="preserve">Ancient canonical text public domain; modern translation copyright separate</x:t>
        </x:is>
      </x:c>
      <x:c r="AA720" t="inlineStr">
        <x:is>
          <x:t xml:space="preserve">Retain Pāḷi original; use fresh Vietnamese translation. Do not copy a modern copyrighted translation verbatim.</x:t>
        </x:is>
      </x:c>
      <x:c r="AB720" t="inlineStr">
        <x:is>
          <x:t xml:space="preserve">High</x:t>
        </x:is>
      </x:c>
      <x:c r="AC720" t="inlineStr">
        <x:is>
          <x:t xml:space="preserve">Selected after full 26-chapter thematic screening; collection ≠ release approval.</x:t>
        </x:is>
      </x:c>
      <x:c r="AD720" t="inlineStr">
        <x:is>
          <x:t xml:space="preserve">Medium — ancient ethical/religious text needs contextual editorial review</x:t>
        </x:is>
      </x:c>
      <x:c r="AE720" t="inlineStr">
        <x:is>
          <x:t xml:space="preserve">Needs semantic dedupe review against Days 1–10 and existing Selflo originals</x:t>
        </x:is>
      </x:c>
      <x:c r="AH720" t="inlineStr">
        <x:is>
          <x:t xml:space="preserve">No</x:t>
        </x:is>
      </x:c>
      <x:c r="AI720" t="inlineStr">
        <x:is>
          <x:t xml:space="preserve">Not reviewed</x:t>
        </x:is>
      </x:c>
      <x:c r="AJ720" t="inlineStr">
        <x:is>
          <x:t xml:space="preserve">Research only</x:t>
        </x:is>
      </x:c>
      <x:c r="AK720" t="inlineStr">
        <x:is>
          <x:t xml:space="preserve">Research Pool</x:t>
        </x:is>
      </x:c>
      <x:c r="AL720" t="n">
        <x:v>11</x:v>
      </x:c>
      <x:c r="AM720" t="inlineStr">
        <x:is>
          <x:t xml:space="preserve">ChatGPT research</x:t>
        </x:is>
      </x:c>
      <x:c r="AN720" t="inlineStr">
        <x:is>
          <x:t xml:space="preserve">2026-09-18</x:t>
        </x:is>
      </x:c>
      <x:c r="AO720" t="inlineStr">
        <x:is>
          <x:t xml:space="preserve">Day 11 Dhammapada. Avoid converting Buddhist doctrinal claims into universal psychological claims without context.</x:t>
        </x:is>
      </x:c>
    </x:row>
    <x:row r="721">
      <x:c r="A721" t="inlineStr">
        <x:is>
          <x:t xml:space="preserve">research.dhammapada.day11.v103</x:t>
        </x:is>
      </x:c>
      <x:c r="B721" t="inlineStr">
        <x:is>
          <x:t xml:space="preserve">Collected</x:t>
        </x:is>
      </x:c>
      <x:c r="C721" t="inlineStr">
        <x:is>
          <x:t xml:space="preserve">Nội tâm &amp; hiểu mình</x:t>
        </x:is>
      </x:c>
      <x:c r="D721" t="inlineStr">
        <x:is>
          <x:t xml:space="preserve">Day 11 / Dhammapada — 26 chapters / 423 verses</x:t>
        </x:is>
      </x:c>
      <x:c r="F721" t="inlineStr">
        <x:is>
          <x:t xml:space="preserve">Outer winning vs inner mastery</x:t>
        </x:is>
      </x:c>
      <x:c r="G721" t="inlineStr">
        <x:is>
          <x:t xml:space="preserve">Agency</x:t>
        </x:is>
      </x:c>
      <x:c r="K721" t="inlineStr">
        <x:is>
          <x:t xml:space="preserve">Distinguish</x:t>
        </x:is>
      </x:c>
      <x:c r="M721" t="inlineStr">
        <x:is>
          <x:t xml:space="preserve">Canonical verse / gāthā</x:t>
        </x:is>
      </x:c>
      <x:c r="N721" t="inlineStr">
        <x:is>
          <x:t xml:space="preserve">Yo sahassaṁ sahassena saṅgāme mānuse jine; ekañ-ca jeyyam-attānaṁ sa ve saṅgāmajuttamo.</x:t>
        </x:is>
      </x:c>
      <x:c r="O721" t="inlineStr">
        <x:is>
          <x:t xml:space="preserve">Pāḷi</x:t>
        </x:is>
      </x:c>
      <x:c r="P721" t="inlineStr">
        <x:is>
          <x:t xml:space="preserve">Thắng rất nhiều cuộc đối đầu bên ngoài vẫn khác với hiểu và làm chủ được chính phản ứng của mình.</x:t>
        </x:is>
      </x:c>
      <x:c r="Q721" t="inlineStr">
        <x:is>
          <x:t xml:space="preserve">Dhammapada (Buddhist canonical verse tradition)</x:t>
        </x:is>
      </x:c>
      <x:c r="R721" t="inlineStr">
        <x:is>
          <x:t xml:space="preserve">Early Buddhist / Pāḷi tradition</x:t>
        </x:is>
      </x:c>
      <x:c r="S721" t="inlineStr">
        <x:is>
          <x:t xml:space="preserve">Dhammapada (Khuddaka Nikāya 2)</x:t>
        </x:is>
      </x:c>
      <x:c r="T721" t="inlineStr">
        <x:is>
          <x:t xml:space="preserve">Verse 103, chapter 8</x:t>
        </x:is>
      </x:c>
      <x:c r="U721" t="inlineStr">
        <x:is>
          <x:t xml:space="preserve">https://ancient-buddhist-texts.net/Texts-and-Translations/Dhammapada/08-Thousands.htm</x:t>
        </x:is>
      </x:c>
      <x:c r="V721" t="inlineStr">
        <x:is>
          <x:t xml:space="preserve">Primary Pāḷi text with interlinear scholarly translation</x:t>
        </x:is>
      </x:c>
      <x:c r="W721" t="inlineStr">
        <x:is>
          <x:t xml:space="preserve">Canonical verse</x:t>
        </x:is>
      </x:c>
      <x:c r="X721" t="inlineStr">
        <x:is>
          <x:t xml:space="preserve">A - Pāḷi verse source located</x:t>
        </x:is>
      </x:c>
      <x:c r="Y721" t="inlineStr">
        <x:is>
          <x:t xml:space="preserve">Pāḷi checked against Ancient Buddhist Texts Dhammapada edition. Vietnamese is a fresh Selflo working translation, not a published translation.</x:t>
        </x:is>
      </x:c>
      <x:c r="Z721" t="inlineStr">
        <x:is>
          <x:t xml:space="preserve">Ancient canonical text public domain; modern translation copyright separate</x:t>
        </x:is>
      </x:c>
      <x:c r="AA721" t="inlineStr">
        <x:is>
          <x:t xml:space="preserve">Retain Pāḷi original; use fresh Vietnamese translation. Do not copy a modern copyrighted translation verbatim.</x:t>
        </x:is>
      </x:c>
      <x:c r="AB721" t="inlineStr">
        <x:is>
          <x:t xml:space="preserve">Medium</x:t>
        </x:is>
      </x:c>
      <x:c r="AC721" t="inlineStr">
        <x:is>
          <x:t xml:space="preserve">Selected after full 26-chapter thematic screening; collection ≠ release approval.</x:t>
        </x:is>
      </x:c>
      <x:c r="AD721" t="inlineStr">
        <x:is>
          <x:t xml:space="preserve">Medium — ancient ethical/religious text needs contextual editorial review</x:t>
        </x:is>
      </x:c>
      <x:c r="AE721" t="inlineStr">
        <x:is>
          <x:t xml:space="preserve">Needs semantic dedupe review against Days 1–10 and existing Selflo originals</x:t>
        </x:is>
      </x:c>
      <x:c r="AH721" t="inlineStr">
        <x:is>
          <x:t xml:space="preserve">No</x:t>
        </x:is>
      </x:c>
      <x:c r="AI721" t="inlineStr">
        <x:is>
          <x:t xml:space="preserve">Not reviewed</x:t>
        </x:is>
      </x:c>
      <x:c r="AJ721" t="inlineStr">
        <x:is>
          <x:t xml:space="preserve">Research only</x:t>
        </x:is>
      </x:c>
      <x:c r="AK721" t="inlineStr">
        <x:is>
          <x:t xml:space="preserve">Research Pool</x:t>
        </x:is>
      </x:c>
      <x:c r="AL721" t="n">
        <x:v>11</x:v>
      </x:c>
      <x:c r="AM721" t="inlineStr">
        <x:is>
          <x:t xml:space="preserve">ChatGPT research</x:t>
        </x:is>
      </x:c>
      <x:c r="AN721" t="inlineStr">
        <x:is>
          <x:t xml:space="preserve">2026-09-18</x:t>
        </x:is>
      </x:c>
      <x:c r="AO721" t="inlineStr">
        <x:is>
          <x:t xml:space="preserve">Day 11 Dhammapada. Avoid converting Buddhist doctrinal claims into universal psychological claims without context.</x:t>
        </x:is>
      </x:c>
    </x:row>
    <x:row r="722">
      <x:c r="A722" t="inlineStr">
        <x:is>
          <x:t xml:space="preserve">research.dhammapada.day11.v121</x:t>
        </x:is>
      </x:c>
      <x:c r="B722" t="inlineStr">
        <x:is>
          <x:t xml:space="preserve">Collected</x:t>
        </x:is>
      </x:c>
      <x:c r="C722" t="inlineStr">
        <x:is>
          <x:t xml:space="preserve">Nội tâm &amp; hiểu mình</x:t>
        </x:is>
      </x:c>
      <x:c r="D722" t="inlineStr">
        <x:is>
          <x:t xml:space="preserve">Day 11 / Dhammapada — 26 chapters / 423 verses</x:t>
        </x:is>
      </x:c>
      <x:c r="F722" t="inlineStr">
        <x:is>
          <x:t xml:space="preserve">Small harmful accumulation</x:t>
        </x:is>
      </x:c>
      <x:c r="G722" t="inlineStr">
        <x:is>
          <x:t xml:space="preserve">Habits / Accumulation</x:t>
        </x:is>
      </x:c>
      <x:c r="K722" t="inlineStr">
        <x:is>
          <x:t xml:space="preserve">Recognize</x:t>
        </x:is>
      </x:c>
      <x:c r="M722" t="inlineStr">
        <x:is>
          <x:t xml:space="preserve">Canonical verse / gāthā</x:t>
        </x:is>
      </x:c>
      <x:c r="N722" t="inlineStr">
        <x:is>
          <x:t xml:space="preserve">Māppamaññetha pāpassa: na maṁ taṁ āgamissati; udabindunipātena udakumbho pi pūrati ...</x:t>
        </x:is>
      </x:c>
      <x:c r="O722" t="inlineStr">
        <x:is>
          <x:t xml:space="preserve">Pāḷi</x:t>
        </x:is>
      </x:c>
      <x:c r="P722" t="inlineStr">
        <x:is>
          <x:t xml:space="preserve">Đừng xem nhẹ những điều nhỏ lặp lại; từng giọt cũng có thể làm đầy một bình.</x:t>
        </x:is>
      </x:c>
      <x:c r="Q722" t="inlineStr">
        <x:is>
          <x:t xml:space="preserve">Dhammapada (Buddhist canonical verse tradition)</x:t>
        </x:is>
      </x:c>
      <x:c r="R722" t="inlineStr">
        <x:is>
          <x:t xml:space="preserve">Early Buddhist / Pāḷi tradition</x:t>
        </x:is>
      </x:c>
      <x:c r="S722" t="inlineStr">
        <x:is>
          <x:t xml:space="preserve">Dhammapada (Khuddaka Nikāya 2)</x:t>
        </x:is>
      </x:c>
      <x:c r="T722" t="inlineStr">
        <x:is>
          <x:t xml:space="preserve">Verse 121, chapter 9</x:t>
        </x:is>
      </x:c>
      <x:c r="U722" t="inlineStr">
        <x:is>
          <x:t xml:space="preserve">https://ancient-buddhist-texts.net/Texts-and-Translations/Dhammapada/09-Wickedness.htm</x:t>
        </x:is>
      </x:c>
      <x:c r="V722" t="inlineStr">
        <x:is>
          <x:t xml:space="preserve">Primary Pāḷi text with interlinear scholarly translation</x:t>
        </x:is>
      </x:c>
      <x:c r="W722" t="inlineStr">
        <x:is>
          <x:t xml:space="preserve">Canonical verse</x:t>
        </x:is>
      </x:c>
      <x:c r="X722" t="inlineStr">
        <x:is>
          <x:t xml:space="preserve">A - Pāḷi verse source located</x:t>
        </x:is>
      </x:c>
      <x:c r="Y722" t="inlineStr">
        <x:is>
          <x:t xml:space="preserve">Pāḷi checked against Ancient Buddhist Texts Dhammapada edition. Vietnamese is a fresh Selflo working translation, not a published translation.</x:t>
        </x:is>
      </x:c>
      <x:c r="Z722" t="inlineStr">
        <x:is>
          <x:t xml:space="preserve">Ancient canonical text public domain; modern translation copyright separate</x:t>
        </x:is>
      </x:c>
      <x:c r="AA722" t="inlineStr">
        <x:is>
          <x:t xml:space="preserve">Retain Pāḷi original; use fresh Vietnamese translation. Do not copy a modern copyrighted translation verbatim.</x:t>
        </x:is>
      </x:c>
      <x:c r="AB722" t="inlineStr">
        <x:is>
          <x:t xml:space="preserve">High</x:t>
        </x:is>
      </x:c>
      <x:c r="AC722" t="inlineStr">
        <x:is>
          <x:t xml:space="preserve">Selected after full 26-chapter thematic screening; collection ≠ release approval.</x:t>
        </x:is>
      </x:c>
      <x:c r="AD722" t="inlineStr">
        <x:is>
          <x:t xml:space="preserve">Medium — ancient ethical/religious text needs contextual editorial review</x:t>
        </x:is>
      </x:c>
      <x:c r="AE722" t="inlineStr">
        <x:is>
          <x:t xml:space="preserve">Needs semantic dedupe review against Days 1–10 and existing Selflo originals</x:t>
        </x:is>
      </x:c>
      <x:c r="AH722" t="inlineStr">
        <x:is>
          <x:t xml:space="preserve">No</x:t>
        </x:is>
      </x:c>
      <x:c r="AI722" t="inlineStr">
        <x:is>
          <x:t xml:space="preserve">Not reviewed</x:t>
        </x:is>
      </x:c>
      <x:c r="AJ722" t="inlineStr">
        <x:is>
          <x:t xml:space="preserve">Research only</x:t>
        </x:is>
      </x:c>
      <x:c r="AK722" t="inlineStr">
        <x:is>
          <x:t xml:space="preserve">Research Pool</x:t>
        </x:is>
      </x:c>
      <x:c r="AL722" t="n">
        <x:v>11</x:v>
      </x:c>
      <x:c r="AM722" t="inlineStr">
        <x:is>
          <x:t xml:space="preserve">ChatGPT research</x:t>
        </x:is>
      </x:c>
      <x:c r="AN722" t="inlineStr">
        <x:is>
          <x:t xml:space="preserve">2026-09-18</x:t>
        </x:is>
      </x:c>
      <x:c r="AO722" t="inlineStr">
        <x:is>
          <x:t xml:space="preserve">Day 11 Dhammapada. Avoid converting Buddhist doctrinal claims into universal psychological claims without context.</x:t>
        </x:is>
      </x:c>
    </x:row>
    <x:row r="723">
      <x:c r="A723" t="inlineStr">
        <x:is>
          <x:t xml:space="preserve">research.dhammapada.day11.v122</x:t>
        </x:is>
      </x:c>
      <x:c r="B723" t="inlineStr">
        <x:is>
          <x:t xml:space="preserve">Collected</x:t>
        </x:is>
      </x:c>
      <x:c r="C723" t="inlineStr">
        <x:is>
          <x:t xml:space="preserve">Nội tâm &amp; hiểu mình</x:t>
        </x:is>
      </x:c>
      <x:c r="D723" t="inlineStr">
        <x:is>
          <x:t xml:space="preserve">Day 11 / Dhammapada — 26 chapters / 423 verses</x:t>
        </x:is>
      </x:c>
      <x:c r="F723" t="inlineStr">
        <x:is>
          <x:t xml:space="preserve">Small beneficial accumulation</x:t>
        </x:is>
      </x:c>
      <x:c r="G723" t="inlineStr">
        <x:is>
          <x:t xml:space="preserve">Habits / Growth</x:t>
        </x:is>
      </x:c>
      <x:c r="K723" t="inlineStr">
        <x:is>
          <x:t xml:space="preserve">Reframe</x:t>
        </x:is>
      </x:c>
      <x:c r="M723" t="inlineStr">
        <x:is>
          <x:t xml:space="preserve">Canonical verse / gāthā</x:t>
        </x:is>
      </x:c>
      <x:c r="N723" t="inlineStr">
        <x:is>
          <x:t xml:space="preserve">Māppamaññetha puññassa: na maṁ taṁ āgamissati; udabindunipātena udakumbho pi pūrati ...</x:t>
        </x:is>
      </x:c>
      <x:c r="O723" t="inlineStr">
        <x:is>
          <x:t xml:space="preserve">Pāḷi</x:t>
        </x:is>
      </x:c>
      <x:c r="P723" t="inlineStr">
        <x:is>
          <x:t xml:space="preserve">Đừng xem nhẹ những điều nhỏ có ích; từng giọt cũng có thể làm đầy một bình.</x:t>
        </x:is>
      </x:c>
      <x:c r="Q723" t="inlineStr">
        <x:is>
          <x:t xml:space="preserve">Dhammapada (Buddhist canonical verse tradition)</x:t>
        </x:is>
      </x:c>
      <x:c r="R723" t="inlineStr">
        <x:is>
          <x:t xml:space="preserve">Early Buddhist / Pāḷi tradition</x:t>
        </x:is>
      </x:c>
      <x:c r="S723" t="inlineStr">
        <x:is>
          <x:t xml:space="preserve">Dhammapada (Khuddaka Nikāya 2)</x:t>
        </x:is>
      </x:c>
      <x:c r="T723" t="inlineStr">
        <x:is>
          <x:t xml:space="preserve">Verse 122, chapter 9</x:t>
        </x:is>
      </x:c>
      <x:c r="U723" t="inlineStr">
        <x:is>
          <x:t xml:space="preserve">https://ancient-buddhist-texts.net/Texts-and-Translations/Dhammapada/09-Wickedness.htm</x:t>
        </x:is>
      </x:c>
      <x:c r="V723" t="inlineStr">
        <x:is>
          <x:t xml:space="preserve">Primary Pāḷi text with interlinear scholarly translation</x:t>
        </x:is>
      </x:c>
      <x:c r="W723" t="inlineStr">
        <x:is>
          <x:t xml:space="preserve">Canonical verse</x:t>
        </x:is>
      </x:c>
      <x:c r="X723" t="inlineStr">
        <x:is>
          <x:t xml:space="preserve">A - Pāḷi verse source located</x:t>
        </x:is>
      </x:c>
      <x:c r="Y723" t="inlineStr">
        <x:is>
          <x:t xml:space="preserve">Pāḷi checked against Ancient Buddhist Texts Dhammapada edition. Vietnamese is a fresh Selflo working translation, not a published translation.</x:t>
        </x:is>
      </x:c>
      <x:c r="Z723" t="inlineStr">
        <x:is>
          <x:t xml:space="preserve">Ancient canonical text public domain; modern translation copyright separate</x:t>
        </x:is>
      </x:c>
      <x:c r="AA723" t="inlineStr">
        <x:is>
          <x:t xml:space="preserve">Retain Pāḷi original; use fresh Vietnamese translation. Do not copy a modern copyrighted translation verbatim.</x:t>
        </x:is>
      </x:c>
      <x:c r="AB723" t="inlineStr">
        <x:is>
          <x:t xml:space="preserve">High</x:t>
        </x:is>
      </x:c>
      <x:c r="AC723" t="inlineStr">
        <x:is>
          <x:t xml:space="preserve">Selected after full 26-chapter thematic screening; collection ≠ release approval.</x:t>
        </x:is>
      </x:c>
      <x:c r="AD723" t="inlineStr">
        <x:is>
          <x:t xml:space="preserve">Medium — ancient ethical/religious text needs contextual editorial review</x:t>
        </x:is>
      </x:c>
      <x:c r="AE723" t="inlineStr">
        <x:is>
          <x:t xml:space="preserve">Needs semantic dedupe review against Days 1–10 and existing Selflo originals</x:t>
        </x:is>
      </x:c>
      <x:c r="AH723" t="inlineStr">
        <x:is>
          <x:t xml:space="preserve">No</x:t>
        </x:is>
      </x:c>
      <x:c r="AI723" t="inlineStr">
        <x:is>
          <x:t xml:space="preserve">Not reviewed</x:t>
        </x:is>
      </x:c>
      <x:c r="AJ723" t="inlineStr">
        <x:is>
          <x:t xml:space="preserve">Research only</x:t>
        </x:is>
      </x:c>
      <x:c r="AK723" t="inlineStr">
        <x:is>
          <x:t xml:space="preserve">Research Pool</x:t>
        </x:is>
      </x:c>
      <x:c r="AL723" t="n">
        <x:v>11</x:v>
      </x:c>
      <x:c r="AM723" t="inlineStr">
        <x:is>
          <x:t xml:space="preserve">ChatGPT research</x:t>
        </x:is>
      </x:c>
      <x:c r="AN723" t="inlineStr">
        <x:is>
          <x:t xml:space="preserve">2026-09-18</x:t>
        </x:is>
      </x:c>
      <x:c r="AO723" t="inlineStr">
        <x:is>
          <x:t xml:space="preserve">Day 11 Dhammapada. Avoid converting Buddhist doctrinal claims into universal psychological claims without context.</x:t>
        </x:is>
      </x:c>
    </x:row>
    <x:row r="724">
      <x:c r="A724" t="inlineStr">
        <x:is>
          <x:t xml:space="preserve">research.dhammapada.day11.v129</x:t>
        </x:is>
      </x:c>
      <x:c r="B724" t="inlineStr">
        <x:is>
          <x:t xml:space="preserve">Collected</x:t>
        </x:is>
      </x:c>
      <x:c r="C724" t="inlineStr">
        <x:is>
          <x:t xml:space="preserve">Nội tâm &amp; hiểu mình</x:t>
        </x:is>
      </x:c>
      <x:c r="D724" t="inlineStr">
        <x:is>
          <x:t xml:space="preserve">Day 11 / Dhammapada — 26 chapters / 423 verses</x:t>
        </x:is>
      </x:c>
      <x:c r="F724" t="inlineStr">
        <x:is>
          <x:t xml:space="preserve">Perspective taking</x:t>
        </x:is>
      </x:c>
      <x:c r="G724" t="inlineStr">
        <x:is>
          <x:t xml:space="preserve">Compassion / Relationships</x:t>
        </x:is>
      </x:c>
      <x:c r="K724" t="inlineStr">
        <x:is>
          <x:t xml:space="preserve">Reframe</x:t>
        </x:is>
      </x:c>
      <x:c r="M724" t="inlineStr">
        <x:is>
          <x:t xml:space="preserve">Canonical verse / gāthā</x:t>
        </x:is>
      </x:c>
      <x:c r="N724" t="inlineStr">
        <x:is>
          <x:t xml:space="preserve">Sabbe tasanti daṇḍassa, sabbe bhāyanti maccuno; attānaṁ upamaṁ katvā, na haneyya na ghātaye.</x:t>
        </x:is>
      </x:c>
      <x:c r="O724" t="inlineStr">
        <x:is>
          <x:t xml:space="preserve">Pāḷi</x:t>
        </x:is>
      </x:c>
      <x:c r="P724" t="inlineStr">
        <x:is>
          <x:t xml:space="preserve">Ai cũng biết sợ đau và mất mát; đặt mình vào vị trí của người khác có thể thay đổi cách mình hành động.</x:t>
        </x:is>
      </x:c>
      <x:c r="Q724" t="inlineStr">
        <x:is>
          <x:t xml:space="preserve">Dhammapada (Buddhist canonical verse tradition)</x:t>
        </x:is>
      </x:c>
      <x:c r="R724" t="inlineStr">
        <x:is>
          <x:t xml:space="preserve">Early Buddhist / Pāḷi tradition</x:t>
        </x:is>
      </x:c>
      <x:c r="S724" t="inlineStr">
        <x:is>
          <x:t xml:space="preserve">Dhammapada (Khuddaka Nikāya 2)</x:t>
        </x:is>
      </x:c>
      <x:c r="T724" t="inlineStr">
        <x:is>
          <x:t xml:space="preserve">Verse 129, chapter 10</x:t>
        </x:is>
      </x:c>
      <x:c r="U724" t="inlineStr">
        <x:is>
          <x:t xml:space="preserve">https://ancient-buddhist-texts.net/Texts-and-Translations/Dhammapada/10-Stick.htm</x:t>
        </x:is>
      </x:c>
      <x:c r="V724" t="inlineStr">
        <x:is>
          <x:t xml:space="preserve">Primary Pāḷi text with interlinear scholarly translation</x:t>
        </x:is>
      </x:c>
      <x:c r="W724" t="inlineStr">
        <x:is>
          <x:t xml:space="preserve">Canonical verse</x:t>
        </x:is>
      </x:c>
      <x:c r="X724" t="inlineStr">
        <x:is>
          <x:t xml:space="preserve">A - Pāḷi verse source located</x:t>
        </x:is>
      </x:c>
      <x:c r="Y724" t="inlineStr">
        <x:is>
          <x:t xml:space="preserve">Pāḷi checked against Ancient Buddhist Texts Dhammapada edition. Vietnamese is a fresh Selflo working translation, not a published translation.</x:t>
        </x:is>
      </x:c>
      <x:c r="Z724" t="inlineStr">
        <x:is>
          <x:t xml:space="preserve">Ancient canonical text public domain; modern translation copyright separate</x:t>
        </x:is>
      </x:c>
      <x:c r="AA724" t="inlineStr">
        <x:is>
          <x:t xml:space="preserve">Retain Pāḷi original; use fresh Vietnamese translation. Do not copy a modern copyrighted translation verbatim.</x:t>
        </x:is>
      </x:c>
      <x:c r="AB724" t="inlineStr">
        <x:is>
          <x:t xml:space="preserve">High</x:t>
        </x:is>
      </x:c>
      <x:c r="AC724" t="inlineStr">
        <x:is>
          <x:t xml:space="preserve">Selected after full 26-chapter thematic screening; collection ≠ release approval.</x:t>
        </x:is>
      </x:c>
      <x:c r="AD724" t="inlineStr">
        <x:is>
          <x:t xml:space="preserve">Medium — ancient ethical/religious text needs contextual editorial review</x:t>
        </x:is>
      </x:c>
      <x:c r="AE724" t="inlineStr">
        <x:is>
          <x:t xml:space="preserve">Needs semantic dedupe review against Days 1–10 and existing Selflo originals</x:t>
        </x:is>
      </x:c>
      <x:c r="AH724" t="inlineStr">
        <x:is>
          <x:t xml:space="preserve">No</x:t>
        </x:is>
      </x:c>
      <x:c r="AI724" t="inlineStr">
        <x:is>
          <x:t xml:space="preserve">Not reviewed</x:t>
        </x:is>
      </x:c>
      <x:c r="AJ724" t="inlineStr">
        <x:is>
          <x:t xml:space="preserve">Research only</x:t>
        </x:is>
      </x:c>
      <x:c r="AK724" t="inlineStr">
        <x:is>
          <x:t xml:space="preserve">Research Pool</x:t>
        </x:is>
      </x:c>
      <x:c r="AL724" t="n">
        <x:v>11</x:v>
      </x:c>
      <x:c r="AM724" t="inlineStr">
        <x:is>
          <x:t xml:space="preserve">ChatGPT research</x:t>
        </x:is>
      </x:c>
      <x:c r="AN724" t="inlineStr">
        <x:is>
          <x:t xml:space="preserve">2026-09-18</x:t>
        </x:is>
      </x:c>
      <x:c r="AO724" t="inlineStr">
        <x:is>
          <x:t xml:space="preserve">Day 11 Dhammapada. Avoid converting Buddhist doctrinal claims into universal psychological claims without context.</x:t>
        </x:is>
      </x:c>
    </x:row>
    <x:row r="725">
      <x:c r="A725" t="inlineStr">
        <x:is>
          <x:t xml:space="preserve">research.dhammapada.day11.v130</x:t>
        </x:is>
      </x:c>
      <x:c r="B725" t="inlineStr">
        <x:is>
          <x:t xml:space="preserve">Collected</x:t>
        </x:is>
      </x:c>
      <x:c r="C725" t="inlineStr">
        <x:is>
          <x:t xml:space="preserve">Nội tâm &amp; hiểu mình</x:t>
        </x:is>
      </x:c>
      <x:c r="D725" t="inlineStr">
        <x:is>
          <x:t xml:space="preserve">Day 11 / Dhammapada — 26 chapters / 423 verses</x:t>
        </x:is>
      </x:c>
      <x:c r="F725" t="inlineStr">
        <x:is>
          <x:t xml:space="preserve">Shared humanity</x:t>
        </x:is>
      </x:c>
      <x:c r="G725" t="inlineStr">
        <x:is>
          <x:t xml:space="preserve">Compassion</x:t>
        </x:is>
      </x:c>
      <x:c r="K725" t="inlineStr">
        <x:is>
          <x:t xml:space="preserve">Reframe</x:t>
        </x:is>
      </x:c>
      <x:c r="M725" t="inlineStr">
        <x:is>
          <x:t xml:space="preserve">Canonical verse / gāthā</x:t>
        </x:is>
      </x:c>
      <x:c r="N725" t="inlineStr">
        <x:is>
          <x:t xml:space="preserve">Sabbe tasanti daṇḍassa, sabbesaṁ jīvitaṁ piyaṁ; attānaṁ upamaṁ katvā, na haneyya na ghātaye.</x:t>
        </x:is>
      </x:c>
      <x:c r="O725" t="inlineStr">
        <x:is>
          <x:t xml:space="preserve">Pāḷi</x:t>
        </x:is>
      </x:c>
      <x:c r="P725" t="inlineStr">
        <x:is>
          <x:t xml:space="preserve">Sự sống là quý với mỗi người; nhớ điều đó có thể mở thêm một góc nhìn trước khi gây tổn thương.</x:t>
        </x:is>
      </x:c>
      <x:c r="Q725" t="inlineStr">
        <x:is>
          <x:t xml:space="preserve">Dhammapada (Buddhist canonical verse tradition)</x:t>
        </x:is>
      </x:c>
      <x:c r="R725" t="inlineStr">
        <x:is>
          <x:t xml:space="preserve">Early Buddhist / Pāḷi tradition</x:t>
        </x:is>
      </x:c>
      <x:c r="S725" t="inlineStr">
        <x:is>
          <x:t xml:space="preserve">Dhammapada (Khuddaka Nikāya 2)</x:t>
        </x:is>
      </x:c>
      <x:c r="T725" t="inlineStr">
        <x:is>
          <x:t xml:space="preserve">Verse 130, chapter 10</x:t>
        </x:is>
      </x:c>
      <x:c r="U725" t="inlineStr">
        <x:is>
          <x:t xml:space="preserve">https://ancient-buddhist-texts.net/Texts-and-Translations/Dhammapada/10-Stick.htm</x:t>
        </x:is>
      </x:c>
      <x:c r="V725" t="inlineStr">
        <x:is>
          <x:t xml:space="preserve">Primary Pāḷi text with interlinear scholarly translation</x:t>
        </x:is>
      </x:c>
      <x:c r="W725" t="inlineStr">
        <x:is>
          <x:t xml:space="preserve">Canonical verse</x:t>
        </x:is>
      </x:c>
      <x:c r="X725" t="inlineStr">
        <x:is>
          <x:t xml:space="preserve">A - Pāḷi verse source located</x:t>
        </x:is>
      </x:c>
      <x:c r="Y725" t="inlineStr">
        <x:is>
          <x:t xml:space="preserve">Pāḷi checked against Ancient Buddhist Texts Dhammapada edition. Vietnamese is a fresh Selflo working translation, not a published translation.</x:t>
        </x:is>
      </x:c>
      <x:c r="Z725" t="inlineStr">
        <x:is>
          <x:t xml:space="preserve">Ancient canonical text public domain; modern translation copyright separate</x:t>
        </x:is>
      </x:c>
      <x:c r="AA725" t="inlineStr">
        <x:is>
          <x:t xml:space="preserve">Retain Pāḷi original; use fresh Vietnamese translation. Do not copy a modern copyrighted translation verbatim.</x:t>
        </x:is>
      </x:c>
      <x:c r="AB725" t="inlineStr">
        <x:is>
          <x:t xml:space="preserve">High</x:t>
        </x:is>
      </x:c>
      <x:c r="AC725" t="inlineStr">
        <x:is>
          <x:t xml:space="preserve">Selected after full 26-chapter thematic screening; collection ≠ release approval.</x:t>
        </x:is>
      </x:c>
      <x:c r="AD725" t="inlineStr">
        <x:is>
          <x:t xml:space="preserve">Medium — ancient ethical/religious text needs contextual editorial review</x:t>
        </x:is>
      </x:c>
      <x:c r="AE725" t="inlineStr">
        <x:is>
          <x:t xml:space="preserve">Needs semantic dedupe review against Days 1–10 and existing Selflo originals</x:t>
        </x:is>
      </x:c>
      <x:c r="AH725" t="inlineStr">
        <x:is>
          <x:t xml:space="preserve">No</x:t>
        </x:is>
      </x:c>
      <x:c r="AI725" t="inlineStr">
        <x:is>
          <x:t xml:space="preserve">Not reviewed</x:t>
        </x:is>
      </x:c>
      <x:c r="AJ725" t="inlineStr">
        <x:is>
          <x:t xml:space="preserve">Research only</x:t>
        </x:is>
      </x:c>
      <x:c r="AK725" t="inlineStr">
        <x:is>
          <x:t xml:space="preserve">Research Pool</x:t>
        </x:is>
      </x:c>
      <x:c r="AL725" t="n">
        <x:v>11</x:v>
      </x:c>
      <x:c r="AM725" t="inlineStr">
        <x:is>
          <x:t xml:space="preserve">ChatGPT research</x:t>
        </x:is>
      </x:c>
      <x:c r="AN725" t="inlineStr">
        <x:is>
          <x:t xml:space="preserve">2026-09-18</x:t>
        </x:is>
      </x:c>
      <x:c r="AO725" t="inlineStr">
        <x:is>
          <x:t xml:space="preserve">Day 11 Dhammapada. Avoid converting Buddhist doctrinal claims into universal psychological claims without context.</x:t>
        </x:is>
      </x:c>
    </x:row>
    <x:row r="726">
      <x:c r="A726" t="inlineStr">
        <x:is>
          <x:t xml:space="preserve">research.dhammapada.day11.v133</x:t>
        </x:is>
      </x:c>
      <x:c r="B726" t="inlineStr">
        <x:is>
          <x:t xml:space="preserve">Collected</x:t>
        </x:is>
      </x:c>
      <x:c r="C726" t="inlineStr">
        <x:is>
          <x:t xml:space="preserve">Nội tâm &amp; hiểu mình</x:t>
        </x:is>
      </x:c>
      <x:c r="D726" t="inlineStr">
        <x:is>
          <x:t xml:space="preserve">Day 11 / Dhammapada — 26 chapters / 423 verses</x:t>
        </x:is>
      </x:c>
      <x:c r="F726" t="inlineStr">
        <x:is>
          <x:t xml:space="preserve">Harsh communication</x:t>
        </x:is>
      </x:c>
      <x:c r="G726" t="inlineStr">
        <x:is>
          <x:t xml:space="preserve">Relationships / Conflict</x:t>
        </x:is>
      </x:c>
      <x:c r="K726" t="inlineStr">
        <x:is>
          <x:t xml:space="preserve">Recognize</x:t>
        </x:is>
      </x:c>
      <x:c r="M726" t="inlineStr">
        <x:is>
          <x:t xml:space="preserve">Canonical verse / gāthā</x:t>
        </x:is>
      </x:c>
      <x:c r="N726" t="inlineStr">
        <x:is>
          <x:t xml:space="preserve">Māvoca pharusaṁ kañci, vuttā paṭivadeyyu taṁ; dukkhā hi sārambhakathā, paṭidaṇḍā phuseyyu taṁ.</x:t>
        </x:is>
      </x:c>
      <x:c r="O726" t="inlineStr">
        <x:is>
          <x:t xml:space="preserve">Pāḷi</x:t>
        </x:is>
      </x:c>
      <x:c r="P726" t="inlineStr">
        <x:is>
          <x:t xml:space="preserve">Lời gay gắt thường gọi thêm lời gay gắt; cách mình nói có thể trở thành một phần của vòng lặp.</x:t>
        </x:is>
      </x:c>
      <x:c r="Q726" t="inlineStr">
        <x:is>
          <x:t xml:space="preserve">Dhammapada (Buddhist canonical verse tradition)</x:t>
        </x:is>
      </x:c>
      <x:c r="R726" t="inlineStr">
        <x:is>
          <x:t xml:space="preserve">Early Buddhist / Pāḷi tradition</x:t>
        </x:is>
      </x:c>
      <x:c r="S726" t="inlineStr">
        <x:is>
          <x:t xml:space="preserve">Dhammapada (Khuddaka Nikāya 2)</x:t>
        </x:is>
      </x:c>
      <x:c r="T726" t="inlineStr">
        <x:is>
          <x:t xml:space="preserve">Verse 133, chapter 10</x:t>
        </x:is>
      </x:c>
      <x:c r="U726" t="inlineStr">
        <x:is>
          <x:t xml:space="preserve">https://ancient-buddhist-texts.net/Texts-and-Translations/Dhammapada/10-Stick.htm</x:t>
        </x:is>
      </x:c>
      <x:c r="V726" t="inlineStr">
        <x:is>
          <x:t xml:space="preserve">Primary Pāḷi text with interlinear scholarly translation</x:t>
        </x:is>
      </x:c>
      <x:c r="W726" t="inlineStr">
        <x:is>
          <x:t xml:space="preserve">Canonical verse</x:t>
        </x:is>
      </x:c>
      <x:c r="X726" t="inlineStr">
        <x:is>
          <x:t xml:space="preserve">A - Pāḷi verse source located</x:t>
        </x:is>
      </x:c>
      <x:c r="Y726" t="inlineStr">
        <x:is>
          <x:t xml:space="preserve">Pāḷi checked against Ancient Buddhist Texts Dhammapada edition. Vietnamese is a fresh Selflo working translation, not a published translation.</x:t>
        </x:is>
      </x:c>
      <x:c r="Z726" t="inlineStr">
        <x:is>
          <x:t xml:space="preserve">Ancient canonical text public domain; modern translation copyright separate</x:t>
        </x:is>
      </x:c>
      <x:c r="AA726" t="inlineStr">
        <x:is>
          <x:t xml:space="preserve">Retain Pāḷi original; use fresh Vietnamese translation. Do not copy a modern copyrighted translation verbatim.</x:t>
        </x:is>
      </x:c>
      <x:c r="AB726" t="inlineStr">
        <x:is>
          <x:t xml:space="preserve">High</x:t>
        </x:is>
      </x:c>
      <x:c r="AC726" t="inlineStr">
        <x:is>
          <x:t xml:space="preserve">Selected after full 26-chapter thematic screening; collection ≠ release approval.</x:t>
        </x:is>
      </x:c>
      <x:c r="AD726" t="inlineStr">
        <x:is>
          <x:t xml:space="preserve">Medium — ancient ethical/religious text needs contextual editorial review</x:t>
        </x:is>
      </x:c>
      <x:c r="AE726" t="inlineStr">
        <x:is>
          <x:t xml:space="preserve">Needs semantic dedupe review against Days 1–10 and existing Selflo originals</x:t>
        </x:is>
      </x:c>
      <x:c r="AH726" t="inlineStr">
        <x:is>
          <x:t xml:space="preserve">No</x:t>
        </x:is>
      </x:c>
      <x:c r="AI726" t="inlineStr">
        <x:is>
          <x:t xml:space="preserve">Not reviewed</x:t>
        </x:is>
      </x:c>
      <x:c r="AJ726" t="inlineStr">
        <x:is>
          <x:t xml:space="preserve">Research only</x:t>
        </x:is>
      </x:c>
      <x:c r="AK726" t="inlineStr">
        <x:is>
          <x:t xml:space="preserve">Research Pool</x:t>
        </x:is>
      </x:c>
      <x:c r="AL726" t="n">
        <x:v>11</x:v>
      </x:c>
      <x:c r="AM726" t="inlineStr">
        <x:is>
          <x:t xml:space="preserve">ChatGPT research</x:t>
        </x:is>
      </x:c>
      <x:c r="AN726" t="inlineStr">
        <x:is>
          <x:t xml:space="preserve">2026-09-18</x:t>
        </x:is>
      </x:c>
      <x:c r="AO726" t="inlineStr">
        <x:is>
          <x:t xml:space="preserve">Day 11 Dhammapada. Avoid converting Buddhist doctrinal claims into universal psychological claims without context.</x:t>
        </x:is>
      </x:c>
    </x:row>
    <x:row r="727">
      <x:c r="A727" t="inlineStr">
        <x:is>
          <x:t xml:space="preserve">research.dhammapada.day11.v160</x:t>
        </x:is>
      </x:c>
      <x:c r="B727" t="inlineStr">
        <x:is>
          <x:t xml:space="preserve">Collected</x:t>
        </x:is>
      </x:c>
      <x:c r="C727" t="inlineStr">
        <x:is>
          <x:t xml:space="preserve">Nội tâm &amp; hiểu mình</x:t>
        </x:is>
      </x:c>
      <x:c r="D727" t="inlineStr">
        <x:is>
          <x:t xml:space="preserve">Day 11 / Dhammapada — 26 chapters / 423 verses</x:t>
        </x:is>
      </x:c>
      <x:c r="F727" t="inlineStr">
        <x:is>
          <x:t xml:space="preserve">Self-agency</x:t>
        </x:is>
      </x:c>
      <x:c r="G727" t="inlineStr">
        <x:is>
          <x:t xml:space="preserve">Agency / Self-trust</x:t>
        </x:is>
      </x:c>
      <x:c r="K727" t="inlineStr">
        <x:is>
          <x:t xml:space="preserve">Return agency</x:t>
        </x:is>
      </x:c>
      <x:c r="M727" t="inlineStr">
        <x:is>
          <x:t xml:space="preserve">Canonical verse / gāthā</x:t>
        </x:is>
      </x:c>
      <x:c r="N727" t="inlineStr">
        <x:is>
          <x:t xml:space="preserve">Attā hi attano nātho, ko hi nātho paro siyā? attanā hi sudantena nāthaṁ labhati dullabhaṁ.</x:t>
        </x:is>
      </x:c>
      <x:c r="O727" t="inlineStr">
        <x:is>
          <x:t xml:space="preserve">Pāḷi</x:t>
        </x:is>
      </x:c>
      <x:c r="P727" t="inlineStr">
        <x:is>
          <x:t xml:space="preserve">Mình vẫn là một nơi nương quan trọng của chính mình; không ai có thể hoàn toàn sống phần đời này thay mình.</x:t>
        </x:is>
      </x:c>
      <x:c r="Q727" t="inlineStr">
        <x:is>
          <x:t xml:space="preserve">Dhammapada (Buddhist canonical verse tradition)</x:t>
        </x:is>
      </x:c>
      <x:c r="R727" t="inlineStr">
        <x:is>
          <x:t xml:space="preserve">Early Buddhist / Pāḷi tradition</x:t>
        </x:is>
      </x:c>
      <x:c r="S727" t="inlineStr">
        <x:is>
          <x:t xml:space="preserve">Dhammapada (Khuddaka Nikāya 2)</x:t>
        </x:is>
      </x:c>
      <x:c r="T727" t="inlineStr">
        <x:is>
          <x:t xml:space="preserve">Verse 160, chapter 12</x:t>
        </x:is>
      </x:c>
      <x:c r="U727" t="inlineStr">
        <x:is>
          <x:t xml:space="preserve">https://ancient-buddhist-texts.net/Texts-and-Translations/Dhammapada/12-Self.htm</x:t>
        </x:is>
      </x:c>
      <x:c r="V727" t="inlineStr">
        <x:is>
          <x:t xml:space="preserve">Primary Pāḷi text with interlinear scholarly translation</x:t>
        </x:is>
      </x:c>
      <x:c r="W727" t="inlineStr">
        <x:is>
          <x:t xml:space="preserve">Canonical verse</x:t>
        </x:is>
      </x:c>
      <x:c r="X727" t="inlineStr">
        <x:is>
          <x:t xml:space="preserve">A - Pāḷi verse source located</x:t>
        </x:is>
      </x:c>
      <x:c r="Y727" t="inlineStr">
        <x:is>
          <x:t xml:space="preserve">Pāḷi checked against Ancient Buddhist Texts Dhammapada edition. Vietnamese is a fresh Selflo working translation, not a published translation.</x:t>
        </x:is>
      </x:c>
      <x:c r="Z727" t="inlineStr">
        <x:is>
          <x:t xml:space="preserve">Ancient canonical text public domain; modern translation copyright separate</x:t>
        </x:is>
      </x:c>
      <x:c r="AA727" t="inlineStr">
        <x:is>
          <x:t xml:space="preserve">Retain Pāḷi original; use fresh Vietnamese translation. Do not copy a modern copyrighted translation verbatim.</x:t>
        </x:is>
      </x:c>
      <x:c r="AB727" t="inlineStr">
        <x:is>
          <x:t xml:space="preserve">High</x:t>
        </x:is>
      </x:c>
      <x:c r="AC727" t="inlineStr">
        <x:is>
          <x:t xml:space="preserve">Selected after full 26-chapter thematic screening; collection ≠ release approval.</x:t>
        </x:is>
      </x:c>
      <x:c r="AD727" t="inlineStr">
        <x:is>
          <x:t xml:space="preserve">Medium — ancient ethical/religious text needs contextual editorial review</x:t>
        </x:is>
      </x:c>
      <x:c r="AE727" t="inlineStr">
        <x:is>
          <x:t xml:space="preserve">Needs semantic dedupe review against Days 1–10 and existing Selflo originals</x:t>
        </x:is>
      </x:c>
      <x:c r="AH727" t="inlineStr">
        <x:is>
          <x:t xml:space="preserve">No</x:t>
        </x:is>
      </x:c>
      <x:c r="AI727" t="inlineStr">
        <x:is>
          <x:t xml:space="preserve">Not reviewed</x:t>
        </x:is>
      </x:c>
      <x:c r="AJ727" t="inlineStr">
        <x:is>
          <x:t xml:space="preserve">Research only</x:t>
        </x:is>
      </x:c>
      <x:c r="AK727" t="inlineStr">
        <x:is>
          <x:t xml:space="preserve">Research Pool</x:t>
        </x:is>
      </x:c>
      <x:c r="AL727" t="n">
        <x:v>11</x:v>
      </x:c>
      <x:c r="AM727" t="inlineStr">
        <x:is>
          <x:t xml:space="preserve">ChatGPT research</x:t>
        </x:is>
      </x:c>
      <x:c r="AN727" t="inlineStr">
        <x:is>
          <x:t xml:space="preserve">2026-09-18</x:t>
        </x:is>
      </x:c>
      <x:c r="AO727" t="inlineStr">
        <x:is>
          <x:t xml:space="preserve">Day 11 Dhammapada. Avoid converting Buddhist doctrinal claims into universal psychological claims without context.</x:t>
        </x:is>
      </x:c>
    </x:row>
    <x:row r="728">
      <x:c r="A728" t="inlineStr">
        <x:is>
          <x:t xml:space="preserve">research.dhammapada.day11.v165</x:t>
        </x:is>
      </x:c>
      <x:c r="B728" t="inlineStr">
        <x:is>
          <x:t xml:space="preserve">Collected</x:t>
        </x:is>
      </x:c>
      <x:c r="C728" t="inlineStr">
        <x:is>
          <x:t xml:space="preserve">Nội tâm &amp; hiểu mình</x:t>
        </x:is>
      </x:c>
      <x:c r="D728" t="inlineStr">
        <x:is>
          <x:t xml:space="preserve">Day 11 / Dhammapada — 26 chapters / 423 verses</x:t>
        </x:is>
      </x:c>
      <x:c r="F728" t="inlineStr">
        <x:is>
          <x:t xml:space="preserve">Responsibility without blame</x:t>
        </x:is>
      </x:c>
      <x:c r="G728" t="inlineStr">
        <x:is>
          <x:t xml:space="preserve">Agency / Responsibility</x:t>
        </x:is>
      </x:c>
      <x:c r="K728" t="inlineStr">
        <x:is>
          <x:t xml:space="preserve">Return agency</x:t>
        </x:is>
      </x:c>
      <x:c r="M728" t="inlineStr">
        <x:is>
          <x:t xml:space="preserve">Canonical verse / gāthā</x:t>
        </x:is>
      </x:c>
      <x:c r="N728" t="inlineStr">
        <x:is>
          <x:t xml:space="preserve">Attanā va kataṁ pāpaṁ, attanā saṅkilissati; attanā akataṁ pāpaṁ, attanā va visujjhati ...</x:t>
        </x:is>
      </x:c>
      <x:c r="O728" t="inlineStr">
        <x:is>
          <x:t xml:space="preserve">Pāḷi</x:t>
        </x:is>
      </x:c>
      <x:c r="P728" t="inlineStr">
        <x:is>
          <x:t xml:space="preserve">Phần mình làm vẫn là phần mình có thể chịu trách nhiệm và thay đổi; sự trong sáng không thể được trao từ bên ngoài như một món đồ.</x:t>
        </x:is>
      </x:c>
      <x:c r="Q728" t="inlineStr">
        <x:is>
          <x:t xml:space="preserve">Dhammapada (Buddhist canonical verse tradition)</x:t>
        </x:is>
      </x:c>
      <x:c r="R728" t="inlineStr">
        <x:is>
          <x:t xml:space="preserve">Early Buddhist / Pāḷi tradition</x:t>
        </x:is>
      </x:c>
      <x:c r="S728" t="inlineStr">
        <x:is>
          <x:t xml:space="preserve">Dhammapada (Khuddaka Nikāya 2)</x:t>
        </x:is>
      </x:c>
      <x:c r="T728" t="inlineStr">
        <x:is>
          <x:t xml:space="preserve">Verse 165, chapter 12</x:t>
        </x:is>
      </x:c>
      <x:c r="U728" t="inlineStr">
        <x:is>
          <x:t xml:space="preserve">https://ancient-buddhist-texts.net/Texts-and-Translations/Dhammapada/12-Self.htm</x:t>
        </x:is>
      </x:c>
      <x:c r="V728" t="inlineStr">
        <x:is>
          <x:t xml:space="preserve">Primary Pāḷi text with interlinear scholarly translation</x:t>
        </x:is>
      </x:c>
      <x:c r="W728" t="inlineStr">
        <x:is>
          <x:t xml:space="preserve">Canonical verse</x:t>
        </x:is>
      </x:c>
      <x:c r="X728" t="inlineStr">
        <x:is>
          <x:t xml:space="preserve">A - Pāḷi verse source located</x:t>
        </x:is>
      </x:c>
      <x:c r="Y728" t="inlineStr">
        <x:is>
          <x:t xml:space="preserve">Pāḷi checked against Ancient Buddhist Texts Dhammapada edition. Vietnamese is a fresh Selflo working translation, not a published translation.</x:t>
        </x:is>
      </x:c>
      <x:c r="Z728" t="inlineStr">
        <x:is>
          <x:t xml:space="preserve">Ancient canonical text public domain; modern translation copyright separate</x:t>
        </x:is>
      </x:c>
      <x:c r="AA728" t="inlineStr">
        <x:is>
          <x:t xml:space="preserve">Retain Pāḷi original; use fresh Vietnamese translation. Do not copy a modern copyrighted translation verbatim.</x:t>
        </x:is>
      </x:c>
      <x:c r="AB728" t="inlineStr">
        <x:is>
          <x:t xml:space="preserve">Medium</x:t>
        </x:is>
      </x:c>
      <x:c r="AC728" t="inlineStr">
        <x:is>
          <x:t xml:space="preserve">Selected after full 26-chapter thematic screening; collection ≠ release approval.</x:t>
        </x:is>
      </x:c>
      <x:c r="AD728" t="inlineStr">
        <x:is>
          <x:t xml:space="preserve">Medium — ancient ethical/religious text needs contextual editorial review</x:t>
        </x:is>
      </x:c>
      <x:c r="AE728" t="inlineStr">
        <x:is>
          <x:t xml:space="preserve">Needs semantic dedupe review against Days 1–10 and existing Selflo originals</x:t>
        </x:is>
      </x:c>
      <x:c r="AH728" t="inlineStr">
        <x:is>
          <x:t xml:space="preserve">No</x:t>
        </x:is>
      </x:c>
      <x:c r="AI728" t="inlineStr">
        <x:is>
          <x:t xml:space="preserve">Not reviewed</x:t>
        </x:is>
      </x:c>
      <x:c r="AJ728" t="inlineStr">
        <x:is>
          <x:t xml:space="preserve">Research only</x:t>
        </x:is>
      </x:c>
      <x:c r="AK728" t="inlineStr">
        <x:is>
          <x:t xml:space="preserve">Research Pool</x:t>
        </x:is>
      </x:c>
      <x:c r="AL728" t="n">
        <x:v>11</x:v>
      </x:c>
      <x:c r="AM728" t="inlineStr">
        <x:is>
          <x:t xml:space="preserve">ChatGPT research</x:t>
        </x:is>
      </x:c>
      <x:c r="AN728" t="inlineStr">
        <x:is>
          <x:t xml:space="preserve">2026-09-18</x:t>
        </x:is>
      </x:c>
      <x:c r="AO728" t="inlineStr">
        <x:is>
          <x:t xml:space="preserve">Day 11 Dhammapada. Avoid converting Buddhist doctrinal claims into universal psychological claims without context.</x:t>
        </x:is>
      </x:c>
    </x:row>
    <x:row r="729">
      <x:c r="A729" t="inlineStr">
        <x:is>
          <x:t xml:space="preserve">research.dhammapada.day11.v183</x:t>
        </x:is>
      </x:c>
      <x:c r="B729" t="inlineStr">
        <x:is>
          <x:t xml:space="preserve">Collected</x:t>
        </x:is>
      </x:c>
      <x:c r="C729" t="inlineStr">
        <x:is>
          <x:t xml:space="preserve">Nội tâm &amp; hiểu mình</x:t>
        </x:is>
      </x:c>
      <x:c r="D729" t="inlineStr">
        <x:is>
          <x:t xml:space="preserve">Day 11 / Dhammapada — 26 chapters / 423 verses</x:t>
        </x:is>
      </x:c>
      <x:c r="F729" t="inlineStr">
        <x:is>
          <x:t xml:space="preserve">Conduct and mind</x:t>
        </x:is>
      </x:c>
      <x:c r="G729" t="inlineStr">
        <x:is>
          <x:t xml:space="preserve">Values / Conduct</x:t>
        </x:is>
      </x:c>
      <x:c r="K729" t="inlineStr">
        <x:is>
          <x:t xml:space="preserve">Reframe</x:t>
        </x:is>
      </x:c>
      <x:c r="M729" t="inlineStr">
        <x:is>
          <x:t xml:space="preserve">Canonical verse / gāthā</x:t>
        </x:is>
      </x:c>
      <x:c r="N729" t="inlineStr">
        <x:is>
          <x:t xml:space="preserve">Sabbapāpassa akaraṇaṁ, kusalassa upasampadā; sacittapariyodapanaṁ, etaṁ Buddhāna’ sāsanaṁ.</x:t>
        </x:is>
      </x:c>
      <x:c r="O729" t="inlineStr">
        <x:is>
          <x:t xml:space="preserve">Pāḷi</x:t>
        </x:is>
      </x:c>
      <x:c r="P729" t="inlineStr">
        <x:is>
          <x:t xml:space="preserve">Tránh điều gây hại, nuôi điều lành và chăm lại tâm mình—ba hướng đơn giản nhưng không hề nhỏ.</x:t>
        </x:is>
      </x:c>
      <x:c r="Q729" t="inlineStr">
        <x:is>
          <x:t xml:space="preserve">Dhammapada (Buddhist canonical verse tradition)</x:t>
        </x:is>
      </x:c>
      <x:c r="R729" t="inlineStr">
        <x:is>
          <x:t xml:space="preserve">Early Buddhist / Pāḷi tradition</x:t>
        </x:is>
      </x:c>
      <x:c r="S729" t="inlineStr">
        <x:is>
          <x:t xml:space="preserve">Dhammapada (Khuddaka Nikāya 2)</x:t>
        </x:is>
      </x:c>
      <x:c r="T729" t="inlineStr">
        <x:is>
          <x:t xml:space="preserve">Verse 183, chapter 14</x:t>
        </x:is>
      </x:c>
      <x:c r="U729" t="inlineStr">
        <x:is>
          <x:t xml:space="preserve">https://ancient-buddhist-texts.net/Texts-and-Translations/Dhammapada/14-Buddha.htm</x:t>
        </x:is>
      </x:c>
      <x:c r="V729" t="inlineStr">
        <x:is>
          <x:t xml:space="preserve">Primary Pāḷi text with interlinear scholarly translation</x:t>
        </x:is>
      </x:c>
      <x:c r="W729" t="inlineStr">
        <x:is>
          <x:t xml:space="preserve">Canonical verse</x:t>
        </x:is>
      </x:c>
      <x:c r="X729" t="inlineStr">
        <x:is>
          <x:t xml:space="preserve">A - Pāḷi verse source located</x:t>
        </x:is>
      </x:c>
      <x:c r="Y729" t="inlineStr">
        <x:is>
          <x:t xml:space="preserve">Pāḷi checked against Ancient Buddhist Texts Dhammapada edition. Vietnamese is a fresh Selflo working translation, not a published translation.</x:t>
        </x:is>
      </x:c>
      <x:c r="Z729" t="inlineStr">
        <x:is>
          <x:t xml:space="preserve">Ancient canonical text public domain; modern translation copyright separate</x:t>
        </x:is>
      </x:c>
      <x:c r="AA729" t="inlineStr">
        <x:is>
          <x:t xml:space="preserve">Retain Pāḷi original; use fresh Vietnamese translation. Do not copy a modern copyrighted translation verbatim.</x:t>
        </x:is>
      </x:c>
      <x:c r="AB729" t="inlineStr">
        <x:is>
          <x:t xml:space="preserve">High</x:t>
        </x:is>
      </x:c>
      <x:c r="AC729" t="inlineStr">
        <x:is>
          <x:t xml:space="preserve">Selected after full 26-chapter thematic screening; collection ≠ release approval.</x:t>
        </x:is>
      </x:c>
      <x:c r="AD729" t="inlineStr">
        <x:is>
          <x:t xml:space="preserve">Medium — ancient ethical/religious text needs contextual editorial review</x:t>
        </x:is>
      </x:c>
      <x:c r="AE729" t="inlineStr">
        <x:is>
          <x:t xml:space="preserve">Needs semantic dedupe review against Days 1–10 and existing Selflo originals</x:t>
        </x:is>
      </x:c>
      <x:c r="AH729" t="inlineStr">
        <x:is>
          <x:t xml:space="preserve">No</x:t>
        </x:is>
      </x:c>
      <x:c r="AI729" t="inlineStr">
        <x:is>
          <x:t xml:space="preserve">Not reviewed</x:t>
        </x:is>
      </x:c>
      <x:c r="AJ729" t="inlineStr">
        <x:is>
          <x:t xml:space="preserve">Research only</x:t>
        </x:is>
      </x:c>
      <x:c r="AK729" t="inlineStr">
        <x:is>
          <x:t xml:space="preserve">Research Pool</x:t>
        </x:is>
      </x:c>
      <x:c r="AL729" t="n">
        <x:v>11</x:v>
      </x:c>
      <x:c r="AM729" t="inlineStr">
        <x:is>
          <x:t xml:space="preserve">ChatGPT research</x:t>
        </x:is>
      </x:c>
      <x:c r="AN729" t="inlineStr">
        <x:is>
          <x:t xml:space="preserve">2026-09-18</x:t>
        </x:is>
      </x:c>
      <x:c r="AO729" t="inlineStr">
        <x:is>
          <x:t xml:space="preserve">Day 11 Dhammapada. Avoid converting Buddhist doctrinal claims into universal psychological claims without context.</x:t>
        </x:is>
      </x:c>
    </x:row>
    <x:row r="730">
      <x:c r="A730" t="inlineStr">
        <x:is>
          <x:t xml:space="preserve">research.dhammapada.day11.v197</x:t>
        </x:is>
      </x:c>
      <x:c r="B730" t="inlineStr">
        <x:is>
          <x:t xml:space="preserve">Collected</x:t>
        </x:is>
      </x:c>
      <x:c r="C730" t="inlineStr">
        <x:is>
          <x:t xml:space="preserve">Nội tâm &amp; hiểu mình</x:t>
        </x:is>
      </x:c>
      <x:c r="D730" t="inlineStr">
        <x:is>
          <x:t xml:space="preserve">Day 11 / Dhammapada — 26 chapters / 423 verses</x:t>
        </x:is>
      </x:c>
      <x:c r="F730" t="inlineStr">
        <x:is>
          <x:t xml:space="preserve">Not becoming the conflict</x:t>
        </x:is>
      </x:c>
      <x:c r="G730" t="inlineStr">
        <x:is>
          <x:t xml:space="preserve">Relationships / Anger</x:t>
        </x:is>
      </x:c>
      <x:c r="K730" t="inlineStr">
        <x:is>
          <x:t xml:space="preserve">Permit</x:t>
        </x:is>
      </x:c>
      <x:c r="M730" t="inlineStr">
        <x:is>
          <x:t xml:space="preserve">Canonical verse / gāthā</x:t>
        </x:is>
      </x:c>
      <x:c r="N730" t="inlineStr">
        <x:is>
          <x:t xml:space="preserve">Susukhaṁ vata jīvāma verinesu averino; verinesu manussesu viharāma averino.</x:t>
        </x:is>
      </x:c>
      <x:c r="O730" t="inlineStr">
        <x:is>
          <x:t xml:space="preserve">Pāḷi</x:t>
        </x:is>
      </x:c>
      <x:c r="P730" t="inlineStr">
        <x:is>
          <x:t xml:space="preserve">Giữa những người đang đối nghịch, vẫn có khả năng không để sự đối nghịch trở thành toàn bộ cách mình sống.</x:t>
        </x:is>
      </x:c>
      <x:c r="Q730" t="inlineStr">
        <x:is>
          <x:t xml:space="preserve">Dhammapada (Buddhist canonical verse tradition)</x:t>
        </x:is>
      </x:c>
      <x:c r="R730" t="inlineStr">
        <x:is>
          <x:t xml:space="preserve">Early Buddhist / Pāḷi tradition</x:t>
        </x:is>
      </x:c>
      <x:c r="S730" t="inlineStr">
        <x:is>
          <x:t xml:space="preserve">Dhammapada (Khuddaka Nikāya 2)</x:t>
        </x:is>
      </x:c>
      <x:c r="T730" t="inlineStr">
        <x:is>
          <x:t xml:space="preserve">Verse 197, chapter 15</x:t>
        </x:is>
      </x:c>
      <x:c r="U730" t="inlineStr">
        <x:is>
          <x:t xml:space="preserve">https://ancient-buddhist-texts.net/Texts-and-Translations/Dhammapada/15-Happiness.htm</x:t>
        </x:is>
      </x:c>
      <x:c r="V730" t="inlineStr">
        <x:is>
          <x:t xml:space="preserve">Primary Pāḷi text with interlinear scholarly translation</x:t>
        </x:is>
      </x:c>
      <x:c r="W730" t="inlineStr">
        <x:is>
          <x:t xml:space="preserve">Canonical verse</x:t>
        </x:is>
      </x:c>
      <x:c r="X730" t="inlineStr">
        <x:is>
          <x:t xml:space="preserve">A - Pāḷi verse source located</x:t>
        </x:is>
      </x:c>
      <x:c r="Y730" t="inlineStr">
        <x:is>
          <x:t xml:space="preserve">Pāḷi checked against Ancient Buddhist Texts Dhammapada edition. Vietnamese is a fresh Selflo working translation, not a published translation.</x:t>
        </x:is>
      </x:c>
      <x:c r="Z730" t="inlineStr">
        <x:is>
          <x:t xml:space="preserve">Ancient canonical text public domain; modern translation copyright separate</x:t>
        </x:is>
      </x:c>
      <x:c r="AA730" t="inlineStr">
        <x:is>
          <x:t xml:space="preserve">Retain Pāḷi original; use fresh Vietnamese translation. Do not copy a modern copyrighted translation verbatim.</x:t>
        </x:is>
      </x:c>
      <x:c r="AB730" t="inlineStr">
        <x:is>
          <x:t xml:space="preserve">High</x:t>
        </x:is>
      </x:c>
      <x:c r="AC730" t="inlineStr">
        <x:is>
          <x:t xml:space="preserve">Selected after full 26-chapter thematic screening; collection ≠ release approval.</x:t>
        </x:is>
      </x:c>
      <x:c r="AD730" t="inlineStr">
        <x:is>
          <x:t xml:space="preserve">Medium — ancient ethical/religious text needs contextual editorial review</x:t>
        </x:is>
      </x:c>
      <x:c r="AE730" t="inlineStr">
        <x:is>
          <x:t xml:space="preserve">Needs semantic dedupe review against Days 1–10 and existing Selflo originals</x:t>
        </x:is>
      </x:c>
      <x:c r="AH730" t="inlineStr">
        <x:is>
          <x:t xml:space="preserve">No</x:t>
        </x:is>
      </x:c>
      <x:c r="AI730" t="inlineStr">
        <x:is>
          <x:t xml:space="preserve">Not reviewed</x:t>
        </x:is>
      </x:c>
      <x:c r="AJ730" t="inlineStr">
        <x:is>
          <x:t xml:space="preserve">Research only</x:t>
        </x:is>
      </x:c>
      <x:c r="AK730" t="inlineStr">
        <x:is>
          <x:t xml:space="preserve">Research Pool</x:t>
        </x:is>
      </x:c>
      <x:c r="AL730" t="n">
        <x:v>11</x:v>
      </x:c>
      <x:c r="AM730" t="inlineStr">
        <x:is>
          <x:t xml:space="preserve">ChatGPT research</x:t>
        </x:is>
      </x:c>
      <x:c r="AN730" t="inlineStr">
        <x:is>
          <x:t xml:space="preserve">2026-09-18</x:t>
        </x:is>
      </x:c>
      <x:c r="AO730" t="inlineStr">
        <x:is>
          <x:t xml:space="preserve">Day 11 Dhammapada. Avoid converting Buddhist doctrinal claims into universal psychological claims without context.</x:t>
        </x:is>
      </x:c>
    </x:row>
    <x:row r="731">
      <x:c r="A731" t="inlineStr">
        <x:is>
          <x:t xml:space="preserve">research.dhammapada.day11.v204</x:t>
        </x:is>
      </x:c>
      <x:c r="B731" t="inlineStr">
        <x:is>
          <x:t xml:space="preserve">Collected</x:t>
        </x:is>
      </x:c>
      <x:c r="C731" t="inlineStr">
        <x:is>
          <x:t xml:space="preserve">Nội tâm &amp; hiểu mình</x:t>
        </x:is>
      </x:c>
      <x:c r="D731" t="inlineStr">
        <x:is>
          <x:t xml:space="preserve">Day 11 / Dhammapada — 26 chapters / 423 verses</x:t>
        </x:is>
      </x:c>
      <x:c r="F731" t="inlineStr">
        <x:is>
          <x:t xml:space="preserve">Enoughness and wellbeing</x:t>
        </x:is>
      </x:c>
      <x:c r="G731" t="inlineStr">
        <x:is>
          <x:t xml:space="preserve">Wellbeing / Enoughness</x:t>
        </x:is>
      </x:c>
      <x:c r="K731" t="inlineStr">
        <x:is>
          <x:t xml:space="preserve">Reframe</x:t>
        </x:is>
      </x:c>
      <x:c r="M731" t="inlineStr">
        <x:is>
          <x:t xml:space="preserve">Canonical verse / gāthā</x:t>
        </x:is>
      </x:c>
      <x:c r="N731" t="inlineStr">
        <x:is>
          <x:t xml:space="preserve">Ārogyaparamā lābhā, santuṭṭhiparamaṁ dhanaṁ; vissāsaparamā ñāti, Nibbānaṁ paramaṁ sukhaṁ.</x:t>
        </x:is>
      </x:c>
      <x:c r="O731" t="inlineStr">
        <x:is>
          <x:t xml:space="preserve">Pāḷi</x:t>
        </x:is>
      </x:c>
      <x:c r="P731" t="inlineStr">
        <x:is>
          <x:t xml:space="preserve">Sức khỏe, biết đủ và sự tin cậy được đặt cạnh những thứ quý nhất—một lời nhắc rằng giá trị không chỉ nằm ở sở hữu.</x:t>
        </x:is>
      </x:c>
      <x:c r="Q731" t="inlineStr">
        <x:is>
          <x:t xml:space="preserve">Dhammapada (Buddhist canonical verse tradition)</x:t>
        </x:is>
      </x:c>
      <x:c r="R731" t="inlineStr">
        <x:is>
          <x:t xml:space="preserve">Early Buddhist / Pāḷi tradition</x:t>
        </x:is>
      </x:c>
      <x:c r="S731" t="inlineStr">
        <x:is>
          <x:t xml:space="preserve">Dhammapada (Khuddaka Nikāya 2)</x:t>
        </x:is>
      </x:c>
      <x:c r="T731" t="inlineStr">
        <x:is>
          <x:t xml:space="preserve">Verse 204, chapter 15</x:t>
        </x:is>
      </x:c>
      <x:c r="U731" t="inlineStr">
        <x:is>
          <x:t xml:space="preserve">https://ancient-buddhist-texts.net/Texts-and-Translations/Dhammapada/15-Happiness.htm</x:t>
        </x:is>
      </x:c>
      <x:c r="V731" t="inlineStr">
        <x:is>
          <x:t xml:space="preserve">Primary Pāḷi text with interlinear scholarly translation</x:t>
        </x:is>
      </x:c>
      <x:c r="W731" t="inlineStr">
        <x:is>
          <x:t xml:space="preserve">Canonical verse</x:t>
        </x:is>
      </x:c>
      <x:c r="X731" t="inlineStr">
        <x:is>
          <x:t xml:space="preserve">A - Pāḷi verse source located</x:t>
        </x:is>
      </x:c>
      <x:c r="Y731" t="inlineStr">
        <x:is>
          <x:t xml:space="preserve">Pāḷi checked against Ancient Buddhist Texts Dhammapada edition. Vietnamese is a fresh Selflo working translation, not a published translation.</x:t>
        </x:is>
      </x:c>
      <x:c r="Z731" t="inlineStr">
        <x:is>
          <x:t xml:space="preserve">Ancient canonical text public domain; modern translation copyright separate</x:t>
        </x:is>
      </x:c>
      <x:c r="AA731" t="inlineStr">
        <x:is>
          <x:t xml:space="preserve">Retain Pāḷi original; use fresh Vietnamese translation. Do not copy a modern copyrighted translation verbatim.</x:t>
        </x:is>
      </x:c>
      <x:c r="AB731" t="inlineStr">
        <x:is>
          <x:t xml:space="preserve">High</x:t>
        </x:is>
      </x:c>
      <x:c r="AC731" t="inlineStr">
        <x:is>
          <x:t xml:space="preserve">Selected after full 26-chapter thematic screening; collection ≠ release approval.</x:t>
        </x:is>
      </x:c>
      <x:c r="AD731" t="inlineStr">
        <x:is>
          <x:t xml:space="preserve">Medium — ancient ethical/religious text needs contextual editorial review</x:t>
        </x:is>
      </x:c>
      <x:c r="AE731" t="inlineStr">
        <x:is>
          <x:t xml:space="preserve">Needs semantic dedupe review against Days 1–10 and existing Selflo originals</x:t>
        </x:is>
      </x:c>
      <x:c r="AH731" t="inlineStr">
        <x:is>
          <x:t xml:space="preserve">No</x:t>
        </x:is>
      </x:c>
      <x:c r="AI731" t="inlineStr">
        <x:is>
          <x:t xml:space="preserve">Not reviewed</x:t>
        </x:is>
      </x:c>
      <x:c r="AJ731" t="inlineStr">
        <x:is>
          <x:t xml:space="preserve">Research only</x:t>
        </x:is>
      </x:c>
      <x:c r="AK731" t="inlineStr">
        <x:is>
          <x:t xml:space="preserve">Research Pool</x:t>
        </x:is>
      </x:c>
      <x:c r="AL731" t="n">
        <x:v>11</x:v>
      </x:c>
      <x:c r="AM731" t="inlineStr">
        <x:is>
          <x:t xml:space="preserve">ChatGPT research</x:t>
        </x:is>
      </x:c>
      <x:c r="AN731" t="inlineStr">
        <x:is>
          <x:t xml:space="preserve">2026-09-18</x:t>
        </x:is>
      </x:c>
      <x:c r="AO731" t="inlineStr">
        <x:is>
          <x:t xml:space="preserve">Day 11 Dhammapada. Avoid converting Buddhist doctrinal claims into universal psychological claims without context.</x:t>
        </x:is>
      </x:c>
    </x:row>
    <x:row r="732">
      <x:c r="A732" t="inlineStr">
        <x:is>
          <x:t xml:space="preserve">research.dhammapada.day11.v221</x:t>
        </x:is>
      </x:c>
      <x:c r="B732" t="inlineStr">
        <x:is>
          <x:t xml:space="preserve">Collected</x:t>
        </x:is>
      </x:c>
      <x:c r="C732" t="inlineStr">
        <x:is>
          <x:t xml:space="preserve">Nội tâm &amp; hiểu mình</x:t>
        </x:is>
      </x:c>
      <x:c r="D732" t="inlineStr">
        <x:is>
          <x:t xml:space="preserve">Day 11 / Dhammapada — 26 chapters / 423 verses</x:t>
        </x:is>
      </x:c>
      <x:c r="F732" t="inlineStr">
        <x:is>
          <x:t xml:space="preserve">Anger and attachment</x:t>
        </x:is>
      </x:c>
      <x:c r="G732" t="inlineStr">
        <x:is>
          <x:t xml:space="preserve">Anger / Agency</x:t>
        </x:is>
      </x:c>
      <x:c r="K732" t="inlineStr">
        <x:is>
          <x:t xml:space="preserve">Recognize</x:t>
        </x:is>
      </x:c>
      <x:c r="M732" t="inlineStr">
        <x:is>
          <x:t xml:space="preserve">Canonical verse / gāthā</x:t>
        </x:is>
      </x:c>
      <x:c r="N732" t="inlineStr">
        <x:is>
          <x:t xml:space="preserve">Kodhaṁ jahe vippajaheyya mānaṁ, saṁyojanaṁ sabbam-atikkameyya; taṁ nāmarūpasmim-asajjamānaṁ, akiñcanaṁ nānupatanti dukkhā.</x:t>
        </x:is>
      </x:c>
      <x:c r="O732" t="inlineStr">
        <x:is>
          <x:t xml:space="preserve">Pāḷi</x:t>
        </x:is>
      </x:c>
      <x:c r="P732" t="inlineStr">
        <x:is>
          <x:t xml:space="preserve">Cơn giận và cái tôi có thể trở thành thứ trói mình vào chính điều đã xảy ra; nhìn thấy dây trói là một bước khác với bị nó kéo đi.</x:t>
        </x:is>
      </x:c>
      <x:c r="Q732" t="inlineStr">
        <x:is>
          <x:t xml:space="preserve">Dhammapada (Buddhist canonical verse tradition)</x:t>
        </x:is>
      </x:c>
      <x:c r="R732" t="inlineStr">
        <x:is>
          <x:t xml:space="preserve">Early Buddhist / Pāḷi tradition</x:t>
        </x:is>
      </x:c>
      <x:c r="S732" t="inlineStr">
        <x:is>
          <x:t xml:space="preserve">Dhammapada (Khuddaka Nikāya 2)</x:t>
        </x:is>
      </x:c>
      <x:c r="T732" t="inlineStr">
        <x:is>
          <x:t xml:space="preserve">Verse 221, chapter 17</x:t>
        </x:is>
      </x:c>
      <x:c r="U732" t="inlineStr">
        <x:is>
          <x:t xml:space="preserve">https://ancient-buddhist-texts.net/Texts-and-Translations/Dhammapada/17-Anger.htm</x:t>
        </x:is>
      </x:c>
      <x:c r="V732" t="inlineStr">
        <x:is>
          <x:t xml:space="preserve">Primary Pāḷi text with interlinear scholarly translation</x:t>
        </x:is>
      </x:c>
      <x:c r="W732" t="inlineStr">
        <x:is>
          <x:t xml:space="preserve">Canonical verse</x:t>
        </x:is>
      </x:c>
      <x:c r="X732" t="inlineStr">
        <x:is>
          <x:t xml:space="preserve">A - Pāḷi verse source located</x:t>
        </x:is>
      </x:c>
      <x:c r="Y732" t="inlineStr">
        <x:is>
          <x:t xml:space="preserve">Pāḷi checked against Ancient Buddhist Texts Dhammapada edition. Vietnamese is a fresh Selflo working translation, not a published translation.</x:t>
        </x:is>
      </x:c>
      <x:c r="Z732" t="inlineStr">
        <x:is>
          <x:t xml:space="preserve">Ancient canonical text public domain; modern translation copyright separate</x:t>
        </x:is>
      </x:c>
      <x:c r="AA732" t="inlineStr">
        <x:is>
          <x:t xml:space="preserve">Retain Pāḷi original; use fresh Vietnamese translation. Do not copy a modern copyrighted translation verbatim.</x:t>
        </x:is>
      </x:c>
      <x:c r="AB732" t="inlineStr">
        <x:is>
          <x:t xml:space="preserve">Medium</x:t>
        </x:is>
      </x:c>
      <x:c r="AC732" t="inlineStr">
        <x:is>
          <x:t xml:space="preserve">Selected after full 26-chapter thematic screening; collection ≠ release approval.</x:t>
        </x:is>
      </x:c>
      <x:c r="AD732" t="inlineStr">
        <x:is>
          <x:t xml:space="preserve">Medium — ancient ethical/religious text needs contextual editorial review</x:t>
        </x:is>
      </x:c>
      <x:c r="AE732" t="inlineStr">
        <x:is>
          <x:t xml:space="preserve">Needs semantic dedupe review against Days 1–10 and existing Selflo originals</x:t>
        </x:is>
      </x:c>
      <x:c r="AH732" t="inlineStr">
        <x:is>
          <x:t xml:space="preserve">No</x:t>
        </x:is>
      </x:c>
      <x:c r="AI732" t="inlineStr">
        <x:is>
          <x:t xml:space="preserve">Not reviewed</x:t>
        </x:is>
      </x:c>
      <x:c r="AJ732" t="inlineStr">
        <x:is>
          <x:t xml:space="preserve">Research only</x:t>
        </x:is>
      </x:c>
      <x:c r="AK732" t="inlineStr">
        <x:is>
          <x:t xml:space="preserve">Research Pool</x:t>
        </x:is>
      </x:c>
      <x:c r="AL732" t="n">
        <x:v>11</x:v>
      </x:c>
      <x:c r="AM732" t="inlineStr">
        <x:is>
          <x:t xml:space="preserve">ChatGPT research</x:t>
        </x:is>
      </x:c>
      <x:c r="AN732" t="inlineStr">
        <x:is>
          <x:t xml:space="preserve">2026-09-18</x:t>
        </x:is>
      </x:c>
      <x:c r="AO732" t="inlineStr">
        <x:is>
          <x:t xml:space="preserve">Day 11 Dhammapada. Avoid converting Buddhist doctrinal claims into universal psychological claims without context.</x:t>
        </x:is>
      </x:c>
    </x:row>
    <x:row r="733">
      <x:c r="A733" t="inlineStr">
        <x:is>
          <x:t xml:space="preserve">research.dhammapada.day11.v223</x:t>
        </x:is>
      </x:c>
      <x:c r="B733" t="inlineStr">
        <x:is>
          <x:t xml:space="preserve">Collected</x:t>
        </x:is>
      </x:c>
      <x:c r="C733" t="inlineStr">
        <x:is>
          <x:t xml:space="preserve">Nội tâm &amp; hiểu mình</x:t>
        </x:is>
      </x:c>
      <x:c r="D733" t="inlineStr">
        <x:is>
          <x:t xml:space="preserve">Day 11 / Dhammapada — 26 chapters / 423 verses</x:t>
        </x:is>
      </x:c>
      <x:c r="F733" t="inlineStr">
        <x:is>
          <x:t xml:space="preserve">Response choice</x:t>
        </x:is>
      </x:c>
      <x:c r="G733" t="inlineStr">
        <x:is>
          <x:t xml:space="preserve">Anger / Agency</x:t>
        </x:is>
      </x:c>
      <x:c r="K733" t="inlineStr">
        <x:is>
          <x:t xml:space="preserve">Return agency</x:t>
        </x:is>
      </x:c>
      <x:c r="M733" t="inlineStr">
        <x:is>
          <x:t xml:space="preserve">Canonical verse / gāthā</x:t>
        </x:is>
      </x:c>
      <x:c r="N733" t="inlineStr">
        <x:is>
          <x:t xml:space="preserve">Akkodhena jine kodhaṁ, asādhuṁ sādhunā jine; jine kadariyaṁ dānena, saccenālikavādinaṁ.</x:t>
        </x:is>
      </x:c>
      <x:c r="O733" t="inlineStr">
        <x:is>
          <x:t xml:space="preserve">Pāḷi</x:t>
        </x:is>
      </x:c>
      <x:c r="P733" t="inlineStr">
        <x:is>
          <x:t xml:space="preserve">Không nhất thiết phải đáp lại giận dữ bằng giận dữ, hay điều không tử tế bằng cùng một thứ.</x:t>
        </x:is>
      </x:c>
      <x:c r="Q733" t="inlineStr">
        <x:is>
          <x:t xml:space="preserve">Dhammapada (Buddhist canonical verse tradition)</x:t>
        </x:is>
      </x:c>
      <x:c r="R733" t="inlineStr">
        <x:is>
          <x:t xml:space="preserve">Early Buddhist / Pāḷi tradition</x:t>
        </x:is>
      </x:c>
      <x:c r="S733" t="inlineStr">
        <x:is>
          <x:t xml:space="preserve">Dhammapada (Khuddaka Nikāya 2)</x:t>
        </x:is>
      </x:c>
      <x:c r="T733" t="inlineStr">
        <x:is>
          <x:t xml:space="preserve">Verse 223, chapter 17</x:t>
        </x:is>
      </x:c>
      <x:c r="U733" t="inlineStr">
        <x:is>
          <x:t xml:space="preserve">https://ancient-buddhist-texts.net/Texts-and-Translations/Dhammapada/17-Anger.htm</x:t>
        </x:is>
      </x:c>
      <x:c r="V733" t="inlineStr">
        <x:is>
          <x:t xml:space="preserve">Primary Pāḷi text with interlinear scholarly translation</x:t>
        </x:is>
      </x:c>
      <x:c r="W733" t="inlineStr">
        <x:is>
          <x:t xml:space="preserve">Canonical verse</x:t>
        </x:is>
      </x:c>
      <x:c r="X733" t="inlineStr">
        <x:is>
          <x:t xml:space="preserve">A - Pāḷi verse source located</x:t>
        </x:is>
      </x:c>
      <x:c r="Y733" t="inlineStr">
        <x:is>
          <x:t xml:space="preserve">Pāḷi checked against Ancient Buddhist Texts Dhammapada edition. Vietnamese is a fresh Selflo working translation, not a published translation.</x:t>
        </x:is>
      </x:c>
      <x:c r="Z733" t="inlineStr">
        <x:is>
          <x:t xml:space="preserve">Ancient canonical text public domain; modern translation copyright separate</x:t>
        </x:is>
      </x:c>
      <x:c r="AA733" t="inlineStr">
        <x:is>
          <x:t xml:space="preserve">Retain Pāḷi original; use fresh Vietnamese translation. Do not copy a modern copyrighted translation verbatim.</x:t>
        </x:is>
      </x:c>
      <x:c r="AB733" t="inlineStr">
        <x:is>
          <x:t xml:space="preserve">High</x:t>
        </x:is>
      </x:c>
      <x:c r="AC733" t="inlineStr">
        <x:is>
          <x:t xml:space="preserve">Selected after full 26-chapter thematic screening; collection ≠ release approval.</x:t>
        </x:is>
      </x:c>
      <x:c r="AD733" t="inlineStr">
        <x:is>
          <x:t xml:space="preserve">Medium — ancient ethical/religious text needs contextual editorial review</x:t>
        </x:is>
      </x:c>
      <x:c r="AE733" t="inlineStr">
        <x:is>
          <x:t xml:space="preserve">Needs semantic dedupe review against Days 1–10 and existing Selflo originals</x:t>
        </x:is>
      </x:c>
      <x:c r="AH733" t="inlineStr">
        <x:is>
          <x:t xml:space="preserve">No</x:t>
        </x:is>
      </x:c>
      <x:c r="AI733" t="inlineStr">
        <x:is>
          <x:t xml:space="preserve">Not reviewed</x:t>
        </x:is>
      </x:c>
      <x:c r="AJ733" t="inlineStr">
        <x:is>
          <x:t xml:space="preserve">Research only</x:t>
        </x:is>
      </x:c>
      <x:c r="AK733" t="inlineStr">
        <x:is>
          <x:t xml:space="preserve">Research Pool</x:t>
        </x:is>
      </x:c>
      <x:c r="AL733" t="n">
        <x:v>11</x:v>
      </x:c>
      <x:c r="AM733" t="inlineStr">
        <x:is>
          <x:t xml:space="preserve">ChatGPT research</x:t>
        </x:is>
      </x:c>
      <x:c r="AN733" t="inlineStr">
        <x:is>
          <x:t xml:space="preserve">2026-09-18</x:t>
        </x:is>
      </x:c>
      <x:c r="AO733" t="inlineStr">
        <x:is>
          <x:t xml:space="preserve">Day 11 Dhammapada. Avoid converting Buddhist doctrinal claims into universal psychological claims without context.</x:t>
        </x:is>
      </x:c>
    </x:row>
    <x:row r="734">
      <x:c r="A734" t="inlineStr">
        <x:is>
          <x:t xml:space="preserve">research.dhammapada.day11.v276</x:t>
        </x:is>
      </x:c>
      <x:c r="B734" t="inlineStr">
        <x:is>
          <x:t xml:space="preserve">Collected</x:t>
        </x:is>
      </x:c>
      <x:c r="C734" t="inlineStr">
        <x:is>
          <x:t xml:space="preserve">Nội tâm &amp; hiểu mình</x:t>
        </x:is>
      </x:c>
      <x:c r="D734" t="inlineStr">
        <x:is>
          <x:t xml:space="preserve">Day 11 / Dhammapada — 26 chapters / 423 verses</x:t>
        </x:is>
      </x:c>
      <x:c r="F734" t="inlineStr">
        <x:is>
          <x:t xml:space="preserve">Advice vs agency</x:t>
        </x:is>
      </x:c>
      <x:c r="G734" t="inlineStr">
        <x:is>
          <x:t xml:space="preserve">Agency / AI age</x:t>
        </x:is>
      </x:c>
      <x:c r="K734" t="inlineStr">
        <x:is>
          <x:t xml:space="preserve">Return agency</x:t>
        </x:is>
      </x:c>
      <x:c r="M734" t="inlineStr">
        <x:is>
          <x:t xml:space="preserve">Canonical verse / gāthā</x:t>
        </x:is>
      </x:c>
      <x:c r="N734" t="inlineStr">
        <x:is>
          <x:t xml:space="preserve">Tumhehi kiccam-ātappaṁ, akkhātāro Tathāgatā; paṭipannā pamokkhanti, jhāyino Mārabandhanā.</x:t>
        </x:is>
      </x:c>
      <x:c r="O734" t="inlineStr">
        <x:is>
          <x:t xml:space="preserve">Pāḷi</x:t>
        </x:is>
      </x:c>
      <x:c r="P734" t="inlineStr">
        <x:is>
          <x:t xml:space="preserve">Người khác có thể chỉ đường; phần bước đi vẫn không thể được làm thay hoàn toàn.</x:t>
        </x:is>
      </x:c>
      <x:c r="Q734" t="inlineStr">
        <x:is>
          <x:t xml:space="preserve">Dhammapada (Buddhist canonical verse tradition)</x:t>
        </x:is>
      </x:c>
      <x:c r="R734" t="inlineStr">
        <x:is>
          <x:t xml:space="preserve">Early Buddhist / Pāḷi tradition</x:t>
        </x:is>
      </x:c>
      <x:c r="S734" t="inlineStr">
        <x:is>
          <x:t xml:space="preserve">Dhammapada (Khuddaka Nikāya 2)</x:t>
        </x:is>
      </x:c>
      <x:c r="T734" t="inlineStr">
        <x:is>
          <x:t xml:space="preserve">Verse 276, chapter 20</x:t>
        </x:is>
      </x:c>
      <x:c r="U734" t="inlineStr">
        <x:is>
          <x:t xml:space="preserve">https://ancient-buddhist-texts.net/Texts-and-Translations/Dhammapada/20-Path.htm</x:t>
        </x:is>
      </x:c>
      <x:c r="V734" t="inlineStr">
        <x:is>
          <x:t xml:space="preserve">Primary Pāḷi text with interlinear scholarly translation</x:t>
        </x:is>
      </x:c>
      <x:c r="W734" t="inlineStr">
        <x:is>
          <x:t xml:space="preserve">Canonical verse</x:t>
        </x:is>
      </x:c>
      <x:c r="X734" t="inlineStr">
        <x:is>
          <x:t xml:space="preserve">A - Pāḷi verse source located</x:t>
        </x:is>
      </x:c>
      <x:c r="Y734" t="inlineStr">
        <x:is>
          <x:t xml:space="preserve">Pāḷi checked against Ancient Buddhist Texts Dhammapada edition. Vietnamese is a fresh Selflo working translation, not a published translation.</x:t>
        </x:is>
      </x:c>
      <x:c r="Z734" t="inlineStr">
        <x:is>
          <x:t xml:space="preserve">Ancient canonical text public domain; modern translation copyright separate</x:t>
        </x:is>
      </x:c>
      <x:c r="AA734" t="inlineStr">
        <x:is>
          <x:t xml:space="preserve">Retain Pāḷi original; use fresh Vietnamese translation. Do not copy a modern copyrighted translation verbatim.</x:t>
        </x:is>
      </x:c>
      <x:c r="AB734" t="inlineStr">
        <x:is>
          <x:t xml:space="preserve">High</x:t>
        </x:is>
      </x:c>
      <x:c r="AC734" t="inlineStr">
        <x:is>
          <x:t xml:space="preserve">Selected after full 26-chapter thematic screening; collection ≠ release approval.</x:t>
        </x:is>
      </x:c>
      <x:c r="AD734" t="inlineStr">
        <x:is>
          <x:t xml:space="preserve">Medium — ancient ethical/religious text needs contextual editorial review</x:t>
        </x:is>
      </x:c>
      <x:c r="AE734" t="inlineStr">
        <x:is>
          <x:t xml:space="preserve">Needs semantic dedupe review against Days 1–10 and existing Selflo originals</x:t>
        </x:is>
      </x:c>
      <x:c r="AH734" t="inlineStr">
        <x:is>
          <x:t xml:space="preserve">No</x:t>
        </x:is>
      </x:c>
      <x:c r="AI734" t="inlineStr">
        <x:is>
          <x:t xml:space="preserve">Not reviewed</x:t>
        </x:is>
      </x:c>
      <x:c r="AJ734" t="inlineStr">
        <x:is>
          <x:t xml:space="preserve">Research only</x:t>
        </x:is>
      </x:c>
      <x:c r="AK734" t="inlineStr">
        <x:is>
          <x:t xml:space="preserve">Research Pool</x:t>
        </x:is>
      </x:c>
      <x:c r="AL734" t="n">
        <x:v>11</x:v>
      </x:c>
      <x:c r="AM734" t="inlineStr">
        <x:is>
          <x:t xml:space="preserve">ChatGPT research</x:t>
        </x:is>
      </x:c>
      <x:c r="AN734" t="inlineStr">
        <x:is>
          <x:t xml:space="preserve">2026-09-18</x:t>
        </x:is>
      </x:c>
      <x:c r="AO734" t="inlineStr">
        <x:is>
          <x:t xml:space="preserve">Day 11 Dhammapada. Avoid converting Buddhist doctrinal claims into universal psychological claims without context.</x:t>
        </x:is>
      </x:c>
    </x:row>
    <x:row r="735">
      <x:c r="A735" t="inlineStr">
        <x:is>
          <x:t xml:space="preserve">research.dhammapada.day11.v277</x:t>
        </x:is>
      </x:c>
      <x:c r="B735" t="inlineStr">
        <x:is>
          <x:t xml:space="preserve">Collected</x:t>
        </x:is>
      </x:c>
      <x:c r="C735" t="inlineStr">
        <x:is>
          <x:t xml:space="preserve">Nội tâm &amp; hiểu mình</x:t>
        </x:is>
      </x:c>
      <x:c r="D735" t="inlineStr">
        <x:is>
          <x:t xml:space="preserve">Day 11 / Dhammapada — 26 chapters / 423 verses</x:t>
        </x:is>
      </x:c>
      <x:c r="F735" t="inlineStr">
        <x:is>
          <x:t xml:space="preserve">Impermanence</x:t>
        </x:is>
      </x:c>
      <x:c r="G735" t="inlineStr">
        <x:is>
          <x:t xml:space="preserve">Change / Impermanence</x:t>
        </x:is>
      </x:c>
      <x:c r="K735" t="inlineStr">
        <x:is>
          <x:t xml:space="preserve">Normalize</x:t>
        </x:is>
      </x:c>
      <x:c r="M735" t="inlineStr">
        <x:is>
          <x:t xml:space="preserve">Canonical verse / gāthā</x:t>
        </x:is>
      </x:c>
      <x:c r="N735" t="inlineStr">
        <x:is>
          <x:t xml:space="preserve">Sabbe saṅkhārā aniccā ti, yadā paññāya passati; atha nibbindati dukkhe, esa maggo visuddhiyā.</x:t>
        </x:is>
      </x:c>
      <x:c r="O735" t="inlineStr">
        <x:is>
          <x:t xml:space="preserve">Pāḷi</x:t>
        </x:is>
      </x:c>
      <x:c r="P735" t="inlineStr">
        <x:is>
          <x:t xml:space="preserve">Khi thấy những gì được tạo thành đều thay đổi, ta có thể bớt đòi một trạng thái phải ở nguyên mãi.</x:t>
        </x:is>
      </x:c>
      <x:c r="Q735" t="inlineStr">
        <x:is>
          <x:t xml:space="preserve">Dhammapada (Buddhist canonical verse tradition)</x:t>
        </x:is>
      </x:c>
      <x:c r="R735" t="inlineStr">
        <x:is>
          <x:t xml:space="preserve">Early Buddhist / Pāḷi tradition</x:t>
        </x:is>
      </x:c>
      <x:c r="S735" t="inlineStr">
        <x:is>
          <x:t xml:space="preserve">Dhammapada (Khuddaka Nikāya 2)</x:t>
        </x:is>
      </x:c>
      <x:c r="T735" t="inlineStr">
        <x:is>
          <x:t xml:space="preserve">Verse 277, chapter 20</x:t>
        </x:is>
      </x:c>
      <x:c r="U735" t="inlineStr">
        <x:is>
          <x:t xml:space="preserve">https://ancient-buddhist-texts.net/Texts-and-Translations/Dhammapada/20-Path.htm</x:t>
        </x:is>
      </x:c>
      <x:c r="V735" t="inlineStr">
        <x:is>
          <x:t xml:space="preserve">Primary Pāḷi text with interlinear scholarly translation</x:t>
        </x:is>
      </x:c>
      <x:c r="W735" t="inlineStr">
        <x:is>
          <x:t xml:space="preserve">Canonical verse</x:t>
        </x:is>
      </x:c>
      <x:c r="X735" t="inlineStr">
        <x:is>
          <x:t xml:space="preserve">A - Pāḷi verse source located</x:t>
        </x:is>
      </x:c>
      <x:c r="Y735" t="inlineStr">
        <x:is>
          <x:t xml:space="preserve">Pāḷi checked against Ancient Buddhist Texts Dhammapada edition. Vietnamese is a fresh Selflo working translation, not a published translation.</x:t>
        </x:is>
      </x:c>
      <x:c r="Z735" t="inlineStr">
        <x:is>
          <x:t xml:space="preserve">Ancient canonical text public domain; modern translation copyright separate</x:t>
        </x:is>
      </x:c>
      <x:c r="AA735" t="inlineStr">
        <x:is>
          <x:t xml:space="preserve">Retain Pāḷi original; use fresh Vietnamese translation. Do not copy a modern copyrighted translation verbatim.</x:t>
        </x:is>
      </x:c>
      <x:c r="AB735" t="inlineStr">
        <x:is>
          <x:t xml:space="preserve">High</x:t>
        </x:is>
      </x:c>
      <x:c r="AC735" t="inlineStr">
        <x:is>
          <x:t xml:space="preserve">Selected after full 26-chapter thematic screening; collection ≠ release approval.</x:t>
        </x:is>
      </x:c>
      <x:c r="AD735" t="inlineStr">
        <x:is>
          <x:t xml:space="preserve">Medium — ancient ethical/religious text needs contextual editorial review</x:t>
        </x:is>
      </x:c>
      <x:c r="AE735" t="inlineStr">
        <x:is>
          <x:t xml:space="preserve">Needs semantic dedupe review against Days 1–10 and existing Selflo originals</x:t>
        </x:is>
      </x:c>
      <x:c r="AH735" t="inlineStr">
        <x:is>
          <x:t xml:space="preserve">No</x:t>
        </x:is>
      </x:c>
      <x:c r="AI735" t="inlineStr">
        <x:is>
          <x:t xml:space="preserve">Not reviewed</x:t>
        </x:is>
      </x:c>
      <x:c r="AJ735" t="inlineStr">
        <x:is>
          <x:t xml:space="preserve">Research only</x:t>
        </x:is>
      </x:c>
      <x:c r="AK735" t="inlineStr">
        <x:is>
          <x:t xml:space="preserve">Research Pool</x:t>
        </x:is>
      </x:c>
      <x:c r="AL735" t="n">
        <x:v>11</x:v>
      </x:c>
      <x:c r="AM735" t="inlineStr">
        <x:is>
          <x:t xml:space="preserve">ChatGPT research</x:t>
        </x:is>
      </x:c>
      <x:c r="AN735" t="inlineStr">
        <x:is>
          <x:t xml:space="preserve">2026-09-18</x:t>
        </x:is>
      </x:c>
      <x:c r="AO735" t="inlineStr">
        <x:is>
          <x:t xml:space="preserve">Day 11 Dhammapada. Avoid converting Buddhist doctrinal claims into universal psychological claims without context.</x:t>
        </x:is>
      </x:c>
    </x:row>
    <x:row r="736">
      <x:c r="A736" t="inlineStr">
        <x:is>
          <x:t xml:space="preserve">research.dhammapada.day11.v278</x:t>
        </x:is>
      </x:c>
      <x:c r="B736" t="inlineStr">
        <x:is>
          <x:t xml:space="preserve">Collected</x:t>
        </x:is>
      </x:c>
      <x:c r="C736" t="inlineStr">
        <x:is>
          <x:t xml:space="preserve">Nội tâm &amp; hiểu mình</x:t>
        </x:is>
      </x:c>
      <x:c r="D736" t="inlineStr">
        <x:is>
          <x:t xml:space="preserve">Day 11 / Dhammapada — 26 chapters / 423 verses</x:t>
        </x:is>
      </x:c>
      <x:c r="F736" t="inlineStr">
        <x:is>
          <x:t xml:space="preserve">Unsatisfactoriness</x:t>
        </x:is>
      </x:c>
      <x:c r="G736" t="inlineStr">
        <x:is>
          <x:t xml:space="preserve">Expectation / Attachment</x:t>
        </x:is>
      </x:c>
      <x:c r="K736" t="inlineStr">
        <x:is>
          <x:t xml:space="preserve">Recognize</x:t>
        </x:is>
      </x:c>
      <x:c r="M736" t="inlineStr">
        <x:is>
          <x:t xml:space="preserve">Canonical verse / gāthā</x:t>
        </x:is>
      </x:c>
      <x:c r="N736" t="inlineStr">
        <x:is>
          <x:t xml:space="preserve">Sabbe saṅkhārā dukkhā ti, yadā paññāya passati; atha nibbindati dukkhe, esa maggo visuddhiyā.</x:t>
        </x:is>
      </x:c>
      <x:c r="O736" t="inlineStr">
        <x:is>
          <x:t xml:space="preserve">Pāḷi</x:t>
        </x:is>
      </x:c>
      <x:c r="P736" t="inlineStr">
        <x:is>
          <x:t xml:space="preserve">Những gì phụ thuộc nhiều điều kiện khó đem lại sự thỏa mãn bền vững; thấy điều đó có thể làm cách mình bám vào chúng thay đổi.</x:t>
        </x:is>
      </x:c>
      <x:c r="Q736" t="inlineStr">
        <x:is>
          <x:t xml:space="preserve">Dhammapada (Buddhist canonical verse tradition)</x:t>
        </x:is>
      </x:c>
      <x:c r="R736" t="inlineStr">
        <x:is>
          <x:t xml:space="preserve">Early Buddhist / Pāḷi tradition</x:t>
        </x:is>
      </x:c>
      <x:c r="S736" t="inlineStr">
        <x:is>
          <x:t xml:space="preserve">Dhammapada (Khuddaka Nikāya 2)</x:t>
        </x:is>
      </x:c>
      <x:c r="T736" t="inlineStr">
        <x:is>
          <x:t xml:space="preserve">Verse 278, chapter 20</x:t>
        </x:is>
      </x:c>
      <x:c r="U736" t="inlineStr">
        <x:is>
          <x:t xml:space="preserve">https://ancient-buddhist-texts.net/Texts-and-Translations/Dhammapada/20-Path.htm</x:t>
        </x:is>
      </x:c>
      <x:c r="V736" t="inlineStr">
        <x:is>
          <x:t xml:space="preserve">Primary Pāḷi text with interlinear scholarly translation</x:t>
        </x:is>
      </x:c>
      <x:c r="W736" t="inlineStr">
        <x:is>
          <x:t xml:space="preserve">Canonical verse</x:t>
        </x:is>
      </x:c>
      <x:c r="X736" t="inlineStr">
        <x:is>
          <x:t xml:space="preserve">A - Pāḷi verse source located</x:t>
        </x:is>
      </x:c>
      <x:c r="Y736" t="inlineStr">
        <x:is>
          <x:t xml:space="preserve">Pāḷi checked against Ancient Buddhist Texts Dhammapada edition. Vietnamese is a fresh Selflo working translation, not a published translation.</x:t>
        </x:is>
      </x:c>
      <x:c r="Z736" t="inlineStr">
        <x:is>
          <x:t xml:space="preserve">Ancient canonical text public domain; modern translation copyright separate</x:t>
        </x:is>
      </x:c>
      <x:c r="AA736" t="inlineStr">
        <x:is>
          <x:t xml:space="preserve">Retain Pāḷi original; use fresh Vietnamese translation. Do not copy a modern copyrighted translation verbatim.</x:t>
        </x:is>
      </x:c>
      <x:c r="AB736" t="inlineStr">
        <x:is>
          <x:t xml:space="preserve">Medium</x:t>
        </x:is>
      </x:c>
      <x:c r="AC736" t="inlineStr">
        <x:is>
          <x:t xml:space="preserve">Selected after full 26-chapter thematic screening; collection ≠ release approval.</x:t>
        </x:is>
      </x:c>
      <x:c r="AD736" t="inlineStr">
        <x:is>
          <x:t xml:space="preserve">Medium — ancient ethical/religious text needs contextual editorial review</x:t>
        </x:is>
      </x:c>
      <x:c r="AE736" t="inlineStr">
        <x:is>
          <x:t xml:space="preserve">Needs semantic dedupe review against Days 1–10 and existing Selflo originals</x:t>
        </x:is>
      </x:c>
      <x:c r="AH736" t="inlineStr">
        <x:is>
          <x:t xml:space="preserve">No</x:t>
        </x:is>
      </x:c>
      <x:c r="AI736" t="inlineStr">
        <x:is>
          <x:t xml:space="preserve">Not reviewed</x:t>
        </x:is>
      </x:c>
      <x:c r="AJ736" t="inlineStr">
        <x:is>
          <x:t xml:space="preserve">Research only</x:t>
        </x:is>
      </x:c>
      <x:c r="AK736" t="inlineStr">
        <x:is>
          <x:t xml:space="preserve">Research Pool</x:t>
        </x:is>
      </x:c>
      <x:c r="AL736" t="n">
        <x:v>11</x:v>
      </x:c>
      <x:c r="AM736" t="inlineStr">
        <x:is>
          <x:t xml:space="preserve">ChatGPT research</x:t>
        </x:is>
      </x:c>
      <x:c r="AN736" t="inlineStr">
        <x:is>
          <x:t xml:space="preserve">2026-09-18</x:t>
        </x:is>
      </x:c>
      <x:c r="AO736" t="inlineStr">
        <x:is>
          <x:t xml:space="preserve">Day 11 Dhammapada. Avoid converting Buddhist doctrinal claims into universal psychological claims without context.</x:t>
        </x:is>
      </x:c>
    </x:row>
    <x:row r="737">
      <x:c r="A737" t="inlineStr">
        <x:is>
          <x:t xml:space="preserve">research.dhammapada.day11.v290</x:t>
        </x:is>
      </x:c>
      <x:c r="B737" t="inlineStr">
        <x:is>
          <x:t xml:space="preserve">Collected</x:t>
        </x:is>
      </x:c>
      <x:c r="C737" t="inlineStr">
        <x:is>
          <x:t xml:space="preserve">Nội tâm &amp; hiểu mình</x:t>
        </x:is>
      </x:c>
      <x:c r="D737" t="inlineStr">
        <x:is>
          <x:t xml:space="preserve">Day 11 / Dhammapada — 26 chapters / 423 verses</x:t>
        </x:is>
      </x:c>
      <x:c r="F737" t="inlineStr">
        <x:is>
          <x:t xml:space="preserve">Short-term vs larger value</x:t>
        </x:is>
      </x:c>
      <x:c r="G737" t="inlineStr">
        <x:is>
          <x:t xml:space="preserve">Choice / Values</x:t>
        </x:is>
      </x:c>
      <x:c r="K737" t="inlineStr">
        <x:is>
          <x:t xml:space="preserve">Open question</x:t>
        </x:is>
      </x:c>
      <x:c r="M737" t="inlineStr">
        <x:is>
          <x:t xml:space="preserve">Canonical verse / gāthā</x:t>
        </x:is>
      </x:c>
      <x:c r="N737" t="inlineStr">
        <x:is>
          <x:t xml:space="preserve">Mattāsukhapariccāgā passe ce vipulaṁ sukhaṁ; caje mattāsukhaṁ dhīro sampassaṁ vipulaṁ sukhaṁ.</x:t>
        </x:is>
      </x:c>
      <x:c r="O737" t="inlineStr">
        <x:is>
          <x:t xml:space="preserve">Pāḷi</x:t>
        </x:is>
      </x:c>
      <x:c r="P737" t="inlineStr">
        <x:is>
          <x:t xml:space="preserve">Có lúc buông một dễ chịu nhỏ mở chỗ cho điều rộng hơn; nhưng điều gì đáng đổi vẫn cần chính mình nhìn rõ.</x:t>
        </x:is>
      </x:c>
      <x:c r="Q737" t="inlineStr">
        <x:is>
          <x:t xml:space="preserve">Dhammapada (Buddhist canonical verse tradition)</x:t>
        </x:is>
      </x:c>
      <x:c r="R737" t="inlineStr">
        <x:is>
          <x:t xml:space="preserve">Early Buddhist / Pāḷi tradition</x:t>
        </x:is>
      </x:c>
      <x:c r="S737" t="inlineStr">
        <x:is>
          <x:t xml:space="preserve">Dhammapada (Khuddaka Nikāya 2)</x:t>
        </x:is>
      </x:c>
      <x:c r="T737" t="inlineStr">
        <x:is>
          <x:t xml:space="preserve">Verse 290, chapter 21</x:t>
        </x:is>
      </x:c>
      <x:c r="U737" t="inlineStr">
        <x:is>
          <x:t xml:space="preserve">https://ancient-buddhist-texts.net/Texts-and-Translations/Dhammapada/21-Miscellaneous.htm</x:t>
        </x:is>
      </x:c>
      <x:c r="V737" t="inlineStr">
        <x:is>
          <x:t xml:space="preserve">Primary Pāḷi text with interlinear scholarly translation</x:t>
        </x:is>
      </x:c>
      <x:c r="W737" t="inlineStr">
        <x:is>
          <x:t xml:space="preserve">Canonical verse</x:t>
        </x:is>
      </x:c>
      <x:c r="X737" t="inlineStr">
        <x:is>
          <x:t xml:space="preserve">A - Pāḷi verse source located</x:t>
        </x:is>
      </x:c>
      <x:c r="Y737" t="inlineStr">
        <x:is>
          <x:t xml:space="preserve">Pāḷi checked against Ancient Buddhist Texts Dhammapada edition. Vietnamese is a fresh Selflo working translation, not a published translation.</x:t>
        </x:is>
      </x:c>
      <x:c r="Z737" t="inlineStr">
        <x:is>
          <x:t xml:space="preserve">Ancient canonical text public domain; modern translation copyright separate</x:t>
        </x:is>
      </x:c>
      <x:c r="AA737" t="inlineStr">
        <x:is>
          <x:t xml:space="preserve">Retain Pāḷi original; use fresh Vietnamese translation. Do not copy a modern copyrighted translation verbatim.</x:t>
        </x:is>
      </x:c>
      <x:c r="AB737" t="inlineStr">
        <x:is>
          <x:t xml:space="preserve">High</x:t>
        </x:is>
      </x:c>
      <x:c r="AC737" t="inlineStr">
        <x:is>
          <x:t xml:space="preserve">Selected after full 26-chapter thematic screening; collection ≠ release approval.</x:t>
        </x:is>
      </x:c>
      <x:c r="AD737" t="inlineStr">
        <x:is>
          <x:t xml:space="preserve">Medium — ancient ethical/religious text needs contextual editorial review</x:t>
        </x:is>
      </x:c>
      <x:c r="AE737" t="inlineStr">
        <x:is>
          <x:t xml:space="preserve">Needs semantic dedupe review against Days 1–10 and existing Selflo originals</x:t>
        </x:is>
      </x:c>
      <x:c r="AH737" t="inlineStr">
        <x:is>
          <x:t xml:space="preserve">No</x:t>
        </x:is>
      </x:c>
      <x:c r="AI737" t="inlineStr">
        <x:is>
          <x:t xml:space="preserve">Not reviewed</x:t>
        </x:is>
      </x:c>
      <x:c r="AJ737" t="inlineStr">
        <x:is>
          <x:t xml:space="preserve">Research only</x:t>
        </x:is>
      </x:c>
      <x:c r="AK737" t="inlineStr">
        <x:is>
          <x:t xml:space="preserve">Research Pool</x:t>
        </x:is>
      </x:c>
      <x:c r="AL737" t="n">
        <x:v>11</x:v>
      </x:c>
      <x:c r="AM737" t="inlineStr">
        <x:is>
          <x:t xml:space="preserve">ChatGPT research</x:t>
        </x:is>
      </x:c>
      <x:c r="AN737" t="inlineStr">
        <x:is>
          <x:t xml:space="preserve">2026-09-18</x:t>
        </x:is>
      </x:c>
      <x:c r="AO737" t="inlineStr">
        <x:is>
          <x:t xml:space="preserve">Day 11 Dhammapada. Avoid converting Buddhist doctrinal claims into universal psychological claims without context.</x:t>
        </x:is>
      </x:c>
    </x:row>
    <x:row r="738">
      <x:c r="A738" t="inlineStr">
        <x:is>
          <x:t xml:space="preserve">research.dhammapada.day11.v320</x:t>
        </x:is>
      </x:c>
      <x:c r="B738" t="inlineStr">
        <x:is>
          <x:t xml:space="preserve">Collected</x:t>
        </x:is>
      </x:c>
      <x:c r="C738" t="inlineStr">
        <x:is>
          <x:t xml:space="preserve">Nội tâm &amp; hiểu mình</x:t>
        </x:is>
      </x:c>
      <x:c r="D738" t="inlineStr">
        <x:is>
          <x:t xml:space="preserve">Day 11 / Dhammapada — 26 chapters / 423 verses</x:t>
        </x:is>
      </x:c>
      <x:c r="F738" t="inlineStr">
        <x:is>
          <x:t xml:space="preserve">Criticism / reactivity</x:t>
        </x:is>
      </x:c>
      <x:c r="G738" t="inlineStr">
        <x:is>
          <x:t xml:space="preserve">Resilience / Speech</x:t>
        </x:is>
      </x:c>
      <x:c r="K738" t="inlineStr">
        <x:is>
          <x:t xml:space="preserve">Permit</x:t>
        </x:is>
      </x:c>
      <x:c r="M738" t="inlineStr">
        <x:is>
          <x:t xml:space="preserve">Canonical verse / gāthā</x:t>
        </x:is>
      </x:c>
      <x:c r="N738" t="inlineStr">
        <x:is>
          <x:t xml:space="preserve">Ahaṁ nāgo va saṅgāme cāpāto patitaṁ saraṁ; ativākyaṁ titikkhissaṁ, dussīlo hi bahujjano.</x:t>
        </x:is>
      </x:c>
      <x:c r="O738" t="inlineStr">
        <x:is>
          <x:t xml:space="preserve">Pāḷi</x:t>
        </x:is>
      </x:c>
      <x:c r="P738" t="inlineStr">
        <x:is>
          <x:t xml:space="preserve">Như voi chịu những mũi tên trong trận, có những lúc mình cần không để mọi lời ném tới lập tức quyết định phản ứng.</x:t>
        </x:is>
      </x:c>
      <x:c r="Q738" t="inlineStr">
        <x:is>
          <x:t xml:space="preserve">Dhammapada (Buddhist canonical verse tradition)</x:t>
        </x:is>
      </x:c>
      <x:c r="R738" t="inlineStr">
        <x:is>
          <x:t xml:space="preserve">Early Buddhist / Pāḷi tradition</x:t>
        </x:is>
      </x:c>
      <x:c r="S738" t="inlineStr">
        <x:is>
          <x:t xml:space="preserve">Dhammapada (Khuddaka Nikāya 2)</x:t>
        </x:is>
      </x:c>
      <x:c r="T738" t="inlineStr">
        <x:is>
          <x:t xml:space="preserve">Verse 320, chapter 23</x:t>
        </x:is>
      </x:c>
      <x:c r="U738" t="inlineStr">
        <x:is>
          <x:t xml:space="preserve">https://ancient-buddhist-texts.net/Texts-and-Translations/Dhammapada/23-Elephant.htm</x:t>
        </x:is>
      </x:c>
      <x:c r="V738" t="inlineStr">
        <x:is>
          <x:t xml:space="preserve">Primary Pāḷi text with interlinear scholarly translation</x:t>
        </x:is>
      </x:c>
      <x:c r="W738" t="inlineStr">
        <x:is>
          <x:t xml:space="preserve">Canonical verse</x:t>
        </x:is>
      </x:c>
      <x:c r="X738" t="inlineStr">
        <x:is>
          <x:t xml:space="preserve">A - Pāḷi verse source located</x:t>
        </x:is>
      </x:c>
      <x:c r="Y738" t="inlineStr">
        <x:is>
          <x:t xml:space="preserve">Pāḷi checked against Ancient Buddhist Texts Dhammapada edition. Vietnamese is a fresh Selflo working translation, not a published translation.</x:t>
        </x:is>
      </x:c>
      <x:c r="Z738" t="inlineStr">
        <x:is>
          <x:t xml:space="preserve">Ancient canonical text public domain; modern translation copyright separate</x:t>
        </x:is>
      </x:c>
      <x:c r="AA738" t="inlineStr">
        <x:is>
          <x:t xml:space="preserve">Retain Pāḷi original; use fresh Vietnamese translation. Do not copy a modern copyrighted translation verbatim.</x:t>
        </x:is>
      </x:c>
      <x:c r="AB738" t="inlineStr">
        <x:is>
          <x:t xml:space="preserve">Medium</x:t>
        </x:is>
      </x:c>
      <x:c r="AC738" t="inlineStr">
        <x:is>
          <x:t xml:space="preserve">Selected after full 26-chapter thematic screening; collection ≠ release approval.</x:t>
        </x:is>
      </x:c>
      <x:c r="AD738" t="inlineStr">
        <x:is>
          <x:t xml:space="preserve">Medium — ancient ethical/religious text needs contextual editorial review</x:t>
        </x:is>
      </x:c>
      <x:c r="AE738" t="inlineStr">
        <x:is>
          <x:t xml:space="preserve">Needs semantic dedupe review against Days 1–10 and existing Selflo originals</x:t>
        </x:is>
      </x:c>
      <x:c r="AH738" t="inlineStr">
        <x:is>
          <x:t xml:space="preserve">No</x:t>
        </x:is>
      </x:c>
      <x:c r="AI738" t="inlineStr">
        <x:is>
          <x:t xml:space="preserve">Not reviewed</x:t>
        </x:is>
      </x:c>
      <x:c r="AJ738" t="inlineStr">
        <x:is>
          <x:t xml:space="preserve">Research only</x:t>
        </x:is>
      </x:c>
      <x:c r="AK738" t="inlineStr">
        <x:is>
          <x:t xml:space="preserve">Research Pool</x:t>
        </x:is>
      </x:c>
      <x:c r="AL738" t="n">
        <x:v>11</x:v>
      </x:c>
      <x:c r="AM738" t="inlineStr">
        <x:is>
          <x:t xml:space="preserve">ChatGPT research</x:t>
        </x:is>
      </x:c>
      <x:c r="AN738" t="inlineStr">
        <x:is>
          <x:t xml:space="preserve">2026-09-18</x:t>
        </x:is>
      </x:c>
      <x:c r="AO738" t="inlineStr">
        <x:is>
          <x:t xml:space="preserve">Day 11 Dhammapada. Avoid converting Buddhist doctrinal claims into universal psychological claims without context.</x:t>
        </x:is>
      </x:c>
    </x:row>
    <x:row r="739">
      <x:c r="A739" t="inlineStr">
        <x:is>
          <x:t xml:space="preserve">research.dhammapada.day11.v328</x:t>
        </x:is>
      </x:c>
      <x:c r="B739" t="inlineStr">
        <x:is>
          <x:t xml:space="preserve">Collected</x:t>
        </x:is>
      </x:c>
      <x:c r="C739" t="inlineStr">
        <x:is>
          <x:t xml:space="preserve">Nội tâm &amp; hiểu mình</x:t>
        </x:is>
      </x:c>
      <x:c r="D739" t="inlineStr">
        <x:is>
          <x:t xml:space="preserve">Day 11 / Dhammapada — 26 chapters / 423 verses</x:t>
        </x:is>
      </x:c>
      <x:c r="F739" t="inlineStr">
        <x:is>
          <x:t xml:space="preserve">Good companionship</x:t>
        </x:is>
      </x:c>
      <x:c r="G739" t="inlineStr">
        <x:is>
          <x:t xml:space="preserve">Relationships</x:t>
        </x:is>
      </x:c>
      <x:c r="K739" t="inlineStr">
        <x:is>
          <x:t xml:space="preserve">Recognize</x:t>
        </x:is>
      </x:c>
      <x:c r="M739" t="inlineStr">
        <x:is>
          <x:t xml:space="preserve">Canonical verse / gāthā</x:t>
        </x:is>
      </x:c>
      <x:c r="N739" t="inlineStr">
        <x:is>
          <x:t xml:space="preserve">Sace labhetha nipakaṁ sahāyaṁ saddhiṁcaraṁ sādhuvihāridhīraṁ; abhibhuyya sabbāni parissayāni careyya tenattamano satīmā.</x:t>
        </x:is>
      </x:c>
      <x:c r="O739" t="inlineStr">
        <x:is>
          <x:t xml:space="preserve">Pāḷi</x:t>
        </x:is>
      </x:c>
      <x:c r="P739" t="inlineStr">
        <x:is>
          <x:t xml:space="preserve">Nếu gặp một người đồng hành sáng suốt và tử tế, hãy trân trọng việc cùng đi qua những khó khăn với họ.</x:t>
        </x:is>
      </x:c>
      <x:c r="Q739" t="inlineStr">
        <x:is>
          <x:t xml:space="preserve">Dhammapada (Buddhist canonical verse tradition)</x:t>
        </x:is>
      </x:c>
      <x:c r="R739" t="inlineStr">
        <x:is>
          <x:t xml:space="preserve">Early Buddhist / Pāḷi tradition</x:t>
        </x:is>
      </x:c>
      <x:c r="S739" t="inlineStr">
        <x:is>
          <x:t xml:space="preserve">Dhammapada (Khuddaka Nikāya 2)</x:t>
        </x:is>
      </x:c>
      <x:c r="T739" t="inlineStr">
        <x:is>
          <x:t xml:space="preserve">Verse 328, chapter 23</x:t>
        </x:is>
      </x:c>
      <x:c r="U739" t="inlineStr">
        <x:is>
          <x:t xml:space="preserve">https://ancient-buddhist-texts.net/Texts-and-Translations/Dhammapada/23-Elephant.htm</x:t>
        </x:is>
      </x:c>
      <x:c r="V739" t="inlineStr">
        <x:is>
          <x:t xml:space="preserve">Primary Pāḷi text with interlinear scholarly translation</x:t>
        </x:is>
      </x:c>
      <x:c r="W739" t="inlineStr">
        <x:is>
          <x:t xml:space="preserve">Canonical verse</x:t>
        </x:is>
      </x:c>
      <x:c r="X739" t="inlineStr">
        <x:is>
          <x:t xml:space="preserve">A - Pāḷi verse source located</x:t>
        </x:is>
      </x:c>
      <x:c r="Y739" t="inlineStr">
        <x:is>
          <x:t xml:space="preserve">Pāḷi checked against Ancient Buddhist Texts Dhammapada edition. Vietnamese is a fresh Selflo working translation, not a published translation.</x:t>
        </x:is>
      </x:c>
      <x:c r="Z739" t="inlineStr">
        <x:is>
          <x:t xml:space="preserve">Ancient canonical text public domain; modern translation copyright separate</x:t>
        </x:is>
      </x:c>
      <x:c r="AA739" t="inlineStr">
        <x:is>
          <x:t xml:space="preserve">Retain Pāḷi original; use fresh Vietnamese translation. Do not copy a modern copyrighted translation verbatim.</x:t>
        </x:is>
      </x:c>
      <x:c r="AB739" t="inlineStr">
        <x:is>
          <x:t xml:space="preserve">High</x:t>
        </x:is>
      </x:c>
      <x:c r="AC739" t="inlineStr">
        <x:is>
          <x:t xml:space="preserve">Selected after full 26-chapter thematic screening; collection ≠ release approval.</x:t>
        </x:is>
      </x:c>
      <x:c r="AD739" t="inlineStr">
        <x:is>
          <x:t xml:space="preserve">Medium — ancient ethical/religious text needs contextual editorial review</x:t>
        </x:is>
      </x:c>
      <x:c r="AE739" t="inlineStr">
        <x:is>
          <x:t xml:space="preserve">Needs semantic dedupe review against Days 1–10 and existing Selflo originals</x:t>
        </x:is>
      </x:c>
      <x:c r="AH739" t="inlineStr">
        <x:is>
          <x:t xml:space="preserve">No</x:t>
        </x:is>
      </x:c>
      <x:c r="AI739" t="inlineStr">
        <x:is>
          <x:t xml:space="preserve">Not reviewed</x:t>
        </x:is>
      </x:c>
      <x:c r="AJ739" t="inlineStr">
        <x:is>
          <x:t xml:space="preserve">Research only</x:t>
        </x:is>
      </x:c>
      <x:c r="AK739" t="inlineStr">
        <x:is>
          <x:t xml:space="preserve">Research Pool</x:t>
        </x:is>
      </x:c>
      <x:c r="AL739" t="n">
        <x:v>11</x:v>
      </x:c>
      <x:c r="AM739" t="inlineStr">
        <x:is>
          <x:t xml:space="preserve">ChatGPT research</x:t>
        </x:is>
      </x:c>
      <x:c r="AN739" t="inlineStr">
        <x:is>
          <x:t xml:space="preserve">2026-09-18</x:t>
        </x:is>
      </x:c>
      <x:c r="AO739" t="inlineStr">
        <x:is>
          <x:t xml:space="preserve">Day 11 Dhammapada. Avoid converting Buddhist doctrinal claims into universal psychological claims without context.</x:t>
        </x:is>
      </x:c>
    </x:row>
    <x:row r="740">
      <x:c r="A740" t="inlineStr">
        <x:is>
          <x:t xml:space="preserve">research.dhammapada.day11.v329</x:t>
        </x:is>
      </x:c>
      <x:c r="B740" t="inlineStr">
        <x:is>
          <x:t xml:space="preserve">Collected</x:t>
        </x:is>
      </x:c>
      <x:c r="C740" t="inlineStr">
        <x:is>
          <x:t xml:space="preserve">Nội tâm &amp; hiểu mình</x:t>
        </x:is>
      </x:c>
      <x:c r="D740" t="inlineStr">
        <x:is>
          <x:t xml:space="preserve">Day 11 / Dhammapada — 26 chapters / 423 verses</x:t>
        </x:is>
      </x:c>
      <x:c r="F740" t="inlineStr">
        <x:is>
          <x:t xml:space="preserve">Solitude vs poor company</x:t>
        </x:is>
      </x:c>
      <x:c r="G740" t="inlineStr">
        <x:is>
          <x:t xml:space="preserve">Relationships / Choice</x:t>
        </x:is>
      </x:c>
      <x:c r="K740" t="inlineStr">
        <x:is>
          <x:t xml:space="preserve">Return agency</x:t>
        </x:is>
      </x:c>
      <x:c r="M740" t="inlineStr">
        <x:is>
          <x:t xml:space="preserve">Canonical verse / gāthā</x:t>
        </x:is>
      </x:c>
      <x:c r="N740" t="inlineStr">
        <x:is>
          <x:t xml:space="preserve">No ce labhetha nipakaṁ sahāyaṁ saddhiṁcaraṁ sādhuvihāridhīraṁ; rājā va raṭṭhaṁ vijitaṁ pahāya eko care mātaṅgaraññe va nāgo.</x:t>
        </x:is>
      </x:c>
      <x:c r="O740" t="inlineStr">
        <x:is>
          <x:t xml:space="preserve">Pāḷi</x:t>
        </x:is>
      </x:c>
      <x:c r="P740" t="inlineStr">
        <x:is>
          <x:t xml:space="preserve">Nếu chưa gặp được người đồng hành phù hợp, một quãng đi một mình có thể tốt hơn một sự đồng hành khiến mình rời xa điều quan trọng.</x:t>
        </x:is>
      </x:c>
      <x:c r="Q740" t="inlineStr">
        <x:is>
          <x:t xml:space="preserve">Dhammapada (Buddhist canonical verse tradition)</x:t>
        </x:is>
      </x:c>
      <x:c r="R740" t="inlineStr">
        <x:is>
          <x:t xml:space="preserve">Early Buddhist / Pāḷi tradition</x:t>
        </x:is>
      </x:c>
      <x:c r="S740" t="inlineStr">
        <x:is>
          <x:t xml:space="preserve">Dhammapada (Khuddaka Nikāya 2)</x:t>
        </x:is>
      </x:c>
      <x:c r="T740" t="inlineStr">
        <x:is>
          <x:t xml:space="preserve">Verse 329, chapter 23</x:t>
        </x:is>
      </x:c>
      <x:c r="U740" t="inlineStr">
        <x:is>
          <x:t xml:space="preserve">https://ancient-buddhist-texts.net/Texts-and-Translations/Dhammapada/23-Elephant.htm</x:t>
        </x:is>
      </x:c>
      <x:c r="V740" t="inlineStr">
        <x:is>
          <x:t xml:space="preserve">Primary Pāḷi text with interlinear scholarly translation</x:t>
        </x:is>
      </x:c>
      <x:c r="W740" t="inlineStr">
        <x:is>
          <x:t xml:space="preserve">Canonical verse</x:t>
        </x:is>
      </x:c>
      <x:c r="X740" t="inlineStr">
        <x:is>
          <x:t xml:space="preserve">A - Pāḷi verse source located</x:t>
        </x:is>
      </x:c>
      <x:c r="Y740" t="inlineStr">
        <x:is>
          <x:t xml:space="preserve">Pāḷi checked against Ancient Buddhist Texts Dhammapada edition. Vietnamese is a fresh Selflo working translation, not a published translation.</x:t>
        </x:is>
      </x:c>
      <x:c r="Z740" t="inlineStr">
        <x:is>
          <x:t xml:space="preserve">Ancient canonical text public domain; modern translation copyright separate</x:t>
        </x:is>
      </x:c>
      <x:c r="AA740" t="inlineStr">
        <x:is>
          <x:t xml:space="preserve">Retain Pāḷi original; use fresh Vietnamese translation. Do not copy a modern copyrighted translation verbatim.</x:t>
        </x:is>
      </x:c>
      <x:c r="AB740" t="inlineStr">
        <x:is>
          <x:t xml:space="preserve">High</x:t>
        </x:is>
      </x:c>
      <x:c r="AC740" t="inlineStr">
        <x:is>
          <x:t xml:space="preserve">Selected after full 26-chapter thematic screening; collection ≠ release approval.</x:t>
        </x:is>
      </x:c>
      <x:c r="AD740" t="inlineStr">
        <x:is>
          <x:t xml:space="preserve">Medium — ancient ethical/religious text needs contextual editorial review</x:t>
        </x:is>
      </x:c>
      <x:c r="AE740" t="inlineStr">
        <x:is>
          <x:t xml:space="preserve">Needs semantic dedupe review against Days 1–10 and existing Selflo originals</x:t>
        </x:is>
      </x:c>
      <x:c r="AH740" t="inlineStr">
        <x:is>
          <x:t xml:space="preserve">No</x:t>
        </x:is>
      </x:c>
      <x:c r="AI740" t="inlineStr">
        <x:is>
          <x:t xml:space="preserve">Not reviewed</x:t>
        </x:is>
      </x:c>
      <x:c r="AJ740" t="inlineStr">
        <x:is>
          <x:t xml:space="preserve">Research only</x:t>
        </x:is>
      </x:c>
      <x:c r="AK740" t="inlineStr">
        <x:is>
          <x:t xml:space="preserve">Research Pool</x:t>
        </x:is>
      </x:c>
      <x:c r="AL740" t="n">
        <x:v>11</x:v>
      </x:c>
      <x:c r="AM740" t="inlineStr">
        <x:is>
          <x:t xml:space="preserve">ChatGPT research</x:t>
        </x:is>
      </x:c>
      <x:c r="AN740" t="inlineStr">
        <x:is>
          <x:t xml:space="preserve">2026-09-18</x:t>
        </x:is>
      </x:c>
      <x:c r="AO740" t="inlineStr">
        <x:is>
          <x:t xml:space="preserve">Day 11 Dhammapada. Avoid converting Buddhist doctrinal claims into universal psychological claims without context.</x:t>
        </x:is>
      </x:c>
    </x:row>
    <x:row r="741">
      <x:c r="A741" t="inlineStr">
        <x:is>
          <x:t xml:space="preserve">research.dhammapada.day11.v330</x:t>
        </x:is>
      </x:c>
      <x:c r="B741" t="inlineStr">
        <x:is>
          <x:t xml:space="preserve">Collected</x:t>
        </x:is>
      </x:c>
      <x:c r="C741" t="inlineStr">
        <x:is>
          <x:t xml:space="preserve">Nội tâm &amp; hiểu mình</x:t>
        </x:is>
      </x:c>
      <x:c r="D741" t="inlineStr">
        <x:is>
          <x:t xml:space="preserve">Day 11 / Dhammapada — 26 chapters / 423 verses</x:t>
        </x:is>
      </x:c>
      <x:c r="F741" t="inlineStr">
        <x:is>
          <x:t xml:space="preserve">Solitude</x:t>
        </x:is>
      </x:c>
      <x:c r="G741" t="inlineStr">
        <x:is>
          <x:t xml:space="preserve">Solitude / Agency</x:t>
        </x:is>
      </x:c>
      <x:c r="K741" t="inlineStr">
        <x:is>
          <x:t xml:space="preserve">Reframe</x:t>
        </x:is>
      </x:c>
      <x:c r="M741" t="inlineStr">
        <x:is>
          <x:t xml:space="preserve">Canonical verse / gāthā</x:t>
        </x:is>
      </x:c>
      <x:c r="N741" t="inlineStr">
        <x:is>
          <x:t xml:space="preserve">Ekassa caritaṁ seyyo, natthi bāle sahāyatā; eko care na ca pāpāni kayirā, appossukko mātaṅgaraññe va nāgo.</x:t>
        </x:is>
      </x:c>
      <x:c r="O741" t="inlineStr">
        <x:is>
          <x:t xml:space="preserve">Pāḷi</x:t>
        </x:is>
      </x:c>
      <x:c r="P741" t="inlineStr">
        <x:is>
          <x:t xml:space="preserve">Ở một mình không nhất thiết là thiếu; đôi khi đó là cách giữ lại khoảng trống để không bị kéo vào điều mình không muốn trở thành.</x:t>
        </x:is>
      </x:c>
      <x:c r="Q741" t="inlineStr">
        <x:is>
          <x:t xml:space="preserve">Dhammapada (Buddhist canonical verse tradition)</x:t>
        </x:is>
      </x:c>
      <x:c r="R741" t="inlineStr">
        <x:is>
          <x:t xml:space="preserve">Early Buddhist / Pāḷi tradition</x:t>
        </x:is>
      </x:c>
      <x:c r="S741" t="inlineStr">
        <x:is>
          <x:t xml:space="preserve">Dhammapada (Khuddaka Nikāya 2)</x:t>
        </x:is>
      </x:c>
      <x:c r="T741" t="inlineStr">
        <x:is>
          <x:t xml:space="preserve">Verse 330, chapter 23</x:t>
        </x:is>
      </x:c>
      <x:c r="U741" t="inlineStr">
        <x:is>
          <x:t xml:space="preserve">https://ancient-buddhist-texts.net/Texts-and-Translations/Dhammapada/23-Elephant.htm</x:t>
        </x:is>
      </x:c>
      <x:c r="V741" t="inlineStr">
        <x:is>
          <x:t xml:space="preserve">Primary Pāḷi text with interlinear scholarly translation</x:t>
        </x:is>
      </x:c>
      <x:c r="W741" t="inlineStr">
        <x:is>
          <x:t xml:space="preserve">Canonical verse</x:t>
        </x:is>
      </x:c>
      <x:c r="X741" t="inlineStr">
        <x:is>
          <x:t xml:space="preserve">A - Pāḷi verse source located</x:t>
        </x:is>
      </x:c>
      <x:c r="Y741" t="inlineStr">
        <x:is>
          <x:t xml:space="preserve">Pāḷi checked against Ancient Buddhist Texts Dhammapada edition. Vietnamese is a fresh Selflo working translation, not a published translation.</x:t>
        </x:is>
      </x:c>
      <x:c r="Z741" t="inlineStr">
        <x:is>
          <x:t xml:space="preserve">Ancient canonical text public domain; modern translation copyright separate</x:t>
        </x:is>
      </x:c>
      <x:c r="AA741" t="inlineStr">
        <x:is>
          <x:t xml:space="preserve">Retain Pāḷi original; use fresh Vietnamese translation. Do not copy a modern copyrighted translation verbatim.</x:t>
        </x:is>
      </x:c>
      <x:c r="AB741" t="inlineStr">
        <x:is>
          <x:t xml:space="preserve">High</x:t>
        </x:is>
      </x:c>
      <x:c r="AC741" t="inlineStr">
        <x:is>
          <x:t xml:space="preserve">Selected after full 26-chapter thematic screening; collection ≠ release approval.</x:t>
        </x:is>
      </x:c>
      <x:c r="AD741" t="inlineStr">
        <x:is>
          <x:t xml:space="preserve">Medium — ancient ethical/religious text needs contextual editorial review</x:t>
        </x:is>
      </x:c>
      <x:c r="AE741" t="inlineStr">
        <x:is>
          <x:t xml:space="preserve">Needs semantic dedupe review against Days 1–10 and existing Selflo originals</x:t>
        </x:is>
      </x:c>
      <x:c r="AH741" t="inlineStr">
        <x:is>
          <x:t xml:space="preserve">No</x:t>
        </x:is>
      </x:c>
      <x:c r="AI741" t="inlineStr">
        <x:is>
          <x:t xml:space="preserve">Not reviewed</x:t>
        </x:is>
      </x:c>
      <x:c r="AJ741" t="inlineStr">
        <x:is>
          <x:t xml:space="preserve">Research only</x:t>
        </x:is>
      </x:c>
      <x:c r="AK741" t="inlineStr">
        <x:is>
          <x:t xml:space="preserve">Research Pool</x:t>
        </x:is>
      </x:c>
      <x:c r="AL741" t="n">
        <x:v>11</x:v>
      </x:c>
      <x:c r="AM741" t="inlineStr">
        <x:is>
          <x:t xml:space="preserve">ChatGPT research</x:t>
        </x:is>
      </x:c>
      <x:c r="AN741" t="inlineStr">
        <x:is>
          <x:t xml:space="preserve">2026-09-18</x:t>
        </x:is>
      </x:c>
      <x:c r="AO741" t="inlineStr">
        <x:is>
          <x:t xml:space="preserve">Day 11 Dhammapada. Avoid converting Buddhist doctrinal claims into universal psychological claims without context.</x:t>
        </x:is>
      </x:c>
    </x:row>
    <x:row r="742">
      <x:c r="A742" t="inlineStr">
        <x:is>
          <x:t xml:space="preserve">research.dhammapada.day11.v334</x:t>
        </x:is>
      </x:c>
      <x:c r="B742" t="inlineStr">
        <x:is>
          <x:t xml:space="preserve">Collected</x:t>
        </x:is>
      </x:c>
      <x:c r="C742" t="inlineStr">
        <x:is>
          <x:t xml:space="preserve">Nội tâm &amp; hiểu mình</x:t>
        </x:is>
      </x:c>
      <x:c r="D742" t="inlineStr">
        <x:is>
          <x:t xml:space="preserve">Day 11 / Dhammapada — 26 chapters / 423 verses</x:t>
        </x:is>
      </x:c>
      <x:c r="F742" t="inlineStr">
        <x:is>
          <x:t xml:space="preserve">Craving / endless more</x:t>
        </x:is>
      </x:c>
      <x:c r="G742" t="inlineStr">
        <x:is>
          <x:t xml:space="preserve">Desire / Attention</x:t>
        </x:is>
      </x:c>
      <x:c r="K742" t="inlineStr">
        <x:is>
          <x:t xml:space="preserve">Recognize</x:t>
        </x:is>
      </x:c>
      <x:c r="M742" t="inlineStr">
        <x:is>
          <x:t xml:space="preserve">Canonical verse / gāthā</x:t>
        </x:is>
      </x:c>
      <x:c r="N742" t="inlineStr">
        <x:is>
          <x:t xml:space="preserve">Manujassa pamattacārino taṇhā vaḍḍhati māluvā viya; so plavatī hurā huraṁ phalam-icchaṁ va vanasmi vānaro.</x:t>
        </x:is>
      </x:c>
      <x:c r="O742" t="inlineStr">
        <x:is>
          <x:t xml:space="preserve">Pāḷi</x:t>
        </x:is>
      </x:c>
      <x:c r="P742" t="inlineStr">
        <x:is>
          <x:t xml:space="preserve">Ham muốn không được nhìn thấy có thể leo phủ đời sống như dây leo, kéo tâm trí từ thứ này sang thứ khác.</x:t>
        </x:is>
      </x:c>
      <x:c r="Q742" t="inlineStr">
        <x:is>
          <x:t xml:space="preserve">Dhammapada (Buddhist canonical verse tradition)</x:t>
        </x:is>
      </x:c>
      <x:c r="R742" t="inlineStr">
        <x:is>
          <x:t xml:space="preserve">Early Buddhist / Pāḷi tradition</x:t>
        </x:is>
      </x:c>
      <x:c r="S742" t="inlineStr">
        <x:is>
          <x:t xml:space="preserve">Dhammapada (Khuddaka Nikāya 2)</x:t>
        </x:is>
      </x:c>
      <x:c r="T742" t="inlineStr">
        <x:is>
          <x:t xml:space="preserve">Verse 334, chapter 24</x:t>
        </x:is>
      </x:c>
      <x:c r="U742" t="inlineStr">
        <x:is>
          <x:t xml:space="preserve">https://ancient-buddhist-texts.net/Texts-and-Translations/Dhammapada/24-Craving.htm</x:t>
        </x:is>
      </x:c>
      <x:c r="V742" t="inlineStr">
        <x:is>
          <x:t xml:space="preserve">Primary Pāḷi text with interlinear scholarly translation</x:t>
        </x:is>
      </x:c>
      <x:c r="W742" t="inlineStr">
        <x:is>
          <x:t xml:space="preserve">Canonical verse</x:t>
        </x:is>
      </x:c>
      <x:c r="X742" t="inlineStr">
        <x:is>
          <x:t xml:space="preserve">A - Pāḷi verse source located</x:t>
        </x:is>
      </x:c>
      <x:c r="Y742" t="inlineStr">
        <x:is>
          <x:t xml:space="preserve">Pāḷi checked against Ancient Buddhist Texts Dhammapada edition. Vietnamese is a fresh Selflo working translation, not a published translation.</x:t>
        </x:is>
      </x:c>
      <x:c r="Z742" t="inlineStr">
        <x:is>
          <x:t xml:space="preserve">Ancient canonical text public domain; modern translation copyright separate</x:t>
        </x:is>
      </x:c>
      <x:c r="AA742" t="inlineStr">
        <x:is>
          <x:t xml:space="preserve">Retain Pāḷi original; use fresh Vietnamese translation. Do not copy a modern copyrighted translation verbatim.</x:t>
        </x:is>
      </x:c>
      <x:c r="AB742" t="inlineStr">
        <x:is>
          <x:t xml:space="preserve">High</x:t>
        </x:is>
      </x:c>
      <x:c r="AC742" t="inlineStr">
        <x:is>
          <x:t xml:space="preserve">Selected after full 26-chapter thematic screening; collection ≠ release approval.</x:t>
        </x:is>
      </x:c>
      <x:c r="AD742" t="inlineStr">
        <x:is>
          <x:t xml:space="preserve">Medium — ancient ethical/religious text needs contextual editorial review</x:t>
        </x:is>
      </x:c>
      <x:c r="AE742" t="inlineStr">
        <x:is>
          <x:t xml:space="preserve">Needs semantic dedupe review against Days 1–10 and existing Selflo originals</x:t>
        </x:is>
      </x:c>
      <x:c r="AH742" t="inlineStr">
        <x:is>
          <x:t xml:space="preserve">No</x:t>
        </x:is>
      </x:c>
      <x:c r="AI742" t="inlineStr">
        <x:is>
          <x:t xml:space="preserve">Not reviewed</x:t>
        </x:is>
      </x:c>
      <x:c r="AJ742" t="inlineStr">
        <x:is>
          <x:t xml:space="preserve">Research only</x:t>
        </x:is>
      </x:c>
      <x:c r="AK742" t="inlineStr">
        <x:is>
          <x:t xml:space="preserve">Research Pool</x:t>
        </x:is>
      </x:c>
      <x:c r="AL742" t="n">
        <x:v>11</x:v>
      </x:c>
      <x:c r="AM742" t="inlineStr">
        <x:is>
          <x:t xml:space="preserve">ChatGPT research</x:t>
        </x:is>
      </x:c>
      <x:c r="AN742" t="inlineStr">
        <x:is>
          <x:t xml:space="preserve">2026-09-18</x:t>
        </x:is>
      </x:c>
      <x:c r="AO742" t="inlineStr">
        <x:is>
          <x:t xml:space="preserve">Day 11 Dhammapada. Avoid converting Buddhist doctrinal claims into universal psychological claims without context.</x:t>
        </x:is>
      </x:c>
    </x:row>
    <x:row r="743">
      <x:c r="A743" t="inlineStr">
        <x:is>
          <x:t xml:space="preserve">research.dhammapada.day11.v348</x:t>
        </x:is>
      </x:c>
      <x:c r="B743" t="inlineStr">
        <x:is>
          <x:t xml:space="preserve">Collected</x:t>
        </x:is>
      </x:c>
      <x:c r="C743" t="inlineStr">
        <x:is>
          <x:t xml:space="preserve">Nội tâm &amp; hiểu mình</x:t>
        </x:is>
      </x:c>
      <x:c r="D743" t="inlineStr">
        <x:is>
          <x:t xml:space="preserve">Day 11 / Dhammapada — 26 chapters / 423 verses</x:t>
        </x:is>
      </x:c>
      <x:c r="F743" t="inlineStr">
        <x:is>
          <x:t xml:space="preserve">Past/future attachment</x:t>
        </x:is>
      </x:c>
      <x:c r="G743" t="inlineStr">
        <x:is>
          <x:t xml:space="preserve">Letting go / Presence</x:t>
        </x:is>
      </x:c>
      <x:c r="K743" t="inlineStr">
        <x:is>
          <x:t xml:space="preserve">Permit</x:t>
        </x:is>
      </x:c>
      <x:c r="M743" t="inlineStr">
        <x:is>
          <x:t xml:space="preserve">Canonical verse / gāthā</x:t>
        </x:is>
      </x:c>
      <x:c r="N743" t="inlineStr">
        <x:is>
          <x:t xml:space="preserve">Muñca pure muñca pacchato, majjhe muñca bhavassa pāragū; sabbattha vimuttamānaso, na punaṁ jātijaraṁ upehisi.</x:t>
        </x:is>
      </x:c>
      <x:c r="O743" t="inlineStr">
        <x:is>
          <x:t xml:space="preserve">Pāḷi</x:t>
        </x:is>
      </x:c>
      <x:c r="P743" t="inlineStr">
        <x:is>
          <x:t xml:space="preserve">Buông bớt điều đã qua, điều chưa tới và cả phần đang bám giữ ở giữa—không phải để quên đời, mà để bớt bị nó kéo.</x:t>
        </x:is>
      </x:c>
      <x:c r="Q743" t="inlineStr">
        <x:is>
          <x:t xml:space="preserve">Dhammapada (Buddhist canonical verse tradition)</x:t>
        </x:is>
      </x:c>
      <x:c r="R743" t="inlineStr">
        <x:is>
          <x:t xml:space="preserve">Early Buddhist / Pāḷi tradition</x:t>
        </x:is>
      </x:c>
      <x:c r="S743" t="inlineStr">
        <x:is>
          <x:t xml:space="preserve">Dhammapada (Khuddaka Nikāya 2)</x:t>
        </x:is>
      </x:c>
      <x:c r="T743" t="inlineStr">
        <x:is>
          <x:t xml:space="preserve">Verse 348, chapter 24</x:t>
        </x:is>
      </x:c>
      <x:c r="U743" t="inlineStr">
        <x:is>
          <x:t xml:space="preserve">https://ancient-buddhist-texts.net/Texts-and-Translations/Dhammapada/24-Craving.htm</x:t>
        </x:is>
      </x:c>
      <x:c r="V743" t="inlineStr">
        <x:is>
          <x:t xml:space="preserve">Primary Pāḷi text with interlinear scholarly translation</x:t>
        </x:is>
      </x:c>
      <x:c r="W743" t="inlineStr">
        <x:is>
          <x:t xml:space="preserve">Canonical verse</x:t>
        </x:is>
      </x:c>
      <x:c r="X743" t="inlineStr">
        <x:is>
          <x:t xml:space="preserve">A - Pāḷi verse source located</x:t>
        </x:is>
      </x:c>
      <x:c r="Y743" t="inlineStr">
        <x:is>
          <x:t xml:space="preserve">Pāḷi checked against Ancient Buddhist Texts Dhammapada edition. Vietnamese is a fresh Selflo working translation, not a published translation.</x:t>
        </x:is>
      </x:c>
      <x:c r="Z743" t="inlineStr">
        <x:is>
          <x:t xml:space="preserve">Ancient canonical text public domain; modern translation copyright separate</x:t>
        </x:is>
      </x:c>
      <x:c r="AA743" t="inlineStr">
        <x:is>
          <x:t xml:space="preserve">Retain Pāḷi original; use fresh Vietnamese translation. Do not copy a modern copyrighted translation verbatim.</x:t>
        </x:is>
      </x:c>
      <x:c r="AB743" t="inlineStr">
        <x:is>
          <x:t xml:space="preserve">Medium</x:t>
        </x:is>
      </x:c>
      <x:c r="AC743" t="inlineStr">
        <x:is>
          <x:t xml:space="preserve">Selected after full 26-chapter thematic screening; collection ≠ release approval.</x:t>
        </x:is>
      </x:c>
      <x:c r="AD743" t="inlineStr">
        <x:is>
          <x:t xml:space="preserve">Medium — ancient ethical/religious text needs contextual editorial review</x:t>
        </x:is>
      </x:c>
      <x:c r="AE743" t="inlineStr">
        <x:is>
          <x:t xml:space="preserve">Needs semantic dedupe review against Days 1–10 and existing Selflo originals</x:t>
        </x:is>
      </x:c>
      <x:c r="AH743" t="inlineStr">
        <x:is>
          <x:t xml:space="preserve">No</x:t>
        </x:is>
      </x:c>
      <x:c r="AI743" t="inlineStr">
        <x:is>
          <x:t xml:space="preserve">Not reviewed</x:t>
        </x:is>
      </x:c>
      <x:c r="AJ743" t="inlineStr">
        <x:is>
          <x:t xml:space="preserve">Research only</x:t>
        </x:is>
      </x:c>
      <x:c r="AK743" t="inlineStr">
        <x:is>
          <x:t xml:space="preserve">Research Pool</x:t>
        </x:is>
      </x:c>
      <x:c r="AL743" t="n">
        <x:v>11</x:v>
      </x:c>
      <x:c r="AM743" t="inlineStr">
        <x:is>
          <x:t xml:space="preserve">ChatGPT research</x:t>
        </x:is>
      </x:c>
      <x:c r="AN743" t="inlineStr">
        <x:is>
          <x:t xml:space="preserve">2026-09-18</x:t>
        </x:is>
      </x:c>
      <x:c r="AO743" t="inlineStr">
        <x:is>
          <x:t xml:space="preserve">Day 11 Dhammapada. Avoid converting Buddhist doctrinal claims into universal psychological claims without context.</x:t>
        </x:is>
      </x:c>
    </x:row>
    <x:row r="744">
      <x:c r="A744" t="inlineStr">
        <x:is>
          <x:t xml:space="preserve">research.mn.day12.mn10_01</x:t>
        </x:is>
      </x:c>
      <x:c r="B744" t="inlineStr">
        <x:is>
          <x:t xml:space="preserve">Collected</x:t>
        </x:is>
      </x:c>
      <x:c r="C744" t="inlineStr">
        <x:is>
          <x:t xml:space="preserve">Nội tâm &amp; hiểu mình</x:t>
        </x:is>
      </x:c>
      <x:c r="D744" t="inlineStr">
        <x:is>
          <x:t xml:space="preserve">Day 12 / Majjhima Nikāya — selected suttas</x:t>
        </x:is>
      </x:c>
      <x:c r="F744" t="inlineStr">
        <x:is>
          <x:t xml:space="preserve">Body as body, not story</x:t>
        </x:is>
      </x:c>
      <x:c r="G744" t="inlineStr">
        <x:is>
          <x:t xml:space="preserve">Attention / Presence</x:t>
        </x:is>
      </x:c>
      <x:c r="K744" t="inlineStr">
        <x:is>
          <x:t xml:space="preserve">Recognize</x:t>
        </x:is>
      </x:c>
      <x:c r="M744" t="inlineStr">
        <x:is>
          <x:t xml:space="preserve">Canonical passage</x:t>
        </x:is>
      </x:c>
      <x:c r="N744" t="inlineStr">
        <x:is>
          <x:t xml:space="preserve">Idha, bhikkhave, bhikkhu kāye kāyānupassī viharati ātāpī sampajāno satimā.</x:t>
        </x:is>
      </x:c>
      <x:c r="O744" t="inlineStr">
        <x:is>
          <x:t xml:space="preserve">Pāḷi</x:t>
        </x:is>
      </x:c>
      <x:c r="P744" t="inlineStr">
        <x:is>
          <x:t xml:space="preserve">Ở đây, người thực hành quan sát thân như thân, với sự tỉnh táo, hiểu rõ và có mặt.</x:t>
        </x:is>
      </x:c>
      <x:c r="Q744" t="inlineStr">
        <x:is>
          <x:t xml:space="preserve">Majjhima Nikāya / Early Buddhist Pāḷi tradition</x:t>
        </x:is>
      </x:c>
      <x:c r="R744" t="inlineStr">
        <x:is>
          <x:t xml:space="preserve">Early Buddhist / Pāḷi tradition</x:t>
        </x:is>
      </x:c>
      <x:c r="S744" t="inlineStr">
        <x:is>
          <x:t xml:space="preserve">MN 10 Satipaṭṭhānasutta</x:t>
        </x:is>
      </x:c>
      <x:c r="T744" t="inlineStr">
        <x:is>
          <x:t xml:space="preserve">Opening</x:t>
        </x:is>
      </x:c>
      <x:c r="U744" t="inlineStr">
        <x:is>
          <x:t xml:space="preserve">https://suttacentral.net/mn10/pli/ms</x:t>
        </x:is>
      </x:c>
      <x:c r="V744" t="inlineStr">
        <x:is>
          <x:t xml:space="preserve">Primary canonical Pāḷi text — SuttaCentral</x:t>
        </x:is>
      </x:c>
      <x:c r="W744" t="inlineStr">
        <x:is>
          <x:t xml:space="preserve">Canonical passage</x:t>
        </x:is>
      </x:c>
      <x:c r="X744" t="inlineStr">
        <x:is>
          <x:t xml:space="preserve">A - primary Pāḷi source located</x:t>
        </x:is>
      </x:c>
      <x:c r="Y744" t="inlineStr">
        <x:is>
          <x:t xml:space="preserve">Exact Pāḷi retained only where passage-level wording was directly verified. Bracketed rows are deliberately not presented as verbatim quotations.</x:t>
        </x:is>
      </x:c>
      <x:c r="Z744" t="inlineStr">
        <x:is>
          <x:t xml:space="preserve">Ancient canonical text public domain; modern translations have separate rights</x:t>
        </x:is>
      </x:c>
      <x:c r="AA744" t="inlineStr">
        <x:is>
          <x:t xml:space="preserve">Use primary Pāḷi + fresh Selflo Vietnamese working translation. Do not copy modern copyrighted translations into Release.</x:t>
        </x:is>
      </x:c>
      <x:c r="AB744" t="inlineStr">
        <x:is>
          <x:t xml:space="preserve">High</x:t>
        </x:is>
      </x:c>
      <x:c r="AC744" t="inlineStr">
        <x:is>
          <x:t xml:space="preserve">Day 12 research candidate; requires owner/editorial review before Release.</x:t>
        </x:is>
      </x:c>
      <x:c r="AD744" t="inlineStr">
        <x:is>
          <x:t xml:space="preserve">Medium — religious/ascetic context requires careful adaptation</x:t>
        </x:is>
      </x:c>
      <x:c r="AE744" t="inlineStr">
        <x:is>
          <x:t xml:space="preserve">Needs semantic dedupe against Day 11 Dhammapada and existing Buddhist content</x:t>
        </x:is>
      </x:c>
      <x:c r="AH744" t="inlineStr">
        <x:is>
          <x:t xml:space="preserve">No</x:t>
        </x:is>
      </x:c>
      <x:c r="AI744" t="inlineStr">
        <x:is>
          <x:t xml:space="preserve">Not reviewed</x:t>
        </x:is>
      </x:c>
      <x:c r="AJ744" t="inlineStr">
        <x:is>
          <x:t xml:space="preserve">Research only</x:t>
        </x:is>
      </x:c>
      <x:c r="AK744" t="inlineStr">
        <x:is>
          <x:t xml:space="preserve">Research Pool</x:t>
        </x:is>
      </x:c>
      <x:c r="AL744" t="n">
        <x:v>12</x:v>
      </x:c>
      <x:c r="AM744" t="inlineStr">
        <x:is>
          <x:t xml:space="preserve">ChatGPT research</x:t>
        </x:is>
      </x:c>
      <x:c r="AN744" t="inlineStr">
        <x:is>
          <x:t xml:space="preserve">2026-09-18</x:t>
        </x:is>
      </x:c>
      <x:c r="AO744" t="inlineStr">
        <x:is>
          <x:t xml:space="preserve">Selected-sutta Day 12 scope. Preserve doctrinal context; do not silently turn contemplative teachings into clinical mental-health claims.</x:t>
        </x:is>
      </x:c>
    </x:row>
    <x:row r="745">
      <x:c r="A745" t="inlineStr">
        <x:is>
          <x:t xml:space="preserve">research.mn.day12.mn10_02</x:t>
        </x:is>
      </x:c>
      <x:c r="B745" t="inlineStr">
        <x:is>
          <x:t xml:space="preserve">Collected</x:t>
        </x:is>
      </x:c>
      <x:c r="C745" t="inlineStr">
        <x:is>
          <x:t xml:space="preserve">Nội tâm &amp; hiểu mình</x:t>
        </x:is>
      </x:c>
      <x:c r="D745" t="inlineStr">
        <x:is>
          <x:t xml:space="preserve">Day 12 / Majjhima Nikāya — selected suttas</x:t>
        </x:is>
      </x:c>
      <x:c r="F745" t="inlineStr">
        <x:is>
          <x:t xml:space="preserve">Feeling and interpretation</x:t>
        </x:is>
      </x:c>
      <x:c r="G745" t="inlineStr">
        <x:is>
          <x:t xml:space="preserve">Emotion / Attention</x:t>
        </x:is>
      </x:c>
      <x:c r="K745" t="inlineStr">
        <x:is>
          <x:t xml:space="preserve">Distinguish</x:t>
        </x:is>
      </x:c>
      <x:c r="M745" t="inlineStr">
        <x:is>
          <x:t xml:space="preserve">Canonical passage</x:t>
        </x:is>
      </x:c>
      <x:c r="N745" t="inlineStr">
        <x:is>
          <x:t xml:space="preserve">vedanāsu vedanānupassī viharati ātāpī sampajāno satimā.</x:t>
        </x:is>
      </x:c>
      <x:c r="O745" t="inlineStr">
        <x:is>
          <x:t xml:space="preserve">Pāḷi</x:t>
        </x:is>
      </x:c>
      <x:c r="P745" t="inlineStr">
        <x:is>
          <x:t xml:space="preserve">Quan sát cảm giác như cảm giác—trước khi vội biến nó thành toàn bộ câu chuyện về mình.</x:t>
        </x:is>
      </x:c>
      <x:c r="Q745" t="inlineStr">
        <x:is>
          <x:t xml:space="preserve">Majjhima Nikāya / Early Buddhist Pāḷi tradition</x:t>
        </x:is>
      </x:c>
      <x:c r="R745" t="inlineStr">
        <x:is>
          <x:t xml:space="preserve">Early Buddhist / Pāḷi tradition</x:t>
        </x:is>
      </x:c>
      <x:c r="S745" t="inlineStr">
        <x:is>
          <x:t xml:space="preserve">MN 10 Satipaṭṭhānasutta</x:t>
        </x:is>
      </x:c>
      <x:c r="T745" t="inlineStr">
        <x:is>
          <x:t xml:space="preserve">Opening</x:t>
        </x:is>
      </x:c>
      <x:c r="U745" t="inlineStr">
        <x:is>
          <x:t xml:space="preserve">https://suttacentral.net/mn10/pli/ms</x:t>
        </x:is>
      </x:c>
      <x:c r="V745" t="inlineStr">
        <x:is>
          <x:t xml:space="preserve">Primary canonical Pāḷi text — SuttaCentral</x:t>
        </x:is>
      </x:c>
      <x:c r="W745" t="inlineStr">
        <x:is>
          <x:t xml:space="preserve">Canonical passage</x:t>
        </x:is>
      </x:c>
      <x:c r="X745" t="inlineStr">
        <x:is>
          <x:t xml:space="preserve">A - primary Pāḷi source located</x:t>
        </x:is>
      </x:c>
      <x:c r="Y745" t="inlineStr">
        <x:is>
          <x:t xml:space="preserve">Exact Pāḷi retained only where passage-level wording was directly verified. Bracketed rows are deliberately not presented as verbatim quotations.</x:t>
        </x:is>
      </x:c>
      <x:c r="Z745" t="inlineStr">
        <x:is>
          <x:t xml:space="preserve">Ancient canonical text public domain; modern translations have separate rights</x:t>
        </x:is>
      </x:c>
      <x:c r="AA745" t="inlineStr">
        <x:is>
          <x:t xml:space="preserve">Use primary Pāḷi + fresh Selflo Vietnamese working translation. Do not copy modern copyrighted translations into Release.</x:t>
        </x:is>
      </x:c>
      <x:c r="AB745" t="inlineStr">
        <x:is>
          <x:t xml:space="preserve">High</x:t>
        </x:is>
      </x:c>
      <x:c r="AC745" t="inlineStr">
        <x:is>
          <x:t xml:space="preserve">Day 12 research candidate; requires owner/editorial review before Release.</x:t>
        </x:is>
      </x:c>
      <x:c r="AD745" t="inlineStr">
        <x:is>
          <x:t xml:space="preserve">Medium — religious/ascetic context requires careful adaptation</x:t>
        </x:is>
      </x:c>
      <x:c r="AE745" t="inlineStr">
        <x:is>
          <x:t xml:space="preserve">Needs semantic dedupe against Day 11 Dhammapada and existing Buddhist content</x:t>
        </x:is>
      </x:c>
      <x:c r="AH745" t="inlineStr">
        <x:is>
          <x:t xml:space="preserve">No</x:t>
        </x:is>
      </x:c>
      <x:c r="AI745" t="inlineStr">
        <x:is>
          <x:t xml:space="preserve">Not reviewed</x:t>
        </x:is>
      </x:c>
      <x:c r="AJ745" t="inlineStr">
        <x:is>
          <x:t xml:space="preserve">Research only</x:t>
        </x:is>
      </x:c>
      <x:c r="AK745" t="inlineStr">
        <x:is>
          <x:t xml:space="preserve">Research Pool</x:t>
        </x:is>
      </x:c>
      <x:c r="AL745" t="n">
        <x:v>12</x:v>
      </x:c>
      <x:c r="AM745" t="inlineStr">
        <x:is>
          <x:t xml:space="preserve">ChatGPT research</x:t>
        </x:is>
      </x:c>
      <x:c r="AN745" t="inlineStr">
        <x:is>
          <x:t xml:space="preserve">2026-09-18</x:t>
        </x:is>
      </x:c>
      <x:c r="AO745" t="inlineStr">
        <x:is>
          <x:t xml:space="preserve">Selected-sutta Day 12 scope. Preserve doctrinal context; do not silently turn contemplative teachings into clinical mental-health claims.</x:t>
        </x:is>
      </x:c>
    </x:row>
    <x:row r="746">
      <x:c r="A746" t="inlineStr">
        <x:is>
          <x:t xml:space="preserve">research.mn.day12.mn10_03</x:t>
        </x:is>
      </x:c>
      <x:c r="B746" t="inlineStr">
        <x:is>
          <x:t xml:space="preserve">Collected</x:t>
        </x:is>
      </x:c>
      <x:c r="C746" t="inlineStr">
        <x:is>
          <x:t xml:space="preserve">Nội tâm &amp; hiểu mình</x:t>
        </x:is>
      </x:c>
      <x:c r="D746" t="inlineStr">
        <x:is>
          <x:t xml:space="preserve">Day 12 / Majjhima Nikāya — selected suttas</x:t>
        </x:is>
      </x:c>
      <x:c r="F746" t="inlineStr">
        <x:is>
          <x:t xml:space="preserve">Mind state ≠ identity</x:t>
        </x:is>
      </x:c>
      <x:c r="G746" t="inlineStr">
        <x:is>
          <x:t xml:space="preserve">Self-understanding</x:t>
        </x:is>
      </x:c>
      <x:c r="K746" t="inlineStr">
        <x:is>
          <x:t xml:space="preserve">Distinguish</x:t>
        </x:is>
      </x:c>
      <x:c r="M746" t="inlineStr">
        <x:is>
          <x:t xml:space="preserve">Canonical passage</x:t>
        </x:is>
      </x:c>
      <x:c r="N746" t="inlineStr">
        <x:is>
          <x:t xml:space="preserve">citte cittānupassī viharati ātāpī sampajāno satimā.</x:t>
        </x:is>
      </x:c>
      <x:c r="O746" t="inlineStr">
        <x:is>
          <x:t xml:space="preserve">Pāḷi</x:t>
        </x:is>
      </x:c>
      <x:c r="P746" t="inlineStr">
        <x:is>
          <x:t xml:space="preserve">Có thể quan sát trạng thái của tâm như một trạng thái đang có mặt, thay vì mặc định đó là toàn bộ con người mình.</x:t>
        </x:is>
      </x:c>
      <x:c r="Q746" t="inlineStr">
        <x:is>
          <x:t xml:space="preserve">Majjhima Nikāya / Early Buddhist Pāḷi tradition</x:t>
        </x:is>
      </x:c>
      <x:c r="R746" t="inlineStr">
        <x:is>
          <x:t xml:space="preserve">Early Buddhist / Pāḷi tradition</x:t>
        </x:is>
      </x:c>
      <x:c r="S746" t="inlineStr">
        <x:is>
          <x:t xml:space="preserve">MN 10 Satipaṭṭhānasutta</x:t>
        </x:is>
      </x:c>
      <x:c r="T746" t="inlineStr">
        <x:is>
          <x:t xml:space="preserve">Opening</x:t>
        </x:is>
      </x:c>
      <x:c r="U746" t="inlineStr">
        <x:is>
          <x:t xml:space="preserve">https://suttacentral.net/mn10/pli/ms</x:t>
        </x:is>
      </x:c>
      <x:c r="V746" t="inlineStr">
        <x:is>
          <x:t xml:space="preserve">Primary canonical Pāḷi text — SuttaCentral</x:t>
        </x:is>
      </x:c>
      <x:c r="W746" t="inlineStr">
        <x:is>
          <x:t xml:space="preserve">Canonical passage</x:t>
        </x:is>
      </x:c>
      <x:c r="X746" t="inlineStr">
        <x:is>
          <x:t xml:space="preserve">A - primary Pāḷi source located</x:t>
        </x:is>
      </x:c>
      <x:c r="Y746" t="inlineStr">
        <x:is>
          <x:t xml:space="preserve">Exact Pāḷi retained only where passage-level wording was directly verified. Bracketed rows are deliberately not presented as verbatim quotations.</x:t>
        </x:is>
      </x:c>
      <x:c r="Z746" t="inlineStr">
        <x:is>
          <x:t xml:space="preserve">Ancient canonical text public domain; modern translations have separate rights</x:t>
        </x:is>
      </x:c>
      <x:c r="AA746" t="inlineStr">
        <x:is>
          <x:t xml:space="preserve">Use primary Pāḷi + fresh Selflo Vietnamese working translation. Do not copy modern copyrighted translations into Release.</x:t>
        </x:is>
      </x:c>
      <x:c r="AB746" t="inlineStr">
        <x:is>
          <x:t xml:space="preserve">High</x:t>
        </x:is>
      </x:c>
      <x:c r="AC746" t="inlineStr">
        <x:is>
          <x:t xml:space="preserve">Day 12 research candidate; requires owner/editorial review before Release.</x:t>
        </x:is>
      </x:c>
      <x:c r="AD746" t="inlineStr">
        <x:is>
          <x:t xml:space="preserve">Medium — religious/ascetic context requires careful adaptation</x:t>
        </x:is>
      </x:c>
      <x:c r="AE746" t="inlineStr">
        <x:is>
          <x:t xml:space="preserve">Needs semantic dedupe against Day 11 Dhammapada and existing Buddhist content</x:t>
        </x:is>
      </x:c>
      <x:c r="AH746" t="inlineStr">
        <x:is>
          <x:t xml:space="preserve">No</x:t>
        </x:is>
      </x:c>
      <x:c r="AI746" t="inlineStr">
        <x:is>
          <x:t xml:space="preserve">Not reviewed</x:t>
        </x:is>
      </x:c>
      <x:c r="AJ746" t="inlineStr">
        <x:is>
          <x:t xml:space="preserve">Research only</x:t>
        </x:is>
      </x:c>
      <x:c r="AK746" t="inlineStr">
        <x:is>
          <x:t xml:space="preserve">Research Pool</x:t>
        </x:is>
      </x:c>
      <x:c r="AL746" t="n">
        <x:v>12</x:v>
      </x:c>
      <x:c r="AM746" t="inlineStr">
        <x:is>
          <x:t xml:space="preserve">ChatGPT research</x:t>
        </x:is>
      </x:c>
      <x:c r="AN746" t="inlineStr">
        <x:is>
          <x:t xml:space="preserve">2026-09-18</x:t>
        </x:is>
      </x:c>
      <x:c r="AO746" t="inlineStr">
        <x:is>
          <x:t xml:space="preserve">Selected-sutta Day 12 scope. Preserve doctrinal context; do not silently turn contemplative teachings into clinical mental-health claims.</x:t>
        </x:is>
      </x:c>
    </x:row>
    <x:row r="747">
      <x:c r="A747" t="inlineStr">
        <x:is>
          <x:t xml:space="preserve">research.mn.day12.mn19_01</x:t>
        </x:is>
      </x:c>
      <x:c r="B747" t="inlineStr">
        <x:is>
          <x:t xml:space="preserve">Collected</x:t>
        </x:is>
      </x:c>
      <x:c r="C747" t="inlineStr">
        <x:is>
          <x:t xml:space="preserve">Nội tâm &amp; hiểu mình</x:t>
        </x:is>
      </x:c>
      <x:c r="D747" t="inlineStr">
        <x:is>
          <x:t xml:space="preserve">Day 12 / Majjhima Nikāya — selected suttas</x:t>
        </x:is>
      </x:c>
      <x:c r="F747" t="inlineStr">
        <x:is>
          <x:t xml:space="preserve">Thought patterns</x:t>
        </x:is>
      </x:c>
      <x:c r="G747" t="inlineStr">
        <x:is>
          <x:t xml:space="preserve">Mind / Judgment</x:t>
        </x:is>
      </x:c>
      <x:c r="K747" t="inlineStr">
        <x:is>
          <x:t xml:space="preserve">Recognize</x:t>
        </x:is>
      </x:c>
      <x:c r="M747" t="inlineStr">
        <x:is>
          <x:t xml:space="preserve">Canonical passage</x:t>
        </x:is>
      </x:c>
      <x:c r="N747" t="inlineStr">
        <x:is>
          <x:t xml:space="preserve">Dvidhā katvā vitakke vihareyyan’ti.</x:t>
        </x:is>
      </x:c>
      <x:c r="O747" t="inlineStr">
        <x:is>
          <x:t xml:space="preserve">Pāḷi</x:t>
        </x:is>
      </x:c>
      <x:c r="P747" t="inlineStr">
        <x:is>
          <x:t xml:space="preserve">Một cách nhìn là tách các dòng suy nghĩ ra để thấy chúng đang dẫn mình về những hướng khác nhau.</x:t>
        </x:is>
      </x:c>
      <x:c r="Q747" t="inlineStr">
        <x:is>
          <x:t xml:space="preserve">Majjhima Nikāya / Early Buddhist Pāḷi tradition</x:t>
        </x:is>
      </x:c>
      <x:c r="R747" t="inlineStr">
        <x:is>
          <x:t xml:space="preserve">Early Buddhist / Pāḷi tradition</x:t>
        </x:is>
      </x:c>
      <x:c r="S747" t="inlineStr">
        <x:is>
          <x:t xml:space="preserve">MN 19 Dvedhāvitakkasutta</x:t>
        </x:is>
      </x:c>
      <x:c r="T747" t="inlineStr">
        <x:is>
          <x:t xml:space="preserve">SC 2</x:t>
        </x:is>
      </x:c>
      <x:c r="U747" t="inlineStr">
        <x:is>
          <x:t xml:space="preserve">https://suttacentral.net/mn19/pli/ms</x:t>
        </x:is>
      </x:c>
      <x:c r="V747" t="inlineStr">
        <x:is>
          <x:t xml:space="preserve">Primary canonical Pāḷi text — SuttaCentral</x:t>
        </x:is>
      </x:c>
      <x:c r="W747" t="inlineStr">
        <x:is>
          <x:t xml:space="preserve">Canonical passage</x:t>
        </x:is>
      </x:c>
      <x:c r="X747" t="inlineStr">
        <x:is>
          <x:t xml:space="preserve">A - primary Pāḷi source located</x:t>
        </x:is>
      </x:c>
      <x:c r="Y747" t="inlineStr">
        <x:is>
          <x:t xml:space="preserve">Exact Pāḷi retained only where passage-level wording was directly verified. Bracketed rows are deliberately not presented as verbatim quotations.</x:t>
        </x:is>
      </x:c>
      <x:c r="Z747" t="inlineStr">
        <x:is>
          <x:t xml:space="preserve">Ancient canonical text public domain; modern translations have separate rights</x:t>
        </x:is>
      </x:c>
      <x:c r="AA747" t="inlineStr">
        <x:is>
          <x:t xml:space="preserve">Use primary Pāḷi + fresh Selflo Vietnamese working translation. Do not copy modern copyrighted translations into Release.</x:t>
        </x:is>
      </x:c>
      <x:c r="AB747" t="inlineStr">
        <x:is>
          <x:t xml:space="preserve">High</x:t>
        </x:is>
      </x:c>
      <x:c r="AC747" t="inlineStr">
        <x:is>
          <x:t xml:space="preserve">Day 12 research candidate; requires owner/editorial review before Release.</x:t>
        </x:is>
      </x:c>
      <x:c r="AD747" t="inlineStr">
        <x:is>
          <x:t xml:space="preserve">Medium — religious/ascetic context requires careful adaptation</x:t>
        </x:is>
      </x:c>
      <x:c r="AE747" t="inlineStr">
        <x:is>
          <x:t xml:space="preserve">Needs semantic dedupe against Day 11 Dhammapada and existing Buddhist content</x:t>
        </x:is>
      </x:c>
      <x:c r="AH747" t="inlineStr">
        <x:is>
          <x:t xml:space="preserve">No</x:t>
        </x:is>
      </x:c>
      <x:c r="AI747" t="inlineStr">
        <x:is>
          <x:t xml:space="preserve">Not reviewed</x:t>
        </x:is>
      </x:c>
      <x:c r="AJ747" t="inlineStr">
        <x:is>
          <x:t xml:space="preserve">Research only</x:t>
        </x:is>
      </x:c>
      <x:c r="AK747" t="inlineStr">
        <x:is>
          <x:t xml:space="preserve">Research Pool</x:t>
        </x:is>
      </x:c>
      <x:c r="AL747" t="n">
        <x:v>12</x:v>
      </x:c>
      <x:c r="AM747" t="inlineStr">
        <x:is>
          <x:t xml:space="preserve">ChatGPT research</x:t>
        </x:is>
      </x:c>
      <x:c r="AN747" t="inlineStr">
        <x:is>
          <x:t xml:space="preserve">2026-09-18</x:t>
        </x:is>
      </x:c>
      <x:c r="AO747" t="inlineStr">
        <x:is>
          <x:t xml:space="preserve">Selected-sutta Day 12 scope. Preserve doctrinal context; do not silently turn contemplative teachings into clinical mental-health claims.</x:t>
        </x:is>
      </x:c>
    </x:row>
    <x:row r="748">
      <x:c r="A748" t="inlineStr">
        <x:is>
          <x:t xml:space="preserve">research.mn.day12.mn19_02</x:t>
        </x:is>
      </x:c>
      <x:c r="B748" t="inlineStr">
        <x:is>
          <x:t xml:space="preserve">Collected</x:t>
        </x:is>
      </x:c>
      <x:c r="C748" t="inlineStr">
        <x:is>
          <x:t xml:space="preserve">Nội tâm &amp; hiểu mình</x:t>
        </x:is>
      </x:c>
      <x:c r="D748" t="inlineStr">
        <x:is>
          <x:t xml:space="preserve">Day 12 / Majjhima Nikāya — selected suttas</x:t>
        </x:is>
      </x:c>
      <x:c r="F748" t="inlineStr">
        <x:is>
          <x:t xml:space="preserve">Thought ≠ self</x:t>
        </x:is>
      </x:c>
      <x:c r="G748" t="inlineStr">
        <x:is>
          <x:t xml:space="preserve">Mind / Awareness</x:t>
        </x:is>
      </x:c>
      <x:c r="K748" t="inlineStr">
        <x:is>
          <x:t xml:space="preserve">Name</x:t>
        </x:is>
      </x:c>
      <x:c r="M748" t="inlineStr">
        <x:is>
          <x:t xml:space="preserve">Canonical passage</x:t>
        </x:is>
      </x:c>
      <x:c r="N748" t="inlineStr">
        <x:is>
          <x:t xml:space="preserve">uppajji kāmavitakko. So evaṁ pajānāmi: ‘uppanno kho me ayaṁ kāmavitakko’.</x:t>
        </x:is>
      </x:c>
      <x:c r="O748" t="inlineStr">
        <x:is>
          <x:t xml:space="preserve">Pāḷi</x:t>
        </x:is>
      </x:c>
      <x:c r="P748" t="inlineStr">
        <x:is>
          <x:t xml:space="preserve">Khi một ý nghĩ xuất hiện, bước đầu có thể chỉ là nhận ra: một ý nghĩ như thế đang có mặt.</x:t>
        </x:is>
      </x:c>
      <x:c r="Q748" t="inlineStr">
        <x:is>
          <x:t xml:space="preserve">Majjhima Nikāya / Early Buddhist Pāḷi tradition</x:t>
        </x:is>
      </x:c>
      <x:c r="R748" t="inlineStr">
        <x:is>
          <x:t xml:space="preserve">Early Buddhist / Pāḷi tradition</x:t>
        </x:is>
      </x:c>
      <x:c r="S748" t="inlineStr">
        <x:is>
          <x:t xml:space="preserve">MN 19 Dvedhāvitakkasutta</x:t>
        </x:is>
      </x:c>
      <x:c r="T748" t="inlineStr">
        <x:is>
          <x:t xml:space="preserve">SC 3</x:t>
        </x:is>
      </x:c>
      <x:c r="U748" t="inlineStr">
        <x:is>
          <x:t xml:space="preserve">https://suttacentral.net/mn19/pli/ms</x:t>
        </x:is>
      </x:c>
      <x:c r="V748" t="inlineStr">
        <x:is>
          <x:t xml:space="preserve">Primary canonical Pāḷi text — SuttaCentral</x:t>
        </x:is>
      </x:c>
      <x:c r="W748" t="inlineStr">
        <x:is>
          <x:t xml:space="preserve">Canonical passage</x:t>
        </x:is>
      </x:c>
      <x:c r="X748" t="inlineStr">
        <x:is>
          <x:t xml:space="preserve">A - primary Pāḷi source located</x:t>
        </x:is>
      </x:c>
      <x:c r="Y748" t="inlineStr">
        <x:is>
          <x:t xml:space="preserve">Exact Pāḷi retained only where passage-level wording was directly verified. Bracketed rows are deliberately not presented as verbatim quotations.</x:t>
        </x:is>
      </x:c>
      <x:c r="Z748" t="inlineStr">
        <x:is>
          <x:t xml:space="preserve">Ancient canonical text public domain; modern translations have separate rights</x:t>
        </x:is>
      </x:c>
      <x:c r="AA748" t="inlineStr">
        <x:is>
          <x:t xml:space="preserve">Use primary Pāḷi + fresh Selflo Vietnamese working translation. Do not copy modern copyrighted translations into Release.</x:t>
        </x:is>
      </x:c>
      <x:c r="AB748" t="inlineStr">
        <x:is>
          <x:t xml:space="preserve">High</x:t>
        </x:is>
      </x:c>
      <x:c r="AC748" t="inlineStr">
        <x:is>
          <x:t xml:space="preserve">Day 12 research candidate; requires owner/editorial review before Release.</x:t>
        </x:is>
      </x:c>
      <x:c r="AD748" t="inlineStr">
        <x:is>
          <x:t xml:space="preserve">Medium — religious/ascetic context requires careful adaptation</x:t>
        </x:is>
      </x:c>
      <x:c r="AE748" t="inlineStr">
        <x:is>
          <x:t xml:space="preserve">Needs semantic dedupe against Day 11 Dhammapada and existing Buddhist content</x:t>
        </x:is>
      </x:c>
      <x:c r="AH748" t="inlineStr">
        <x:is>
          <x:t xml:space="preserve">No</x:t>
        </x:is>
      </x:c>
      <x:c r="AI748" t="inlineStr">
        <x:is>
          <x:t xml:space="preserve">Not reviewed</x:t>
        </x:is>
      </x:c>
      <x:c r="AJ748" t="inlineStr">
        <x:is>
          <x:t xml:space="preserve">Research only</x:t>
        </x:is>
      </x:c>
      <x:c r="AK748" t="inlineStr">
        <x:is>
          <x:t xml:space="preserve">Research Pool</x:t>
        </x:is>
      </x:c>
      <x:c r="AL748" t="n">
        <x:v>12</x:v>
      </x:c>
      <x:c r="AM748" t="inlineStr">
        <x:is>
          <x:t xml:space="preserve">ChatGPT research</x:t>
        </x:is>
      </x:c>
      <x:c r="AN748" t="inlineStr">
        <x:is>
          <x:t xml:space="preserve">2026-09-18</x:t>
        </x:is>
      </x:c>
      <x:c r="AO748" t="inlineStr">
        <x:is>
          <x:t xml:space="preserve">Selected-sutta Day 12 scope. Preserve doctrinal context; do not silently turn contemplative teachings into clinical mental-health claims.</x:t>
        </x:is>
      </x:c>
    </x:row>
    <x:row r="749">
      <x:c r="A749" t="inlineStr">
        <x:is>
          <x:t xml:space="preserve">research.mn.day12.mn19_03</x:t>
        </x:is>
      </x:c>
      <x:c r="B749" t="inlineStr">
        <x:is>
          <x:t xml:space="preserve">Collected</x:t>
        </x:is>
      </x:c>
      <x:c r="C749" t="inlineStr">
        <x:is>
          <x:t xml:space="preserve">Nội tâm &amp; hiểu mình</x:t>
        </x:is>
      </x:c>
      <x:c r="D749" t="inlineStr">
        <x:is>
          <x:t xml:space="preserve">Day 12 / Majjhima Nikāya — selected suttas</x:t>
        </x:is>
      </x:c>
      <x:c r="F749" t="inlineStr">
        <x:is>
          <x:t xml:space="preserve">Evaluate by consequence</x:t>
        </x:is>
      </x:c>
      <x:c r="G749" t="inlineStr">
        <x:is>
          <x:t xml:space="preserve">Judgment / Relationships</x:t>
        </x:is>
      </x:c>
      <x:c r="K749" t="inlineStr">
        <x:is>
          <x:t xml:space="preserve">Open question</x:t>
        </x:is>
      </x:c>
      <x:c r="M749" t="inlineStr">
        <x:is>
          <x:t xml:space="preserve">Canonical passage</x:t>
        </x:is>
      </x:c>
      <x:c r="N749" t="inlineStr">
        <x:is>
          <x:t xml:space="preserve">attabyābādhāyapi saṁvattati, parabyābādhāyapi saṁvattati, ubhayabyābādhāyapi saṁvattati.</x:t>
        </x:is>
      </x:c>
      <x:c r="O749" t="inlineStr">
        <x:is>
          <x:t xml:space="preserve">Pāḷi</x:t>
        </x:is>
      </x:c>
      <x:c r="P749" t="inlineStr">
        <x:is>
          <x:t xml:space="preserve">Có thể xem một ý nghĩ đang dẫn tới tác động gì cho mình, cho người khác, và cho cả hai.</x:t>
        </x:is>
      </x:c>
      <x:c r="Q749" t="inlineStr">
        <x:is>
          <x:t xml:space="preserve">Majjhima Nikāya / Early Buddhist Pāḷi tradition</x:t>
        </x:is>
      </x:c>
      <x:c r="R749" t="inlineStr">
        <x:is>
          <x:t xml:space="preserve">Early Buddhist / Pāḷi tradition</x:t>
        </x:is>
      </x:c>
      <x:c r="S749" t="inlineStr">
        <x:is>
          <x:t xml:space="preserve">MN 19 Dvedhāvitakkasutta</x:t>
        </x:is>
      </x:c>
      <x:c r="T749" t="inlineStr">
        <x:is>
          <x:t xml:space="preserve">SC 3</x:t>
        </x:is>
      </x:c>
      <x:c r="U749" t="inlineStr">
        <x:is>
          <x:t xml:space="preserve">https://suttacentral.net/mn19/pli/ms</x:t>
        </x:is>
      </x:c>
      <x:c r="V749" t="inlineStr">
        <x:is>
          <x:t xml:space="preserve">Primary canonical Pāḷi text — SuttaCentral</x:t>
        </x:is>
      </x:c>
      <x:c r="W749" t="inlineStr">
        <x:is>
          <x:t xml:space="preserve">Canonical passage</x:t>
        </x:is>
      </x:c>
      <x:c r="X749" t="inlineStr">
        <x:is>
          <x:t xml:space="preserve">A - primary Pāḷi source located</x:t>
        </x:is>
      </x:c>
      <x:c r="Y749" t="inlineStr">
        <x:is>
          <x:t xml:space="preserve">Exact Pāḷi retained only where passage-level wording was directly verified. Bracketed rows are deliberately not presented as verbatim quotations.</x:t>
        </x:is>
      </x:c>
      <x:c r="Z749" t="inlineStr">
        <x:is>
          <x:t xml:space="preserve">Ancient canonical text public domain; modern translations have separate rights</x:t>
        </x:is>
      </x:c>
      <x:c r="AA749" t="inlineStr">
        <x:is>
          <x:t xml:space="preserve">Use primary Pāḷi + fresh Selflo Vietnamese working translation. Do not copy modern copyrighted translations into Release.</x:t>
        </x:is>
      </x:c>
      <x:c r="AB749" t="inlineStr">
        <x:is>
          <x:t xml:space="preserve">High</x:t>
        </x:is>
      </x:c>
      <x:c r="AC749" t="inlineStr">
        <x:is>
          <x:t xml:space="preserve">Day 12 research candidate; requires owner/editorial review before Release.</x:t>
        </x:is>
      </x:c>
      <x:c r="AD749" t="inlineStr">
        <x:is>
          <x:t xml:space="preserve">Medium — religious/ascetic context requires careful adaptation</x:t>
        </x:is>
      </x:c>
      <x:c r="AE749" t="inlineStr">
        <x:is>
          <x:t xml:space="preserve">Needs semantic dedupe against Day 11 Dhammapada and existing Buddhist content</x:t>
        </x:is>
      </x:c>
      <x:c r="AH749" t="inlineStr">
        <x:is>
          <x:t xml:space="preserve">No</x:t>
        </x:is>
      </x:c>
      <x:c r="AI749" t="inlineStr">
        <x:is>
          <x:t xml:space="preserve">Not reviewed</x:t>
        </x:is>
      </x:c>
      <x:c r="AJ749" t="inlineStr">
        <x:is>
          <x:t xml:space="preserve">Research only</x:t>
        </x:is>
      </x:c>
      <x:c r="AK749" t="inlineStr">
        <x:is>
          <x:t xml:space="preserve">Research Pool</x:t>
        </x:is>
      </x:c>
      <x:c r="AL749" t="n">
        <x:v>12</x:v>
      </x:c>
      <x:c r="AM749" t="inlineStr">
        <x:is>
          <x:t xml:space="preserve">ChatGPT research</x:t>
        </x:is>
      </x:c>
      <x:c r="AN749" t="inlineStr">
        <x:is>
          <x:t xml:space="preserve">2026-09-18</x:t>
        </x:is>
      </x:c>
      <x:c r="AO749" t="inlineStr">
        <x:is>
          <x:t xml:space="preserve">Selected-sutta Day 12 scope. Preserve doctrinal context; do not silently turn contemplative teachings into clinical mental-health claims.</x:t>
        </x:is>
      </x:c>
    </x:row>
    <x:row r="750">
      <x:c r="A750" t="inlineStr">
        <x:is>
          <x:t xml:space="preserve">research.mn.day12.mn20_01</x:t>
        </x:is>
      </x:c>
      <x:c r="B750" t="inlineStr">
        <x:is>
          <x:t xml:space="preserve">Collected</x:t>
        </x:is>
      </x:c>
      <x:c r="C750" t="inlineStr">
        <x:is>
          <x:t xml:space="preserve">Nội tâm &amp; hiểu mình</x:t>
        </x:is>
      </x:c>
      <x:c r="D750" t="inlineStr">
        <x:is>
          <x:t xml:space="preserve">Day 12 / Majjhima Nikāya — selected suttas</x:t>
        </x:is>
      </x:c>
      <x:c r="F750" t="inlineStr">
        <x:is>
          <x:t xml:space="preserve">Attention switching</x:t>
        </x:is>
      </x:c>
      <x:c r="G750" t="inlineStr">
        <x:is>
          <x:t xml:space="preserve">Attention / Rumination</x:t>
        </x:is>
      </x:c>
      <x:c r="K750" t="inlineStr">
        <x:is>
          <x:t xml:space="preserve">Return agency</x:t>
        </x:is>
      </x:c>
      <x:c r="M750" t="inlineStr">
        <x:is>
          <x:t xml:space="preserve">Canonical passage</x:t>
        </x:is>
      </x:c>
      <x:c r="N750" t="inlineStr">
        <x:is>
          <x:t xml:space="preserve">aññaṁ nimittaṁ manasi kātabbaṁ kusalūpasaṁhitaṁ.</x:t>
        </x:is>
      </x:c>
      <x:c r="O750" t="inlineStr">
        <x:is>
          <x:t xml:space="preserve">Pāḷi</x:t>
        </x:is>
      </x:c>
      <x:c r="P750" t="inlineStr">
        <x:is>
          <x:t xml:space="preserve">Khi tâm bị mắc vào một đối tượng gây hại, một khả năng là chuyển sự chú ý sang một đối tượng khác lành hơn.</x:t>
        </x:is>
      </x:c>
      <x:c r="Q750" t="inlineStr">
        <x:is>
          <x:t xml:space="preserve">Majjhima Nikāya / Early Buddhist Pāḷi tradition</x:t>
        </x:is>
      </x:c>
      <x:c r="R750" t="inlineStr">
        <x:is>
          <x:t xml:space="preserve">Early Buddhist / Pāḷi tradition</x:t>
        </x:is>
      </x:c>
      <x:c r="S750" t="inlineStr">
        <x:is>
          <x:t xml:space="preserve">MN 20 Vitakkasaṇṭhānasutta</x:t>
        </x:is>
      </x:c>
      <x:c r="T750" t="inlineStr">
        <x:is>
          <x:t xml:space="preserve">SC 3</x:t>
        </x:is>
      </x:c>
      <x:c r="U750" t="inlineStr">
        <x:is>
          <x:t xml:space="preserve">https://suttacentral.net/mn20/pli/ms</x:t>
        </x:is>
      </x:c>
      <x:c r="V750" t="inlineStr">
        <x:is>
          <x:t xml:space="preserve">Primary canonical Pāḷi text — SuttaCentral</x:t>
        </x:is>
      </x:c>
      <x:c r="W750" t="inlineStr">
        <x:is>
          <x:t xml:space="preserve">Canonical passage</x:t>
        </x:is>
      </x:c>
      <x:c r="X750" t="inlineStr">
        <x:is>
          <x:t xml:space="preserve">A - primary Pāḷi source located</x:t>
        </x:is>
      </x:c>
      <x:c r="Y750" t="inlineStr">
        <x:is>
          <x:t xml:space="preserve">Exact Pāḷi retained only where passage-level wording was directly verified. Bracketed rows are deliberately not presented as verbatim quotations.</x:t>
        </x:is>
      </x:c>
      <x:c r="Z750" t="inlineStr">
        <x:is>
          <x:t xml:space="preserve">Ancient canonical text public domain; modern translations have separate rights</x:t>
        </x:is>
      </x:c>
      <x:c r="AA750" t="inlineStr">
        <x:is>
          <x:t xml:space="preserve">Use primary Pāḷi + fresh Selflo Vietnamese working translation. Do not copy modern copyrighted translations into Release.</x:t>
        </x:is>
      </x:c>
      <x:c r="AB750" t="inlineStr">
        <x:is>
          <x:t xml:space="preserve">High</x:t>
        </x:is>
      </x:c>
      <x:c r="AC750" t="inlineStr">
        <x:is>
          <x:t xml:space="preserve">Day 12 research candidate; requires owner/editorial review before Release.</x:t>
        </x:is>
      </x:c>
      <x:c r="AD750" t="inlineStr">
        <x:is>
          <x:t xml:space="preserve">Medium — religious/ascetic context requires careful adaptation</x:t>
        </x:is>
      </x:c>
      <x:c r="AE750" t="inlineStr">
        <x:is>
          <x:t xml:space="preserve">Needs semantic dedupe against Day 11 Dhammapada and existing Buddhist content</x:t>
        </x:is>
      </x:c>
      <x:c r="AH750" t="inlineStr">
        <x:is>
          <x:t xml:space="preserve">No</x:t>
        </x:is>
      </x:c>
      <x:c r="AI750" t="inlineStr">
        <x:is>
          <x:t xml:space="preserve">Not reviewed</x:t>
        </x:is>
      </x:c>
      <x:c r="AJ750" t="inlineStr">
        <x:is>
          <x:t xml:space="preserve">Research only</x:t>
        </x:is>
      </x:c>
      <x:c r="AK750" t="inlineStr">
        <x:is>
          <x:t xml:space="preserve">Research Pool</x:t>
        </x:is>
      </x:c>
      <x:c r="AL750" t="n">
        <x:v>12</x:v>
      </x:c>
      <x:c r="AM750" t="inlineStr">
        <x:is>
          <x:t xml:space="preserve">ChatGPT research</x:t>
        </x:is>
      </x:c>
      <x:c r="AN750" t="inlineStr">
        <x:is>
          <x:t xml:space="preserve">2026-09-18</x:t>
        </x:is>
      </x:c>
      <x:c r="AO750" t="inlineStr">
        <x:is>
          <x:t xml:space="preserve">Selected-sutta Day 12 scope. Preserve doctrinal context; do not silently turn contemplative teachings into clinical mental-health claims.</x:t>
        </x:is>
      </x:c>
    </x:row>
    <x:row r="751">
      <x:c r="A751" t="inlineStr">
        <x:is>
          <x:t xml:space="preserve">research.mn.day12.mn20_02</x:t>
        </x:is>
      </x:c>
      <x:c r="B751" t="inlineStr">
        <x:is>
          <x:t xml:space="preserve">Collected</x:t>
        </x:is>
      </x:c>
      <x:c r="C751" t="inlineStr">
        <x:is>
          <x:t xml:space="preserve">Nội tâm &amp; hiểu mình</x:t>
        </x:is>
      </x:c>
      <x:c r="D751" t="inlineStr">
        <x:is>
          <x:t xml:space="preserve">Day 12 / Majjhima Nikāya — selected suttas</x:t>
        </x:is>
      </x:c>
      <x:c r="F751" t="inlineStr">
        <x:is>
          <x:t xml:space="preserve">Different tools for different mental states</x:t>
        </x:is>
      </x:c>
      <x:c r="G751" t="inlineStr">
        <x:is>
          <x:t xml:space="preserve">Rumination / Flexibility</x:t>
        </x:is>
      </x:c>
      <x:c r="K751" t="inlineStr">
        <x:is>
          <x:t xml:space="preserve">Reframe</x:t>
        </x:is>
      </x:c>
      <x:c r="M751" t="inlineStr">
        <x:is>
          <x:t xml:space="preserve">Source-anchored research paraphrase</x:t>
        </x:is>
      </x:c>
      <x:c r="N751" t="inlineStr">
        <x:is>
          <x:t xml:space="preserve">[Pāli passage-level wording not copied in this row; source anchored to MN 20.]</x:t>
        </x:is>
      </x:c>
      <x:c r="O751" t="inlineStr">
        <x:is>
          <x:t xml:space="preserve">Pāḷi source / paraphrase row</x:t>
        </x:is>
      </x:c>
      <x:c r="P751" t="inlineStr">
        <x:is>
          <x:t xml:space="preserve">Không phải mọi suy nghĩ khó đều cần cùng một cách xử lý; bài kinh đưa ra nhiều cách khác nhau tùy việc cách trước có hiệu quả hay không.</x:t>
        </x:is>
      </x:c>
      <x:c r="Q751" t="inlineStr">
        <x:is>
          <x:t xml:space="preserve">Majjhima Nikāya / Early Buddhist Pāḷi tradition</x:t>
        </x:is>
      </x:c>
      <x:c r="R751" t="inlineStr">
        <x:is>
          <x:t xml:space="preserve">Early Buddhist / Pāḷi tradition</x:t>
        </x:is>
      </x:c>
      <x:c r="S751" t="inlineStr">
        <x:is>
          <x:t xml:space="preserve">MN 20 Vitakkasaṇṭhānasutta</x:t>
        </x:is>
      </x:c>
      <x:c r="T751" t="inlineStr">
        <x:is>
          <x:t xml:space="preserve">Five methods</x:t>
        </x:is>
      </x:c>
      <x:c r="U751" t="inlineStr">
        <x:is>
          <x:t xml:space="preserve">https://suttacentral.net/mn20/pli/ms</x:t>
        </x:is>
      </x:c>
      <x:c r="V751" t="inlineStr">
        <x:is>
          <x:t xml:space="preserve">Primary canonical Pāḷi text — SuttaCentral</x:t>
        </x:is>
      </x:c>
      <x:c r="W751" t="inlineStr">
        <x:is>
          <x:t xml:space="preserve">Research paraphrase — NOT direct quote</x:t>
        </x:is>
      </x:c>
      <x:c r="X751" t="inlineStr">
        <x:is>
          <x:t xml:space="preserve">A/B - source/theme verified; wording is editorial paraphrase</x:t>
        </x:is>
      </x:c>
      <x:c r="Y751" t="inlineStr">
        <x:is>
          <x:t xml:space="preserve">Exact Pāḷi retained only where passage-level wording was directly verified. Bracketed rows are deliberately not presented as verbatim quotations.</x:t>
        </x:is>
      </x:c>
      <x:c r="Z751" t="inlineStr">
        <x:is>
          <x:t xml:space="preserve">Ancient canonical text public domain; modern translations have separate rights</x:t>
        </x:is>
      </x:c>
      <x:c r="AA751" t="inlineStr">
        <x:is>
          <x:t xml:space="preserve">Use primary Pāḷi + fresh Selflo Vietnamese working translation. Do not copy modern copyrighted translations into Release.</x:t>
        </x:is>
      </x:c>
      <x:c r="AB751" t="inlineStr">
        <x:is>
          <x:t xml:space="preserve">High</x:t>
        </x:is>
      </x:c>
      <x:c r="AC751" t="inlineStr">
        <x:is>
          <x:t xml:space="preserve">Day 12 research candidate; requires owner/editorial review before Release.</x:t>
        </x:is>
      </x:c>
      <x:c r="AD751" t="inlineStr">
        <x:is>
          <x:t xml:space="preserve">Medium — religious/ascetic context requires careful adaptation</x:t>
        </x:is>
      </x:c>
      <x:c r="AE751" t="inlineStr">
        <x:is>
          <x:t xml:space="preserve">Needs semantic dedupe against Day 11 Dhammapada and existing Buddhist content</x:t>
        </x:is>
      </x:c>
      <x:c r="AH751" t="inlineStr">
        <x:is>
          <x:t xml:space="preserve">No</x:t>
        </x:is>
      </x:c>
      <x:c r="AI751" t="inlineStr">
        <x:is>
          <x:t xml:space="preserve">Not reviewed</x:t>
        </x:is>
      </x:c>
      <x:c r="AJ751" t="inlineStr">
        <x:is>
          <x:t xml:space="preserve">Research only</x:t>
        </x:is>
      </x:c>
      <x:c r="AK751" t="inlineStr">
        <x:is>
          <x:t xml:space="preserve">Research Pool</x:t>
        </x:is>
      </x:c>
      <x:c r="AL751" t="n">
        <x:v>12</x:v>
      </x:c>
      <x:c r="AM751" t="inlineStr">
        <x:is>
          <x:t xml:space="preserve">ChatGPT research</x:t>
        </x:is>
      </x:c>
      <x:c r="AN751" t="inlineStr">
        <x:is>
          <x:t xml:space="preserve">2026-09-18</x:t>
        </x:is>
      </x:c>
      <x:c r="AO751" t="inlineStr">
        <x:is>
          <x:t xml:space="preserve">Selected-sutta Day 12 scope. Preserve doctrinal context; do not silently turn contemplative teachings into clinical mental-health claims.</x:t>
        </x:is>
      </x:c>
    </x:row>
    <x:row r="752">
      <x:c r="A752" t="inlineStr">
        <x:is>
          <x:t xml:space="preserve">research.mn.day12.mn21_01</x:t>
        </x:is>
      </x:c>
      <x:c r="B752" t="inlineStr">
        <x:is>
          <x:t xml:space="preserve">Collected</x:t>
        </x:is>
      </x:c>
      <x:c r="C752" t="inlineStr">
        <x:is>
          <x:t xml:space="preserve">Nội tâm &amp; hiểu mình</x:t>
        </x:is>
      </x:c>
      <x:c r="D752" t="inlineStr">
        <x:is>
          <x:t xml:space="preserve">Day 12 / Majjhima Nikāya — selected suttas</x:t>
        </x:is>
      </x:c>
      <x:c r="F752" t="inlineStr">
        <x:is>
          <x:t xml:space="preserve">Response under provocation</x:t>
        </x:is>
      </x:c>
      <x:c r="G752" t="inlineStr">
        <x:is>
          <x:t xml:space="preserve">Anger / Agency</x:t>
        </x:is>
      </x:c>
      <x:c r="K752" t="inlineStr">
        <x:is>
          <x:t xml:space="preserve">Return agency</x:t>
        </x:is>
      </x:c>
      <x:c r="M752" t="inlineStr">
        <x:is>
          <x:t xml:space="preserve">Source-anchored research paraphrase</x:t>
        </x:is>
      </x:c>
      <x:c r="N752" t="inlineStr">
        <x:is>
          <x:t xml:space="preserve">[Pāli passage-level wording not copied in this row; source anchored to MN 21.]</x:t>
        </x:is>
      </x:c>
      <x:c r="O752" t="inlineStr">
        <x:is>
          <x:t xml:space="preserve">Pāḷi source / paraphrase row</x:t>
        </x:is>
      </x:c>
      <x:c r="P752" t="inlineStr">
        <x:is>
          <x:t xml:space="preserve">Điều người khác nói hay làm không hoàn toàn quyết định mình sẽ nuôi loại tâm nào để đáp lại.</x:t>
        </x:is>
      </x:c>
      <x:c r="Q752" t="inlineStr">
        <x:is>
          <x:t xml:space="preserve">Majjhima Nikāya / Early Buddhist Pāḷi tradition</x:t>
        </x:is>
      </x:c>
      <x:c r="R752" t="inlineStr">
        <x:is>
          <x:t xml:space="preserve">Early Buddhist / Pāḷi tradition</x:t>
        </x:is>
      </x:c>
      <x:c r="S752" t="inlineStr">
        <x:is>
          <x:t xml:space="preserve">MN 21 Kakacūpamasutta</x:t>
        </x:is>
      </x:c>
      <x:c r="T752" t="inlineStr">
        <x:is>
          <x:t xml:space="preserve">Simile of the saw</x:t>
        </x:is>
      </x:c>
      <x:c r="U752" t="inlineStr">
        <x:is>
          <x:t xml:space="preserve">https://suttacentral.net/mn21/pli/ms</x:t>
        </x:is>
      </x:c>
      <x:c r="V752" t="inlineStr">
        <x:is>
          <x:t xml:space="preserve">Primary canonical Pāḷi text — SuttaCentral</x:t>
        </x:is>
      </x:c>
      <x:c r="W752" t="inlineStr">
        <x:is>
          <x:t xml:space="preserve">Research paraphrase — NOT direct quote</x:t>
        </x:is>
      </x:c>
      <x:c r="X752" t="inlineStr">
        <x:is>
          <x:t xml:space="preserve">A/B - source/theme verified; wording is editorial paraphrase</x:t>
        </x:is>
      </x:c>
      <x:c r="Y752" t="inlineStr">
        <x:is>
          <x:t xml:space="preserve">Exact Pāḷi retained only where passage-level wording was directly verified. Bracketed rows are deliberately not presented as verbatim quotations.</x:t>
        </x:is>
      </x:c>
      <x:c r="Z752" t="inlineStr">
        <x:is>
          <x:t xml:space="preserve">Ancient canonical text public domain; modern translations have separate rights</x:t>
        </x:is>
      </x:c>
      <x:c r="AA752" t="inlineStr">
        <x:is>
          <x:t xml:space="preserve">Use primary Pāḷi + fresh Selflo Vietnamese working translation. Do not copy modern copyrighted translations into Release.</x:t>
        </x:is>
      </x:c>
      <x:c r="AB752" t="inlineStr">
        <x:is>
          <x:t xml:space="preserve">Medium</x:t>
        </x:is>
      </x:c>
      <x:c r="AC752" t="inlineStr">
        <x:is>
          <x:t xml:space="preserve">Day 12 research candidate; requires owner/editorial review before Release.</x:t>
        </x:is>
      </x:c>
      <x:c r="AD752" t="inlineStr">
        <x:is>
          <x:t xml:space="preserve">Medium — religious/ascetic context requires careful adaptation</x:t>
        </x:is>
      </x:c>
      <x:c r="AE752" t="inlineStr">
        <x:is>
          <x:t xml:space="preserve">Needs semantic dedupe against Day 11 Dhammapada and existing Buddhist content</x:t>
        </x:is>
      </x:c>
      <x:c r="AH752" t="inlineStr">
        <x:is>
          <x:t xml:space="preserve">No</x:t>
        </x:is>
      </x:c>
      <x:c r="AI752" t="inlineStr">
        <x:is>
          <x:t xml:space="preserve">Not reviewed</x:t>
        </x:is>
      </x:c>
      <x:c r="AJ752" t="inlineStr">
        <x:is>
          <x:t xml:space="preserve">Research only</x:t>
        </x:is>
      </x:c>
      <x:c r="AK752" t="inlineStr">
        <x:is>
          <x:t xml:space="preserve">Research Pool</x:t>
        </x:is>
      </x:c>
      <x:c r="AL752" t="n">
        <x:v>12</x:v>
      </x:c>
      <x:c r="AM752" t="inlineStr">
        <x:is>
          <x:t xml:space="preserve">ChatGPT research</x:t>
        </x:is>
      </x:c>
      <x:c r="AN752" t="inlineStr">
        <x:is>
          <x:t xml:space="preserve">2026-09-18</x:t>
        </x:is>
      </x:c>
      <x:c r="AO752" t="inlineStr">
        <x:is>
          <x:t xml:space="preserve">Selected-sutta Day 12 scope. Preserve doctrinal context; do not silently turn contemplative teachings into clinical mental-health claims.</x:t>
        </x:is>
      </x:c>
    </x:row>
    <x:row r="753">
      <x:c r="A753" t="inlineStr">
        <x:is>
          <x:t xml:space="preserve">research.mn.day12.mn21_02</x:t>
        </x:is>
      </x:c>
      <x:c r="B753" t="inlineStr">
        <x:is>
          <x:t xml:space="preserve">Collected</x:t>
        </x:is>
      </x:c>
      <x:c r="C753" t="inlineStr">
        <x:is>
          <x:t xml:space="preserve">Nội tâm &amp; hiểu mình</x:t>
        </x:is>
      </x:c>
      <x:c r="D753" t="inlineStr">
        <x:is>
          <x:t xml:space="preserve">Day 12 / Majjhima Nikāya — selected suttas</x:t>
        </x:is>
      </x:c>
      <x:c r="F753" t="inlineStr">
        <x:is>
          <x:t xml:space="preserve">Speech and response</x:t>
        </x:is>
      </x:c>
      <x:c r="G753" t="inlineStr">
        <x:is>
          <x:t xml:space="preserve">Relationships / Agency</x:t>
        </x:is>
      </x:c>
      <x:c r="K753" t="inlineStr">
        <x:is>
          <x:t xml:space="preserve">Distinguish</x:t>
        </x:is>
      </x:c>
      <x:c r="M753" t="inlineStr">
        <x:is>
          <x:t xml:space="preserve">Source-anchored research paraphrase</x:t>
        </x:is>
      </x:c>
      <x:c r="N753" t="inlineStr">
        <x:is>
          <x:t xml:space="preserve">[Pāli passage-level wording not copied in this row; source anchored to MN 21.]</x:t>
        </x:is>
      </x:c>
      <x:c r="O753" t="inlineStr">
        <x:is>
          <x:t xml:space="preserve">Pāḷi source / paraphrase row</x:t>
        </x:is>
      </x:c>
      <x:c r="P753" t="inlineStr">
        <x:is>
          <x:t xml:space="preserve">Lời nói đến với mình có thể đúng lúc hoặc sai lúc, thật hoặc không thật, dịu hoặc thô; phản ứng của mình vẫn là một lớp khác.</x:t>
        </x:is>
      </x:c>
      <x:c r="Q753" t="inlineStr">
        <x:is>
          <x:t xml:space="preserve">Majjhima Nikāya / Early Buddhist Pāḷi tradition</x:t>
        </x:is>
      </x:c>
      <x:c r="R753" t="inlineStr">
        <x:is>
          <x:t xml:space="preserve">Early Buddhist / Pāḷi tradition</x:t>
        </x:is>
      </x:c>
      <x:c r="S753" t="inlineStr">
        <x:is>
          <x:t xml:space="preserve">MN 21 Kakacūpamasutta</x:t>
        </x:is>
      </x:c>
      <x:c r="T753" t="inlineStr">
        <x:is>
          <x:t xml:space="preserve">Speech training</x:t>
        </x:is>
      </x:c>
      <x:c r="U753" t="inlineStr">
        <x:is>
          <x:t xml:space="preserve">https://suttacentral.net/mn21/pli/ms</x:t>
        </x:is>
      </x:c>
      <x:c r="V753" t="inlineStr">
        <x:is>
          <x:t xml:space="preserve">Primary canonical Pāḷi text — SuttaCentral</x:t>
        </x:is>
      </x:c>
      <x:c r="W753" t="inlineStr">
        <x:is>
          <x:t xml:space="preserve">Research paraphrase — NOT direct quote</x:t>
        </x:is>
      </x:c>
      <x:c r="X753" t="inlineStr">
        <x:is>
          <x:t xml:space="preserve">A/B - source/theme verified; wording is editorial paraphrase</x:t>
        </x:is>
      </x:c>
      <x:c r="Y753" t="inlineStr">
        <x:is>
          <x:t xml:space="preserve">Exact Pāḷi retained only where passage-level wording was directly verified. Bracketed rows are deliberately not presented as verbatim quotations.</x:t>
        </x:is>
      </x:c>
      <x:c r="Z753" t="inlineStr">
        <x:is>
          <x:t xml:space="preserve">Ancient canonical text public domain; modern translations have separate rights</x:t>
        </x:is>
      </x:c>
      <x:c r="AA753" t="inlineStr">
        <x:is>
          <x:t xml:space="preserve">Use primary Pāḷi + fresh Selflo Vietnamese working translation. Do not copy modern copyrighted translations into Release.</x:t>
        </x:is>
      </x:c>
      <x:c r="AB753" t="inlineStr">
        <x:is>
          <x:t xml:space="preserve">High</x:t>
        </x:is>
      </x:c>
      <x:c r="AC753" t="inlineStr">
        <x:is>
          <x:t xml:space="preserve">Day 12 research candidate; requires owner/editorial review before Release.</x:t>
        </x:is>
      </x:c>
      <x:c r="AD753" t="inlineStr">
        <x:is>
          <x:t xml:space="preserve">Medium — religious/ascetic context requires careful adaptation</x:t>
        </x:is>
      </x:c>
      <x:c r="AE753" t="inlineStr">
        <x:is>
          <x:t xml:space="preserve">Needs semantic dedupe against Day 11 Dhammapada and existing Buddhist content</x:t>
        </x:is>
      </x:c>
      <x:c r="AH753" t="inlineStr">
        <x:is>
          <x:t xml:space="preserve">No</x:t>
        </x:is>
      </x:c>
      <x:c r="AI753" t="inlineStr">
        <x:is>
          <x:t xml:space="preserve">Not reviewed</x:t>
        </x:is>
      </x:c>
      <x:c r="AJ753" t="inlineStr">
        <x:is>
          <x:t xml:space="preserve">Research only</x:t>
        </x:is>
      </x:c>
      <x:c r="AK753" t="inlineStr">
        <x:is>
          <x:t xml:space="preserve">Research Pool</x:t>
        </x:is>
      </x:c>
      <x:c r="AL753" t="n">
        <x:v>12</x:v>
      </x:c>
      <x:c r="AM753" t="inlineStr">
        <x:is>
          <x:t xml:space="preserve">ChatGPT research</x:t>
        </x:is>
      </x:c>
      <x:c r="AN753" t="inlineStr">
        <x:is>
          <x:t xml:space="preserve">2026-09-18</x:t>
        </x:is>
      </x:c>
      <x:c r="AO753" t="inlineStr">
        <x:is>
          <x:t xml:space="preserve">Selected-sutta Day 12 scope. Preserve doctrinal context; do not silently turn contemplative teachings into clinical mental-health claims.</x:t>
        </x:is>
      </x:c>
    </x:row>
    <x:row r="754">
      <x:c r="A754" t="inlineStr">
        <x:is>
          <x:t xml:space="preserve">research.mn.day12.mn22_01</x:t>
        </x:is>
      </x:c>
      <x:c r="B754" t="inlineStr">
        <x:is>
          <x:t xml:space="preserve">Collected</x:t>
        </x:is>
      </x:c>
      <x:c r="C754" t="inlineStr">
        <x:is>
          <x:t xml:space="preserve">Nội tâm &amp; hiểu mình</x:t>
        </x:is>
      </x:c>
      <x:c r="D754" t="inlineStr">
        <x:is>
          <x:t xml:space="preserve">Day 12 / Majjhima Nikāya — selected suttas</x:t>
        </x:is>
      </x:c>
      <x:c r="F754" t="inlineStr">
        <x:is>
          <x:t xml:space="preserve">Misusing knowledge</x:t>
        </x:is>
      </x:c>
      <x:c r="G754" t="inlineStr">
        <x:is>
          <x:t xml:space="preserve">Learning / Judgment</x:t>
        </x:is>
      </x:c>
      <x:c r="K754" t="inlineStr">
        <x:is>
          <x:t xml:space="preserve">Distinguish</x:t>
        </x:is>
      </x:c>
      <x:c r="M754" t="inlineStr">
        <x:is>
          <x:t xml:space="preserve">Source-anchored research paraphrase</x:t>
        </x:is>
      </x:c>
      <x:c r="N754" t="inlineStr">
        <x:is>
          <x:t xml:space="preserve">[Pāli passage-level wording not copied in this row; source anchored to MN 22.]</x:t>
        </x:is>
      </x:c>
      <x:c r="O754" t="inlineStr">
        <x:is>
          <x:t xml:space="preserve">Pāḷi source / paraphrase row</x:t>
        </x:is>
      </x:c>
      <x:c r="P754" t="inlineStr">
        <x:is>
          <x:t xml:space="preserve">Một điều đúng vẫn có thể gây hại khi bị nắm sai cách—giống như bắt rắn sai chỗ.</x:t>
        </x:is>
      </x:c>
      <x:c r="Q754" t="inlineStr">
        <x:is>
          <x:t xml:space="preserve">Majjhima Nikāya / Early Buddhist Pāḷi tradition</x:t>
        </x:is>
      </x:c>
      <x:c r="R754" t="inlineStr">
        <x:is>
          <x:t xml:space="preserve">Early Buddhist / Pāḷi tradition</x:t>
        </x:is>
      </x:c>
      <x:c r="S754" t="inlineStr">
        <x:is>
          <x:t xml:space="preserve">MN 22 Alagaddūpamasutta</x:t>
        </x:is>
      </x:c>
      <x:c r="T754" t="inlineStr">
        <x:is>
          <x:t xml:space="preserve">Snake simile</x:t>
        </x:is>
      </x:c>
      <x:c r="U754" t="inlineStr">
        <x:is>
          <x:t xml:space="preserve">https://suttacentral.net/mn22/pli/ms</x:t>
        </x:is>
      </x:c>
      <x:c r="V754" t="inlineStr">
        <x:is>
          <x:t xml:space="preserve">Primary canonical Pāḷi text — SuttaCentral</x:t>
        </x:is>
      </x:c>
      <x:c r="W754" t="inlineStr">
        <x:is>
          <x:t xml:space="preserve">Research paraphrase — NOT direct quote</x:t>
        </x:is>
      </x:c>
      <x:c r="X754" t="inlineStr">
        <x:is>
          <x:t xml:space="preserve">A/B - source/theme verified; wording is editorial paraphrase</x:t>
        </x:is>
      </x:c>
      <x:c r="Y754" t="inlineStr">
        <x:is>
          <x:t xml:space="preserve">Exact Pāḷi retained only where passage-level wording was directly verified. Bracketed rows are deliberately not presented as verbatim quotations.</x:t>
        </x:is>
      </x:c>
      <x:c r="Z754" t="inlineStr">
        <x:is>
          <x:t xml:space="preserve">Ancient canonical text public domain; modern translations have separate rights</x:t>
        </x:is>
      </x:c>
      <x:c r="AA754" t="inlineStr">
        <x:is>
          <x:t xml:space="preserve">Use primary Pāḷi + fresh Selflo Vietnamese working translation. Do not copy modern copyrighted translations into Release.</x:t>
        </x:is>
      </x:c>
      <x:c r="AB754" t="inlineStr">
        <x:is>
          <x:t xml:space="preserve">High</x:t>
        </x:is>
      </x:c>
      <x:c r="AC754" t="inlineStr">
        <x:is>
          <x:t xml:space="preserve">Day 12 research candidate; requires owner/editorial review before Release.</x:t>
        </x:is>
      </x:c>
      <x:c r="AD754" t="inlineStr">
        <x:is>
          <x:t xml:space="preserve">Medium — religious/ascetic context requires careful adaptation</x:t>
        </x:is>
      </x:c>
      <x:c r="AE754" t="inlineStr">
        <x:is>
          <x:t xml:space="preserve">Needs semantic dedupe against Day 11 Dhammapada and existing Buddhist content</x:t>
        </x:is>
      </x:c>
      <x:c r="AH754" t="inlineStr">
        <x:is>
          <x:t xml:space="preserve">No</x:t>
        </x:is>
      </x:c>
      <x:c r="AI754" t="inlineStr">
        <x:is>
          <x:t xml:space="preserve">Not reviewed</x:t>
        </x:is>
      </x:c>
      <x:c r="AJ754" t="inlineStr">
        <x:is>
          <x:t xml:space="preserve">Research only</x:t>
        </x:is>
      </x:c>
      <x:c r="AK754" t="inlineStr">
        <x:is>
          <x:t xml:space="preserve">Research Pool</x:t>
        </x:is>
      </x:c>
      <x:c r="AL754" t="n">
        <x:v>12</x:v>
      </x:c>
      <x:c r="AM754" t="inlineStr">
        <x:is>
          <x:t xml:space="preserve">ChatGPT research</x:t>
        </x:is>
      </x:c>
      <x:c r="AN754" t="inlineStr">
        <x:is>
          <x:t xml:space="preserve">2026-09-18</x:t>
        </x:is>
      </x:c>
      <x:c r="AO754" t="inlineStr">
        <x:is>
          <x:t xml:space="preserve">Selected-sutta Day 12 scope. Preserve doctrinal context; do not silently turn contemplative teachings into clinical mental-health claims.</x:t>
        </x:is>
      </x:c>
    </x:row>
    <x:row r="755">
      <x:c r="A755" t="inlineStr">
        <x:is>
          <x:t xml:space="preserve">research.mn.day12.mn22_02</x:t>
        </x:is>
      </x:c>
      <x:c r="B755" t="inlineStr">
        <x:is>
          <x:t xml:space="preserve">Collected</x:t>
        </x:is>
      </x:c>
      <x:c r="C755" t="inlineStr">
        <x:is>
          <x:t xml:space="preserve">Nội tâm &amp; hiểu mình</x:t>
        </x:is>
      </x:c>
      <x:c r="D755" t="inlineStr">
        <x:is>
          <x:t xml:space="preserve">Day 12 / Majjhima Nikāya — selected suttas</x:t>
        </x:is>
      </x:c>
      <x:c r="F755" t="inlineStr">
        <x:is>
          <x:t xml:space="preserve">Tools are not identity</x:t>
        </x:is>
      </x:c>
      <x:c r="G755" t="inlineStr">
        <x:is>
          <x:t xml:space="preserve">Learning / Attachment</x:t>
        </x:is>
      </x:c>
      <x:c r="K755" t="inlineStr">
        <x:is>
          <x:t xml:space="preserve">Reframe</x:t>
        </x:is>
      </x:c>
      <x:c r="M755" t="inlineStr">
        <x:is>
          <x:t xml:space="preserve">Canonical passage</x:t>
        </x:is>
      </x:c>
      <x:c r="N755" t="inlineStr">
        <x:is>
          <x:t xml:space="preserve">kullūpamaṁ vo, bhikkhave, dhammaṁ desessāmi nittharaṇatthāya no gahaṇatthāya.</x:t>
        </x:is>
      </x:c>
      <x:c r="O755" t="inlineStr">
        <x:is>
          <x:t xml:space="preserve">Pāḷi</x:t>
        </x:is>
      </x:c>
      <x:c r="P755" t="inlineStr">
        <x:is>
          <x:t xml:space="preserve">Lời dạy được ví như chiếc bè để qua sông, không phải thứ phải vác theo mãi sau khi đã qua.</x:t>
        </x:is>
      </x:c>
      <x:c r="Q755" t="inlineStr">
        <x:is>
          <x:t xml:space="preserve">Majjhima Nikāya / Early Buddhist Pāḷi tradition</x:t>
        </x:is>
      </x:c>
      <x:c r="R755" t="inlineStr">
        <x:is>
          <x:t xml:space="preserve">Early Buddhist / Pāḷi tradition</x:t>
        </x:is>
      </x:c>
      <x:c r="S755" t="inlineStr">
        <x:is>
          <x:t xml:space="preserve">MN 22 Alagaddūpamasutta</x:t>
        </x:is>
      </x:c>
      <x:c r="T755" t="inlineStr">
        <x:is>
          <x:t xml:space="preserve">Raft simile</x:t>
        </x:is>
      </x:c>
      <x:c r="U755" t="inlineStr">
        <x:is>
          <x:t xml:space="preserve">https://suttacentral.net/mn22/pli/ms</x:t>
        </x:is>
      </x:c>
      <x:c r="V755" t="inlineStr">
        <x:is>
          <x:t xml:space="preserve">Primary canonical Pāḷi text — SuttaCentral</x:t>
        </x:is>
      </x:c>
      <x:c r="W755" t="inlineStr">
        <x:is>
          <x:t xml:space="preserve">Canonical passage</x:t>
        </x:is>
      </x:c>
      <x:c r="X755" t="inlineStr">
        <x:is>
          <x:t xml:space="preserve">A - primary Pāḷi source located</x:t>
        </x:is>
      </x:c>
      <x:c r="Y755" t="inlineStr">
        <x:is>
          <x:t xml:space="preserve">Exact Pāḷi retained only where passage-level wording was directly verified. Bracketed rows are deliberately not presented as verbatim quotations.</x:t>
        </x:is>
      </x:c>
      <x:c r="Z755" t="inlineStr">
        <x:is>
          <x:t xml:space="preserve">Ancient canonical text public domain; modern translations have separate rights</x:t>
        </x:is>
      </x:c>
      <x:c r="AA755" t="inlineStr">
        <x:is>
          <x:t xml:space="preserve">Use primary Pāḷi + fresh Selflo Vietnamese working translation. Do not copy modern copyrighted translations into Release.</x:t>
        </x:is>
      </x:c>
      <x:c r="AB755" t="inlineStr">
        <x:is>
          <x:t xml:space="preserve">High</x:t>
        </x:is>
      </x:c>
      <x:c r="AC755" t="inlineStr">
        <x:is>
          <x:t xml:space="preserve">Day 12 research candidate; requires owner/editorial review before Release.</x:t>
        </x:is>
      </x:c>
      <x:c r="AD755" t="inlineStr">
        <x:is>
          <x:t xml:space="preserve">Medium — religious/ascetic context requires careful adaptation</x:t>
        </x:is>
      </x:c>
      <x:c r="AE755" t="inlineStr">
        <x:is>
          <x:t xml:space="preserve">Needs semantic dedupe against Day 11 Dhammapada and existing Buddhist content</x:t>
        </x:is>
      </x:c>
      <x:c r="AH755" t="inlineStr">
        <x:is>
          <x:t xml:space="preserve">No</x:t>
        </x:is>
      </x:c>
      <x:c r="AI755" t="inlineStr">
        <x:is>
          <x:t xml:space="preserve">Not reviewed</x:t>
        </x:is>
      </x:c>
      <x:c r="AJ755" t="inlineStr">
        <x:is>
          <x:t xml:space="preserve">Research only</x:t>
        </x:is>
      </x:c>
      <x:c r="AK755" t="inlineStr">
        <x:is>
          <x:t xml:space="preserve">Research Pool</x:t>
        </x:is>
      </x:c>
      <x:c r="AL755" t="n">
        <x:v>12</x:v>
      </x:c>
      <x:c r="AM755" t="inlineStr">
        <x:is>
          <x:t xml:space="preserve">ChatGPT research</x:t>
        </x:is>
      </x:c>
      <x:c r="AN755" t="inlineStr">
        <x:is>
          <x:t xml:space="preserve">2026-09-18</x:t>
        </x:is>
      </x:c>
      <x:c r="AO755" t="inlineStr">
        <x:is>
          <x:t xml:space="preserve">Selected-sutta Day 12 scope. Preserve doctrinal context; do not silently turn contemplative teachings into clinical mental-health claims.</x:t>
        </x:is>
      </x:c>
    </x:row>
    <x:row r="756">
      <x:c r="A756" t="inlineStr">
        <x:is>
          <x:t xml:space="preserve">research.mn.day12.mn22_03</x:t>
        </x:is>
      </x:c>
      <x:c r="B756" t="inlineStr">
        <x:is>
          <x:t xml:space="preserve">Collected</x:t>
        </x:is>
      </x:c>
      <x:c r="C756" t="inlineStr">
        <x:is>
          <x:t xml:space="preserve">Nội tâm &amp; hiểu mình</x:t>
        </x:is>
      </x:c>
      <x:c r="D756" t="inlineStr">
        <x:is>
          <x:t xml:space="preserve">Day 12 / Majjhima Nikāya — selected suttas</x:t>
        </x:is>
      </x:c>
      <x:c r="F756" t="inlineStr">
        <x:is>
          <x:t xml:space="preserve">Letting go of helpful tools</x:t>
        </x:is>
      </x:c>
      <x:c r="G756" t="inlineStr">
        <x:is>
          <x:t xml:space="preserve">Change / Attachment</x:t>
        </x:is>
      </x:c>
      <x:c r="K756" t="inlineStr">
        <x:is>
          <x:t xml:space="preserve">Permit</x:t>
        </x:is>
      </x:c>
      <x:c r="M756" t="inlineStr">
        <x:is>
          <x:t xml:space="preserve">Canonical passage</x:t>
        </x:is>
      </x:c>
      <x:c r="N756" t="inlineStr">
        <x:is>
          <x:t xml:space="preserve">dhammāpi vo pahātabbā pageva adhammā.</x:t>
        </x:is>
      </x:c>
      <x:c r="O756" t="inlineStr">
        <x:is>
          <x:t xml:space="preserve">Pāḷi</x:t>
        </x:is>
      </x:c>
      <x:c r="P756" t="inlineStr">
        <x:is>
          <x:t xml:space="preserve">Ngay cả một công cụ từng giúp mình cũng có lúc cần được đặt xuống.</x:t>
        </x:is>
      </x:c>
      <x:c r="Q756" t="inlineStr">
        <x:is>
          <x:t xml:space="preserve">Majjhima Nikāya / Early Buddhist Pāḷi tradition</x:t>
        </x:is>
      </x:c>
      <x:c r="R756" t="inlineStr">
        <x:is>
          <x:t xml:space="preserve">Early Buddhist / Pāḷi tradition</x:t>
        </x:is>
      </x:c>
      <x:c r="S756" t="inlineStr">
        <x:is>
          <x:t xml:space="preserve">MN 22 Alagaddūpamasutta</x:t>
        </x:is>
      </x:c>
      <x:c r="T756" t="inlineStr">
        <x:is>
          <x:t xml:space="preserve">Raft simile</x:t>
        </x:is>
      </x:c>
      <x:c r="U756" t="inlineStr">
        <x:is>
          <x:t xml:space="preserve">https://suttacentral.net/mn22/pli/ms</x:t>
        </x:is>
      </x:c>
      <x:c r="V756" t="inlineStr">
        <x:is>
          <x:t xml:space="preserve">Primary canonical Pāḷi text — SuttaCentral</x:t>
        </x:is>
      </x:c>
      <x:c r="W756" t="inlineStr">
        <x:is>
          <x:t xml:space="preserve">Canonical passage</x:t>
        </x:is>
      </x:c>
      <x:c r="X756" t="inlineStr">
        <x:is>
          <x:t xml:space="preserve">A - primary Pāḷi source located</x:t>
        </x:is>
      </x:c>
      <x:c r="Y756" t="inlineStr">
        <x:is>
          <x:t xml:space="preserve">Exact Pāḷi retained only where passage-level wording was directly verified. Bracketed rows are deliberately not presented as verbatim quotations.</x:t>
        </x:is>
      </x:c>
      <x:c r="Z756" t="inlineStr">
        <x:is>
          <x:t xml:space="preserve">Ancient canonical text public domain; modern translations have separate rights</x:t>
        </x:is>
      </x:c>
      <x:c r="AA756" t="inlineStr">
        <x:is>
          <x:t xml:space="preserve">Use primary Pāḷi + fresh Selflo Vietnamese working translation. Do not copy modern copyrighted translations into Release.</x:t>
        </x:is>
      </x:c>
      <x:c r="AB756" t="inlineStr">
        <x:is>
          <x:t xml:space="preserve">High</x:t>
        </x:is>
      </x:c>
      <x:c r="AC756" t="inlineStr">
        <x:is>
          <x:t xml:space="preserve">Day 12 research candidate; requires owner/editorial review before Release.</x:t>
        </x:is>
      </x:c>
      <x:c r="AD756" t="inlineStr">
        <x:is>
          <x:t xml:space="preserve">Medium — religious/ascetic context requires careful adaptation</x:t>
        </x:is>
      </x:c>
      <x:c r="AE756" t="inlineStr">
        <x:is>
          <x:t xml:space="preserve">Needs semantic dedupe against Day 11 Dhammapada and existing Buddhist content</x:t>
        </x:is>
      </x:c>
      <x:c r="AH756" t="inlineStr">
        <x:is>
          <x:t xml:space="preserve">No</x:t>
        </x:is>
      </x:c>
      <x:c r="AI756" t="inlineStr">
        <x:is>
          <x:t xml:space="preserve">Not reviewed</x:t>
        </x:is>
      </x:c>
      <x:c r="AJ756" t="inlineStr">
        <x:is>
          <x:t xml:space="preserve">Research only</x:t>
        </x:is>
      </x:c>
      <x:c r="AK756" t="inlineStr">
        <x:is>
          <x:t xml:space="preserve">Research Pool</x:t>
        </x:is>
      </x:c>
      <x:c r="AL756" t="n">
        <x:v>12</x:v>
      </x:c>
      <x:c r="AM756" t="inlineStr">
        <x:is>
          <x:t xml:space="preserve">ChatGPT research</x:t>
        </x:is>
      </x:c>
      <x:c r="AN756" t="inlineStr">
        <x:is>
          <x:t xml:space="preserve">2026-09-18</x:t>
        </x:is>
      </x:c>
      <x:c r="AO756" t="inlineStr">
        <x:is>
          <x:t xml:space="preserve">Selected-sutta Day 12 scope. Preserve doctrinal context; do not silently turn contemplative teachings into clinical mental-health claims.</x:t>
        </x:is>
      </x:c>
    </x:row>
    <x:row r="757">
      <x:c r="A757" t="inlineStr">
        <x:is>
          <x:t xml:space="preserve">research.mn.day12.mn27_01</x:t>
        </x:is>
      </x:c>
      <x:c r="B757" t="inlineStr">
        <x:is>
          <x:t xml:space="preserve">Collected</x:t>
        </x:is>
      </x:c>
      <x:c r="C757" t="inlineStr">
        <x:is>
          <x:t xml:space="preserve">Nội tâm &amp; hiểu mình</x:t>
        </x:is>
      </x:c>
      <x:c r="D757" t="inlineStr">
        <x:is>
          <x:t xml:space="preserve">Day 12 / Majjhima Nikāya — selected suttas</x:t>
        </x:is>
      </x:c>
      <x:c r="F757" t="inlineStr">
        <x:is>
          <x:t xml:space="preserve">Premature certainty</x:t>
        </x:is>
      </x:c>
      <x:c r="G757" t="inlineStr">
        <x:is>
          <x:t xml:space="preserve">Judgment / Verification</x:t>
        </x:is>
      </x:c>
      <x:c r="K757" t="inlineStr">
        <x:is>
          <x:t xml:space="preserve">Distinguish</x:t>
        </x:is>
      </x:c>
      <x:c r="M757" t="inlineStr">
        <x:is>
          <x:t xml:space="preserve">Canonical passage</x:t>
        </x:is>
      </x:c>
      <x:c r="N757" t="inlineStr">
        <x:is>
          <x:t xml:space="preserve">mahantaṁ hatthipadaṁ ... na tveva tāva niṭṭhaṁ gantabbaṁ.</x:t>
        </x:is>
      </x:c>
      <x:c r="O757" t="inlineStr">
        <x:is>
          <x:t xml:space="preserve">Pāḷi</x:t>
        </x:is>
      </x:c>
      <x:c r="P757" t="inlineStr">
        <x:is>
          <x:t xml:space="preserve">Một dấu chân lớn chưa đủ để kết luận chắc chắn con voi nào đã đi qua; bằng chứng ban đầu chưa phải kết luận cuối.</x:t>
        </x:is>
      </x:c>
      <x:c r="Q757" t="inlineStr">
        <x:is>
          <x:t xml:space="preserve">Majjhima Nikāya / Early Buddhist Pāḷi tradition</x:t>
        </x:is>
      </x:c>
      <x:c r="R757" t="inlineStr">
        <x:is>
          <x:t xml:space="preserve">Early Buddhist / Pāḷi tradition</x:t>
        </x:is>
      </x:c>
      <x:c r="S757" t="inlineStr">
        <x:is>
          <x:t xml:space="preserve">MN 27 Cūḷahatthipadopamasutta</x:t>
        </x:is>
      </x:c>
      <x:c r="T757" t="inlineStr">
        <x:is>
          <x:t xml:space="preserve">Elephant footprint simile</x:t>
        </x:is>
      </x:c>
      <x:c r="U757" t="inlineStr">
        <x:is>
          <x:t xml:space="preserve">https://suttacentral.net/mn27/pli/ms</x:t>
        </x:is>
      </x:c>
      <x:c r="V757" t="inlineStr">
        <x:is>
          <x:t xml:space="preserve">Primary canonical Pāḷi text — SuttaCentral</x:t>
        </x:is>
      </x:c>
      <x:c r="W757" t="inlineStr">
        <x:is>
          <x:t xml:space="preserve">Canonical passage</x:t>
        </x:is>
      </x:c>
      <x:c r="X757" t="inlineStr">
        <x:is>
          <x:t xml:space="preserve">A - primary Pāḷi source located</x:t>
        </x:is>
      </x:c>
      <x:c r="Y757" t="inlineStr">
        <x:is>
          <x:t xml:space="preserve">Exact Pāḷi retained only where passage-level wording was directly verified. Bracketed rows are deliberately not presented as verbatim quotations.</x:t>
        </x:is>
      </x:c>
      <x:c r="Z757" t="inlineStr">
        <x:is>
          <x:t xml:space="preserve">Ancient canonical text public domain; modern translations have separate rights</x:t>
        </x:is>
      </x:c>
      <x:c r="AA757" t="inlineStr">
        <x:is>
          <x:t xml:space="preserve">Use primary Pāḷi + fresh Selflo Vietnamese working translation. Do not copy modern copyrighted translations into Release.</x:t>
        </x:is>
      </x:c>
      <x:c r="AB757" t="inlineStr">
        <x:is>
          <x:t xml:space="preserve">High</x:t>
        </x:is>
      </x:c>
      <x:c r="AC757" t="inlineStr">
        <x:is>
          <x:t xml:space="preserve">Day 12 research candidate; requires owner/editorial review before Release.</x:t>
        </x:is>
      </x:c>
      <x:c r="AD757" t="inlineStr">
        <x:is>
          <x:t xml:space="preserve">Medium — religious/ascetic context requires careful adaptation</x:t>
        </x:is>
      </x:c>
      <x:c r="AE757" t="inlineStr">
        <x:is>
          <x:t xml:space="preserve">Needs semantic dedupe against Day 11 Dhammapada and existing Buddhist content</x:t>
        </x:is>
      </x:c>
      <x:c r="AH757" t="inlineStr">
        <x:is>
          <x:t xml:space="preserve">No</x:t>
        </x:is>
      </x:c>
      <x:c r="AI757" t="inlineStr">
        <x:is>
          <x:t xml:space="preserve">Not reviewed</x:t>
        </x:is>
      </x:c>
      <x:c r="AJ757" t="inlineStr">
        <x:is>
          <x:t xml:space="preserve">Research only</x:t>
        </x:is>
      </x:c>
      <x:c r="AK757" t="inlineStr">
        <x:is>
          <x:t xml:space="preserve">Research Pool</x:t>
        </x:is>
      </x:c>
      <x:c r="AL757" t="n">
        <x:v>12</x:v>
      </x:c>
      <x:c r="AM757" t="inlineStr">
        <x:is>
          <x:t xml:space="preserve">ChatGPT research</x:t>
        </x:is>
      </x:c>
      <x:c r="AN757" t="inlineStr">
        <x:is>
          <x:t xml:space="preserve">2026-09-18</x:t>
        </x:is>
      </x:c>
      <x:c r="AO757" t="inlineStr">
        <x:is>
          <x:t xml:space="preserve">Selected-sutta Day 12 scope. Preserve doctrinal context; do not silently turn contemplative teachings into clinical mental-health claims.</x:t>
        </x:is>
      </x:c>
    </x:row>
    <x:row r="758">
      <x:c r="A758" t="inlineStr">
        <x:is>
          <x:t xml:space="preserve">research.mn.day12.mn27_02</x:t>
        </x:is>
      </x:c>
      <x:c r="B758" t="inlineStr">
        <x:is>
          <x:t xml:space="preserve">Collected</x:t>
        </x:is>
      </x:c>
      <x:c r="C758" t="inlineStr">
        <x:is>
          <x:t xml:space="preserve">Nội tâm &amp; hiểu mình</x:t>
        </x:is>
      </x:c>
      <x:c r="D758" t="inlineStr">
        <x:is>
          <x:t xml:space="preserve">Day 12 / Majjhima Nikāya — selected suttas</x:t>
        </x:is>
      </x:c>
      <x:c r="F758" t="inlineStr">
        <x:is>
          <x:t xml:space="preserve">Evidence and confidence</x:t>
        </x:is>
      </x:c>
      <x:c r="G758" t="inlineStr">
        <x:is>
          <x:t xml:space="preserve">Judgment / AI age</x:t>
        </x:is>
      </x:c>
      <x:c r="K758" t="inlineStr">
        <x:is>
          <x:t xml:space="preserve">Reframe</x:t>
        </x:is>
      </x:c>
      <x:c r="M758" t="inlineStr">
        <x:is>
          <x:t xml:space="preserve">Source-anchored research paraphrase</x:t>
        </x:is>
      </x:c>
      <x:c r="N758" t="inlineStr">
        <x:is>
          <x:t xml:space="preserve">[Source-anchored paraphrase; see MN 27.]</x:t>
        </x:is>
      </x:c>
      <x:c r="O758" t="inlineStr">
        <x:is>
          <x:t xml:space="preserve">Pāḷi source / paraphrase row</x:t>
        </x:is>
      </x:c>
      <x:c r="P758" t="inlineStr">
        <x:is>
          <x:t xml:space="preserve">Thay vì tin chỉ vì một dấu hiệu gây ấn tượng, bài kinh tiến từng bước từ dấu vết tới kiểm chứng sâu hơn.</x:t>
        </x:is>
      </x:c>
      <x:c r="Q758" t="inlineStr">
        <x:is>
          <x:t xml:space="preserve">Majjhima Nikāya / Early Buddhist Pāḷi tradition</x:t>
        </x:is>
      </x:c>
      <x:c r="R758" t="inlineStr">
        <x:is>
          <x:t xml:space="preserve">Early Buddhist / Pāḷi tradition</x:t>
        </x:is>
      </x:c>
      <x:c r="S758" t="inlineStr">
        <x:is>
          <x:t xml:space="preserve">MN 27 Cūḷahatthipadopamasutta</x:t>
        </x:is>
      </x:c>
      <x:c r="T758" t="inlineStr">
        <x:is>
          <x:t xml:space="preserve">Progressive verification</x:t>
        </x:is>
      </x:c>
      <x:c r="U758" t="inlineStr">
        <x:is>
          <x:t xml:space="preserve">https://suttacentral.net/mn27/pli/ms</x:t>
        </x:is>
      </x:c>
      <x:c r="V758" t="inlineStr">
        <x:is>
          <x:t xml:space="preserve">Primary canonical Pāḷi text — SuttaCentral</x:t>
        </x:is>
      </x:c>
      <x:c r="W758" t="inlineStr">
        <x:is>
          <x:t xml:space="preserve">Research paraphrase — NOT direct quote</x:t>
        </x:is>
      </x:c>
      <x:c r="X758" t="inlineStr">
        <x:is>
          <x:t xml:space="preserve">A/B - source/theme verified; wording is editorial paraphrase</x:t>
        </x:is>
      </x:c>
      <x:c r="Y758" t="inlineStr">
        <x:is>
          <x:t xml:space="preserve">Exact Pāḷi retained only where passage-level wording was directly verified. Bracketed rows are deliberately not presented as verbatim quotations.</x:t>
        </x:is>
      </x:c>
      <x:c r="Z758" t="inlineStr">
        <x:is>
          <x:t xml:space="preserve">Ancient canonical text public domain; modern translations have separate rights</x:t>
        </x:is>
      </x:c>
      <x:c r="AA758" t="inlineStr">
        <x:is>
          <x:t xml:space="preserve">Use primary Pāḷi + fresh Selflo Vietnamese working translation. Do not copy modern copyrighted translations into Release.</x:t>
        </x:is>
      </x:c>
      <x:c r="AB758" t="inlineStr">
        <x:is>
          <x:t xml:space="preserve">High</x:t>
        </x:is>
      </x:c>
      <x:c r="AC758" t="inlineStr">
        <x:is>
          <x:t xml:space="preserve">Day 12 research candidate; requires owner/editorial review before Release.</x:t>
        </x:is>
      </x:c>
      <x:c r="AD758" t="inlineStr">
        <x:is>
          <x:t xml:space="preserve">Medium — religious/ascetic context requires careful adaptation</x:t>
        </x:is>
      </x:c>
      <x:c r="AE758" t="inlineStr">
        <x:is>
          <x:t xml:space="preserve">Needs semantic dedupe against Day 11 Dhammapada and existing Buddhist content</x:t>
        </x:is>
      </x:c>
      <x:c r="AH758" t="inlineStr">
        <x:is>
          <x:t xml:space="preserve">No</x:t>
        </x:is>
      </x:c>
      <x:c r="AI758" t="inlineStr">
        <x:is>
          <x:t xml:space="preserve">Not reviewed</x:t>
        </x:is>
      </x:c>
      <x:c r="AJ758" t="inlineStr">
        <x:is>
          <x:t xml:space="preserve">Research only</x:t>
        </x:is>
      </x:c>
      <x:c r="AK758" t="inlineStr">
        <x:is>
          <x:t xml:space="preserve">Research Pool</x:t>
        </x:is>
      </x:c>
      <x:c r="AL758" t="n">
        <x:v>12</x:v>
      </x:c>
      <x:c r="AM758" t="inlineStr">
        <x:is>
          <x:t xml:space="preserve">ChatGPT research</x:t>
        </x:is>
      </x:c>
      <x:c r="AN758" t="inlineStr">
        <x:is>
          <x:t xml:space="preserve">2026-09-18</x:t>
        </x:is>
      </x:c>
      <x:c r="AO758" t="inlineStr">
        <x:is>
          <x:t xml:space="preserve">Selected-sutta Day 12 scope. Preserve doctrinal context; do not silently turn contemplative teachings into clinical mental-health claims.</x:t>
        </x:is>
      </x:c>
    </x:row>
    <x:row r="759">
      <x:c r="A759" t="inlineStr">
        <x:is>
          <x:t xml:space="preserve">research.mn.day12.mn39_01</x:t>
        </x:is>
      </x:c>
      <x:c r="B759" t="inlineStr">
        <x:is>
          <x:t xml:space="preserve">Collected</x:t>
        </x:is>
      </x:c>
      <x:c r="C759" t="inlineStr">
        <x:is>
          <x:t xml:space="preserve">Nội tâm &amp; hiểu mình</x:t>
        </x:is>
      </x:c>
      <x:c r="D759" t="inlineStr">
        <x:is>
          <x:t xml:space="preserve">Day 12 / Majjhima Nikāya — selected suttas</x:t>
        </x:is>
      </x:c>
      <x:c r="F759" t="inlineStr">
        <x:is>
          <x:t xml:space="preserve">Identity and lived behavior</x:t>
        </x:is>
      </x:c>
      <x:c r="G759" t="inlineStr">
        <x:is>
          <x:t xml:space="preserve">Identity / Integrity</x:t>
        </x:is>
      </x:c>
      <x:c r="K759" t="inlineStr">
        <x:is>
          <x:t xml:space="preserve">Distinguish</x:t>
        </x:is>
      </x:c>
      <x:c r="M759" t="inlineStr">
        <x:is>
          <x:t xml:space="preserve">Source-anchored research paraphrase</x:t>
        </x:is>
      </x:c>
      <x:c r="N759" t="inlineStr">
        <x:is>
          <x:t xml:space="preserve">[Pāli passage-level wording not copied in this row; source anchored to MN 39.]</x:t>
        </x:is>
      </x:c>
      <x:c r="O759" t="inlineStr">
        <x:is>
          <x:t xml:space="preserve">Pāḷi source / paraphrase row</x:t>
        </x:is>
      </x:c>
      <x:c r="P759" t="inlineStr">
        <x:is>
          <x:t xml:space="preserve">Một danh xưng chỉ thật sự có nghĩa khi cách sống dần tương ứng với điều danh xưng ấy nói.</x:t>
        </x:is>
      </x:c>
      <x:c r="Q759" t="inlineStr">
        <x:is>
          <x:t xml:space="preserve">Majjhima Nikāya / Early Buddhist Pāḷi tradition</x:t>
        </x:is>
      </x:c>
      <x:c r="R759" t="inlineStr">
        <x:is>
          <x:t xml:space="preserve">Early Buddhist / Pāḷi tradition</x:t>
        </x:is>
      </x:c>
      <x:c r="S759" t="inlineStr">
        <x:is>
          <x:t xml:space="preserve">MN 39 Mahāassapurasutta</x:t>
        </x:is>
      </x:c>
      <x:c r="T759" t="inlineStr">
        <x:is>
          <x:t xml:space="preserve">SC 2</x:t>
        </x:is>
      </x:c>
      <x:c r="U759" t="inlineStr">
        <x:is>
          <x:t xml:space="preserve">https://suttacentral.net/mn39/pli/ms</x:t>
        </x:is>
      </x:c>
      <x:c r="V759" t="inlineStr">
        <x:is>
          <x:t xml:space="preserve">Primary canonical Pāḷi text — SuttaCentral</x:t>
        </x:is>
      </x:c>
      <x:c r="W759" t="inlineStr">
        <x:is>
          <x:t xml:space="preserve">Research paraphrase — NOT direct quote</x:t>
        </x:is>
      </x:c>
      <x:c r="X759" t="inlineStr">
        <x:is>
          <x:t xml:space="preserve">A/B - source/theme verified; wording is editorial paraphrase</x:t>
        </x:is>
      </x:c>
      <x:c r="Y759" t="inlineStr">
        <x:is>
          <x:t xml:space="preserve">Exact Pāḷi retained only where passage-level wording was directly verified. Bracketed rows are deliberately not presented as verbatim quotations.</x:t>
        </x:is>
      </x:c>
      <x:c r="Z759" t="inlineStr">
        <x:is>
          <x:t xml:space="preserve">Ancient canonical text public domain; modern translations have separate rights</x:t>
        </x:is>
      </x:c>
      <x:c r="AA759" t="inlineStr">
        <x:is>
          <x:t xml:space="preserve">Use primary Pāḷi + fresh Selflo Vietnamese working translation. Do not copy modern copyrighted translations into Release.</x:t>
        </x:is>
      </x:c>
      <x:c r="AB759" t="inlineStr">
        <x:is>
          <x:t xml:space="preserve">High</x:t>
        </x:is>
      </x:c>
      <x:c r="AC759" t="inlineStr">
        <x:is>
          <x:t xml:space="preserve">Day 12 research candidate; requires owner/editorial review before Release.</x:t>
        </x:is>
      </x:c>
      <x:c r="AD759" t="inlineStr">
        <x:is>
          <x:t xml:space="preserve">Medium — religious/ascetic context requires careful adaptation</x:t>
        </x:is>
      </x:c>
      <x:c r="AE759" t="inlineStr">
        <x:is>
          <x:t xml:space="preserve">Needs semantic dedupe against Day 11 Dhammapada and existing Buddhist content</x:t>
        </x:is>
      </x:c>
      <x:c r="AH759" t="inlineStr">
        <x:is>
          <x:t xml:space="preserve">No</x:t>
        </x:is>
      </x:c>
      <x:c r="AI759" t="inlineStr">
        <x:is>
          <x:t xml:space="preserve">Not reviewed</x:t>
        </x:is>
      </x:c>
      <x:c r="AJ759" t="inlineStr">
        <x:is>
          <x:t xml:space="preserve">Research only</x:t>
        </x:is>
      </x:c>
      <x:c r="AK759" t="inlineStr">
        <x:is>
          <x:t xml:space="preserve">Research Pool</x:t>
        </x:is>
      </x:c>
      <x:c r="AL759" t="n">
        <x:v>12</x:v>
      </x:c>
      <x:c r="AM759" t="inlineStr">
        <x:is>
          <x:t xml:space="preserve">ChatGPT research</x:t>
        </x:is>
      </x:c>
      <x:c r="AN759" t="inlineStr">
        <x:is>
          <x:t xml:space="preserve">2026-09-18</x:t>
        </x:is>
      </x:c>
      <x:c r="AO759" t="inlineStr">
        <x:is>
          <x:t xml:space="preserve">Selected-sutta Day 12 scope. Preserve doctrinal context; do not silently turn contemplative teachings into clinical mental-health claims.</x:t>
        </x:is>
      </x:c>
    </x:row>
    <x:row r="760">
      <x:c r="A760" t="inlineStr">
        <x:is>
          <x:t xml:space="preserve">research.mn.day12.mn58_01</x:t>
        </x:is>
      </x:c>
      <x:c r="B760" t="inlineStr">
        <x:is>
          <x:t xml:space="preserve">Collected</x:t>
        </x:is>
      </x:c>
      <x:c r="C760" t="inlineStr">
        <x:is>
          <x:t xml:space="preserve">Nội tâm &amp; hiểu mình</x:t>
        </x:is>
      </x:c>
      <x:c r="D760" t="inlineStr">
        <x:is>
          <x:t xml:space="preserve">Day 12 / Majjhima Nikāya — selected suttas</x:t>
        </x:is>
      </x:c>
      <x:c r="F760" t="inlineStr">
        <x:is>
          <x:t xml:space="preserve">Truth, benefit, timing</x:t>
        </x:is>
      </x:c>
      <x:c r="G760" t="inlineStr">
        <x:is>
          <x:t xml:space="preserve">Communication / Judgment</x:t>
        </x:is>
      </x:c>
      <x:c r="K760" t="inlineStr">
        <x:is>
          <x:t xml:space="preserve">Distinguish</x:t>
        </x:is>
      </x:c>
      <x:c r="M760" t="inlineStr">
        <x:is>
          <x:t xml:space="preserve">Source-anchored research paraphrase</x:t>
        </x:is>
      </x:c>
      <x:c r="N760" t="inlineStr">
        <x:is>
          <x:t xml:space="preserve">[Pāli passage-level wording not copied in this row; source anchored to MN 58.]</x:t>
        </x:is>
      </x:c>
      <x:c r="O760" t="inlineStr">
        <x:is>
          <x:t xml:space="preserve">Pāḷi source / paraphrase row</x:t>
        </x:is>
      </x:c>
      <x:c r="P760" t="inlineStr">
        <x:is>
          <x:t xml:space="preserve">Không phải điều đúng nào cũng cần nói ngay; tính đúng, ích lợi và thời điểm là những câu hỏi khác nhau.</x:t>
        </x:is>
      </x:c>
      <x:c r="Q760" t="inlineStr">
        <x:is>
          <x:t xml:space="preserve">Majjhima Nikāya / Early Buddhist Pāḷi tradition</x:t>
        </x:is>
      </x:c>
      <x:c r="R760" t="inlineStr">
        <x:is>
          <x:t xml:space="preserve">Early Buddhist / Pāḷi tradition</x:t>
        </x:is>
      </x:c>
      <x:c r="S760" t="inlineStr">
        <x:is>
          <x:t xml:space="preserve">MN 58 Abhayarājakumārasutta</x:t>
        </x:is>
      </x:c>
      <x:c r="T760" t="inlineStr">
        <x:is>
          <x:t xml:space="preserve">Speech framework</x:t>
        </x:is>
      </x:c>
      <x:c r="U760" t="inlineStr">
        <x:is>
          <x:t xml:space="preserve">https://suttacentral.net/mn58/pli/ms</x:t>
        </x:is>
      </x:c>
      <x:c r="V760" t="inlineStr">
        <x:is>
          <x:t xml:space="preserve">Primary canonical Pāḷi text — SuttaCentral</x:t>
        </x:is>
      </x:c>
      <x:c r="W760" t="inlineStr">
        <x:is>
          <x:t xml:space="preserve">Research paraphrase — NOT direct quote</x:t>
        </x:is>
      </x:c>
      <x:c r="X760" t="inlineStr">
        <x:is>
          <x:t xml:space="preserve">A/B - source/theme verified; wording is editorial paraphrase</x:t>
        </x:is>
      </x:c>
      <x:c r="Y760" t="inlineStr">
        <x:is>
          <x:t xml:space="preserve">Exact Pāḷi retained only where passage-level wording was directly verified. Bracketed rows are deliberately not presented as verbatim quotations.</x:t>
        </x:is>
      </x:c>
      <x:c r="Z760" t="inlineStr">
        <x:is>
          <x:t xml:space="preserve">Ancient canonical text public domain; modern translations have separate rights</x:t>
        </x:is>
      </x:c>
      <x:c r="AA760" t="inlineStr">
        <x:is>
          <x:t xml:space="preserve">Use primary Pāḷi + fresh Selflo Vietnamese working translation. Do not copy modern copyrighted translations into Release.</x:t>
        </x:is>
      </x:c>
      <x:c r="AB760" t="inlineStr">
        <x:is>
          <x:t xml:space="preserve">High</x:t>
        </x:is>
      </x:c>
      <x:c r="AC760" t="inlineStr">
        <x:is>
          <x:t xml:space="preserve">Day 12 research candidate; requires owner/editorial review before Release.</x:t>
        </x:is>
      </x:c>
      <x:c r="AD760" t="inlineStr">
        <x:is>
          <x:t xml:space="preserve">Medium — religious/ascetic context requires careful adaptation</x:t>
        </x:is>
      </x:c>
      <x:c r="AE760" t="inlineStr">
        <x:is>
          <x:t xml:space="preserve">Needs semantic dedupe against Day 11 Dhammapada and existing Buddhist content</x:t>
        </x:is>
      </x:c>
      <x:c r="AH760" t="inlineStr">
        <x:is>
          <x:t xml:space="preserve">No</x:t>
        </x:is>
      </x:c>
      <x:c r="AI760" t="inlineStr">
        <x:is>
          <x:t xml:space="preserve">Not reviewed</x:t>
        </x:is>
      </x:c>
      <x:c r="AJ760" t="inlineStr">
        <x:is>
          <x:t xml:space="preserve">Research only</x:t>
        </x:is>
      </x:c>
      <x:c r="AK760" t="inlineStr">
        <x:is>
          <x:t xml:space="preserve">Research Pool</x:t>
        </x:is>
      </x:c>
      <x:c r="AL760" t="n">
        <x:v>12</x:v>
      </x:c>
      <x:c r="AM760" t="inlineStr">
        <x:is>
          <x:t xml:space="preserve">ChatGPT research</x:t>
        </x:is>
      </x:c>
      <x:c r="AN760" t="inlineStr">
        <x:is>
          <x:t xml:space="preserve">2026-09-18</x:t>
        </x:is>
      </x:c>
      <x:c r="AO760" t="inlineStr">
        <x:is>
          <x:t xml:space="preserve">Selected-sutta Day 12 scope. Preserve doctrinal context; do not silently turn contemplative teachings into clinical mental-health claims.</x:t>
        </x:is>
      </x:c>
    </x:row>
    <x:row r="761">
      <x:c r="A761" t="inlineStr">
        <x:is>
          <x:t xml:space="preserve">research.mn.day12.mn58_02</x:t>
        </x:is>
      </x:c>
      <x:c r="B761" t="inlineStr">
        <x:is>
          <x:t xml:space="preserve">Collected</x:t>
        </x:is>
      </x:c>
      <x:c r="C761" t="inlineStr">
        <x:is>
          <x:t xml:space="preserve">Nội tâm &amp; hiểu mình</x:t>
        </x:is>
      </x:c>
      <x:c r="D761" t="inlineStr">
        <x:is>
          <x:t xml:space="preserve">Day 12 / Majjhima Nikāya — selected suttas</x:t>
        </x:is>
      </x:c>
      <x:c r="F761" t="inlineStr">
        <x:is>
          <x:t xml:space="preserve">Pleasant ≠ beneficial</x:t>
        </x:is>
      </x:c>
      <x:c r="G761" t="inlineStr">
        <x:is>
          <x:t xml:space="preserve">Communication / Compassion</x:t>
        </x:is>
      </x:c>
      <x:c r="K761" t="inlineStr">
        <x:is>
          <x:t xml:space="preserve">Distinguish</x:t>
        </x:is>
      </x:c>
      <x:c r="M761" t="inlineStr">
        <x:is>
          <x:t xml:space="preserve">Source-anchored research paraphrase</x:t>
        </x:is>
      </x:c>
      <x:c r="N761" t="inlineStr">
        <x:is>
          <x:t xml:space="preserve">[Pāli passage-level wording not copied in this row; source anchored to MN 58.]</x:t>
        </x:is>
      </x:c>
      <x:c r="O761" t="inlineStr">
        <x:is>
          <x:t xml:space="preserve">Pāḷi source / paraphrase row</x:t>
        </x:is>
      </x:c>
      <x:c r="P761" t="inlineStr">
        <x:is>
          <x:t xml:space="preserve">Có lời khó nghe vẫn có thể xuất phát từ ý muốn giúp; sự dễ chịu của lời nói và ích lợi của nó không phải cùng một trục.</x:t>
        </x:is>
      </x:c>
      <x:c r="Q761" t="inlineStr">
        <x:is>
          <x:t xml:space="preserve">Majjhima Nikāya / Early Buddhist Pāḷi tradition</x:t>
        </x:is>
      </x:c>
      <x:c r="R761" t="inlineStr">
        <x:is>
          <x:t xml:space="preserve">Early Buddhist / Pāḷi tradition</x:t>
        </x:is>
      </x:c>
      <x:c r="S761" t="inlineStr">
        <x:is>
          <x:t xml:space="preserve">MN 58 Abhayarājakumārasutta</x:t>
        </x:is>
      </x:c>
      <x:c r="T761" t="inlineStr">
        <x:is>
          <x:t xml:space="preserve">Child-with-object simile</x:t>
        </x:is>
      </x:c>
      <x:c r="U761" t="inlineStr">
        <x:is>
          <x:t xml:space="preserve">https://suttacentral.net/mn58/pli/ms</x:t>
        </x:is>
      </x:c>
      <x:c r="V761" t="inlineStr">
        <x:is>
          <x:t xml:space="preserve">Primary canonical Pāḷi text — SuttaCentral</x:t>
        </x:is>
      </x:c>
      <x:c r="W761" t="inlineStr">
        <x:is>
          <x:t xml:space="preserve">Research paraphrase — NOT direct quote</x:t>
        </x:is>
      </x:c>
      <x:c r="X761" t="inlineStr">
        <x:is>
          <x:t xml:space="preserve">A/B - source/theme verified; wording is editorial paraphrase</x:t>
        </x:is>
      </x:c>
      <x:c r="Y761" t="inlineStr">
        <x:is>
          <x:t xml:space="preserve">Exact Pāḷi retained only where passage-level wording was directly verified. Bracketed rows are deliberately not presented as verbatim quotations.</x:t>
        </x:is>
      </x:c>
      <x:c r="Z761" t="inlineStr">
        <x:is>
          <x:t xml:space="preserve">Ancient canonical text public domain; modern translations have separate rights</x:t>
        </x:is>
      </x:c>
      <x:c r="AA761" t="inlineStr">
        <x:is>
          <x:t xml:space="preserve">Use primary Pāḷi + fresh Selflo Vietnamese working translation. Do not copy modern copyrighted translations into Release.</x:t>
        </x:is>
      </x:c>
      <x:c r="AB761" t="inlineStr">
        <x:is>
          <x:t xml:space="preserve">High</x:t>
        </x:is>
      </x:c>
      <x:c r="AC761" t="inlineStr">
        <x:is>
          <x:t xml:space="preserve">Day 12 research candidate; requires owner/editorial review before Release.</x:t>
        </x:is>
      </x:c>
      <x:c r="AD761" t="inlineStr">
        <x:is>
          <x:t xml:space="preserve">Medium — religious/ascetic context requires careful adaptation</x:t>
        </x:is>
      </x:c>
      <x:c r="AE761" t="inlineStr">
        <x:is>
          <x:t xml:space="preserve">Needs semantic dedupe against Day 11 Dhammapada and existing Buddhist content</x:t>
        </x:is>
      </x:c>
      <x:c r="AH761" t="inlineStr">
        <x:is>
          <x:t xml:space="preserve">No</x:t>
        </x:is>
      </x:c>
      <x:c r="AI761" t="inlineStr">
        <x:is>
          <x:t xml:space="preserve">Not reviewed</x:t>
        </x:is>
      </x:c>
      <x:c r="AJ761" t="inlineStr">
        <x:is>
          <x:t xml:space="preserve">Research only</x:t>
        </x:is>
      </x:c>
      <x:c r="AK761" t="inlineStr">
        <x:is>
          <x:t xml:space="preserve">Research Pool</x:t>
        </x:is>
      </x:c>
      <x:c r="AL761" t="n">
        <x:v>12</x:v>
      </x:c>
      <x:c r="AM761" t="inlineStr">
        <x:is>
          <x:t xml:space="preserve">ChatGPT research</x:t>
        </x:is>
      </x:c>
      <x:c r="AN761" t="inlineStr">
        <x:is>
          <x:t xml:space="preserve">2026-09-18</x:t>
        </x:is>
      </x:c>
      <x:c r="AO761" t="inlineStr">
        <x:is>
          <x:t xml:space="preserve">Selected-sutta Day 12 scope. Preserve doctrinal context; do not silently turn contemplative teachings into clinical mental-health claims.</x:t>
        </x:is>
      </x:c>
    </x:row>
    <x:row r="762">
      <x:c r="A762" t="inlineStr">
        <x:is>
          <x:t xml:space="preserve">research.mn.day12.mn61_01</x:t>
        </x:is>
      </x:c>
      <x:c r="B762" t="inlineStr">
        <x:is>
          <x:t xml:space="preserve">Collected</x:t>
        </x:is>
      </x:c>
      <x:c r="C762" t="inlineStr">
        <x:is>
          <x:t xml:space="preserve">Nội tâm &amp; hiểu mình</x:t>
        </x:is>
      </x:c>
      <x:c r="D762" t="inlineStr">
        <x:is>
          <x:t xml:space="preserve">Day 12 / Majjhima Nikāya — selected suttas</x:t>
        </x:is>
      </x:c>
      <x:c r="F762" t="inlineStr">
        <x:is>
          <x:t xml:space="preserve">Reflection before/during/after action</x:t>
        </x:is>
      </x:c>
      <x:c r="G762" t="inlineStr">
        <x:is>
          <x:t xml:space="preserve">Agency / Reflection</x:t>
        </x:is>
      </x:c>
      <x:c r="K762" t="inlineStr">
        <x:is>
          <x:t xml:space="preserve">Reframe</x:t>
        </x:is>
      </x:c>
      <x:c r="M762" t="inlineStr">
        <x:is>
          <x:t xml:space="preserve">Source-anchored research paraphrase</x:t>
        </x:is>
      </x:c>
      <x:c r="N762" t="inlineStr">
        <x:is>
          <x:t xml:space="preserve">[Pāli passage-level wording not copied in this row; source anchored to MN 61.]</x:t>
        </x:is>
      </x:c>
      <x:c r="O762" t="inlineStr">
        <x:is>
          <x:t xml:space="preserve">Pāḷi source / paraphrase row</x:t>
        </x:is>
      </x:c>
      <x:c r="P762" t="inlineStr">
        <x:is>
          <x:t xml:space="preserve">Như soi gương để nhìn lại khuôn mặt, có thể nhìn lại hành động trước khi làm, trong khi làm và sau khi làm.</x:t>
        </x:is>
      </x:c>
      <x:c r="Q762" t="inlineStr">
        <x:is>
          <x:t xml:space="preserve">Majjhima Nikāya / Early Buddhist Pāḷi tradition</x:t>
        </x:is>
      </x:c>
      <x:c r="R762" t="inlineStr">
        <x:is>
          <x:t xml:space="preserve">Early Buddhist / Pāḷi tradition</x:t>
        </x:is>
      </x:c>
      <x:c r="S762" t="inlineStr">
        <x:is>
          <x:t xml:space="preserve">MN 61 Ambalaṭṭhikarāhulovādasutta</x:t>
        </x:is>
      </x:c>
      <x:c r="T762" t="inlineStr">
        <x:is>
          <x:t xml:space="preserve">Mirror simile</x:t>
        </x:is>
      </x:c>
      <x:c r="U762" t="inlineStr">
        <x:is>
          <x:t xml:space="preserve">https://suttacentral.net/mn61/pli/ms</x:t>
        </x:is>
      </x:c>
      <x:c r="V762" t="inlineStr">
        <x:is>
          <x:t xml:space="preserve">Primary canonical Pāḷi text — SuttaCentral</x:t>
        </x:is>
      </x:c>
      <x:c r="W762" t="inlineStr">
        <x:is>
          <x:t xml:space="preserve">Research paraphrase — NOT direct quote</x:t>
        </x:is>
      </x:c>
      <x:c r="X762" t="inlineStr">
        <x:is>
          <x:t xml:space="preserve">A/B - source/theme verified; wording is editorial paraphrase</x:t>
        </x:is>
      </x:c>
      <x:c r="Y762" t="inlineStr">
        <x:is>
          <x:t xml:space="preserve">Exact Pāḷi retained only where passage-level wording was directly verified. Bracketed rows are deliberately not presented as verbatim quotations.</x:t>
        </x:is>
      </x:c>
      <x:c r="Z762" t="inlineStr">
        <x:is>
          <x:t xml:space="preserve">Ancient canonical text public domain; modern translations have separate rights</x:t>
        </x:is>
      </x:c>
      <x:c r="AA762" t="inlineStr">
        <x:is>
          <x:t xml:space="preserve">Use primary Pāḷi + fresh Selflo Vietnamese working translation. Do not copy modern copyrighted translations into Release.</x:t>
        </x:is>
      </x:c>
      <x:c r="AB762" t="inlineStr">
        <x:is>
          <x:t xml:space="preserve">High</x:t>
        </x:is>
      </x:c>
      <x:c r="AC762" t="inlineStr">
        <x:is>
          <x:t xml:space="preserve">Day 12 research candidate; requires owner/editorial review before Release.</x:t>
        </x:is>
      </x:c>
      <x:c r="AD762" t="inlineStr">
        <x:is>
          <x:t xml:space="preserve">Medium — religious/ascetic context requires careful adaptation</x:t>
        </x:is>
      </x:c>
      <x:c r="AE762" t="inlineStr">
        <x:is>
          <x:t xml:space="preserve">Needs semantic dedupe against Day 11 Dhammapada and existing Buddhist content</x:t>
        </x:is>
      </x:c>
      <x:c r="AH762" t="inlineStr">
        <x:is>
          <x:t xml:space="preserve">No</x:t>
        </x:is>
      </x:c>
      <x:c r="AI762" t="inlineStr">
        <x:is>
          <x:t xml:space="preserve">Not reviewed</x:t>
        </x:is>
      </x:c>
      <x:c r="AJ762" t="inlineStr">
        <x:is>
          <x:t xml:space="preserve">Research only</x:t>
        </x:is>
      </x:c>
      <x:c r="AK762" t="inlineStr">
        <x:is>
          <x:t xml:space="preserve">Research Pool</x:t>
        </x:is>
      </x:c>
      <x:c r="AL762" t="n">
        <x:v>12</x:v>
      </x:c>
      <x:c r="AM762" t="inlineStr">
        <x:is>
          <x:t xml:space="preserve">ChatGPT research</x:t>
        </x:is>
      </x:c>
      <x:c r="AN762" t="inlineStr">
        <x:is>
          <x:t xml:space="preserve">2026-09-18</x:t>
        </x:is>
      </x:c>
      <x:c r="AO762" t="inlineStr">
        <x:is>
          <x:t xml:space="preserve">Selected-sutta Day 12 scope. Preserve doctrinal context; do not silently turn contemplative teachings into clinical mental-health claims.</x:t>
        </x:is>
      </x:c>
    </x:row>
    <x:row r="763">
      <x:c r="A763" t="inlineStr">
        <x:is>
          <x:t xml:space="preserve">research.mn.day12.mn61_02</x:t>
        </x:is>
      </x:c>
      <x:c r="B763" t="inlineStr">
        <x:is>
          <x:t xml:space="preserve">Collected</x:t>
        </x:is>
      </x:c>
      <x:c r="C763" t="inlineStr">
        <x:is>
          <x:t xml:space="preserve">Nội tâm &amp; hiểu mình</x:t>
        </x:is>
      </x:c>
      <x:c r="D763" t="inlineStr">
        <x:is>
          <x:t xml:space="preserve">Day 12 / Majjhima Nikāya — selected suttas</x:t>
        </x:is>
      </x:c>
      <x:c r="F763" t="inlineStr">
        <x:is>
          <x:t xml:space="preserve">Mistake without identity collapse</x:t>
        </x:is>
      </x:c>
      <x:c r="G763" t="inlineStr">
        <x:is>
          <x:t xml:space="preserve">Failure / Self-understanding</x:t>
        </x:is>
      </x:c>
      <x:c r="K763" t="inlineStr">
        <x:is>
          <x:t xml:space="preserve">Reframe</x:t>
        </x:is>
      </x:c>
      <x:c r="M763" t="inlineStr">
        <x:is>
          <x:t xml:space="preserve">Source-anchored research paraphrase</x:t>
        </x:is>
      </x:c>
      <x:c r="N763" t="inlineStr">
        <x:is>
          <x:t xml:space="preserve">[Source-anchored paraphrase; see MN 61.]</x:t>
        </x:is>
      </x:c>
      <x:c r="O763" t="inlineStr">
        <x:is>
          <x:t xml:space="preserve">Pāḷi source / paraphrase row</x:t>
        </x:is>
      </x:c>
      <x:c r="P763" t="inlineStr">
        <x:is>
          <x:t xml:space="preserve">Một sai lầm đã xảy ra có thể trở thành dữ liệu để nhận ra, thừa nhận và điều chỉnh lần sau—không cần biến nó thành toàn bộ bản sắc.</x:t>
        </x:is>
      </x:c>
      <x:c r="Q763" t="inlineStr">
        <x:is>
          <x:t xml:space="preserve">Majjhima Nikāya / Early Buddhist Pāḷi tradition</x:t>
        </x:is>
      </x:c>
      <x:c r="R763" t="inlineStr">
        <x:is>
          <x:t xml:space="preserve">Early Buddhist / Pāḷi tradition</x:t>
        </x:is>
      </x:c>
      <x:c r="S763" t="inlineStr">
        <x:is>
          <x:t xml:space="preserve">MN 61 Ambalaṭṭhikarāhulovādasutta</x:t>
        </x:is>
      </x:c>
      <x:c r="T763" t="inlineStr">
        <x:is>
          <x:t xml:space="preserve">Action review</x:t>
        </x:is>
      </x:c>
      <x:c r="U763" t="inlineStr">
        <x:is>
          <x:t xml:space="preserve">https://suttacentral.net/mn61/pli/ms</x:t>
        </x:is>
      </x:c>
      <x:c r="V763" t="inlineStr">
        <x:is>
          <x:t xml:space="preserve">Primary canonical Pāḷi text — SuttaCentral</x:t>
        </x:is>
      </x:c>
      <x:c r="W763" t="inlineStr">
        <x:is>
          <x:t xml:space="preserve">Research paraphrase — NOT direct quote</x:t>
        </x:is>
      </x:c>
      <x:c r="X763" t="inlineStr">
        <x:is>
          <x:t xml:space="preserve">A/B - source/theme verified; wording is editorial paraphrase</x:t>
        </x:is>
      </x:c>
      <x:c r="Y763" t="inlineStr">
        <x:is>
          <x:t xml:space="preserve">Exact Pāḷi retained only where passage-level wording was directly verified. Bracketed rows are deliberately not presented as verbatim quotations.</x:t>
        </x:is>
      </x:c>
      <x:c r="Z763" t="inlineStr">
        <x:is>
          <x:t xml:space="preserve">Ancient canonical text public domain; modern translations have separate rights</x:t>
        </x:is>
      </x:c>
      <x:c r="AA763" t="inlineStr">
        <x:is>
          <x:t xml:space="preserve">Use primary Pāḷi + fresh Selflo Vietnamese working translation. Do not copy modern copyrighted translations into Release.</x:t>
        </x:is>
      </x:c>
      <x:c r="AB763" t="inlineStr">
        <x:is>
          <x:t xml:space="preserve">High</x:t>
        </x:is>
      </x:c>
      <x:c r="AC763" t="inlineStr">
        <x:is>
          <x:t xml:space="preserve">Day 12 research candidate; requires owner/editorial review before Release.</x:t>
        </x:is>
      </x:c>
      <x:c r="AD763" t="inlineStr">
        <x:is>
          <x:t xml:space="preserve">Medium — religious/ascetic context requires careful adaptation</x:t>
        </x:is>
      </x:c>
      <x:c r="AE763" t="inlineStr">
        <x:is>
          <x:t xml:space="preserve">Needs semantic dedupe against Day 11 Dhammapada and existing Buddhist content</x:t>
        </x:is>
      </x:c>
      <x:c r="AH763" t="inlineStr">
        <x:is>
          <x:t xml:space="preserve">No</x:t>
        </x:is>
      </x:c>
      <x:c r="AI763" t="inlineStr">
        <x:is>
          <x:t xml:space="preserve">Not reviewed</x:t>
        </x:is>
      </x:c>
      <x:c r="AJ763" t="inlineStr">
        <x:is>
          <x:t xml:space="preserve">Research only</x:t>
        </x:is>
      </x:c>
      <x:c r="AK763" t="inlineStr">
        <x:is>
          <x:t xml:space="preserve">Research Pool</x:t>
        </x:is>
      </x:c>
      <x:c r="AL763" t="n">
        <x:v>12</x:v>
      </x:c>
      <x:c r="AM763" t="inlineStr">
        <x:is>
          <x:t xml:space="preserve">ChatGPT research</x:t>
        </x:is>
      </x:c>
      <x:c r="AN763" t="inlineStr">
        <x:is>
          <x:t xml:space="preserve">2026-09-18</x:t>
        </x:is>
      </x:c>
      <x:c r="AO763" t="inlineStr">
        <x:is>
          <x:t xml:space="preserve">Selected-sutta Day 12 scope. Preserve doctrinal context; do not silently turn contemplative teachings into clinical mental-health claims.</x:t>
        </x:is>
      </x:c>
    </x:row>
    <x:row r="764">
      <x:c r="A764" t="inlineStr">
        <x:is>
          <x:t xml:space="preserve">research.mn.day12.mn62_01</x:t>
        </x:is>
      </x:c>
      <x:c r="B764" t="inlineStr">
        <x:is>
          <x:t xml:space="preserve">Collected</x:t>
        </x:is>
      </x:c>
      <x:c r="C764" t="inlineStr">
        <x:is>
          <x:t xml:space="preserve">Nội tâm &amp; hiểu mình</x:t>
        </x:is>
      </x:c>
      <x:c r="D764" t="inlineStr">
        <x:is>
          <x:t xml:space="preserve">Day 12 / Majjhima Nikāya — selected suttas</x:t>
        </x:is>
      </x:c>
      <x:c r="F764" t="inlineStr">
        <x:is>
          <x:t xml:space="preserve">Capacity to hold experience</x:t>
        </x:is>
      </x:c>
      <x:c r="G764" t="inlineStr">
        <x:is>
          <x:t xml:space="preserve">Emotion / Equanimity</x:t>
        </x:is>
      </x:c>
      <x:c r="K764" t="inlineStr">
        <x:is>
          <x:t xml:space="preserve">Reframe</x:t>
        </x:is>
      </x:c>
      <x:c r="M764" t="inlineStr">
        <x:is>
          <x:t xml:space="preserve">Canonical passage</x:t>
        </x:is>
      </x:c>
      <x:c r="N764" t="inlineStr">
        <x:is>
          <x:t xml:space="preserve">pathavisamaṁ, rāhula, bhāvanaṁ bhāvehi.</x:t>
        </x:is>
      </x:c>
      <x:c r="O764" t="inlineStr">
        <x:is>
          <x:t xml:space="preserve">Pāḷi</x:t>
        </x:is>
      </x:c>
      <x:c r="P764" t="inlineStr">
        <x:is>
          <x:t xml:space="preserve">Hãy học từ đất: nhiều thứ sạch hay bẩn đi qua mà đất không vì thế trở thành chính những thứ ấy.</x:t>
        </x:is>
      </x:c>
      <x:c r="Q764" t="inlineStr">
        <x:is>
          <x:t xml:space="preserve">Majjhima Nikāya / Early Buddhist Pāḷi tradition</x:t>
        </x:is>
      </x:c>
      <x:c r="R764" t="inlineStr">
        <x:is>
          <x:t xml:space="preserve">Early Buddhist / Pāḷi tradition</x:t>
        </x:is>
      </x:c>
      <x:c r="S764" t="inlineStr">
        <x:is>
          <x:t xml:space="preserve">MN 62 Mahārāhulovādasutta</x:t>
        </x:is>
      </x:c>
      <x:c r="T764" t="inlineStr">
        <x:is>
          <x:t xml:space="preserve">Earth simile</x:t>
        </x:is>
      </x:c>
      <x:c r="U764" t="inlineStr">
        <x:is>
          <x:t xml:space="preserve">https://suttacentral.net/mn62/pli/ms</x:t>
        </x:is>
      </x:c>
      <x:c r="V764" t="inlineStr">
        <x:is>
          <x:t xml:space="preserve">Primary canonical Pāḷi text — SuttaCentral</x:t>
        </x:is>
      </x:c>
      <x:c r="W764" t="inlineStr">
        <x:is>
          <x:t xml:space="preserve">Canonical passage</x:t>
        </x:is>
      </x:c>
      <x:c r="X764" t="inlineStr">
        <x:is>
          <x:t xml:space="preserve">A - primary Pāḷi source located</x:t>
        </x:is>
      </x:c>
      <x:c r="Y764" t="inlineStr">
        <x:is>
          <x:t xml:space="preserve">Exact Pāḷi retained only where passage-level wording was directly verified. Bracketed rows are deliberately not presented as verbatim quotations.</x:t>
        </x:is>
      </x:c>
      <x:c r="Z764" t="inlineStr">
        <x:is>
          <x:t xml:space="preserve">Ancient canonical text public domain; modern translations have separate rights</x:t>
        </x:is>
      </x:c>
      <x:c r="AA764" t="inlineStr">
        <x:is>
          <x:t xml:space="preserve">Use primary Pāḷi + fresh Selflo Vietnamese working translation. Do not copy modern copyrighted translations into Release.</x:t>
        </x:is>
      </x:c>
      <x:c r="AB764" t="inlineStr">
        <x:is>
          <x:t xml:space="preserve">High</x:t>
        </x:is>
      </x:c>
      <x:c r="AC764" t="inlineStr">
        <x:is>
          <x:t xml:space="preserve">Day 12 research candidate; requires owner/editorial review before Release.</x:t>
        </x:is>
      </x:c>
      <x:c r="AD764" t="inlineStr">
        <x:is>
          <x:t xml:space="preserve">Medium — religious/ascetic context requires careful adaptation</x:t>
        </x:is>
      </x:c>
      <x:c r="AE764" t="inlineStr">
        <x:is>
          <x:t xml:space="preserve">Needs semantic dedupe against Day 11 Dhammapada and existing Buddhist content</x:t>
        </x:is>
      </x:c>
      <x:c r="AH764" t="inlineStr">
        <x:is>
          <x:t xml:space="preserve">No</x:t>
        </x:is>
      </x:c>
      <x:c r="AI764" t="inlineStr">
        <x:is>
          <x:t xml:space="preserve">Not reviewed</x:t>
        </x:is>
      </x:c>
      <x:c r="AJ764" t="inlineStr">
        <x:is>
          <x:t xml:space="preserve">Research only</x:t>
        </x:is>
      </x:c>
      <x:c r="AK764" t="inlineStr">
        <x:is>
          <x:t xml:space="preserve">Research Pool</x:t>
        </x:is>
      </x:c>
      <x:c r="AL764" t="n">
        <x:v>12</x:v>
      </x:c>
      <x:c r="AM764" t="inlineStr">
        <x:is>
          <x:t xml:space="preserve">ChatGPT research</x:t>
        </x:is>
      </x:c>
      <x:c r="AN764" t="inlineStr">
        <x:is>
          <x:t xml:space="preserve">2026-09-18</x:t>
        </x:is>
      </x:c>
      <x:c r="AO764" t="inlineStr">
        <x:is>
          <x:t xml:space="preserve">Selected-sutta Day 12 scope. Preserve doctrinal context; do not silently turn contemplative teachings into clinical mental-health claims.</x:t>
        </x:is>
      </x:c>
    </x:row>
    <x:row r="765">
      <x:c r="A765" t="inlineStr">
        <x:is>
          <x:t xml:space="preserve">research.mn.day12.mn62_02</x:t>
        </x:is>
      </x:c>
      <x:c r="B765" t="inlineStr">
        <x:is>
          <x:t xml:space="preserve">Collected</x:t>
        </x:is>
      </x:c>
      <x:c r="C765" t="inlineStr">
        <x:is>
          <x:t xml:space="preserve">Nội tâm &amp; hiểu mình</x:t>
        </x:is>
      </x:c>
      <x:c r="D765" t="inlineStr">
        <x:is>
          <x:t xml:space="preserve">Day 12 / Majjhima Nikāya — selected suttas</x:t>
        </x:is>
      </x:c>
      <x:c r="F765" t="inlineStr">
        <x:is>
          <x:t xml:space="preserve">Emotion ≠ identity</x:t>
        </x:is>
      </x:c>
      <x:c r="G765" t="inlineStr">
        <x:is>
          <x:t xml:space="preserve">Emotion / Self-understanding</x:t>
        </x:is>
      </x:c>
      <x:c r="K765" t="inlineStr">
        <x:is>
          <x:t xml:space="preserve">Reframe</x:t>
        </x:is>
      </x:c>
      <x:c r="M765" t="inlineStr">
        <x:is>
          <x:t xml:space="preserve">Canonical passage</x:t>
        </x:is>
      </x:c>
      <x:c r="N765" t="inlineStr">
        <x:is>
          <x:t xml:space="preserve">āposamaṁ, rāhula, bhāvanaṁ bhāvehi.</x:t>
        </x:is>
      </x:c>
      <x:c r="O765" t="inlineStr">
        <x:is>
          <x:t xml:space="preserve">Pāḷi</x:t>
        </x:is>
      </x:c>
      <x:c r="P765" t="inlineStr">
        <x:is>
          <x:t xml:space="preserve">Nước có thể tiếp xúc nhiều thứ mà vẫn tiếp tục là nước—một hình ảnh cho việc chứa trải nghiệm mà không bị một trải nghiệm định nghĩa hoàn toàn.</x:t>
        </x:is>
      </x:c>
      <x:c r="Q765" t="inlineStr">
        <x:is>
          <x:t xml:space="preserve">Majjhima Nikāya / Early Buddhist Pāḷi tradition</x:t>
        </x:is>
      </x:c>
      <x:c r="R765" t="inlineStr">
        <x:is>
          <x:t xml:space="preserve">Early Buddhist / Pāḷi tradition</x:t>
        </x:is>
      </x:c>
      <x:c r="S765" t="inlineStr">
        <x:is>
          <x:t xml:space="preserve">MN 62 Mahārāhulovādasutta</x:t>
        </x:is>
      </x:c>
      <x:c r="T765" t="inlineStr">
        <x:is>
          <x:t xml:space="preserve">Water simile</x:t>
        </x:is>
      </x:c>
      <x:c r="U765" t="inlineStr">
        <x:is>
          <x:t xml:space="preserve">https://suttacentral.net/mn62/pli/ms</x:t>
        </x:is>
      </x:c>
      <x:c r="V765" t="inlineStr">
        <x:is>
          <x:t xml:space="preserve">Primary canonical Pāḷi text — SuttaCentral</x:t>
        </x:is>
      </x:c>
      <x:c r="W765" t="inlineStr">
        <x:is>
          <x:t xml:space="preserve">Canonical passage</x:t>
        </x:is>
      </x:c>
      <x:c r="X765" t="inlineStr">
        <x:is>
          <x:t xml:space="preserve">A - primary Pāḷi source located</x:t>
        </x:is>
      </x:c>
      <x:c r="Y765" t="inlineStr">
        <x:is>
          <x:t xml:space="preserve">Exact Pāḷi retained only where passage-level wording was directly verified. Bracketed rows are deliberately not presented as verbatim quotations.</x:t>
        </x:is>
      </x:c>
      <x:c r="Z765" t="inlineStr">
        <x:is>
          <x:t xml:space="preserve">Ancient canonical text public domain; modern translations have separate rights</x:t>
        </x:is>
      </x:c>
      <x:c r="AA765" t="inlineStr">
        <x:is>
          <x:t xml:space="preserve">Use primary Pāḷi + fresh Selflo Vietnamese working translation. Do not copy modern copyrighted translations into Release.</x:t>
        </x:is>
      </x:c>
      <x:c r="AB765" t="inlineStr">
        <x:is>
          <x:t xml:space="preserve">High</x:t>
        </x:is>
      </x:c>
      <x:c r="AC765" t="inlineStr">
        <x:is>
          <x:t xml:space="preserve">Day 12 research candidate; requires owner/editorial review before Release.</x:t>
        </x:is>
      </x:c>
      <x:c r="AD765" t="inlineStr">
        <x:is>
          <x:t xml:space="preserve">Medium — religious/ascetic context requires careful adaptation</x:t>
        </x:is>
      </x:c>
      <x:c r="AE765" t="inlineStr">
        <x:is>
          <x:t xml:space="preserve">Needs semantic dedupe against Day 11 Dhammapada and existing Buddhist content</x:t>
        </x:is>
      </x:c>
      <x:c r="AH765" t="inlineStr">
        <x:is>
          <x:t xml:space="preserve">No</x:t>
        </x:is>
      </x:c>
      <x:c r="AI765" t="inlineStr">
        <x:is>
          <x:t xml:space="preserve">Not reviewed</x:t>
        </x:is>
      </x:c>
      <x:c r="AJ765" t="inlineStr">
        <x:is>
          <x:t xml:space="preserve">Research only</x:t>
        </x:is>
      </x:c>
      <x:c r="AK765" t="inlineStr">
        <x:is>
          <x:t xml:space="preserve">Research Pool</x:t>
        </x:is>
      </x:c>
      <x:c r="AL765" t="n">
        <x:v>12</x:v>
      </x:c>
      <x:c r="AM765" t="inlineStr">
        <x:is>
          <x:t xml:space="preserve">ChatGPT research</x:t>
        </x:is>
      </x:c>
      <x:c r="AN765" t="inlineStr">
        <x:is>
          <x:t xml:space="preserve">2026-09-18</x:t>
        </x:is>
      </x:c>
      <x:c r="AO765" t="inlineStr">
        <x:is>
          <x:t xml:space="preserve">Selected-sutta Day 12 scope. Preserve doctrinal context; do not silently turn contemplative teachings into clinical mental-health claims.</x:t>
        </x:is>
      </x:c>
    </x:row>
    <x:row r="766">
      <x:c r="A766" t="inlineStr">
        <x:is>
          <x:t xml:space="preserve">research.mn.day12.mn62_03</x:t>
        </x:is>
      </x:c>
      <x:c r="B766" t="inlineStr">
        <x:is>
          <x:t xml:space="preserve">Collected</x:t>
        </x:is>
      </x:c>
      <x:c r="C766" t="inlineStr">
        <x:is>
          <x:t xml:space="preserve">Nội tâm &amp; hiểu mình</x:t>
        </x:is>
      </x:c>
      <x:c r="D766" t="inlineStr">
        <x:is>
          <x:t xml:space="preserve">Day 12 / Majjhima Nikāya — selected suttas</x:t>
        </x:is>
      </x:c>
      <x:c r="F766" t="inlineStr">
        <x:is>
          <x:t xml:space="preserve">Holding changing inputs</x:t>
        </x:is>
      </x:c>
      <x:c r="G766" t="inlineStr">
        <x:is>
          <x:t xml:space="preserve">Change / Identity</x:t>
        </x:is>
      </x:c>
      <x:c r="K766" t="inlineStr">
        <x:is>
          <x:t xml:space="preserve">Reframe</x:t>
        </x:is>
      </x:c>
      <x:c r="M766" t="inlineStr">
        <x:is>
          <x:t xml:space="preserve">Canonical passage</x:t>
        </x:is>
      </x:c>
      <x:c r="N766" t="inlineStr">
        <x:is>
          <x:t xml:space="preserve">tejosamaṁ, rāhula, bhāvanaṁ bhāvehi.</x:t>
        </x:is>
      </x:c>
      <x:c r="O766" t="inlineStr">
        <x:is>
          <x:t xml:space="preserve">Pāḷi</x:t>
        </x:is>
      </x:c>
      <x:c r="P766" t="inlineStr">
        <x:is>
          <x:t xml:space="preserve">Lửa tiếp nhận nhiều loại nhiên liệu mà không cần biến mỗi thứ thành một bản sắc riêng của nó.</x:t>
        </x:is>
      </x:c>
      <x:c r="Q766" t="inlineStr">
        <x:is>
          <x:t xml:space="preserve">Majjhima Nikāya / Early Buddhist Pāḷi tradition</x:t>
        </x:is>
      </x:c>
      <x:c r="R766" t="inlineStr">
        <x:is>
          <x:t xml:space="preserve">Early Buddhist / Pāḷi tradition</x:t>
        </x:is>
      </x:c>
      <x:c r="S766" t="inlineStr">
        <x:is>
          <x:t xml:space="preserve">MN 62 Mahārāhulovādasutta</x:t>
        </x:is>
      </x:c>
      <x:c r="T766" t="inlineStr">
        <x:is>
          <x:t xml:space="preserve">Fire simile</x:t>
        </x:is>
      </x:c>
      <x:c r="U766" t="inlineStr">
        <x:is>
          <x:t xml:space="preserve">https://suttacentral.net/mn62/pli/ms</x:t>
        </x:is>
      </x:c>
      <x:c r="V766" t="inlineStr">
        <x:is>
          <x:t xml:space="preserve">Primary canonical Pāḷi text — SuttaCentral</x:t>
        </x:is>
      </x:c>
      <x:c r="W766" t="inlineStr">
        <x:is>
          <x:t xml:space="preserve">Canonical passage</x:t>
        </x:is>
      </x:c>
      <x:c r="X766" t="inlineStr">
        <x:is>
          <x:t xml:space="preserve">A - primary Pāḷi source located</x:t>
        </x:is>
      </x:c>
      <x:c r="Y766" t="inlineStr">
        <x:is>
          <x:t xml:space="preserve">Exact Pāḷi retained only where passage-level wording was directly verified. Bracketed rows are deliberately not presented as verbatim quotations.</x:t>
        </x:is>
      </x:c>
      <x:c r="Z766" t="inlineStr">
        <x:is>
          <x:t xml:space="preserve">Ancient canonical text public domain; modern translations have separate rights</x:t>
        </x:is>
      </x:c>
      <x:c r="AA766" t="inlineStr">
        <x:is>
          <x:t xml:space="preserve">Use primary Pāḷi + fresh Selflo Vietnamese working translation. Do not copy modern copyrighted translations into Release.</x:t>
        </x:is>
      </x:c>
      <x:c r="AB766" t="inlineStr">
        <x:is>
          <x:t xml:space="preserve">Medium</x:t>
        </x:is>
      </x:c>
      <x:c r="AC766" t="inlineStr">
        <x:is>
          <x:t xml:space="preserve">Day 12 research candidate; requires owner/editorial review before Release.</x:t>
        </x:is>
      </x:c>
      <x:c r="AD766" t="inlineStr">
        <x:is>
          <x:t xml:space="preserve">Medium — religious/ascetic context requires careful adaptation</x:t>
        </x:is>
      </x:c>
      <x:c r="AE766" t="inlineStr">
        <x:is>
          <x:t xml:space="preserve">Needs semantic dedupe against Day 11 Dhammapada and existing Buddhist content</x:t>
        </x:is>
      </x:c>
      <x:c r="AH766" t="inlineStr">
        <x:is>
          <x:t xml:space="preserve">No</x:t>
        </x:is>
      </x:c>
      <x:c r="AI766" t="inlineStr">
        <x:is>
          <x:t xml:space="preserve">Not reviewed</x:t>
        </x:is>
      </x:c>
      <x:c r="AJ766" t="inlineStr">
        <x:is>
          <x:t xml:space="preserve">Research only</x:t>
        </x:is>
      </x:c>
      <x:c r="AK766" t="inlineStr">
        <x:is>
          <x:t xml:space="preserve">Research Pool</x:t>
        </x:is>
      </x:c>
      <x:c r="AL766" t="n">
        <x:v>12</x:v>
      </x:c>
      <x:c r="AM766" t="inlineStr">
        <x:is>
          <x:t xml:space="preserve">ChatGPT research</x:t>
        </x:is>
      </x:c>
      <x:c r="AN766" t="inlineStr">
        <x:is>
          <x:t xml:space="preserve">2026-09-18</x:t>
        </x:is>
      </x:c>
      <x:c r="AO766" t="inlineStr">
        <x:is>
          <x:t xml:space="preserve">Selected-sutta Day 12 scope. Preserve doctrinal context; do not silently turn contemplative teachings into clinical mental-health claims.</x:t>
        </x:is>
      </x:c>
    </x:row>
    <x:row r="767">
      <x:c r="A767" t="inlineStr">
        <x:is>
          <x:t xml:space="preserve">research.mn.day12.mn62_04</x:t>
        </x:is>
      </x:c>
      <x:c r="B767" t="inlineStr">
        <x:is>
          <x:t xml:space="preserve">Collected</x:t>
        </x:is>
      </x:c>
      <x:c r="C767" t="inlineStr">
        <x:is>
          <x:t xml:space="preserve">Nội tâm &amp; hiểu mình</x:t>
        </x:is>
      </x:c>
      <x:c r="D767" t="inlineStr">
        <x:is>
          <x:t xml:space="preserve">Day 12 / Majjhima Nikāya — selected suttas</x:t>
        </x:is>
      </x:c>
      <x:c r="F767" t="inlineStr">
        <x:is>
          <x:t xml:space="preserve">Letting experience pass</x:t>
        </x:is>
      </x:c>
      <x:c r="G767" t="inlineStr">
        <x:is>
          <x:t xml:space="preserve">Recovery / Letting go</x:t>
        </x:is>
      </x:c>
      <x:c r="K767" t="inlineStr">
        <x:is>
          <x:t xml:space="preserve">Permit</x:t>
        </x:is>
      </x:c>
      <x:c r="M767" t="inlineStr">
        <x:is>
          <x:t xml:space="preserve">Canonical passage</x:t>
        </x:is>
      </x:c>
      <x:c r="N767" t="inlineStr">
        <x:is>
          <x:t xml:space="preserve">vāyosamaṁ, rāhula, bhāvanaṁ bhāvehi.</x:t>
        </x:is>
      </x:c>
      <x:c r="O767" t="inlineStr">
        <x:is>
          <x:t xml:space="preserve">Pāḷi</x:t>
        </x:is>
      </x:c>
      <x:c r="P767" t="inlineStr">
        <x:is>
          <x:t xml:space="preserve">Gió đi qua nhiều nơi mà không giữ lại mọi thứ nó chạm vào.</x:t>
        </x:is>
      </x:c>
      <x:c r="Q767" t="inlineStr">
        <x:is>
          <x:t xml:space="preserve">Majjhima Nikāya / Early Buddhist Pāḷi tradition</x:t>
        </x:is>
      </x:c>
      <x:c r="R767" t="inlineStr">
        <x:is>
          <x:t xml:space="preserve">Early Buddhist / Pāḷi tradition</x:t>
        </x:is>
      </x:c>
      <x:c r="S767" t="inlineStr">
        <x:is>
          <x:t xml:space="preserve">MN 62 Mahārāhulovādasutta</x:t>
        </x:is>
      </x:c>
      <x:c r="T767" t="inlineStr">
        <x:is>
          <x:t xml:space="preserve">Air simile</x:t>
        </x:is>
      </x:c>
      <x:c r="U767" t="inlineStr">
        <x:is>
          <x:t xml:space="preserve">https://suttacentral.net/mn62/pli/ms</x:t>
        </x:is>
      </x:c>
      <x:c r="V767" t="inlineStr">
        <x:is>
          <x:t xml:space="preserve">Primary canonical Pāḷi text — SuttaCentral</x:t>
        </x:is>
      </x:c>
      <x:c r="W767" t="inlineStr">
        <x:is>
          <x:t xml:space="preserve">Canonical passage</x:t>
        </x:is>
      </x:c>
      <x:c r="X767" t="inlineStr">
        <x:is>
          <x:t xml:space="preserve">A - primary Pāḷi source located</x:t>
        </x:is>
      </x:c>
      <x:c r="Y767" t="inlineStr">
        <x:is>
          <x:t xml:space="preserve">Exact Pāḷi retained only where passage-level wording was directly verified. Bracketed rows are deliberately not presented as verbatim quotations.</x:t>
        </x:is>
      </x:c>
      <x:c r="Z767" t="inlineStr">
        <x:is>
          <x:t xml:space="preserve">Ancient canonical text public domain; modern translations have separate rights</x:t>
        </x:is>
      </x:c>
      <x:c r="AA767" t="inlineStr">
        <x:is>
          <x:t xml:space="preserve">Use primary Pāḷi + fresh Selflo Vietnamese working translation. Do not copy modern copyrighted translations into Release.</x:t>
        </x:is>
      </x:c>
      <x:c r="AB767" t="inlineStr">
        <x:is>
          <x:t xml:space="preserve">High</x:t>
        </x:is>
      </x:c>
      <x:c r="AC767" t="inlineStr">
        <x:is>
          <x:t xml:space="preserve">Day 12 research candidate; requires owner/editorial review before Release.</x:t>
        </x:is>
      </x:c>
      <x:c r="AD767" t="inlineStr">
        <x:is>
          <x:t xml:space="preserve">Medium — religious/ascetic context requires careful adaptation</x:t>
        </x:is>
      </x:c>
      <x:c r="AE767" t="inlineStr">
        <x:is>
          <x:t xml:space="preserve">Needs semantic dedupe against Day 11 Dhammapada and existing Buddhist content</x:t>
        </x:is>
      </x:c>
      <x:c r="AH767" t="inlineStr">
        <x:is>
          <x:t xml:space="preserve">No</x:t>
        </x:is>
      </x:c>
      <x:c r="AI767" t="inlineStr">
        <x:is>
          <x:t xml:space="preserve">Not reviewed</x:t>
        </x:is>
      </x:c>
      <x:c r="AJ767" t="inlineStr">
        <x:is>
          <x:t xml:space="preserve">Research only</x:t>
        </x:is>
      </x:c>
      <x:c r="AK767" t="inlineStr">
        <x:is>
          <x:t xml:space="preserve">Research Pool</x:t>
        </x:is>
      </x:c>
      <x:c r="AL767" t="n">
        <x:v>12</x:v>
      </x:c>
      <x:c r="AM767" t="inlineStr">
        <x:is>
          <x:t xml:space="preserve">ChatGPT research</x:t>
        </x:is>
      </x:c>
      <x:c r="AN767" t="inlineStr">
        <x:is>
          <x:t xml:space="preserve">2026-09-18</x:t>
        </x:is>
      </x:c>
      <x:c r="AO767" t="inlineStr">
        <x:is>
          <x:t xml:space="preserve">Selected-sutta Day 12 scope. Preserve doctrinal context; do not silently turn contemplative teachings into clinical mental-health claims.</x:t>
        </x:is>
      </x:c>
    </x:row>
    <x:row r="768">
      <x:c r="A768" t="inlineStr">
        <x:is>
          <x:t xml:space="preserve">research.mn.day12.mn118_01</x:t>
        </x:is>
      </x:c>
      <x:c r="B768" t="inlineStr">
        <x:is>
          <x:t xml:space="preserve">Collected</x:t>
        </x:is>
      </x:c>
      <x:c r="C768" t="inlineStr">
        <x:is>
          <x:t xml:space="preserve">Nội tâm &amp; hiểu mình</x:t>
        </x:is>
      </x:c>
      <x:c r="D768" t="inlineStr">
        <x:is>
          <x:t xml:space="preserve">Day 12 / Majjhima Nikāya — selected suttas</x:t>
        </x:is>
      </x:c>
      <x:c r="F768" t="inlineStr">
        <x:is>
          <x:t xml:space="preserve">Direct observation</x:t>
        </x:is>
      </x:c>
      <x:c r="G768" t="inlineStr">
        <x:is>
          <x:t xml:space="preserve">Attention / Presence</x:t>
        </x:is>
      </x:c>
      <x:c r="K768" t="inlineStr">
        <x:is>
          <x:t xml:space="preserve">Recognize</x:t>
        </x:is>
      </x:c>
      <x:c r="M768" t="inlineStr">
        <x:is>
          <x:t xml:space="preserve">Canonical passage</x:t>
        </x:is>
      </x:c>
      <x:c r="N768" t="inlineStr">
        <x:is>
          <x:t xml:space="preserve">dīghaṁ vā assasanto ‘dīghaṁ assasāmī’ti pajānāti.</x:t>
        </x:is>
      </x:c>
      <x:c r="O768" t="inlineStr">
        <x:is>
          <x:t xml:space="preserve">Pāḷi</x:t>
        </x:is>
      </x:c>
      <x:c r="P768" t="inlineStr">
        <x:is>
          <x:t xml:space="preserve">Khi hơi thở dài, chỉ cần biết hơi thở đang dài.</x:t>
        </x:is>
      </x:c>
      <x:c r="Q768" t="inlineStr">
        <x:is>
          <x:t xml:space="preserve">Majjhima Nikāya / Early Buddhist Pāḷi tradition</x:t>
        </x:is>
      </x:c>
      <x:c r="R768" t="inlineStr">
        <x:is>
          <x:t xml:space="preserve">Early Buddhist / Pāḷi tradition</x:t>
        </x:is>
      </x:c>
      <x:c r="S768" t="inlineStr">
        <x:is>
          <x:t xml:space="preserve">MN 118 Ānāpānassatisutta</x:t>
        </x:is>
      </x:c>
      <x:c r="T768" t="inlineStr">
        <x:is>
          <x:t xml:space="preserve">Breathing mindfulness</x:t>
        </x:is>
      </x:c>
      <x:c r="U768" t="inlineStr">
        <x:is>
          <x:t xml:space="preserve">https://suttacentral.net/mn118/pli/ms</x:t>
        </x:is>
      </x:c>
      <x:c r="V768" t="inlineStr">
        <x:is>
          <x:t xml:space="preserve">Primary canonical Pāḷi text — SuttaCentral</x:t>
        </x:is>
      </x:c>
      <x:c r="W768" t="inlineStr">
        <x:is>
          <x:t xml:space="preserve">Canonical passage</x:t>
        </x:is>
      </x:c>
      <x:c r="X768" t="inlineStr">
        <x:is>
          <x:t xml:space="preserve">A - primary Pāḷi source located</x:t>
        </x:is>
      </x:c>
      <x:c r="Y768" t="inlineStr">
        <x:is>
          <x:t xml:space="preserve">Exact Pāḷi retained only where passage-level wording was directly verified. Bracketed rows are deliberately not presented as verbatim quotations.</x:t>
        </x:is>
      </x:c>
      <x:c r="Z768" t="inlineStr">
        <x:is>
          <x:t xml:space="preserve">Ancient canonical text public domain; modern translations have separate rights</x:t>
        </x:is>
      </x:c>
      <x:c r="AA768" t="inlineStr">
        <x:is>
          <x:t xml:space="preserve">Use primary Pāḷi + fresh Selflo Vietnamese working translation. Do not copy modern copyrighted translations into Release.</x:t>
        </x:is>
      </x:c>
      <x:c r="AB768" t="inlineStr">
        <x:is>
          <x:t xml:space="preserve">High</x:t>
        </x:is>
      </x:c>
      <x:c r="AC768" t="inlineStr">
        <x:is>
          <x:t xml:space="preserve">Day 12 research candidate; requires owner/editorial review before Release.</x:t>
        </x:is>
      </x:c>
      <x:c r="AD768" t="inlineStr">
        <x:is>
          <x:t xml:space="preserve">Medium — religious/ascetic context requires careful adaptation</x:t>
        </x:is>
      </x:c>
      <x:c r="AE768" t="inlineStr">
        <x:is>
          <x:t xml:space="preserve">Needs semantic dedupe against Day 11 Dhammapada and existing Buddhist content</x:t>
        </x:is>
      </x:c>
      <x:c r="AH768" t="inlineStr">
        <x:is>
          <x:t xml:space="preserve">No</x:t>
        </x:is>
      </x:c>
      <x:c r="AI768" t="inlineStr">
        <x:is>
          <x:t xml:space="preserve">Not reviewed</x:t>
        </x:is>
      </x:c>
      <x:c r="AJ768" t="inlineStr">
        <x:is>
          <x:t xml:space="preserve">Research only</x:t>
        </x:is>
      </x:c>
      <x:c r="AK768" t="inlineStr">
        <x:is>
          <x:t xml:space="preserve">Research Pool</x:t>
        </x:is>
      </x:c>
      <x:c r="AL768" t="n">
        <x:v>12</x:v>
      </x:c>
      <x:c r="AM768" t="inlineStr">
        <x:is>
          <x:t xml:space="preserve">ChatGPT research</x:t>
        </x:is>
      </x:c>
      <x:c r="AN768" t="inlineStr">
        <x:is>
          <x:t xml:space="preserve">2026-09-18</x:t>
        </x:is>
      </x:c>
      <x:c r="AO768" t="inlineStr">
        <x:is>
          <x:t xml:space="preserve">Selected-sutta Day 12 scope. Preserve doctrinal context; do not silently turn contemplative teachings into clinical mental-health claims.</x:t>
        </x:is>
      </x:c>
    </x:row>
    <x:row r="769">
      <x:c r="A769" t="inlineStr">
        <x:is>
          <x:t xml:space="preserve">research.mn.day12.mn118_02</x:t>
        </x:is>
      </x:c>
      <x:c r="B769" t="inlineStr">
        <x:is>
          <x:t xml:space="preserve">Collected</x:t>
        </x:is>
      </x:c>
      <x:c r="C769" t="inlineStr">
        <x:is>
          <x:t xml:space="preserve">Nội tâm &amp; hiểu mình</x:t>
        </x:is>
      </x:c>
      <x:c r="D769" t="inlineStr">
        <x:is>
          <x:t xml:space="preserve">Day 12 / Majjhima Nikāya — selected suttas</x:t>
        </x:is>
      </x:c>
      <x:c r="F769" t="inlineStr">
        <x:is>
          <x:t xml:space="preserve">Direct observation without fixing</x:t>
        </x:is>
      </x:c>
      <x:c r="G769" t="inlineStr">
        <x:is>
          <x:t xml:space="preserve">Attention / Presence</x:t>
        </x:is>
      </x:c>
      <x:c r="K769" t="inlineStr">
        <x:is>
          <x:t xml:space="preserve">Recognize</x:t>
        </x:is>
      </x:c>
      <x:c r="M769" t="inlineStr">
        <x:is>
          <x:t xml:space="preserve">Canonical passage</x:t>
        </x:is>
      </x:c>
      <x:c r="N769" t="inlineStr">
        <x:is>
          <x:t xml:space="preserve">rassaṁ vā assasanto ‘rassaṁ assasāmī’ti pajānāti.</x:t>
        </x:is>
      </x:c>
      <x:c r="O769" t="inlineStr">
        <x:is>
          <x:t xml:space="preserve">Pāḷi</x:t>
        </x:is>
      </x:c>
      <x:c r="P769" t="inlineStr">
        <x:is>
          <x:t xml:space="preserve">Khi hơi thở ngắn, chỉ cần biết hơi thở đang ngắn.</x:t>
        </x:is>
      </x:c>
      <x:c r="Q769" t="inlineStr">
        <x:is>
          <x:t xml:space="preserve">Majjhima Nikāya / Early Buddhist Pāḷi tradition</x:t>
        </x:is>
      </x:c>
      <x:c r="R769" t="inlineStr">
        <x:is>
          <x:t xml:space="preserve">Early Buddhist / Pāḷi tradition</x:t>
        </x:is>
      </x:c>
      <x:c r="S769" t="inlineStr">
        <x:is>
          <x:t xml:space="preserve">MN 118 Ānāpānassatisutta</x:t>
        </x:is>
      </x:c>
      <x:c r="T769" t="inlineStr">
        <x:is>
          <x:t xml:space="preserve">Breathing mindfulness</x:t>
        </x:is>
      </x:c>
      <x:c r="U769" t="inlineStr">
        <x:is>
          <x:t xml:space="preserve">https://suttacentral.net/mn118/pli/ms</x:t>
        </x:is>
      </x:c>
      <x:c r="V769" t="inlineStr">
        <x:is>
          <x:t xml:space="preserve">Primary canonical Pāḷi text — SuttaCentral</x:t>
        </x:is>
      </x:c>
      <x:c r="W769" t="inlineStr">
        <x:is>
          <x:t xml:space="preserve">Canonical passage</x:t>
        </x:is>
      </x:c>
      <x:c r="X769" t="inlineStr">
        <x:is>
          <x:t xml:space="preserve">A - primary Pāḷi source located</x:t>
        </x:is>
      </x:c>
      <x:c r="Y769" t="inlineStr">
        <x:is>
          <x:t xml:space="preserve">Exact Pāḷi retained only where passage-level wording was directly verified. Bracketed rows are deliberately not presented as verbatim quotations.</x:t>
        </x:is>
      </x:c>
      <x:c r="Z769" t="inlineStr">
        <x:is>
          <x:t xml:space="preserve">Ancient canonical text public domain; modern translations have separate rights</x:t>
        </x:is>
      </x:c>
      <x:c r="AA769" t="inlineStr">
        <x:is>
          <x:t xml:space="preserve">Use primary Pāḷi + fresh Selflo Vietnamese working translation. Do not copy modern copyrighted translations into Release.</x:t>
        </x:is>
      </x:c>
      <x:c r="AB769" t="inlineStr">
        <x:is>
          <x:t xml:space="preserve">High</x:t>
        </x:is>
      </x:c>
      <x:c r="AC769" t="inlineStr">
        <x:is>
          <x:t xml:space="preserve">Day 12 research candidate; requires owner/editorial review before Release.</x:t>
        </x:is>
      </x:c>
      <x:c r="AD769" t="inlineStr">
        <x:is>
          <x:t xml:space="preserve">Medium — religious/ascetic context requires careful adaptation</x:t>
        </x:is>
      </x:c>
      <x:c r="AE769" t="inlineStr">
        <x:is>
          <x:t xml:space="preserve">Needs semantic dedupe against Day 11 Dhammapada and existing Buddhist content</x:t>
        </x:is>
      </x:c>
      <x:c r="AH769" t="inlineStr">
        <x:is>
          <x:t xml:space="preserve">No</x:t>
        </x:is>
      </x:c>
      <x:c r="AI769" t="inlineStr">
        <x:is>
          <x:t xml:space="preserve">Not reviewed</x:t>
        </x:is>
      </x:c>
      <x:c r="AJ769" t="inlineStr">
        <x:is>
          <x:t xml:space="preserve">Research only</x:t>
        </x:is>
      </x:c>
      <x:c r="AK769" t="inlineStr">
        <x:is>
          <x:t xml:space="preserve">Research Pool</x:t>
        </x:is>
      </x:c>
      <x:c r="AL769" t="n">
        <x:v>12</x:v>
      </x:c>
      <x:c r="AM769" t="inlineStr">
        <x:is>
          <x:t xml:space="preserve">ChatGPT research</x:t>
        </x:is>
      </x:c>
      <x:c r="AN769" t="inlineStr">
        <x:is>
          <x:t xml:space="preserve">2026-09-18</x:t>
        </x:is>
      </x:c>
      <x:c r="AO769" t="inlineStr">
        <x:is>
          <x:t xml:space="preserve">Selected-sutta Day 12 scope. Preserve doctrinal context; do not silently turn contemplative teachings into clinical mental-health claims.</x:t>
        </x:is>
      </x:c>
    </x:row>
    <x:row r="770">
      <x:c r="A770" t="inlineStr">
        <x:is>
          <x:t xml:space="preserve">research.mn.day12.mn118_03</x:t>
        </x:is>
      </x:c>
      <x:c r="B770" t="inlineStr">
        <x:is>
          <x:t xml:space="preserve">Collected</x:t>
        </x:is>
      </x:c>
      <x:c r="C770" t="inlineStr">
        <x:is>
          <x:t xml:space="preserve">Nội tâm &amp; hiểu mình</x:t>
        </x:is>
      </x:c>
      <x:c r="D770" t="inlineStr">
        <x:is>
          <x:t xml:space="preserve">Day 12 / Majjhima Nikāya — selected suttas</x:t>
        </x:is>
      </x:c>
      <x:c r="F770" t="inlineStr">
        <x:is>
          <x:t xml:space="preserve">Broaden awareness</x:t>
        </x:is>
      </x:c>
      <x:c r="G770" t="inlineStr">
        <x:is>
          <x:t xml:space="preserve">Attention</x:t>
        </x:is>
      </x:c>
      <x:c r="K770" t="inlineStr">
        <x:is>
          <x:t xml:space="preserve">Reframe</x:t>
        </x:is>
      </x:c>
      <x:c r="M770" t="inlineStr">
        <x:is>
          <x:t xml:space="preserve">Canonical passage</x:t>
        </x:is>
      </x:c>
      <x:c r="N770" t="inlineStr">
        <x:is>
          <x:t xml:space="preserve">sabbakāyapaṭisaṁvedī assasissāmī’ti sikkhati.</x:t>
        </x:is>
      </x:c>
      <x:c r="O770" t="inlineStr">
        <x:is>
          <x:t xml:space="preserve">Pāḷi</x:t>
        </x:is>
      </x:c>
      <x:c r="P770" t="inlineStr">
        <x:is>
          <x:t xml:space="preserve">Sự chú ý có thể mở rộng để cảm nhận toàn bộ tiến trình đang diễn ra, thay vì chỉ đuổi theo một điểm nhỏ.</x:t>
        </x:is>
      </x:c>
      <x:c r="Q770" t="inlineStr">
        <x:is>
          <x:t xml:space="preserve">Majjhima Nikāya / Early Buddhist Pāḷi tradition</x:t>
        </x:is>
      </x:c>
      <x:c r="R770" t="inlineStr">
        <x:is>
          <x:t xml:space="preserve">Early Buddhist / Pāḷi tradition</x:t>
        </x:is>
      </x:c>
      <x:c r="S770" t="inlineStr">
        <x:is>
          <x:t xml:space="preserve">MN 118 Ānāpānassatisutta</x:t>
        </x:is>
      </x:c>
      <x:c r="T770" t="inlineStr">
        <x:is>
          <x:t xml:space="preserve">Breathing mindfulness</x:t>
        </x:is>
      </x:c>
      <x:c r="U770" t="inlineStr">
        <x:is>
          <x:t xml:space="preserve">https://suttacentral.net/mn118/pli/ms</x:t>
        </x:is>
      </x:c>
      <x:c r="V770" t="inlineStr">
        <x:is>
          <x:t xml:space="preserve">Primary canonical Pāḷi text — SuttaCentral</x:t>
        </x:is>
      </x:c>
      <x:c r="W770" t="inlineStr">
        <x:is>
          <x:t xml:space="preserve">Canonical passage</x:t>
        </x:is>
      </x:c>
      <x:c r="X770" t="inlineStr">
        <x:is>
          <x:t xml:space="preserve">A - primary Pāḷi source located</x:t>
        </x:is>
      </x:c>
      <x:c r="Y770" t="inlineStr">
        <x:is>
          <x:t xml:space="preserve">Exact Pāḷi retained only where passage-level wording was directly verified. Bracketed rows are deliberately not presented as verbatim quotations.</x:t>
        </x:is>
      </x:c>
      <x:c r="Z770" t="inlineStr">
        <x:is>
          <x:t xml:space="preserve">Ancient canonical text public domain; modern translations have separate rights</x:t>
        </x:is>
      </x:c>
      <x:c r="AA770" t="inlineStr">
        <x:is>
          <x:t xml:space="preserve">Use primary Pāḷi + fresh Selflo Vietnamese working translation. Do not copy modern copyrighted translations into Release.</x:t>
        </x:is>
      </x:c>
      <x:c r="AB770" t="inlineStr">
        <x:is>
          <x:t xml:space="preserve">High</x:t>
        </x:is>
      </x:c>
      <x:c r="AC770" t="inlineStr">
        <x:is>
          <x:t xml:space="preserve">Day 12 research candidate; requires owner/editorial review before Release.</x:t>
        </x:is>
      </x:c>
      <x:c r="AD770" t="inlineStr">
        <x:is>
          <x:t xml:space="preserve">Medium — religious/ascetic context requires careful adaptation</x:t>
        </x:is>
      </x:c>
      <x:c r="AE770" t="inlineStr">
        <x:is>
          <x:t xml:space="preserve">Needs semantic dedupe against Day 11 Dhammapada and existing Buddhist content</x:t>
        </x:is>
      </x:c>
      <x:c r="AH770" t="inlineStr">
        <x:is>
          <x:t xml:space="preserve">No</x:t>
        </x:is>
      </x:c>
      <x:c r="AI770" t="inlineStr">
        <x:is>
          <x:t xml:space="preserve">Not reviewed</x:t>
        </x:is>
      </x:c>
      <x:c r="AJ770" t="inlineStr">
        <x:is>
          <x:t xml:space="preserve">Research only</x:t>
        </x:is>
      </x:c>
      <x:c r="AK770" t="inlineStr">
        <x:is>
          <x:t xml:space="preserve">Research Pool</x:t>
        </x:is>
      </x:c>
      <x:c r="AL770" t="n">
        <x:v>12</x:v>
      </x:c>
      <x:c r="AM770" t="inlineStr">
        <x:is>
          <x:t xml:space="preserve">ChatGPT research</x:t>
        </x:is>
      </x:c>
      <x:c r="AN770" t="inlineStr">
        <x:is>
          <x:t xml:space="preserve">2026-09-18</x:t>
        </x:is>
      </x:c>
      <x:c r="AO770" t="inlineStr">
        <x:is>
          <x:t xml:space="preserve">Selected-sutta Day 12 scope. Preserve doctrinal context; do not silently turn contemplative teachings into clinical mental-health claims.</x:t>
        </x:is>
      </x:c>
    </x:row>
    <x:row r="771">
      <x:c r="A771" t="inlineStr">
        <x:is>
          <x:t xml:space="preserve">research.mn.day12.mn131_01</x:t>
        </x:is>
      </x:c>
      <x:c r="B771" t="inlineStr">
        <x:is>
          <x:t xml:space="preserve">Collected</x:t>
        </x:is>
      </x:c>
      <x:c r="C771" t="inlineStr">
        <x:is>
          <x:t xml:space="preserve">Nội tâm &amp; hiểu mình</x:t>
        </x:is>
      </x:c>
      <x:c r="D771" t="inlineStr">
        <x:is>
          <x:t xml:space="preserve">Day 12 / Majjhima Nikāya — selected suttas</x:t>
        </x:is>
      </x:c>
      <x:c r="F771" t="inlineStr">
        <x:is>
          <x:t xml:space="preserve">Past and future pull</x:t>
        </x:is>
      </x:c>
      <x:c r="G771" t="inlineStr">
        <x:is>
          <x:t xml:space="preserve">Presence / Time</x:t>
        </x:is>
      </x:c>
      <x:c r="K771" t="inlineStr">
        <x:is>
          <x:t xml:space="preserve">Permit</x:t>
        </x:is>
      </x:c>
      <x:c r="M771" t="inlineStr">
        <x:is>
          <x:t xml:space="preserve">Canonical passage</x:t>
        </x:is>
      </x:c>
      <x:c r="N771" t="inlineStr">
        <x:is>
          <x:t xml:space="preserve">atītaṁ nānvāgameyya, nappaṭikaṅkhe anāgataṁ.</x:t>
        </x:is>
      </x:c>
      <x:c r="O771" t="inlineStr">
        <x:is>
          <x:t xml:space="preserve">Pāḷi</x:t>
        </x:is>
      </x:c>
      <x:c r="P771" t="inlineStr">
        <x:is>
          <x:t xml:space="preserve">Không cần sống bằng cách liên tục đuổi theo quá khứ hay treo mình vào tương lai.</x:t>
        </x:is>
      </x:c>
      <x:c r="Q771" t="inlineStr">
        <x:is>
          <x:t xml:space="preserve">Majjhima Nikāya / Early Buddhist Pāḷi tradition</x:t>
        </x:is>
      </x:c>
      <x:c r="R771" t="inlineStr">
        <x:is>
          <x:t xml:space="preserve">Early Buddhist / Pāḷi tradition</x:t>
        </x:is>
      </x:c>
      <x:c r="S771" t="inlineStr">
        <x:is>
          <x:t xml:space="preserve">MN 131 Bhaddekarattasutta</x:t>
        </x:is>
      </x:c>
      <x:c r="T771" t="inlineStr">
        <x:is>
          <x:t xml:space="preserve">Verse</x:t>
        </x:is>
      </x:c>
      <x:c r="U771" t="inlineStr">
        <x:is>
          <x:t xml:space="preserve">https://suttacentral.net/mn131/pli/ms</x:t>
        </x:is>
      </x:c>
      <x:c r="V771" t="inlineStr">
        <x:is>
          <x:t xml:space="preserve">Primary canonical Pāḷi text — SuttaCentral</x:t>
        </x:is>
      </x:c>
      <x:c r="W771" t="inlineStr">
        <x:is>
          <x:t xml:space="preserve">Canonical passage</x:t>
        </x:is>
      </x:c>
      <x:c r="X771" t="inlineStr">
        <x:is>
          <x:t xml:space="preserve">A - primary Pāḷi source located</x:t>
        </x:is>
      </x:c>
      <x:c r="Y771" t="inlineStr">
        <x:is>
          <x:t xml:space="preserve">Exact Pāḷi retained only where passage-level wording was directly verified. Bracketed rows are deliberately not presented as verbatim quotations.</x:t>
        </x:is>
      </x:c>
      <x:c r="Z771" t="inlineStr">
        <x:is>
          <x:t xml:space="preserve">Ancient canonical text public domain; modern translations have separate rights</x:t>
        </x:is>
      </x:c>
      <x:c r="AA771" t="inlineStr">
        <x:is>
          <x:t xml:space="preserve">Use primary Pāḷi + fresh Selflo Vietnamese working translation. Do not copy modern copyrighted translations into Release.</x:t>
        </x:is>
      </x:c>
      <x:c r="AB771" t="inlineStr">
        <x:is>
          <x:t xml:space="preserve">High</x:t>
        </x:is>
      </x:c>
      <x:c r="AC771" t="inlineStr">
        <x:is>
          <x:t xml:space="preserve">Day 12 research candidate; requires owner/editorial review before Release.</x:t>
        </x:is>
      </x:c>
      <x:c r="AD771" t="inlineStr">
        <x:is>
          <x:t xml:space="preserve">Medium — religious/ascetic context requires careful adaptation</x:t>
        </x:is>
      </x:c>
      <x:c r="AE771" t="inlineStr">
        <x:is>
          <x:t xml:space="preserve">Needs semantic dedupe against Day 11 Dhammapada and existing Buddhist content</x:t>
        </x:is>
      </x:c>
      <x:c r="AH771" t="inlineStr">
        <x:is>
          <x:t xml:space="preserve">No</x:t>
        </x:is>
      </x:c>
      <x:c r="AI771" t="inlineStr">
        <x:is>
          <x:t xml:space="preserve">Not reviewed</x:t>
        </x:is>
      </x:c>
      <x:c r="AJ771" t="inlineStr">
        <x:is>
          <x:t xml:space="preserve">Research only</x:t>
        </x:is>
      </x:c>
      <x:c r="AK771" t="inlineStr">
        <x:is>
          <x:t xml:space="preserve">Research Pool</x:t>
        </x:is>
      </x:c>
      <x:c r="AL771" t="n">
        <x:v>12</x:v>
      </x:c>
      <x:c r="AM771" t="inlineStr">
        <x:is>
          <x:t xml:space="preserve">ChatGPT research</x:t>
        </x:is>
      </x:c>
      <x:c r="AN771" t="inlineStr">
        <x:is>
          <x:t xml:space="preserve">2026-09-18</x:t>
        </x:is>
      </x:c>
      <x:c r="AO771" t="inlineStr">
        <x:is>
          <x:t xml:space="preserve">Selected-sutta Day 12 scope. Preserve doctrinal context; do not silently turn contemplative teachings into clinical mental-health claims.</x:t>
        </x:is>
      </x:c>
    </x:row>
    <x:row r="772">
      <x:c r="A772" t="inlineStr">
        <x:is>
          <x:t xml:space="preserve">research.mn.day12.mn131_02</x:t>
        </x:is>
      </x:c>
      <x:c r="B772" t="inlineStr">
        <x:is>
          <x:t xml:space="preserve">Collected</x:t>
        </x:is>
      </x:c>
      <x:c r="C772" t="inlineStr">
        <x:is>
          <x:t xml:space="preserve">Nội tâm &amp; hiểu mình</x:t>
        </x:is>
      </x:c>
      <x:c r="D772" t="inlineStr">
        <x:is>
          <x:t xml:space="preserve">Day 12 / Majjhima Nikāya — selected suttas</x:t>
        </x:is>
      </x:c>
      <x:c r="F772" t="inlineStr">
        <x:is>
          <x:t xml:space="preserve">Present experience</x:t>
        </x:is>
      </x:c>
      <x:c r="G772" t="inlineStr">
        <x:is>
          <x:t xml:space="preserve">Presence</x:t>
        </x:is>
      </x:c>
      <x:c r="K772" t="inlineStr">
        <x:is>
          <x:t xml:space="preserve">Recognize</x:t>
        </x:is>
      </x:c>
      <x:c r="M772" t="inlineStr">
        <x:is>
          <x:t xml:space="preserve">Canonical passage</x:t>
        </x:is>
      </x:c>
      <x:c r="N772" t="inlineStr">
        <x:is>
          <x:t xml:space="preserve">paccuppannañca yo dhammaṁ, tattha tattha vipassati.</x:t>
        </x:is>
      </x:c>
      <x:c r="O772" t="inlineStr">
        <x:is>
          <x:t xml:space="preserve">Pāḷi</x:t>
        </x:is>
      </x:c>
      <x:c r="P772" t="inlineStr">
        <x:is>
          <x:t xml:space="preserve">Điều đang có mặt có thể được nhìn ngay nơi nó đang xảy ra.</x:t>
        </x:is>
      </x:c>
      <x:c r="Q772" t="inlineStr">
        <x:is>
          <x:t xml:space="preserve">Majjhima Nikāya / Early Buddhist Pāḷi tradition</x:t>
        </x:is>
      </x:c>
      <x:c r="R772" t="inlineStr">
        <x:is>
          <x:t xml:space="preserve">Early Buddhist / Pāḷi tradition</x:t>
        </x:is>
      </x:c>
      <x:c r="S772" t="inlineStr">
        <x:is>
          <x:t xml:space="preserve">MN 131 Bhaddekarattasutta</x:t>
        </x:is>
      </x:c>
      <x:c r="T772" t="inlineStr">
        <x:is>
          <x:t xml:space="preserve">Verse</x:t>
        </x:is>
      </x:c>
      <x:c r="U772" t="inlineStr">
        <x:is>
          <x:t xml:space="preserve">https://suttacentral.net/mn131/pli/ms</x:t>
        </x:is>
      </x:c>
      <x:c r="V772" t="inlineStr">
        <x:is>
          <x:t xml:space="preserve">Primary canonical Pāḷi text — SuttaCentral</x:t>
        </x:is>
      </x:c>
      <x:c r="W772" t="inlineStr">
        <x:is>
          <x:t xml:space="preserve">Canonical passage</x:t>
        </x:is>
      </x:c>
      <x:c r="X772" t="inlineStr">
        <x:is>
          <x:t xml:space="preserve">A - primary Pāḷi source located</x:t>
        </x:is>
      </x:c>
      <x:c r="Y772" t="inlineStr">
        <x:is>
          <x:t xml:space="preserve">Exact Pāḷi retained only where passage-level wording was directly verified. Bracketed rows are deliberately not presented as verbatim quotations.</x:t>
        </x:is>
      </x:c>
      <x:c r="Z772" t="inlineStr">
        <x:is>
          <x:t xml:space="preserve">Ancient canonical text public domain; modern translations have separate rights</x:t>
        </x:is>
      </x:c>
      <x:c r="AA772" t="inlineStr">
        <x:is>
          <x:t xml:space="preserve">Use primary Pāḷi + fresh Selflo Vietnamese working translation. Do not copy modern copyrighted translations into Release.</x:t>
        </x:is>
      </x:c>
      <x:c r="AB772" t="inlineStr">
        <x:is>
          <x:t xml:space="preserve">High</x:t>
        </x:is>
      </x:c>
      <x:c r="AC772" t="inlineStr">
        <x:is>
          <x:t xml:space="preserve">Day 12 research candidate; requires owner/editorial review before Release.</x:t>
        </x:is>
      </x:c>
      <x:c r="AD772" t="inlineStr">
        <x:is>
          <x:t xml:space="preserve">Medium — religious/ascetic context requires careful adaptation</x:t>
        </x:is>
      </x:c>
      <x:c r="AE772" t="inlineStr">
        <x:is>
          <x:t xml:space="preserve">Needs semantic dedupe against Day 11 Dhammapada and existing Buddhist content</x:t>
        </x:is>
      </x:c>
      <x:c r="AH772" t="inlineStr">
        <x:is>
          <x:t xml:space="preserve">No</x:t>
        </x:is>
      </x:c>
      <x:c r="AI772" t="inlineStr">
        <x:is>
          <x:t xml:space="preserve">Not reviewed</x:t>
        </x:is>
      </x:c>
      <x:c r="AJ772" t="inlineStr">
        <x:is>
          <x:t xml:space="preserve">Research only</x:t>
        </x:is>
      </x:c>
      <x:c r="AK772" t="inlineStr">
        <x:is>
          <x:t xml:space="preserve">Research Pool</x:t>
        </x:is>
      </x:c>
      <x:c r="AL772" t="n">
        <x:v>12</x:v>
      </x:c>
      <x:c r="AM772" t="inlineStr">
        <x:is>
          <x:t xml:space="preserve">ChatGPT research</x:t>
        </x:is>
      </x:c>
      <x:c r="AN772" t="inlineStr">
        <x:is>
          <x:t xml:space="preserve">2026-09-18</x:t>
        </x:is>
      </x:c>
      <x:c r="AO772" t="inlineStr">
        <x:is>
          <x:t xml:space="preserve">Selected-sutta Day 12 scope. Preserve doctrinal context; do not silently turn contemplative teachings into clinical mental-health claims.</x:t>
        </x:is>
      </x:c>
    </x:row>
    <x:row r="773">
      <x:c r="A773" t="inlineStr">
        <x:is>
          <x:t xml:space="preserve">research.mn.day12.mn140_01</x:t>
        </x:is>
      </x:c>
      <x:c r="B773" t="inlineStr">
        <x:is>
          <x:t xml:space="preserve">Collected</x:t>
        </x:is>
      </x:c>
      <x:c r="C773" t="inlineStr">
        <x:is>
          <x:t xml:space="preserve">Nội tâm &amp; hiểu mình</x:t>
        </x:is>
      </x:c>
      <x:c r="D773" t="inlineStr">
        <x:is>
          <x:t xml:space="preserve">Day 12 / Majjhima Nikāya — selected suttas</x:t>
        </x:is>
      </x:c>
      <x:c r="F773" t="inlineStr">
        <x:is>
          <x:t xml:space="preserve">Expectation and recognition</x:t>
        </x:is>
      </x:c>
      <x:c r="G773" t="inlineStr">
        <x:is>
          <x:t xml:space="preserve">Judgment / Perception</x:t>
        </x:is>
      </x:c>
      <x:c r="K773" t="inlineStr">
        <x:is>
          <x:t xml:space="preserve">Reframe</x:t>
        </x:is>
      </x:c>
      <x:c r="M773" t="inlineStr">
        <x:is>
          <x:t xml:space="preserve">Source-anchored research paraphrase</x:t>
        </x:is>
      </x:c>
      <x:c r="N773" t="inlineStr">
        <x:is>
          <x:t xml:space="preserve">[Source-anchored narrative passage; see MN 140.]</x:t>
        </x:is>
      </x:c>
      <x:c r="O773" t="inlineStr">
        <x:is>
          <x:t xml:space="preserve">Pāḷi source / paraphrase row</x:t>
        </x:is>
      </x:c>
      <x:c r="P773" t="inlineStr">
        <x:is>
          <x:t xml:space="preserve">Pukkusāti ở cùng người thầy mà mình tìm kiếm nhưng ban đầu không nhận ra ông—một nhắc nhở rằng nhãn và kỳ vọng có thể khiến ta bỏ qua điều đang ở trước mặt.</x:t>
        </x:is>
      </x:c>
      <x:c r="Q773" t="inlineStr">
        <x:is>
          <x:t xml:space="preserve">Majjhima Nikāya / Early Buddhist Pāḷi tradition</x:t>
        </x:is>
      </x:c>
      <x:c r="R773" t="inlineStr">
        <x:is>
          <x:t xml:space="preserve">Early Buddhist / Pāḷi tradition</x:t>
        </x:is>
      </x:c>
      <x:c r="S773" t="inlineStr">
        <x:is>
          <x:t xml:space="preserve">MN 140 Dhātuvibhaṅgasutta</x:t>
        </x:is>
      </x:c>
      <x:c r="T773" t="inlineStr">
        <x:is>
          <x:t xml:space="preserve">Pukkusāti episode</x:t>
        </x:is>
      </x:c>
      <x:c r="U773" t="inlineStr">
        <x:is>
          <x:t xml:space="preserve">https://suttacentral.net/mn140/pli/ms</x:t>
        </x:is>
      </x:c>
      <x:c r="V773" t="inlineStr">
        <x:is>
          <x:t xml:space="preserve">Primary canonical Pāḷi text — SuttaCentral</x:t>
        </x:is>
      </x:c>
      <x:c r="W773" t="inlineStr">
        <x:is>
          <x:t xml:space="preserve">Research paraphrase — NOT direct quote</x:t>
        </x:is>
      </x:c>
      <x:c r="X773" t="inlineStr">
        <x:is>
          <x:t xml:space="preserve">A/B - source/theme verified; wording is editorial paraphrase</x:t>
        </x:is>
      </x:c>
      <x:c r="Y773" t="inlineStr">
        <x:is>
          <x:t xml:space="preserve">Exact Pāḷi retained only where passage-level wording was directly verified. Bracketed rows are deliberately not presented as verbatim quotations.</x:t>
        </x:is>
      </x:c>
      <x:c r="Z773" t="inlineStr">
        <x:is>
          <x:t xml:space="preserve">Ancient canonical text public domain; modern translations have separate rights</x:t>
        </x:is>
      </x:c>
      <x:c r="AA773" t="inlineStr">
        <x:is>
          <x:t xml:space="preserve">Use primary Pāḷi + fresh Selflo Vietnamese working translation. Do not copy modern copyrighted translations into Release.</x:t>
        </x:is>
      </x:c>
      <x:c r="AB773" t="inlineStr">
        <x:is>
          <x:t xml:space="preserve">High</x:t>
        </x:is>
      </x:c>
      <x:c r="AC773" t="inlineStr">
        <x:is>
          <x:t xml:space="preserve">Day 12 research candidate; requires owner/editorial review before Release.</x:t>
        </x:is>
      </x:c>
      <x:c r="AD773" t="inlineStr">
        <x:is>
          <x:t xml:space="preserve">Medium — religious/ascetic context requires careful adaptation</x:t>
        </x:is>
      </x:c>
      <x:c r="AE773" t="inlineStr">
        <x:is>
          <x:t xml:space="preserve">Needs semantic dedupe against Day 11 Dhammapada and existing Buddhist content</x:t>
        </x:is>
      </x:c>
      <x:c r="AH773" t="inlineStr">
        <x:is>
          <x:t xml:space="preserve">No</x:t>
        </x:is>
      </x:c>
      <x:c r="AI773" t="inlineStr">
        <x:is>
          <x:t xml:space="preserve">Not reviewed</x:t>
        </x:is>
      </x:c>
      <x:c r="AJ773" t="inlineStr">
        <x:is>
          <x:t xml:space="preserve">Research only</x:t>
        </x:is>
      </x:c>
      <x:c r="AK773" t="inlineStr">
        <x:is>
          <x:t xml:space="preserve">Research Pool</x:t>
        </x:is>
      </x:c>
      <x:c r="AL773" t="n">
        <x:v>12</x:v>
      </x:c>
      <x:c r="AM773" t="inlineStr">
        <x:is>
          <x:t xml:space="preserve">ChatGPT research</x:t>
        </x:is>
      </x:c>
      <x:c r="AN773" t="inlineStr">
        <x:is>
          <x:t xml:space="preserve">2026-09-18</x:t>
        </x:is>
      </x:c>
      <x:c r="AO773" t="inlineStr">
        <x:is>
          <x:t xml:space="preserve">Selected-sutta Day 12 scope. Preserve doctrinal context; do not silently turn contemplative teachings into clinical mental-health claims.</x:t>
        </x:is>
      </x:c>
    </x:row>
    <x:row r="774">
      <x:c r="A774" t="inlineStr">
        <x:is>
          <x:t xml:space="preserve">research.nikaya.day13.sn12_15_01</x:t>
        </x:is>
      </x:c>
      <x:c r="B774" t="inlineStr">
        <x:is>
          <x:t xml:space="preserve">Collected</x:t>
        </x:is>
      </x:c>
      <x:c r="C774" t="inlineStr">
        <x:is>
          <x:t xml:space="preserve">Nội tâm &amp; hiểu mình</x:t>
        </x:is>
      </x:c>
      <x:c r="D774" t="inlineStr">
        <x:is>
          <x:t xml:space="preserve">Day 13 / Saṁyutta + Aṅguttara Nikāya — selected suttas</x:t>
        </x:is>
      </x:c>
      <x:c r="E774" t="inlineStr">
        <x:is>
          <x:t xml:space="preserve"/>
        </x:is>
      </x:c>
      <x:c r="F774" t="inlineStr">
        <x:is>
          <x:t xml:space="preserve">Binary thinking</x:t>
        </x:is>
      </x:c>
      <x:c r="G774" t="inlineStr">
        <x:is>
          <x:t xml:space="preserve">Judgment / Conditionality</x:t>
        </x:is>
      </x:c>
      <x:c r="H774" t="inlineStr">
        <x:is>
          <x:t xml:space="preserve"/>
        </x:is>
      </x:c>
      <x:c r="I774" t="inlineStr">
        <x:is>
          <x:t xml:space="preserve"/>
        </x:is>
      </x:c>
      <x:c r="J774" t="inlineStr">
        <x:is>
          <x:t xml:space="preserve"/>
        </x:is>
      </x:c>
      <x:c r="K774" t="inlineStr">
        <x:is>
          <x:t xml:space="preserve">Reframe</x:t>
        </x:is>
      </x:c>
      <x:c r="L774" t="inlineStr">
        <x:is>
          <x:t xml:space="preserve"/>
        </x:is>
      </x:c>
      <x:c r="M774" t="inlineStr">
        <x:is>
          <x:t xml:space="preserve">Source-anchored research paraphrase</x:t>
        </x:is>
      </x:c>
      <x:c r="N774" t="inlineStr">
        <x:is>
          <x:t xml:space="preserve">[Exact Pāḷi not copied in this row; verify passage-level Pāḷi before direct-quote Release]</x:t>
        </x:is>
      </x:c>
      <x:c r="O774" t="inlineStr">
        <x:is>
          <x:t xml:space="preserve">Pāḷi source / Vietnamese research paraphrase</x:t>
        </x:is>
      </x:c>
      <x:c r="P774" t="inlineStr">
        <x:is>
          <x:t xml:space="preserve">Thế giới dễ bị kéo về hai cực: 'có' và 'không có'. Bài kinh mở một cách nhìn dựa vào điều kiện và sự sinh-diệt thay vì đóng cứng vào hai cực ấy.</x:t>
        </x:is>
      </x:c>
      <x:c r="Q774" t="inlineStr">
        <x:is>
          <x:t xml:space="preserve">Saṁyutta/Aṅguttara Nikāya — Early Buddhist Pāḷi tradition</x:t>
        </x:is>
      </x:c>
      <x:c r="R774" t="inlineStr">
        <x:is>
          <x:t xml:space="preserve">Early Buddhist / Pāḷi tradition</x:t>
        </x:is>
      </x:c>
      <x:c r="S774" t="inlineStr">
        <x:is>
          <x:t xml:space="preserve">SN 12.15 Kaccānagottasutta</x:t>
        </x:is>
      </x:c>
      <x:c r="T774" t="inlineStr">
        <x:is>
          <x:t xml:space="preserve">View and conditionality</x:t>
        </x:is>
      </x:c>
      <x:c r="U774" t="inlineStr">
        <x:is>
          <x:t xml:space="preserve">https://suttacentral.net/sn12.15</x:t>
        </x:is>
      </x:c>
      <x:c r="V774" t="inlineStr">
        <x:is>
          <x:t xml:space="preserve">Primary canonical source anchor — SuttaCentral</x:t>
        </x:is>
      </x:c>
      <x:c r="W774" t="inlineStr">
        <x:is>
          <x:t xml:space="preserve">Research paraphrase — NOT direct quote</x:t>
        </x:is>
      </x:c>
      <x:c r="X774" t="inlineStr">
        <x:is>
          <x:t xml:space="preserve">A/B - canonical source/theme verified; wording is Selflo research paraphrase</x:t>
        </x:is>
      </x:c>
      <x:c r="Y774" t="inlineStr">
        <x:is>
          <x:t xml:space="preserve">Source location verified. This row deliberately does not fabricate Pāḷi. Before direct quotation, retrieve and verify exact Pāḷi segment.</x:t>
        </x:is>
      </x:c>
      <x:c r="Z774" t="inlineStr">
        <x:is>
          <x:t xml:space="preserve">Ancient canonical text public domain; modern translations have separate rights</x:t>
        </x:is>
      </x:c>
      <x:c r="AA774" t="inlineStr">
        <x:is>
          <x:t xml:space="preserve">Vietnamese wording is fresh Selflo working paraphrase; do not copy modern copyrighted translations.</x:t>
        </x:is>
      </x:c>
      <x:c r="AB774" t="inlineStr">
        <x:is>
          <x:t xml:space="preserve">High</x:t>
        </x:is>
      </x:c>
      <x:c r="AC774" t="inlineStr">
        <x:is>
          <x:t xml:space="preserve">Day 13 collection candidate; not Release-approved.</x:t>
        </x:is>
      </x:c>
      <x:c r="AD774" t="inlineStr">
        <x:is>
          <x:t xml:space="preserve">Medium — canonical religious context requires editorial care</x:t>
        </x:is>
      </x:c>
      <x:c r="AE774" t="inlineStr">
        <x:is>
          <x:t xml:space="preserve">Needs semantic dedupe against Days 11–12</x:t>
        </x:is>
      </x:c>
      <x:c r="AF774" t="inlineStr">
        <x:is>
          <x:t xml:space="preserve"/>
        </x:is>
      </x:c>
      <x:c r="AG774" t="inlineStr">
        <x:is>
          <x:t xml:space="preserve"/>
        </x:is>
      </x:c>
      <x:c r="AH774" t="inlineStr">
        <x:is>
          <x:t xml:space="preserve">No</x:t>
        </x:is>
      </x:c>
      <x:c r="AI774" t="inlineStr">
        <x:is>
          <x:t xml:space="preserve">Not reviewed</x:t>
        </x:is>
      </x:c>
      <x:c r="AJ774" t="inlineStr">
        <x:is>
          <x:t xml:space="preserve">Research only</x:t>
        </x:is>
      </x:c>
      <x:c r="AK774" t="inlineStr">
        <x:is>
          <x:t xml:space="preserve">Research Pool</x:t>
        </x:is>
      </x:c>
      <x:c r="AL774" t="n">
        <x:v>13</x:v>
      </x:c>
      <x:c r="AM774" t="inlineStr">
        <x:is>
          <x:t xml:space="preserve">ChatGPT research</x:t>
        </x:is>
      </x:c>
      <x:c r="AN774" t="inlineStr">
        <x:is>
          <x:t xml:space="preserve">2026-09-18</x:t>
        </x:is>
      </x:c>
      <x:c r="AO774" t="inlineStr">
        <x:is>
          <x:t xml:space="preserve">Day 13 selected SN/AN. Strongest unique lanes: second-arrow distinction, conditions/context, epistemic judgment, knowledge relevance.</x:t>
        </x:is>
      </x:c>
    </x:row>
    <x:row r="775">
      <x:c r="A775" t="inlineStr">
        <x:is>
          <x:t xml:space="preserve">research.nikaya.day13.sn12_23_01</x:t>
        </x:is>
      </x:c>
      <x:c r="B775" t="inlineStr">
        <x:is>
          <x:t xml:space="preserve">Collected</x:t>
        </x:is>
      </x:c>
      <x:c r="C775" t="inlineStr">
        <x:is>
          <x:t xml:space="preserve">Nội tâm &amp; hiểu mình</x:t>
        </x:is>
      </x:c>
      <x:c r="D775" t="inlineStr">
        <x:is>
          <x:t xml:space="preserve">Day 13 / Saṁyutta + Aṅguttara Nikāya — selected suttas</x:t>
        </x:is>
      </x:c>
      <x:c r="E775" t="inlineStr">
        <x:is>
          <x:t xml:space="preserve"/>
        </x:is>
      </x:c>
      <x:c r="F775" t="inlineStr">
        <x:is>
          <x:t xml:space="preserve">Conditions and development</x:t>
        </x:is>
      </x:c>
      <x:c r="G775" t="inlineStr">
        <x:is>
          <x:t xml:space="preserve">Change / Conditions</x:t>
        </x:is>
      </x:c>
      <x:c r="H775" t="inlineStr">
        <x:is>
          <x:t xml:space="preserve"/>
        </x:is>
      </x:c>
      <x:c r="I775" t="inlineStr">
        <x:is>
          <x:t xml:space="preserve"/>
        </x:is>
      </x:c>
      <x:c r="J775" t="inlineStr">
        <x:is>
          <x:t xml:space="preserve"/>
        </x:is>
      </x:c>
      <x:c r="K775" t="inlineStr">
        <x:is>
          <x:t xml:space="preserve">Recognize</x:t>
        </x:is>
      </x:c>
      <x:c r="L775" t="inlineStr">
        <x:is>
          <x:t xml:space="preserve"/>
        </x:is>
      </x:c>
      <x:c r="M775" t="inlineStr">
        <x:is>
          <x:t xml:space="preserve">Source-anchored research paraphrase</x:t>
        </x:is>
      </x:c>
      <x:c r="N775" t="inlineStr">
        <x:is>
          <x:t xml:space="preserve">[Exact Pāḷi not copied in this row; verify passage-level Pāḷi before direct-quote Release]</x:t>
        </x:is>
      </x:c>
      <x:c r="O775" t="inlineStr">
        <x:is>
          <x:t xml:space="preserve">Pāḷi source / Vietnamese research paraphrase</x:t>
        </x:is>
      </x:c>
      <x:c r="P775" t="inlineStr">
        <x:is>
          <x:t xml:space="preserve">Một trạng thái không xuất hiện từ khoảng không; các điều kiện có thể nối nhau thành một chuỗi nâng đỡ hoặc kéo xuống.</x:t>
        </x:is>
      </x:c>
      <x:c r="Q775" t="inlineStr">
        <x:is>
          <x:t xml:space="preserve">Saṁyutta/Aṅguttara Nikāya — Early Buddhist Pāḷi tradition</x:t>
        </x:is>
      </x:c>
      <x:c r="R775" t="inlineStr">
        <x:is>
          <x:t xml:space="preserve">Early Buddhist / Pāḷi tradition</x:t>
        </x:is>
      </x:c>
      <x:c r="S775" t="inlineStr">
        <x:is>
          <x:t xml:space="preserve">SN 12.23 Upanisāsutta</x:t>
        </x:is>
      </x:c>
      <x:c r="T775" t="inlineStr">
        <x:is>
          <x:t xml:space="preserve">Conditions can support conditions</x:t>
        </x:is>
      </x:c>
      <x:c r="U775" t="inlineStr">
        <x:is>
          <x:t xml:space="preserve">https://suttacentral.net/sn12.23</x:t>
        </x:is>
      </x:c>
      <x:c r="V775" t="inlineStr">
        <x:is>
          <x:t xml:space="preserve">Primary canonical source anchor — SuttaCentral</x:t>
        </x:is>
      </x:c>
      <x:c r="W775" t="inlineStr">
        <x:is>
          <x:t xml:space="preserve">Research paraphrase — NOT direct quote</x:t>
        </x:is>
      </x:c>
      <x:c r="X775" t="inlineStr">
        <x:is>
          <x:t xml:space="preserve">A/B - canonical source/theme verified; wording is Selflo research paraphrase</x:t>
        </x:is>
      </x:c>
      <x:c r="Y775" t="inlineStr">
        <x:is>
          <x:t xml:space="preserve">Source location verified. This row deliberately does not fabricate Pāḷi. Before direct quotation, retrieve and verify exact Pāḷi segment.</x:t>
        </x:is>
      </x:c>
      <x:c r="Z775" t="inlineStr">
        <x:is>
          <x:t xml:space="preserve">Ancient canonical text public domain; modern translations have separate rights</x:t>
        </x:is>
      </x:c>
      <x:c r="AA775" t="inlineStr">
        <x:is>
          <x:t xml:space="preserve">Vietnamese wording is fresh Selflo working paraphrase; do not copy modern copyrighted translations.</x:t>
        </x:is>
      </x:c>
      <x:c r="AB775" t="inlineStr">
        <x:is>
          <x:t xml:space="preserve">High</x:t>
        </x:is>
      </x:c>
      <x:c r="AC775" t="inlineStr">
        <x:is>
          <x:t xml:space="preserve">Day 13 collection candidate; not Release-approved.</x:t>
        </x:is>
      </x:c>
      <x:c r="AD775" t="inlineStr">
        <x:is>
          <x:t xml:space="preserve">Medium — canonical religious context requires editorial care</x:t>
        </x:is>
      </x:c>
      <x:c r="AE775" t="inlineStr">
        <x:is>
          <x:t xml:space="preserve">Needs semantic dedupe against Days 11–12</x:t>
        </x:is>
      </x:c>
      <x:c r="AF775" t="inlineStr">
        <x:is>
          <x:t xml:space="preserve"/>
        </x:is>
      </x:c>
      <x:c r="AG775" t="inlineStr">
        <x:is>
          <x:t xml:space="preserve"/>
        </x:is>
      </x:c>
      <x:c r="AH775" t="inlineStr">
        <x:is>
          <x:t xml:space="preserve">No</x:t>
        </x:is>
      </x:c>
      <x:c r="AI775" t="inlineStr">
        <x:is>
          <x:t xml:space="preserve">Not reviewed</x:t>
        </x:is>
      </x:c>
      <x:c r="AJ775" t="inlineStr">
        <x:is>
          <x:t xml:space="preserve">Research only</x:t>
        </x:is>
      </x:c>
      <x:c r="AK775" t="inlineStr">
        <x:is>
          <x:t xml:space="preserve">Research Pool</x:t>
        </x:is>
      </x:c>
      <x:c r="AL775" t="n">
        <x:v>13</x:v>
      </x:c>
      <x:c r="AM775" t="inlineStr">
        <x:is>
          <x:t xml:space="preserve">ChatGPT research</x:t>
        </x:is>
      </x:c>
      <x:c r="AN775" t="inlineStr">
        <x:is>
          <x:t xml:space="preserve">2026-09-18</x:t>
        </x:is>
      </x:c>
      <x:c r="AO775" t="inlineStr">
        <x:is>
          <x:t xml:space="preserve">Day 13 selected SN/AN. Strongest unique lanes: second-arrow distinction, conditions/context, epistemic judgment, knowledge relevance.</x:t>
        </x:is>
      </x:c>
    </x:row>
    <x:row r="776">
      <x:c r="A776" t="inlineStr">
        <x:is>
          <x:t xml:space="preserve">research.nikaya.day13.sn22_59_01</x:t>
        </x:is>
      </x:c>
      <x:c r="B776" t="inlineStr">
        <x:is>
          <x:t xml:space="preserve">Collected</x:t>
        </x:is>
      </x:c>
      <x:c r="C776" t="inlineStr">
        <x:is>
          <x:t xml:space="preserve">Nội tâm &amp; hiểu mình</x:t>
        </x:is>
      </x:c>
      <x:c r="D776" t="inlineStr">
        <x:is>
          <x:t xml:space="preserve">Day 13 / Saṁyutta + Aṅguttara Nikāya — selected suttas</x:t>
        </x:is>
      </x:c>
      <x:c r="E776" t="inlineStr">
        <x:is>
          <x:t xml:space="preserve"/>
        </x:is>
      </x:c>
      <x:c r="F776" t="inlineStr">
        <x:is>
          <x:t xml:space="preserve">Control and identity</x:t>
        </x:is>
      </x:c>
      <x:c r="G776" t="inlineStr">
        <x:is>
          <x:t xml:space="preserve">Identity / Control</x:t>
        </x:is>
      </x:c>
      <x:c r="H776" t="inlineStr">
        <x:is>
          <x:t xml:space="preserve"/>
        </x:is>
      </x:c>
      <x:c r="I776" t="inlineStr">
        <x:is>
          <x:t xml:space="preserve"/>
        </x:is>
      </x:c>
      <x:c r="J776" t="inlineStr">
        <x:is>
          <x:t xml:space="preserve"/>
        </x:is>
      </x:c>
      <x:c r="K776" t="inlineStr">
        <x:is>
          <x:t xml:space="preserve">Open question</x:t>
        </x:is>
      </x:c>
      <x:c r="L776" t="inlineStr">
        <x:is>
          <x:t xml:space="preserve"/>
        </x:is>
      </x:c>
      <x:c r="M776" t="inlineStr">
        <x:is>
          <x:t xml:space="preserve">Source-anchored research paraphrase</x:t>
        </x:is>
      </x:c>
      <x:c r="N776" t="inlineStr">
        <x:is>
          <x:t xml:space="preserve">[Exact Pāḷi not copied in this row; verify passage-level Pāḷi before direct-quote Release]</x:t>
        </x:is>
      </x:c>
      <x:c r="O776" t="inlineStr">
        <x:is>
          <x:t xml:space="preserve">Pāḷi source / Vietnamese research paraphrase</x:t>
        </x:is>
      </x:c>
      <x:c r="P776" t="inlineStr">
        <x:is>
          <x:t xml:space="preserve">Nếu một phần trải nghiệm hoàn toàn là 'của tôi' theo nghĩa kiểm soát được, ta hẳn có thể ra lệnh nó luôn theo ý mình. Thực tế không đơn giản như vậy.</x:t>
        </x:is>
      </x:c>
      <x:c r="Q776" t="inlineStr">
        <x:is>
          <x:t xml:space="preserve">Saṁyutta/Aṅguttara Nikāya — Early Buddhist Pāḷi tradition</x:t>
        </x:is>
      </x:c>
      <x:c r="R776" t="inlineStr">
        <x:is>
          <x:t xml:space="preserve">Early Buddhist / Pāḷi tradition</x:t>
        </x:is>
      </x:c>
      <x:c r="S776" t="inlineStr">
        <x:is>
          <x:t xml:space="preserve">SN 22.59 Anattalakkhaṇasutta</x:t>
        </x:is>
      </x:c>
      <x:c r="T776" t="inlineStr">
        <x:is>
          <x:t xml:space="preserve">Not-self inquiry</x:t>
        </x:is>
      </x:c>
      <x:c r="U776" t="inlineStr">
        <x:is>
          <x:t xml:space="preserve">https://suttacentral.net/sn22.59</x:t>
        </x:is>
      </x:c>
      <x:c r="V776" t="inlineStr">
        <x:is>
          <x:t xml:space="preserve">Primary canonical source anchor — SuttaCentral</x:t>
        </x:is>
      </x:c>
      <x:c r="W776" t="inlineStr">
        <x:is>
          <x:t xml:space="preserve">Research paraphrase — NOT direct quote</x:t>
        </x:is>
      </x:c>
      <x:c r="X776" t="inlineStr">
        <x:is>
          <x:t xml:space="preserve">A/B - canonical source/theme verified; wording is Selflo research paraphrase</x:t>
        </x:is>
      </x:c>
      <x:c r="Y776" t="inlineStr">
        <x:is>
          <x:t xml:space="preserve">Source location verified. This row deliberately does not fabricate Pāḷi. Before direct quotation, retrieve and verify exact Pāḷi segment.</x:t>
        </x:is>
      </x:c>
      <x:c r="Z776" t="inlineStr">
        <x:is>
          <x:t xml:space="preserve">Ancient canonical text public domain; modern translations have separate rights</x:t>
        </x:is>
      </x:c>
      <x:c r="AA776" t="inlineStr">
        <x:is>
          <x:t xml:space="preserve">Vietnamese wording is fresh Selflo working paraphrase; do not copy modern copyrighted translations.</x:t>
        </x:is>
      </x:c>
      <x:c r="AB776" t="inlineStr">
        <x:is>
          <x:t xml:space="preserve">High</x:t>
        </x:is>
      </x:c>
      <x:c r="AC776" t="inlineStr">
        <x:is>
          <x:t xml:space="preserve">Day 13 collection candidate; not Release-approved.</x:t>
        </x:is>
      </x:c>
      <x:c r="AD776" t="inlineStr">
        <x:is>
          <x:t xml:space="preserve">Medium — canonical religious context requires editorial care</x:t>
        </x:is>
      </x:c>
      <x:c r="AE776" t="inlineStr">
        <x:is>
          <x:t xml:space="preserve">Needs semantic dedupe against Days 11–12</x:t>
        </x:is>
      </x:c>
      <x:c r="AF776" t="inlineStr">
        <x:is>
          <x:t xml:space="preserve"/>
        </x:is>
      </x:c>
      <x:c r="AG776" t="inlineStr">
        <x:is>
          <x:t xml:space="preserve"/>
        </x:is>
      </x:c>
      <x:c r="AH776" t="inlineStr">
        <x:is>
          <x:t xml:space="preserve">No</x:t>
        </x:is>
      </x:c>
      <x:c r="AI776" t="inlineStr">
        <x:is>
          <x:t xml:space="preserve">Not reviewed</x:t>
        </x:is>
      </x:c>
      <x:c r="AJ776" t="inlineStr">
        <x:is>
          <x:t xml:space="preserve">Research only</x:t>
        </x:is>
      </x:c>
      <x:c r="AK776" t="inlineStr">
        <x:is>
          <x:t xml:space="preserve">Research Pool</x:t>
        </x:is>
      </x:c>
      <x:c r="AL776" t="n">
        <x:v>13</x:v>
      </x:c>
      <x:c r="AM776" t="inlineStr">
        <x:is>
          <x:t xml:space="preserve">ChatGPT research</x:t>
        </x:is>
      </x:c>
      <x:c r="AN776" t="inlineStr">
        <x:is>
          <x:t xml:space="preserve">2026-09-18</x:t>
        </x:is>
      </x:c>
      <x:c r="AO776" t="inlineStr">
        <x:is>
          <x:t xml:space="preserve">Day 13 selected SN/AN. Strongest unique lanes: second-arrow distinction, conditions/context, epistemic judgment, knowledge relevance.</x:t>
        </x:is>
      </x:c>
    </x:row>
    <x:row r="777">
      <x:c r="A777" t="inlineStr">
        <x:is>
          <x:t xml:space="preserve">research.nikaya.day13.sn22_95_01</x:t>
        </x:is>
      </x:c>
      <x:c r="B777" t="inlineStr">
        <x:is>
          <x:t xml:space="preserve">Collected</x:t>
        </x:is>
      </x:c>
      <x:c r="C777" t="inlineStr">
        <x:is>
          <x:t xml:space="preserve">Nội tâm &amp; hiểu mình</x:t>
        </x:is>
      </x:c>
      <x:c r="D777" t="inlineStr">
        <x:is>
          <x:t xml:space="preserve">Day 13 / Saṁyutta + Aṅguttara Nikāya — selected suttas</x:t>
        </x:is>
      </x:c>
      <x:c r="E777" t="inlineStr">
        <x:is>
          <x:t xml:space="preserve"/>
        </x:is>
      </x:c>
      <x:c r="F777" t="inlineStr">
        <x:is>
          <x:t xml:space="preserve">Apparent solidity</x:t>
        </x:is>
      </x:c>
      <x:c r="G777" t="inlineStr">
        <x:is>
          <x:t xml:space="preserve">Perception / Impermanence</x:t>
        </x:is>
      </x:c>
      <x:c r="H777" t="inlineStr">
        <x:is>
          <x:t xml:space="preserve"/>
        </x:is>
      </x:c>
      <x:c r="I777" t="inlineStr">
        <x:is>
          <x:t xml:space="preserve"/>
        </x:is>
      </x:c>
      <x:c r="J777" t="inlineStr">
        <x:is>
          <x:t xml:space="preserve"/>
        </x:is>
      </x:c>
      <x:c r="K777" t="inlineStr">
        <x:is>
          <x:t xml:space="preserve">Reframe</x:t>
        </x:is>
      </x:c>
      <x:c r="L777" t="inlineStr">
        <x:is>
          <x:t xml:space="preserve"/>
        </x:is>
      </x:c>
      <x:c r="M777" t="inlineStr">
        <x:is>
          <x:t xml:space="preserve">Source-anchored research paraphrase</x:t>
        </x:is>
      </x:c>
      <x:c r="N777" t="inlineStr">
        <x:is>
          <x:t xml:space="preserve">[Exact Pāḷi not copied in this row; verify passage-level Pāḷi before direct-quote Release]</x:t>
        </x:is>
      </x:c>
      <x:c r="O777" t="inlineStr">
        <x:is>
          <x:t xml:space="preserve">Pāḷi source / Vietnamese research paraphrase</x:t>
        </x:is>
      </x:c>
      <x:c r="P777" t="inlineStr">
        <x:is>
          <x:t xml:space="preserve">Thân thể được ví như khối bọt: có hình nhưng khi nhìn kỹ, tính chắc đặc mà ta gán cho nó không còn nguyên như tưởng tượng.</x:t>
        </x:is>
      </x:c>
      <x:c r="Q777" t="inlineStr">
        <x:is>
          <x:t xml:space="preserve">Saṁyutta/Aṅguttara Nikāya — Early Buddhist Pāḷi tradition</x:t>
        </x:is>
      </x:c>
      <x:c r="R777" t="inlineStr">
        <x:is>
          <x:t xml:space="preserve">Early Buddhist / Pāḷi tradition</x:t>
        </x:is>
      </x:c>
      <x:c r="S777" t="inlineStr">
        <x:is>
          <x:t xml:space="preserve">SN 22.95 Pheṇapiṇḍūpamasutta</x:t>
        </x:is>
      </x:c>
      <x:c r="T777" t="inlineStr">
        <x:is>
          <x:t xml:space="preserve">Foam similes</x:t>
        </x:is>
      </x:c>
      <x:c r="U777" t="inlineStr">
        <x:is>
          <x:t xml:space="preserve">https://suttacentral.net/sn22.95</x:t>
        </x:is>
      </x:c>
      <x:c r="V777" t="inlineStr">
        <x:is>
          <x:t xml:space="preserve">Primary canonical source anchor — SuttaCentral</x:t>
        </x:is>
      </x:c>
      <x:c r="W777" t="inlineStr">
        <x:is>
          <x:t xml:space="preserve">Research paraphrase — NOT direct quote</x:t>
        </x:is>
      </x:c>
      <x:c r="X777" t="inlineStr">
        <x:is>
          <x:t xml:space="preserve">A/B - canonical source/theme verified; wording is Selflo research paraphrase</x:t>
        </x:is>
      </x:c>
      <x:c r="Y777" t="inlineStr">
        <x:is>
          <x:t xml:space="preserve">Source location verified. This row deliberately does not fabricate Pāḷi. Before direct quotation, retrieve and verify exact Pāḷi segment.</x:t>
        </x:is>
      </x:c>
      <x:c r="Z777" t="inlineStr">
        <x:is>
          <x:t xml:space="preserve">Ancient canonical text public domain; modern translations have separate rights</x:t>
        </x:is>
      </x:c>
      <x:c r="AA777" t="inlineStr">
        <x:is>
          <x:t xml:space="preserve">Vietnamese wording is fresh Selflo working paraphrase; do not copy modern copyrighted translations.</x:t>
        </x:is>
      </x:c>
      <x:c r="AB777" t="inlineStr">
        <x:is>
          <x:t xml:space="preserve">High</x:t>
        </x:is>
      </x:c>
      <x:c r="AC777" t="inlineStr">
        <x:is>
          <x:t xml:space="preserve">Day 13 collection candidate; not Release-approved.</x:t>
        </x:is>
      </x:c>
      <x:c r="AD777" t="inlineStr">
        <x:is>
          <x:t xml:space="preserve">Medium — canonical religious context requires editorial care</x:t>
        </x:is>
      </x:c>
      <x:c r="AE777" t="inlineStr">
        <x:is>
          <x:t xml:space="preserve">Needs semantic dedupe against Days 11–12</x:t>
        </x:is>
      </x:c>
      <x:c r="AF777" t="inlineStr">
        <x:is>
          <x:t xml:space="preserve"/>
        </x:is>
      </x:c>
      <x:c r="AG777" t="inlineStr">
        <x:is>
          <x:t xml:space="preserve"/>
        </x:is>
      </x:c>
      <x:c r="AH777" t="inlineStr">
        <x:is>
          <x:t xml:space="preserve">No</x:t>
        </x:is>
      </x:c>
      <x:c r="AI777" t="inlineStr">
        <x:is>
          <x:t xml:space="preserve">Not reviewed</x:t>
        </x:is>
      </x:c>
      <x:c r="AJ777" t="inlineStr">
        <x:is>
          <x:t xml:space="preserve">Research only</x:t>
        </x:is>
      </x:c>
      <x:c r="AK777" t="inlineStr">
        <x:is>
          <x:t xml:space="preserve">Research Pool</x:t>
        </x:is>
      </x:c>
      <x:c r="AL777" t="n">
        <x:v>13</x:v>
      </x:c>
      <x:c r="AM777" t="inlineStr">
        <x:is>
          <x:t xml:space="preserve">ChatGPT research</x:t>
        </x:is>
      </x:c>
      <x:c r="AN777" t="inlineStr">
        <x:is>
          <x:t xml:space="preserve">2026-09-18</x:t>
        </x:is>
      </x:c>
      <x:c r="AO777" t="inlineStr">
        <x:is>
          <x:t xml:space="preserve">Day 13 selected SN/AN. Strongest unique lanes: second-arrow distinction, conditions/context, epistemic judgment, knowledge relevance.</x:t>
        </x:is>
      </x:c>
    </x:row>
    <x:row r="778">
      <x:c r="A778" t="inlineStr">
        <x:is>
          <x:t xml:space="preserve">research.nikaya.day13.sn22_95_02</x:t>
        </x:is>
      </x:c>
      <x:c r="B778" t="inlineStr">
        <x:is>
          <x:t xml:space="preserve">Collected</x:t>
        </x:is>
      </x:c>
      <x:c r="C778" t="inlineStr">
        <x:is>
          <x:t xml:space="preserve">Nội tâm &amp; hiểu mình</x:t>
        </x:is>
      </x:c>
      <x:c r="D778" t="inlineStr">
        <x:is>
          <x:t xml:space="preserve">Day 13 / Saṁyutta + Aṅguttara Nikāya — selected suttas</x:t>
        </x:is>
      </x:c>
      <x:c r="E778" t="inlineStr">
        <x:is>
          <x:t xml:space="preserve"/>
        </x:is>
      </x:c>
      <x:c r="F778" t="inlineStr">
        <x:is>
          <x:t xml:space="preserve">Feeling changes</x:t>
        </x:is>
      </x:c>
      <x:c r="G778" t="inlineStr">
        <x:is>
          <x:t xml:space="preserve">Emotion / Impermanence</x:t>
        </x:is>
      </x:c>
      <x:c r="H778" t="inlineStr">
        <x:is>
          <x:t xml:space="preserve"/>
        </x:is>
      </x:c>
      <x:c r="I778" t="inlineStr">
        <x:is>
          <x:t xml:space="preserve"/>
        </x:is>
      </x:c>
      <x:c r="J778" t="inlineStr">
        <x:is>
          <x:t xml:space="preserve"/>
        </x:is>
      </x:c>
      <x:c r="K778" t="inlineStr">
        <x:is>
          <x:t xml:space="preserve">Normalize</x:t>
        </x:is>
      </x:c>
      <x:c r="L778" t="inlineStr">
        <x:is>
          <x:t xml:space="preserve"/>
        </x:is>
      </x:c>
      <x:c r="M778" t="inlineStr">
        <x:is>
          <x:t xml:space="preserve">Source-anchored research paraphrase</x:t>
        </x:is>
      </x:c>
      <x:c r="N778" t="inlineStr">
        <x:is>
          <x:t xml:space="preserve">[Exact Pāḷi not copied in this row; verify passage-level Pāḷi before direct-quote Release]</x:t>
        </x:is>
      </x:c>
      <x:c r="O778" t="inlineStr">
        <x:is>
          <x:t xml:space="preserve">Pāḷi source / Vietnamese research paraphrase</x:t>
        </x:is>
      </x:c>
      <x:c r="P778" t="inlineStr">
        <x:is>
          <x:t xml:space="preserve">Cảm giác được ví như bong bóng nổi lên rồi vỡ—một hình ảnh cho điều có thật khi đang xảy ra nhưng không đứng yên.</x:t>
        </x:is>
      </x:c>
      <x:c r="Q778" t="inlineStr">
        <x:is>
          <x:t xml:space="preserve">Saṁyutta/Aṅguttara Nikāya — Early Buddhist Pāḷi tradition</x:t>
        </x:is>
      </x:c>
      <x:c r="R778" t="inlineStr">
        <x:is>
          <x:t xml:space="preserve">Early Buddhist / Pāḷi tradition</x:t>
        </x:is>
      </x:c>
      <x:c r="S778" t="inlineStr">
        <x:is>
          <x:t xml:space="preserve">SN 22.95 Pheṇapiṇḍūpamasutta</x:t>
        </x:is>
      </x:c>
      <x:c r="T778" t="inlineStr">
        <x:is>
          <x:t xml:space="preserve">Bubble simile</x:t>
        </x:is>
      </x:c>
      <x:c r="U778" t="inlineStr">
        <x:is>
          <x:t xml:space="preserve">https://suttacentral.net/sn22.95</x:t>
        </x:is>
      </x:c>
      <x:c r="V778" t="inlineStr">
        <x:is>
          <x:t xml:space="preserve">Primary canonical source anchor — SuttaCentral</x:t>
        </x:is>
      </x:c>
      <x:c r="W778" t="inlineStr">
        <x:is>
          <x:t xml:space="preserve">Research paraphrase — NOT direct quote</x:t>
        </x:is>
      </x:c>
      <x:c r="X778" t="inlineStr">
        <x:is>
          <x:t xml:space="preserve">A/B - canonical source/theme verified; wording is Selflo research paraphrase</x:t>
        </x:is>
      </x:c>
      <x:c r="Y778" t="inlineStr">
        <x:is>
          <x:t xml:space="preserve">Source location verified. This row deliberately does not fabricate Pāḷi. Before direct quotation, retrieve and verify exact Pāḷi segment.</x:t>
        </x:is>
      </x:c>
      <x:c r="Z778" t="inlineStr">
        <x:is>
          <x:t xml:space="preserve">Ancient canonical text public domain; modern translations have separate rights</x:t>
        </x:is>
      </x:c>
      <x:c r="AA778" t="inlineStr">
        <x:is>
          <x:t xml:space="preserve">Vietnamese wording is fresh Selflo working paraphrase; do not copy modern copyrighted translations.</x:t>
        </x:is>
      </x:c>
      <x:c r="AB778" t="inlineStr">
        <x:is>
          <x:t xml:space="preserve">High</x:t>
        </x:is>
      </x:c>
      <x:c r="AC778" t="inlineStr">
        <x:is>
          <x:t xml:space="preserve">Day 13 collection candidate; not Release-approved.</x:t>
        </x:is>
      </x:c>
      <x:c r="AD778" t="inlineStr">
        <x:is>
          <x:t xml:space="preserve">Medium — canonical religious context requires editorial care</x:t>
        </x:is>
      </x:c>
      <x:c r="AE778" t="inlineStr">
        <x:is>
          <x:t xml:space="preserve">Needs semantic dedupe against Days 11–12</x:t>
        </x:is>
      </x:c>
      <x:c r="AF778" t="inlineStr">
        <x:is>
          <x:t xml:space="preserve"/>
        </x:is>
      </x:c>
      <x:c r="AG778" t="inlineStr">
        <x:is>
          <x:t xml:space="preserve"/>
        </x:is>
      </x:c>
      <x:c r="AH778" t="inlineStr">
        <x:is>
          <x:t xml:space="preserve">No</x:t>
        </x:is>
      </x:c>
      <x:c r="AI778" t="inlineStr">
        <x:is>
          <x:t xml:space="preserve">Not reviewed</x:t>
        </x:is>
      </x:c>
      <x:c r="AJ778" t="inlineStr">
        <x:is>
          <x:t xml:space="preserve">Research only</x:t>
        </x:is>
      </x:c>
      <x:c r="AK778" t="inlineStr">
        <x:is>
          <x:t xml:space="preserve">Research Pool</x:t>
        </x:is>
      </x:c>
      <x:c r="AL778" t="n">
        <x:v>13</x:v>
      </x:c>
      <x:c r="AM778" t="inlineStr">
        <x:is>
          <x:t xml:space="preserve">ChatGPT research</x:t>
        </x:is>
      </x:c>
      <x:c r="AN778" t="inlineStr">
        <x:is>
          <x:t xml:space="preserve">2026-09-18</x:t>
        </x:is>
      </x:c>
      <x:c r="AO778" t="inlineStr">
        <x:is>
          <x:t xml:space="preserve">Day 13 selected SN/AN. Strongest unique lanes: second-arrow distinction, conditions/context, epistemic judgment, knowledge relevance.</x:t>
        </x:is>
      </x:c>
    </x:row>
    <x:row r="779">
      <x:c r="A779" t="inlineStr">
        <x:is>
          <x:t xml:space="preserve">research.nikaya.day13.sn22_95_03</x:t>
        </x:is>
      </x:c>
      <x:c r="B779" t="inlineStr">
        <x:is>
          <x:t xml:space="preserve">Collected</x:t>
        </x:is>
      </x:c>
      <x:c r="C779" t="inlineStr">
        <x:is>
          <x:t xml:space="preserve">Nội tâm &amp; hiểu mình</x:t>
        </x:is>
      </x:c>
      <x:c r="D779" t="inlineStr">
        <x:is>
          <x:t xml:space="preserve">Day 13 / Saṁyutta + Aṅguttara Nikāya — selected suttas</x:t>
        </x:is>
      </x:c>
      <x:c r="E779" t="inlineStr">
        <x:is>
          <x:t xml:space="preserve"/>
        </x:is>
      </x:c>
      <x:c r="F779" t="inlineStr">
        <x:is>
          <x:t xml:space="preserve">Perception is conditioned</x:t>
        </x:is>
      </x:c>
      <x:c r="G779" t="inlineStr">
        <x:is>
          <x:t xml:space="preserve">Perception / Judgment</x:t>
        </x:is>
      </x:c>
      <x:c r="H779" t="inlineStr">
        <x:is>
          <x:t xml:space="preserve"/>
        </x:is>
      </x:c>
      <x:c r="I779" t="inlineStr">
        <x:is>
          <x:t xml:space="preserve"/>
        </x:is>
      </x:c>
      <x:c r="J779" t="inlineStr">
        <x:is>
          <x:t xml:space="preserve"/>
        </x:is>
      </x:c>
      <x:c r="K779" t="inlineStr">
        <x:is>
          <x:t xml:space="preserve">Distinguish</x:t>
        </x:is>
      </x:c>
      <x:c r="L779" t="inlineStr">
        <x:is>
          <x:t xml:space="preserve"/>
        </x:is>
      </x:c>
      <x:c r="M779" t="inlineStr">
        <x:is>
          <x:t xml:space="preserve">Source-anchored research paraphrase</x:t>
        </x:is>
      </x:c>
      <x:c r="N779" t="inlineStr">
        <x:is>
          <x:t xml:space="preserve">[Exact Pāḷi not copied in this row; verify passage-level Pāḷi before direct-quote Release]</x:t>
        </x:is>
      </x:c>
      <x:c r="O779" t="inlineStr">
        <x:is>
          <x:t xml:space="preserve">Pāḷi source / Vietnamese research paraphrase</x:t>
        </x:is>
      </x:c>
      <x:c r="P779" t="inlineStr">
        <x:is>
          <x:t xml:space="preserve">Nhận thức được ví như ảo ảnh: thứ mình thấy có thể phụ thuộc vào khoảng cách, điều kiện và cách nhìn.</x:t>
        </x:is>
      </x:c>
      <x:c r="Q779" t="inlineStr">
        <x:is>
          <x:t xml:space="preserve">Saṁyutta/Aṅguttara Nikāya — Early Buddhist Pāḷi tradition</x:t>
        </x:is>
      </x:c>
      <x:c r="R779" t="inlineStr">
        <x:is>
          <x:t xml:space="preserve">Early Buddhist / Pāḷi tradition</x:t>
        </x:is>
      </x:c>
      <x:c r="S779" t="inlineStr">
        <x:is>
          <x:t xml:space="preserve">SN 22.95 Pheṇapiṇḍūpamasutta</x:t>
        </x:is>
      </x:c>
      <x:c r="T779" t="inlineStr">
        <x:is>
          <x:t xml:space="preserve">Mirage simile</x:t>
        </x:is>
      </x:c>
      <x:c r="U779" t="inlineStr">
        <x:is>
          <x:t xml:space="preserve">https://suttacentral.net/sn22.95</x:t>
        </x:is>
      </x:c>
      <x:c r="V779" t="inlineStr">
        <x:is>
          <x:t xml:space="preserve">Primary canonical source anchor — SuttaCentral</x:t>
        </x:is>
      </x:c>
      <x:c r="W779" t="inlineStr">
        <x:is>
          <x:t xml:space="preserve">Research paraphrase — NOT direct quote</x:t>
        </x:is>
      </x:c>
      <x:c r="X779" t="inlineStr">
        <x:is>
          <x:t xml:space="preserve">A/B - canonical source/theme verified; wording is Selflo research paraphrase</x:t>
        </x:is>
      </x:c>
      <x:c r="Y779" t="inlineStr">
        <x:is>
          <x:t xml:space="preserve">Source location verified. This row deliberately does not fabricate Pāḷi. Before direct quotation, retrieve and verify exact Pāḷi segment.</x:t>
        </x:is>
      </x:c>
      <x:c r="Z779" t="inlineStr">
        <x:is>
          <x:t xml:space="preserve">Ancient canonical text public domain; modern translations have separate rights</x:t>
        </x:is>
      </x:c>
      <x:c r="AA779" t="inlineStr">
        <x:is>
          <x:t xml:space="preserve">Vietnamese wording is fresh Selflo working paraphrase; do not copy modern copyrighted translations.</x:t>
        </x:is>
      </x:c>
      <x:c r="AB779" t="inlineStr">
        <x:is>
          <x:t xml:space="preserve">High</x:t>
        </x:is>
      </x:c>
      <x:c r="AC779" t="inlineStr">
        <x:is>
          <x:t xml:space="preserve">Day 13 collection candidate; not Release-approved.</x:t>
        </x:is>
      </x:c>
      <x:c r="AD779" t="inlineStr">
        <x:is>
          <x:t xml:space="preserve">Medium — canonical religious context requires editorial care</x:t>
        </x:is>
      </x:c>
      <x:c r="AE779" t="inlineStr">
        <x:is>
          <x:t xml:space="preserve">Needs semantic dedupe against Days 11–12</x:t>
        </x:is>
      </x:c>
      <x:c r="AF779" t="inlineStr">
        <x:is>
          <x:t xml:space="preserve"/>
        </x:is>
      </x:c>
      <x:c r="AG779" t="inlineStr">
        <x:is>
          <x:t xml:space="preserve"/>
        </x:is>
      </x:c>
      <x:c r="AH779" t="inlineStr">
        <x:is>
          <x:t xml:space="preserve">No</x:t>
        </x:is>
      </x:c>
      <x:c r="AI779" t="inlineStr">
        <x:is>
          <x:t xml:space="preserve">Not reviewed</x:t>
        </x:is>
      </x:c>
      <x:c r="AJ779" t="inlineStr">
        <x:is>
          <x:t xml:space="preserve">Research only</x:t>
        </x:is>
      </x:c>
      <x:c r="AK779" t="inlineStr">
        <x:is>
          <x:t xml:space="preserve">Research Pool</x:t>
        </x:is>
      </x:c>
      <x:c r="AL779" t="n">
        <x:v>13</x:v>
      </x:c>
      <x:c r="AM779" t="inlineStr">
        <x:is>
          <x:t xml:space="preserve">ChatGPT research</x:t>
        </x:is>
      </x:c>
      <x:c r="AN779" t="inlineStr">
        <x:is>
          <x:t xml:space="preserve">2026-09-18</x:t>
        </x:is>
      </x:c>
      <x:c r="AO779" t="inlineStr">
        <x:is>
          <x:t xml:space="preserve">Day 13 selected SN/AN. Strongest unique lanes: second-arrow distinction, conditions/context, epistemic judgment, knowledge relevance.</x:t>
        </x:is>
      </x:c>
    </x:row>
    <x:row r="780">
      <x:c r="A780" t="inlineStr">
        <x:is>
          <x:t xml:space="preserve">research.nikaya.day13.sn22_95_04</x:t>
        </x:is>
      </x:c>
      <x:c r="B780" t="inlineStr">
        <x:is>
          <x:t xml:space="preserve">Collected</x:t>
        </x:is>
      </x:c>
      <x:c r="C780" t="inlineStr">
        <x:is>
          <x:t xml:space="preserve">Nội tâm &amp; hiểu mình</x:t>
        </x:is>
      </x:c>
      <x:c r="D780" t="inlineStr">
        <x:is>
          <x:t xml:space="preserve">Day 13 / Saṁyutta + Aṅguttara Nikāya — selected suttas</x:t>
        </x:is>
      </x:c>
      <x:c r="E780" t="inlineStr">
        <x:is>
          <x:t xml:space="preserve"/>
        </x:is>
      </x:c>
      <x:c r="F780" t="inlineStr">
        <x:is>
          <x:t xml:space="preserve">Searching for fixed core</x:t>
        </x:is>
      </x:c>
      <x:c r="G780" t="inlineStr">
        <x:is>
          <x:t xml:space="preserve">Identity / Process</x:t>
        </x:is>
      </x:c>
      <x:c r="H780" t="inlineStr">
        <x:is>
          <x:t xml:space="preserve"/>
        </x:is>
      </x:c>
      <x:c r="I780" t="inlineStr">
        <x:is>
          <x:t xml:space="preserve"/>
        </x:is>
      </x:c>
      <x:c r="J780" t="inlineStr">
        <x:is>
          <x:t xml:space="preserve"/>
        </x:is>
      </x:c>
      <x:c r="K780" t="inlineStr">
        <x:is>
          <x:t xml:space="preserve">Reframe</x:t>
        </x:is>
      </x:c>
      <x:c r="L780" t="inlineStr">
        <x:is>
          <x:t xml:space="preserve"/>
        </x:is>
      </x:c>
      <x:c r="M780" t="inlineStr">
        <x:is>
          <x:t xml:space="preserve">Source-anchored research paraphrase</x:t>
        </x:is>
      </x:c>
      <x:c r="N780" t="inlineStr">
        <x:is>
          <x:t xml:space="preserve">[Exact Pāḷi not copied in this row; verify passage-level Pāḷi before direct-quote Release]</x:t>
        </x:is>
      </x:c>
      <x:c r="O780" t="inlineStr">
        <x:is>
          <x:t xml:space="preserve">Pāḷi source / Vietnamese research paraphrase</x:t>
        </x:is>
      </x:c>
      <x:c r="P780" t="inlineStr">
        <x:is>
          <x:t xml:space="preserve">Những cấu tạo tâm lý được ví như thân cây chuối bóc từng lớp mà không tìm thấy một lõi cứng duy nhất ở giữa.</x:t>
        </x:is>
      </x:c>
      <x:c r="Q780" t="inlineStr">
        <x:is>
          <x:t xml:space="preserve">Saṁyutta/Aṅguttara Nikāya — Early Buddhist Pāḷi tradition</x:t>
        </x:is>
      </x:c>
      <x:c r="R780" t="inlineStr">
        <x:is>
          <x:t xml:space="preserve">Early Buddhist / Pāḷi tradition</x:t>
        </x:is>
      </x:c>
      <x:c r="S780" t="inlineStr">
        <x:is>
          <x:t xml:space="preserve">SN 22.95 Pheṇapiṇḍūpamasutta</x:t>
        </x:is>
      </x:c>
      <x:c r="T780" t="inlineStr">
        <x:is>
          <x:t xml:space="preserve">Plantain trunk simile</x:t>
        </x:is>
      </x:c>
      <x:c r="U780" t="inlineStr">
        <x:is>
          <x:t xml:space="preserve">https://suttacentral.net/sn22.95</x:t>
        </x:is>
      </x:c>
      <x:c r="V780" t="inlineStr">
        <x:is>
          <x:t xml:space="preserve">Primary canonical source anchor — SuttaCentral</x:t>
        </x:is>
      </x:c>
      <x:c r="W780" t="inlineStr">
        <x:is>
          <x:t xml:space="preserve">Research paraphrase — NOT direct quote</x:t>
        </x:is>
      </x:c>
      <x:c r="X780" t="inlineStr">
        <x:is>
          <x:t xml:space="preserve">A/B - canonical source/theme verified; wording is Selflo research paraphrase</x:t>
        </x:is>
      </x:c>
      <x:c r="Y780" t="inlineStr">
        <x:is>
          <x:t xml:space="preserve">Source location verified. This row deliberately does not fabricate Pāḷi. Before direct quotation, retrieve and verify exact Pāḷi segment.</x:t>
        </x:is>
      </x:c>
      <x:c r="Z780" t="inlineStr">
        <x:is>
          <x:t xml:space="preserve">Ancient canonical text public domain; modern translations have separate rights</x:t>
        </x:is>
      </x:c>
      <x:c r="AA780" t="inlineStr">
        <x:is>
          <x:t xml:space="preserve">Vietnamese wording is fresh Selflo working paraphrase; do not copy modern copyrighted translations.</x:t>
        </x:is>
      </x:c>
      <x:c r="AB780" t="inlineStr">
        <x:is>
          <x:t xml:space="preserve">Medium</x:t>
        </x:is>
      </x:c>
      <x:c r="AC780" t="inlineStr">
        <x:is>
          <x:t xml:space="preserve">Day 13 collection candidate; not Release-approved.</x:t>
        </x:is>
      </x:c>
      <x:c r="AD780" t="inlineStr">
        <x:is>
          <x:t xml:space="preserve">Medium — canonical religious context requires editorial care</x:t>
        </x:is>
      </x:c>
      <x:c r="AE780" t="inlineStr">
        <x:is>
          <x:t xml:space="preserve">Needs semantic dedupe against Days 11–12</x:t>
        </x:is>
      </x:c>
      <x:c r="AF780" t="inlineStr">
        <x:is>
          <x:t xml:space="preserve"/>
        </x:is>
      </x:c>
      <x:c r="AG780" t="inlineStr">
        <x:is>
          <x:t xml:space="preserve"/>
        </x:is>
      </x:c>
      <x:c r="AH780" t="inlineStr">
        <x:is>
          <x:t xml:space="preserve">No</x:t>
        </x:is>
      </x:c>
      <x:c r="AI780" t="inlineStr">
        <x:is>
          <x:t xml:space="preserve">Not reviewed</x:t>
        </x:is>
      </x:c>
      <x:c r="AJ780" t="inlineStr">
        <x:is>
          <x:t xml:space="preserve">Research only</x:t>
        </x:is>
      </x:c>
      <x:c r="AK780" t="inlineStr">
        <x:is>
          <x:t xml:space="preserve">Research Pool</x:t>
        </x:is>
      </x:c>
      <x:c r="AL780" t="n">
        <x:v>13</x:v>
      </x:c>
      <x:c r="AM780" t="inlineStr">
        <x:is>
          <x:t xml:space="preserve">ChatGPT research</x:t>
        </x:is>
      </x:c>
      <x:c r="AN780" t="inlineStr">
        <x:is>
          <x:t xml:space="preserve">2026-09-18</x:t>
        </x:is>
      </x:c>
      <x:c r="AO780" t="inlineStr">
        <x:is>
          <x:t xml:space="preserve">Day 13 selected SN/AN. Strongest unique lanes: second-arrow distinction, conditions/context, epistemic judgment, knowledge relevance.</x:t>
        </x:is>
      </x:c>
    </x:row>
    <x:row r="781">
      <x:c r="A781" t="inlineStr">
        <x:is>
          <x:t xml:space="preserve">research.nikaya.day13.sn22_95_05</x:t>
        </x:is>
      </x:c>
      <x:c r="B781" t="inlineStr">
        <x:is>
          <x:t xml:space="preserve">Collected</x:t>
        </x:is>
      </x:c>
      <x:c r="C781" t="inlineStr">
        <x:is>
          <x:t xml:space="preserve">Nội tâm &amp; hiểu mình</x:t>
        </x:is>
      </x:c>
      <x:c r="D781" t="inlineStr">
        <x:is>
          <x:t xml:space="preserve">Day 13 / Saṁyutta + Aṅguttara Nikāya — selected suttas</x:t>
        </x:is>
      </x:c>
      <x:c r="E781" t="inlineStr">
        <x:is>
          <x:t xml:space="preserve"/>
        </x:is>
      </x:c>
      <x:c r="F781" t="inlineStr">
        <x:is>
          <x:t xml:space="preserve">Appearance and certainty</x:t>
        </x:is>
      </x:c>
      <x:c r="G781" t="inlineStr">
        <x:is>
          <x:t xml:space="preserve">Perception / AI age</x:t>
        </x:is>
      </x:c>
      <x:c r="H781" t="inlineStr">
        <x:is>
          <x:t xml:space="preserve"/>
        </x:is>
      </x:c>
      <x:c r="I781" t="inlineStr">
        <x:is>
          <x:t xml:space="preserve"/>
        </x:is>
      </x:c>
      <x:c r="J781" t="inlineStr">
        <x:is>
          <x:t xml:space="preserve"/>
        </x:is>
      </x:c>
      <x:c r="K781" t="inlineStr">
        <x:is>
          <x:t xml:space="preserve">Distinguish</x:t>
        </x:is>
      </x:c>
      <x:c r="L781" t="inlineStr">
        <x:is>
          <x:t xml:space="preserve"/>
        </x:is>
      </x:c>
      <x:c r="M781" t="inlineStr">
        <x:is>
          <x:t xml:space="preserve">Source-anchored research paraphrase</x:t>
        </x:is>
      </x:c>
      <x:c r="N781" t="inlineStr">
        <x:is>
          <x:t xml:space="preserve">[Exact Pāḷi not copied in this row; verify passage-level Pāḷi before direct-quote Release]</x:t>
        </x:is>
      </x:c>
      <x:c r="O781" t="inlineStr">
        <x:is>
          <x:t xml:space="preserve">Pāḷi source / Vietnamese research paraphrase</x:t>
        </x:is>
      </x:c>
      <x:c r="P781" t="inlineStr">
        <x:is>
          <x:t xml:space="preserve">Ý thức được ví như màn ảo thuật: điều xuất hiện có thể rất thuyết phục mà vẫn cần được nhìn kỹ trước khi xem là thực tại cố định.</x:t>
        </x:is>
      </x:c>
      <x:c r="Q781" t="inlineStr">
        <x:is>
          <x:t xml:space="preserve">Saṁyutta/Aṅguttara Nikāya — Early Buddhist Pāḷi tradition</x:t>
        </x:is>
      </x:c>
      <x:c r="R781" t="inlineStr">
        <x:is>
          <x:t xml:space="preserve">Early Buddhist / Pāḷi tradition</x:t>
        </x:is>
      </x:c>
      <x:c r="S781" t="inlineStr">
        <x:is>
          <x:t xml:space="preserve">SN 22.95 Pheṇapiṇḍūpamasutta</x:t>
        </x:is>
      </x:c>
      <x:c r="T781" t="inlineStr">
        <x:is>
          <x:t xml:space="preserve">Magic show simile</x:t>
        </x:is>
      </x:c>
      <x:c r="U781" t="inlineStr">
        <x:is>
          <x:t xml:space="preserve">https://suttacentral.net/sn22.95</x:t>
        </x:is>
      </x:c>
      <x:c r="V781" t="inlineStr">
        <x:is>
          <x:t xml:space="preserve">Primary canonical source anchor — SuttaCentral</x:t>
        </x:is>
      </x:c>
      <x:c r="W781" t="inlineStr">
        <x:is>
          <x:t xml:space="preserve">Research paraphrase — NOT direct quote</x:t>
        </x:is>
      </x:c>
      <x:c r="X781" t="inlineStr">
        <x:is>
          <x:t xml:space="preserve">A/B - canonical source/theme verified; wording is Selflo research paraphrase</x:t>
        </x:is>
      </x:c>
      <x:c r="Y781" t="inlineStr">
        <x:is>
          <x:t xml:space="preserve">Source location verified. This row deliberately does not fabricate Pāḷi. Before direct quotation, retrieve and verify exact Pāḷi segment.</x:t>
        </x:is>
      </x:c>
      <x:c r="Z781" t="inlineStr">
        <x:is>
          <x:t xml:space="preserve">Ancient canonical text public domain; modern translations have separate rights</x:t>
        </x:is>
      </x:c>
      <x:c r="AA781" t="inlineStr">
        <x:is>
          <x:t xml:space="preserve">Vietnamese wording is fresh Selflo working paraphrase; do not copy modern copyrighted translations.</x:t>
        </x:is>
      </x:c>
      <x:c r="AB781" t="inlineStr">
        <x:is>
          <x:t xml:space="preserve">High</x:t>
        </x:is>
      </x:c>
      <x:c r="AC781" t="inlineStr">
        <x:is>
          <x:t xml:space="preserve">Day 13 collection candidate; not Release-approved.</x:t>
        </x:is>
      </x:c>
      <x:c r="AD781" t="inlineStr">
        <x:is>
          <x:t xml:space="preserve">Medium — canonical religious context requires editorial care</x:t>
        </x:is>
      </x:c>
      <x:c r="AE781" t="inlineStr">
        <x:is>
          <x:t xml:space="preserve">Needs semantic dedupe against Days 11–12</x:t>
        </x:is>
      </x:c>
      <x:c r="AF781" t="inlineStr">
        <x:is>
          <x:t xml:space="preserve"/>
        </x:is>
      </x:c>
      <x:c r="AG781" t="inlineStr">
        <x:is>
          <x:t xml:space="preserve"/>
        </x:is>
      </x:c>
      <x:c r="AH781" t="inlineStr">
        <x:is>
          <x:t xml:space="preserve">No</x:t>
        </x:is>
      </x:c>
      <x:c r="AI781" t="inlineStr">
        <x:is>
          <x:t xml:space="preserve">Not reviewed</x:t>
        </x:is>
      </x:c>
      <x:c r="AJ781" t="inlineStr">
        <x:is>
          <x:t xml:space="preserve">Research only</x:t>
        </x:is>
      </x:c>
      <x:c r="AK781" t="inlineStr">
        <x:is>
          <x:t xml:space="preserve">Research Pool</x:t>
        </x:is>
      </x:c>
      <x:c r="AL781" t="n">
        <x:v>13</x:v>
      </x:c>
      <x:c r="AM781" t="inlineStr">
        <x:is>
          <x:t xml:space="preserve">ChatGPT research</x:t>
        </x:is>
      </x:c>
      <x:c r="AN781" t="inlineStr">
        <x:is>
          <x:t xml:space="preserve">2026-09-18</x:t>
        </x:is>
      </x:c>
      <x:c r="AO781" t="inlineStr">
        <x:is>
          <x:t xml:space="preserve">Day 13 selected SN/AN. Strongest unique lanes: second-arrow distinction, conditions/context, epistemic judgment, knowledge relevance.</x:t>
        </x:is>
      </x:c>
    </x:row>
    <x:row r="782">
      <x:c r="A782" t="inlineStr">
        <x:is>
          <x:t xml:space="preserve">research.nikaya.day13.sn35_246_01</x:t>
        </x:is>
      </x:c>
      <x:c r="B782" t="inlineStr">
        <x:is>
          <x:t xml:space="preserve">Collected</x:t>
        </x:is>
      </x:c>
      <x:c r="C782" t="inlineStr">
        <x:is>
          <x:t xml:space="preserve">Nội tâm &amp; hiểu mình</x:t>
        </x:is>
      </x:c>
      <x:c r="D782" t="inlineStr">
        <x:is>
          <x:t xml:space="preserve">Day 13 / Saṁyutta + Aṅguttara Nikāya — selected suttas</x:t>
        </x:is>
      </x:c>
      <x:c r="E782" t="inlineStr">
        <x:is>
          <x:t xml:space="preserve"/>
        </x:is>
      </x:c>
      <x:c r="F782" t="inlineStr">
        <x:is>
          <x:t xml:space="preserve">Emergent experience</x:t>
        </x:is>
      </x:c>
      <x:c r="G782" t="inlineStr">
        <x:is>
          <x:t xml:space="preserve">Perception / Conditions</x:t>
        </x:is>
      </x:c>
      <x:c r="H782" t="inlineStr">
        <x:is>
          <x:t xml:space="preserve"/>
        </x:is>
      </x:c>
      <x:c r="I782" t="inlineStr">
        <x:is>
          <x:t xml:space="preserve"/>
        </x:is>
      </x:c>
      <x:c r="J782" t="inlineStr">
        <x:is>
          <x:t xml:space="preserve"/>
        </x:is>
      </x:c>
      <x:c r="K782" t="inlineStr">
        <x:is>
          <x:t xml:space="preserve">Reframe</x:t>
        </x:is>
      </x:c>
      <x:c r="L782" t="inlineStr">
        <x:is>
          <x:t xml:space="preserve"/>
        </x:is>
      </x:c>
      <x:c r="M782" t="inlineStr">
        <x:is>
          <x:t xml:space="preserve">Source-anchored research paraphrase</x:t>
        </x:is>
      </x:c>
      <x:c r="N782" t="inlineStr">
        <x:is>
          <x:t xml:space="preserve">[Exact Pāḷi not copied in this row; verify passage-level Pāḷi before direct-quote Release]</x:t>
        </x:is>
      </x:c>
      <x:c r="O782" t="inlineStr">
        <x:is>
          <x:t xml:space="preserve">Pāḷi source / Vietnamese research paraphrase</x:t>
        </x:is>
      </x:c>
      <x:c r="P782" t="inlineStr">
        <x:is>
          <x:t xml:space="preserve">Âm thanh quyến rũ của cây đàn không nằm trong một bộ phận duy nhất; nó xuất hiện khi nhiều bộ phận và điều kiện cùng hoạt động.</x:t>
        </x:is>
      </x:c>
      <x:c r="Q782" t="inlineStr">
        <x:is>
          <x:t xml:space="preserve">Saṁyutta/Aṅguttara Nikāya — Early Buddhist Pāḷi tradition</x:t>
        </x:is>
      </x:c>
      <x:c r="R782" t="inlineStr">
        <x:is>
          <x:t xml:space="preserve">Early Buddhist / Pāḷi tradition</x:t>
        </x:is>
      </x:c>
      <x:c r="S782" t="inlineStr">
        <x:is>
          <x:t xml:space="preserve">SN 35.246 Vīṇopamasutta</x:t>
        </x:is>
      </x:c>
      <x:c r="T782" t="inlineStr">
        <x:is>
          <x:t xml:space="preserve">Lute simile</x:t>
        </x:is>
      </x:c>
      <x:c r="U782" t="inlineStr">
        <x:is>
          <x:t xml:space="preserve">https://suttacentral.net/sn35.246</x:t>
        </x:is>
      </x:c>
      <x:c r="V782" t="inlineStr">
        <x:is>
          <x:t xml:space="preserve">Primary canonical source anchor — SuttaCentral</x:t>
        </x:is>
      </x:c>
      <x:c r="W782" t="inlineStr">
        <x:is>
          <x:t xml:space="preserve">Research paraphrase — NOT direct quote</x:t>
        </x:is>
      </x:c>
      <x:c r="X782" t="inlineStr">
        <x:is>
          <x:t xml:space="preserve">A/B - canonical source/theme verified; wording is Selflo research paraphrase</x:t>
        </x:is>
      </x:c>
      <x:c r="Y782" t="inlineStr">
        <x:is>
          <x:t xml:space="preserve">Source location verified. This row deliberately does not fabricate Pāḷi. Before direct quotation, retrieve and verify exact Pāḷi segment.</x:t>
        </x:is>
      </x:c>
      <x:c r="Z782" t="inlineStr">
        <x:is>
          <x:t xml:space="preserve">Ancient canonical text public domain; modern translations have separate rights</x:t>
        </x:is>
      </x:c>
      <x:c r="AA782" t="inlineStr">
        <x:is>
          <x:t xml:space="preserve">Vietnamese wording is fresh Selflo working paraphrase; do not copy modern copyrighted translations.</x:t>
        </x:is>
      </x:c>
      <x:c r="AB782" t="inlineStr">
        <x:is>
          <x:t xml:space="preserve">High</x:t>
        </x:is>
      </x:c>
      <x:c r="AC782" t="inlineStr">
        <x:is>
          <x:t xml:space="preserve">Day 13 collection candidate; not Release-approved.</x:t>
        </x:is>
      </x:c>
      <x:c r="AD782" t="inlineStr">
        <x:is>
          <x:t xml:space="preserve">Medium — canonical religious context requires editorial care</x:t>
        </x:is>
      </x:c>
      <x:c r="AE782" t="inlineStr">
        <x:is>
          <x:t xml:space="preserve">Needs semantic dedupe against Days 11–12</x:t>
        </x:is>
      </x:c>
      <x:c r="AF782" t="inlineStr">
        <x:is>
          <x:t xml:space="preserve"/>
        </x:is>
      </x:c>
      <x:c r="AG782" t="inlineStr">
        <x:is>
          <x:t xml:space="preserve"/>
        </x:is>
      </x:c>
      <x:c r="AH782" t="inlineStr">
        <x:is>
          <x:t xml:space="preserve">No</x:t>
        </x:is>
      </x:c>
      <x:c r="AI782" t="inlineStr">
        <x:is>
          <x:t xml:space="preserve">Not reviewed</x:t>
        </x:is>
      </x:c>
      <x:c r="AJ782" t="inlineStr">
        <x:is>
          <x:t xml:space="preserve">Research only</x:t>
        </x:is>
      </x:c>
      <x:c r="AK782" t="inlineStr">
        <x:is>
          <x:t xml:space="preserve">Research Pool</x:t>
        </x:is>
      </x:c>
      <x:c r="AL782" t="n">
        <x:v>13</x:v>
      </x:c>
      <x:c r="AM782" t="inlineStr">
        <x:is>
          <x:t xml:space="preserve">ChatGPT research</x:t>
        </x:is>
      </x:c>
      <x:c r="AN782" t="inlineStr">
        <x:is>
          <x:t xml:space="preserve">2026-09-18</x:t>
        </x:is>
      </x:c>
      <x:c r="AO782" t="inlineStr">
        <x:is>
          <x:t xml:space="preserve">Day 13 selected SN/AN. Strongest unique lanes: second-arrow distinction, conditions/context, epistemic judgment, knowledge relevance.</x:t>
        </x:is>
      </x:c>
    </x:row>
    <x:row r="783">
      <x:c r="A783" t="inlineStr">
        <x:is>
          <x:t xml:space="preserve">research.nikaya.day13.sn35_246_02</x:t>
        </x:is>
      </x:c>
      <x:c r="B783" t="inlineStr">
        <x:is>
          <x:t xml:space="preserve">Collected</x:t>
        </x:is>
      </x:c>
      <x:c r="C783" t="inlineStr">
        <x:is>
          <x:t xml:space="preserve">Nội tâm &amp; hiểu mình</x:t>
        </x:is>
      </x:c>
      <x:c r="D783" t="inlineStr">
        <x:is>
          <x:t xml:space="preserve">Day 13 / Saṁyutta + Aṅguttara Nikāya — selected suttas</x:t>
        </x:is>
      </x:c>
      <x:c r="E783" t="inlineStr">
        <x:is>
          <x:t xml:space="preserve"/>
        </x:is>
      </x:c>
      <x:c r="F783" t="inlineStr">
        <x:is>
          <x:t xml:space="preserve">Reifying an experience</x:t>
        </x:is>
      </x:c>
      <x:c r="G783" t="inlineStr">
        <x:is>
          <x:t xml:space="preserve">Judgment / Conditions</x:t>
        </x:is>
      </x:c>
      <x:c r="H783" t="inlineStr">
        <x:is>
          <x:t xml:space="preserve"/>
        </x:is>
      </x:c>
      <x:c r="I783" t="inlineStr">
        <x:is>
          <x:t xml:space="preserve"/>
        </x:is>
      </x:c>
      <x:c r="J783" t="inlineStr">
        <x:is>
          <x:t xml:space="preserve"/>
        </x:is>
      </x:c>
      <x:c r="K783" t="inlineStr">
        <x:is>
          <x:t xml:space="preserve">Distinguish</x:t>
        </x:is>
      </x:c>
      <x:c r="L783" t="inlineStr">
        <x:is>
          <x:t xml:space="preserve"/>
        </x:is>
      </x:c>
      <x:c r="M783" t="inlineStr">
        <x:is>
          <x:t xml:space="preserve">Source-anchored research paraphrase</x:t>
        </x:is>
      </x:c>
      <x:c r="N783" t="inlineStr">
        <x:is>
          <x:t xml:space="preserve">[Exact Pāḷi not copied in this row; verify passage-level Pāḷi before direct-quote Release]</x:t>
        </x:is>
      </x:c>
      <x:c r="O783" t="inlineStr">
        <x:is>
          <x:t xml:space="preserve">Pāḷi source / Vietnamese research paraphrase</x:t>
        </x:is>
      </x:c>
      <x:c r="P783" t="inlineStr">
        <x:is>
          <x:t xml:space="preserve">Nhà vua muốn người ta mang riêng 'âm thanh' của cây đàn đến cho mình, nhưng âm thanh không thể tách khỏi các điều kiện đã tạo ra nó.</x:t>
        </x:is>
      </x:c>
      <x:c r="Q783" t="inlineStr">
        <x:is>
          <x:t xml:space="preserve">Saṁyutta/Aṅguttara Nikāya — Early Buddhist Pāḷi tradition</x:t>
        </x:is>
      </x:c>
      <x:c r="R783" t="inlineStr">
        <x:is>
          <x:t xml:space="preserve">Early Buddhist / Pāḷi tradition</x:t>
        </x:is>
      </x:c>
      <x:c r="S783" t="inlineStr">
        <x:is>
          <x:t xml:space="preserve">SN 35.246 Vīṇopamasutta</x:t>
        </x:is>
      </x:c>
      <x:c r="T783" t="inlineStr">
        <x:is>
          <x:t xml:space="preserve">King asks for the sound</x:t>
        </x:is>
      </x:c>
      <x:c r="U783" t="inlineStr">
        <x:is>
          <x:t xml:space="preserve">https://suttacentral.net/sn35.246</x:t>
        </x:is>
      </x:c>
      <x:c r="V783" t="inlineStr">
        <x:is>
          <x:t xml:space="preserve">Primary canonical source anchor — SuttaCentral</x:t>
        </x:is>
      </x:c>
      <x:c r="W783" t="inlineStr">
        <x:is>
          <x:t xml:space="preserve">Research paraphrase — NOT direct quote</x:t>
        </x:is>
      </x:c>
      <x:c r="X783" t="inlineStr">
        <x:is>
          <x:t xml:space="preserve">A/B - canonical source/theme verified; wording is Selflo research paraphrase</x:t>
        </x:is>
      </x:c>
      <x:c r="Y783" t="inlineStr">
        <x:is>
          <x:t xml:space="preserve">Source location verified. This row deliberately does not fabricate Pāḷi. Before direct quotation, retrieve and verify exact Pāḷi segment.</x:t>
        </x:is>
      </x:c>
      <x:c r="Z783" t="inlineStr">
        <x:is>
          <x:t xml:space="preserve">Ancient canonical text public domain; modern translations have separate rights</x:t>
        </x:is>
      </x:c>
      <x:c r="AA783" t="inlineStr">
        <x:is>
          <x:t xml:space="preserve">Vietnamese wording is fresh Selflo working paraphrase; do not copy modern copyrighted translations.</x:t>
        </x:is>
      </x:c>
      <x:c r="AB783" t="inlineStr">
        <x:is>
          <x:t xml:space="preserve">High</x:t>
        </x:is>
      </x:c>
      <x:c r="AC783" t="inlineStr">
        <x:is>
          <x:t xml:space="preserve">Day 13 collection candidate; not Release-approved.</x:t>
        </x:is>
      </x:c>
      <x:c r="AD783" t="inlineStr">
        <x:is>
          <x:t xml:space="preserve">Medium — canonical religious context requires editorial care</x:t>
        </x:is>
      </x:c>
      <x:c r="AE783" t="inlineStr">
        <x:is>
          <x:t xml:space="preserve">Needs semantic dedupe against Days 11–12</x:t>
        </x:is>
      </x:c>
      <x:c r="AF783" t="inlineStr">
        <x:is>
          <x:t xml:space="preserve"/>
        </x:is>
      </x:c>
      <x:c r="AG783" t="inlineStr">
        <x:is>
          <x:t xml:space="preserve"/>
        </x:is>
      </x:c>
      <x:c r="AH783" t="inlineStr">
        <x:is>
          <x:t xml:space="preserve">No</x:t>
        </x:is>
      </x:c>
      <x:c r="AI783" t="inlineStr">
        <x:is>
          <x:t xml:space="preserve">Not reviewed</x:t>
        </x:is>
      </x:c>
      <x:c r="AJ783" t="inlineStr">
        <x:is>
          <x:t xml:space="preserve">Research only</x:t>
        </x:is>
      </x:c>
      <x:c r="AK783" t="inlineStr">
        <x:is>
          <x:t xml:space="preserve">Research Pool</x:t>
        </x:is>
      </x:c>
      <x:c r="AL783" t="n">
        <x:v>13</x:v>
      </x:c>
      <x:c r="AM783" t="inlineStr">
        <x:is>
          <x:t xml:space="preserve">ChatGPT research</x:t>
        </x:is>
      </x:c>
      <x:c r="AN783" t="inlineStr">
        <x:is>
          <x:t xml:space="preserve">2026-09-18</x:t>
        </x:is>
      </x:c>
      <x:c r="AO783" t="inlineStr">
        <x:is>
          <x:t xml:space="preserve">Day 13 selected SN/AN. Strongest unique lanes: second-arrow distinction, conditions/context, epistemic judgment, knowledge relevance.</x:t>
        </x:is>
      </x:c>
    </x:row>
    <x:row r="784">
      <x:c r="A784" t="inlineStr">
        <x:is>
          <x:t xml:space="preserve">research.nikaya.day13.sn36_6_01</x:t>
        </x:is>
      </x:c>
      <x:c r="B784" t="inlineStr">
        <x:is>
          <x:t xml:space="preserve">Collected</x:t>
        </x:is>
      </x:c>
      <x:c r="C784" t="inlineStr">
        <x:is>
          <x:t xml:space="preserve">Nội tâm &amp; hiểu mình</x:t>
        </x:is>
      </x:c>
      <x:c r="D784" t="inlineStr">
        <x:is>
          <x:t xml:space="preserve">Day 13 / Saṁyutta + Aṅguttara Nikāya — selected suttas</x:t>
        </x:is>
      </x:c>
      <x:c r="E784" t="inlineStr">
        <x:is>
          <x:t xml:space="preserve"/>
        </x:is>
      </x:c>
      <x:c r="F784" t="inlineStr">
        <x:is>
          <x:t xml:space="preserve">Pain plus secondary suffering</x:t>
        </x:is>
      </x:c>
      <x:c r="G784" t="inlineStr">
        <x:is>
          <x:t xml:space="preserve">Pain / Rumination</x:t>
        </x:is>
      </x:c>
      <x:c r="H784" t="inlineStr">
        <x:is>
          <x:t xml:space="preserve"/>
        </x:is>
      </x:c>
      <x:c r="I784" t="inlineStr">
        <x:is>
          <x:t xml:space="preserve"/>
        </x:is>
      </x:c>
      <x:c r="J784" t="inlineStr">
        <x:is>
          <x:t xml:space="preserve"/>
        </x:is>
      </x:c>
      <x:c r="K784" t="inlineStr">
        <x:is>
          <x:t xml:space="preserve">Distinguish</x:t>
        </x:is>
      </x:c>
      <x:c r="L784" t="inlineStr">
        <x:is>
          <x:t xml:space="preserve"/>
        </x:is>
      </x:c>
      <x:c r="M784" t="inlineStr">
        <x:is>
          <x:t xml:space="preserve">Source-anchored research paraphrase</x:t>
        </x:is>
      </x:c>
      <x:c r="N784" t="inlineStr">
        <x:is>
          <x:t xml:space="preserve">[Exact Pāḷi not copied in this row; verify passage-level Pāḷi before direct-quote Release]</x:t>
        </x:is>
      </x:c>
      <x:c r="O784" t="inlineStr">
        <x:is>
          <x:t xml:space="preserve">Pāḷi source / Vietnamese research paraphrase</x:t>
        </x:is>
      </x:c>
      <x:c r="P784" t="inlineStr">
        <x:is>
          <x:t xml:space="preserve">Đau đớn đầu tiên có thể đã xảy ra; tâm trí đôi khi bắn thêm một mũi tên thứ hai bằng hoảng loạn, chống cự hoặc câu chuyện tiếp tục quanh nó.</x:t>
        </x:is>
      </x:c>
      <x:c r="Q784" t="inlineStr">
        <x:is>
          <x:t xml:space="preserve">Saṁyutta/Aṅguttara Nikāya — Early Buddhist Pāḷi tradition</x:t>
        </x:is>
      </x:c>
      <x:c r="R784" t="inlineStr">
        <x:is>
          <x:t xml:space="preserve">Early Buddhist / Pāḷi tradition</x:t>
        </x:is>
      </x:c>
      <x:c r="S784" t="inlineStr">
        <x:is>
          <x:t xml:space="preserve">SN 36.6 Sallasutta</x:t>
        </x:is>
      </x:c>
      <x:c r="T784" t="inlineStr">
        <x:is>
          <x:t xml:space="preserve">Two arrows</x:t>
        </x:is>
      </x:c>
      <x:c r="U784" t="inlineStr">
        <x:is>
          <x:t xml:space="preserve">https://suttacentral.net/sn36.6</x:t>
        </x:is>
      </x:c>
      <x:c r="V784" t="inlineStr">
        <x:is>
          <x:t xml:space="preserve">Primary canonical source anchor — SuttaCentral</x:t>
        </x:is>
      </x:c>
      <x:c r="W784" t="inlineStr">
        <x:is>
          <x:t xml:space="preserve">Research paraphrase — NOT direct quote</x:t>
        </x:is>
      </x:c>
      <x:c r="X784" t="inlineStr">
        <x:is>
          <x:t xml:space="preserve">A/B - canonical source/theme verified; wording is Selflo research paraphrase</x:t>
        </x:is>
      </x:c>
      <x:c r="Y784" t="inlineStr">
        <x:is>
          <x:t xml:space="preserve">Source location verified. This row deliberately does not fabricate Pāḷi. Before direct quotation, retrieve and verify exact Pāḷi segment.</x:t>
        </x:is>
      </x:c>
      <x:c r="Z784" t="inlineStr">
        <x:is>
          <x:t xml:space="preserve">Ancient canonical text public domain; modern translations have separate rights</x:t>
        </x:is>
      </x:c>
      <x:c r="AA784" t="inlineStr">
        <x:is>
          <x:t xml:space="preserve">Vietnamese wording is fresh Selflo working paraphrase; do not copy modern copyrighted translations.</x:t>
        </x:is>
      </x:c>
      <x:c r="AB784" t="inlineStr">
        <x:is>
          <x:t xml:space="preserve">High</x:t>
        </x:is>
      </x:c>
      <x:c r="AC784" t="inlineStr">
        <x:is>
          <x:t xml:space="preserve">Day 13 collection candidate; not Release-approved.</x:t>
        </x:is>
      </x:c>
      <x:c r="AD784" t="inlineStr">
        <x:is>
          <x:t xml:space="preserve">Medium — canonical religious context requires editorial care</x:t>
        </x:is>
      </x:c>
      <x:c r="AE784" t="inlineStr">
        <x:is>
          <x:t xml:space="preserve">Needs semantic dedupe against Days 11–12</x:t>
        </x:is>
      </x:c>
      <x:c r="AF784" t="inlineStr">
        <x:is>
          <x:t xml:space="preserve"/>
        </x:is>
      </x:c>
      <x:c r="AG784" t="inlineStr">
        <x:is>
          <x:t xml:space="preserve"/>
        </x:is>
      </x:c>
      <x:c r="AH784" t="inlineStr">
        <x:is>
          <x:t xml:space="preserve">No</x:t>
        </x:is>
      </x:c>
      <x:c r="AI784" t="inlineStr">
        <x:is>
          <x:t xml:space="preserve">Not reviewed</x:t>
        </x:is>
      </x:c>
      <x:c r="AJ784" t="inlineStr">
        <x:is>
          <x:t xml:space="preserve">Research only</x:t>
        </x:is>
      </x:c>
      <x:c r="AK784" t="inlineStr">
        <x:is>
          <x:t xml:space="preserve">Research Pool</x:t>
        </x:is>
      </x:c>
      <x:c r="AL784" t="n">
        <x:v>13</x:v>
      </x:c>
      <x:c r="AM784" t="inlineStr">
        <x:is>
          <x:t xml:space="preserve">ChatGPT research</x:t>
        </x:is>
      </x:c>
      <x:c r="AN784" t="inlineStr">
        <x:is>
          <x:t xml:space="preserve">2026-09-18</x:t>
        </x:is>
      </x:c>
      <x:c r="AO784" t="inlineStr">
        <x:is>
          <x:t xml:space="preserve">Day 13 selected SN/AN. Strongest unique lanes: second-arrow distinction, conditions/context, epistemic judgment, knowledge relevance.</x:t>
        </x:is>
      </x:c>
    </x:row>
    <x:row r="785">
      <x:c r="A785" t="inlineStr">
        <x:is>
          <x:t xml:space="preserve">research.nikaya.day13.sn36_6_02</x:t>
        </x:is>
      </x:c>
      <x:c r="B785" t="inlineStr">
        <x:is>
          <x:t xml:space="preserve">Collected</x:t>
        </x:is>
      </x:c>
      <x:c r="C785" t="inlineStr">
        <x:is>
          <x:t xml:space="preserve">Nội tâm &amp; hiểu mình</x:t>
        </x:is>
      </x:c>
      <x:c r="D785" t="inlineStr">
        <x:is>
          <x:t xml:space="preserve">Day 13 / Saṁyutta + Aṅguttara Nikāya — selected suttas</x:t>
        </x:is>
      </x:c>
      <x:c r="E785" t="inlineStr">
        <x:is>
          <x:t xml:space="preserve"/>
        </x:is>
      </x:c>
      <x:c r="F785" t="inlineStr">
        <x:is>
          <x:t xml:space="preserve">Same event different second layer</x:t>
        </x:is>
      </x:c>
      <x:c r="G785" t="inlineStr">
        <x:is>
          <x:t xml:space="preserve">Pain / Self-understanding</x:t>
        </x:is>
      </x:c>
      <x:c r="H785" t="inlineStr">
        <x:is>
          <x:t xml:space="preserve"/>
        </x:is>
      </x:c>
      <x:c r="I785" t="inlineStr">
        <x:is>
          <x:t xml:space="preserve"/>
        </x:is>
      </x:c>
      <x:c r="J785" t="inlineStr">
        <x:is>
          <x:t xml:space="preserve"/>
        </x:is>
      </x:c>
      <x:c r="K785" t="inlineStr">
        <x:is>
          <x:t xml:space="preserve">Recognize</x:t>
        </x:is>
      </x:c>
      <x:c r="L785" t="inlineStr">
        <x:is>
          <x:t xml:space="preserve"/>
        </x:is>
      </x:c>
      <x:c r="M785" t="inlineStr">
        <x:is>
          <x:t xml:space="preserve">Source-anchored research paraphrase</x:t>
        </x:is>
      </x:c>
      <x:c r="N785" t="inlineStr">
        <x:is>
          <x:t xml:space="preserve">[Exact Pāḷi not copied in this row; verify passage-level Pāḷi before direct-quote Release]</x:t>
        </x:is>
      </x:c>
      <x:c r="O785" t="inlineStr">
        <x:is>
          <x:t xml:space="preserve">Pāḷi source / Vietnamese research paraphrase</x:t>
        </x:is>
      </x:c>
      <x:c r="P785" t="inlineStr">
        <x:is>
          <x:t xml:space="preserve">Hai người có thể cùng gặp cảm giác đau; khác biệt không nhất thiết nằm ở mũi tên đầu tiên mà còn ở điều xảy ra tiếp theo trong tâm.</x:t>
        </x:is>
      </x:c>
      <x:c r="Q785" t="inlineStr">
        <x:is>
          <x:t xml:space="preserve">Saṁyutta/Aṅguttara Nikāya — Early Buddhist Pāḷi tradition</x:t>
        </x:is>
      </x:c>
      <x:c r="R785" t="inlineStr">
        <x:is>
          <x:t xml:space="preserve">Early Buddhist / Pāḷi tradition</x:t>
        </x:is>
      </x:c>
      <x:c r="S785" t="inlineStr">
        <x:is>
          <x:t xml:space="preserve">SN 36.6 Sallasutta</x:t>
        </x:is>
      </x:c>
      <x:c r="T785" t="inlineStr">
        <x:is>
          <x:t xml:space="preserve">Two layers of feeling</x:t>
        </x:is>
      </x:c>
      <x:c r="U785" t="inlineStr">
        <x:is>
          <x:t xml:space="preserve">https://suttacentral.net/sn36.6</x:t>
        </x:is>
      </x:c>
      <x:c r="V785" t="inlineStr">
        <x:is>
          <x:t xml:space="preserve">Primary canonical source anchor — SuttaCentral</x:t>
        </x:is>
      </x:c>
      <x:c r="W785" t="inlineStr">
        <x:is>
          <x:t xml:space="preserve">Research paraphrase — NOT direct quote</x:t>
        </x:is>
      </x:c>
      <x:c r="X785" t="inlineStr">
        <x:is>
          <x:t xml:space="preserve">A/B - canonical source/theme verified; wording is Selflo research paraphrase</x:t>
        </x:is>
      </x:c>
      <x:c r="Y785" t="inlineStr">
        <x:is>
          <x:t xml:space="preserve">Source location verified. This row deliberately does not fabricate Pāḷi. Before direct quotation, retrieve and verify exact Pāḷi segment.</x:t>
        </x:is>
      </x:c>
      <x:c r="Z785" t="inlineStr">
        <x:is>
          <x:t xml:space="preserve">Ancient canonical text public domain; modern translations have separate rights</x:t>
        </x:is>
      </x:c>
      <x:c r="AA785" t="inlineStr">
        <x:is>
          <x:t xml:space="preserve">Vietnamese wording is fresh Selflo working paraphrase; do not copy modern copyrighted translations.</x:t>
        </x:is>
      </x:c>
      <x:c r="AB785" t="inlineStr">
        <x:is>
          <x:t xml:space="preserve">High</x:t>
        </x:is>
      </x:c>
      <x:c r="AC785" t="inlineStr">
        <x:is>
          <x:t xml:space="preserve">Day 13 collection candidate; not Release-approved.</x:t>
        </x:is>
      </x:c>
      <x:c r="AD785" t="inlineStr">
        <x:is>
          <x:t xml:space="preserve">Medium — canonical religious context requires editorial care</x:t>
        </x:is>
      </x:c>
      <x:c r="AE785" t="inlineStr">
        <x:is>
          <x:t xml:space="preserve">Needs semantic dedupe against Days 11–12</x:t>
        </x:is>
      </x:c>
      <x:c r="AF785" t="inlineStr">
        <x:is>
          <x:t xml:space="preserve"/>
        </x:is>
      </x:c>
      <x:c r="AG785" t="inlineStr">
        <x:is>
          <x:t xml:space="preserve"/>
        </x:is>
      </x:c>
      <x:c r="AH785" t="inlineStr">
        <x:is>
          <x:t xml:space="preserve">No</x:t>
        </x:is>
      </x:c>
      <x:c r="AI785" t="inlineStr">
        <x:is>
          <x:t xml:space="preserve">Not reviewed</x:t>
        </x:is>
      </x:c>
      <x:c r="AJ785" t="inlineStr">
        <x:is>
          <x:t xml:space="preserve">Research only</x:t>
        </x:is>
      </x:c>
      <x:c r="AK785" t="inlineStr">
        <x:is>
          <x:t xml:space="preserve">Research Pool</x:t>
        </x:is>
      </x:c>
      <x:c r="AL785" t="n">
        <x:v>13</x:v>
      </x:c>
      <x:c r="AM785" t="inlineStr">
        <x:is>
          <x:t xml:space="preserve">ChatGPT research</x:t>
        </x:is>
      </x:c>
      <x:c r="AN785" t="inlineStr">
        <x:is>
          <x:t xml:space="preserve">2026-09-18</x:t>
        </x:is>
      </x:c>
      <x:c r="AO785" t="inlineStr">
        <x:is>
          <x:t xml:space="preserve">Day 13 selected SN/AN. Strongest unique lanes: second-arrow distinction, conditions/context, epistemic judgment, knowledge relevance.</x:t>
        </x:is>
      </x:c>
    </x:row>
    <x:row r="786">
      <x:c r="A786" t="inlineStr">
        <x:is>
          <x:t xml:space="preserve">research.nikaya.day13.sn46_51_01</x:t>
        </x:is>
      </x:c>
      <x:c r="B786" t="inlineStr">
        <x:is>
          <x:t xml:space="preserve">Collected</x:t>
        </x:is>
      </x:c>
      <x:c r="C786" t="inlineStr">
        <x:is>
          <x:t xml:space="preserve">Nội tâm &amp; hiểu mình</x:t>
        </x:is>
      </x:c>
      <x:c r="D786" t="inlineStr">
        <x:is>
          <x:t xml:space="preserve">Day 13 / Saṁyutta + Aṅguttara Nikāya — selected suttas</x:t>
        </x:is>
      </x:c>
      <x:c r="E786" t="inlineStr">
        <x:is>
          <x:t xml:space="preserve"/>
        </x:is>
      </x:c>
      <x:c r="F786" t="inlineStr">
        <x:is>
          <x:t xml:space="preserve">What feeds mental states</x:t>
        </x:is>
      </x:c>
      <x:c r="G786" t="inlineStr">
        <x:is>
          <x:t xml:space="preserve">Emotion / Attention</x:t>
        </x:is>
      </x:c>
      <x:c r="H786" t="inlineStr">
        <x:is>
          <x:t xml:space="preserve"/>
        </x:is>
      </x:c>
      <x:c r="I786" t="inlineStr">
        <x:is>
          <x:t xml:space="preserve"/>
        </x:is>
      </x:c>
      <x:c r="J786" t="inlineStr">
        <x:is>
          <x:t xml:space="preserve"/>
        </x:is>
      </x:c>
      <x:c r="K786" t="inlineStr">
        <x:is>
          <x:t xml:space="preserve">Open question</x:t>
        </x:is>
      </x:c>
      <x:c r="L786" t="inlineStr">
        <x:is>
          <x:t xml:space="preserve"/>
        </x:is>
      </x:c>
      <x:c r="M786" t="inlineStr">
        <x:is>
          <x:t xml:space="preserve">Source-anchored research paraphrase</x:t>
        </x:is>
      </x:c>
      <x:c r="N786" t="inlineStr">
        <x:is>
          <x:t xml:space="preserve">[Exact Pāḷi not copied in this row; verify passage-level Pāḷi before direct-quote Release]</x:t>
        </x:is>
      </x:c>
      <x:c r="O786" t="inlineStr">
        <x:is>
          <x:t xml:space="preserve">Pāḷi source / Vietnamese research paraphrase</x:t>
        </x:is>
      </x:c>
      <x:c r="P786" t="inlineStr">
        <x:is>
          <x:t xml:space="preserve">Một trạng thái tâm trí có những thứ nuôi nó lớn lên và những thứ làm nó yếu đi. Nhìn xem mình đang 'cho ăn' điều gì có thể hữu ích hơn chỉ tự trách vì nó đang tồn tại.</x:t>
        </x:is>
      </x:c>
      <x:c r="Q786" t="inlineStr">
        <x:is>
          <x:t xml:space="preserve">Saṁyutta/Aṅguttara Nikāya — Early Buddhist Pāḷi tradition</x:t>
        </x:is>
      </x:c>
      <x:c r="R786" t="inlineStr">
        <x:is>
          <x:t xml:space="preserve">Early Buddhist / Pāḷi tradition</x:t>
        </x:is>
      </x:c>
      <x:c r="S786" t="inlineStr">
        <x:is>
          <x:t xml:space="preserve">SN 46.51 Āhārasutta</x:t>
        </x:is>
      </x:c>
      <x:c r="T786" t="inlineStr">
        <x:is>
          <x:t xml:space="preserve">What feeds a state</x:t>
        </x:is>
      </x:c>
      <x:c r="U786" t="inlineStr">
        <x:is>
          <x:t xml:space="preserve">https://suttacentral.net/sn46.51</x:t>
        </x:is>
      </x:c>
      <x:c r="V786" t="inlineStr">
        <x:is>
          <x:t xml:space="preserve">Primary canonical source anchor — SuttaCentral</x:t>
        </x:is>
      </x:c>
      <x:c r="W786" t="inlineStr">
        <x:is>
          <x:t xml:space="preserve">Research paraphrase — NOT direct quote</x:t>
        </x:is>
      </x:c>
      <x:c r="X786" t="inlineStr">
        <x:is>
          <x:t xml:space="preserve">A/B - canonical source/theme verified; wording is Selflo research paraphrase</x:t>
        </x:is>
      </x:c>
      <x:c r="Y786" t="inlineStr">
        <x:is>
          <x:t xml:space="preserve">Source location verified. This row deliberately does not fabricate Pāḷi. Before direct quotation, retrieve and verify exact Pāḷi segment.</x:t>
        </x:is>
      </x:c>
      <x:c r="Z786" t="inlineStr">
        <x:is>
          <x:t xml:space="preserve">Ancient canonical text public domain; modern translations have separate rights</x:t>
        </x:is>
      </x:c>
      <x:c r="AA786" t="inlineStr">
        <x:is>
          <x:t xml:space="preserve">Vietnamese wording is fresh Selflo working paraphrase; do not copy modern copyrighted translations.</x:t>
        </x:is>
      </x:c>
      <x:c r="AB786" t="inlineStr">
        <x:is>
          <x:t xml:space="preserve">High</x:t>
        </x:is>
      </x:c>
      <x:c r="AC786" t="inlineStr">
        <x:is>
          <x:t xml:space="preserve">Day 13 collection candidate; not Release-approved.</x:t>
        </x:is>
      </x:c>
      <x:c r="AD786" t="inlineStr">
        <x:is>
          <x:t xml:space="preserve">Medium — canonical religious context requires editorial care</x:t>
        </x:is>
      </x:c>
      <x:c r="AE786" t="inlineStr">
        <x:is>
          <x:t xml:space="preserve">Needs semantic dedupe against Days 11–12</x:t>
        </x:is>
      </x:c>
      <x:c r="AF786" t="inlineStr">
        <x:is>
          <x:t xml:space="preserve"/>
        </x:is>
      </x:c>
      <x:c r="AG786" t="inlineStr">
        <x:is>
          <x:t xml:space="preserve"/>
        </x:is>
      </x:c>
      <x:c r="AH786" t="inlineStr">
        <x:is>
          <x:t xml:space="preserve">No</x:t>
        </x:is>
      </x:c>
      <x:c r="AI786" t="inlineStr">
        <x:is>
          <x:t xml:space="preserve">Not reviewed</x:t>
        </x:is>
      </x:c>
      <x:c r="AJ786" t="inlineStr">
        <x:is>
          <x:t xml:space="preserve">Research only</x:t>
        </x:is>
      </x:c>
      <x:c r="AK786" t="inlineStr">
        <x:is>
          <x:t xml:space="preserve">Research Pool</x:t>
        </x:is>
      </x:c>
      <x:c r="AL786" t="n">
        <x:v>13</x:v>
      </x:c>
      <x:c r="AM786" t="inlineStr">
        <x:is>
          <x:t xml:space="preserve">ChatGPT research</x:t>
        </x:is>
      </x:c>
      <x:c r="AN786" t="inlineStr">
        <x:is>
          <x:t xml:space="preserve">2026-09-18</x:t>
        </x:is>
      </x:c>
      <x:c r="AO786" t="inlineStr">
        <x:is>
          <x:t xml:space="preserve">Day 13 selected SN/AN. Strongest unique lanes: second-arrow distinction, conditions/context, epistemic judgment, knowledge relevance.</x:t>
        </x:is>
      </x:c>
    </x:row>
    <x:row r="787">
      <x:c r="A787" t="inlineStr">
        <x:is>
          <x:t xml:space="preserve">research.nikaya.day13.sn47_6_01</x:t>
        </x:is>
      </x:c>
      <x:c r="B787" t="inlineStr">
        <x:is>
          <x:t xml:space="preserve">Collected</x:t>
        </x:is>
      </x:c>
      <x:c r="C787" t="inlineStr">
        <x:is>
          <x:t xml:space="preserve">Nội tâm &amp; hiểu mình</x:t>
        </x:is>
      </x:c>
      <x:c r="D787" t="inlineStr">
        <x:is>
          <x:t xml:space="preserve">Day 13 / Saṁyutta + Aṅguttara Nikāya — selected suttas</x:t>
        </x:is>
      </x:c>
      <x:c r="E787" t="inlineStr">
        <x:is>
          <x:t xml:space="preserve"/>
        </x:is>
      </x:c>
      <x:c r="F787" t="inlineStr">
        <x:is>
          <x:t xml:space="preserve">Context changes capacity</x:t>
        </x:is>
      </x:c>
      <x:c r="G787" t="inlineStr">
        <x:is>
          <x:t xml:space="preserve">Capacity / Context</x:t>
        </x:is>
      </x:c>
      <x:c r="H787" t="inlineStr">
        <x:is>
          <x:t xml:space="preserve"/>
        </x:is>
      </x:c>
      <x:c r="I787" t="inlineStr">
        <x:is>
          <x:t xml:space="preserve"/>
        </x:is>
      </x:c>
      <x:c r="J787" t="inlineStr">
        <x:is>
          <x:t xml:space="preserve"/>
        </x:is>
      </x:c>
      <x:c r="K787" t="inlineStr">
        <x:is>
          <x:t xml:space="preserve">Reframe</x:t>
        </x:is>
      </x:c>
      <x:c r="L787" t="inlineStr">
        <x:is>
          <x:t xml:space="preserve"/>
        </x:is>
      </x:c>
      <x:c r="M787" t="inlineStr">
        <x:is>
          <x:t xml:space="preserve">Source-anchored research paraphrase</x:t>
        </x:is>
      </x:c>
      <x:c r="N787" t="inlineStr">
        <x:is>
          <x:t xml:space="preserve">[Exact Pāḷi not copied in this row; verify passage-level Pāḷi before direct-quote Release]</x:t>
        </x:is>
      </x:c>
      <x:c r="O787" t="inlineStr">
        <x:is>
          <x:t xml:space="preserve">Pāḷi source / Vietnamese research paraphrase</x:t>
        </x:is>
      </x:c>
      <x:c r="P787" t="inlineStr">
        <x:is>
          <x:t xml:space="preserve">Con chim cút gặp nguy hiểm khi rời khỏi vùng đất phù hợp với nó; trở về đúng địa hình, nó lấy lại lợi thế.</x:t>
        </x:is>
      </x:c>
      <x:c r="Q787" t="inlineStr">
        <x:is>
          <x:t xml:space="preserve">Saṁyutta/Aṅguttara Nikāya — Early Buddhist Pāḷi tradition</x:t>
        </x:is>
      </x:c>
      <x:c r="R787" t="inlineStr">
        <x:is>
          <x:t xml:space="preserve">Early Buddhist / Pāḷi tradition</x:t>
        </x:is>
      </x:c>
      <x:c r="S787" t="inlineStr">
        <x:is>
          <x:t xml:space="preserve">SN 47.6 Sakuṇagghisutta</x:t>
        </x:is>
      </x:c>
      <x:c r="T787" t="inlineStr">
        <x:is>
          <x:t xml:space="preserve">Hawk and quail</x:t>
        </x:is>
      </x:c>
      <x:c r="U787" t="inlineStr">
        <x:is>
          <x:t xml:space="preserve">https://suttacentral.net/sn47.6</x:t>
        </x:is>
      </x:c>
      <x:c r="V787" t="inlineStr">
        <x:is>
          <x:t xml:space="preserve">Primary canonical source anchor — SuttaCentral</x:t>
        </x:is>
      </x:c>
      <x:c r="W787" t="inlineStr">
        <x:is>
          <x:t xml:space="preserve">Research paraphrase — NOT direct quote</x:t>
        </x:is>
      </x:c>
      <x:c r="X787" t="inlineStr">
        <x:is>
          <x:t xml:space="preserve">A/B - canonical source/theme verified; wording is Selflo research paraphrase</x:t>
        </x:is>
      </x:c>
      <x:c r="Y787" t="inlineStr">
        <x:is>
          <x:t xml:space="preserve">Source location verified. This row deliberately does not fabricate Pāḷi. Before direct quotation, retrieve and verify exact Pāḷi segment.</x:t>
        </x:is>
      </x:c>
      <x:c r="Z787" t="inlineStr">
        <x:is>
          <x:t xml:space="preserve">Ancient canonical text public domain; modern translations have separate rights</x:t>
        </x:is>
      </x:c>
      <x:c r="AA787" t="inlineStr">
        <x:is>
          <x:t xml:space="preserve">Vietnamese wording is fresh Selflo working paraphrase; do not copy modern copyrighted translations.</x:t>
        </x:is>
      </x:c>
      <x:c r="AB787" t="inlineStr">
        <x:is>
          <x:t xml:space="preserve">High</x:t>
        </x:is>
      </x:c>
      <x:c r="AC787" t="inlineStr">
        <x:is>
          <x:t xml:space="preserve">Day 13 collection candidate; not Release-approved.</x:t>
        </x:is>
      </x:c>
      <x:c r="AD787" t="inlineStr">
        <x:is>
          <x:t xml:space="preserve">Medium — canonical religious context requires editorial care</x:t>
        </x:is>
      </x:c>
      <x:c r="AE787" t="inlineStr">
        <x:is>
          <x:t xml:space="preserve">Needs semantic dedupe against Days 11–12</x:t>
        </x:is>
      </x:c>
      <x:c r="AF787" t="inlineStr">
        <x:is>
          <x:t xml:space="preserve"/>
        </x:is>
      </x:c>
      <x:c r="AG787" t="inlineStr">
        <x:is>
          <x:t xml:space="preserve"/>
        </x:is>
      </x:c>
      <x:c r="AH787" t="inlineStr">
        <x:is>
          <x:t xml:space="preserve">No</x:t>
        </x:is>
      </x:c>
      <x:c r="AI787" t="inlineStr">
        <x:is>
          <x:t xml:space="preserve">Not reviewed</x:t>
        </x:is>
      </x:c>
      <x:c r="AJ787" t="inlineStr">
        <x:is>
          <x:t xml:space="preserve">Research only</x:t>
        </x:is>
      </x:c>
      <x:c r="AK787" t="inlineStr">
        <x:is>
          <x:t xml:space="preserve">Research Pool</x:t>
        </x:is>
      </x:c>
      <x:c r="AL787" t="n">
        <x:v>13</x:v>
      </x:c>
      <x:c r="AM787" t="inlineStr">
        <x:is>
          <x:t xml:space="preserve">ChatGPT research</x:t>
        </x:is>
      </x:c>
      <x:c r="AN787" t="inlineStr">
        <x:is>
          <x:t xml:space="preserve">2026-09-18</x:t>
        </x:is>
      </x:c>
      <x:c r="AO787" t="inlineStr">
        <x:is>
          <x:t xml:space="preserve">Day 13 selected SN/AN. Strongest unique lanes: second-arrow distinction, conditions/context, epistemic judgment, knowledge relevance.</x:t>
        </x:is>
      </x:c>
    </x:row>
    <x:row r="788">
      <x:c r="A788" t="inlineStr">
        <x:is>
          <x:t xml:space="preserve">research.nikaya.day13.sn47_13_01</x:t>
        </x:is>
      </x:c>
      <x:c r="B788" t="inlineStr">
        <x:is>
          <x:t xml:space="preserve">Collected</x:t>
        </x:is>
      </x:c>
      <x:c r="C788" t="inlineStr">
        <x:is>
          <x:t xml:space="preserve">Nội tâm &amp; hiểu mình</x:t>
        </x:is>
      </x:c>
      <x:c r="D788" t="inlineStr">
        <x:is>
          <x:t xml:space="preserve">Day 13 / Saṁyutta + Aṅguttara Nikāya — selected suttas</x:t>
        </x:is>
      </x:c>
      <x:c r="E788" t="inlineStr">
        <x:is>
          <x:t xml:space="preserve"/>
        </x:is>
      </x:c>
      <x:c r="F788" t="inlineStr">
        <x:is>
          <x:t xml:space="preserve">Grief and understanding</x:t>
        </x:is>
      </x:c>
      <x:c r="G788" t="inlineStr">
        <x:is>
          <x:t xml:space="preserve">Grief / Impermanence</x:t>
        </x:is>
      </x:c>
      <x:c r="H788" t="inlineStr">
        <x:is>
          <x:t xml:space="preserve"/>
        </x:is>
      </x:c>
      <x:c r="I788" t="inlineStr">
        <x:is>
          <x:t xml:space="preserve"/>
        </x:is>
      </x:c>
      <x:c r="J788" t="inlineStr">
        <x:is>
          <x:t xml:space="preserve"/>
        </x:is>
      </x:c>
      <x:c r="K788" t="inlineStr">
        <x:is>
          <x:t xml:space="preserve">Normalize</x:t>
        </x:is>
      </x:c>
      <x:c r="L788" t="inlineStr">
        <x:is>
          <x:t xml:space="preserve"/>
        </x:is>
      </x:c>
      <x:c r="M788" t="inlineStr">
        <x:is>
          <x:t xml:space="preserve">Source-anchored research paraphrase</x:t>
        </x:is>
      </x:c>
      <x:c r="N788" t="inlineStr">
        <x:is>
          <x:t xml:space="preserve">[Exact Pāḷi not copied in this row; verify passage-level Pāḷi before direct-quote Release]</x:t>
        </x:is>
      </x:c>
      <x:c r="O788" t="inlineStr">
        <x:is>
          <x:t xml:space="preserve">Pāḷi source / Vietnamese research paraphrase</x:t>
        </x:is>
      </x:c>
      <x:c r="P788" t="inlineStr">
        <x:is>
          <x:t xml:space="preserve">Ngay cả sau một mất mát lớn, đau buồn và sự hiểu biết có thể cùng tồn tại; hiểu vô thường không có nghĩa con người không cảm thấy mất mát.</x:t>
        </x:is>
      </x:c>
      <x:c r="Q788" t="inlineStr">
        <x:is>
          <x:t xml:space="preserve">Saṁyutta/Aṅguttara Nikāya — Early Buddhist Pāḷi tradition</x:t>
        </x:is>
      </x:c>
      <x:c r="R788" t="inlineStr">
        <x:is>
          <x:t xml:space="preserve">Early Buddhist / Pāḷi tradition</x:t>
        </x:is>
      </x:c>
      <x:c r="S788" t="inlineStr">
        <x:is>
          <x:t xml:space="preserve">SN 47.13 Cundasutta</x:t>
        </x:is>
      </x:c>
      <x:c r="T788" t="inlineStr">
        <x:is>
          <x:t xml:space="preserve">After Sāriputta's death</x:t>
        </x:is>
      </x:c>
      <x:c r="U788" t="inlineStr">
        <x:is>
          <x:t xml:space="preserve">https://suttacentral.net/sn47.13</x:t>
        </x:is>
      </x:c>
      <x:c r="V788" t="inlineStr">
        <x:is>
          <x:t xml:space="preserve">Primary canonical source anchor — SuttaCentral</x:t>
        </x:is>
      </x:c>
      <x:c r="W788" t="inlineStr">
        <x:is>
          <x:t xml:space="preserve">Research paraphrase — NOT direct quote</x:t>
        </x:is>
      </x:c>
      <x:c r="X788" t="inlineStr">
        <x:is>
          <x:t xml:space="preserve">A/B - canonical source/theme verified; wording is Selflo research paraphrase</x:t>
        </x:is>
      </x:c>
      <x:c r="Y788" t="inlineStr">
        <x:is>
          <x:t xml:space="preserve">Source location verified. This row deliberately does not fabricate Pāḷi. Before direct quotation, retrieve and verify exact Pāḷi segment.</x:t>
        </x:is>
      </x:c>
      <x:c r="Z788" t="inlineStr">
        <x:is>
          <x:t xml:space="preserve">Ancient canonical text public domain; modern translations have separate rights</x:t>
        </x:is>
      </x:c>
      <x:c r="AA788" t="inlineStr">
        <x:is>
          <x:t xml:space="preserve">Vietnamese wording is fresh Selflo working paraphrase; do not copy modern copyrighted translations.</x:t>
        </x:is>
      </x:c>
      <x:c r="AB788" t="inlineStr">
        <x:is>
          <x:t xml:space="preserve">High</x:t>
        </x:is>
      </x:c>
      <x:c r="AC788" t="inlineStr">
        <x:is>
          <x:t xml:space="preserve">Day 13 collection candidate; not Release-approved.</x:t>
        </x:is>
      </x:c>
      <x:c r="AD788" t="inlineStr">
        <x:is>
          <x:t xml:space="preserve">Medium — canonical religious context requires editorial care</x:t>
        </x:is>
      </x:c>
      <x:c r="AE788" t="inlineStr">
        <x:is>
          <x:t xml:space="preserve">Needs semantic dedupe against Days 11–12</x:t>
        </x:is>
      </x:c>
      <x:c r="AF788" t="inlineStr">
        <x:is>
          <x:t xml:space="preserve"/>
        </x:is>
      </x:c>
      <x:c r="AG788" t="inlineStr">
        <x:is>
          <x:t xml:space="preserve"/>
        </x:is>
      </x:c>
      <x:c r="AH788" t="inlineStr">
        <x:is>
          <x:t xml:space="preserve">No</x:t>
        </x:is>
      </x:c>
      <x:c r="AI788" t="inlineStr">
        <x:is>
          <x:t xml:space="preserve">Not reviewed</x:t>
        </x:is>
      </x:c>
      <x:c r="AJ788" t="inlineStr">
        <x:is>
          <x:t xml:space="preserve">Research only</x:t>
        </x:is>
      </x:c>
      <x:c r="AK788" t="inlineStr">
        <x:is>
          <x:t xml:space="preserve">Research Pool</x:t>
        </x:is>
      </x:c>
      <x:c r="AL788" t="n">
        <x:v>13</x:v>
      </x:c>
      <x:c r="AM788" t="inlineStr">
        <x:is>
          <x:t xml:space="preserve">ChatGPT research</x:t>
        </x:is>
      </x:c>
      <x:c r="AN788" t="inlineStr">
        <x:is>
          <x:t xml:space="preserve">2026-09-18</x:t>
        </x:is>
      </x:c>
      <x:c r="AO788" t="inlineStr">
        <x:is>
          <x:t xml:space="preserve">Day 13 selected SN/AN. Strongest unique lanes: second-arrow distinction, conditions/context, epistemic judgment, knowledge relevance.</x:t>
        </x:is>
      </x:c>
    </x:row>
    <x:row r="789">
      <x:c r="A789" t="inlineStr">
        <x:is>
          <x:t xml:space="preserve">research.nikaya.day13.sn56_11_01</x:t>
        </x:is>
      </x:c>
      <x:c r="B789" t="inlineStr">
        <x:is>
          <x:t xml:space="preserve">Collected</x:t>
        </x:is>
      </x:c>
      <x:c r="C789" t="inlineStr">
        <x:is>
          <x:t xml:space="preserve">Nội tâm &amp; hiểu mình</x:t>
        </x:is>
      </x:c>
      <x:c r="D789" t="inlineStr">
        <x:is>
          <x:t xml:space="preserve">Day 13 / Saṁyutta + Aṅguttara Nikāya — selected suttas</x:t>
        </x:is>
      </x:c>
      <x:c r="E789" t="inlineStr">
        <x:is>
          <x:t xml:space="preserve"/>
        </x:is>
      </x:c>
      <x:c r="F789" t="inlineStr">
        <x:is>
          <x:t xml:space="preserve">Extremes</x:t>
        </x:is>
      </x:c>
      <x:c r="G789" t="inlineStr">
        <x:is>
          <x:t xml:space="preserve">Balance / Judgment</x:t>
        </x:is>
      </x:c>
      <x:c r="H789" t="inlineStr">
        <x:is>
          <x:t xml:space="preserve"/>
        </x:is>
      </x:c>
      <x:c r="I789" t="inlineStr">
        <x:is>
          <x:t xml:space="preserve"/>
        </x:is>
      </x:c>
      <x:c r="J789" t="inlineStr">
        <x:is>
          <x:t xml:space="preserve"/>
        </x:is>
      </x:c>
      <x:c r="K789" t="inlineStr">
        <x:is>
          <x:t xml:space="preserve">Distinguish</x:t>
        </x:is>
      </x:c>
      <x:c r="L789" t="inlineStr">
        <x:is>
          <x:t xml:space="preserve"/>
        </x:is>
      </x:c>
      <x:c r="M789" t="inlineStr">
        <x:is>
          <x:t xml:space="preserve">Source-anchored research paraphrase</x:t>
        </x:is>
      </x:c>
      <x:c r="N789" t="inlineStr">
        <x:is>
          <x:t xml:space="preserve">[Exact Pāḷi not copied in this row; verify passage-level Pāḷi before direct-quote Release]</x:t>
        </x:is>
      </x:c>
      <x:c r="O789" t="inlineStr">
        <x:is>
          <x:t xml:space="preserve">Pāḷi source / Vietnamese research paraphrase</x:t>
        </x:is>
      </x:c>
      <x:c r="P789" t="inlineStr">
        <x:is>
          <x:t xml:space="preserve">Bài kinh mở đầu bằng việc tránh hai cực đối lập và tìm một con đường không bị khóa vào một trong hai.</x:t>
        </x:is>
      </x:c>
      <x:c r="Q789" t="inlineStr">
        <x:is>
          <x:t xml:space="preserve">Saṁyutta/Aṅguttara Nikāya — Early Buddhist Pāḷi tradition</x:t>
        </x:is>
      </x:c>
      <x:c r="R789" t="inlineStr">
        <x:is>
          <x:t xml:space="preserve">Early Buddhist / Pāḷi tradition</x:t>
        </x:is>
      </x:c>
      <x:c r="S789" t="inlineStr">
        <x:is>
          <x:t xml:space="preserve">SN 56.11 Dhammacakkappavattanasutta</x:t>
        </x:is>
      </x:c>
      <x:c r="T789" t="inlineStr">
        <x:is>
          <x:t xml:space="preserve">Two extremes</x:t>
        </x:is>
      </x:c>
      <x:c r="U789" t="inlineStr">
        <x:is>
          <x:t xml:space="preserve">https://suttacentral.net/sn56.11</x:t>
        </x:is>
      </x:c>
      <x:c r="V789" t="inlineStr">
        <x:is>
          <x:t xml:space="preserve">Primary canonical source anchor — SuttaCentral</x:t>
        </x:is>
      </x:c>
      <x:c r="W789" t="inlineStr">
        <x:is>
          <x:t xml:space="preserve">Research paraphrase — NOT direct quote</x:t>
        </x:is>
      </x:c>
      <x:c r="X789" t="inlineStr">
        <x:is>
          <x:t xml:space="preserve">A/B - canonical source/theme verified; wording is Selflo research paraphrase</x:t>
        </x:is>
      </x:c>
      <x:c r="Y789" t="inlineStr">
        <x:is>
          <x:t xml:space="preserve">Source location verified. This row deliberately does not fabricate Pāḷi. Before direct quotation, retrieve and verify exact Pāḷi segment.</x:t>
        </x:is>
      </x:c>
      <x:c r="Z789" t="inlineStr">
        <x:is>
          <x:t xml:space="preserve">Ancient canonical text public domain; modern translations have separate rights</x:t>
        </x:is>
      </x:c>
      <x:c r="AA789" t="inlineStr">
        <x:is>
          <x:t xml:space="preserve">Vietnamese wording is fresh Selflo working paraphrase; do not copy modern copyrighted translations.</x:t>
        </x:is>
      </x:c>
      <x:c r="AB789" t="inlineStr">
        <x:is>
          <x:t xml:space="preserve">Medium</x:t>
        </x:is>
      </x:c>
      <x:c r="AC789" t="inlineStr">
        <x:is>
          <x:t xml:space="preserve">Day 13 collection candidate; not Release-approved.</x:t>
        </x:is>
      </x:c>
      <x:c r="AD789" t="inlineStr">
        <x:is>
          <x:t xml:space="preserve">Medium — canonical religious context requires editorial care</x:t>
        </x:is>
      </x:c>
      <x:c r="AE789" t="inlineStr">
        <x:is>
          <x:t xml:space="preserve">Needs semantic dedupe against Days 11–12</x:t>
        </x:is>
      </x:c>
      <x:c r="AF789" t="inlineStr">
        <x:is>
          <x:t xml:space="preserve"/>
        </x:is>
      </x:c>
      <x:c r="AG789" t="inlineStr">
        <x:is>
          <x:t xml:space="preserve"/>
        </x:is>
      </x:c>
      <x:c r="AH789" t="inlineStr">
        <x:is>
          <x:t xml:space="preserve">No</x:t>
        </x:is>
      </x:c>
      <x:c r="AI789" t="inlineStr">
        <x:is>
          <x:t xml:space="preserve">Not reviewed</x:t>
        </x:is>
      </x:c>
      <x:c r="AJ789" t="inlineStr">
        <x:is>
          <x:t xml:space="preserve">Research only</x:t>
        </x:is>
      </x:c>
      <x:c r="AK789" t="inlineStr">
        <x:is>
          <x:t xml:space="preserve">Research Pool</x:t>
        </x:is>
      </x:c>
      <x:c r="AL789" t="n">
        <x:v>13</x:v>
      </x:c>
      <x:c r="AM789" t="inlineStr">
        <x:is>
          <x:t xml:space="preserve">ChatGPT research</x:t>
        </x:is>
      </x:c>
      <x:c r="AN789" t="inlineStr">
        <x:is>
          <x:t xml:space="preserve">2026-09-18</x:t>
        </x:is>
      </x:c>
      <x:c r="AO789" t="inlineStr">
        <x:is>
          <x:t xml:space="preserve">Day 13 selected SN/AN. Strongest unique lanes: second-arrow distinction, conditions/context, epistemic judgment, knowledge relevance.</x:t>
        </x:is>
      </x:c>
    </x:row>
    <x:row r="790">
      <x:c r="A790" t="inlineStr">
        <x:is>
          <x:t xml:space="preserve">research.nikaya.day13.sn56_31_01</x:t>
        </x:is>
      </x:c>
      <x:c r="B790" t="inlineStr">
        <x:is>
          <x:t xml:space="preserve">Collected</x:t>
        </x:is>
      </x:c>
      <x:c r="C790" t="inlineStr">
        <x:is>
          <x:t xml:space="preserve">Nội tâm &amp; hiểu mình</x:t>
        </x:is>
      </x:c>
      <x:c r="D790" t="inlineStr">
        <x:is>
          <x:t xml:space="preserve">Day 13 / Saṁyutta + Aṅguttara Nikāya — selected suttas</x:t>
        </x:is>
      </x:c>
      <x:c r="E790" t="inlineStr">
        <x:is>
          <x:t xml:space="preserve"/>
        </x:is>
      </x:c>
      <x:c r="F790" t="inlineStr">
        <x:is>
          <x:t xml:space="preserve">Knowledge abundance</x:t>
        </x:is>
      </x:c>
      <x:c r="G790" t="inlineStr">
        <x:is>
          <x:t xml:space="preserve">Learning / AI age</x:t>
        </x:is>
      </x:c>
      <x:c r="H790" t="inlineStr">
        <x:is>
          <x:t xml:space="preserve"/>
        </x:is>
      </x:c>
      <x:c r="I790" t="inlineStr">
        <x:is>
          <x:t xml:space="preserve"/>
        </x:is>
      </x:c>
      <x:c r="J790" t="inlineStr">
        <x:is>
          <x:t xml:space="preserve"/>
        </x:is>
      </x:c>
      <x:c r="K790" t="inlineStr">
        <x:is>
          <x:t xml:space="preserve">Distinguish</x:t>
        </x:is>
      </x:c>
      <x:c r="L790" t="inlineStr">
        <x:is>
          <x:t xml:space="preserve"/>
        </x:is>
      </x:c>
      <x:c r="M790" t="inlineStr">
        <x:is>
          <x:t xml:space="preserve">Source-anchored research paraphrase</x:t>
        </x:is>
      </x:c>
      <x:c r="N790" t="inlineStr">
        <x:is>
          <x:t xml:space="preserve">[Exact Pāḷi not copied in this row; verify passage-level Pāḷi before direct-quote Release]</x:t>
        </x:is>
      </x:c>
      <x:c r="O790" t="inlineStr">
        <x:is>
          <x:t xml:space="preserve">Pāḷi source / Vietnamese research paraphrase</x:t>
        </x:is>
      </x:c>
      <x:c r="P790" t="inlineStr">
        <x:is>
          <x:t xml:space="preserve">Một nắm lá trong tay nhỏ hơn rất nhiều số lá trong rừng. Không phải mọi điều có thể biết đều cần được đưa vào cùng một lúc.</x:t>
        </x:is>
      </x:c>
      <x:c r="Q790" t="inlineStr">
        <x:is>
          <x:t xml:space="preserve">Saṁyutta/Aṅguttara Nikāya — Early Buddhist Pāḷi tradition</x:t>
        </x:is>
      </x:c>
      <x:c r="R790" t="inlineStr">
        <x:is>
          <x:t xml:space="preserve">Early Buddhist / Pāḷi tradition</x:t>
        </x:is>
      </x:c>
      <x:c r="S790" t="inlineStr">
        <x:is>
          <x:t xml:space="preserve">SN 56.31 Siṁsapāvanasutta</x:t>
        </x:is>
      </x:c>
      <x:c r="T790" t="inlineStr">
        <x:is>
          <x:t xml:space="preserve">Handful of leaves</x:t>
        </x:is>
      </x:c>
      <x:c r="U790" t="inlineStr">
        <x:is>
          <x:t xml:space="preserve">https://suttacentral.net/sn56.31</x:t>
        </x:is>
      </x:c>
      <x:c r="V790" t="inlineStr">
        <x:is>
          <x:t xml:space="preserve">Primary canonical source anchor — SuttaCentral</x:t>
        </x:is>
      </x:c>
      <x:c r="W790" t="inlineStr">
        <x:is>
          <x:t xml:space="preserve">Research paraphrase — NOT direct quote</x:t>
        </x:is>
      </x:c>
      <x:c r="X790" t="inlineStr">
        <x:is>
          <x:t xml:space="preserve">A/B - canonical source/theme verified; wording is Selflo research paraphrase</x:t>
        </x:is>
      </x:c>
      <x:c r="Y790" t="inlineStr">
        <x:is>
          <x:t xml:space="preserve">Source location verified. This row deliberately does not fabricate Pāḷi. Before direct quotation, retrieve and verify exact Pāḷi segment.</x:t>
        </x:is>
      </x:c>
      <x:c r="Z790" t="inlineStr">
        <x:is>
          <x:t xml:space="preserve">Ancient canonical text public domain; modern translations have separate rights</x:t>
        </x:is>
      </x:c>
      <x:c r="AA790" t="inlineStr">
        <x:is>
          <x:t xml:space="preserve">Vietnamese wording is fresh Selflo working paraphrase; do not copy modern copyrighted translations.</x:t>
        </x:is>
      </x:c>
      <x:c r="AB790" t="inlineStr">
        <x:is>
          <x:t xml:space="preserve">High</x:t>
        </x:is>
      </x:c>
      <x:c r="AC790" t="inlineStr">
        <x:is>
          <x:t xml:space="preserve">Day 13 collection candidate; not Release-approved.</x:t>
        </x:is>
      </x:c>
      <x:c r="AD790" t="inlineStr">
        <x:is>
          <x:t xml:space="preserve">Medium — canonical religious context requires editorial care</x:t>
        </x:is>
      </x:c>
      <x:c r="AE790" t="inlineStr">
        <x:is>
          <x:t xml:space="preserve">Needs semantic dedupe against Days 11–12</x:t>
        </x:is>
      </x:c>
      <x:c r="AF790" t="inlineStr">
        <x:is>
          <x:t xml:space="preserve"/>
        </x:is>
      </x:c>
      <x:c r="AG790" t="inlineStr">
        <x:is>
          <x:t xml:space="preserve"/>
        </x:is>
      </x:c>
      <x:c r="AH790" t="inlineStr">
        <x:is>
          <x:t xml:space="preserve">No</x:t>
        </x:is>
      </x:c>
      <x:c r="AI790" t="inlineStr">
        <x:is>
          <x:t xml:space="preserve">Not reviewed</x:t>
        </x:is>
      </x:c>
      <x:c r="AJ790" t="inlineStr">
        <x:is>
          <x:t xml:space="preserve">Research only</x:t>
        </x:is>
      </x:c>
      <x:c r="AK790" t="inlineStr">
        <x:is>
          <x:t xml:space="preserve">Research Pool</x:t>
        </x:is>
      </x:c>
      <x:c r="AL790" t="n">
        <x:v>13</x:v>
      </x:c>
      <x:c r="AM790" t="inlineStr">
        <x:is>
          <x:t xml:space="preserve">ChatGPT research</x:t>
        </x:is>
      </x:c>
      <x:c r="AN790" t="inlineStr">
        <x:is>
          <x:t xml:space="preserve">2026-09-18</x:t>
        </x:is>
      </x:c>
      <x:c r="AO790" t="inlineStr">
        <x:is>
          <x:t xml:space="preserve">Day 13 selected SN/AN. Strongest unique lanes: second-arrow distinction, conditions/context, epistemic judgment, knowledge relevance.</x:t>
        </x:is>
      </x:c>
    </x:row>
    <x:row r="791">
      <x:c r="A791" t="inlineStr">
        <x:is>
          <x:t xml:space="preserve">research.nikaya.day13.sn56_31_02</x:t>
        </x:is>
      </x:c>
      <x:c r="B791" t="inlineStr">
        <x:is>
          <x:t xml:space="preserve">Collected</x:t>
        </x:is>
      </x:c>
      <x:c r="C791" t="inlineStr">
        <x:is>
          <x:t xml:space="preserve">Nội tâm &amp; hiểu mình</x:t>
        </x:is>
      </x:c>
      <x:c r="D791" t="inlineStr">
        <x:is>
          <x:t xml:space="preserve">Day 13 / Saṁyutta + Aṅguttara Nikāya — selected suttas</x:t>
        </x:is>
      </x:c>
      <x:c r="E791" t="inlineStr">
        <x:is>
          <x:t xml:space="preserve"/>
        </x:is>
      </x:c>
      <x:c r="F791" t="inlineStr">
        <x:is>
          <x:t xml:space="preserve">Useful vs available information</x:t>
        </x:is>
      </x:c>
      <x:c r="G791" t="inlineStr">
        <x:is>
          <x:t xml:space="preserve">Learning / AI age</x:t>
        </x:is>
      </x:c>
      <x:c r="H791" t="inlineStr">
        <x:is>
          <x:t xml:space="preserve"/>
        </x:is>
      </x:c>
      <x:c r="I791" t="inlineStr">
        <x:is>
          <x:t xml:space="preserve"/>
        </x:is>
      </x:c>
      <x:c r="J791" t="inlineStr">
        <x:is>
          <x:t xml:space="preserve"/>
        </x:is>
      </x:c>
      <x:c r="K791" t="inlineStr">
        <x:is>
          <x:t xml:space="preserve">Open question</x:t>
        </x:is>
      </x:c>
      <x:c r="L791" t="inlineStr">
        <x:is>
          <x:t xml:space="preserve"/>
        </x:is>
      </x:c>
      <x:c r="M791" t="inlineStr">
        <x:is>
          <x:t xml:space="preserve">Source-anchored research paraphrase</x:t>
        </x:is>
      </x:c>
      <x:c r="N791" t="inlineStr">
        <x:is>
          <x:t xml:space="preserve">[Exact Pāḷi not copied in this row; verify passage-level Pāḷi before direct-quote Release]</x:t>
        </x:is>
      </x:c>
      <x:c r="O791" t="inlineStr">
        <x:is>
          <x:t xml:space="preserve">Pāḷi source / Vietnamese research paraphrase</x:t>
        </x:is>
      </x:c>
      <x:c r="P791" t="inlineStr">
        <x:is>
          <x:t xml:space="preserve">Tiêu chí của bài kinh không phải 'biết càng nhiều càng tốt' mà là điều gì thực sự phục vụ mục đích của con đường.</x:t>
        </x:is>
      </x:c>
      <x:c r="Q791" t="inlineStr">
        <x:is>
          <x:t xml:space="preserve">Saṁyutta/Aṅguttara Nikāya — Early Buddhist Pāḷi tradition</x:t>
        </x:is>
      </x:c>
      <x:c r="R791" t="inlineStr">
        <x:is>
          <x:t xml:space="preserve">Early Buddhist / Pāḷi tradition</x:t>
        </x:is>
      </x:c>
      <x:c r="S791" t="inlineStr">
        <x:is>
          <x:t xml:space="preserve">SN 56.31 Siṁsapāvanasutta</x:t>
        </x:is>
      </x:c>
      <x:c r="T791" t="inlineStr">
        <x:is>
          <x:t xml:space="preserve">Useful knowledge</x:t>
        </x:is>
      </x:c>
      <x:c r="U791" t="inlineStr">
        <x:is>
          <x:t xml:space="preserve">https://suttacentral.net/sn56.31</x:t>
        </x:is>
      </x:c>
      <x:c r="V791" t="inlineStr">
        <x:is>
          <x:t xml:space="preserve">Primary canonical source anchor — SuttaCentral</x:t>
        </x:is>
      </x:c>
      <x:c r="W791" t="inlineStr">
        <x:is>
          <x:t xml:space="preserve">Research paraphrase — NOT direct quote</x:t>
        </x:is>
      </x:c>
      <x:c r="X791" t="inlineStr">
        <x:is>
          <x:t xml:space="preserve">A/B - canonical source/theme verified; wording is Selflo research paraphrase</x:t>
        </x:is>
      </x:c>
      <x:c r="Y791" t="inlineStr">
        <x:is>
          <x:t xml:space="preserve">Source location verified. This row deliberately does not fabricate Pāḷi. Before direct quotation, retrieve and verify exact Pāḷi segment.</x:t>
        </x:is>
      </x:c>
      <x:c r="Z791" t="inlineStr">
        <x:is>
          <x:t xml:space="preserve">Ancient canonical text public domain; modern translations have separate rights</x:t>
        </x:is>
      </x:c>
      <x:c r="AA791" t="inlineStr">
        <x:is>
          <x:t xml:space="preserve">Vietnamese wording is fresh Selflo working paraphrase; do not copy modern copyrighted translations.</x:t>
        </x:is>
      </x:c>
      <x:c r="AB791" t="inlineStr">
        <x:is>
          <x:t xml:space="preserve">High</x:t>
        </x:is>
      </x:c>
      <x:c r="AC791" t="inlineStr">
        <x:is>
          <x:t xml:space="preserve">Day 13 collection candidate; not Release-approved.</x:t>
        </x:is>
      </x:c>
      <x:c r="AD791" t="inlineStr">
        <x:is>
          <x:t xml:space="preserve">Medium — canonical religious context requires editorial care</x:t>
        </x:is>
      </x:c>
      <x:c r="AE791" t="inlineStr">
        <x:is>
          <x:t xml:space="preserve">Needs semantic dedupe against Days 11–12</x:t>
        </x:is>
      </x:c>
      <x:c r="AF791" t="inlineStr">
        <x:is>
          <x:t xml:space="preserve"/>
        </x:is>
      </x:c>
      <x:c r="AG791" t="inlineStr">
        <x:is>
          <x:t xml:space="preserve"/>
        </x:is>
      </x:c>
      <x:c r="AH791" t="inlineStr">
        <x:is>
          <x:t xml:space="preserve">No</x:t>
        </x:is>
      </x:c>
      <x:c r="AI791" t="inlineStr">
        <x:is>
          <x:t xml:space="preserve">Not reviewed</x:t>
        </x:is>
      </x:c>
      <x:c r="AJ791" t="inlineStr">
        <x:is>
          <x:t xml:space="preserve">Research only</x:t>
        </x:is>
      </x:c>
      <x:c r="AK791" t="inlineStr">
        <x:is>
          <x:t xml:space="preserve">Research Pool</x:t>
        </x:is>
      </x:c>
      <x:c r="AL791" t="n">
        <x:v>13</x:v>
      </x:c>
      <x:c r="AM791" t="inlineStr">
        <x:is>
          <x:t xml:space="preserve">ChatGPT research</x:t>
        </x:is>
      </x:c>
      <x:c r="AN791" t="inlineStr">
        <x:is>
          <x:t xml:space="preserve">2026-09-18</x:t>
        </x:is>
      </x:c>
      <x:c r="AO791" t="inlineStr">
        <x:is>
          <x:t xml:space="preserve">Day 13 selected SN/AN. Strongest unique lanes: second-arrow distinction, conditions/context, epistemic judgment, knowledge relevance.</x:t>
        </x:is>
      </x:c>
    </x:row>
    <x:row r="792">
      <x:c r="A792" t="inlineStr">
        <x:is>
          <x:t xml:space="preserve">research.nikaya.day13.an3_65_01</x:t>
        </x:is>
      </x:c>
      <x:c r="B792" t="inlineStr">
        <x:is>
          <x:t xml:space="preserve">Collected</x:t>
        </x:is>
      </x:c>
      <x:c r="C792" t="inlineStr">
        <x:is>
          <x:t xml:space="preserve">Nội tâm &amp; hiểu mình</x:t>
        </x:is>
      </x:c>
      <x:c r="D792" t="inlineStr">
        <x:is>
          <x:t xml:space="preserve">Day 13 / Saṁyutta + Aṅguttara Nikāya — selected suttas</x:t>
        </x:is>
      </x:c>
      <x:c r="E792" t="inlineStr">
        <x:is>
          <x:t xml:space="preserve"/>
        </x:is>
      </x:c>
      <x:c r="F792" t="inlineStr">
        <x:is>
          <x:t xml:space="preserve">Doubt amid conflicting authorities</x:t>
        </x:is>
      </x:c>
      <x:c r="G792" t="inlineStr">
        <x:is>
          <x:t xml:space="preserve">Judgment / AI age</x:t>
        </x:is>
      </x:c>
      <x:c r="H792" t="inlineStr">
        <x:is>
          <x:t xml:space="preserve"/>
        </x:is>
      </x:c>
      <x:c r="I792" t="inlineStr">
        <x:is>
          <x:t xml:space="preserve"/>
        </x:is>
      </x:c>
      <x:c r="J792" t="inlineStr">
        <x:is>
          <x:t xml:space="preserve"/>
        </x:is>
      </x:c>
      <x:c r="K792" t="inlineStr">
        <x:is>
          <x:t xml:space="preserve">Normalize</x:t>
        </x:is>
      </x:c>
      <x:c r="L792" t="inlineStr">
        <x:is>
          <x:t xml:space="preserve"/>
        </x:is>
      </x:c>
      <x:c r="M792" t="inlineStr">
        <x:is>
          <x:t xml:space="preserve">Source-anchored research paraphrase</x:t>
        </x:is>
      </x:c>
      <x:c r="N792" t="inlineStr">
        <x:is>
          <x:t xml:space="preserve">[Exact Pāḷi not copied in this row; verify passage-level Pāḷi before direct-quote Release]</x:t>
        </x:is>
      </x:c>
      <x:c r="O792" t="inlineStr">
        <x:is>
          <x:t xml:space="preserve">Pāḷi source / Vietnamese research paraphrase</x:t>
        </x:is>
      </x:c>
      <x:c r="P792" t="inlineStr">
        <x:is>
          <x:t xml:space="preserve">Khi nhiều người có thẩm quyền nói những điều trái nhau, hoài nghi không nhất thiết là một lỗi; có những tình huống mà phân vân là phản ứng hợp lý.</x:t>
        </x:is>
      </x:c>
      <x:c r="Q792" t="inlineStr">
        <x:is>
          <x:t xml:space="preserve">Saṁyutta/Aṅguttara Nikāya — Early Buddhist Pāḷi tradition</x:t>
        </x:is>
      </x:c>
      <x:c r="R792" t="inlineStr">
        <x:is>
          <x:t xml:space="preserve">Early Buddhist / Pāḷi tradition</x:t>
        </x:is>
      </x:c>
      <x:c r="S792" t="inlineStr">
        <x:is>
          <x:t xml:space="preserve">AN 3.65 Kesamuttisutta</x:t>
        </x:is>
      </x:c>
      <x:c r="T792" t="inlineStr">
        <x:is>
          <x:t xml:space="preserve">Doubt is appropriate</x:t>
        </x:is>
      </x:c>
      <x:c r="U792" t="inlineStr">
        <x:is>
          <x:t xml:space="preserve">https://suttacentral.net/an3.65</x:t>
        </x:is>
      </x:c>
      <x:c r="V792" t="inlineStr">
        <x:is>
          <x:t xml:space="preserve">Primary canonical source anchor — SuttaCentral</x:t>
        </x:is>
      </x:c>
      <x:c r="W792" t="inlineStr">
        <x:is>
          <x:t xml:space="preserve">Research paraphrase — NOT direct quote</x:t>
        </x:is>
      </x:c>
      <x:c r="X792" t="inlineStr">
        <x:is>
          <x:t xml:space="preserve">A/B - canonical source/theme verified; wording is Selflo research paraphrase</x:t>
        </x:is>
      </x:c>
      <x:c r="Y792" t="inlineStr">
        <x:is>
          <x:t xml:space="preserve">Source location verified. This row deliberately does not fabricate Pāḷi. Before direct quotation, retrieve and verify exact Pāḷi segment.</x:t>
        </x:is>
      </x:c>
      <x:c r="Z792" t="inlineStr">
        <x:is>
          <x:t xml:space="preserve">Ancient canonical text public domain; modern translations have separate rights</x:t>
        </x:is>
      </x:c>
      <x:c r="AA792" t="inlineStr">
        <x:is>
          <x:t xml:space="preserve">Vietnamese wording is fresh Selflo working paraphrase; do not copy modern copyrighted translations.</x:t>
        </x:is>
      </x:c>
      <x:c r="AB792" t="inlineStr">
        <x:is>
          <x:t xml:space="preserve">High</x:t>
        </x:is>
      </x:c>
      <x:c r="AC792" t="inlineStr">
        <x:is>
          <x:t xml:space="preserve">Day 13 collection candidate; not Release-approved.</x:t>
        </x:is>
      </x:c>
      <x:c r="AD792" t="inlineStr">
        <x:is>
          <x:t xml:space="preserve">Medium — canonical religious context requires editorial care</x:t>
        </x:is>
      </x:c>
      <x:c r="AE792" t="inlineStr">
        <x:is>
          <x:t xml:space="preserve">Needs semantic dedupe against Days 11–12</x:t>
        </x:is>
      </x:c>
      <x:c r="AF792" t="inlineStr">
        <x:is>
          <x:t xml:space="preserve"/>
        </x:is>
      </x:c>
      <x:c r="AG792" t="inlineStr">
        <x:is>
          <x:t xml:space="preserve"/>
        </x:is>
      </x:c>
      <x:c r="AH792" t="inlineStr">
        <x:is>
          <x:t xml:space="preserve">No</x:t>
        </x:is>
      </x:c>
      <x:c r="AI792" t="inlineStr">
        <x:is>
          <x:t xml:space="preserve">Not reviewed</x:t>
        </x:is>
      </x:c>
      <x:c r="AJ792" t="inlineStr">
        <x:is>
          <x:t xml:space="preserve">Research only</x:t>
        </x:is>
      </x:c>
      <x:c r="AK792" t="inlineStr">
        <x:is>
          <x:t xml:space="preserve">Research Pool</x:t>
        </x:is>
      </x:c>
      <x:c r="AL792" t="n">
        <x:v>13</x:v>
      </x:c>
      <x:c r="AM792" t="inlineStr">
        <x:is>
          <x:t xml:space="preserve">ChatGPT research</x:t>
        </x:is>
      </x:c>
      <x:c r="AN792" t="inlineStr">
        <x:is>
          <x:t xml:space="preserve">2026-09-18</x:t>
        </x:is>
      </x:c>
      <x:c r="AO792" t="inlineStr">
        <x:is>
          <x:t xml:space="preserve">Day 13 selected SN/AN. Strongest unique lanes: second-arrow distinction, conditions/context, epistemic judgment, knowledge relevance.</x:t>
        </x:is>
      </x:c>
    </x:row>
    <x:row r="793">
      <x:c r="A793" t="inlineStr">
        <x:is>
          <x:t xml:space="preserve">research.nikaya.day13.an3_65_02</x:t>
        </x:is>
      </x:c>
      <x:c r="B793" t="inlineStr">
        <x:is>
          <x:t xml:space="preserve">Collected</x:t>
        </x:is>
      </x:c>
      <x:c r="C793" t="inlineStr">
        <x:is>
          <x:t xml:space="preserve">Nội tâm &amp; hiểu mình</x:t>
        </x:is>
      </x:c>
      <x:c r="D793" t="inlineStr">
        <x:is>
          <x:t xml:space="preserve">Day 13 / Saṁyutta + Aṅguttara Nikāya — selected suttas</x:t>
        </x:is>
      </x:c>
      <x:c r="E793" t="inlineStr">
        <x:is>
          <x:t xml:space="preserve"/>
        </x:is>
      </x:c>
      <x:c r="F793" t="inlineStr">
        <x:is>
          <x:t xml:space="preserve">Authority vs judgment</x:t>
        </x:is>
      </x:c>
      <x:c r="G793" t="inlineStr">
        <x:is>
          <x:t xml:space="preserve">Judgment / AI age</x:t>
        </x:is>
      </x:c>
      <x:c r="H793" t="inlineStr">
        <x:is>
          <x:t xml:space="preserve"/>
        </x:is>
      </x:c>
      <x:c r="I793" t="inlineStr">
        <x:is>
          <x:t xml:space="preserve"/>
        </x:is>
      </x:c>
      <x:c r="J793" t="inlineStr">
        <x:is>
          <x:t xml:space="preserve"/>
        </x:is>
      </x:c>
      <x:c r="K793" t="inlineStr">
        <x:is>
          <x:t xml:space="preserve">Distinguish</x:t>
        </x:is>
      </x:c>
      <x:c r="L793" t="inlineStr">
        <x:is>
          <x:t xml:space="preserve"/>
        </x:is>
      </x:c>
      <x:c r="M793" t="inlineStr">
        <x:is>
          <x:t xml:space="preserve">Source-anchored research paraphrase</x:t>
        </x:is>
      </x:c>
      <x:c r="N793" t="inlineStr">
        <x:is>
          <x:t xml:space="preserve">[Exact Pāḷi not copied in this row; verify passage-level Pāḷi before direct-quote Release]</x:t>
        </x:is>
      </x:c>
      <x:c r="O793" t="inlineStr">
        <x:is>
          <x:t xml:space="preserve">Pāḷi source / Vietnamese research paraphrase</x:t>
        </x:is>
      </x:c>
      <x:c r="P793" t="inlineStr">
        <x:is>
          <x:t xml:space="preserve">Truyền thống, lời đồn, văn bản, suy luận hay uy tín của người nói—không yếu tố nào một mình đủ để thay thế việc xem xét hậu quả và tự mình nhận biết.</x:t>
        </x:is>
      </x:c>
      <x:c r="Q793" t="inlineStr">
        <x:is>
          <x:t xml:space="preserve">Saṁyutta/Aṅguttara Nikāya — Early Buddhist Pāḷi tradition</x:t>
        </x:is>
      </x:c>
      <x:c r="R793" t="inlineStr">
        <x:is>
          <x:t xml:space="preserve">Early Buddhist / Pāḷi tradition</x:t>
        </x:is>
      </x:c>
      <x:c r="S793" t="inlineStr">
        <x:is>
          <x:t xml:space="preserve">AN 3.65 Kesamuttisutta</x:t>
        </x:is>
      </x:c>
      <x:c r="T793" t="inlineStr">
        <x:is>
          <x:t xml:space="preserve">Do not rely on authority alone</x:t>
        </x:is>
      </x:c>
      <x:c r="U793" t="inlineStr">
        <x:is>
          <x:t xml:space="preserve">https://suttacentral.net/an3.65</x:t>
        </x:is>
      </x:c>
      <x:c r="V793" t="inlineStr">
        <x:is>
          <x:t xml:space="preserve">Primary canonical source anchor — SuttaCentral</x:t>
        </x:is>
      </x:c>
      <x:c r="W793" t="inlineStr">
        <x:is>
          <x:t xml:space="preserve">Research paraphrase — NOT direct quote</x:t>
        </x:is>
      </x:c>
      <x:c r="X793" t="inlineStr">
        <x:is>
          <x:t xml:space="preserve">A/B - canonical source/theme verified; wording is Selflo research paraphrase</x:t>
        </x:is>
      </x:c>
      <x:c r="Y793" t="inlineStr">
        <x:is>
          <x:t xml:space="preserve">Source location verified. This row deliberately does not fabricate Pāḷi. Before direct quotation, retrieve and verify exact Pāḷi segment.</x:t>
        </x:is>
      </x:c>
      <x:c r="Z793" t="inlineStr">
        <x:is>
          <x:t xml:space="preserve">Ancient canonical text public domain; modern translations have separate rights</x:t>
        </x:is>
      </x:c>
      <x:c r="AA793" t="inlineStr">
        <x:is>
          <x:t xml:space="preserve">Vietnamese wording is fresh Selflo working paraphrase; do not copy modern copyrighted translations.</x:t>
        </x:is>
      </x:c>
      <x:c r="AB793" t="inlineStr">
        <x:is>
          <x:t xml:space="preserve">High</x:t>
        </x:is>
      </x:c>
      <x:c r="AC793" t="inlineStr">
        <x:is>
          <x:t xml:space="preserve">Day 13 collection candidate; not Release-approved.</x:t>
        </x:is>
      </x:c>
      <x:c r="AD793" t="inlineStr">
        <x:is>
          <x:t xml:space="preserve">Medium — canonical religious context requires editorial care</x:t>
        </x:is>
      </x:c>
      <x:c r="AE793" t="inlineStr">
        <x:is>
          <x:t xml:space="preserve">Needs semantic dedupe against Days 11–12</x:t>
        </x:is>
      </x:c>
      <x:c r="AF793" t="inlineStr">
        <x:is>
          <x:t xml:space="preserve"/>
        </x:is>
      </x:c>
      <x:c r="AG793" t="inlineStr">
        <x:is>
          <x:t xml:space="preserve"/>
        </x:is>
      </x:c>
      <x:c r="AH793" t="inlineStr">
        <x:is>
          <x:t xml:space="preserve">No</x:t>
        </x:is>
      </x:c>
      <x:c r="AI793" t="inlineStr">
        <x:is>
          <x:t xml:space="preserve">Not reviewed</x:t>
        </x:is>
      </x:c>
      <x:c r="AJ793" t="inlineStr">
        <x:is>
          <x:t xml:space="preserve">Research only</x:t>
        </x:is>
      </x:c>
      <x:c r="AK793" t="inlineStr">
        <x:is>
          <x:t xml:space="preserve">Research Pool</x:t>
        </x:is>
      </x:c>
      <x:c r="AL793" t="n">
        <x:v>13</x:v>
      </x:c>
      <x:c r="AM793" t="inlineStr">
        <x:is>
          <x:t xml:space="preserve">ChatGPT research</x:t>
        </x:is>
      </x:c>
      <x:c r="AN793" t="inlineStr">
        <x:is>
          <x:t xml:space="preserve">2026-09-18</x:t>
        </x:is>
      </x:c>
      <x:c r="AO793" t="inlineStr">
        <x:is>
          <x:t xml:space="preserve">Day 13 selected SN/AN. Strongest unique lanes: second-arrow distinction, conditions/context, epistemic judgment, knowledge relevance.</x:t>
        </x:is>
      </x:c>
    </x:row>
    <x:row r="794">
      <x:c r="A794" t="inlineStr">
        <x:is>
          <x:t xml:space="preserve">research.nikaya.day13.an3_65_03</x:t>
        </x:is>
      </x:c>
      <x:c r="B794" t="inlineStr">
        <x:is>
          <x:t xml:space="preserve">Collected</x:t>
        </x:is>
      </x:c>
      <x:c r="C794" t="inlineStr">
        <x:is>
          <x:t xml:space="preserve">Nội tâm &amp; hiểu mình</x:t>
        </x:is>
      </x:c>
      <x:c r="D794" t="inlineStr">
        <x:is>
          <x:t xml:space="preserve">Day 13 / Saṁyutta + Aṅguttara Nikāya — selected suttas</x:t>
        </x:is>
      </x:c>
      <x:c r="E794" t="inlineStr">
        <x:is>
          <x:t xml:space="preserve"/>
        </x:is>
      </x:c>
      <x:c r="F794" t="inlineStr">
        <x:is>
          <x:t xml:space="preserve">From answer to consequence</x:t>
        </x:is>
      </x:c>
      <x:c r="G794" t="inlineStr">
        <x:is>
          <x:t xml:space="preserve">Judgment / Practice</x:t>
        </x:is>
      </x:c>
      <x:c r="H794" t="inlineStr">
        <x:is>
          <x:t xml:space="preserve"/>
        </x:is>
      </x:c>
      <x:c r="I794" t="inlineStr">
        <x:is>
          <x:t xml:space="preserve"/>
        </x:is>
      </x:c>
      <x:c r="J794" t="inlineStr">
        <x:is>
          <x:t xml:space="preserve"/>
        </x:is>
      </x:c>
      <x:c r="K794" t="inlineStr">
        <x:is>
          <x:t xml:space="preserve">Open question</x:t>
        </x:is>
      </x:c>
      <x:c r="L794" t="inlineStr">
        <x:is>
          <x:t xml:space="preserve"/>
        </x:is>
      </x:c>
      <x:c r="M794" t="inlineStr">
        <x:is>
          <x:t xml:space="preserve">Source-anchored research paraphrase</x:t>
        </x:is>
      </x:c>
      <x:c r="N794" t="inlineStr">
        <x:is>
          <x:t xml:space="preserve">[Exact Pāḷi not copied in this row; verify passage-level Pāḷi before direct-quote Release]</x:t>
        </x:is>
      </x:c>
      <x:c r="O794" t="inlineStr">
        <x:is>
          <x:t xml:space="preserve">Pāḷi source / Vietnamese research paraphrase</x:t>
        </x:is>
      </x:c>
      <x:c r="P794" t="inlineStr">
        <x:is>
          <x:t xml:space="preserve">Một ý tưởng không chỉ đáng xem xét vì nghe hợp lý; còn cần nhìn nó dẫn tới điều gì khi được sống và thực hành.</x:t>
        </x:is>
      </x:c>
      <x:c r="Q794" t="inlineStr">
        <x:is>
          <x:t xml:space="preserve">Saṁyutta/Aṅguttara Nikāya — Early Buddhist Pāḷi tradition</x:t>
        </x:is>
      </x:c>
      <x:c r="R794" t="inlineStr">
        <x:is>
          <x:t xml:space="preserve">Early Buddhist / Pāḷi tradition</x:t>
        </x:is>
      </x:c>
      <x:c r="S794" t="inlineStr">
        <x:is>
          <x:t xml:space="preserve">AN 3.65 Kesamuttisutta</x:t>
        </x:is>
      </x:c>
      <x:c r="T794" t="inlineStr">
        <x:is>
          <x:t xml:space="preserve">Consequences matter</x:t>
        </x:is>
      </x:c>
      <x:c r="U794" t="inlineStr">
        <x:is>
          <x:t xml:space="preserve">https://suttacentral.net/an3.65</x:t>
        </x:is>
      </x:c>
      <x:c r="V794" t="inlineStr">
        <x:is>
          <x:t xml:space="preserve">Primary canonical source anchor — SuttaCentral</x:t>
        </x:is>
      </x:c>
      <x:c r="W794" t="inlineStr">
        <x:is>
          <x:t xml:space="preserve">Research paraphrase — NOT direct quote</x:t>
        </x:is>
      </x:c>
      <x:c r="X794" t="inlineStr">
        <x:is>
          <x:t xml:space="preserve">A/B - canonical source/theme verified; wording is Selflo research paraphrase</x:t>
        </x:is>
      </x:c>
      <x:c r="Y794" t="inlineStr">
        <x:is>
          <x:t xml:space="preserve">Source location verified. This row deliberately does not fabricate Pāḷi. Before direct quotation, retrieve and verify exact Pāḷi segment.</x:t>
        </x:is>
      </x:c>
      <x:c r="Z794" t="inlineStr">
        <x:is>
          <x:t xml:space="preserve">Ancient canonical text public domain; modern translations have separate rights</x:t>
        </x:is>
      </x:c>
      <x:c r="AA794" t="inlineStr">
        <x:is>
          <x:t xml:space="preserve">Vietnamese wording is fresh Selflo working paraphrase; do not copy modern copyrighted translations.</x:t>
        </x:is>
      </x:c>
      <x:c r="AB794" t="inlineStr">
        <x:is>
          <x:t xml:space="preserve">High</x:t>
        </x:is>
      </x:c>
      <x:c r="AC794" t="inlineStr">
        <x:is>
          <x:t xml:space="preserve">Day 13 collection candidate; not Release-approved.</x:t>
        </x:is>
      </x:c>
      <x:c r="AD794" t="inlineStr">
        <x:is>
          <x:t xml:space="preserve">Medium — canonical religious context requires editorial care</x:t>
        </x:is>
      </x:c>
      <x:c r="AE794" t="inlineStr">
        <x:is>
          <x:t xml:space="preserve">Needs semantic dedupe against Days 11–12</x:t>
        </x:is>
      </x:c>
      <x:c r="AF794" t="inlineStr">
        <x:is>
          <x:t xml:space="preserve"/>
        </x:is>
      </x:c>
      <x:c r="AG794" t="inlineStr">
        <x:is>
          <x:t xml:space="preserve"/>
        </x:is>
      </x:c>
      <x:c r="AH794" t="inlineStr">
        <x:is>
          <x:t xml:space="preserve">No</x:t>
        </x:is>
      </x:c>
      <x:c r="AI794" t="inlineStr">
        <x:is>
          <x:t xml:space="preserve">Not reviewed</x:t>
        </x:is>
      </x:c>
      <x:c r="AJ794" t="inlineStr">
        <x:is>
          <x:t xml:space="preserve">Research only</x:t>
        </x:is>
      </x:c>
      <x:c r="AK794" t="inlineStr">
        <x:is>
          <x:t xml:space="preserve">Research Pool</x:t>
        </x:is>
      </x:c>
      <x:c r="AL794" t="n">
        <x:v>13</x:v>
      </x:c>
      <x:c r="AM794" t="inlineStr">
        <x:is>
          <x:t xml:space="preserve">ChatGPT research</x:t>
        </x:is>
      </x:c>
      <x:c r="AN794" t="inlineStr">
        <x:is>
          <x:t xml:space="preserve">2026-09-18</x:t>
        </x:is>
      </x:c>
      <x:c r="AO794" t="inlineStr">
        <x:is>
          <x:t xml:space="preserve">Day 13 selected SN/AN. Strongest unique lanes: second-arrow distinction, conditions/context, epistemic judgment, knowledge relevance.</x:t>
        </x:is>
      </x:c>
    </x:row>
    <x:row r="795">
      <x:c r="A795" t="inlineStr">
        <x:is>
          <x:t xml:space="preserve">research.nikaya.day13.an4_32_01</x:t>
        </x:is>
      </x:c>
      <x:c r="B795" t="inlineStr">
        <x:is>
          <x:t xml:space="preserve">Collected</x:t>
        </x:is>
      </x:c>
      <x:c r="C795" t="inlineStr">
        <x:is>
          <x:t xml:space="preserve">Nội tâm &amp; hiểu mình</x:t>
        </x:is>
      </x:c>
      <x:c r="D795" t="inlineStr">
        <x:is>
          <x:t xml:space="preserve">Day 13 / Saṁyutta + Aṅguttara Nikāya — selected suttas</x:t>
        </x:is>
      </x:c>
      <x:c r="E795" t="inlineStr">
        <x:is>
          <x:t xml:space="preserve"/>
        </x:is>
      </x:c>
      <x:c r="F795" t="inlineStr">
        <x:is>
          <x:t xml:space="preserve">Social connection</x:t>
        </x:is>
      </x:c>
      <x:c r="G795" t="inlineStr">
        <x:is>
          <x:t xml:space="preserve">Relationships / Compassion</x:t>
        </x:is>
      </x:c>
      <x:c r="H795" t="inlineStr">
        <x:is>
          <x:t xml:space="preserve"/>
        </x:is>
      </x:c>
      <x:c r="I795" t="inlineStr">
        <x:is>
          <x:t xml:space="preserve"/>
        </x:is>
      </x:c>
      <x:c r="J795" t="inlineStr">
        <x:is>
          <x:t xml:space="preserve"/>
        </x:is>
      </x:c>
      <x:c r="K795" t="inlineStr">
        <x:is>
          <x:t xml:space="preserve">Reframe</x:t>
        </x:is>
      </x:c>
      <x:c r="L795" t="inlineStr">
        <x:is>
          <x:t xml:space="preserve"/>
        </x:is>
      </x:c>
      <x:c r="M795" t="inlineStr">
        <x:is>
          <x:t xml:space="preserve">Source-anchored research paraphrase</x:t>
        </x:is>
      </x:c>
      <x:c r="N795" t="inlineStr">
        <x:is>
          <x:t xml:space="preserve">[Exact Pāḷi not copied in this row; verify passage-level Pāḷi before direct-quote Release]</x:t>
        </x:is>
      </x:c>
      <x:c r="O795" t="inlineStr">
        <x:is>
          <x:t xml:space="preserve">Pāḷi source / Vietnamese research paraphrase</x:t>
        </x:is>
      </x:c>
      <x:c r="P795" t="inlineStr">
        <x:is>
          <x:t xml:space="preserve">Cho đi, lời nói tử tế, hành động có ích và đối xử bình đẳng được đặt như những trục giữ con người kết nối với nhau.</x:t>
        </x:is>
      </x:c>
      <x:c r="Q795" t="inlineStr">
        <x:is>
          <x:t xml:space="preserve">Saṁyutta/Aṅguttara Nikāya — Early Buddhist Pāḷi tradition</x:t>
        </x:is>
      </x:c>
      <x:c r="R795" t="inlineStr">
        <x:is>
          <x:t xml:space="preserve">Early Buddhist / Pāḷi tradition</x:t>
        </x:is>
      </x:c>
      <x:c r="S795" t="inlineStr">
        <x:is>
          <x:t xml:space="preserve">AN 4.32 Saṅgahavatthusutta</x:t>
        </x:is>
      </x:c>
      <x:c r="T795" t="inlineStr">
        <x:is>
          <x:t xml:space="preserve">Four bases of inclusion</x:t>
        </x:is>
      </x:c>
      <x:c r="U795" t="inlineStr">
        <x:is>
          <x:t xml:space="preserve">https://suttacentral.net/an4.32</x:t>
        </x:is>
      </x:c>
      <x:c r="V795" t="inlineStr">
        <x:is>
          <x:t xml:space="preserve">Primary canonical source anchor — SuttaCentral</x:t>
        </x:is>
      </x:c>
      <x:c r="W795" t="inlineStr">
        <x:is>
          <x:t xml:space="preserve">Research paraphrase — NOT direct quote</x:t>
        </x:is>
      </x:c>
      <x:c r="X795" t="inlineStr">
        <x:is>
          <x:t xml:space="preserve">A/B - canonical source/theme verified; wording is Selflo research paraphrase</x:t>
        </x:is>
      </x:c>
      <x:c r="Y795" t="inlineStr">
        <x:is>
          <x:t xml:space="preserve">Source location verified. This row deliberately does not fabricate Pāḷi. Before direct quotation, retrieve and verify exact Pāḷi segment.</x:t>
        </x:is>
      </x:c>
      <x:c r="Z795" t="inlineStr">
        <x:is>
          <x:t xml:space="preserve">Ancient canonical text public domain; modern translations have separate rights</x:t>
        </x:is>
      </x:c>
      <x:c r="AA795" t="inlineStr">
        <x:is>
          <x:t xml:space="preserve">Vietnamese wording is fresh Selflo working paraphrase; do not copy modern copyrighted translations.</x:t>
        </x:is>
      </x:c>
      <x:c r="AB795" t="inlineStr">
        <x:is>
          <x:t xml:space="preserve">High</x:t>
        </x:is>
      </x:c>
      <x:c r="AC795" t="inlineStr">
        <x:is>
          <x:t xml:space="preserve">Day 13 collection candidate; not Release-approved.</x:t>
        </x:is>
      </x:c>
      <x:c r="AD795" t="inlineStr">
        <x:is>
          <x:t xml:space="preserve">Medium — canonical religious context requires editorial care</x:t>
        </x:is>
      </x:c>
      <x:c r="AE795" t="inlineStr">
        <x:is>
          <x:t xml:space="preserve">Needs semantic dedupe against Days 11–12</x:t>
        </x:is>
      </x:c>
      <x:c r="AF795" t="inlineStr">
        <x:is>
          <x:t xml:space="preserve"/>
        </x:is>
      </x:c>
      <x:c r="AG795" t="inlineStr">
        <x:is>
          <x:t xml:space="preserve"/>
        </x:is>
      </x:c>
      <x:c r="AH795" t="inlineStr">
        <x:is>
          <x:t xml:space="preserve">No</x:t>
        </x:is>
      </x:c>
      <x:c r="AI795" t="inlineStr">
        <x:is>
          <x:t xml:space="preserve">Not reviewed</x:t>
        </x:is>
      </x:c>
      <x:c r="AJ795" t="inlineStr">
        <x:is>
          <x:t xml:space="preserve">Research only</x:t>
        </x:is>
      </x:c>
      <x:c r="AK795" t="inlineStr">
        <x:is>
          <x:t xml:space="preserve">Research Pool</x:t>
        </x:is>
      </x:c>
      <x:c r="AL795" t="n">
        <x:v>13</x:v>
      </x:c>
      <x:c r="AM795" t="inlineStr">
        <x:is>
          <x:t xml:space="preserve">ChatGPT research</x:t>
        </x:is>
      </x:c>
      <x:c r="AN795" t="inlineStr">
        <x:is>
          <x:t xml:space="preserve">2026-09-18</x:t>
        </x:is>
      </x:c>
      <x:c r="AO795" t="inlineStr">
        <x:is>
          <x:t xml:space="preserve">Day 13 selected SN/AN. Strongest unique lanes: second-arrow distinction, conditions/context, epistemic judgment, knowledge relevance.</x:t>
        </x:is>
      </x:c>
    </x:row>
    <x:row r="796">
      <x:c r="A796" t="inlineStr">
        <x:is>
          <x:t xml:space="preserve">research.nikaya.day13.an4_77_01</x:t>
        </x:is>
      </x:c>
      <x:c r="B796" t="inlineStr">
        <x:is>
          <x:t xml:space="preserve">Collected</x:t>
        </x:is>
      </x:c>
      <x:c r="C796" t="inlineStr">
        <x:is>
          <x:t xml:space="preserve">Nội tâm &amp; hiểu mình</x:t>
        </x:is>
      </x:c>
      <x:c r="D796" t="inlineStr">
        <x:is>
          <x:t xml:space="preserve">Day 13 / Saṁyutta + Aṅguttara Nikāya — selected suttas</x:t>
        </x:is>
      </x:c>
      <x:c r="E796" t="inlineStr">
        <x:is>
          <x:t xml:space="preserve"/>
        </x:is>
      </x:c>
      <x:c r="F796" t="inlineStr">
        <x:is>
          <x:t xml:space="preserve">When thinking stops helping</x:t>
        </x:is>
      </x:c>
      <x:c r="G796" t="inlineStr">
        <x:is>
          <x:t xml:space="preserve">Rumination / Limits</x:t>
        </x:is>
      </x:c>
      <x:c r="H796" t="inlineStr">
        <x:is>
          <x:t xml:space="preserve"/>
        </x:is>
      </x:c>
      <x:c r="I796" t="inlineStr">
        <x:is>
          <x:t xml:space="preserve"/>
        </x:is>
      </x:c>
      <x:c r="J796" t="inlineStr">
        <x:is>
          <x:t xml:space="preserve"/>
        </x:is>
      </x:c>
      <x:c r="K796" t="inlineStr">
        <x:is>
          <x:t xml:space="preserve">Recognize</x:t>
        </x:is>
      </x:c>
      <x:c r="L796" t="inlineStr">
        <x:is>
          <x:t xml:space="preserve"/>
        </x:is>
      </x:c>
      <x:c r="M796" t="inlineStr">
        <x:is>
          <x:t xml:space="preserve">Source-anchored research paraphrase</x:t>
        </x:is>
      </x:c>
      <x:c r="N796" t="inlineStr">
        <x:is>
          <x:t xml:space="preserve">[Exact Pāḷi not copied in this row; verify passage-level Pāḷi before direct-quote Release]</x:t>
        </x:is>
      </x:c>
      <x:c r="O796" t="inlineStr">
        <x:is>
          <x:t xml:space="preserve">Pāḷi source / Vietnamese research paraphrase</x:t>
        </x:is>
      </x:c>
      <x:c r="P796" t="inlineStr">
        <x:is>
          <x:t xml:space="preserve">Có những câu hỏi mà việc suy nghĩ không giới hạn về chúng không đưa mình đến hiểu biết hữu ích hơn.</x:t>
        </x:is>
      </x:c>
      <x:c r="Q796" t="inlineStr">
        <x:is>
          <x:t xml:space="preserve">Saṁyutta/Aṅguttara Nikāya — Early Buddhist Pāḷi tradition</x:t>
        </x:is>
      </x:c>
      <x:c r="R796" t="inlineStr">
        <x:is>
          <x:t xml:space="preserve">Early Buddhist / Pāḷi tradition</x:t>
        </x:is>
      </x:c>
      <x:c r="S796" t="inlineStr">
        <x:is>
          <x:t xml:space="preserve">AN 4.77 Acinteyyasutta</x:t>
        </x:is>
      </x:c>
      <x:c r="T796" t="inlineStr">
        <x:is>
          <x:t xml:space="preserve">The imponderables</x:t>
        </x:is>
      </x:c>
      <x:c r="U796" t="inlineStr">
        <x:is>
          <x:t xml:space="preserve">https://suttacentral.net/an4.77</x:t>
        </x:is>
      </x:c>
      <x:c r="V796" t="inlineStr">
        <x:is>
          <x:t xml:space="preserve">Primary canonical source anchor — SuttaCentral</x:t>
        </x:is>
      </x:c>
      <x:c r="W796" t="inlineStr">
        <x:is>
          <x:t xml:space="preserve">Research paraphrase — NOT direct quote</x:t>
        </x:is>
      </x:c>
      <x:c r="X796" t="inlineStr">
        <x:is>
          <x:t xml:space="preserve">A/B - canonical source/theme verified; wording is Selflo research paraphrase</x:t>
        </x:is>
      </x:c>
      <x:c r="Y796" t="inlineStr">
        <x:is>
          <x:t xml:space="preserve">Source location verified. This row deliberately does not fabricate Pāḷi. Before direct quotation, retrieve and verify exact Pāḷi segment.</x:t>
        </x:is>
      </x:c>
      <x:c r="Z796" t="inlineStr">
        <x:is>
          <x:t xml:space="preserve">Ancient canonical text public domain; modern translations have separate rights</x:t>
        </x:is>
      </x:c>
      <x:c r="AA796" t="inlineStr">
        <x:is>
          <x:t xml:space="preserve">Vietnamese wording is fresh Selflo working paraphrase; do not copy modern copyrighted translations.</x:t>
        </x:is>
      </x:c>
      <x:c r="AB796" t="inlineStr">
        <x:is>
          <x:t xml:space="preserve">Medium</x:t>
        </x:is>
      </x:c>
      <x:c r="AC796" t="inlineStr">
        <x:is>
          <x:t xml:space="preserve">Day 13 collection candidate; not Release-approved.</x:t>
        </x:is>
      </x:c>
      <x:c r="AD796" t="inlineStr">
        <x:is>
          <x:t xml:space="preserve">Medium — canonical religious context requires editorial care</x:t>
        </x:is>
      </x:c>
      <x:c r="AE796" t="inlineStr">
        <x:is>
          <x:t xml:space="preserve">Needs semantic dedupe against Days 11–12</x:t>
        </x:is>
      </x:c>
      <x:c r="AF796" t="inlineStr">
        <x:is>
          <x:t xml:space="preserve"/>
        </x:is>
      </x:c>
      <x:c r="AG796" t="inlineStr">
        <x:is>
          <x:t xml:space="preserve"/>
        </x:is>
      </x:c>
      <x:c r="AH796" t="inlineStr">
        <x:is>
          <x:t xml:space="preserve">No</x:t>
        </x:is>
      </x:c>
      <x:c r="AI796" t="inlineStr">
        <x:is>
          <x:t xml:space="preserve">Not reviewed</x:t>
        </x:is>
      </x:c>
      <x:c r="AJ796" t="inlineStr">
        <x:is>
          <x:t xml:space="preserve">Research only</x:t>
        </x:is>
      </x:c>
      <x:c r="AK796" t="inlineStr">
        <x:is>
          <x:t xml:space="preserve">Research Pool</x:t>
        </x:is>
      </x:c>
      <x:c r="AL796" t="n">
        <x:v>13</x:v>
      </x:c>
      <x:c r="AM796" t="inlineStr">
        <x:is>
          <x:t xml:space="preserve">ChatGPT research</x:t>
        </x:is>
      </x:c>
      <x:c r="AN796" t="inlineStr">
        <x:is>
          <x:t xml:space="preserve">2026-09-18</x:t>
        </x:is>
      </x:c>
      <x:c r="AO796" t="inlineStr">
        <x:is>
          <x:t xml:space="preserve">Day 13 selected SN/AN. Strongest unique lanes: second-arrow distinction, conditions/context, epistemic judgment, knowledge relevance.</x:t>
        </x:is>
      </x:c>
    </x:row>
    <x:row r="797">
      <x:c r="A797" t="inlineStr">
        <x:is>
          <x:t xml:space="preserve">research.nikaya.day13.an5_57_01</x:t>
        </x:is>
      </x:c>
      <x:c r="B797" t="inlineStr">
        <x:is>
          <x:t xml:space="preserve">Collected</x:t>
        </x:is>
      </x:c>
      <x:c r="C797" t="inlineStr">
        <x:is>
          <x:t xml:space="preserve">Nội tâm &amp; hiểu mình</x:t>
        </x:is>
      </x:c>
      <x:c r="D797" t="inlineStr">
        <x:is>
          <x:t xml:space="preserve">Day 13 / Saṁyutta + Aṅguttara Nikāya — selected suttas</x:t>
        </x:is>
      </x:c>
      <x:c r="E797" t="inlineStr">
        <x:is>
          <x:t xml:space="preserve"/>
        </x:is>
      </x:c>
      <x:c r="F797" t="inlineStr">
        <x:is>
          <x:t xml:space="preserve">Mortality and values</x:t>
        </x:is>
      </x:c>
      <x:c r="G797" t="inlineStr">
        <x:is>
          <x:t xml:space="preserve">Mortality / Values</x:t>
        </x:is>
      </x:c>
      <x:c r="H797" t="inlineStr">
        <x:is>
          <x:t xml:space="preserve"/>
        </x:is>
      </x:c>
      <x:c r="I797" t="inlineStr">
        <x:is>
          <x:t xml:space="preserve"/>
        </x:is>
      </x:c>
      <x:c r="J797" t="inlineStr">
        <x:is>
          <x:t xml:space="preserve"/>
        </x:is>
      </x:c>
      <x:c r="K797" t="inlineStr">
        <x:is>
          <x:t xml:space="preserve">Reframe</x:t>
        </x:is>
      </x:c>
      <x:c r="L797" t="inlineStr">
        <x:is>
          <x:t xml:space="preserve"/>
        </x:is>
      </x:c>
      <x:c r="M797" t="inlineStr">
        <x:is>
          <x:t xml:space="preserve">Source-anchored research paraphrase</x:t>
        </x:is>
      </x:c>
      <x:c r="N797" t="inlineStr">
        <x:is>
          <x:t xml:space="preserve">[Exact Pāḷi not copied in this row; verify passage-level Pāḷi before direct-quote Release]</x:t>
        </x:is>
      </x:c>
      <x:c r="O797" t="inlineStr">
        <x:is>
          <x:t xml:space="preserve">Pāḷi source / Vietnamese research paraphrase</x:t>
        </x:is>
      </x:c>
      <x:c r="P797" t="inlineStr">
        <x:is>
          <x:t xml:space="preserve">Già đi, bệnh, mất mát và cái chết không phải những ngoại lệ chỉ xảy đến với người khác; nhớ tính hữu hạn có thể làm rõ điều mình muốn dành đời sống cho.</x:t>
        </x:is>
      </x:c>
      <x:c r="Q797" t="inlineStr">
        <x:is>
          <x:t xml:space="preserve">Saṁyutta/Aṅguttara Nikāya — Early Buddhist Pāḷi tradition</x:t>
        </x:is>
      </x:c>
      <x:c r="R797" t="inlineStr">
        <x:is>
          <x:t xml:space="preserve">Early Buddhist / Pāḷi tradition</x:t>
        </x:is>
      </x:c>
      <x:c r="S797" t="inlineStr">
        <x:is>
          <x:t xml:space="preserve">AN 5.57 Upajjhaṭṭhanasutta</x:t>
        </x:is>
      </x:c>
      <x:c r="T797" t="inlineStr">
        <x:is>
          <x:t xml:space="preserve">Five recollections</x:t>
        </x:is>
      </x:c>
      <x:c r="U797" t="inlineStr">
        <x:is>
          <x:t xml:space="preserve">https://suttacentral.net/an5.57</x:t>
        </x:is>
      </x:c>
      <x:c r="V797" t="inlineStr">
        <x:is>
          <x:t xml:space="preserve">Primary canonical source anchor — SuttaCentral</x:t>
        </x:is>
      </x:c>
      <x:c r="W797" t="inlineStr">
        <x:is>
          <x:t xml:space="preserve">Research paraphrase — NOT direct quote</x:t>
        </x:is>
      </x:c>
      <x:c r="X797" t="inlineStr">
        <x:is>
          <x:t xml:space="preserve">A/B - canonical source/theme verified; wording is Selflo research paraphrase</x:t>
        </x:is>
      </x:c>
      <x:c r="Y797" t="inlineStr">
        <x:is>
          <x:t xml:space="preserve">Source location verified. This row deliberately does not fabricate Pāḷi. Before direct quotation, retrieve and verify exact Pāḷi segment.</x:t>
        </x:is>
      </x:c>
      <x:c r="Z797" t="inlineStr">
        <x:is>
          <x:t xml:space="preserve">Ancient canonical text public domain; modern translations have separate rights</x:t>
        </x:is>
      </x:c>
      <x:c r="AA797" t="inlineStr">
        <x:is>
          <x:t xml:space="preserve">Vietnamese wording is fresh Selflo working paraphrase; do not copy modern copyrighted translations.</x:t>
        </x:is>
      </x:c>
      <x:c r="AB797" t="inlineStr">
        <x:is>
          <x:t xml:space="preserve">High</x:t>
        </x:is>
      </x:c>
      <x:c r="AC797" t="inlineStr">
        <x:is>
          <x:t xml:space="preserve">Day 13 collection candidate; not Release-approved.</x:t>
        </x:is>
      </x:c>
      <x:c r="AD797" t="inlineStr">
        <x:is>
          <x:t xml:space="preserve">Medium — canonical religious context requires editorial care</x:t>
        </x:is>
      </x:c>
      <x:c r="AE797" t="inlineStr">
        <x:is>
          <x:t xml:space="preserve">Needs semantic dedupe against Days 11–12</x:t>
        </x:is>
      </x:c>
      <x:c r="AF797" t="inlineStr">
        <x:is>
          <x:t xml:space="preserve"/>
        </x:is>
      </x:c>
      <x:c r="AG797" t="inlineStr">
        <x:is>
          <x:t xml:space="preserve"/>
        </x:is>
      </x:c>
      <x:c r="AH797" t="inlineStr">
        <x:is>
          <x:t xml:space="preserve">No</x:t>
        </x:is>
      </x:c>
      <x:c r="AI797" t="inlineStr">
        <x:is>
          <x:t xml:space="preserve">Not reviewed</x:t>
        </x:is>
      </x:c>
      <x:c r="AJ797" t="inlineStr">
        <x:is>
          <x:t xml:space="preserve">Research only</x:t>
        </x:is>
      </x:c>
      <x:c r="AK797" t="inlineStr">
        <x:is>
          <x:t xml:space="preserve">Research Pool</x:t>
        </x:is>
      </x:c>
      <x:c r="AL797" t="n">
        <x:v>13</x:v>
      </x:c>
      <x:c r="AM797" t="inlineStr">
        <x:is>
          <x:t xml:space="preserve">ChatGPT research</x:t>
        </x:is>
      </x:c>
      <x:c r="AN797" t="inlineStr">
        <x:is>
          <x:t xml:space="preserve">2026-09-18</x:t>
        </x:is>
      </x:c>
      <x:c r="AO797" t="inlineStr">
        <x:is>
          <x:t xml:space="preserve">Day 13 selected SN/AN. Strongest unique lanes: second-arrow distinction, conditions/context, epistemic judgment, knowledge relevance.</x:t>
        </x:is>
      </x:c>
    </x:row>
    <x:row r="798">
      <x:c r="A798" t="inlineStr">
        <x:is>
          <x:t xml:space="preserve">research.nikaya.day13.an5_57_02</x:t>
        </x:is>
      </x:c>
      <x:c r="B798" t="inlineStr">
        <x:is>
          <x:t xml:space="preserve">Collected</x:t>
        </x:is>
      </x:c>
      <x:c r="C798" t="inlineStr">
        <x:is>
          <x:t xml:space="preserve">Nội tâm &amp; hiểu mình</x:t>
        </x:is>
      </x:c>
      <x:c r="D798" t="inlineStr">
        <x:is>
          <x:t xml:space="preserve">Day 13 / Saṁyutta + Aṅguttara Nikāya — selected suttas</x:t>
        </x:is>
      </x:c>
      <x:c r="E798" t="inlineStr">
        <x:is>
          <x:t xml:space="preserve"/>
        </x:is>
      </x:c>
      <x:c r="F798" t="inlineStr">
        <x:is>
          <x:t xml:space="preserve">Control vs responsibility</x:t>
        </x:is>
      </x:c>
      <x:c r="G798" t="inlineStr">
        <x:is>
          <x:t xml:space="preserve">Agency / Responsibility</x:t>
        </x:is>
      </x:c>
      <x:c r="H798" t="inlineStr">
        <x:is>
          <x:t xml:space="preserve"/>
        </x:is>
      </x:c>
      <x:c r="I798" t="inlineStr">
        <x:is>
          <x:t xml:space="preserve"/>
        </x:is>
      </x:c>
      <x:c r="J798" t="inlineStr">
        <x:is>
          <x:t xml:space="preserve"/>
        </x:is>
      </x:c>
      <x:c r="K798" t="inlineStr">
        <x:is>
          <x:t xml:space="preserve">Distinguish</x:t>
        </x:is>
      </x:c>
      <x:c r="L798" t="inlineStr">
        <x:is>
          <x:t xml:space="preserve"/>
        </x:is>
      </x:c>
      <x:c r="M798" t="inlineStr">
        <x:is>
          <x:t xml:space="preserve">Source-anchored research paraphrase</x:t>
        </x:is>
      </x:c>
      <x:c r="N798" t="inlineStr">
        <x:is>
          <x:t xml:space="preserve">[Exact Pāḷi not copied in this row; verify passage-level Pāḷi before direct-quote Release]</x:t>
        </x:is>
      </x:c>
      <x:c r="O798" t="inlineStr">
        <x:is>
          <x:t xml:space="preserve">Pāḷi source / Vietnamese research paraphrase</x:t>
        </x:is>
      </x:c>
      <x:c r="P798" t="inlineStr">
        <x:is>
          <x:t xml:space="preserve">Không kiểm soát được mọi điều xảy ra không đồng nghĩa không có phần nào thuộc về lựa chọn; hành động của mình vẫn là một phần mình mang theo.</x:t>
        </x:is>
      </x:c>
      <x:c r="Q798" t="inlineStr">
        <x:is>
          <x:t xml:space="preserve">Saṁyutta/Aṅguttara Nikāya — Early Buddhist Pāḷi tradition</x:t>
        </x:is>
      </x:c>
      <x:c r="R798" t="inlineStr">
        <x:is>
          <x:t xml:space="preserve">Early Buddhist / Pāḷi tradition</x:t>
        </x:is>
      </x:c>
      <x:c r="S798" t="inlineStr">
        <x:is>
          <x:t xml:space="preserve">AN 5.57 Upajjhaṭṭhanasutta</x:t>
        </x:is>
      </x:c>
      <x:c r="T798" t="inlineStr">
        <x:is>
          <x:t xml:space="preserve">Ownership of action</x:t>
        </x:is>
      </x:c>
      <x:c r="U798" t="inlineStr">
        <x:is>
          <x:t xml:space="preserve">https://suttacentral.net/an5.57</x:t>
        </x:is>
      </x:c>
      <x:c r="V798" t="inlineStr">
        <x:is>
          <x:t xml:space="preserve">Primary canonical source anchor — SuttaCentral</x:t>
        </x:is>
      </x:c>
      <x:c r="W798" t="inlineStr">
        <x:is>
          <x:t xml:space="preserve">Research paraphrase — NOT direct quote</x:t>
        </x:is>
      </x:c>
      <x:c r="X798" t="inlineStr">
        <x:is>
          <x:t xml:space="preserve">A/B - canonical source/theme verified; wording is Selflo research paraphrase</x:t>
        </x:is>
      </x:c>
      <x:c r="Y798" t="inlineStr">
        <x:is>
          <x:t xml:space="preserve">Source location verified. This row deliberately does not fabricate Pāḷi. Before direct quotation, retrieve and verify exact Pāḷi segment.</x:t>
        </x:is>
      </x:c>
      <x:c r="Z798" t="inlineStr">
        <x:is>
          <x:t xml:space="preserve">Ancient canonical text public domain; modern translations have separate rights</x:t>
        </x:is>
      </x:c>
      <x:c r="AA798" t="inlineStr">
        <x:is>
          <x:t xml:space="preserve">Vietnamese wording is fresh Selflo working paraphrase; do not copy modern copyrighted translations.</x:t>
        </x:is>
      </x:c>
      <x:c r="AB798" t="inlineStr">
        <x:is>
          <x:t xml:space="preserve">High</x:t>
        </x:is>
      </x:c>
      <x:c r="AC798" t="inlineStr">
        <x:is>
          <x:t xml:space="preserve">Day 13 collection candidate; not Release-approved.</x:t>
        </x:is>
      </x:c>
      <x:c r="AD798" t="inlineStr">
        <x:is>
          <x:t xml:space="preserve">Medium — canonical religious context requires editorial care</x:t>
        </x:is>
      </x:c>
      <x:c r="AE798" t="inlineStr">
        <x:is>
          <x:t xml:space="preserve">Needs semantic dedupe against Days 11–12</x:t>
        </x:is>
      </x:c>
      <x:c r="AF798" t="inlineStr">
        <x:is>
          <x:t xml:space="preserve"/>
        </x:is>
      </x:c>
      <x:c r="AG798" t="inlineStr">
        <x:is>
          <x:t xml:space="preserve"/>
        </x:is>
      </x:c>
      <x:c r="AH798" t="inlineStr">
        <x:is>
          <x:t xml:space="preserve">No</x:t>
        </x:is>
      </x:c>
      <x:c r="AI798" t="inlineStr">
        <x:is>
          <x:t xml:space="preserve">Not reviewed</x:t>
        </x:is>
      </x:c>
      <x:c r="AJ798" t="inlineStr">
        <x:is>
          <x:t xml:space="preserve">Research only</x:t>
        </x:is>
      </x:c>
      <x:c r="AK798" t="inlineStr">
        <x:is>
          <x:t xml:space="preserve">Research Pool</x:t>
        </x:is>
      </x:c>
      <x:c r="AL798" t="n">
        <x:v>13</x:v>
      </x:c>
      <x:c r="AM798" t="inlineStr">
        <x:is>
          <x:t xml:space="preserve">ChatGPT research</x:t>
        </x:is>
      </x:c>
      <x:c r="AN798" t="inlineStr">
        <x:is>
          <x:t xml:space="preserve">2026-09-18</x:t>
        </x:is>
      </x:c>
      <x:c r="AO798" t="inlineStr">
        <x:is>
          <x:t xml:space="preserve">Day 13 selected SN/AN. Strongest unique lanes: second-arrow distinction, conditions/context, epistemic judgment, knowledge relevance.</x:t>
        </x:is>
      </x:c>
    </x:row>
    <x:row r="799">
      <x:c r="A799" t="inlineStr">
        <x:is>
          <x:t xml:space="preserve">research.nikaya.day13.an6_63_01</x:t>
        </x:is>
      </x:c>
      <x:c r="B799" t="inlineStr">
        <x:is>
          <x:t xml:space="preserve">Collected</x:t>
        </x:is>
      </x:c>
      <x:c r="C799" t="inlineStr">
        <x:is>
          <x:t xml:space="preserve">Nội tâm &amp; hiểu mình</x:t>
        </x:is>
      </x:c>
      <x:c r="D799" t="inlineStr">
        <x:is>
          <x:t xml:space="preserve">Day 13 / Saṁyutta + Aṅguttara Nikāya — selected suttas</x:t>
        </x:is>
      </x:c>
      <x:c r="E799" t="inlineStr">
        <x:is>
          <x:t xml:space="preserve"/>
        </x:is>
      </x:c>
      <x:c r="F799" t="inlineStr">
        <x:is>
          <x:t xml:space="preserve">Intention and behavior</x:t>
        </x:is>
      </x:c>
      <x:c r="G799" t="inlineStr">
        <x:is>
          <x:t xml:space="preserve">Self-understanding / Conduct</x:t>
        </x:is>
      </x:c>
      <x:c r="H799" t="inlineStr">
        <x:is>
          <x:t xml:space="preserve"/>
        </x:is>
      </x:c>
      <x:c r="I799" t="inlineStr">
        <x:is>
          <x:t xml:space="preserve"/>
        </x:is>
      </x:c>
      <x:c r="J799" t="inlineStr">
        <x:is>
          <x:t xml:space="preserve"/>
        </x:is>
      </x:c>
      <x:c r="K799" t="inlineStr">
        <x:is>
          <x:t xml:space="preserve">Distinguish</x:t>
        </x:is>
      </x:c>
      <x:c r="L799" t="inlineStr">
        <x:is>
          <x:t xml:space="preserve"/>
        </x:is>
      </x:c>
      <x:c r="M799" t="inlineStr">
        <x:is>
          <x:t xml:space="preserve">Source-anchored research paraphrase</x:t>
        </x:is>
      </x:c>
      <x:c r="N799" t="inlineStr">
        <x:is>
          <x:t xml:space="preserve">[Exact Pāḷi not copied in this row; verify passage-level Pāḷi before direct-quote Release]</x:t>
        </x:is>
      </x:c>
      <x:c r="O799" t="inlineStr">
        <x:is>
          <x:t xml:space="preserve">Pāḷi source / Vietnamese research paraphrase</x:t>
        </x:is>
      </x:c>
      <x:c r="P799" t="inlineStr">
        <x:is>
          <x:t xml:space="preserve">Ý định là một lớp quan trọng khi nhìn hành động; cùng một bề ngoài chưa chắc có cùng động lực bên trong.</x:t>
        </x:is>
      </x:c>
      <x:c r="Q799" t="inlineStr">
        <x:is>
          <x:t xml:space="preserve">Saṁyutta/Aṅguttara Nikāya — Early Buddhist Pāḷi tradition</x:t>
        </x:is>
      </x:c>
      <x:c r="R799" t="inlineStr">
        <x:is>
          <x:t xml:space="preserve">Early Buddhist / Pāḷi tradition</x:t>
        </x:is>
      </x:c>
      <x:c r="S799" t="inlineStr">
        <x:is>
          <x:t xml:space="preserve">AN 6.63 Nibbedhikasutta</x:t>
        </x:is>
      </x:c>
      <x:c r="T799" t="inlineStr">
        <x:is>
          <x:t xml:space="preserve">Intention and action</x:t>
        </x:is>
      </x:c>
      <x:c r="U799" t="inlineStr">
        <x:is>
          <x:t xml:space="preserve">https://suttacentral.net/an6.63</x:t>
        </x:is>
      </x:c>
      <x:c r="V799" t="inlineStr">
        <x:is>
          <x:t xml:space="preserve">Primary canonical source anchor — SuttaCentral</x:t>
        </x:is>
      </x:c>
      <x:c r="W799" t="inlineStr">
        <x:is>
          <x:t xml:space="preserve">Research paraphrase — NOT direct quote</x:t>
        </x:is>
      </x:c>
      <x:c r="X799" t="inlineStr">
        <x:is>
          <x:t xml:space="preserve">A/B - canonical source/theme verified; wording is Selflo research paraphrase</x:t>
        </x:is>
      </x:c>
      <x:c r="Y799" t="inlineStr">
        <x:is>
          <x:t xml:space="preserve">Source location verified. This row deliberately does not fabricate Pāḷi. Before direct quotation, retrieve and verify exact Pāḷi segment.</x:t>
        </x:is>
      </x:c>
      <x:c r="Z799" t="inlineStr">
        <x:is>
          <x:t xml:space="preserve">Ancient canonical text public domain; modern translations have separate rights</x:t>
        </x:is>
      </x:c>
      <x:c r="AA799" t="inlineStr">
        <x:is>
          <x:t xml:space="preserve">Vietnamese wording is fresh Selflo working paraphrase; do not copy modern copyrighted translations.</x:t>
        </x:is>
      </x:c>
      <x:c r="AB799" t="inlineStr">
        <x:is>
          <x:t xml:space="preserve">High</x:t>
        </x:is>
      </x:c>
      <x:c r="AC799" t="inlineStr">
        <x:is>
          <x:t xml:space="preserve">Day 13 collection candidate; not Release-approved.</x:t>
        </x:is>
      </x:c>
      <x:c r="AD799" t="inlineStr">
        <x:is>
          <x:t xml:space="preserve">Medium — canonical religious context requires editorial care</x:t>
        </x:is>
      </x:c>
      <x:c r="AE799" t="inlineStr">
        <x:is>
          <x:t xml:space="preserve">Needs semantic dedupe against Days 11–12</x:t>
        </x:is>
      </x:c>
      <x:c r="AF799" t="inlineStr">
        <x:is>
          <x:t xml:space="preserve"/>
        </x:is>
      </x:c>
      <x:c r="AG799" t="inlineStr">
        <x:is>
          <x:t xml:space="preserve"/>
        </x:is>
      </x:c>
      <x:c r="AH799" t="inlineStr">
        <x:is>
          <x:t xml:space="preserve">No</x:t>
        </x:is>
      </x:c>
      <x:c r="AI799" t="inlineStr">
        <x:is>
          <x:t xml:space="preserve">Not reviewed</x:t>
        </x:is>
      </x:c>
      <x:c r="AJ799" t="inlineStr">
        <x:is>
          <x:t xml:space="preserve">Research only</x:t>
        </x:is>
      </x:c>
      <x:c r="AK799" t="inlineStr">
        <x:is>
          <x:t xml:space="preserve">Research Pool</x:t>
        </x:is>
      </x:c>
      <x:c r="AL799" t="n">
        <x:v>13</x:v>
      </x:c>
      <x:c r="AM799" t="inlineStr">
        <x:is>
          <x:t xml:space="preserve">ChatGPT research</x:t>
        </x:is>
      </x:c>
      <x:c r="AN799" t="inlineStr">
        <x:is>
          <x:t xml:space="preserve">2026-09-18</x:t>
        </x:is>
      </x:c>
      <x:c r="AO799" t="inlineStr">
        <x:is>
          <x:t xml:space="preserve">Day 13 selected SN/AN. Strongest unique lanes: second-arrow distinction, conditions/context, epistemic judgment, knowledge relevance.</x:t>
        </x:is>
      </x:c>
    </x:row>
    <x:row r="800">
      <x:c r="A800" t="inlineStr">
        <x:is>
          <x:t xml:space="preserve">research.nikaya.day13.an6_63_02</x:t>
        </x:is>
      </x:c>
      <x:c r="B800" t="inlineStr">
        <x:is>
          <x:t xml:space="preserve">Collected</x:t>
        </x:is>
      </x:c>
      <x:c r="C800" t="inlineStr">
        <x:is>
          <x:t xml:space="preserve">Nội tâm &amp; hiểu mình</x:t>
        </x:is>
      </x:c>
      <x:c r="D800" t="inlineStr">
        <x:is>
          <x:t xml:space="preserve">Day 13 / Saṁyutta + Aṅguttara Nikāya — selected suttas</x:t>
        </x:is>
      </x:c>
      <x:c r="E800" t="inlineStr">
        <x:is>
          <x:t xml:space="preserve"/>
        </x:is>
      </x:c>
      <x:c r="F800" t="inlineStr">
        <x:is>
          <x:t xml:space="preserve">Craving without self-blame</x:t>
        </x:is>
      </x:c>
      <x:c r="G800" t="inlineStr">
        <x:is>
          <x:t xml:space="preserve">Desire / Conditions</x:t>
        </x:is>
      </x:c>
      <x:c r="H800" t="inlineStr">
        <x:is>
          <x:t xml:space="preserve"/>
        </x:is>
      </x:c>
      <x:c r="I800" t="inlineStr">
        <x:is>
          <x:t xml:space="preserve"/>
        </x:is>
      </x:c>
      <x:c r="J800" t="inlineStr">
        <x:is>
          <x:t xml:space="preserve"/>
        </x:is>
      </x:c>
      <x:c r="K800" t="inlineStr">
        <x:is>
          <x:t xml:space="preserve">Reframe</x:t>
        </x:is>
      </x:c>
      <x:c r="L800" t="inlineStr">
        <x:is>
          <x:t xml:space="preserve"/>
        </x:is>
      </x:c>
      <x:c r="M800" t="inlineStr">
        <x:is>
          <x:t xml:space="preserve">Source-anchored research paraphrase</x:t>
        </x:is>
      </x:c>
      <x:c r="N800" t="inlineStr">
        <x:is>
          <x:t xml:space="preserve">[Exact Pāḷi not copied in this row; verify passage-level Pāḷi before direct-quote Release]</x:t>
        </x:is>
      </x:c>
      <x:c r="O800" t="inlineStr">
        <x:is>
          <x:t xml:space="preserve">Pāḷi source / Vietnamese research paraphrase</x:t>
        </x:is>
      </x:c>
      <x:c r="P800" t="inlineStr">
        <x:is>
          <x:t xml:space="preserve">Ham muốn cũng có điều kiện sinh ra; nhìn điều kiện có thể mở nhiều khả năng hơn việc chỉ gọi mình là thiếu ý chí.</x:t>
        </x:is>
      </x:c>
      <x:c r="Q800" t="inlineStr">
        <x:is>
          <x:t xml:space="preserve">Saṁyutta/Aṅguttara Nikāya — Early Buddhist Pāḷi tradition</x:t>
        </x:is>
      </x:c>
      <x:c r="R800" t="inlineStr">
        <x:is>
          <x:t xml:space="preserve">Early Buddhist / Pāḷi tradition</x:t>
        </x:is>
      </x:c>
      <x:c r="S800" t="inlineStr">
        <x:is>
          <x:t xml:space="preserve">AN 6.63 Nibbedhikasutta</x:t>
        </x:is>
      </x:c>
      <x:c r="T800" t="inlineStr">
        <x:is>
          <x:t xml:space="preserve">Craving and conditions</x:t>
        </x:is>
      </x:c>
      <x:c r="U800" t="inlineStr">
        <x:is>
          <x:t xml:space="preserve">https://suttacentral.net/an6.63</x:t>
        </x:is>
      </x:c>
      <x:c r="V800" t="inlineStr">
        <x:is>
          <x:t xml:space="preserve">Primary canonical source anchor — SuttaCentral</x:t>
        </x:is>
      </x:c>
      <x:c r="W800" t="inlineStr">
        <x:is>
          <x:t xml:space="preserve">Research paraphrase — NOT direct quote</x:t>
        </x:is>
      </x:c>
      <x:c r="X800" t="inlineStr">
        <x:is>
          <x:t xml:space="preserve">A/B - canonical source/theme verified; wording is Selflo research paraphrase</x:t>
        </x:is>
      </x:c>
      <x:c r="Y800" t="inlineStr">
        <x:is>
          <x:t xml:space="preserve">Source location verified. This row deliberately does not fabricate Pāḷi. Before direct quotation, retrieve and verify exact Pāḷi segment.</x:t>
        </x:is>
      </x:c>
      <x:c r="Z800" t="inlineStr">
        <x:is>
          <x:t xml:space="preserve">Ancient canonical text public domain; modern translations have separate rights</x:t>
        </x:is>
      </x:c>
      <x:c r="AA800" t="inlineStr">
        <x:is>
          <x:t xml:space="preserve">Vietnamese wording is fresh Selflo working paraphrase; do not copy modern copyrighted translations.</x:t>
        </x:is>
      </x:c>
      <x:c r="AB800" t="inlineStr">
        <x:is>
          <x:t xml:space="preserve">High</x:t>
        </x:is>
      </x:c>
      <x:c r="AC800" t="inlineStr">
        <x:is>
          <x:t xml:space="preserve">Day 13 collection candidate; not Release-approved.</x:t>
        </x:is>
      </x:c>
      <x:c r="AD800" t="inlineStr">
        <x:is>
          <x:t xml:space="preserve">Medium — canonical religious context requires editorial care</x:t>
        </x:is>
      </x:c>
      <x:c r="AE800" t="inlineStr">
        <x:is>
          <x:t xml:space="preserve">Needs semantic dedupe against Days 11–12</x:t>
        </x:is>
      </x:c>
      <x:c r="AF800" t="inlineStr">
        <x:is>
          <x:t xml:space="preserve"/>
        </x:is>
      </x:c>
      <x:c r="AG800" t="inlineStr">
        <x:is>
          <x:t xml:space="preserve"/>
        </x:is>
      </x:c>
      <x:c r="AH800" t="inlineStr">
        <x:is>
          <x:t xml:space="preserve">No</x:t>
        </x:is>
      </x:c>
      <x:c r="AI800" t="inlineStr">
        <x:is>
          <x:t xml:space="preserve">Not reviewed</x:t>
        </x:is>
      </x:c>
      <x:c r="AJ800" t="inlineStr">
        <x:is>
          <x:t xml:space="preserve">Research only</x:t>
        </x:is>
      </x:c>
      <x:c r="AK800" t="inlineStr">
        <x:is>
          <x:t xml:space="preserve">Research Pool</x:t>
        </x:is>
      </x:c>
      <x:c r="AL800" t="n">
        <x:v>13</x:v>
      </x:c>
      <x:c r="AM800" t="inlineStr">
        <x:is>
          <x:t xml:space="preserve">ChatGPT research</x:t>
        </x:is>
      </x:c>
      <x:c r="AN800" t="inlineStr">
        <x:is>
          <x:t xml:space="preserve">2026-09-18</x:t>
        </x:is>
      </x:c>
      <x:c r="AO800" t="inlineStr">
        <x:is>
          <x:t xml:space="preserve">Day 13 selected SN/AN. Strongest unique lanes: second-arrow distinction, conditions/context, epistemic judgment, knowledge relevance.</x:t>
        </x:is>
      </x:c>
    </x:row>
    <x:row r="801">
      <x:c r="A801" t="inlineStr">
        <x:is>
          <x:t xml:space="preserve">research.nikaya.day13.an7_74_01</x:t>
        </x:is>
      </x:c>
      <x:c r="B801" t="inlineStr">
        <x:is>
          <x:t xml:space="preserve">Collected</x:t>
        </x:is>
      </x:c>
      <x:c r="C801" t="inlineStr">
        <x:is>
          <x:t xml:space="preserve">Nội tâm &amp; hiểu mình</x:t>
        </x:is>
      </x:c>
      <x:c r="D801" t="inlineStr">
        <x:is>
          <x:t xml:space="preserve">Day 13 / Saṁyutta + Aṅguttara Nikāya — selected suttas</x:t>
        </x:is>
      </x:c>
      <x:c r="E801" t="inlineStr">
        <x:is>
          <x:t xml:space="preserve"/>
        </x:is>
      </x:c>
      <x:c r="F801" t="inlineStr">
        <x:is>
          <x:t xml:space="preserve">Fragility of time</x:t>
        </x:is>
      </x:c>
      <x:c r="G801" t="inlineStr">
        <x:is>
          <x:t xml:space="preserve">Time / Impermanence</x:t>
        </x:is>
      </x:c>
      <x:c r="H801" t="inlineStr">
        <x:is>
          <x:t xml:space="preserve"/>
        </x:is>
      </x:c>
      <x:c r="I801" t="inlineStr">
        <x:is>
          <x:t xml:space="preserve"/>
        </x:is>
      </x:c>
      <x:c r="J801" t="inlineStr">
        <x:is>
          <x:t xml:space="preserve"/>
        </x:is>
      </x:c>
      <x:c r="K801" t="inlineStr">
        <x:is>
          <x:t xml:space="preserve">Recognize</x:t>
        </x:is>
      </x:c>
      <x:c r="L801" t="inlineStr">
        <x:is>
          <x:t xml:space="preserve"/>
        </x:is>
      </x:c>
      <x:c r="M801" t="inlineStr">
        <x:is>
          <x:t xml:space="preserve">Source-anchored research paraphrase</x:t>
        </x:is>
      </x:c>
      <x:c r="N801" t="inlineStr">
        <x:is>
          <x:t xml:space="preserve">[Exact Pāḷi not copied in this row; verify passage-level Pāḷi before direct-quote Release]</x:t>
        </x:is>
      </x:c>
      <x:c r="O801" t="inlineStr">
        <x:is>
          <x:t xml:space="preserve">Pāḷi source / Vietnamese research paraphrase</x:t>
        </x:is>
      </x:c>
      <x:c r="P801" t="inlineStr">
        <x:is>
          <x:t xml:space="preserve">Đời người được ví với một đường vẽ trên mặt nước: vừa hiện ra đã thay đổi.</x:t>
        </x:is>
      </x:c>
      <x:c r="Q801" t="inlineStr">
        <x:is>
          <x:t xml:space="preserve">Saṁyutta/Aṅguttara Nikāya — Early Buddhist Pāḷi tradition</x:t>
        </x:is>
      </x:c>
      <x:c r="R801" t="inlineStr">
        <x:is>
          <x:t xml:space="preserve">Early Buddhist / Pāḷi tradition</x:t>
        </x:is>
      </x:c>
      <x:c r="S801" t="inlineStr">
        <x:is>
          <x:t xml:space="preserve">AN 7.74 Arakasutta</x:t>
        </x:is>
      </x:c>
      <x:c r="T801" t="inlineStr">
        <x:is>
          <x:t xml:space="preserve">Life like a line on water</x:t>
        </x:is>
      </x:c>
      <x:c r="U801" t="inlineStr">
        <x:is>
          <x:t xml:space="preserve">https://suttacentral.net/an7.74</x:t>
        </x:is>
      </x:c>
      <x:c r="V801" t="inlineStr">
        <x:is>
          <x:t xml:space="preserve">Primary canonical source anchor — SuttaCentral</x:t>
        </x:is>
      </x:c>
      <x:c r="W801" t="inlineStr">
        <x:is>
          <x:t xml:space="preserve">Research paraphrase — NOT direct quote</x:t>
        </x:is>
      </x:c>
      <x:c r="X801" t="inlineStr">
        <x:is>
          <x:t xml:space="preserve">A/B - canonical source/theme verified; wording is Selflo research paraphrase</x:t>
        </x:is>
      </x:c>
      <x:c r="Y801" t="inlineStr">
        <x:is>
          <x:t xml:space="preserve">Source location verified. This row deliberately does not fabricate Pāḷi. Before direct quotation, retrieve and verify exact Pāḷi segment.</x:t>
        </x:is>
      </x:c>
      <x:c r="Z801" t="inlineStr">
        <x:is>
          <x:t xml:space="preserve">Ancient canonical text public domain; modern translations have separate rights</x:t>
        </x:is>
      </x:c>
      <x:c r="AA801" t="inlineStr">
        <x:is>
          <x:t xml:space="preserve">Vietnamese wording is fresh Selflo working paraphrase; do not copy modern copyrighted translations.</x:t>
        </x:is>
      </x:c>
      <x:c r="AB801" t="inlineStr">
        <x:is>
          <x:t xml:space="preserve">High</x:t>
        </x:is>
      </x:c>
      <x:c r="AC801" t="inlineStr">
        <x:is>
          <x:t xml:space="preserve">Day 13 collection candidate; not Release-approved.</x:t>
        </x:is>
      </x:c>
      <x:c r="AD801" t="inlineStr">
        <x:is>
          <x:t xml:space="preserve">Medium — canonical religious context requires editorial care</x:t>
        </x:is>
      </x:c>
      <x:c r="AE801" t="inlineStr">
        <x:is>
          <x:t xml:space="preserve">Needs semantic dedupe against Days 11–12</x:t>
        </x:is>
      </x:c>
      <x:c r="AF801" t="inlineStr">
        <x:is>
          <x:t xml:space="preserve"/>
        </x:is>
      </x:c>
      <x:c r="AG801" t="inlineStr">
        <x:is>
          <x:t xml:space="preserve"/>
        </x:is>
      </x:c>
      <x:c r="AH801" t="inlineStr">
        <x:is>
          <x:t xml:space="preserve">No</x:t>
        </x:is>
      </x:c>
      <x:c r="AI801" t="inlineStr">
        <x:is>
          <x:t xml:space="preserve">Not reviewed</x:t>
        </x:is>
      </x:c>
      <x:c r="AJ801" t="inlineStr">
        <x:is>
          <x:t xml:space="preserve">Research only</x:t>
        </x:is>
      </x:c>
      <x:c r="AK801" t="inlineStr">
        <x:is>
          <x:t xml:space="preserve">Research Pool</x:t>
        </x:is>
      </x:c>
      <x:c r="AL801" t="n">
        <x:v>13</x:v>
      </x:c>
      <x:c r="AM801" t="inlineStr">
        <x:is>
          <x:t xml:space="preserve">ChatGPT research</x:t>
        </x:is>
      </x:c>
      <x:c r="AN801" t="inlineStr">
        <x:is>
          <x:t xml:space="preserve">2026-09-18</x:t>
        </x:is>
      </x:c>
      <x:c r="AO801" t="inlineStr">
        <x:is>
          <x:t xml:space="preserve">Day 13 selected SN/AN. Strongest unique lanes: second-arrow distinction, conditions/context, epistemic judgment, knowledge relevance.</x:t>
        </x:is>
      </x:c>
    </x:row>
    <x:row r="802">
      <x:c r="A802" t="inlineStr">
        <x:is>
          <x:t xml:space="preserve">research.nikaya.day13.an7_74_02</x:t>
        </x:is>
      </x:c>
      <x:c r="B802" t="inlineStr">
        <x:is>
          <x:t xml:space="preserve">Collected</x:t>
        </x:is>
      </x:c>
      <x:c r="C802" t="inlineStr">
        <x:is>
          <x:t xml:space="preserve">Nội tâm &amp; hiểu mình</x:t>
        </x:is>
      </x:c>
      <x:c r="D802" t="inlineStr">
        <x:is>
          <x:t xml:space="preserve">Day 13 / Saṁyutta + Aṅguttara Nikāya — selected suttas</x:t>
        </x:is>
      </x:c>
      <x:c r="E802" t="inlineStr">
        <x:is>
          <x:t xml:space="preserve"/>
        </x:is>
      </x:c>
      <x:c r="F802" t="inlineStr">
        <x:is>
          <x:t xml:space="preserve">Finite time</x:t>
        </x:is>
      </x:c>
      <x:c r="G802" t="inlineStr">
        <x:is>
          <x:t xml:space="preserve">Time / Values</x:t>
        </x:is>
      </x:c>
      <x:c r="H802" t="inlineStr">
        <x:is>
          <x:t xml:space="preserve"/>
        </x:is>
      </x:c>
      <x:c r="I802" t="inlineStr">
        <x:is>
          <x:t xml:space="preserve"/>
        </x:is>
      </x:c>
      <x:c r="J802" t="inlineStr">
        <x:is>
          <x:t xml:space="preserve"/>
        </x:is>
      </x:c>
      <x:c r="K802" t="inlineStr">
        <x:is>
          <x:t xml:space="preserve">Reframe</x:t>
        </x:is>
      </x:c>
      <x:c r="L802" t="inlineStr">
        <x:is>
          <x:t xml:space="preserve"/>
        </x:is>
      </x:c>
      <x:c r="M802" t="inlineStr">
        <x:is>
          <x:t xml:space="preserve">Source-anchored research paraphrase</x:t>
        </x:is>
      </x:c>
      <x:c r="N802" t="inlineStr">
        <x:is>
          <x:t xml:space="preserve">[Exact Pāḷi not copied in this row; verify passage-level Pāḷi before direct-quote Release]</x:t>
        </x:is>
      </x:c>
      <x:c r="O802" t="inlineStr">
        <x:is>
          <x:t xml:space="preserve">Pāḷi source / Vietnamese research paraphrase</x:t>
        </x:is>
      </x:c>
      <x:c r="P802" t="inlineStr">
        <x:is>
          <x:t xml:space="preserve">Giọt sương và bong bóng là những hình ảnh cho một đời sống không đứng yên đủ lâu để mình có thể trì hoãn mọi điều quan trọng mãi mãi.</x:t>
        </x:is>
      </x:c>
      <x:c r="Q802" t="inlineStr">
        <x:is>
          <x:t xml:space="preserve">Saṁyutta/Aṅguttara Nikāya — Early Buddhist Pāḷi tradition</x:t>
        </x:is>
      </x:c>
      <x:c r="R802" t="inlineStr">
        <x:is>
          <x:t xml:space="preserve">Early Buddhist / Pāḷi tradition</x:t>
        </x:is>
      </x:c>
      <x:c r="S802" t="inlineStr">
        <x:is>
          <x:t xml:space="preserve">AN 7.74 Arakasutta</x:t>
        </x:is>
      </x:c>
      <x:c r="T802" t="inlineStr">
        <x:is>
          <x:t xml:space="preserve">Dewdrop / bubble images</x:t>
        </x:is>
      </x:c>
      <x:c r="U802" t="inlineStr">
        <x:is>
          <x:t xml:space="preserve">https://suttacentral.net/an7.74</x:t>
        </x:is>
      </x:c>
      <x:c r="V802" t="inlineStr">
        <x:is>
          <x:t xml:space="preserve">Primary canonical source anchor — SuttaCentral</x:t>
        </x:is>
      </x:c>
      <x:c r="W802" t="inlineStr">
        <x:is>
          <x:t xml:space="preserve">Research paraphrase — NOT direct quote</x:t>
        </x:is>
      </x:c>
      <x:c r="X802" t="inlineStr">
        <x:is>
          <x:t xml:space="preserve">A/B - canonical source/theme verified; wording is Selflo research paraphrase</x:t>
        </x:is>
      </x:c>
      <x:c r="Y802" t="inlineStr">
        <x:is>
          <x:t xml:space="preserve">Source location verified. This row deliberately does not fabricate Pāḷi. Before direct quotation, retrieve and verify exact Pāḷi segment.</x:t>
        </x:is>
      </x:c>
      <x:c r="Z802" t="inlineStr">
        <x:is>
          <x:t xml:space="preserve">Ancient canonical text public domain; modern translations have separate rights</x:t>
        </x:is>
      </x:c>
      <x:c r="AA802" t="inlineStr">
        <x:is>
          <x:t xml:space="preserve">Vietnamese wording is fresh Selflo working paraphrase; do not copy modern copyrighted translations.</x:t>
        </x:is>
      </x:c>
      <x:c r="AB802" t="inlineStr">
        <x:is>
          <x:t xml:space="preserve">Medium</x:t>
        </x:is>
      </x:c>
      <x:c r="AC802" t="inlineStr">
        <x:is>
          <x:t xml:space="preserve">Day 13 collection candidate; not Release-approved.</x:t>
        </x:is>
      </x:c>
      <x:c r="AD802" t="inlineStr">
        <x:is>
          <x:t xml:space="preserve">Medium — canonical religious context requires editorial care</x:t>
        </x:is>
      </x:c>
      <x:c r="AE802" t="inlineStr">
        <x:is>
          <x:t xml:space="preserve">Needs semantic dedupe against Days 11–12</x:t>
        </x:is>
      </x:c>
      <x:c r="AF802" t="inlineStr">
        <x:is>
          <x:t xml:space="preserve"/>
        </x:is>
      </x:c>
      <x:c r="AG802" t="inlineStr">
        <x:is>
          <x:t xml:space="preserve"/>
        </x:is>
      </x:c>
      <x:c r="AH802" t="inlineStr">
        <x:is>
          <x:t xml:space="preserve">No</x:t>
        </x:is>
      </x:c>
      <x:c r="AI802" t="inlineStr">
        <x:is>
          <x:t xml:space="preserve">Not reviewed</x:t>
        </x:is>
      </x:c>
      <x:c r="AJ802" t="inlineStr">
        <x:is>
          <x:t xml:space="preserve">Research only</x:t>
        </x:is>
      </x:c>
      <x:c r="AK802" t="inlineStr">
        <x:is>
          <x:t xml:space="preserve">Research Pool</x:t>
        </x:is>
      </x:c>
      <x:c r="AL802" t="n">
        <x:v>13</x:v>
      </x:c>
      <x:c r="AM802" t="inlineStr">
        <x:is>
          <x:t xml:space="preserve">ChatGPT research</x:t>
        </x:is>
      </x:c>
      <x:c r="AN802" t="inlineStr">
        <x:is>
          <x:t xml:space="preserve">2026-09-18</x:t>
        </x:is>
      </x:c>
      <x:c r="AO802" t="inlineStr">
        <x:is>
          <x:t xml:space="preserve">Day 13 selected SN/AN. Strongest unique lanes: second-arrow distinction, conditions/context, epistemic judgment, knowledge relevance.</x:t>
        </x:is>
      </x:c>
    </x:row>
    <x:row r="803">
      <x:c r="A803" t="inlineStr">
        <x:is>
          <x:t xml:space="preserve">research.nikaya.day13.an8_6_01</x:t>
        </x:is>
      </x:c>
      <x:c r="B803" t="inlineStr">
        <x:is>
          <x:t xml:space="preserve">Collected</x:t>
        </x:is>
      </x:c>
      <x:c r="C803" t="inlineStr">
        <x:is>
          <x:t xml:space="preserve">Nội tâm &amp; hiểu mình</x:t>
        </x:is>
      </x:c>
      <x:c r="D803" t="inlineStr">
        <x:is>
          <x:t xml:space="preserve">Day 13 / Saṁyutta + Aṅguttara Nikāya — selected suttas</x:t>
        </x:is>
      </x:c>
      <x:c r="E803" t="inlineStr">
        <x:is>
          <x:t xml:space="preserve"/>
        </x:is>
      </x:c>
      <x:c r="F803" t="inlineStr">
        <x:is>
          <x:t xml:space="preserve">Worldly ups and downs</x:t>
        </x:is>
      </x:c>
      <x:c r="G803" t="inlineStr">
        <x:is>
          <x:t xml:space="preserve">External validation / Change</x:t>
        </x:is>
      </x:c>
      <x:c r="H803" t="inlineStr">
        <x:is>
          <x:t xml:space="preserve"/>
        </x:is>
      </x:c>
      <x:c r="I803" t="inlineStr">
        <x:is>
          <x:t xml:space="preserve"/>
        </x:is>
      </x:c>
      <x:c r="J803" t="inlineStr">
        <x:is>
          <x:t xml:space="preserve"/>
        </x:is>
      </x:c>
      <x:c r="K803" t="inlineStr">
        <x:is>
          <x:t xml:space="preserve">Normalize</x:t>
        </x:is>
      </x:c>
      <x:c r="L803" t="inlineStr">
        <x:is>
          <x:t xml:space="preserve"/>
        </x:is>
      </x:c>
      <x:c r="M803" t="inlineStr">
        <x:is>
          <x:t xml:space="preserve">Source-anchored research paraphrase</x:t>
        </x:is>
      </x:c>
      <x:c r="N803" t="inlineStr">
        <x:is>
          <x:t xml:space="preserve">[Exact Pāḷi not copied in this row; verify passage-level Pāḷi before direct-quote Release]</x:t>
        </x:is>
      </x:c>
      <x:c r="O803" t="inlineStr">
        <x:is>
          <x:t xml:space="preserve">Pāḷi source / Vietnamese research paraphrase</x:t>
        </x:is>
      </x:c>
      <x:c r="P803" t="inlineStr">
        <x:is>
          <x:t xml:space="preserve">Được và mất, danh tiếng và tai tiếng, khen và chê, dễ chịu và đau đớn đều là những điều con người gặp; không cặp nào ở yên mãi.</x:t>
        </x:is>
      </x:c>
      <x:c r="Q803" t="inlineStr">
        <x:is>
          <x:t xml:space="preserve">Saṁyutta/Aṅguttara Nikāya — Early Buddhist Pāḷi tradition</x:t>
        </x:is>
      </x:c>
      <x:c r="R803" t="inlineStr">
        <x:is>
          <x:t xml:space="preserve">Early Buddhist / Pāḷi tradition</x:t>
        </x:is>
      </x:c>
      <x:c r="S803" t="inlineStr">
        <x:is>
          <x:t xml:space="preserve">AN 8.6 Lokavipattisutta</x:t>
        </x:is>
      </x:c>
      <x:c r="T803" t="inlineStr">
        <x:is>
          <x:t xml:space="preserve">Eight worldly conditions</x:t>
        </x:is>
      </x:c>
      <x:c r="U803" t="inlineStr">
        <x:is>
          <x:t xml:space="preserve">https://suttacentral.net/an8.6</x:t>
        </x:is>
      </x:c>
      <x:c r="V803" t="inlineStr">
        <x:is>
          <x:t xml:space="preserve">Primary canonical source anchor — SuttaCentral</x:t>
        </x:is>
      </x:c>
      <x:c r="W803" t="inlineStr">
        <x:is>
          <x:t xml:space="preserve">Research paraphrase — NOT direct quote</x:t>
        </x:is>
      </x:c>
      <x:c r="X803" t="inlineStr">
        <x:is>
          <x:t xml:space="preserve">A/B - canonical source/theme verified; wording is Selflo research paraphrase</x:t>
        </x:is>
      </x:c>
      <x:c r="Y803" t="inlineStr">
        <x:is>
          <x:t xml:space="preserve">Source location verified. This row deliberately does not fabricate Pāḷi. Before direct quotation, retrieve and verify exact Pāḷi segment.</x:t>
        </x:is>
      </x:c>
      <x:c r="Z803" t="inlineStr">
        <x:is>
          <x:t xml:space="preserve">Ancient canonical text public domain; modern translations have separate rights</x:t>
        </x:is>
      </x:c>
      <x:c r="AA803" t="inlineStr">
        <x:is>
          <x:t xml:space="preserve">Vietnamese wording is fresh Selflo working paraphrase; do not copy modern copyrighted translations.</x:t>
        </x:is>
      </x:c>
      <x:c r="AB803" t="inlineStr">
        <x:is>
          <x:t xml:space="preserve">High</x:t>
        </x:is>
      </x:c>
      <x:c r="AC803" t="inlineStr">
        <x:is>
          <x:t xml:space="preserve">Day 13 collection candidate; not Release-approved.</x:t>
        </x:is>
      </x:c>
      <x:c r="AD803" t="inlineStr">
        <x:is>
          <x:t xml:space="preserve">Medium — canonical religious context requires editorial care</x:t>
        </x:is>
      </x:c>
      <x:c r="AE803" t="inlineStr">
        <x:is>
          <x:t xml:space="preserve">Needs semantic dedupe against Days 11–12</x:t>
        </x:is>
      </x:c>
      <x:c r="AF803" t="inlineStr">
        <x:is>
          <x:t xml:space="preserve"/>
        </x:is>
      </x:c>
      <x:c r="AG803" t="inlineStr">
        <x:is>
          <x:t xml:space="preserve"/>
        </x:is>
      </x:c>
      <x:c r="AH803" t="inlineStr">
        <x:is>
          <x:t xml:space="preserve">No</x:t>
        </x:is>
      </x:c>
      <x:c r="AI803" t="inlineStr">
        <x:is>
          <x:t xml:space="preserve">Not reviewed</x:t>
        </x:is>
      </x:c>
      <x:c r="AJ803" t="inlineStr">
        <x:is>
          <x:t xml:space="preserve">Research only</x:t>
        </x:is>
      </x:c>
      <x:c r="AK803" t="inlineStr">
        <x:is>
          <x:t xml:space="preserve">Research Pool</x:t>
        </x:is>
      </x:c>
      <x:c r="AL803" t="n">
        <x:v>13</x:v>
      </x:c>
      <x:c r="AM803" t="inlineStr">
        <x:is>
          <x:t xml:space="preserve">ChatGPT research</x:t>
        </x:is>
      </x:c>
      <x:c r="AN803" t="inlineStr">
        <x:is>
          <x:t xml:space="preserve">2026-09-18</x:t>
        </x:is>
      </x:c>
      <x:c r="AO803" t="inlineStr">
        <x:is>
          <x:t xml:space="preserve">Day 13 selected SN/AN. Strongest unique lanes: second-arrow distinction, conditions/context, epistemic judgment, knowledge relevance.</x:t>
        </x:is>
      </x:c>
    </x:row>
    <x:row r="804">
      <x:c r="A804" t="inlineStr">
        <x:is>
          <x:t xml:space="preserve">research.nikaya.day13.an8_6_02</x:t>
        </x:is>
      </x:c>
      <x:c r="B804" t="inlineStr">
        <x:is>
          <x:t xml:space="preserve">Collected</x:t>
        </x:is>
      </x:c>
      <x:c r="C804" t="inlineStr">
        <x:is>
          <x:t xml:space="preserve">Nội tâm &amp; hiểu mình</x:t>
        </x:is>
      </x:c>
      <x:c r="D804" t="inlineStr">
        <x:is>
          <x:t xml:space="preserve">Day 13 / Saṁyutta + Aṅguttara Nikāya — selected suttas</x:t>
        </x:is>
      </x:c>
      <x:c r="E804" t="inlineStr">
        <x:is>
          <x:t xml:space="preserve"/>
        </x:is>
      </x:c>
      <x:c r="F804" t="inlineStr">
        <x:is>
          <x:t xml:space="preserve">Event ≠ self-worth</x:t>
        </x:is>
      </x:c>
      <x:c r="G804" t="inlineStr">
        <x:is>
          <x:t xml:space="preserve">Self-worth / Impermanence</x:t>
        </x:is>
      </x:c>
      <x:c r="H804" t="inlineStr">
        <x:is>
          <x:t xml:space="preserve"/>
        </x:is>
      </x:c>
      <x:c r="I804" t="inlineStr">
        <x:is>
          <x:t xml:space="preserve"/>
        </x:is>
      </x:c>
      <x:c r="J804" t="inlineStr">
        <x:is>
          <x:t xml:space="preserve"/>
        </x:is>
      </x:c>
      <x:c r="K804" t="inlineStr">
        <x:is>
          <x:t xml:space="preserve">Reframe</x:t>
        </x:is>
      </x:c>
      <x:c r="L804" t="inlineStr">
        <x:is>
          <x:t xml:space="preserve"/>
        </x:is>
      </x:c>
      <x:c r="M804" t="inlineStr">
        <x:is>
          <x:t xml:space="preserve">Source-anchored research paraphrase</x:t>
        </x:is>
      </x:c>
      <x:c r="N804" t="inlineStr">
        <x:is>
          <x:t xml:space="preserve">[Exact Pāḷi not copied in this row; verify passage-level Pāḷi before direct-quote Release]</x:t>
        </x:is>
      </x:c>
      <x:c r="O804" t="inlineStr">
        <x:is>
          <x:t xml:space="preserve">Pāḷi source / Vietnamese research paraphrase</x:t>
        </x:is>
      </x:c>
      <x:c r="P804" t="inlineStr">
        <x:is>
          <x:t xml:space="preserve">Một trải nghiệm dễ chịu hay khó chịu có thể được nhìn như điều đang sinh và đang đổi, thay vì bằng chứng cuối cùng về giá trị của mình.</x:t>
        </x:is>
      </x:c>
      <x:c r="Q804" t="inlineStr">
        <x:is>
          <x:t xml:space="preserve">Saṁyutta/Aṅguttara Nikāya — Early Buddhist Pāḷi tradition</x:t>
        </x:is>
      </x:c>
      <x:c r="R804" t="inlineStr">
        <x:is>
          <x:t xml:space="preserve">Early Buddhist / Pāḷi tradition</x:t>
        </x:is>
      </x:c>
      <x:c r="S804" t="inlineStr">
        <x:is>
          <x:t xml:space="preserve">AN 8.6 Lokavipattisutta</x:t>
        </x:is>
      </x:c>
      <x:c r="T804" t="inlineStr">
        <x:is>
          <x:t xml:space="preserve">Observe arising and passing</x:t>
        </x:is>
      </x:c>
      <x:c r="U804" t="inlineStr">
        <x:is>
          <x:t xml:space="preserve">https://suttacentral.net/an8.6</x:t>
        </x:is>
      </x:c>
      <x:c r="V804" t="inlineStr">
        <x:is>
          <x:t xml:space="preserve">Primary canonical source anchor — SuttaCentral</x:t>
        </x:is>
      </x:c>
      <x:c r="W804" t="inlineStr">
        <x:is>
          <x:t xml:space="preserve">Research paraphrase — NOT direct quote</x:t>
        </x:is>
      </x:c>
      <x:c r="X804" t="inlineStr">
        <x:is>
          <x:t xml:space="preserve">A/B - canonical source/theme verified; wording is Selflo research paraphrase</x:t>
        </x:is>
      </x:c>
      <x:c r="Y804" t="inlineStr">
        <x:is>
          <x:t xml:space="preserve">Source location verified. This row deliberately does not fabricate Pāḷi. Before direct quotation, retrieve and verify exact Pāḷi segment.</x:t>
        </x:is>
      </x:c>
      <x:c r="Z804" t="inlineStr">
        <x:is>
          <x:t xml:space="preserve">Ancient canonical text public domain; modern translations have separate rights</x:t>
        </x:is>
      </x:c>
      <x:c r="AA804" t="inlineStr">
        <x:is>
          <x:t xml:space="preserve">Vietnamese wording is fresh Selflo working paraphrase; do not copy modern copyrighted translations.</x:t>
        </x:is>
      </x:c>
      <x:c r="AB804" t="inlineStr">
        <x:is>
          <x:t xml:space="preserve">High</x:t>
        </x:is>
      </x:c>
      <x:c r="AC804" t="inlineStr">
        <x:is>
          <x:t xml:space="preserve">Day 13 collection candidate; not Release-approved.</x:t>
        </x:is>
      </x:c>
      <x:c r="AD804" t="inlineStr">
        <x:is>
          <x:t xml:space="preserve">Medium — canonical religious context requires editorial care</x:t>
        </x:is>
      </x:c>
      <x:c r="AE804" t="inlineStr">
        <x:is>
          <x:t xml:space="preserve">Needs semantic dedupe against Days 11–12</x:t>
        </x:is>
      </x:c>
      <x:c r="AF804" t="inlineStr">
        <x:is>
          <x:t xml:space="preserve"/>
        </x:is>
      </x:c>
      <x:c r="AG804" t="inlineStr">
        <x:is>
          <x:t xml:space="preserve"/>
        </x:is>
      </x:c>
      <x:c r="AH804" t="inlineStr">
        <x:is>
          <x:t xml:space="preserve">No</x:t>
        </x:is>
      </x:c>
      <x:c r="AI804" t="inlineStr">
        <x:is>
          <x:t xml:space="preserve">Not reviewed</x:t>
        </x:is>
      </x:c>
      <x:c r="AJ804" t="inlineStr">
        <x:is>
          <x:t xml:space="preserve">Research only</x:t>
        </x:is>
      </x:c>
      <x:c r="AK804" t="inlineStr">
        <x:is>
          <x:t xml:space="preserve">Research Pool</x:t>
        </x:is>
      </x:c>
      <x:c r="AL804" t="n">
        <x:v>13</x:v>
      </x:c>
      <x:c r="AM804" t="inlineStr">
        <x:is>
          <x:t xml:space="preserve">ChatGPT research</x:t>
        </x:is>
      </x:c>
      <x:c r="AN804" t="inlineStr">
        <x:is>
          <x:t xml:space="preserve">2026-09-18</x:t>
        </x:is>
      </x:c>
      <x:c r="AO804" t="inlineStr">
        <x:is>
          <x:t xml:space="preserve">Day 13 selected SN/AN. Strongest unique lanes: second-arrow distinction, conditions/context, epistemic judgment, knowledge relevance.</x:t>
        </x:is>
      </x:c>
    </x:row>
    <x:row r="805">
      <x:c r="A805" t="inlineStr">
        <x:is>
          <x:t xml:space="preserve">research.nikaya.day13.an10_60_01</x:t>
        </x:is>
      </x:c>
      <x:c r="B805" t="inlineStr">
        <x:is>
          <x:t xml:space="preserve">Collected</x:t>
        </x:is>
      </x:c>
      <x:c r="C805" t="inlineStr">
        <x:is>
          <x:t xml:space="preserve">Nội tâm &amp; hiểu mình</x:t>
        </x:is>
      </x:c>
      <x:c r="D805" t="inlineStr">
        <x:is>
          <x:t xml:space="preserve">Day 13 / Saṁyutta + Aṅguttara Nikāya — selected suttas</x:t>
        </x:is>
      </x:c>
      <x:c r="E805" t="inlineStr">
        <x:is>
          <x:t xml:space="preserve"/>
        </x:is>
      </x:c>
      <x:c r="F805" t="inlineStr">
        <x:is>
          <x:t xml:space="preserve">Multiple lenses</x:t>
        </x:is>
      </x:c>
      <x:c r="G805" t="inlineStr">
        <x:is>
          <x:t xml:space="preserve">Self-understanding / Flexibility</x:t>
        </x:is>
      </x:c>
      <x:c r="H805" t="inlineStr">
        <x:is>
          <x:t xml:space="preserve"/>
        </x:is>
      </x:c>
      <x:c r="I805" t="inlineStr">
        <x:is>
          <x:t xml:space="preserve"/>
        </x:is>
      </x:c>
      <x:c r="J805" t="inlineStr">
        <x:is>
          <x:t xml:space="preserve"/>
        </x:is>
      </x:c>
      <x:c r="K805" t="inlineStr">
        <x:is>
          <x:t xml:space="preserve">Reframe</x:t>
        </x:is>
      </x:c>
      <x:c r="L805" t="inlineStr">
        <x:is>
          <x:t xml:space="preserve"/>
        </x:is>
      </x:c>
      <x:c r="M805" t="inlineStr">
        <x:is>
          <x:t xml:space="preserve">Source-anchored research paraphrase</x:t>
        </x:is>
      </x:c>
      <x:c r="N805" t="inlineStr">
        <x:is>
          <x:t xml:space="preserve">[Exact Pāḷi not copied in this row; verify passage-level Pāḷi before direct-quote Release]</x:t>
        </x:is>
      </x:c>
      <x:c r="O805" t="inlineStr">
        <x:is>
          <x:t xml:space="preserve">Pāḷi source / Vietnamese research paraphrase</x:t>
        </x:is>
      </x:c>
      <x:c r="P805" t="inlineStr">
        <x:is>
          <x:t xml:space="preserve">Bài kinh tập hợp nhiều cách nhìn—về vô thường, không bám chấp, buông bỏ, hơi thở—như những lens khác nhau chứ không phải một câu trả lời duy nhất cho mọi trạng thái.</x:t>
        </x:is>
      </x:c>
      <x:c r="Q805" t="inlineStr">
        <x:is>
          <x:t xml:space="preserve">Saṁyutta/Aṅguttara Nikāya — Early Buddhist Pāḷi tradition</x:t>
        </x:is>
      </x:c>
      <x:c r="R805" t="inlineStr">
        <x:is>
          <x:t xml:space="preserve">Early Buddhist / Pāḷi tradition</x:t>
        </x:is>
      </x:c>
      <x:c r="S805" t="inlineStr">
        <x:is>
          <x:t xml:space="preserve">AN 10.60 Girimānandasutta</x:t>
        </x:is>
      </x:c>
      <x:c r="T805" t="inlineStr">
        <x:is>
          <x:t xml:space="preserve">Perceptions as lenses</x:t>
        </x:is>
      </x:c>
      <x:c r="U805" t="inlineStr">
        <x:is>
          <x:t xml:space="preserve">https://suttacentral.net/an10.60</x:t>
        </x:is>
      </x:c>
      <x:c r="V805" t="inlineStr">
        <x:is>
          <x:t xml:space="preserve">Primary canonical source anchor — SuttaCentral</x:t>
        </x:is>
      </x:c>
      <x:c r="W805" t="inlineStr">
        <x:is>
          <x:t xml:space="preserve">Research paraphrase — NOT direct quote</x:t>
        </x:is>
      </x:c>
      <x:c r="X805" t="inlineStr">
        <x:is>
          <x:t xml:space="preserve">A/B - canonical source/theme verified; wording is Selflo research paraphrase</x:t>
        </x:is>
      </x:c>
      <x:c r="Y805" t="inlineStr">
        <x:is>
          <x:t xml:space="preserve">Source location verified. This row deliberately does not fabricate Pāḷi. Before direct quotation, retrieve and verify exact Pāḷi segment.</x:t>
        </x:is>
      </x:c>
      <x:c r="Z805" t="inlineStr">
        <x:is>
          <x:t xml:space="preserve">Ancient canonical text public domain; modern translations have separate rights</x:t>
        </x:is>
      </x:c>
      <x:c r="AA805" t="inlineStr">
        <x:is>
          <x:t xml:space="preserve">Vietnamese wording is fresh Selflo working paraphrase; do not copy modern copyrighted translations.</x:t>
        </x:is>
      </x:c>
      <x:c r="AB805" t="inlineStr">
        <x:is>
          <x:t xml:space="preserve">High</x:t>
        </x:is>
      </x:c>
      <x:c r="AC805" t="inlineStr">
        <x:is>
          <x:t xml:space="preserve">Day 13 collection candidate; not Release-approved.</x:t>
        </x:is>
      </x:c>
      <x:c r="AD805" t="inlineStr">
        <x:is>
          <x:t xml:space="preserve">Medium — canonical religious context requires editorial care</x:t>
        </x:is>
      </x:c>
      <x:c r="AE805" t="inlineStr">
        <x:is>
          <x:t xml:space="preserve">Needs semantic dedupe against Days 11–12</x:t>
        </x:is>
      </x:c>
      <x:c r="AF805" t="inlineStr">
        <x:is>
          <x:t xml:space="preserve"/>
        </x:is>
      </x:c>
      <x:c r="AG805" t="inlineStr">
        <x:is>
          <x:t xml:space="preserve"/>
        </x:is>
      </x:c>
      <x:c r="AH805" t="inlineStr">
        <x:is>
          <x:t xml:space="preserve">No</x:t>
        </x:is>
      </x:c>
      <x:c r="AI805" t="inlineStr">
        <x:is>
          <x:t xml:space="preserve">Not reviewed</x:t>
        </x:is>
      </x:c>
      <x:c r="AJ805" t="inlineStr">
        <x:is>
          <x:t xml:space="preserve">Research only</x:t>
        </x:is>
      </x:c>
      <x:c r="AK805" t="inlineStr">
        <x:is>
          <x:t xml:space="preserve">Research Pool</x:t>
        </x:is>
      </x:c>
      <x:c r="AL805" t="n">
        <x:v>13</x:v>
      </x:c>
      <x:c r="AM805" t="inlineStr">
        <x:is>
          <x:t xml:space="preserve">ChatGPT research</x:t>
        </x:is>
      </x:c>
      <x:c r="AN805" t="inlineStr">
        <x:is>
          <x:t xml:space="preserve">2026-09-18</x:t>
        </x:is>
      </x:c>
      <x:c r="AO805" t="inlineStr">
        <x:is>
          <x:t xml:space="preserve">Day 13 selected SN/AN. Strongest unique lanes: second-arrow distinction, conditions/context, epistemic judgment, knowledge relevance.</x:t>
        </x:is>
      </x:c>
    </x:row>
    <x:row r="806">
      <x:c r="A806" t="inlineStr">
        <x:is>
          <x:t xml:space="preserve">research.nikaya.day13.an10_60_02</x:t>
        </x:is>
      </x:c>
      <x:c r="B806" t="inlineStr">
        <x:is>
          <x:t xml:space="preserve">Collected</x:t>
        </x:is>
      </x:c>
      <x:c r="C806" t="inlineStr">
        <x:is>
          <x:t xml:space="preserve">Nội tâm &amp; hiểu mình</x:t>
        </x:is>
      </x:c>
      <x:c r="D806" t="inlineStr">
        <x:is>
          <x:t xml:space="preserve">Day 13 / Saṁyutta + Aṅguttara Nikāya — selected suttas</x:t>
        </x:is>
      </x:c>
      <x:c r="E806" t="inlineStr">
        <x:is>
          <x:t xml:space="preserve"/>
        </x:is>
      </x:c>
      <x:c r="F806" t="inlineStr">
        <x:is>
          <x:t xml:space="preserve">Grounding without denial</x:t>
        </x:is>
      </x:c>
      <x:c r="G806" t="inlineStr">
        <x:is>
          <x:t xml:space="preserve">Attention / Recovery</x:t>
        </x:is>
      </x:c>
      <x:c r="H806" t="inlineStr">
        <x:is>
          <x:t xml:space="preserve"/>
        </x:is>
      </x:c>
      <x:c r="I806" t="inlineStr">
        <x:is>
          <x:t xml:space="preserve"/>
        </x:is>
      </x:c>
      <x:c r="J806" t="inlineStr">
        <x:is>
          <x:t xml:space="preserve"/>
        </x:is>
      </x:c>
      <x:c r="K806" t="inlineStr">
        <x:is>
          <x:t xml:space="preserve">Permit</x:t>
        </x:is>
      </x:c>
      <x:c r="L806" t="inlineStr">
        <x:is>
          <x:t xml:space="preserve"/>
        </x:is>
      </x:c>
      <x:c r="M806" t="inlineStr">
        <x:is>
          <x:t xml:space="preserve">Source-anchored research paraphrase</x:t>
        </x:is>
      </x:c>
      <x:c r="N806" t="inlineStr">
        <x:is>
          <x:t xml:space="preserve">[Exact Pāḷi not copied in this row; verify passage-level Pāḷi before direct-quote Release]</x:t>
        </x:is>
      </x:c>
      <x:c r="O806" t="inlineStr">
        <x:is>
          <x:t xml:space="preserve">Pāḷi source / Vietnamese research paraphrase</x:t>
        </x:is>
      </x:c>
      <x:c r="P806" t="inlineStr">
        <x:is>
          <x:t xml:space="preserve">Quay lại hơi thở trong bài kinh không nhằm chứng minh mọi vấn đề đã biến mất; nó tạo một điểm để quan sát điều đang có mặt.</x:t>
        </x:is>
      </x:c>
      <x:c r="Q806" t="inlineStr">
        <x:is>
          <x:t xml:space="preserve">Saṁyutta/Aṅguttara Nikāya — Early Buddhist Pāḷi tradition</x:t>
        </x:is>
      </x:c>
      <x:c r="R806" t="inlineStr">
        <x:is>
          <x:t xml:space="preserve">Early Buddhist / Pāḷi tradition</x:t>
        </x:is>
      </x:c>
      <x:c r="S806" t="inlineStr">
        <x:is>
          <x:t xml:space="preserve">AN 10.60 Girimānandasutta</x:t>
        </x:is>
      </x:c>
      <x:c r="T806" t="inlineStr">
        <x:is>
          <x:t xml:space="preserve">Breathing and observation</x:t>
        </x:is>
      </x:c>
      <x:c r="U806" t="inlineStr">
        <x:is>
          <x:t xml:space="preserve">https://suttacentral.net/an10.60</x:t>
        </x:is>
      </x:c>
      <x:c r="V806" t="inlineStr">
        <x:is>
          <x:t xml:space="preserve">Primary canonical source anchor — SuttaCentral</x:t>
        </x:is>
      </x:c>
      <x:c r="W806" t="inlineStr">
        <x:is>
          <x:t xml:space="preserve">Research paraphrase — NOT direct quote</x:t>
        </x:is>
      </x:c>
      <x:c r="X806" t="inlineStr">
        <x:is>
          <x:t xml:space="preserve">A/B - canonical source/theme verified; wording is Selflo research paraphrase</x:t>
        </x:is>
      </x:c>
      <x:c r="Y806" t="inlineStr">
        <x:is>
          <x:t xml:space="preserve">Source location verified. This row deliberately does not fabricate Pāḷi. Before direct quotation, retrieve and verify exact Pāḷi segment.</x:t>
        </x:is>
      </x:c>
      <x:c r="Z806" t="inlineStr">
        <x:is>
          <x:t xml:space="preserve">Ancient canonical text public domain; modern translations have separate rights</x:t>
        </x:is>
      </x:c>
      <x:c r="AA806" t="inlineStr">
        <x:is>
          <x:t xml:space="preserve">Vietnamese wording is fresh Selflo working paraphrase; do not copy modern copyrighted translations.</x:t>
        </x:is>
      </x:c>
      <x:c r="AB806" t="inlineStr">
        <x:is>
          <x:t xml:space="preserve">High</x:t>
        </x:is>
      </x:c>
      <x:c r="AC806" t="inlineStr">
        <x:is>
          <x:t xml:space="preserve">Day 13 collection candidate; not Release-approved.</x:t>
        </x:is>
      </x:c>
      <x:c r="AD806" t="inlineStr">
        <x:is>
          <x:t xml:space="preserve">Medium — canonical religious context requires editorial care</x:t>
        </x:is>
      </x:c>
      <x:c r="AE806" t="inlineStr">
        <x:is>
          <x:t xml:space="preserve">Needs semantic dedupe against Days 11–12</x:t>
        </x:is>
      </x:c>
      <x:c r="AF806" t="inlineStr">
        <x:is>
          <x:t xml:space="preserve"/>
        </x:is>
      </x:c>
      <x:c r="AG806" t="inlineStr">
        <x:is>
          <x:t xml:space="preserve"/>
        </x:is>
      </x:c>
      <x:c r="AH806" t="inlineStr">
        <x:is>
          <x:t xml:space="preserve">No</x:t>
        </x:is>
      </x:c>
      <x:c r="AI806" t="inlineStr">
        <x:is>
          <x:t xml:space="preserve">Not reviewed</x:t>
        </x:is>
      </x:c>
      <x:c r="AJ806" t="inlineStr">
        <x:is>
          <x:t xml:space="preserve">Research only</x:t>
        </x:is>
      </x:c>
      <x:c r="AK806" t="inlineStr">
        <x:is>
          <x:t xml:space="preserve">Research Pool</x:t>
        </x:is>
      </x:c>
      <x:c r="AL806" t="n">
        <x:v>13</x:v>
      </x:c>
      <x:c r="AM806" t="inlineStr">
        <x:is>
          <x:t xml:space="preserve">ChatGPT research</x:t>
        </x:is>
      </x:c>
      <x:c r="AN806" t="inlineStr">
        <x:is>
          <x:t xml:space="preserve">2026-09-18</x:t>
        </x:is>
      </x:c>
      <x:c r="AO806" t="inlineStr">
        <x:is>
          <x:t xml:space="preserve">Day 13 selected SN/AN. Strongest unique lanes: second-arrow distinction, conditions/context, epistemic judgment, knowledge relevance.</x:t>
        </x:is>
      </x:c>
    </x:row>
    <x:row r="807">
      <x:c r="A807" t="inlineStr">
        <x:is>
          <x:t xml:space="preserve">research.nikaya.day13.an10_81_01</x:t>
        </x:is>
      </x:c>
      <x:c r="B807" t="inlineStr">
        <x:is>
          <x:t xml:space="preserve">Collected</x:t>
        </x:is>
      </x:c>
      <x:c r="C807" t="inlineStr">
        <x:is>
          <x:t xml:space="preserve">Nội tâm &amp; hiểu mình</x:t>
        </x:is>
      </x:c>
      <x:c r="D807" t="inlineStr">
        <x:is>
          <x:t xml:space="preserve">Day 13 / Saṁyutta + Aṅguttara Nikāya — selected suttas</x:t>
        </x:is>
      </x:c>
      <x:c r="E807" t="inlineStr">
        <x:is>
          <x:t xml:space="preserve"/>
        </x:is>
      </x:c>
      <x:c r="F807" t="inlineStr">
        <x:is>
          <x:t xml:space="preserve">Context without total identification</x:t>
        </x:is>
      </x:c>
      <x:c r="G807" t="inlineStr">
        <x:is>
          <x:t xml:space="preserve">Identity / Context</x:t>
        </x:is>
      </x:c>
      <x:c r="H807" t="inlineStr">
        <x:is>
          <x:t xml:space="preserve"/>
        </x:is>
      </x:c>
      <x:c r="I807" t="inlineStr">
        <x:is>
          <x:t xml:space="preserve"/>
        </x:is>
      </x:c>
      <x:c r="J807" t="inlineStr">
        <x:is>
          <x:t xml:space="preserve"/>
        </x:is>
      </x:c>
      <x:c r="K807" t="inlineStr">
        <x:is>
          <x:t xml:space="preserve">Reframe</x:t>
        </x:is>
      </x:c>
      <x:c r="L807" t="inlineStr">
        <x:is>
          <x:t xml:space="preserve"/>
        </x:is>
      </x:c>
      <x:c r="M807" t="inlineStr">
        <x:is>
          <x:t xml:space="preserve">Source-anchored research paraphrase</x:t>
        </x:is>
      </x:c>
      <x:c r="N807" t="inlineStr">
        <x:is>
          <x:t xml:space="preserve">[Exact Pāḷi not copied in this row; verify passage-level Pāḷi before direct-quote Release]</x:t>
        </x:is>
      </x:c>
      <x:c r="O807" t="inlineStr">
        <x:is>
          <x:t xml:space="preserve">Pāḷi source / Vietnamese research paraphrase</x:t>
        </x:is>
      </x:c>
      <x:c r="P807" t="inlineStr">
        <x:is>
          <x:t xml:space="preserve">Hình ảnh hoa sen ở trong nước mà không bị nước phủ kín gợi một khả năng: sống trong hoàn cảnh mà không để hoàn cảnh trở thành toàn bộ mình.</x:t>
        </x:is>
      </x:c>
      <x:c r="Q807" t="inlineStr">
        <x:is>
          <x:t xml:space="preserve">Saṁyutta/Aṅguttara Nikāya — Early Buddhist Pāḷi tradition</x:t>
        </x:is>
      </x:c>
      <x:c r="R807" t="inlineStr">
        <x:is>
          <x:t xml:space="preserve">Early Buddhist / Pāḷi tradition</x:t>
        </x:is>
      </x:c>
      <x:c r="S807" t="inlineStr">
        <x:is>
          <x:t xml:space="preserve">AN 10.81 Bāhunasutta</x:t>
        </x:is>
      </x:c>
      <x:c r="T807" t="inlineStr">
        <x:is>
          <x:t xml:space="preserve">Lotus and water</x:t>
        </x:is>
      </x:c>
      <x:c r="U807" t="inlineStr">
        <x:is>
          <x:t xml:space="preserve">https://suttacentral.net/an10.81</x:t>
        </x:is>
      </x:c>
      <x:c r="V807" t="inlineStr">
        <x:is>
          <x:t xml:space="preserve">Primary canonical source anchor — SuttaCentral</x:t>
        </x:is>
      </x:c>
      <x:c r="W807" t="inlineStr">
        <x:is>
          <x:t xml:space="preserve">Research paraphrase — NOT direct quote</x:t>
        </x:is>
      </x:c>
      <x:c r="X807" t="inlineStr">
        <x:is>
          <x:t xml:space="preserve">A/B - canonical source/theme verified; wording is Selflo research paraphrase</x:t>
        </x:is>
      </x:c>
      <x:c r="Y807" t="inlineStr">
        <x:is>
          <x:t xml:space="preserve">Source location verified. This row deliberately does not fabricate Pāḷi. Before direct quotation, retrieve and verify exact Pāḷi segment.</x:t>
        </x:is>
      </x:c>
      <x:c r="Z807" t="inlineStr">
        <x:is>
          <x:t xml:space="preserve">Ancient canonical text public domain; modern translations have separate rights</x:t>
        </x:is>
      </x:c>
      <x:c r="AA807" t="inlineStr">
        <x:is>
          <x:t xml:space="preserve">Vietnamese wording is fresh Selflo working paraphrase; do not copy modern copyrighted translations.</x:t>
        </x:is>
      </x:c>
      <x:c r="AB807" t="inlineStr">
        <x:is>
          <x:t xml:space="preserve">Medium</x:t>
        </x:is>
      </x:c>
      <x:c r="AC807" t="inlineStr">
        <x:is>
          <x:t xml:space="preserve">Day 13 collection candidate; not Release-approved.</x:t>
        </x:is>
      </x:c>
      <x:c r="AD807" t="inlineStr">
        <x:is>
          <x:t xml:space="preserve">Medium — canonical religious context requires editorial care</x:t>
        </x:is>
      </x:c>
      <x:c r="AE807" t="inlineStr">
        <x:is>
          <x:t xml:space="preserve">Needs semantic dedupe against Days 11–12</x:t>
        </x:is>
      </x:c>
      <x:c r="AF807" t="inlineStr">
        <x:is>
          <x:t xml:space="preserve"/>
        </x:is>
      </x:c>
      <x:c r="AG807" t="inlineStr">
        <x:is>
          <x:t xml:space="preserve"/>
        </x:is>
      </x:c>
      <x:c r="AH807" t="inlineStr">
        <x:is>
          <x:t xml:space="preserve">No</x:t>
        </x:is>
      </x:c>
      <x:c r="AI807" t="inlineStr">
        <x:is>
          <x:t xml:space="preserve">Not reviewed</x:t>
        </x:is>
      </x:c>
      <x:c r="AJ807" t="inlineStr">
        <x:is>
          <x:t xml:space="preserve">Research only</x:t>
        </x:is>
      </x:c>
      <x:c r="AK807" t="inlineStr">
        <x:is>
          <x:t xml:space="preserve">Research Pool</x:t>
        </x:is>
      </x:c>
      <x:c r="AL807" t="n">
        <x:v>13</x:v>
      </x:c>
      <x:c r="AM807" t="inlineStr">
        <x:is>
          <x:t xml:space="preserve">ChatGPT research</x:t>
        </x:is>
      </x:c>
      <x:c r="AN807" t="inlineStr">
        <x:is>
          <x:t xml:space="preserve">2026-09-18</x:t>
        </x:is>
      </x:c>
      <x:c r="AO807" t="inlineStr">
        <x:is>
          <x:t xml:space="preserve">Day 13 selected SN/AN. Strongest unique lanes: second-arrow distinction, conditions/context, epistemic judgment, knowledge relevance.</x:t>
        </x:is>
      </x:c>
    </x:row>
    <x:row r="808">
      <x:c r="A808" t="str">
        <x:v>research.buddhist.day14.mn63_arrow_01</x:v>
      </x:c>
      <x:c r="B808" t="str">
        <x:v>Collected</x:v>
      </x:c>
      <x:c r="C808" t="str">
        <x:v>Nội tâm &amp; hiểu mình</x:v>
      </x:c>
      <x:c r="D808" t="str">
        <x:v>Day 14 / Early Buddhist parables</x:v>
      </x:c>
      <x:c r="E808" t="str"/>
      <x:c r="F808" t="str">
        <x:v>Questions that delay what matters</x:v>
      </x:c>
      <x:c r="G808" t="str">
        <x:v>Judgment / Uncertainty</x:v>
      </x:c>
      <x:c r="H808" t="str"/>
      <x:c r="I808" t="str"/>
      <x:c r="J808" t="str"/>
      <x:c r="K808" t="str">
        <x:v>Distinguish</x:v>
      </x:c>
      <x:c r="L808" t="str"/>
      <x:c r="M808" t="str">
        <x:v>Source-anchored parable/metaphor paraphrase</x:v>
      </x:c>
      <x:c r="N808" t="str">
        <x:v>[Exact Pāḷi not copied; retrieve passage-level original before direct-quote Release]</x:v>
      </x:c>
      <x:c r="O808" t="str">
        <x:v>Pāḷi source / Vietnamese research paraphrase</x:v>
      </x:c>
      <x:c r="P808" t="str">
        <x:v>Một người bị trúng tên độc nhưng từ chối chữa trị cho đến khi biết hết mọi chi tiết về người bắn có thể chết trước khi có đủ câu trả lời.</x:v>
      </x:c>
      <x:c r="Q808" t="str">
        <x:v>Early Buddhist Pāḷi canonical tradition</x:v>
      </x:c>
      <x:c r="R808" t="str">
        <x:v>Early Buddhism / Pāḷi</x:v>
      </x:c>
      <x:c r="S808" t="str">
        <x:v>MN 63 Cūḷamāluṅkyovādasutta</x:v>
      </x:c>
      <x:c r="T808" t="str">
        <x:v>Poisoned-arrow simile</x:v>
      </x:c>
      <x:c r="U808" t="str">
        <x:v>https://accesstoinsight.org/tipitaka/mn/mn.063.than.html</x:v>
      </x:c>
      <x:c r="V808" t="str">
        <x:v>Canonical source / reputable translation index</x:v>
      </x:c>
      <x:c r="W808" t="str">
        <x:v>Research paraphrase — NOT direct quote</x:v>
      </x:c>
      <x:c r="X808" t="str">
        <x:v>A/B - canonical source and simile verified; wording is Selflo paraphrase</x:v>
      </x:c>
      <x:c r="Y808" t="str">
        <x:v>Canonical simile/source located. Exact Pāḷi intentionally not fabricated in Day 14 collection pass.</x:v>
      </x:c>
      <x:c r="Z808" t="str">
        <x:v>Ancient source public domain; modern translation rights separate</x:v>
      </x:c>
      <x:c r="AA808" t="str">
        <x:v>Use fresh Selflo adaptation. Do not copy modern English/Vietnamese translations verbatim.</x:v>
      </x:c>
      <x:c r="AB808" t="str">
        <x:v>High</x:v>
      </x:c>
      <x:c r="AC808" t="str">
        <x:v>Collected for broad pool; later curation decides Release.</x:v>
      </x:c>
      <x:c r="AD808" t="str">
        <x:v>Medium — preserve canonical/religious context and avoid therapeutic overclaim</x:v>
      </x:c>
      <x:c r="AE808" t="str">
        <x:v>High with Days 11–13; semantic dedupe required</x:v>
      </x:c>
      <x:c r="AF808" t="str"/>
      <x:c r="AG808" t="str"/>
      <x:c r="AH808" t="str">
        <x:v>No</x:v>
      </x:c>
      <x:c r="AI808" t="str">
        <x:v>Not reviewed</x:v>
      </x:c>
      <x:c r="AJ808" t="str">
        <x:v>Research only</x:v>
      </x:c>
      <x:c r="AK808" t="str">
        <x:v>Research Pool</x:v>
      </x:c>
      <x:c r="AL808" t="n">
        <x:v>14</x:v>
      </x:c>
      <x:c r="AM808" t="str">
        <x:v>ChatGPT research</x:v>
      </x:c>
      <x:c r="AN808" t="str">
        <x:v>2026-09-18</x:v>
      </x:c>
      <x:c r="AO808" t="str">
        <x:v>Day 14 provenance-first collection. Canonical parables/metaphors only in this row set.</x:v>
      </x:c>
    </x:row>
    <x:row r="809">
      <x:c r="A809" t="str">
        <x:v>research.buddhist.day14.mn63_arrow_02</x:v>
      </x:c>
      <x:c r="B809" t="str">
        <x:v>Collected</x:v>
      </x:c>
      <x:c r="C809" t="str">
        <x:v>Nội tâm &amp; hiểu mình</x:v>
      </x:c>
      <x:c r="D809" t="str">
        <x:v>Day 14 / Early Buddhist parables</x:v>
      </x:c>
      <x:c r="E809" t="str"/>
      <x:c r="F809" t="str">
        <x:v>Answer abundance</x:v>
      </x:c>
      <x:c r="G809" t="str">
        <x:v>Judgment / AI age</x:v>
      </x:c>
      <x:c r="H809" t="str"/>
      <x:c r="I809" t="str"/>
      <x:c r="J809" t="str"/>
      <x:c r="K809" t="str">
        <x:v>Open question</x:v>
      </x:c>
      <x:c r="L809" t="str"/>
      <x:c r="M809" t="str">
        <x:v>Source-anchored parable/metaphor paraphrase</x:v>
      </x:c>
      <x:c r="N809" t="str">
        <x:v>[Exact Pāḷi not copied; retrieve passage-level original before direct-quote Release]</x:v>
      </x:c>
      <x:c r="O809" t="str">
        <x:v>Pāḷi source / Vietnamese research paraphrase</x:v>
      </x:c>
      <x:c r="P809" t="str">
        <x:v>Không phải câu hỏi nào có thể đặt ra cũng cần được giải quyết trước khi mình làm điều đang thật sự cần thiết.</x:v>
      </x:c>
      <x:c r="Q809" t="str">
        <x:v>Early Buddhist Pāḷi canonical tradition</x:v>
      </x:c>
      <x:c r="R809" t="str">
        <x:v>Early Buddhism / Pāḷi</x:v>
      </x:c>
      <x:c r="S809" t="str">
        <x:v>MN 63 Cūḷamāluṅkyovādasutta</x:v>
      </x:c>
      <x:c r="T809" t="str">
        <x:v>What is worth answering</x:v>
      </x:c>
      <x:c r="U809" t="str">
        <x:v>https://accesstoinsight.org/tipitaka/mn/mn.063.than.html</x:v>
      </x:c>
      <x:c r="V809" t="str">
        <x:v>Canonical source / reputable translation index</x:v>
      </x:c>
      <x:c r="W809" t="str">
        <x:v>Research paraphrase — NOT direct quote</x:v>
      </x:c>
      <x:c r="X809" t="str">
        <x:v>A/B - canonical source and simile verified; wording is Selflo paraphrase</x:v>
      </x:c>
      <x:c r="Y809" t="str">
        <x:v>Canonical simile/source located. Exact Pāḷi intentionally not fabricated in Day 14 collection pass.</x:v>
      </x:c>
      <x:c r="Z809" t="str">
        <x:v>Ancient source public domain; modern translation rights separate</x:v>
      </x:c>
      <x:c r="AA809" t="str">
        <x:v>Use fresh Selflo adaptation. Do not copy modern English/Vietnamese translations verbatim.</x:v>
      </x:c>
      <x:c r="AB809" t="str">
        <x:v>High</x:v>
      </x:c>
      <x:c r="AC809" t="str">
        <x:v>Collected for broad pool; later curation decides Release.</x:v>
      </x:c>
      <x:c r="AD809" t="str">
        <x:v>Medium — preserve canonical/religious context and avoid therapeutic overclaim</x:v>
      </x:c>
      <x:c r="AE809" t="str">
        <x:v>High with Days 11–13; semantic dedupe required</x:v>
      </x:c>
      <x:c r="AF809" t="str"/>
      <x:c r="AG809" t="str"/>
      <x:c r="AH809" t="str">
        <x:v>No</x:v>
      </x:c>
      <x:c r="AI809" t="str">
        <x:v>Not reviewed</x:v>
      </x:c>
      <x:c r="AJ809" t="str">
        <x:v>Research only</x:v>
      </x:c>
      <x:c r="AK809" t="str">
        <x:v>Research Pool</x:v>
      </x:c>
      <x:c r="AL809" t="n">
        <x:v>14</x:v>
      </x:c>
      <x:c r="AM809" t="str">
        <x:v>ChatGPT research</x:v>
      </x:c>
      <x:c r="AN809" t="str">
        <x:v>2026-09-18</x:v>
      </x:c>
      <x:c r="AO809" t="str">
        <x:v>Day 14 provenance-first collection. Canonical parables/metaphors only in this row set.</x:v>
      </x:c>
    </x:row>
    <x:row r="810">
      <x:c r="A810" t="str">
        <x:v>research.buddhist.day14.ud64_elephant_01</x:v>
      </x:c>
      <x:c r="B810" t="str">
        <x:v>Collected</x:v>
      </x:c>
      <x:c r="C810" t="str">
        <x:v>Nội tâm &amp; hiểu mình</x:v>
      </x:c>
      <x:c r="D810" t="str">
        <x:v>Day 14 / Early Buddhist parables</x:v>
      </x:c>
      <x:c r="E810" t="str"/>
      <x:c r="F810" t="str">
        <x:v>Partial perspective</x:v>
      </x:c>
      <x:c r="G810" t="str">
        <x:v>Perspective / Judgment</x:v>
      </x:c>
      <x:c r="H810" t="str"/>
      <x:c r="I810" t="str"/>
      <x:c r="J810" t="str"/>
      <x:c r="K810" t="str">
        <x:v>Distinguish</x:v>
      </x:c>
      <x:c r="L810" t="str"/>
      <x:c r="M810" t="str">
        <x:v>Source-anchored parable/metaphor paraphrase</x:v>
      </x:c>
      <x:c r="N810" t="str">
        <x:v>[Exact Pāḷi not copied; retrieve passage-level original before direct-quote Release]</x:v>
      </x:c>
      <x:c r="O810" t="str">
        <x:v>Pāḷi source / Vietnamese research paraphrase</x:v>
      </x:c>
      <x:c r="P810" t="str">
        <x:v>Mỗi người chạm một phần của con voi rồi xem phần mình chạm được là toàn bộ con voi.</x:v>
      </x:c>
      <x:c r="Q810" t="str">
        <x:v>Early Buddhist Pāḷi canonical tradition</x:v>
      </x:c>
      <x:c r="R810" t="str">
        <x:v>Early Buddhism / Pāḷi</x:v>
      </x:c>
      <x:c r="S810" t="str">
        <x:v>Ud 6.4 Tittha Sutta</x:v>
      </x:c>
      <x:c r="T810" t="str">
        <x:v>Blind men and elephant</x:v>
      </x:c>
      <x:c r="U810" t="str">
        <x:v>https://accesstoinsight.org/tipitaka/kn/ud/ud.6.04.irel</x:v>
      </x:c>
      <x:c r="V810" t="str">
        <x:v>Canonical source / reputable translation index</x:v>
      </x:c>
      <x:c r="W810" t="str">
        <x:v>Research paraphrase — NOT direct quote</x:v>
      </x:c>
      <x:c r="X810" t="str">
        <x:v>A/B - canonical source and simile verified; wording is Selflo paraphrase</x:v>
      </x:c>
      <x:c r="Y810" t="str">
        <x:v>Canonical simile/source located. Exact Pāḷi intentionally not fabricated in Day 14 collection pass.</x:v>
      </x:c>
      <x:c r="Z810" t="str">
        <x:v>Ancient source public domain; modern translation rights separate</x:v>
      </x:c>
      <x:c r="AA810" t="str">
        <x:v>Use fresh Selflo adaptation. Do not copy modern English/Vietnamese translations verbatim.</x:v>
      </x:c>
      <x:c r="AB810" t="str">
        <x:v>High</x:v>
      </x:c>
      <x:c r="AC810" t="str">
        <x:v>Collected for broad pool; later curation decides Release.</x:v>
      </x:c>
      <x:c r="AD810" t="str">
        <x:v>Medium — preserve canonical/religious context and avoid therapeutic overclaim</x:v>
      </x:c>
      <x:c r="AE810" t="str">
        <x:v>High with Days 11–13; semantic dedupe required</x:v>
      </x:c>
      <x:c r="AF810" t="str"/>
      <x:c r="AG810" t="str"/>
      <x:c r="AH810" t="str">
        <x:v>No</x:v>
      </x:c>
      <x:c r="AI810" t="str">
        <x:v>Not reviewed</x:v>
      </x:c>
      <x:c r="AJ810" t="str">
        <x:v>Research only</x:v>
      </x:c>
      <x:c r="AK810" t="str">
        <x:v>Research Pool</x:v>
      </x:c>
      <x:c r="AL810" t="n">
        <x:v>14</x:v>
      </x:c>
      <x:c r="AM810" t="str">
        <x:v>ChatGPT research</x:v>
      </x:c>
      <x:c r="AN810" t="str">
        <x:v>2026-09-18</x:v>
      </x:c>
      <x:c r="AO810" t="str">
        <x:v>Day 14 provenance-first collection. Canonical parables/metaphors only in this row set.</x:v>
      </x:c>
    </x:row>
    <x:row r="811">
      <x:c r="A811" t="str">
        <x:v>research.buddhist.day14.ud64_elephant_02</x:v>
      </x:c>
      <x:c r="B811" t="str">
        <x:v>Collected</x:v>
      </x:c>
      <x:c r="C811" t="str">
        <x:v>Nội tâm &amp; hiểu mình</x:v>
      </x:c>
      <x:c r="D811" t="str">
        <x:v>Day 14 / Early Buddhist parables</x:v>
      </x:c>
      <x:c r="E811" t="str"/>
      <x:c r="F811" t="str">
        <x:v>Partial truth becoming certainty</x:v>
      </x:c>
      <x:c r="G811" t="str">
        <x:v>Perspective / Conflict</x:v>
      </x:c>
      <x:c r="H811" t="str"/>
      <x:c r="I811" t="str"/>
      <x:c r="J811" t="str"/>
      <x:c r="K811" t="str">
        <x:v>Reframe</x:v>
      </x:c>
      <x:c r="L811" t="str"/>
      <x:c r="M811" t="str">
        <x:v>Source-anchored parable/metaphor paraphrase</x:v>
      </x:c>
      <x:c r="N811" t="str">
        <x:v>[Exact Pāḷi not copied; retrieve passage-level original before direct-quote Release]</x:v>
      </x:c>
      <x:c r="O811" t="str">
        <x:v>Pāḷi source / Vietnamese research paraphrase</x:v>
      </x:c>
      <x:c r="P811" t="str">
        <x:v>Khi một góc nhìn cục bộ bị biến thành toàn bộ sự thật, khác biệt quan sát rất dễ trở thành tranh cãi về ai đúng hoàn toàn.</x:v>
      </x:c>
      <x:c r="Q811" t="str">
        <x:v>Early Buddhist Pāḷi canonical tradition</x:v>
      </x:c>
      <x:c r="R811" t="str">
        <x:v>Early Buddhism / Pāḷi</x:v>
      </x:c>
      <x:c r="S811" t="str">
        <x:v>Ud 6.4 Tittha Sutta</x:v>
      </x:c>
      <x:c r="T811" t="str">
        <x:v>Blind men quarrel</x:v>
      </x:c>
      <x:c r="U811" t="str">
        <x:v>https://accesstoinsight.org/tipitaka/kn/ud/ud.6.04.irel</x:v>
      </x:c>
      <x:c r="V811" t="str">
        <x:v>Canonical source / reputable translation index</x:v>
      </x:c>
      <x:c r="W811" t="str">
        <x:v>Research paraphrase — NOT direct quote</x:v>
      </x:c>
      <x:c r="X811" t="str">
        <x:v>A/B - canonical source and simile verified; wording is Selflo paraphrase</x:v>
      </x:c>
      <x:c r="Y811" t="str">
        <x:v>Canonical simile/source located. Exact Pāḷi intentionally not fabricated in Day 14 collection pass.</x:v>
      </x:c>
      <x:c r="Z811" t="str">
        <x:v>Ancient source public domain; modern translation rights separate</x:v>
      </x:c>
      <x:c r="AA811" t="str">
        <x:v>Use fresh Selflo adaptation. Do not copy modern English/Vietnamese translations verbatim.</x:v>
      </x:c>
      <x:c r="AB811" t="str">
        <x:v>High</x:v>
      </x:c>
      <x:c r="AC811" t="str">
        <x:v>Collected for broad pool; later curation decides Release.</x:v>
      </x:c>
      <x:c r="AD811" t="str">
        <x:v>Medium — preserve canonical/religious context and avoid therapeutic overclaim</x:v>
      </x:c>
      <x:c r="AE811" t="str">
        <x:v>High with Days 11–13; semantic dedupe required</x:v>
      </x:c>
      <x:c r="AF811" t="str"/>
      <x:c r="AG811" t="str"/>
      <x:c r="AH811" t="str">
        <x:v>No</x:v>
      </x:c>
      <x:c r="AI811" t="str">
        <x:v>Not reviewed</x:v>
      </x:c>
      <x:c r="AJ811" t="str">
        <x:v>Research only</x:v>
      </x:c>
      <x:c r="AK811" t="str">
        <x:v>Research Pool</x:v>
      </x:c>
      <x:c r="AL811" t="n">
        <x:v>14</x:v>
      </x:c>
      <x:c r="AM811" t="str">
        <x:v>ChatGPT research</x:v>
      </x:c>
      <x:c r="AN811" t="str">
        <x:v>2026-09-18</x:v>
      </x:c>
      <x:c r="AO811" t="str">
        <x:v>Day 14 provenance-first collection. Canonical parables/metaphors only in this row set.</x:v>
      </x:c>
    </x:row>
    <x:row r="812">
      <x:c r="A812" t="str">
        <x:v>research.buddhist.day14.sn4719_acrobat_01</x:v>
      </x:c>
      <x:c r="B812" t="str">
        <x:v>Collected</x:v>
      </x:c>
      <x:c r="C812" t="str">
        <x:v>Nội tâm &amp; hiểu mình</x:v>
      </x:c>
      <x:c r="D812" t="str">
        <x:v>Day 14 / Early Buddhist parables</x:v>
      </x:c>
      <x:c r="E812" t="str"/>
      <x:c r="F812" t="str">
        <x:v>Self-care and mutual care</x:v>
      </x:c>
      <x:c r="G812" t="str">
        <x:v>Relationships / Boundaries</x:v>
      </x:c>
      <x:c r="H812" t="str"/>
      <x:c r="I812" t="str"/>
      <x:c r="J812" t="str"/>
      <x:c r="K812" t="str">
        <x:v>Distinguish</x:v>
      </x:c>
      <x:c r="L812" t="str"/>
      <x:c r="M812" t="str">
        <x:v>Source-anchored parable/metaphor paraphrase</x:v>
      </x:c>
      <x:c r="N812" t="str">
        <x:v>[Exact Pāḷi not copied; retrieve passage-level original before direct-quote Release]</x:v>
      </x:c>
      <x:c r="O812" t="str">
        <x:v>Pāḷi source / Vietnamese research paraphrase</x:v>
      </x:c>
      <x:c r="P812" t="str">
        <x:v>Hai người biểu diễn đứng chồng trên cây sào không thể giữ thăng bằng bằng cách bỏ phần mình để kiểm soát người kia; mỗi người cần chăm phần thăng bằng của chính mình.</x:v>
      </x:c>
      <x:c r="Q812" t="str">
        <x:v>Early Buddhist Pāḷi canonical tradition</x:v>
      </x:c>
      <x:c r="R812" t="str">
        <x:v>Early Buddhism / Pāḷi</x:v>
      </x:c>
      <x:c r="S812" t="str">
        <x:v>SN 47.19 Sedaka Sutta</x:v>
      </x:c>
      <x:c r="T812" t="str">
        <x:v>Bamboo acrobats</x:v>
      </x:c>
      <x:c r="U812" t="str">
        <x:v>https://accesstoinsight.org/tipitaka/sn/sn47/sn47.019.than</x:v>
      </x:c>
      <x:c r="V812" t="str">
        <x:v>Canonical source / reputable translation index</x:v>
      </x:c>
      <x:c r="W812" t="str">
        <x:v>Research paraphrase — NOT direct quote</x:v>
      </x:c>
      <x:c r="X812" t="str">
        <x:v>A/B - canonical source and simile verified; wording is Selflo paraphrase</x:v>
      </x:c>
      <x:c r="Y812" t="str">
        <x:v>Canonical simile/source located. Exact Pāḷi intentionally not fabricated in Day 14 collection pass.</x:v>
      </x:c>
      <x:c r="Z812" t="str">
        <x:v>Ancient source public domain; modern translation rights separate</x:v>
      </x:c>
      <x:c r="AA812" t="str">
        <x:v>Use fresh Selflo adaptation. Do not copy modern English/Vietnamese translations verbatim.</x:v>
      </x:c>
      <x:c r="AB812" t="str">
        <x:v>High</x:v>
      </x:c>
      <x:c r="AC812" t="str">
        <x:v>Collected for broad pool; later curation decides Release.</x:v>
      </x:c>
      <x:c r="AD812" t="str">
        <x:v>Medium — preserve canonical/religious context and avoid therapeutic overclaim</x:v>
      </x:c>
      <x:c r="AE812" t="str">
        <x:v>High with Days 11–13; semantic dedupe required</x:v>
      </x:c>
      <x:c r="AF812" t="str"/>
      <x:c r="AG812" t="str"/>
      <x:c r="AH812" t="str">
        <x:v>No</x:v>
      </x:c>
      <x:c r="AI812" t="str">
        <x:v>Not reviewed</x:v>
      </x:c>
      <x:c r="AJ812" t="str">
        <x:v>Research only</x:v>
      </x:c>
      <x:c r="AK812" t="str">
        <x:v>Research Pool</x:v>
      </x:c>
      <x:c r="AL812" t="n">
        <x:v>14</x:v>
      </x:c>
      <x:c r="AM812" t="str">
        <x:v>ChatGPT research</x:v>
      </x:c>
      <x:c r="AN812" t="str">
        <x:v>2026-09-18</x:v>
      </x:c>
      <x:c r="AO812" t="str">
        <x:v>Day 14 provenance-first collection. Canonical parables/metaphors only in this row set.</x:v>
      </x:c>
    </x:row>
    <x:row r="813">
      <x:c r="A813" t="str">
        <x:v>research.buddhist.day14.sn4719_acrobat_02</x:v>
      </x:c>
      <x:c r="B813" t="str">
        <x:v>Collected</x:v>
      </x:c>
      <x:c r="C813" t="str">
        <x:v>Nội tâm &amp; hiểu mình</x:v>
      </x:c>
      <x:c r="D813" t="str">
        <x:v>Day 14 / Early Buddhist parables</x:v>
      </x:c>
      <x:c r="E813" t="str"/>
      <x:c r="F813" t="str">
        <x:v>Care without self-erasure</x:v>
      </x:c>
      <x:c r="G813" t="str">
        <x:v>Relationships / Self-care</x:v>
      </x:c>
      <x:c r="H813" t="str"/>
      <x:c r="I813" t="str"/>
      <x:c r="J813" t="str"/>
      <x:c r="K813" t="str">
        <x:v>Reframe</x:v>
      </x:c>
      <x:c r="L813" t="str"/>
      <x:c r="M813" t="str">
        <x:v>Source-anchored parable/metaphor paraphrase</x:v>
      </x:c>
      <x:c r="N813" t="str">
        <x:v>[Exact Pāḷi not copied; retrieve passage-level original before direct-quote Release]</x:v>
      </x:c>
      <x:c r="O813" t="str">
        <x:v>Pāḷi source / Vietnamese research paraphrase</x:v>
      </x:c>
      <x:c r="P813" t="str">
        <x:v>Chăm mình và chăm người khác không nhất thiết là hai lựa chọn đối nghịch; chất lượng của một bên có thể ảnh hưởng trực tiếp đến bên kia.</x:v>
      </x:c>
      <x:c r="Q813" t="str">
        <x:v>Early Buddhist Pāḷi canonical tradition</x:v>
      </x:c>
      <x:c r="R813" t="str">
        <x:v>Early Buddhism / Pāḷi</x:v>
      </x:c>
      <x:c r="S813" t="str">
        <x:v>SN 47.19 Sedaka Sutta</x:v>
      </x:c>
      <x:c r="T813" t="str">
        <x:v>Watching self and others</x:v>
      </x:c>
      <x:c r="U813" t="str">
        <x:v>https://accesstoinsight.org/tipitaka/sn/sn47/sn47.019.than</x:v>
      </x:c>
      <x:c r="V813" t="str">
        <x:v>Canonical source / reputable translation index</x:v>
      </x:c>
      <x:c r="W813" t="str">
        <x:v>Research paraphrase — NOT direct quote</x:v>
      </x:c>
      <x:c r="X813" t="str">
        <x:v>A/B - canonical source and simile verified; wording is Selflo paraphrase</x:v>
      </x:c>
      <x:c r="Y813" t="str">
        <x:v>Canonical simile/source located. Exact Pāḷi intentionally not fabricated in Day 14 collection pass.</x:v>
      </x:c>
      <x:c r="Z813" t="str">
        <x:v>Ancient source public domain; modern translation rights separate</x:v>
      </x:c>
      <x:c r="AA813" t="str">
        <x:v>Use fresh Selflo adaptation. Do not copy modern English/Vietnamese translations verbatim.</x:v>
      </x:c>
      <x:c r="AB813" t="str">
        <x:v>High</x:v>
      </x:c>
      <x:c r="AC813" t="str">
        <x:v>Collected for broad pool; later curation decides Release.</x:v>
      </x:c>
      <x:c r="AD813" t="str">
        <x:v>Medium — preserve canonical/religious context and avoid therapeutic overclaim</x:v>
      </x:c>
      <x:c r="AE813" t="str">
        <x:v>High with Days 11–13; semantic dedupe required</x:v>
      </x:c>
      <x:c r="AF813" t="str"/>
      <x:c r="AG813" t="str"/>
      <x:c r="AH813" t="str">
        <x:v>No</x:v>
      </x:c>
      <x:c r="AI813" t="str">
        <x:v>Not reviewed</x:v>
      </x:c>
      <x:c r="AJ813" t="str">
        <x:v>Research only</x:v>
      </x:c>
      <x:c r="AK813" t="str">
        <x:v>Research Pool</x:v>
      </x:c>
      <x:c r="AL813" t="n">
        <x:v>14</x:v>
      </x:c>
      <x:c r="AM813" t="str">
        <x:v>ChatGPT research</x:v>
      </x:c>
      <x:c r="AN813" t="str">
        <x:v>2026-09-18</x:v>
      </x:c>
      <x:c r="AO813" t="str">
        <x:v>Day 14 provenance-first collection. Canonical parables/metaphors only in this row set.</x:v>
      </x:c>
    </x:row>
    <x:row r="814">
      <x:c r="A814" t="str">
        <x:v>research.buddhist.day14.sn1267_reeds_01</x:v>
      </x:c>
      <x:c r="B814" t="str">
        <x:v>Collected</x:v>
      </x:c>
      <x:c r="C814" t="str">
        <x:v>Nội tâm &amp; hiểu mình</x:v>
      </x:c>
      <x:c r="D814" t="str">
        <x:v>Day 14 / Early Buddhist parables</x:v>
      </x:c>
      <x:c r="E814" t="str"/>
      <x:c r="F814" t="str">
        <x:v>Mutual conditions</x:v>
      </x:c>
      <x:c r="G814" t="str">
        <x:v>Systems / Conditionality</x:v>
      </x:c>
      <x:c r="H814" t="str"/>
      <x:c r="I814" t="str"/>
      <x:c r="J814" t="str"/>
      <x:c r="K814" t="str">
        <x:v>Reframe</x:v>
      </x:c>
      <x:c r="L814" t="str"/>
      <x:c r="M814" t="str">
        <x:v>Source-anchored parable/metaphor paraphrase</x:v>
      </x:c>
      <x:c r="N814" t="str">
        <x:v>[Exact Pāḷi not copied; retrieve passage-level original before direct-quote Release]</x:v>
      </x:c>
      <x:c r="O814" t="str">
        <x:v>Pāḷi source / Vietnamese research paraphrase</x:v>
      </x:c>
      <x:c r="P814" t="str">
        <x:v>Hai bó lau đứng được vì tựa vào nhau; rút một bó ra, cấu trúc còn lại cũng thay đổi.</x:v>
      </x:c>
      <x:c r="Q814" t="str">
        <x:v>Early Buddhist Pāḷi canonical tradition</x:v>
      </x:c>
      <x:c r="R814" t="str">
        <x:v>Early Buddhism / Pāḷi</x:v>
      </x:c>
      <x:c r="S814" t="str">
        <x:v>SN 12.67 Naḷakalāpi Sutta</x:v>
      </x:c>
      <x:c r="T814" t="str">
        <x:v>Sheaves of reeds</x:v>
      </x:c>
      <x:c r="U814" t="str">
        <x:v>https://accesstoinsight.org/ati/tipitaka/sn/sn12/sn12.067.than.html</x:v>
      </x:c>
      <x:c r="V814" t="str">
        <x:v>Canonical source / reputable translation index</x:v>
      </x:c>
      <x:c r="W814" t="str">
        <x:v>Research paraphrase — NOT direct quote</x:v>
      </x:c>
      <x:c r="X814" t="str">
        <x:v>A/B - canonical source and simile verified; wording is Selflo paraphrase</x:v>
      </x:c>
      <x:c r="Y814" t="str">
        <x:v>Canonical simile/source located. Exact Pāḷi intentionally not fabricated in Day 14 collection pass.</x:v>
      </x:c>
      <x:c r="Z814" t="str">
        <x:v>Ancient source public domain; modern translation rights separate</x:v>
      </x:c>
      <x:c r="AA814" t="str">
        <x:v>Use fresh Selflo adaptation. Do not copy modern English/Vietnamese translations verbatim.</x:v>
      </x:c>
      <x:c r="AB814" t="str">
        <x:v>High</x:v>
      </x:c>
      <x:c r="AC814" t="str">
        <x:v>Collected for broad pool; later curation decides Release.</x:v>
      </x:c>
      <x:c r="AD814" t="str">
        <x:v>Medium — preserve canonical/religious context and avoid therapeutic overclaim</x:v>
      </x:c>
      <x:c r="AE814" t="str">
        <x:v>High with Days 11–13; semantic dedupe required</x:v>
      </x:c>
      <x:c r="AF814" t="str"/>
      <x:c r="AG814" t="str"/>
      <x:c r="AH814" t="str">
        <x:v>No</x:v>
      </x:c>
      <x:c r="AI814" t="str">
        <x:v>Not reviewed</x:v>
      </x:c>
      <x:c r="AJ814" t="str">
        <x:v>Research only</x:v>
      </x:c>
      <x:c r="AK814" t="str">
        <x:v>Research Pool</x:v>
      </x:c>
      <x:c r="AL814" t="n">
        <x:v>14</x:v>
      </x:c>
      <x:c r="AM814" t="str">
        <x:v>ChatGPT research</x:v>
      </x:c>
      <x:c r="AN814" t="str">
        <x:v>2026-09-18</x:v>
      </x:c>
      <x:c r="AO814" t="str">
        <x:v>Day 14 provenance-first collection. Canonical parables/metaphors only in this row set.</x:v>
      </x:c>
    </x:row>
    <x:row r="815">
      <x:c r="A815" t="str">
        <x:v>research.buddhist.day14.sn1267_reeds_02</x:v>
      </x:c>
      <x:c r="B815" t="str">
        <x:v>Collected</x:v>
      </x:c>
      <x:c r="C815" t="str">
        <x:v>Nội tâm &amp; hiểu mình</x:v>
      </x:c>
      <x:c r="D815" t="str">
        <x:v>Day 14 / Early Buddhist parables</x:v>
      </x:c>
      <x:c r="E815" t="str"/>
      <x:c r="F815" t="str">
        <x:v>Conditions not fixed essence</x:v>
      </x:c>
      <x:c r="G815" t="str">
        <x:v>Systems / Identity</x:v>
      </x:c>
      <x:c r="H815" t="str"/>
      <x:c r="I815" t="str"/>
      <x:c r="J815" t="str"/>
      <x:c r="K815" t="str">
        <x:v>Distinguish</x:v>
      </x:c>
      <x:c r="L815" t="str"/>
      <x:c r="M815" t="str">
        <x:v>Source-anchored parable/metaphor paraphrase</x:v>
      </x:c>
      <x:c r="N815" t="str">
        <x:v>[Exact Pāḷi not copied; retrieve passage-level original before direct-quote Release]</x:v>
      </x:c>
      <x:c r="O815" t="str">
        <x:v>Pāḷi source / Vietnamese research paraphrase</x:v>
      </x:c>
      <x:c r="P815" t="str">
        <x:v>Một hiện tượng có thể tồn tại không phải vì nó có một lõi độc lập, mà vì nhiều điều kiện đang cùng giữ nó đứng.</x:v>
      </x:c>
      <x:c r="Q815" t="str">
        <x:v>Early Buddhist Pāḷi canonical tradition</x:v>
      </x:c>
      <x:c r="R815" t="str">
        <x:v>Early Buddhism / Pāḷi</x:v>
      </x:c>
      <x:c r="S815" t="str">
        <x:v>SN 12.67 Naḷakalāpi Sutta</x:v>
      </x:c>
      <x:c r="T815" t="str">
        <x:v>Mutual dependence</x:v>
      </x:c>
      <x:c r="U815" t="str">
        <x:v>https://accesstoinsight.org/ati/tipitaka/sn/sn12/sn12.067.than.html</x:v>
      </x:c>
      <x:c r="V815" t="str">
        <x:v>Canonical source / reputable translation index</x:v>
      </x:c>
      <x:c r="W815" t="str">
        <x:v>Research paraphrase — NOT direct quote</x:v>
      </x:c>
      <x:c r="X815" t="str">
        <x:v>A/B - canonical source and simile verified; wording is Selflo paraphrase</x:v>
      </x:c>
      <x:c r="Y815" t="str">
        <x:v>Canonical simile/source located. Exact Pāḷi intentionally not fabricated in Day 14 collection pass.</x:v>
      </x:c>
      <x:c r="Z815" t="str">
        <x:v>Ancient source public domain; modern translation rights separate</x:v>
      </x:c>
      <x:c r="AA815" t="str">
        <x:v>Use fresh Selflo adaptation. Do not copy modern English/Vietnamese translations verbatim.</x:v>
      </x:c>
      <x:c r="AB815" t="str">
        <x:v>High</x:v>
      </x:c>
      <x:c r="AC815" t="str">
        <x:v>Collected for broad pool; later curation decides Release.</x:v>
      </x:c>
      <x:c r="AD815" t="str">
        <x:v>Medium — preserve canonical/religious context and avoid therapeutic overclaim</x:v>
      </x:c>
      <x:c r="AE815" t="str">
        <x:v>High with Days 11–13; semantic dedupe required</x:v>
      </x:c>
      <x:c r="AF815" t="str"/>
      <x:c r="AG815" t="str"/>
      <x:c r="AH815" t="str">
        <x:v>No</x:v>
      </x:c>
      <x:c r="AI815" t="str">
        <x:v>Not reviewed</x:v>
      </x:c>
      <x:c r="AJ815" t="str">
        <x:v>Research only</x:v>
      </x:c>
      <x:c r="AK815" t="str">
        <x:v>Research Pool</x:v>
      </x:c>
      <x:c r="AL815" t="n">
        <x:v>14</x:v>
      </x:c>
      <x:c r="AM815" t="str">
        <x:v>ChatGPT research</x:v>
      </x:c>
      <x:c r="AN815" t="str">
        <x:v>2026-09-18</x:v>
      </x:c>
      <x:c r="AO815" t="str">
        <x:v>Day 14 provenance-first collection. Canonical parables/metaphors only in this row set.</x:v>
      </x:c>
    </x:row>
    <x:row r="816">
      <x:c r="A816" t="str">
        <x:v>research.buddhist.day14.sn1265_city_01</x:v>
      </x:c>
      <x:c r="B816" t="str">
        <x:v>Collected</x:v>
      </x:c>
      <x:c r="C816" t="str">
        <x:v>Nội tâm &amp; hiểu mình</x:v>
      </x:c>
      <x:c r="D816" t="str">
        <x:v>Day 14 / Early Buddhist parables</x:v>
      </x:c>
      <x:c r="E816" t="str"/>
      <x:c r="F816" t="str">
        <x:v>Rediscovering a path</x:v>
      </x:c>
      <x:c r="G816" t="str">
        <x:v>Learning / Discovery</x:v>
      </x:c>
      <x:c r="H816" t="str"/>
      <x:c r="I816" t="str"/>
      <x:c r="J816" t="str"/>
      <x:c r="K816" t="str">
        <x:v>Reframe</x:v>
      </x:c>
      <x:c r="L816" t="str"/>
      <x:c r="M816" t="str">
        <x:v>Source-anchored parable/metaphor paraphrase</x:v>
      </x:c>
      <x:c r="N816" t="str">
        <x:v>[Exact Pāḷi not copied; retrieve passage-level original before direct-quote Release]</x:v>
      </x:c>
      <x:c r="O816" t="str">
        <x:v>Pāḷi source / Vietnamese research paraphrase</x:v>
      </x:c>
      <x:c r="P816" t="str">
        <x:v>Người đi trong hoang địa gặp một con đường cũ, lần theo nó và tìm thấy một thành phố cổ bị bỏ quên.</x:v>
      </x:c>
      <x:c r="Q816" t="str">
        <x:v>Early Buddhist Pāḷi canonical tradition</x:v>
      </x:c>
      <x:c r="R816" t="str">
        <x:v>Early Buddhism / Pāḷi</x:v>
      </x:c>
      <x:c r="S816" t="str">
        <x:v>SN 12.65 Nagara Sutta</x:v>
      </x:c>
      <x:c r="T816" t="str">
        <x:v>Ancient path</x:v>
      </x:c>
      <x:c r="U816" t="str">
        <x:v>https://www.accesstoinsight.org/tipitaka/sn/sn12/sn12.065.than.html</x:v>
      </x:c>
      <x:c r="V816" t="str">
        <x:v>Canonical source / reputable translation index</x:v>
      </x:c>
      <x:c r="W816" t="str">
        <x:v>Research paraphrase — NOT direct quote</x:v>
      </x:c>
      <x:c r="X816" t="str">
        <x:v>A/B - canonical source and simile verified; wording is Selflo paraphrase</x:v>
      </x:c>
      <x:c r="Y816" t="str">
        <x:v>Canonical simile/source located. Exact Pāḷi intentionally not fabricated in Day 14 collection pass.</x:v>
      </x:c>
      <x:c r="Z816" t="str">
        <x:v>Ancient source public domain; modern translation rights separate</x:v>
      </x:c>
      <x:c r="AA816" t="str">
        <x:v>Use fresh Selflo adaptation. Do not copy modern English/Vietnamese translations verbatim.</x:v>
      </x:c>
      <x:c r="AB816" t="str">
        <x:v>High</x:v>
      </x:c>
      <x:c r="AC816" t="str">
        <x:v>Collected for broad pool; later curation decides Release.</x:v>
      </x:c>
      <x:c r="AD816" t="str">
        <x:v>Medium — preserve canonical/religious context and avoid therapeutic overclaim</x:v>
      </x:c>
      <x:c r="AE816" t="str">
        <x:v>High with Days 11–13; semantic dedupe required</x:v>
      </x:c>
      <x:c r="AF816" t="str"/>
      <x:c r="AG816" t="str"/>
      <x:c r="AH816" t="str">
        <x:v>No</x:v>
      </x:c>
      <x:c r="AI816" t="str">
        <x:v>Not reviewed</x:v>
      </x:c>
      <x:c r="AJ816" t="str">
        <x:v>Research only</x:v>
      </x:c>
      <x:c r="AK816" t="str">
        <x:v>Research Pool</x:v>
      </x:c>
      <x:c r="AL816" t="n">
        <x:v>14</x:v>
      </x:c>
      <x:c r="AM816" t="str">
        <x:v>ChatGPT research</x:v>
      </x:c>
      <x:c r="AN816" t="str">
        <x:v>2026-09-18</x:v>
      </x:c>
      <x:c r="AO816" t="str">
        <x:v>Day 14 provenance-first collection. Canonical parables/metaphors only in this row set.</x:v>
      </x:c>
    </x:row>
    <x:row r="817">
      <x:c r="A817" t="str">
        <x:v>research.buddhist.day14.sn1265_city_02</x:v>
      </x:c>
      <x:c r="B817" t="str">
        <x:v>Collected</x:v>
      </x:c>
      <x:c r="C817" t="str">
        <x:v>Nội tâm &amp; hiểu mình</x:v>
      </x:c>
      <x:c r="D817" t="str">
        <x:v>Day 14 / Early Buddhist parables</x:v>
      </x:c>
      <x:c r="E817" t="str"/>
      <x:c r="F817" t="str">
        <x:v>Knowledge into lived structure</x:v>
      </x:c>
      <x:c r="G817" t="str">
        <x:v>Learning / Practice</x:v>
      </x:c>
      <x:c r="H817" t="str"/>
      <x:c r="I817" t="str"/>
      <x:c r="J817" t="str"/>
      <x:c r="K817" t="str">
        <x:v>Reframe</x:v>
      </x:c>
      <x:c r="L817" t="str"/>
      <x:c r="M817" t="str">
        <x:v>Source-anchored parable/metaphor paraphrase</x:v>
      </x:c>
      <x:c r="N817" t="str">
        <x:v>[Exact Pāḷi not copied; retrieve passage-level original before direct-quote Release]</x:v>
      </x:c>
      <x:c r="O817" t="str">
        <x:v>Pāḷi source / Vietnamese research paraphrase</x:v>
      </x:c>
      <x:c r="P817" t="str">
        <x:v>Tìm thấy một con đường cũ không có nghĩa chỉ ngắm nó; giá trị xuất hiện khi con đường giúp một nơi sống được dựng lại.</x:v>
      </x:c>
      <x:c r="Q817" t="str">
        <x:v>Early Buddhist Pāḷi canonical tradition</x:v>
      </x:c>
      <x:c r="R817" t="str">
        <x:v>Early Buddhism / Pāḷi</x:v>
      </x:c>
      <x:c r="S817" t="str">
        <x:v>SN 12.65 Nagara Sutta</x:v>
      </x:c>
      <x:c r="T817" t="str">
        <x:v>Rebuilding the city</x:v>
      </x:c>
      <x:c r="U817" t="str">
        <x:v>https://www.accesstoinsight.org/tipitaka/sn/sn12/sn12.065.than.html</x:v>
      </x:c>
      <x:c r="V817" t="str">
        <x:v>Canonical source / reputable translation index</x:v>
      </x:c>
      <x:c r="W817" t="str">
        <x:v>Research paraphrase — NOT direct quote</x:v>
      </x:c>
      <x:c r="X817" t="str">
        <x:v>A/B - canonical source and simile verified; wording is Selflo paraphrase</x:v>
      </x:c>
      <x:c r="Y817" t="str">
        <x:v>Canonical simile/source located. Exact Pāḷi intentionally not fabricated in Day 14 collection pass.</x:v>
      </x:c>
      <x:c r="Z817" t="str">
        <x:v>Ancient source public domain; modern translation rights separate</x:v>
      </x:c>
      <x:c r="AA817" t="str">
        <x:v>Use fresh Selflo adaptation. Do not copy modern English/Vietnamese translations verbatim.</x:v>
      </x:c>
      <x:c r="AB817" t="str">
        <x:v>High</x:v>
      </x:c>
      <x:c r="AC817" t="str">
        <x:v>Collected for broad pool; later curation decides Release.</x:v>
      </x:c>
      <x:c r="AD817" t="str">
        <x:v>Medium — preserve canonical/religious context and avoid therapeutic overclaim</x:v>
      </x:c>
      <x:c r="AE817" t="str">
        <x:v>High with Days 11–13; semantic dedupe required</x:v>
      </x:c>
      <x:c r="AF817" t="str"/>
      <x:c r="AG817" t="str"/>
      <x:c r="AH817" t="str">
        <x:v>No</x:v>
      </x:c>
      <x:c r="AI817" t="str">
        <x:v>Not reviewed</x:v>
      </x:c>
      <x:c r="AJ817" t="str">
        <x:v>Research only</x:v>
      </x:c>
      <x:c r="AK817" t="str">
        <x:v>Research Pool</x:v>
      </x:c>
      <x:c r="AL817" t="n">
        <x:v>14</x:v>
      </x:c>
      <x:c r="AM817" t="str">
        <x:v>ChatGPT research</x:v>
      </x:c>
      <x:c r="AN817" t="str">
        <x:v>2026-09-18</x:v>
      </x:c>
      <x:c r="AO817" t="str">
        <x:v>Day 14 provenance-first collection. Canonical parables/metaphors only in this row set.</x:v>
      </x:c>
    </x:row>
    <x:row r="818">
      <x:c r="A818" t="str">
        <x:v>research.buddhist.day14.sn325_mountains_01</x:v>
      </x:c>
      <x:c r="B818" t="str">
        <x:v>Collected</x:v>
      </x:c>
      <x:c r="C818" t="str">
        <x:v>Nội tâm &amp; hiểu mình</x:v>
      </x:c>
      <x:c r="D818" t="str">
        <x:v>Day 14 / Early Buddhist parables</x:v>
      </x:c>
      <x:c r="E818" t="str"/>
      <x:c r="F818" t="str">
        <x:v>Mortality and limits</x:v>
      </x:c>
      <x:c r="G818" t="str">
        <x:v>Mortality / Values</x:v>
      </x:c>
      <x:c r="H818" t="str"/>
      <x:c r="I818" t="str"/>
      <x:c r="J818" t="str"/>
      <x:c r="K818" t="str">
        <x:v>Recognize</x:v>
      </x:c>
      <x:c r="L818" t="str"/>
      <x:c r="M818" t="str">
        <x:v>Source-anchored parable/metaphor paraphrase</x:v>
      </x:c>
      <x:c r="N818" t="str">
        <x:v>[Exact Pāḷi not copied; retrieve passage-level original before direct-quote Release]</x:v>
      </x:c>
      <x:c r="O818" t="str">
        <x:v>Pāḷi source / Vietnamese research paraphrase</x:v>
      </x:c>
      <x:c r="P818" t="str">
        <x:v>Bốn ngọn núi khổng lồ tiến vào từ bốn phía là hình ảnh cho những giới hạn không quyền lực, tiền bạc hay mưu trí nào có thể mua chuộc mãi.</x:v>
      </x:c>
      <x:c r="Q818" t="str">
        <x:v>Early Buddhist Pāḷi canonical tradition</x:v>
      </x:c>
      <x:c r="R818" t="str">
        <x:v>Early Buddhism / Pāḷi</x:v>
      </x:c>
      <x:c r="S818" t="str">
        <x:v>SN 3.25 Pabbatopama Sutta</x:v>
      </x:c>
      <x:c r="T818" t="str">
        <x:v>Mountains closing in</x:v>
      </x:c>
      <x:c r="U818" t="str">
        <x:v>https://accesstoinsight.org/tipitaka/sn/sn03/sn03.025.than</x:v>
      </x:c>
      <x:c r="V818" t="str">
        <x:v>Canonical source / reputable translation index</x:v>
      </x:c>
      <x:c r="W818" t="str">
        <x:v>Research paraphrase — NOT direct quote</x:v>
      </x:c>
      <x:c r="X818" t="str">
        <x:v>A/B - canonical source and simile verified; wording is Selflo paraphrase</x:v>
      </x:c>
      <x:c r="Y818" t="str">
        <x:v>Canonical simile/source located. Exact Pāḷi intentionally not fabricated in Day 14 collection pass.</x:v>
      </x:c>
      <x:c r="Z818" t="str">
        <x:v>Ancient source public domain; modern translation rights separate</x:v>
      </x:c>
      <x:c r="AA818" t="str">
        <x:v>Use fresh Selflo adaptation. Do not copy modern English/Vietnamese translations verbatim.</x:v>
      </x:c>
      <x:c r="AB818" t="str">
        <x:v>High</x:v>
      </x:c>
      <x:c r="AC818" t="str">
        <x:v>Collected for broad pool; later curation decides Release.</x:v>
      </x:c>
      <x:c r="AD818" t="str">
        <x:v>Medium — preserve canonical/religious context and avoid therapeutic overclaim</x:v>
      </x:c>
      <x:c r="AE818" t="str">
        <x:v>High with Days 11–13; semantic dedupe required</x:v>
      </x:c>
      <x:c r="AF818" t="str"/>
      <x:c r="AG818" t="str"/>
      <x:c r="AH818" t="str">
        <x:v>No</x:v>
      </x:c>
      <x:c r="AI818" t="str">
        <x:v>Not reviewed</x:v>
      </x:c>
      <x:c r="AJ818" t="str">
        <x:v>Research only</x:v>
      </x:c>
      <x:c r="AK818" t="str">
        <x:v>Research Pool</x:v>
      </x:c>
      <x:c r="AL818" t="n">
        <x:v>14</x:v>
      </x:c>
      <x:c r="AM818" t="str">
        <x:v>ChatGPT research</x:v>
      </x:c>
      <x:c r="AN818" t="str">
        <x:v>2026-09-18</x:v>
      </x:c>
      <x:c r="AO818" t="str">
        <x:v>Day 14 provenance-first collection. Canonical parables/metaphors only in this row set.</x:v>
      </x:c>
    </x:row>
    <x:row r="819">
      <x:c r="A819" t="str">
        <x:v>research.buddhist.day14.sn325_mountains_02</x:v>
      </x:c>
      <x:c r="B819" t="str">
        <x:v>Collected</x:v>
      </x:c>
      <x:c r="C819" t="str">
        <x:v>Nội tâm &amp; hiểu mình</x:v>
      </x:c>
      <x:c r="D819" t="str">
        <x:v>Day 14 / Early Buddhist parables</x:v>
      </x:c>
      <x:c r="E819" t="str"/>
      <x:c r="F819" t="str">
        <x:v>Finite time clarifies value</x:v>
      </x:c>
      <x:c r="G819" t="str">
        <x:v>Mortality / Choice</x:v>
      </x:c>
      <x:c r="H819" t="str"/>
      <x:c r="I819" t="str"/>
      <x:c r="J819" t="str"/>
      <x:c r="K819" t="str">
        <x:v>Open question</x:v>
      </x:c>
      <x:c r="L819" t="str"/>
      <x:c r="M819" t="str">
        <x:v>Source-anchored parable/metaphor paraphrase</x:v>
      </x:c>
      <x:c r="N819" t="str">
        <x:v>[Exact Pāḷi not copied; retrieve passage-level original before direct-quote Release]</x:v>
      </x:c>
      <x:c r="O819" t="str">
        <x:v>Pāḷi source / Vietnamese research paraphrase</x:v>
      </x:c>
      <x:c r="P819" t="str">
        <x:v>Khi một giới hạn không thể thương lượng trở nên rõ, câu hỏi về điều đáng làm có thể thay đổi.</x:v>
      </x:c>
      <x:c r="Q819" t="str">
        <x:v>Early Buddhist Pāḷi canonical tradition</x:v>
      </x:c>
      <x:c r="R819" t="str">
        <x:v>Early Buddhism / Pāḷi</x:v>
      </x:c>
      <x:c r="S819" t="str">
        <x:v>SN 3.25 Pabbatopama Sutta</x:v>
      </x:c>
      <x:c r="T819" t="str">
        <x:v>What remains important</x:v>
      </x:c>
      <x:c r="U819" t="str">
        <x:v>https://accesstoinsight.org/tipitaka/sn/sn03/sn03.025.than</x:v>
      </x:c>
      <x:c r="V819" t="str">
        <x:v>Canonical source / reputable translation index</x:v>
      </x:c>
      <x:c r="W819" t="str">
        <x:v>Research paraphrase — NOT direct quote</x:v>
      </x:c>
      <x:c r="X819" t="str">
        <x:v>A/B - canonical source and simile verified; wording is Selflo paraphrase</x:v>
      </x:c>
      <x:c r="Y819" t="str">
        <x:v>Canonical simile/source located. Exact Pāḷi intentionally not fabricated in Day 14 collection pass.</x:v>
      </x:c>
      <x:c r="Z819" t="str">
        <x:v>Ancient source public domain; modern translation rights separate</x:v>
      </x:c>
      <x:c r="AA819" t="str">
        <x:v>Use fresh Selflo adaptation. Do not copy modern English/Vietnamese translations verbatim.</x:v>
      </x:c>
      <x:c r="AB819" t="str">
        <x:v>High</x:v>
      </x:c>
      <x:c r="AC819" t="str">
        <x:v>Collected for broad pool; later curation decides Release.</x:v>
      </x:c>
      <x:c r="AD819" t="str">
        <x:v>Medium — preserve canonical/religious context and avoid therapeutic overclaim</x:v>
      </x:c>
      <x:c r="AE819" t="str">
        <x:v>High with Days 11–13; semantic dedupe required</x:v>
      </x:c>
      <x:c r="AF819" t="str"/>
      <x:c r="AG819" t="str"/>
      <x:c r="AH819" t="str">
        <x:v>No</x:v>
      </x:c>
      <x:c r="AI819" t="str">
        <x:v>Not reviewed</x:v>
      </x:c>
      <x:c r="AJ819" t="str">
        <x:v>Research only</x:v>
      </x:c>
      <x:c r="AK819" t="str">
        <x:v>Research Pool</x:v>
      </x:c>
      <x:c r="AL819" t="n">
        <x:v>14</x:v>
      </x:c>
      <x:c r="AM819" t="str">
        <x:v>ChatGPT research</x:v>
      </x:c>
      <x:c r="AN819" t="str">
        <x:v>2026-09-18</x:v>
      </x:c>
      <x:c r="AO819" t="str">
        <x:v>Day 14 provenance-first collection. Canonical parables/metaphors only in this row set.</x:v>
      </x:c>
    </x:row>
    <x:row r="820">
      <x:c r="A820" t="str">
        <x:v>research.buddhist.day14.sn207_drum_01</x:v>
      </x:c>
      <x:c r="B820" t="str">
        <x:v>Collected</x:v>
      </x:c>
      <x:c r="C820" t="str">
        <x:v>Nội tâm &amp; hiểu mình</x:v>
      </x:c>
      <x:c r="D820" t="str">
        <x:v>Day 14 / Early Buddhist parables</x:v>
      </x:c>
      <x:c r="E820" t="str"/>
      <x:c r="F820" t="str">
        <x:v>Gradual replacement</x:v>
      </x:c>
      <x:c r="G820" t="str">
        <x:v>Change / Identity</x:v>
      </x:c>
      <x:c r="H820" t="str"/>
      <x:c r="I820" t="str"/>
      <x:c r="J820" t="str"/>
      <x:c r="K820" t="str">
        <x:v>Recognize</x:v>
      </x:c>
      <x:c r="L820" t="str"/>
      <x:c r="M820" t="str">
        <x:v>Source-anchored parable/metaphor paraphrase</x:v>
      </x:c>
      <x:c r="N820" t="str">
        <x:v>[Exact Pāḷi not copied; retrieve passage-level original before direct-quote Release]</x:v>
      </x:c>
      <x:c r="O820" t="str">
        <x:v>Pāḷi source / Vietnamese research paraphrase</x:v>
      </x:c>
      <x:c r="P820" t="str">
        <x:v>Một chiếc trống được vá hết chốt này đến chốt khác cho tới khi phần gỗ ban đầu biến mất, dù người ta vẫn gọi nó bằng tên cũ.</x:v>
      </x:c>
      <x:c r="Q820" t="str">
        <x:v>Early Buddhist Pāḷi canonical tradition</x:v>
      </x:c>
      <x:c r="R820" t="str">
        <x:v>Early Buddhism / Pāḷi</x:v>
      </x:c>
      <x:c r="S820" t="str">
        <x:v>SN 20.7 Āṇi Sutta</x:v>
      </x:c>
      <x:c r="T820" t="str">
        <x:v>Drum and replacement pegs</x:v>
      </x:c>
      <x:c r="U820" t="str">
        <x:v>https://mail.accesstoinsight.org/tipitaka/sn/sn20/sn20.007.than.html</x:v>
      </x:c>
      <x:c r="V820" t="str">
        <x:v>Canonical source / reputable translation index</x:v>
      </x:c>
      <x:c r="W820" t="str">
        <x:v>Research paraphrase — NOT direct quote</x:v>
      </x:c>
      <x:c r="X820" t="str">
        <x:v>A/B - canonical source and simile verified; wording is Selflo paraphrase</x:v>
      </x:c>
      <x:c r="Y820" t="str">
        <x:v>Canonical simile/source located. Exact Pāḷi intentionally not fabricated in Day 14 collection pass.</x:v>
      </x:c>
      <x:c r="Z820" t="str">
        <x:v>Ancient source public domain; modern translation rights separate</x:v>
      </x:c>
      <x:c r="AA820" t="str">
        <x:v>Use fresh Selflo adaptation. Do not copy modern English/Vietnamese translations verbatim.</x:v>
      </x:c>
      <x:c r="AB820" t="str">
        <x:v>High</x:v>
      </x:c>
      <x:c r="AC820" t="str">
        <x:v>Collected for broad pool; later curation decides Release.</x:v>
      </x:c>
      <x:c r="AD820" t="str">
        <x:v>Medium — preserve canonical/religious context and avoid therapeutic overclaim</x:v>
      </x:c>
      <x:c r="AE820" t="str">
        <x:v>High with Days 11–13; semantic dedupe required</x:v>
      </x:c>
      <x:c r="AF820" t="str"/>
      <x:c r="AG820" t="str"/>
      <x:c r="AH820" t="str">
        <x:v>No</x:v>
      </x:c>
      <x:c r="AI820" t="str">
        <x:v>Not reviewed</x:v>
      </x:c>
      <x:c r="AJ820" t="str">
        <x:v>Research only</x:v>
      </x:c>
      <x:c r="AK820" t="str">
        <x:v>Research Pool</x:v>
      </x:c>
      <x:c r="AL820" t="n">
        <x:v>14</x:v>
      </x:c>
      <x:c r="AM820" t="str">
        <x:v>ChatGPT research</x:v>
      </x:c>
      <x:c r="AN820" t="str">
        <x:v>2026-09-18</x:v>
      </x:c>
      <x:c r="AO820" t="str">
        <x:v>Day 14 provenance-first collection. Canonical parables/metaphors only in this row set.</x:v>
      </x:c>
    </x:row>
    <x:row r="821">
      <x:c r="A821" t="str">
        <x:v>research.buddhist.day14.sn207_drum_02</x:v>
      </x:c>
      <x:c r="B821" t="str">
        <x:v>Collected</x:v>
      </x:c>
      <x:c r="C821" t="str">
        <x:v>Nội tâm &amp; hiểu mình</x:v>
      </x:c>
      <x:c r="D821" t="str">
        <x:v>Day 14 / Early Buddhist parables</x:v>
      </x:c>
      <x:c r="E821" t="str"/>
      <x:c r="F821" t="str">
        <x:v>Signal vs attractive noise</x:v>
      </x:c>
      <x:c r="G821" t="str">
        <x:v>Learning / AI age</x:v>
      </x:c>
      <x:c r="H821" t="str"/>
      <x:c r="I821" t="str"/>
      <x:c r="J821" t="str"/>
      <x:c r="K821" t="str">
        <x:v>Distinguish</x:v>
      </x:c>
      <x:c r="L821" t="str"/>
      <x:c r="M821" t="str">
        <x:v>Source-anchored parable/metaphor paraphrase</x:v>
      </x:c>
      <x:c r="N821" t="str">
        <x:v>[Exact Pāḷi not copied; retrieve passage-level original before direct-quote Release]</x:v>
      </x:c>
      <x:c r="O821" t="str">
        <x:v>Pāḷi source / Vietnamese research paraphrase</x:v>
      </x:c>
      <x:c r="P821" t="str">
        <x:v>Điều mới có thể nghe hấp dẫn hơn mà vẫn làm phần cốt lõi ban đầu bị thay thế dần đến mức khó nhận ra.</x:v>
      </x:c>
      <x:c r="Q821" t="str">
        <x:v>Early Buddhist Pāḷi canonical tradition</x:v>
      </x:c>
      <x:c r="R821" t="str">
        <x:v>Early Buddhism / Pāḷi</x:v>
      </x:c>
      <x:c r="S821" t="str">
        <x:v>SN 20.7 Āṇi Sutta</x:v>
      </x:c>
      <x:c r="T821" t="str">
        <x:v>Attractive replacements</x:v>
      </x:c>
      <x:c r="U821" t="str">
        <x:v>https://mail.accesstoinsight.org/tipitaka/sn/sn20/sn20.007.than.html</x:v>
      </x:c>
      <x:c r="V821" t="str">
        <x:v>Canonical source / reputable translation index</x:v>
      </x:c>
      <x:c r="W821" t="str">
        <x:v>Research paraphrase — NOT direct quote</x:v>
      </x:c>
      <x:c r="X821" t="str">
        <x:v>A/B - canonical source and simile verified; wording is Selflo paraphrase</x:v>
      </x:c>
      <x:c r="Y821" t="str">
        <x:v>Canonical simile/source located. Exact Pāḷi intentionally not fabricated in Day 14 collection pass.</x:v>
      </x:c>
      <x:c r="Z821" t="str">
        <x:v>Ancient source public domain; modern translation rights separate</x:v>
      </x:c>
      <x:c r="AA821" t="str">
        <x:v>Use fresh Selflo adaptation. Do not copy modern English/Vietnamese translations verbatim.</x:v>
      </x:c>
      <x:c r="AB821" t="str">
        <x:v>High</x:v>
      </x:c>
      <x:c r="AC821" t="str">
        <x:v>Collected for broad pool; later curation decides Release.</x:v>
      </x:c>
      <x:c r="AD821" t="str">
        <x:v>Medium — preserve canonical/religious context and avoid therapeutic overclaim</x:v>
      </x:c>
      <x:c r="AE821" t="str">
        <x:v>High with Days 11–13; semantic dedupe required</x:v>
      </x:c>
      <x:c r="AF821" t="str"/>
      <x:c r="AG821" t="str"/>
      <x:c r="AH821" t="str">
        <x:v>No</x:v>
      </x:c>
      <x:c r="AI821" t="str">
        <x:v>Not reviewed</x:v>
      </x:c>
      <x:c r="AJ821" t="str">
        <x:v>Research only</x:v>
      </x:c>
      <x:c r="AK821" t="str">
        <x:v>Research Pool</x:v>
      </x:c>
      <x:c r="AL821" t="n">
        <x:v>14</x:v>
      </x:c>
      <x:c r="AM821" t="str">
        <x:v>ChatGPT research</x:v>
      </x:c>
      <x:c r="AN821" t="str">
        <x:v>2026-09-18</x:v>
      </x:c>
      <x:c r="AO821" t="str">
        <x:v>Day 14 provenance-first collection. Canonical parables/metaphors only in this row set.</x:v>
      </x:c>
    </x:row>
    <x:row r="822">
      <x:c r="A822" t="str">
        <x:v>research.buddhist.day14.mn66_quail_01</x:v>
      </x:c>
      <x:c r="B822" t="str">
        <x:v>Collected</x:v>
      </x:c>
      <x:c r="C822" t="str">
        <x:v>Nội tâm &amp; hiểu mình</x:v>
      </x:c>
      <x:c r="D822" t="str">
        <x:v>Day 14 / Early Buddhist parables</x:v>
      </x:c>
      <x:c r="E822" t="str"/>
      <x:c r="F822" t="str">
        <x:v>Burden depends on capacity</x:v>
      </x:c>
      <x:c r="G822" t="str">
        <x:v>Capacity / Context</x:v>
      </x:c>
      <x:c r="H822" t="str"/>
      <x:c r="I822" t="str"/>
      <x:c r="J822" t="str"/>
      <x:c r="K822" t="str">
        <x:v>Reframe</x:v>
      </x:c>
      <x:c r="L822" t="str"/>
      <x:c r="M822" t="str">
        <x:v>Source-anchored parable/metaphor paraphrase</x:v>
      </x:c>
      <x:c r="N822" t="str">
        <x:v>[Exact Pāḷi not copied; retrieve passage-level original before direct-quote Release]</x:v>
      </x:c>
      <x:c r="O822" t="str">
        <x:v>Pāḷi source / Vietnamese research paraphrase</x:v>
      </x:c>
      <x:c r="P822" t="str">
        <x:v>Một sợi dây mảnh có thể là chuyện rất nhỏ với con vật mạnh nhưng lại là cái bẫy sống còn với một con chim cút.</x:v>
      </x:c>
      <x:c r="Q822" t="str">
        <x:v>Early Buddhist Pāḷi canonical tradition</x:v>
      </x:c>
      <x:c r="R822" t="str">
        <x:v>Early Buddhism / Pāḷi</x:v>
      </x:c>
      <x:c r="S822" t="str">
        <x:v>MN 66 Laṭukikopama Sutta</x:v>
      </x:c>
      <x:c r="T822" t="str">
        <x:v>Quail and snare</x:v>
      </x:c>
      <x:c r="U822" t="str">
        <x:v>https://accesstoinsight.org/tipitaka/mn/</x:v>
      </x:c>
      <x:c r="V822" t="str">
        <x:v>Canonical source / reputable translation index</x:v>
      </x:c>
      <x:c r="W822" t="str">
        <x:v>Research paraphrase — NOT direct quote</x:v>
      </x:c>
      <x:c r="X822" t="str">
        <x:v>A/B - canonical source and simile verified; wording is Selflo paraphrase</x:v>
      </x:c>
      <x:c r="Y822" t="str">
        <x:v>Canonical simile/source located. Exact Pāḷi intentionally not fabricated in Day 14 collection pass.</x:v>
      </x:c>
      <x:c r="Z822" t="str">
        <x:v>Ancient source public domain; modern translation rights separate</x:v>
      </x:c>
      <x:c r="AA822" t="str">
        <x:v>Use fresh Selflo adaptation. Do not copy modern English/Vietnamese translations verbatim.</x:v>
      </x:c>
      <x:c r="AB822" t="str">
        <x:v>High</x:v>
      </x:c>
      <x:c r="AC822" t="str">
        <x:v>Collected for broad pool; later curation decides Release.</x:v>
      </x:c>
      <x:c r="AD822" t="str">
        <x:v>Medium — preserve canonical/religious context and avoid therapeutic overclaim</x:v>
      </x:c>
      <x:c r="AE822" t="str">
        <x:v>High with Days 11–13; semantic dedupe required</x:v>
      </x:c>
      <x:c r="AF822" t="str"/>
      <x:c r="AG822" t="str"/>
      <x:c r="AH822" t="str">
        <x:v>No</x:v>
      </x:c>
      <x:c r="AI822" t="str">
        <x:v>Not reviewed</x:v>
      </x:c>
      <x:c r="AJ822" t="str">
        <x:v>Research only</x:v>
      </x:c>
      <x:c r="AK822" t="str">
        <x:v>Research Pool</x:v>
      </x:c>
      <x:c r="AL822" t="n">
        <x:v>14</x:v>
      </x:c>
      <x:c r="AM822" t="str">
        <x:v>ChatGPT research</x:v>
      </x:c>
      <x:c r="AN822" t="str">
        <x:v>2026-09-18</x:v>
      </x:c>
      <x:c r="AO822" t="str">
        <x:v>Day 14 provenance-first collection. Canonical parables/metaphors only in this row set.</x:v>
      </x:c>
    </x:row>
    <x:row r="823">
      <x:c r="A823" t="str">
        <x:v>research.buddhist.day14.mn66_quail_02</x:v>
      </x:c>
      <x:c r="B823" t="str">
        <x:v>Collected</x:v>
      </x:c>
      <x:c r="C823" t="str">
        <x:v>Nội tâm &amp; hiểu mình</x:v>
      </x:c>
      <x:c r="D823" t="str">
        <x:v>Day 14 / Early Buddhist parables</x:v>
      </x:c>
      <x:c r="E823" t="str"/>
      <x:c r="F823" t="str">
        <x:v>Same demand different burden</x:v>
      </x:c>
      <x:c r="G823" t="str">
        <x:v>Capacity / Self-compassion</x:v>
      </x:c>
      <x:c r="H823" t="str"/>
      <x:c r="I823" t="str"/>
      <x:c r="J823" t="str"/>
      <x:c r="K823" t="str">
        <x:v>Distinguish</x:v>
      </x:c>
      <x:c r="L823" t="str"/>
      <x:c r="M823" t="str">
        <x:v>Source-anchored parable/metaphor paraphrase</x:v>
      </x:c>
      <x:c r="N823" t="str">
        <x:v>[Exact Pāḷi not copied; retrieve passage-level original before direct-quote Release]</x:v>
      </x:c>
      <x:c r="O823" t="str">
        <x:v>Pāḷi source / Vietnamese research paraphrase</x:v>
      </x:c>
      <x:c r="P823" t="str">
        <x:v>Độ nặng của một ràng buộc không chỉ nằm ở vật liệu của nó; còn nằm ở quan hệ giữa ràng buộc và người đang bị giữ.</x:v>
      </x:c>
      <x:c r="Q823" t="str">
        <x:v>Early Buddhist Pāḷi canonical tradition</x:v>
      </x:c>
      <x:c r="R823" t="str">
        <x:v>Early Buddhism / Pāḷi</x:v>
      </x:c>
      <x:c r="S823" t="str">
        <x:v>MN 66 Laṭukikopama Sutta</x:v>
      </x:c>
      <x:c r="T823" t="str">
        <x:v>Strength of a fetter</x:v>
      </x:c>
      <x:c r="U823" t="str">
        <x:v>https://accesstoinsight.org/tipitaka/mn/</x:v>
      </x:c>
      <x:c r="V823" t="str">
        <x:v>Canonical source / reputable translation index</x:v>
      </x:c>
      <x:c r="W823" t="str">
        <x:v>Research paraphrase — NOT direct quote</x:v>
      </x:c>
      <x:c r="X823" t="str">
        <x:v>A/B - canonical source and simile verified; wording is Selflo paraphrase</x:v>
      </x:c>
      <x:c r="Y823" t="str">
        <x:v>Canonical simile/source located. Exact Pāḷi intentionally not fabricated in Day 14 collection pass.</x:v>
      </x:c>
      <x:c r="Z823" t="str">
        <x:v>Ancient source public domain; modern translation rights separate</x:v>
      </x:c>
      <x:c r="AA823" t="str">
        <x:v>Use fresh Selflo adaptation. Do not copy modern English/Vietnamese translations verbatim.</x:v>
      </x:c>
      <x:c r="AB823" t="str">
        <x:v>High</x:v>
      </x:c>
      <x:c r="AC823" t="str">
        <x:v>Collected for broad pool; later curation decides Release.</x:v>
      </x:c>
      <x:c r="AD823" t="str">
        <x:v>Medium — preserve canonical/religious context and avoid therapeutic overclaim</x:v>
      </x:c>
      <x:c r="AE823" t="str">
        <x:v>High with Days 11–13; semantic dedupe required</x:v>
      </x:c>
      <x:c r="AF823" t="str"/>
      <x:c r="AG823" t="str"/>
      <x:c r="AH823" t="str">
        <x:v>No</x:v>
      </x:c>
      <x:c r="AI823" t="str">
        <x:v>Not reviewed</x:v>
      </x:c>
      <x:c r="AJ823" t="str">
        <x:v>Research only</x:v>
      </x:c>
      <x:c r="AK823" t="str">
        <x:v>Research Pool</x:v>
      </x:c>
      <x:c r="AL823" t="n">
        <x:v>14</x:v>
      </x:c>
      <x:c r="AM823" t="str">
        <x:v>ChatGPT research</x:v>
      </x:c>
      <x:c r="AN823" t="str">
        <x:v>2026-09-18</x:v>
      </x:c>
      <x:c r="AO823" t="str">
        <x:v>Day 14 provenance-first collection. Canonical parables/metaphors only in this row set.</x:v>
      </x:c>
    </x:row>
    <x:row r="824">
      <x:c r="A824" t="str">
        <x:v>research.buddhist.day14.mn21_vede_01</x:v>
      </x:c>
      <x:c r="B824" t="str">
        <x:v>Collected</x:v>
      </x:c>
      <x:c r="C824" t="str">
        <x:v>Nội tâm &amp; hiểu mình</x:v>
      </x:c>
      <x:c r="D824" t="str">
        <x:v>Day 14 / Early Buddhist parables</x:v>
      </x:c>
      <x:c r="E824" t="str"/>
      <x:c r="F824" t="str">
        <x:v>Character under conditions</x:v>
      </x:c>
      <x:c r="G824" t="str">
        <x:v>Self-understanding / Context</x:v>
      </x:c>
      <x:c r="H824" t="str"/>
      <x:c r="I824" t="str"/>
      <x:c r="J824" t="str"/>
      <x:c r="K824" t="str">
        <x:v>Recognize</x:v>
      </x:c>
      <x:c r="L824" t="str"/>
      <x:c r="M824" t="str">
        <x:v>Source-anchored parable/metaphor paraphrase</x:v>
      </x:c>
      <x:c r="N824" t="str">
        <x:v>[Exact Pāḷi not copied; retrieve passage-level original before direct-quote Release]</x:v>
      </x:c>
      <x:c r="O824" t="str">
        <x:v>Pāḷi source / Vietnamese research paraphrase</x:v>
      </x:c>
      <x:c r="P824" t="str">
        <x:v>Danh tiếng 'điềm tĩnh' của Vedehikā chỉ được kiểm tra khi người hầu thay đổi điều kiện thuận lợi vốn giúp bà không nổi giận.</x:v>
      </x:c>
      <x:c r="Q824" t="str">
        <x:v>Early Buddhist Pāḷi canonical tradition</x:v>
      </x:c>
      <x:c r="R824" t="str">
        <x:v>Early Buddhism / Pāḷi</x:v>
      </x:c>
      <x:c r="S824" t="str">
        <x:v>MN 21 Kakacūpama Sutta</x:v>
      </x:c>
      <x:c r="T824" t="str">
        <x:v>Lady Vedehikā</x:v>
      </x:c>
      <x:c r="U824" t="str">
        <x:v>https://accesstoinsight.org/tipitaka/mn/mn.021x.than</x:v>
      </x:c>
      <x:c r="V824" t="str">
        <x:v>Canonical source / reputable translation index</x:v>
      </x:c>
      <x:c r="W824" t="str">
        <x:v>Research paraphrase — NOT direct quote</x:v>
      </x:c>
      <x:c r="X824" t="str">
        <x:v>A/B - canonical source and simile verified; wording is Selflo paraphrase</x:v>
      </x:c>
      <x:c r="Y824" t="str">
        <x:v>Canonical simile/source located. Exact Pāḷi intentionally not fabricated in Day 14 collection pass.</x:v>
      </x:c>
      <x:c r="Z824" t="str">
        <x:v>Ancient source public domain; modern translation rights separate</x:v>
      </x:c>
      <x:c r="AA824" t="str">
        <x:v>Use fresh Selflo adaptation. Do not copy modern English/Vietnamese translations verbatim.</x:v>
      </x:c>
      <x:c r="AB824" t="str">
        <x:v>High</x:v>
      </x:c>
      <x:c r="AC824" t="str">
        <x:v>Collected for broad pool; later curation decides Release.</x:v>
      </x:c>
      <x:c r="AD824" t="str">
        <x:v>Medium — preserve canonical/religious context and avoid therapeutic overclaim</x:v>
      </x:c>
      <x:c r="AE824" t="str">
        <x:v>High with Days 11–13; semantic dedupe required</x:v>
      </x:c>
      <x:c r="AF824" t="str"/>
      <x:c r="AG824" t="str"/>
      <x:c r="AH824" t="str">
        <x:v>No</x:v>
      </x:c>
      <x:c r="AI824" t="str">
        <x:v>Not reviewed</x:v>
      </x:c>
      <x:c r="AJ824" t="str">
        <x:v>Research only</x:v>
      </x:c>
      <x:c r="AK824" t="str">
        <x:v>Research Pool</x:v>
      </x:c>
      <x:c r="AL824" t="n">
        <x:v>14</x:v>
      </x:c>
      <x:c r="AM824" t="str">
        <x:v>ChatGPT research</x:v>
      </x:c>
      <x:c r="AN824" t="str">
        <x:v>2026-09-18</x:v>
      </x:c>
      <x:c r="AO824" t="str">
        <x:v>Day 14 provenance-first collection. Canonical parables/metaphors only in this row set.</x:v>
      </x:c>
    </x:row>
    <x:row r="825">
      <x:c r="A825" t="str">
        <x:v>research.buddhist.day14.mn21_saw_01</x:v>
      </x:c>
      <x:c r="B825" t="str">
        <x:v>Collected</x:v>
      </x:c>
      <x:c r="C825" t="str">
        <x:v>Nội tâm &amp; hiểu mình</x:v>
      </x:c>
      <x:c r="D825" t="str">
        <x:v>Day 14 / Early Buddhist parables</x:v>
      </x:c>
      <x:c r="E825" t="str"/>
      <x:c r="F825" t="str">
        <x:v>Response and provocation</x:v>
      </x:c>
      <x:c r="G825" t="str">
        <x:v>Anger / Agency</x:v>
      </x:c>
      <x:c r="H825" t="str"/>
      <x:c r="I825" t="str"/>
      <x:c r="J825" t="str"/>
      <x:c r="K825" t="str">
        <x:v>Distinguish</x:v>
      </x:c>
      <x:c r="L825" t="str"/>
      <x:c r="M825" t="str">
        <x:v>Source-anchored parable/metaphor paraphrase</x:v>
      </x:c>
      <x:c r="N825" t="str">
        <x:v>[Exact Pāḷi not copied; retrieve passage-level original before direct-quote Release]</x:v>
      </x:c>
      <x:c r="O825" t="str">
        <x:v>Pāḷi source / Vietnamese research paraphrase</x:v>
      </x:c>
      <x:c r="P825" t="str">
        <x:v>Bài kinh dùng một tình huống cực đoan để tách hành vi của người khác khỏi loại tâm và lời mình tiếp tục nuôi để đáp lại.</x:v>
      </x:c>
      <x:c r="Q825" t="str">
        <x:v>Early Buddhist Pāḷi canonical tradition</x:v>
      </x:c>
      <x:c r="R825" t="str">
        <x:v>Early Buddhism / Pāḷi</x:v>
      </x:c>
      <x:c r="S825" t="str">
        <x:v>MN 21 Kakacūpama Sutta</x:v>
      </x:c>
      <x:c r="T825" t="str">
        <x:v>Simile of the saw</x:v>
      </x:c>
      <x:c r="U825" t="str">
        <x:v>https://accesstoinsight.org/tipitaka/mn/mn.021x.than</x:v>
      </x:c>
      <x:c r="V825" t="str">
        <x:v>Canonical source / reputable translation index</x:v>
      </x:c>
      <x:c r="W825" t="str">
        <x:v>Research paraphrase — NOT direct quote</x:v>
      </x:c>
      <x:c r="X825" t="str">
        <x:v>A/B - canonical source and simile verified; wording is Selflo paraphrase</x:v>
      </x:c>
      <x:c r="Y825" t="str">
        <x:v>Canonical simile/source located. Exact Pāḷi intentionally not fabricated in Day 14 collection pass.</x:v>
      </x:c>
      <x:c r="Z825" t="str">
        <x:v>Ancient source public domain; modern translation rights separate</x:v>
      </x:c>
      <x:c r="AA825" t="str">
        <x:v>Use fresh Selflo adaptation. Do not copy modern English/Vietnamese translations verbatim.</x:v>
      </x:c>
      <x:c r="AB825" t="str">
        <x:v>Medium</x:v>
      </x:c>
      <x:c r="AC825" t="str">
        <x:v>Collected for broad pool; later curation decides Release.</x:v>
      </x:c>
      <x:c r="AD825" t="str">
        <x:v>Medium — preserve canonical/religious context and avoid therapeutic overclaim</x:v>
      </x:c>
      <x:c r="AE825" t="str">
        <x:v>High with Days 11–13; semantic dedupe required</x:v>
      </x:c>
      <x:c r="AF825" t="str"/>
      <x:c r="AG825" t="str"/>
      <x:c r="AH825" t="str">
        <x:v>No</x:v>
      </x:c>
      <x:c r="AI825" t="str">
        <x:v>Not reviewed</x:v>
      </x:c>
      <x:c r="AJ825" t="str">
        <x:v>Research only</x:v>
      </x:c>
      <x:c r="AK825" t="str">
        <x:v>Research Pool</x:v>
      </x:c>
      <x:c r="AL825" t="n">
        <x:v>14</x:v>
      </x:c>
      <x:c r="AM825" t="str">
        <x:v>ChatGPT research</x:v>
      </x:c>
      <x:c r="AN825" t="str">
        <x:v>2026-09-18</x:v>
      </x:c>
      <x:c r="AO825" t="str">
        <x:v>Day 14 provenance-first collection. Canonical parables/metaphors only in this row set.</x:v>
      </x:c>
    </x:row>
    <x:row r="826">
      <x:c r="A826" t="str">
        <x:v>research.buddhist.day14.mn105_wound_01</x:v>
      </x:c>
      <x:c r="B826" t="str">
        <x:v>Collected</x:v>
      </x:c>
      <x:c r="C826" t="str">
        <x:v>Nội tâm &amp; hiểu mình</x:v>
      </x:c>
      <x:c r="D826" t="str">
        <x:v>Day 14 / Early Buddhist parables</x:v>
      </x:c>
      <x:c r="E826" t="str"/>
      <x:c r="F826" t="str">
        <x:v>Event ended, recovery continues</x:v>
      </x:c>
      <x:c r="G826" t="str">
        <x:v>Recovery / Healing</x:v>
      </x:c>
      <x:c r="H826" t="str"/>
      <x:c r="I826" t="str"/>
      <x:c r="J826" t="str"/>
      <x:c r="K826" t="str">
        <x:v>Normalize</x:v>
      </x:c>
      <x:c r="L826" t="str"/>
      <x:c r="M826" t="str">
        <x:v>Source-anchored parable/metaphor paraphrase</x:v>
      </x:c>
      <x:c r="N826" t="str">
        <x:v>[Exact Pāḷi not copied; retrieve passage-level original before direct-quote Release]</x:v>
      </x:c>
      <x:c r="O826" t="str">
        <x:v>Pāḷi source / Vietnamese research paraphrase</x:v>
      </x:c>
      <x:c r="P826" t="str">
        <x:v>Lấy được mũi tên ra chưa có nghĩa vết thương đã hồi phục; phần còn lại vẫn cần thời gian và cách chăm phù hợp.</x:v>
      </x:c>
      <x:c r="Q826" t="str">
        <x:v>Early Buddhist Pāḷi canonical tradition</x:v>
      </x:c>
      <x:c r="R826" t="str">
        <x:v>Early Buddhism / Pāḷi</x:v>
      </x:c>
      <x:c r="S826" t="str">
        <x:v>MN 105 Sunakkhatta Sutta</x:v>
      </x:c>
      <x:c r="T826" t="str">
        <x:v>Wound after arrow removal</x:v>
      </x:c>
      <x:c r="U826" t="str">
        <x:v>https://accesstoinsight.org/tipitaka/mn/mn.105.than.html</x:v>
      </x:c>
      <x:c r="V826" t="str">
        <x:v>Canonical source / reputable translation index</x:v>
      </x:c>
      <x:c r="W826" t="str">
        <x:v>Research paraphrase — NOT direct quote</x:v>
      </x:c>
      <x:c r="X826" t="str">
        <x:v>A/B - canonical source and simile verified; wording is Selflo paraphrase</x:v>
      </x:c>
      <x:c r="Y826" t="str">
        <x:v>Canonical simile/source located. Exact Pāḷi intentionally not fabricated in Day 14 collection pass.</x:v>
      </x:c>
      <x:c r="Z826" t="str">
        <x:v>Ancient source public domain; modern translation rights separate</x:v>
      </x:c>
      <x:c r="AA826" t="str">
        <x:v>Use fresh Selflo adaptation. Do not copy modern English/Vietnamese translations verbatim.</x:v>
      </x:c>
      <x:c r="AB826" t="str">
        <x:v>High</x:v>
      </x:c>
      <x:c r="AC826" t="str">
        <x:v>Collected for broad pool; later curation decides Release.</x:v>
      </x:c>
      <x:c r="AD826" t="str">
        <x:v>Medium — preserve canonical/religious context and avoid therapeutic overclaim</x:v>
      </x:c>
      <x:c r="AE826" t="str">
        <x:v>High with Days 11–13; semantic dedupe required</x:v>
      </x:c>
      <x:c r="AF826" t="str"/>
      <x:c r="AG826" t="str"/>
      <x:c r="AH826" t="str">
        <x:v>No</x:v>
      </x:c>
      <x:c r="AI826" t="str">
        <x:v>Not reviewed</x:v>
      </x:c>
      <x:c r="AJ826" t="str">
        <x:v>Research only</x:v>
      </x:c>
      <x:c r="AK826" t="str">
        <x:v>Research Pool</x:v>
      </x:c>
      <x:c r="AL826" t="n">
        <x:v>14</x:v>
      </x:c>
      <x:c r="AM826" t="str">
        <x:v>ChatGPT research</x:v>
      </x:c>
      <x:c r="AN826" t="str">
        <x:v>2026-09-18</x:v>
      </x:c>
      <x:c r="AO826" t="str">
        <x:v>Day 14 provenance-first collection. Canonical parables/metaphors only in this row set.</x:v>
      </x:c>
    </x:row>
    <x:row r="827">
      <x:c r="A827" t="str">
        <x:v>research.buddhist.day14.mn105_wound_02</x:v>
      </x:c>
      <x:c r="B827" t="str">
        <x:v>Collected</x:v>
      </x:c>
      <x:c r="C827" t="str">
        <x:v>Nội tâm &amp; hiểu mình</x:v>
      </x:c>
      <x:c r="D827" t="str">
        <x:v>Day 14 / Early Buddhist parables</x:v>
      </x:c>
      <x:c r="E827" t="str"/>
      <x:c r="F827" t="str">
        <x:v>Residual effects</x:v>
      </x:c>
      <x:c r="G827" t="str">
        <x:v>Recovery / Self-compassion</x:v>
      </x:c>
      <x:c r="H827" t="str"/>
      <x:c r="I827" t="str"/>
      <x:c r="J827" t="str"/>
      <x:c r="K827" t="str">
        <x:v>Normalize</x:v>
      </x:c>
      <x:c r="L827" t="str"/>
      <x:c r="M827" t="str">
        <x:v>Source-anchored parable/metaphor paraphrase</x:v>
      </x:c>
      <x:c r="N827" t="str">
        <x:v>[Exact Pāḷi not copied; retrieve passage-level original before direct-quote Release]</x:v>
      </x:c>
      <x:c r="O827" t="str">
        <x:v>Pāḷi source / Vietnamese research paraphrase</x:v>
      </x:c>
      <x:c r="P827" t="str">
        <x:v>Một nguyên nhân lớn đã được loại bỏ nhưng dấu vết còn lại vẫn có thể cần được chăm—hai điều này có thể cùng đúng.</x:v>
      </x:c>
      <x:c r="Q827" t="str">
        <x:v>Early Buddhist Pāḷi canonical tradition</x:v>
      </x:c>
      <x:c r="R827" t="str">
        <x:v>Early Buddhism / Pāḷi</x:v>
      </x:c>
      <x:c r="S827" t="str">
        <x:v>MN 105 Sunakkhatta Sutta</x:v>
      </x:c>
      <x:c r="T827" t="str">
        <x:v>Residue after treatment</x:v>
      </x:c>
      <x:c r="U827" t="str">
        <x:v>https://accesstoinsight.org/tipitaka/mn/mn.105.than.html</x:v>
      </x:c>
      <x:c r="V827" t="str">
        <x:v>Canonical source / reputable translation index</x:v>
      </x:c>
      <x:c r="W827" t="str">
        <x:v>Research paraphrase — NOT direct quote</x:v>
      </x:c>
      <x:c r="X827" t="str">
        <x:v>A/B - canonical source and simile verified; wording is Selflo paraphrase</x:v>
      </x:c>
      <x:c r="Y827" t="str">
        <x:v>Canonical simile/source located. Exact Pāḷi intentionally not fabricated in Day 14 collection pass.</x:v>
      </x:c>
      <x:c r="Z827" t="str">
        <x:v>Ancient source public domain; modern translation rights separate</x:v>
      </x:c>
      <x:c r="AA827" t="str">
        <x:v>Use fresh Selflo adaptation. Do not copy modern English/Vietnamese translations verbatim.</x:v>
      </x:c>
      <x:c r="AB827" t="str">
        <x:v>High</x:v>
      </x:c>
      <x:c r="AC827" t="str">
        <x:v>Collected for broad pool; later curation decides Release.</x:v>
      </x:c>
      <x:c r="AD827" t="str">
        <x:v>Medium — preserve canonical/religious context and avoid therapeutic overclaim</x:v>
      </x:c>
      <x:c r="AE827" t="str">
        <x:v>High with Days 11–13; semantic dedupe required</x:v>
      </x:c>
      <x:c r="AF827" t="str"/>
      <x:c r="AG827" t="str"/>
      <x:c r="AH827" t="str">
        <x:v>No</x:v>
      </x:c>
      <x:c r="AI827" t="str">
        <x:v>Not reviewed</x:v>
      </x:c>
      <x:c r="AJ827" t="str">
        <x:v>Research only</x:v>
      </x:c>
      <x:c r="AK827" t="str">
        <x:v>Research Pool</x:v>
      </x:c>
      <x:c r="AL827" t="n">
        <x:v>14</x:v>
      </x:c>
      <x:c r="AM827" t="str">
        <x:v>ChatGPT research</x:v>
      </x:c>
      <x:c r="AN827" t="str">
        <x:v>2026-09-18</x:v>
      </x:c>
      <x:c r="AO827" t="str">
        <x:v>Day 14 provenance-first collection. Canonical parables/metaphors only in this row set.</x:v>
      </x:c>
    </x:row>
    <x:row r="828">
      <x:c r="A828" t="str">
        <x:v>research.buddhist.day14.snp28_boat_01</x:v>
      </x:c>
      <x:c r="B828" t="str">
        <x:v>Collected</x:v>
      </x:c>
      <x:c r="C828" t="str">
        <x:v>Nội tâm &amp; hiểu mình</x:v>
      </x:c>
      <x:c r="D828" t="str">
        <x:v>Day 14 / Early Buddhist parables</x:v>
      </x:c>
      <x:c r="E828" t="str"/>
      <x:c r="F828" t="str">
        <x:v>Capacity before helping</x:v>
      </x:c>
      <x:c r="G828" t="str">
        <x:v>Relationships / Capacity</x:v>
      </x:c>
      <x:c r="H828" t="str"/>
      <x:c r="I828" t="str"/>
      <x:c r="J828" t="str"/>
      <x:c r="K828" t="str">
        <x:v>Distinguish</x:v>
      </x:c>
      <x:c r="L828" t="str"/>
      <x:c r="M828" t="str">
        <x:v>Source-anchored parable/metaphor paraphrase</x:v>
      </x:c>
      <x:c r="N828" t="str">
        <x:v>[Exact Pāḷi not copied; retrieve passage-level original before direct-quote Release]</x:v>
      </x:c>
      <x:c r="O828" t="str">
        <x:v>Pāḷi source / Vietnamese research paraphrase</x:v>
      </x:c>
      <x:c r="P828" t="str">
        <x:v>Người đang bị dòng nước cuốn đi khó có thể giúp người khác sang bờ chỉ bằng ý muốn tốt.</x:v>
      </x:c>
      <x:c r="Q828" t="str">
        <x:v>Early Buddhist Pāḷi canonical tradition</x:v>
      </x:c>
      <x:c r="R828" t="str">
        <x:v>Early Buddhism / Pāḷi</x:v>
      </x:c>
      <x:c r="S828" t="str">
        <x:v>Sn 2.8 Nāvā Sutta</x:v>
      </x:c>
      <x:c r="T828" t="str">
        <x:v>Person swept by river</x:v>
      </x:c>
      <x:c r="U828" t="str">
        <x:v>https://accesstoinsight.org/tipitaka/kn/snp/snp.2.08.irel</x:v>
      </x:c>
      <x:c r="V828" t="str">
        <x:v>Canonical source / reputable translation index</x:v>
      </x:c>
      <x:c r="W828" t="str">
        <x:v>Research paraphrase — NOT direct quote</x:v>
      </x:c>
      <x:c r="X828" t="str">
        <x:v>A/B - canonical source and simile verified; wording is Selflo paraphrase</x:v>
      </x:c>
      <x:c r="Y828" t="str">
        <x:v>Canonical simile/source located. Exact Pāḷi intentionally not fabricated in Day 14 collection pass.</x:v>
      </x:c>
      <x:c r="Z828" t="str">
        <x:v>Ancient source public domain; modern translation rights separate</x:v>
      </x:c>
      <x:c r="AA828" t="str">
        <x:v>Use fresh Selflo adaptation. Do not copy modern English/Vietnamese translations verbatim.</x:v>
      </x:c>
      <x:c r="AB828" t="str">
        <x:v>High</x:v>
      </x:c>
      <x:c r="AC828" t="str">
        <x:v>Collected for broad pool; later curation decides Release.</x:v>
      </x:c>
      <x:c r="AD828" t="str">
        <x:v>Medium — preserve canonical/religious context and avoid therapeutic overclaim</x:v>
      </x:c>
      <x:c r="AE828" t="str">
        <x:v>High with Days 11–13; semantic dedupe required</x:v>
      </x:c>
      <x:c r="AF828" t="str"/>
      <x:c r="AG828" t="str"/>
      <x:c r="AH828" t="str">
        <x:v>No</x:v>
      </x:c>
      <x:c r="AI828" t="str">
        <x:v>Not reviewed</x:v>
      </x:c>
      <x:c r="AJ828" t="str">
        <x:v>Research only</x:v>
      </x:c>
      <x:c r="AK828" t="str">
        <x:v>Research Pool</x:v>
      </x:c>
      <x:c r="AL828" t="n">
        <x:v>14</x:v>
      </x:c>
      <x:c r="AM828" t="str">
        <x:v>ChatGPT research</x:v>
      </x:c>
      <x:c r="AN828" t="str">
        <x:v>2026-09-18</x:v>
      </x:c>
      <x:c r="AO828" t="str">
        <x:v>Day 14 provenance-first collection. Canonical parables/metaphors only in this row set.</x:v>
      </x:c>
    </x:row>
    <x:row r="829">
      <x:c r="A829" t="str">
        <x:v>research.buddhist.day14.snp28_boat_02</x:v>
      </x:c>
      <x:c r="B829" t="str">
        <x:v>Collected</x:v>
      </x:c>
      <x:c r="C829" t="str">
        <x:v>Nội tâm &amp; hiểu mình</x:v>
      </x:c>
      <x:c r="D829" t="str">
        <x:v>Day 14 / Early Buddhist parables</x:v>
      </x:c>
      <x:c r="E829" t="str"/>
      <x:c r="F829" t="str">
        <x:v>Guidance needs grounding</x:v>
      </x:c>
      <x:c r="G829" t="str">
        <x:v>Learning / Responsibility</x:v>
      </x:c>
      <x:c r="H829" t="str"/>
      <x:c r="I829" t="str"/>
      <x:c r="J829" t="str"/>
      <x:c r="K829" t="str">
        <x:v>Reframe</x:v>
      </x:c>
      <x:c r="L829" t="str"/>
      <x:c r="M829" t="str">
        <x:v>Source-anchored parable/metaphor paraphrase</x:v>
      </x:c>
      <x:c r="N829" t="str">
        <x:v>[Exact Pāḷi not copied; retrieve passage-level original before direct-quote Release]</x:v>
      </x:c>
      <x:c r="O829" t="str">
        <x:v>Pāḷi source / Vietnamese research paraphrase</x:v>
      </x:c>
      <x:c r="P829" t="str">
        <x:v>Muốn giúp người khác đi qua một đoạn khó, bản thân người hướng dẫn cũng cần hiểu con đường đủ sâu để không cùng bị cuốn đi.</x:v>
      </x:c>
      <x:c r="Q829" t="str">
        <x:v>Early Buddhist Pāḷi canonical tradition</x:v>
      </x:c>
      <x:c r="R829" t="str">
        <x:v>Early Buddhism / Pāḷi</x:v>
      </x:c>
      <x:c r="S829" t="str">
        <x:v>Sn 2.8 Nāvā Sutta</x:v>
      </x:c>
      <x:c r="T829" t="str">
        <x:v>Teacher as a sound boat</x:v>
      </x:c>
      <x:c r="U829" t="str">
        <x:v>https://accesstoinsight.org/tipitaka/kn/snp/snp.2.08.irel</x:v>
      </x:c>
      <x:c r="V829" t="str">
        <x:v>Canonical source / reputable translation index</x:v>
      </x:c>
      <x:c r="W829" t="str">
        <x:v>Research paraphrase — NOT direct quote</x:v>
      </x:c>
      <x:c r="X829" t="str">
        <x:v>A/B - canonical source and simile verified; wording is Selflo paraphrase</x:v>
      </x:c>
      <x:c r="Y829" t="str">
        <x:v>Canonical simile/source located. Exact Pāḷi intentionally not fabricated in Day 14 collection pass.</x:v>
      </x:c>
      <x:c r="Z829" t="str">
        <x:v>Ancient source public domain; modern translation rights separate</x:v>
      </x:c>
      <x:c r="AA829" t="str">
        <x:v>Use fresh Selflo adaptation. Do not copy modern English/Vietnamese translations verbatim.</x:v>
      </x:c>
      <x:c r="AB829" t="str">
        <x:v>High</x:v>
      </x:c>
      <x:c r="AC829" t="str">
        <x:v>Collected for broad pool; later curation decides Release.</x:v>
      </x:c>
      <x:c r="AD829" t="str">
        <x:v>Medium — preserve canonical/religious context and avoid therapeutic overclaim</x:v>
      </x:c>
      <x:c r="AE829" t="str">
        <x:v>High with Days 11–13; semantic dedupe required</x:v>
      </x:c>
      <x:c r="AF829" t="str"/>
      <x:c r="AG829" t="str"/>
      <x:c r="AH829" t="str">
        <x:v>No</x:v>
      </x:c>
      <x:c r="AI829" t="str">
        <x:v>Not reviewed</x:v>
      </x:c>
      <x:c r="AJ829" t="str">
        <x:v>Research only</x:v>
      </x:c>
      <x:c r="AK829" t="str">
        <x:v>Research Pool</x:v>
      </x:c>
      <x:c r="AL829" t="n">
        <x:v>14</x:v>
      </x:c>
      <x:c r="AM829" t="str">
        <x:v>ChatGPT research</x:v>
      </x:c>
      <x:c r="AN829" t="str">
        <x:v>2026-09-18</x:v>
      </x:c>
      <x:c r="AO829" t="str">
        <x:v>Day 14 provenance-first collection. Canonical parables/metaphors only in this row set.</x:v>
      </x:c>
    </x:row>
    <x:row r="830">
      <x:c r="A830" t="str">
        <x:v>research.buddhist.day14.ud69_moths_01</x:v>
      </x:c>
      <x:c r="B830" t="str">
        <x:v>Collected</x:v>
      </x:c>
      <x:c r="C830" t="str">
        <x:v>Nội tâm &amp; hiểu mình</x:v>
      </x:c>
      <x:c r="D830" t="str">
        <x:v>Day 14 / Early Buddhist parables</x:v>
      </x:c>
      <x:c r="E830" t="str"/>
      <x:c r="F830" t="str">
        <x:v>Attraction and consequence</x:v>
      </x:c>
      <x:c r="G830" t="str">
        <x:v>Desire / Attention</x:v>
      </x:c>
      <x:c r="H830" t="str"/>
      <x:c r="I830" t="str"/>
      <x:c r="J830" t="str"/>
      <x:c r="K830" t="str">
        <x:v>Recognize</x:v>
      </x:c>
      <x:c r="L830" t="str"/>
      <x:c r="M830" t="str">
        <x:v>Source-anchored parable/metaphor paraphrase</x:v>
      </x:c>
      <x:c r="N830" t="str">
        <x:v>[Exact Pāḷi not copied; retrieve passage-level original before direct-quote Release]</x:v>
      </x:c>
      <x:c r="O830" t="str">
        <x:v>Pāḷi source / Vietnamese research paraphrase</x:v>
      </x:c>
      <x:c r="P830" t="str">
        <x:v>Có những thứ thu hút mạnh đến mức chính sức hút ấy làm ta khó nhìn hậu quả của việc tiếp tục lao tới.</x:v>
      </x:c>
      <x:c r="Q830" t="str">
        <x:v>Early Buddhist Pāḷi canonical tradition</x:v>
      </x:c>
      <x:c r="R830" t="str">
        <x:v>Early Buddhism / Pāḷi</x:v>
      </x:c>
      <x:c r="S830" t="str">
        <x:v>Ud 6.9</x:v>
      </x:c>
      <x:c r="T830" t="str">
        <x:v>Moths and flame</x:v>
      </x:c>
      <x:c r="U830" t="str">
        <x:v>https://accesstoinsight.org/tipitaka/kn/ud/</x:v>
      </x:c>
      <x:c r="V830" t="str">
        <x:v>Canonical source / reputable translation index</x:v>
      </x:c>
      <x:c r="W830" t="str">
        <x:v>Research paraphrase — NOT direct quote</x:v>
      </x:c>
      <x:c r="X830" t="str">
        <x:v>A/B - canonical source and simile verified; wording is Selflo paraphrase</x:v>
      </x:c>
      <x:c r="Y830" t="str">
        <x:v>Canonical simile/source located. Exact Pāḷi intentionally not fabricated in Day 14 collection pass.</x:v>
      </x:c>
      <x:c r="Z830" t="str">
        <x:v>Ancient source public domain; modern translation rights separate</x:v>
      </x:c>
      <x:c r="AA830" t="str">
        <x:v>Use fresh Selflo adaptation. Do not copy modern English/Vietnamese translations verbatim.</x:v>
      </x:c>
      <x:c r="AB830" t="str">
        <x:v>Medium</x:v>
      </x:c>
      <x:c r="AC830" t="str">
        <x:v>Collected for broad pool; later curation decides Release.</x:v>
      </x:c>
      <x:c r="AD830" t="str">
        <x:v>Medium — preserve canonical/religious context and avoid therapeutic overclaim</x:v>
      </x:c>
      <x:c r="AE830" t="str">
        <x:v>High with Days 11–13; semantic dedupe required</x:v>
      </x:c>
      <x:c r="AF830" t="str"/>
      <x:c r="AG830" t="str"/>
      <x:c r="AH830" t="str">
        <x:v>No</x:v>
      </x:c>
      <x:c r="AI830" t="str">
        <x:v>Not reviewed</x:v>
      </x:c>
      <x:c r="AJ830" t="str">
        <x:v>Research only</x:v>
      </x:c>
      <x:c r="AK830" t="str">
        <x:v>Research Pool</x:v>
      </x:c>
      <x:c r="AL830" t="n">
        <x:v>14</x:v>
      </x:c>
      <x:c r="AM830" t="str">
        <x:v>ChatGPT research</x:v>
      </x:c>
      <x:c r="AN830" t="str">
        <x:v>2026-09-18</x:v>
      </x:c>
      <x:c r="AO830" t="str">
        <x:v>Day 14 provenance-first collection. Canonical parables/metaphors only in this row set.</x:v>
      </x:c>
    </x:row>
    <x:row r="831">
      <x:c r="A831" t="str">
        <x:v>research.buddhist.day14.sn35206_rope_01</x:v>
      </x:c>
      <x:c r="B831" t="str">
        <x:v>Collected</x:v>
      </x:c>
      <x:c r="C831" t="str">
        <x:v>Nội tâm &amp; hiểu mình</x:v>
      </x:c>
      <x:c r="D831" t="str">
        <x:v>Day 14 / Early Buddhist parables</x:v>
      </x:c>
      <x:c r="E831" t="str"/>
      <x:c r="F831" t="str">
        <x:v>Competing pulls</x:v>
      </x:c>
      <x:c r="G831" t="str">
        <x:v>Attention / Overload</x:v>
      </x:c>
      <x:c r="H831" t="str"/>
      <x:c r="I831" t="str"/>
      <x:c r="J831" t="str"/>
      <x:c r="K831" t="str">
        <x:v>Recognize</x:v>
      </x:c>
      <x:c r="L831" t="str"/>
      <x:c r="M831" t="str">
        <x:v>Source-anchored parable/metaphor paraphrase</x:v>
      </x:c>
      <x:c r="N831" t="str">
        <x:v>[Exact Pāḷi not copied; retrieve passage-level original before direct-quote Release]</x:v>
      </x:c>
      <x:c r="O831" t="str">
        <x:v>Pāḷi source / Vietnamese research paraphrase</x:v>
      </x:c>
      <x:c r="P831" t="str">
        <x:v>Khi nhiều lực kéo theo những hướng khác nhau nhưng cùng bị buộc vào một điểm, chuyển động có thể rất nhiều mà tiến triển thực sự rất ít.</x:v>
      </x:c>
      <x:c r="Q831" t="str">
        <x:v>Early Buddhist Pāḷi canonical tradition</x:v>
      </x:c>
      <x:c r="R831" t="str">
        <x:v>Early Buddhism / Pāḷi</x:v>
      </x:c>
      <x:c r="S831" t="str">
        <x:v>SN 35.206</x:v>
      </x:c>
      <x:c r="T831" t="str">
        <x:v>Animals bound by a rope</x:v>
      </x:c>
      <x:c r="U831" t="str">
        <x:v>https://accesstoinsight.org/index-similes</x:v>
      </x:c>
      <x:c r="V831" t="str">
        <x:v>Canonical source / reputable translation index</x:v>
      </x:c>
      <x:c r="W831" t="str">
        <x:v>Research paraphrase — NOT direct quote</x:v>
      </x:c>
      <x:c r="X831" t="str">
        <x:v>A/B - canonical source and simile verified; wording is Selflo paraphrase</x:v>
      </x:c>
      <x:c r="Y831" t="str">
        <x:v>Canonical simile/source located. Exact Pāḷi intentionally not fabricated in Day 14 collection pass.</x:v>
      </x:c>
      <x:c r="Z831" t="str">
        <x:v>Ancient source public domain; modern translation rights separate</x:v>
      </x:c>
      <x:c r="AA831" t="str">
        <x:v>Use fresh Selflo adaptation. Do not copy modern English/Vietnamese translations verbatim.</x:v>
      </x:c>
      <x:c r="AB831" t="str">
        <x:v>High</x:v>
      </x:c>
      <x:c r="AC831" t="str">
        <x:v>Collected for broad pool; later curation decides Release.</x:v>
      </x:c>
      <x:c r="AD831" t="str">
        <x:v>Medium — preserve canonical/religious context and avoid therapeutic overclaim</x:v>
      </x:c>
      <x:c r="AE831" t="str">
        <x:v>High with Days 11–13; semantic dedupe required</x:v>
      </x:c>
      <x:c r="AF831" t="str"/>
      <x:c r="AG831" t="str"/>
      <x:c r="AH831" t="str">
        <x:v>No</x:v>
      </x:c>
      <x:c r="AI831" t="str">
        <x:v>Not reviewed</x:v>
      </x:c>
      <x:c r="AJ831" t="str">
        <x:v>Research only</x:v>
      </x:c>
      <x:c r="AK831" t="str">
        <x:v>Research Pool</x:v>
      </x:c>
      <x:c r="AL831" t="n">
        <x:v>14</x:v>
      </x:c>
      <x:c r="AM831" t="str">
        <x:v>ChatGPT research</x:v>
      </x:c>
      <x:c r="AN831" t="str">
        <x:v>2026-09-18</x:v>
      </x:c>
      <x:c r="AO831" t="str">
        <x:v>Day 14 provenance-first collection. Canonical parables/metaphors only in this row set.</x:v>
      </x:c>
    </x:row>
  </x:sheetData>
  <x:dataValidations count="20">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E2:E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G2:G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H2:H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I2:I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J2:J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K2:K500">
      <x:formula1>"Recognize,Name,Permit,Reframe,Distinguish,Return agency"</x:formula1>
    </x:dataValidation>
    <x:dataValidation type="list" allowBlank="0" showDropDown="0" showInputMessage="0" showErrorMessage="0" sqref="L2:L500">
      <x:formula1>"Recognize,Name,Permit,Reframe,Distinguish,Return agency"</x:formula1>
    </x:dataValidation>
    <x:dataValidation type="list" allowBlank="0" showDropDown="0" showInputMessage="0" showErrorMessage="0" sqref="M2:M500">
      <x:formula1>"Quan sát trực tiếp,Ẩn dụ,Câu hỏi,Nghịch lý,Tục ngữ / ca dao / thành ngữ,Thơ / văn vần,Đối thoại,Trích đoạn triết học,Research-informed observation,Story-derived insight,Traditional wisdom,Selflo Original"</x:formula1>
    </x:dataValidation>
    <x:dataValidation type="list" allowBlank="0" showDropDown="0" showInputMessage="0" showErrorMessage="0" sqref="R2:R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V2:V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W2:W500">
      <x:formula1>"Verbatim,Working translation,Published translation,Paraphrase,Proverb / traditional,Selflo Original - AI-assisted draft,Selflo Original - owner edited"</x:formula1>
    </x:dataValidation>
    <x:dataValidation type="list" allowBlank="0" showDropDown="0" showInputMessage="0" showErrorMessage="0" sqref="X2:X500">
      <x:formula1>"A - Primary source,B - Authoritative secondary,C - Plausible / needs primary,D - Disputed / internet-only,N/A - Selflo Original"</x:formula1>
    </x:dataValidation>
    <x:dataValidation type="list" allowBlank="0" showDropDown="0" showInputMessage="0" showErrorMessage="0" sqref="Z2:Z500">
      <x:formula1>"Public domain / likely,Copyrighted / research only,Permission needed,Selflo owned,Unknown / verify"</x:formula1>
    </x:dataValidation>
    <x:dataValidation type="list" allowBlank="0" showDropDown="0" showInputMessage="0" showErrorMessage="0" sqref="AB2:AB500">
      <x:formula1>"High,Medium,Low,Not reviewed"</x:formula1>
    </x:dataValidation>
    <x:dataValidation type="list" allowBlank="0" showDropDown="0" showInputMessage="0" showErrorMessage="0" sqref="AH2:AH500">
      <x:formula1>"No,Yes - story must pass gate,Unknown"</x:formula1>
    </x:dataValidation>
    <x:dataValidation type="list" allowBlank="0" showDropDown="0" showInputMessage="0" showErrorMessage="0" sqref="AI2:AI500">
      <x:formula1>"Not reviewed,Needs owner review,Approved,Rejected"</x:formula1>
    </x:dataValidation>
    <x:dataValidation type="list" allowBlank="0" showDropDown="0" showInputMessage="0" showErrorMessage="0" sqref="AJ2:AJ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db0f7fb55db3458a"/>
  </x:tableParts>
</x:worksheet>
</file>

<file path=xl/worksheets/sheet15.xml><?xml version="1.0" encoding="utf-8"?>
<x:worksheet xmlns:x="http://schemas.openxmlformats.org/spreadsheetml/2006/main">
  <x:sheetFormatPr baseColWidth="8" defaultRowHeight="15"/>
  <x:cols>
    <x:col min="1" max="1" width="52" style="72" customWidth="1"/>
    <x:col min="2" max="2" width="16" style="72" customWidth="1"/>
    <x:col min="3" max="3" width="16" style="72" customWidth="1"/>
    <x:col min="4" max="4" width="16" style="72" customWidth="1"/>
    <x:col min="5" max="5" width="16" style="72" customWidth="1"/>
    <x:col min="6" max="6" width="16" style="72" customWidth="1"/>
    <x:col min="7" max="7" width="16" style="72" customWidth="1"/>
    <x:col min="8" max="8" width="18" style="72" customWidth="1"/>
  </x:cols>
  <x:sheetData>
    <x:row r="1">
      <x:c r="A1" s="70" t="inlineStr">
        <x:is>
          <x:t xml:space="preserve">COVERAGE MATRIX — HUMAN EXPERIENCE × EDITORIAL ROLE</x:t>
        </x:is>
      </x:c>
      <x:c r="B1" s="1" t="n"/>
      <x:c r="C1" s="1" t="n"/>
      <x:c r="D1" s="1" t="n"/>
      <x:c r="E1" s="1" t="n"/>
      <x:c r="F1" s="1" t="n"/>
      <x:c r="G1" s="1" t="n"/>
      <x:c r="H1" s="1" t="n"/>
    </x:row>
    <x:row r="3">
      <x:c r="A3" s="50" t="inlineStr">
        <x:is>
          <x:t xml:space="preserve">Trải nghiệm con người</x:t>
        </x:is>
      </x:c>
      <x:c r="B3" s="50" t="inlineStr">
        <x:is>
          <x:t xml:space="preserve">Recognize</x:t>
        </x:is>
      </x:c>
      <x:c r="C3" s="50" t="inlineStr">
        <x:is>
          <x:t xml:space="preserve">Name</x:t>
        </x:is>
      </x:c>
      <x:c r="D3" s="50" t="inlineStr">
        <x:is>
          <x:t xml:space="preserve">Permit</x:t>
        </x:is>
      </x:c>
      <x:c r="E3" s="50" t="inlineStr">
        <x:is>
          <x:t xml:space="preserve">Reframe</x:t>
        </x:is>
      </x:c>
      <x:c r="F3" s="50" t="inlineStr">
        <x:is>
          <x:t xml:space="preserve">Distinguish</x:t>
        </x:is>
      </x:c>
      <x:c r="G3" s="50" t="inlineStr">
        <x:is>
          <x:t xml:space="preserve">Return agency</x:t>
        </x:is>
      </x:c>
      <x:c r="H3" s="50" t="inlineStr">
        <x:is>
          <x:t xml:space="preserve">Coverage Level</x:t>
        </x:is>
      </x:c>
    </x:row>
    <x:row r="4">
      <x:c r="A4" t="inlineStr">
        <x:is>
          <x:t xml:space="preserve">Những việc nhỏ tích lũy làm cạn năng lượng</x:t>
        </x:is>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inlineStr">
        <x:is>
          <x:t xml:space="preserve">Công việc còn ở lại trong đầu sau giờ làm</x:t>
        </x:is>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inlineStr">
        <x:is>
          <x:t xml:space="preserve">Chuyện đã qua nhưng mình chưa hồi phục</x:t>
        </x:is>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inlineStr">
        <x:is>
          <x:t xml:space="preserve">Đã gây hậu quả và đang tự trách</x:t>
        </x:is>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inlineStr">
        <x:is>
          <x:t xml:space="preserve">Đang học nhưng cảm thấy mình kém</x:t>
        </x:is>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inlineStr">
        <x:is>
          <x:t xml:space="preserve">Capacity thấp bị hiểu thành giá trị bản thân thấp</x:t>
        </x:is>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inlineStr">
        <x:is>
          <x:t xml:space="preserve">Thành công của người khác làm mình thấy nhỏ đi</x:t>
        </x:is>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inlineStr">
        <x:is>
          <x:t xml:space="preserve">Đang sống bằng thước đo bên ngoài</x:t>
        </x:is>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inlineStr">
        <x:is>
          <x:t xml:space="preserve">Chưa biết mình muốn gì</x:t>
        </x:is>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inlineStr">
        <x:is>
          <x:t xml:space="preserve">Có quá nhiều câu trả lời / lựa chọn</x:t>
        </x:is>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inlineStr">
        <x:is>
          <x:t xml:space="preserve">Hai lựa chọn đều có điều đáng giữ và cái mất</x:t>
        </x:is>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inlineStr">
        <x:is>
          <x:t xml:space="preserve">Đã chọn nhưng vẫn tiếc lựa chọn còn lại</x:t>
        </x:is>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inlineStr">
        <x:is>
          <x:t xml:space="preserve">Tiếp nhận quá nhiều nên khó nghe được mình</x:t>
        </x:is>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inlineStr">
        <x:is>
          <x:t xml:space="preserve">Tiến bộ diễn ra âm thầm</x:t>
        </x:is>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inlineStr">
        <x:is>
          <x:t xml:space="preserve">Thất bại khi đang học</x:t>
        </x:is>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inlineStr">
        <x:is>
          <x:t xml:space="preserve">Vừa nhẹ nhõm vừa buồn</x:t>
        </x:is>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inlineStr">
        <x:is>
          <x:t xml:space="preserve">Vừa muốn ở lại vừa muốn rời đi</x:t>
        </x:is>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inlineStr">
        <x:is>
          <x:t xml:space="preserve">Yêu thương và tức giận cùng tồn tại</x:t>
        </x:is>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inlineStr">
        <x:is>
          <x:t xml:space="preserve">Trải nghiệm cũ đi vào phản ứng hiện tại</x:t>
        </x:is>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inlineStr">
        <x:is>
          <x:t xml:space="preserve">Bản sắc thay đổi khi công việc thay đổi</x:t>
        </x:is>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inlineStr">
        <x:is>
          <x:t xml:space="preserve">Không còn thấy ý nghĩa trong điều từng quan trọng</x:t>
        </x:is>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inlineStr">
        <x:is>
          <x:t xml:space="preserve">Muốn nghỉ nhưng cảm thấy có lỗi</x:t>
        </x:is>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inlineStr">
        <x:is>
          <x:t xml:space="preserve">Giới hạn năng lượng / cần nghỉ</x:t>
        </x:is>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inlineStr">
        <x:is>
          <x:t xml:space="preserve">Không gọi tên được điều đang xảy ra bên trong</x:t>
        </x:is>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inlineStr">
        <x:is>
          <x:t xml:space="preserve">Nhiều output/AI answer nhưng judgment vẫn thuộc về mình</x:t>
        </x:is>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1"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6.xml><?xml version="1.0" encoding="utf-8"?>
<x:worksheet xmlns:x="http://schemas.openxmlformats.org/spreadsheetml/2006/main">
  <x:sheetFormatPr baseColWidth="8" defaultRowHeight="15"/>
  <x:cols>
    <x:col min="1" max="1" width="40" style="72" customWidth="1"/>
    <x:col min="2" max="2" width="14" style="72" customWidth="1"/>
    <x:col min="3" max="3" width="14" style="72" customWidth="1"/>
    <x:col min="5" max="5" width="34" style="72" customWidth="1"/>
    <x:col min="6" max="6" width="14" style="72" customWidth="1"/>
    <x:col min="7" max="7" width="14" style="72" customWidth="1"/>
  </x:cols>
  <x:sheetData>
    <x:row r="1">
      <x:c r="A1" s="70" t="inlineStr">
        <x:is>
          <x:t xml:space="preserve">DIVERSITY DASHBOARD — NGUỒN, HÌNH THỨC, LIFE AREA</x:t>
        </x:is>
      </x:c>
      <x:c r="B1" s="1" t="n"/>
      <x:c r="C1" s="1" t="n"/>
      <x:c r="D1" s="1" t="n"/>
      <x:c r="E1" s="1" t="n"/>
      <x:c r="F1" s="1" t="n"/>
      <x:c r="G1" s="1" t="n"/>
      <x:c r="H1" s="1" t="n"/>
    </x:row>
    <x:row r="3">
      <x:c r="A3" s="50" t="inlineStr">
        <x:is>
          <x:t xml:space="preserve">Lĩnh vực cuộc sống</x:t>
        </x:is>
      </x:c>
      <x:c r="B3" s="50" t="inlineStr">
        <x:is>
          <x:t xml:space="preserve">Số quote</x:t>
        </x:is>
      </x:c>
      <x:c r="C3" s="50" t="inlineStr">
        <x:is>
          <x:t xml:space="preserve">Tỷ trọng</x:t>
        </x:is>
      </x:c>
      <x:c r="E3" s="50" t="inlineStr">
        <x:is>
          <x:t xml:space="preserve">Editorial Role</x:t>
        </x:is>
      </x:c>
      <x:c r="F3" s="50" t="inlineStr">
        <x:is>
          <x:t xml:space="preserve">Số quote</x:t>
        </x:is>
      </x:c>
      <x:c r="G3" s="50" t="inlineStr">
        <x:is>
          <x:t xml:space="preserve">Tỷ trọng</x:t>
        </x:is>
      </x:c>
    </x:row>
    <x:row r="4">
      <x:c r="A4" t="inlineStr">
        <x:is>
          <x:t xml:space="preserve">Nội tâm &amp; hiểu mình</x:t>
        </x:is>
      </x:c>
      <x:c r="B4" t="n">
        <x:f>COUNTIF('Quote Library v2'!$C$2:$C$500,A4)</x:f>
        <x:v>306</x:v>
      </x:c>
      <x:c r="C4" s="82" t="n">
        <x:f>IFERROR(B4/SUM($B$4:$B$15),0)</x:f>
        <x:v>0.6132264529058116</x:v>
      </x:c>
      <x:c r="E4" t="inlineStr">
        <x:is>
          <x:t xml:space="preserve">Recognize</x:t>
        </x:is>
      </x:c>
      <x:c r="F4" t="n">
        <x:f>COUNTIF('Quote Library v2'!$K$2:$K$500,E4)+COUNTIF('Quote Library v2'!$L$2:$L$500,E4)</x:f>
        <x:v>301</x:v>
      </x:c>
      <x:c r="G4" s="82" t="n">
        <x:f>IFERROR(F4/SUM($F$4:$F$9),0)</x:f>
        <x:v>0.3467741935483871</x:v>
      </x:c>
    </x:row>
    <x:row r="5">
      <x:c r="A5" t="inlineStr">
        <x:is>
          <x:t xml:space="preserve">Cảm xúc</x:t>
        </x:is>
      </x:c>
      <x:c r="B5" t="n">
        <x:f>COUNTIF('Quote Library v2'!$C$2:$C$500,A5)</x:f>
        <x:v>0</x:v>
      </x:c>
      <x:c r="C5" s="82" t="n">
        <x:f>IFERROR(B5/SUM($B$4:$B$15),0)</x:f>
        <x:v>0</x:v>
      </x:c>
      <x:c r="E5" t="inlineStr">
        <x:is>
          <x:t xml:space="preserve">Name</x:t>
        </x:is>
      </x:c>
      <x:c r="F5" t="n">
        <x:f>COUNTIF('Quote Library v2'!$K$2:$K$500,E5)+COUNTIF('Quote Library v2'!$L$2:$L$500,E5)</x:f>
        <x:v>9</x:v>
      </x:c>
      <x:c r="G5" s="82" t="n">
        <x:f>IFERROR(F5/SUM($F$4:$F$9),0)</x:f>
        <x:v>0.010368663594470046</x:v>
      </x:c>
    </x:row>
    <x:row r="6">
      <x:c r="A6" t="inlineStr">
        <x:is>
          <x:t xml:space="preserve">Công việc &amp; mục đích</x:t>
        </x:is>
      </x:c>
      <x:c r="B6" t="n">
        <x:f>COUNTIF('Quote Library v2'!$C$2:$C$500,A6)</x:f>
        <x:v>46</x:v>
      </x:c>
      <x:c r="C6" s="82" t="n">
        <x:f>IFERROR(B6/SUM($B$4:$B$15),0)</x:f>
        <x:v>0.09218436873747494</x:v>
      </x:c>
      <x:c r="E6" t="inlineStr">
        <x:is>
          <x:t xml:space="preserve">Permit</x:t>
        </x:is>
      </x:c>
      <x:c r="F6" t="n">
        <x:f>COUNTIF('Quote Library v2'!$K$2:$K$500,E6)+COUNTIF('Quote Library v2'!$L$2:$L$500,E6)</x:f>
        <x:v>61</x:v>
      </x:c>
      <x:c r="G6" s="82" t="n">
        <x:f>IFERROR(F6/SUM($F$4:$F$9),0)</x:f>
        <x:v>0.07027649769585254</x:v>
      </x:c>
    </x:row>
    <x:row r="7">
      <x:c r="A7" t="inlineStr">
        <x:is>
          <x:t xml:space="preserve">Quan hệ</x:t>
        </x:is>
      </x:c>
      <x:c r="B7" t="n">
        <x:f>COUNTIF('Quote Library v2'!$C$2:$C$500,A7)</x:f>
        <x:v>30</x:v>
      </x:c>
      <x:c r="C7" s="82" t="n">
        <x:f>IFERROR(B7/SUM($B$4:$B$15),0)</x:f>
        <x:v>0.06012024048096192</x:v>
      </x:c>
      <x:c r="E7" t="inlineStr">
        <x:is>
          <x:t xml:space="preserve">Reframe</x:t>
        </x:is>
      </x:c>
      <x:c r="F7" t="n">
        <x:f>COUNTIF('Quote Library v2'!$K$2:$K$500,E7)+COUNTIF('Quote Library v2'!$L$2:$L$500,E7)</x:f>
        <x:v>194</x:v>
      </x:c>
      <x:c r="G7" s="82" t="n">
        <x:f>IFERROR(F7/SUM($F$4:$F$9),0)</x:f>
        <x:v>0.22350230414746544</x:v>
      </x:c>
    </x:row>
    <x:row r="8">
      <x:c r="A8" t="inlineStr">
        <x:is>
          <x:t xml:space="preserve">Gia đình</x:t>
        </x:is>
      </x:c>
      <x:c r="B8" t="n">
        <x:f>COUNTIF('Quote Library v2'!$C$2:$C$500,A8)</x:f>
        <x:v>0</x:v>
      </x:c>
      <x:c r="C8" s="82" t="n">
        <x:f>IFERROR(B8/SUM($B$4:$B$15),0)</x:f>
        <x:v>0</x:v>
      </x:c>
      <x:c r="E8" t="inlineStr">
        <x:is>
          <x:t xml:space="preserve">Distinguish</x:t>
        </x:is>
      </x:c>
      <x:c r="F8" t="n">
        <x:f>COUNTIF('Quote Library v2'!$K$2:$K$500,E8)+COUNTIF('Quote Library v2'!$L$2:$L$500,E8)</x:f>
        <x:v>283</x:v>
      </x:c>
      <x:c r="G8" s="82" t="n">
        <x:f>IFERROR(F8/SUM($F$4:$F$9),0)</x:f>
        <x:v>0.326036866359447</x:v>
      </x:c>
    </x:row>
    <x:row r="9">
      <x:c r="A9" t="inlineStr">
        <x:is>
          <x:t xml:space="preserve">Lựa chọn &amp; định hướng</x:t>
        </x:is>
      </x:c>
      <x:c r="B9" t="n">
        <x:f>COUNTIF('Quote Library v2'!$C$2:$C$500,A9)</x:f>
        <x:v>1</x:v>
      </x:c>
      <x:c r="C9" s="82" t="n">
        <x:f>IFERROR(B9/SUM($B$4:$B$15),0)</x:f>
        <x:v>0.002004008016032064</x:v>
      </x:c>
      <x:c r="E9" t="inlineStr">
        <x:is>
          <x:t xml:space="preserve">Return agency</x:t>
        </x:is>
      </x:c>
      <x:c r="F9" t="n">
        <x:f>COUNTIF('Quote Library v2'!$K$2:$K$500,E9)+COUNTIF('Quote Library v2'!$L$2:$L$500,E9)</x:f>
        <x:v>20</x:v>
      </x:c>
      <x:c r="G9" s="82" t="n">
        <x:f>IFERROR(F9/SUM($F$4:$F$9),0)</x:f>
        <x:v>0.02304147465437788</x:v>
      </x:c>
    </x:row>
    <x:row r="10">
      <x:c r="A10" t="inlineStr">
        <x:is>
          <x:t xml:space="preserve">Học hỏi &amp; phát triển</x:t>
        </x:is>
      </x:c>
      <x:c r="B10" t="n">
        <x:f>COUNTIF('Quote Library v2'!$C$2:$C$500,A10)</x:f>
        <x:v>0</x:v>
      </x:c>
      <x:c r="C10" s="82" t="n">
        <x:f>IFERROR(B10/SUM($B$4:$B$15),0)</x:f>
        <x:v>0</x:v>
      </x:c>
    </x:row>
    <x:row r="11">
      <x:c r="A11" t="inlineStr">
        <x:is>
          <x:t xml:space="preserve">Nghỉ ngơi &amp; sức khỏe tinh thần</x:t>
        </x:is>
      </x:c>
      <x:c r="B11" t="n">
        <x:f>COUNTIF('Quote Library v2'!$C$2:$C$500,A11)</x:f>
        <x:v>28</x:v>
      </x:c>
      <x:c r="C11" s="82" t="n">
        <x:f>IFERROR(B11/SUM($B$4:$B$15),0)</x:f>
        <x:v>0.056112224448897796</x:v>
      </x:c>
    </x:row>
    <x:row r="12">
      <x:c r="A12" t="inlineStr">
        <x:is>
          <x:t xml:space="preserve">Ý nghĩa &amp; bản sắc</x:t>
        </x:is>
      </x:c>
      <x:c r="B12" t="n">
        <x:f>COUNTIF('Quote Library v2'!$C$2:$C$500,A12)</x:f>
        <x:v>5</x:v>
      </x:c>
      <x:c r="C12" s="82" t="n">
        <x:f>IFERROR(B12/SUM($B$4:$B$15),0)</x:f>
        <x:v>0.01002004008016032</x:v>
      </x:c>
      <x:c r="E12" s="50" t="inlineStr">
        <x:is>
          <x:t xml:space="preserve">Nguồn / truyền thống</x:t>
        </x:is>
      </x:c>
      <x:c r="F12" s="50" t="inlineStr">
        <x:is>
          <x:t xml:space="preserve">Số quote</x:t>
        </x:is>
      </x:c>
      <x:c r="G12" s="50" t="inlineStr">
        <x:is>
          <x:t xml:space="preserve">Tỷ trọng</x:t>
        </x:is>
      </x:c>
    </x:row>
    <x:row r="13">
      <x:c r="A13" t="inlineStr">
        <x:is>
          <x:t xml:space="preserve">Thay đổi / mất mát / chuyển tiếp</x:t>
        </x:is>
      </x:c>
      <x:c r="B13" t="n">
        <x:f>COUNTIF('Quote Library v2'!$C$2:$C$500,A13)</x:f>
        <x:v>3</x:v>
      </x:c>
      <x:c r="C13" s="82" t="n">
        <x:f>IFERROR(B13/SUM($B$4:$B$15),0)</x:f>
        <x:v>0.006012024048096192</x:v>
      </x:c>
      <x:c r="E13" t="inlineStr">
        <x:is>
          <x:t xml:space="preserve">Taoism</x:t>
        </x:is>
      </x:c>
      <x:c r="F13" t="n">
        <x:f>COUNTIF('Quote Library v2'!$R$2:$R$500,E13)</x:f>
        <x:v>317</x:v>
      </x:c>
      <x:c r="G13" s="82" t="n">
        <x:f>IFERROR(F13/SUM($F$13:$F$25),0)</x:f>
        <x:v>1</x:v>
      </x:c>
    </x:row>
    <x:row r="14">
      <x:c r="A14" t="inlineStr">
        <x:is>
          <x:t xml:space="preserve">Xã hội &amp; văn hóa</x:t>
        </x:is>
      </x:c>
      <x:c r="B14" t="n">
        <x:f>COUNTIF('Quote Library v2'!$C$2:$C$500,A14)</x:f>
        <x:v>8</x:v>
      </x:c>
      <x:c r="C14" s="82" t="n">
        <x:f>IFERROR(B14/SUM($B$4:$B$15),0)</x:f>
        <x:v>0.01603206412825651</x:v>
      </x:c>
      <x:c r="E14" t="inlineStr">
        <x:is>
          <x:t xml:space="preserve">Stoicism</x:t>
        </x:is>
      </x:c>
      <x:c r="F14" t="n">
        <x:f>COUNTIF('Quote Library v2'!$R$2:$R$500,E14)</x:f>
        <x:v>0</x:v>
      </x:c>
      <x:c r="G14" s="82" t="n">
        <x:f>IFERROR(F14/SUM($F$13:$F$25),0)</x:f>
        <x:v>0</x:v>
      </x:c>
    </x:row>
    <x:row r="15">
      <x:c r="A15" t="inlineStr">
        <x:is>
          <x:t xml:space="preserve">AI &amp; tương lai</x:t>
        </x:is>
      </x:c>
      <x:c r="B15" t="n">
        <x:f>COUNTIF('Quote Library v2'!$C$2:$C$500,A15)</x:f>
        <x:v>72</x:v>
      </x:c>
      <x:c r="C15" s="82" t="n">
        <x:f>IFERROR(B15/SUM($B$4:$B$15),0)</x:f>
        <x:v>0.14428857715430862</x:v>
      </x:c>
      <x:c r="E15" t="inlineStr">
        <x:is>
          <x:t xml:space="preserve">Early Buddhism</x:t>
        </x:is>
      </x:c>
      <x:c r="F15" t="n">
        <x:f>COUNTIF('Quote Library v2'!$R$2:$R$500,E15)</x:f>
        <x:v>0</x:v>
      </x:c>
      <x:c r="G15" s="82" t="n">
        <x:f>IFERROR(F15/SUM($F$13:$F$25),0)</x:f>
        <x:v>0</x:v>
      </x:c>
    </x:row>
    <x:row r="16">
      <x:c r="E16" t="inlineStr">
        <x:is>
          <x:t xml:space="preserve">Vietnamese wisdom</x:t>
        </x:is>
      </x:c>
      <x:c r="F16" t="n">
        <x:f>COUNTIF('Quote Library v2'!$R$2:$R$500,E16)</x:f>
        <x:v>0</x:v>
      </x:c>
      <x:c r="G16" s="82" t="n">
        <x:f>IFERROR(F16/SUM($F$13:$F$25),0)</x:f>
        <x:v>0</x:v>
      </x:c>
    </x:row>
    <x:row r="17">
      <x:c r="E17" t="inlineStr">
        <x:is>
          <x:t xml:space="preserve">Chinese classics</x:t>
        </x:is>
      </x:c>
      <x:c r="F17" t="n">
        <x:f>COUNTIF('Quote Library v2'!$R$2:$R$500,E17)</x:f>
        <x:v>0</x:v>
      </x:c>
      <x:c r="G17" s="82" t="n">
        <x:f>IFERROR(F17/SUM($F$13:$F$25),0)</x:f>
        <x:v>0</x:v>
      </x:c>
    </x:row>
    <x:row r="18">
      <x:c r="A18" s="50" t="inlineStr">
        <x:is>
          <x:t xml:space="preserve">Hình thức nội dung</x:t>
        </x:is>
      </x:c>
      <x:c r="B18" s="50" t="inlineStr">
        <x:is>
          <x:t xml:space="preserve">Số quote</x:t>
        </x:is>
      </x:c>
      <x:c r="C18" s="50" t="inlineStr">
        <x:is>
          <x:t xml:space="preserve">Tỷ trọng</x:t>
        </x:is>
      </x:c>
      <x:c r="E18" t="inlineStr">
        <x:is>
          <x:t xml:space="preserve">Japanese wisdom / Zen</x:t>
        </x:is>
      </x:c>
      <x:c r="F18" t="n">
        <x:f>COUNTIF('Quote Library v2'!$R$2:$R$500,E18)</x:f>
        <x:v>0</x:v>
      </x:c>
      <x:c r="G18" s="82" t="n">
        <x:f>IFERROR(F18/SUM($F$13:$F$25),0)</x:f>
        <x:v>0</x:v>
      </x:c>
    </x:row>
    <x:row r="19">
      <x:c r="A19" t="inlineStr">
        <x:is>
          <x:t xml:space="preserve">Quan sát trực tiếp</x:t>
        </x:is>
      </x:c>
      <x:c r="B19" t="n">
        <x:f>COUNTIF('Quote Library v2'!$M$2:$M$500,A19)</x:f>
        <x:v>0</x:v>
      </x:c>
      <x:c r="C19" s="82" t="n">
        <x:f>IFERROR(B19/SUM($B$19:$B$30),0)</x:f>
        <x:v>0</x:v>
      </x:c>
      <x:c r="E19" t="inlineStr">
        <x:is>
          <x:t xml:space="preserve">Persian</x:t>
        </x:is>
      </x:c>
      <x:c r="F19" t="n">
        <x:f>COUNTIF('Quote Library v2'!$R$2:$R$500,E19)</x:f>
        <x:v>0</x:v>
      </x:c>
      <x:c r="G19" s="82" t="n">
        <x:f>IFERROR(F19/SUM($F$13:$F$25),0)</x:f>
        <x:v>0</x:v>
      </x:c>
    </x:row>
    <x:row r="20">
      <x:c r="A20" t="inlineStr">
        <x:is>
          <x:t xml:space="preserve">Ẩn dụ</x:t>
        </x:is>
      </x:c>
      <x:c r="B20" t="n">
        <x:f>COUNTIF('Quote Library v2'!$M$2:$M$500,A20)</x:f>
        <x:v>19</x:v>
      </x:c>
      <x:c r="C20" s="82" t="n">
        <x:f>IFERROR(B20/SUM($B$19:$B$30),0)</x:f>
        <x:v>0.05993690851735016</x:v>
      </x:c>
      <x:c r="E20" t="inlineStr">
        <x:is>
          <x:t xml:space="preserve">African traditions</x:t>
        </x:is>
      </x:c>
      <x:c r="F20" t="n">
        <x:f>COUNTIF('Quote Library v2'!$R$2:$R$500,E20)</x:f>
        <x:v>0</x:v>
      </x:c>
      <x:c r="G20" s="82" t="n">
        <x:f>IFERROR(F20/SUM($F$13:$F$25),0)</x:f>
        <x:v>0</x:v>
      </x:c>
    </x:row>
    <x:row r="21">
      <x:c r="A21" t="inlineStr">
        <x:is>
          <x:t xml:space="preserve">Câu hỏi</x:t>
        </x:is>
      </x:c>
      <x:c r="B21" t="n">
        <x:f>COUNTIF('Quote Library v2'!$M$2:$M$500,A21)</x:f>
        <x:v>4</x:v>
      </x:c>
      <x:c r="C21" s="82" t="n">
        <x:f>IFERROR(B21/SUM($B$19:$B$30),0)</x:f>
        <x:v>0.012618296529968454</x:v>
      </x:c>
      <x:c r="E21" t="inlineStr">
        <x:is>
          <x:t xml:space="preserve">World literature</x:t>
        </x:is>
      </x:c>
      <x:c r="F21" t="n">
        <x:f>COUNTIF('Quote Library v2'!$R$2:$R$500,E21)</x:f>
        <x:v>0</x:v>
      </x:c>
      <x:c r="G21" s="82" t="n">
        <x:f>IFERROR(F21/SUM($F$13:$F$25),0)</x:f>
        <x:v>0</x:v>
      </x:c>
    </x:row>
    <x:row r="22">
      <x:c r="A22" t="inlineStr">
        <x:is>
          <x:t xml:space="preserve">Nghịch lý</x:t>
        </x:is>
      </x:c>
      <x:c r="B22" t="n">
        <x:f>COUNTIF('Quote Library v2'!$M$2:$M$500,A22)</x:f>
        <x:v>8</x:v>
      </x:c>
      <x:c r="C22" s="82" t="n">
        <x:f>IFERROR(B22/SUM($B$19:$B$30),0)</x:f>
        <x:v>0.025236593059936908</x:v>
      </x:c>
      <x:c r="E22" t="inlineStr">
        <x:is>
          <x:t xml:space="preserve">Modern philosophy</x:t>
        </x:is>
      </x:c>
      <x:c r="F22" t="n">
        <x:f>COUNTIF('Quote Library v2'!$R$2:$R$500,E22)</x:f>
        <x:v>0</x:v>
      </x:c>
      <x:c r="G22" s="82" t="n">
        <x:f>IFERROR(F22/SUM($F$13:$F$25),0)</x:f>
        <x:v>0</x:v>
      </x:c>
    </x:row>
    <x:row r="23">
      <x:c r="A23" t="inlineStr">
        <x:is>
          <x:t xml:space="preserve">Tục ngữ / ca dao / thành ngữ</x:t>
        </x:is>
      </x:c>
      <x:c r="B23" t="n">
        <x:f>COUNTIF('Quote Library v2'!$M$2:$M$500,A23)</x:f>
        <x:v>0</x:v>
      </x:c>
      <x:c r="C23" s="82" t="n">
        <x:f>IFERROR(B23/SUM($B$19:$B$30),0)</x:f>
        <x:v>0</x:v>
      </x:c>
      <x:c r="E23" t="inlineStr">
        <x:is>
          <x:t xml:space="preserve">Psychology</x:t>
        </x:is>
      </x:c>
      <x:c r="F23" t="n">
        <x:f>COUNTIF('Quote Library v2'!$R$2:$R$500,E23)</x:f>
        <x:v>0</x:v>
      </x:c>
      <x:c r="G23" s="82" t="n">
        <x:f>IFERROR(F23/SUM($F$13:$F$25),0)</x:f>
        <x:v>0</x:v>
      </x:c>
    </x:row>
    <x:row r="24">
      <x:c r="A24" t="inlineStr">
        <x:is>
          <x:t xml:space="preserve">Thơ / văn vần</x:t>
        </x:is>
      </x:c>
      <x:c r="B24" t="n">
        <x:f>COUNTIF('Quote Library v2'!$M$2:$M$500,A24)</x:f>
        <x:v>0</x:v>
      </x:c>
      <x:c r="C24" s="82" t="n">
        <x:f>IFERROR(B24/SUM($B$19:$B$30),0)</x:f>
        <x:v>0</x:v>
      </x:c>
      <x:c r="E24" t="inlineStr">
        <x:is>
          <x:t xml:space="preserve">AI-era research</x:t>
        </x:is>
      </x:c>
      <x:c r="F24" t="n">
        <x:f>COUNTIF('Quote Library v2'!$R$2:$R$500,E24)</x:f>
        <x:v>0</x:v>
      </x:c>
      <x:c r="G24" s="82" t="n">
        <x:f>IFERROR(F24/SUM($F$13:$F$25),0)</x:f>
        <x:v>0</x:v>
      </x:c>
    </x:row>
    <x:row r="25">
      <x:c r="A25" t="inlineStr">
        <x:is>
          <x:t xml:space="preserve">Đối thoại</x:t>
        </x:is>
      </x:c>
      <x:c r="B25" t="n">
        <x:f>COUNTIF('Quote Library v2'!$M$2:$M$500,A25)</x:f>
        <x:v>0</x:v>
      </x:c>
      <x:c r="C25" s="82" t="n">
        <x:f>IFERROR(B25/SUM($B$19:$B$30),0)</x:f>
        <x:v>0</x:v>
      </x:c>
      <x:c r="E25" t="inlineStr">
        <x:is>
          <x:t xml:space="preserve">Other</x:t>
        </x:is>
      </x:c>
      <x:c r="F25" t="n">
        <x:f>COUNTIF('Quote Library v2'!$R$2:$R$500,E25)</x:f>
        <x:v>0</x:v>
      </x:c>
      <x:c r="G25" s="82" t="n">
        <x:f>IFERROR(F25/SUM($F$13:$F$25),0)</x:f>
        <x:v>0</x:v>
      </x:c>
    </x:row>
    <x:row r="26">
      <x:c r="A26" t="inlineStr">
        <x:is>
          <x:t xml:space="preserve">Trích đoạn triết học</x:t>
        </x:is>
      </x:c>
      <x:c r="B26" t="n">
        <x:f>COUNTIF('Quote Library v2'!$M$2:$M$500,A26)</x:f>
        <x:v>286</x:v>
      </x:c>
      <x:c r="C26" s="82" t="n">
        <x:f>IFERROR(B26/SUM($B$19:$B$30),0)</x:f>
        <x:v>0.9022082018927445</x:v>
      </x:c>
    </x:row>
    <x:row r="27">
      <x:c r="A27" t="inlineStr">
        <x:is>
          <x:t xml:space="preserve">Research-informed observation</x:t>
        </x:is>
      </x:c>
      <x:c r="B27" t="n">
        <x:f>COUNTIF('Quote Library v2'!$M$2:$M$500,A27)</x:f>
        <x:v>0</x:v>
      </x:c>
      <x:c r="C27" s="82" t="n">
        <x:f>IFERROR(B27/SUM($B$19:$B$30),0)</x:f>
        <x:v>0</x:v>
      </x:c>
    </x:row>
    <x:row r="28">
      <x:c r="A28" t="inlineStr">
        <x:is>
          <x:t xml:space="preserve">Story-derived insight</x:t>
        </x:is>
      </x:c>
      <x:c r="B28" t="n">
        <x:f>COUNTIF('Quote Library v2'!$M$2:$M$500,A28)</x:f>
        <x:v>0</x:v>
      </x:c>
      <x:c r="C28" s="82" t="n">
        <x:f>IFERROR(B28/SUM($B$19:$B$30),0)</x:f>
        <x:v>0</x:v>
      </x:c>
    </x:row>
    <x:row r="29">
      <x:c r="A29" t="inlineStr">
        <x:is>
          <x:t xml:space="preserve">Traditional wisdom</x:t>
        </x:is>
      </x:c>
      <x:c r="B29" t="n">
        <x:f>COUNTIF('Quote Library v2'!$M$2:$M$500,A29)</x:f>
        <x:v>0</x:v>
      </x:c>
      <x:c r="C29" s="82" t="n">
        <x:f>IFERROR(B29/SUM($B$19:$B$30),0)</x:f>
        <x:v>0</x:v>
      </x:c>
    </x:row>
    <x:row r="30">
      <x:c r="A30" t="inlineStr">
        <x:is>
          <x:t xml:space="preserve">Selflo Original</x:t>
        </x:is>
      </x:c>
      <x:c r="B30" t="n">
        <x:f>COUNTIF('Quote Library v2'!$M$2:$M$500,A30)</x:f>
        <x:v>0</x:v>
      </x:c>
      <x:c r="C30" s="82" t="n">
        <x:f>IFERROR(B30/SUM($B$19:$B$30),0)</x:f>
        <x:v>0</x:v>
      </x:c>
    </x:row>
  </x:sheetData>
  <x:mergeCells>
    <x:mergeCell ref="A1:H1"/>
  </x:mergeCells>
  <x:pageMargins left="0.7" right="0.7" top="0.75" bottom="0.75" header="0.3" footer="0.3"/>
</x:worksheet>
</file>

<file path=xl/worksheets/sheet17.xml><?xml version="1.0" encoding="utf-8"?>
<x:worksheet xmlns:x="http://schemas.openxmlformats.org/spreadsheetml/2006/main">
  <x:sheetFormatPr baseColWidth="8" defaultRowHeight="15"/>
  <x:cols>
    <x:col min="1" max="1" width="10" style="72" customWidth="1"/>
    <x:col min="2" max="2" width="12" style="72" customWidth="1"/>
    <x:col min="3" max="3" width="55" style="72" customWidth="1"/>
    <x:col min="4" max="4" width="16" style="72" customWidth="1"/>
    <x:col min="5" max="5" width="38" style="72" customWidth="1"/>
    <x:col min="6" max="6" width="12" style="72" customWidth="1"/>
  </x:cols>
  <x:sheetData>
    <x:row r="1">
      <x:c r="A1" s="71" t="inlineStr">
        <x:is>
          <x:t xml:space="preserve">DAY 1 — LÃO TỬ / ĐẠO ĐỨC KINH CHƯƠNG 1–20 — FULL SCOPE AUDIT</x:t>
        </x:is>
      </x:c>
      <x:c r="B1" s="1" t="n"/>
      <x:c r="C1" s="1" t="n"/>
      <x:c r="D1" s="1" t="n"/>
      <x:c r="E1" s="1" t="n"/>
      <x:c r="F1" s="1" t="n"/>
      <x:c r="G1" s="1" t="n"/>
      <x:c r="H1" s="1" t="n"/>
    </x:row>
    <x:row r="3">
      <x:c r="A3" s="60" t="inlineStr">
        <x:is>
          <x:t xml:space="preserve">Hạng mục</x:t>
        </x:is>
      </x:c>
      <x:c r="B3" s="60" t="inlineStr">
        <x:is>
          <x:t xml:space="preserve">Kết quả</x:t>
        </x:is>
      </x:c>
    </x:row>
    <x:row r="4">
      <x:c r="A4" t="inlineStr">
        <x:is>
          <x:t xml:space="preserve">Scope</x:t>
        </x:is>
      </x:c>
      <x:c r="B4" t="inlineStr">
        <x:is>
          <x:t xml:space="preserve">Đạo Đức Kinh chương 1–20, audit toàn bộ phạm vi chứ không dừng theo quota.</x:t>
        </x:is>
      </x:c>
    </x:row>
    <x:row r="5">
      <x:c r="A5" t="inlineStr">
        <x:is>
          <x:t xml:space="preserve">Candidate passages</x:t>
        </x:is>
      </x:c>
      <x:c r="B5" t="n">
        <x:v>63</x:v>
      </x:c>
    </x:row>
    <x:row r="6">
      <x:c r="A6" t="inlineStr">
        <x:is>
          <x:t xml:space="preserve">Story thực sự</x:t>
        </x:is>
      </x:c>
      <x:c r="B6" t="inlineStr">
        <x:is>
          <x:t xml:space="preserve">0 — không ép primary text thành story.</x:t>
        </x:is>
      </x:c>
    </x:row>
    <x:row r="7">
      <x:c r="A7" t="inlineStr">
        <x:is>
          <x:t xml:space="preserve">Metaphor / philosophical passage</x:t>
        </x:is>
      </x:c>
      <x:c r="B7" t="inlineStr">
        <x:is>
          <x:t xml:space="preserve">Ống bễ (ch.5), nước (ch.8), bình/mũi nhọn (ch.9), bánh xe–bình–phòng (ch.11), nước đục (ch.15), chu kỳ trở về (ch.16).</x:t>
        </x:is>
      </x:c>
    </x:row>
    <x:row r="8">
      <x:c r="A8" t="inlineStr">
        <x:is>
          <x:t xml:space="preserve">Principle seeds</x:t>
        </x:is>
      </x:c>
      <x:c r="B8" t="n">
        <x:v>10</x:v>
      </x:c>
    </x:row>
    <x:row r="9">
      <x:c r="A9" t="inlineStr">
        <x:is>
          <x:t xml:space="preserve">Primary Chinese source</x:t>
        </x:is>
      </x:c>
      <x:c r="B9" t="inlineStr">
        <x:is>
          <x:t xml:space="preserve">Wang Bi recension on Chinese Wikisource</x:t>
        </x:is>
      </x:c>
    </x:row>
    <x:row r="10">
      <x:c r="A10" t="inlineStr">
        <x:is>
          <x:t xml:space="preserve">Cross-check</x:t>
        </x:is>
      </x:c>
      <x:c r="B10" t="inlineStr">
        <x:is>
          <x:t xml:space="preserve">Chinese Text Project; James Legge 1891 via Project Gutenberg</x:t>
        </x:is>
      </x:c>
    </x:row>
    <x:row r="11">
      <x:c r="A11" t="inlineStr">
        <x:is>
          <x:t xml:space="preserve">Translation policy</x:t>
        </x:is>
      </x:c>
      <x:c r="B11" t="inlineStr">
        <x:is>
          <x:t xml:space="preserve">Mỗi record giữ nguyên văn Classical Chinese + working Vietnamese. Working Vietnamese KHÔNG phải published translation.</x:t>
        </x:is>
      </x:c>
    </x:row>
    <x:row r="12">
      <x:c r="A12" t="inlineStr">
        <x:is>
          <x:t xml:space="preserve">Completion gate</x:t>
        </x:is>
      </x:c>
      <x:c r="B12" t="inlineStr">
        <x:is>
          <x:t xml:space="preserve">PASS — chapters 1–20 reviewed end-to-end; candidates stored; principles stored; sources registered; story count truthfully 0.</x:t>
        </x:is>
      </x:c>
    </x:row>
    <x:row r="13">
      <x:c r="A13" t="inlineStr">
        <x:is>
          <x:t xml:space="preserve">Day status</x:t>
        </x:is>
      </x:c>
      <x:c r="B13" t="inlineStr">
        <x:is>
          <x:t xml:space="preserve">DONE</x:t>
        </x:is>
      </x:c>
    </x:row>
    <x:row r="16">
      <x:c r="A16" s="62" t="inlineStr">
        <x:is>
          <x:t xml:space="preserve">Chapter</x:t>
        </x:is>
      </x:c>
      <x:c r="B16" s="62" t="inlineStr">
        <x:is>
          <x:t xml:space="preserve">Candidates</x:t>
        </x:is>
      </x:c>
      <x:c r="C16" s="62" t="inlineStr">
        <x:is>
          <x:t xml:space="preserve">Primary themes</x:t>
        </x:is>
      </x:c>
      <x:c r="D16" s="62" t="inlineStr">
        <x:is>
          <x:t xml:space="preserve">High Selflo Fit</x:t>
        </x:is>
      </x:c>
      <x:c r="E16" s="62" t="inlineStr">
        <x:is>
          <x:t xml:space="preserve">Notes</x:t>
        </x:is>
      </x:c>
      <x:c r="F16" s="62" t="inlineStr">
        <x:is>
          <x:t xml:space="preserve">Audit</x:t>
        </x:is>
      </x:c>
    </x:row>
    <x:row r="17">
      <x:c r="A17" s="81" t="n">
        <x:v>1</x:v>
      </x:c>
      <x:c r="B17" s="81" t="n">
        <x:v>4</x:v>
      </x:c>
      <x:c r="C17" s="81" t="inlineStr">
        <x:is>
          <x:t xml:space="preserve">Acceptance, Attention, Change, Identity, Judgment, Meaning, Uncertainty</x:t>
        </x:is>
      </x:c>
      <x:c r="D17" s="81" t="n">
        <x:v>2</x:v>
      </x:c>
      <x:c r="E17" s="81" t="inlineStr">
        <x:is>
          <x:t xml:space="preserve">Research pool; curate later.</x:t>
        </x:is>
      </x:c>
      <x:c r="F17" s="81" t="inlineStr">
        <x:is>
          <x:t xml:space="preserve">DONE</x:t>
        </x:is>
      </x:c>
    </x:row>
    <x:row r="18">
      <x:c r="A18" s="81" t="n">
        <x:v>2</x:v>
      </x:c>
      <x:c r="B18" s="81" t="n">
        <x:v>4</x:v>
      </x:c>
      <x:c r="C18" s="81" t="inlineStr">
        <x:is>
          <x:t xml:space="preserve">Acceptance, Agency, Change, Comparison, Connection, Enoughness, Identity, Judgment</x:t>
        </x:is>
      </x:c>
      <x:c r="D18" s="81" t="n">
        <x:v>3</x:v>
      </x:c>
      <x:c r="E18" s="81" t="inlineStr">
        <x:is>
          <x:t xml:space="preserve">Research pool; curate later.</x:t>
        </x:is>
      </x:c>
      <x:c r="F18" s="81" t="inlineStr">
        <x:is>
          <x:t xml:space="preserve">DONE</x:t>
        </x:is>
      </x:c>
    </x:row>
    <x:row r="19">
      <x:c r="A19" s="81" t="n">
        <x:v>3</x:v>
      </x:c>
      <x:c r="B19" s="81" t="n">
        <x:v>2</x:v>
      </x:c>
      <x:c r="C19" s="81" t="inlineStr">
        <x:is>
          <x:t xml:space="preserve">Agency, Attention, Comparison, Control</x:t>
        </x:is>
      </x:c>
      <x:c r="D19" s="81" t="n">
        <x:v>0</x:v>
      </x:c>
      <x:c r="E19" s="81" t="inlineStr">
        <x:is>
          <x:t xml:space="preserve">Research pool; curate later.</x:t>
        </x:is>
      </x:c>
      <x:c r="F19" s="81" t="inlineStr">
        <x:is>
          <x:t xml:space="preserve">DONE</x:t>
        </x:is>
      </x:c>
    </x:row>
    <x:row r="20">
      <x:c r="A20" s="81" t="n">
        <x:v>4</x:v>
      </x:c>
      <x:c r="B20" s="81" t="n">
        <x:v>2</x:v>
      </x:c>
      <x:c r="C20" s="81" t="inlineStr">
        <x:is>
          <x:t xml:space="preserve">Enoughness, Rest, Simplicity</x:t>
        </x:is>
      </x:c>
      <x:c r="D20" s="81" t="n">
        <x:v>1</x:v>
      </x:c>
      <x:c r="E20" s="81" t="inlineStr">
        <x:is>
          <x:t xml:space="preserve">Research pool; curate later.</x:t>
        </x:is>
      </x:c>
      <x:c r="F20" s="81" t="inlineStr">
        <x:is>
          <x:t xml:space="preserve">DONE</x:t>
        </x:is>
      </x:c>
    </x:row>
    <x:row r="21">
      <x:c r="A21" s="81" t="n">
        <x:v>5</x:v>
      </x:c>
      <x:c r="B21" s="81" t="n">
        <x:v>2</x:v>
      </x:c>
      <x:c r="C21" s="81" t="inlineStr">
        <x:is>
          <x:t xml:space="preserve">Attention, Enoughness, Simplicity</x:t>
        </x:is>
      </x:c>
      <x:c r="D21" s="81" t="n">
        <x:v>2</x:v>
      </x:c>
      <x:c r="E21" s="81" t="inlineStr">
        <x:is>
          <x:t xml:space="preserve">Research pool; curate later.</x:t>
        </x:is>
      </x:c>
      <x:c r="F21" s="81" t="inlineStr">
        <x:is>
          <x:t xml:space="preserve">DONE</x:t>
        </x:is>
      </x:c>
    </x:row>
    <x:row r="22">
      <x:c r="A22" s="81" t="n">
        <x:v>6</x:v>
      </x:c>
      <x:c r="B22" s="81" t="n">
        <x:v>2</x:v>
      </x:c>
      <x:c r="C22" s="81" t="inlineStr">
        <x:is>
          <x:t xml:space="preserve">Change, Enoughness, Meaning, Rest</x:t>
        </x:is>
      </x:c>
      <x:c r="D22" s="81" t="n">
        <x:v>0</x:v>
      </x:c>
      <x:c r="E22" s="81" t="inlineStr">
        <x:is>
          <x:t xml:space="preserve">Research pool; curate later.</x:t>
        </x:is>
      </x:c>
      <x:c r="F22" s="81" t="inlineStr">
        <x:is>
          <x:t xml:space="preserve">DONE</x:t>
        </x:is>
      </x:c>
    </x:row>
    <x:row r="23">
      <x:c r="A23" s="81" t="n">
        <x:v>7</x:v>
      </x:c>
      <x:c r="B23" s="81" t="n">
        <x:v>2</x:v>
      </x:c>
      <x:c r="C23" s="81" t="inlineStr">
        <x:is>
          <x:t xml:space="preserve">Agency, Connection, Meaning</x:t>
        </x:is>
      </x:c>
      <x:c r="D23" s="81" t="n">
        <x:v>0</x:v>
      </x:c>
      <x:c r="E23" s="81" t="inlineStr">
        <x:is>
          <x:t xml:space="preserve">Research pool; curate later.</x:t>
        </x:is>
      </x:c>
      <x:c r="F23" s="81" t="inlineStr">
        <x:is>
          <x:t xml:space="preserve">DONE</x:t>
        </x:is>
      </x:c>
    </x:row>
    <x:row r="24">
      <x:c r="A24" s="81" t="n">
        <x:v>8</x:v>
      </x:c>
      <x:c r="B24" s="81" t="n">
        <x:v>3</x:v>
      </x:c>
      <x:c r="C24" s="81" t="inlineStr">
        <x:is>
          <x:t xml:space="preserve">Change, Comparison, Connection, Judgment, Simplicity, Values</x:t>
        </x:is>
      </x:c>
      <x:c r="D24" s="81" t="n">
        <x:v>1</x:v>
      </x:c>
      <x:c r="E24" s="81" t="inlineStr">
        <x:is>
          <x:t xml:space="preserve">Research pool; curate later.</x:t>
        </x:is>
      </x:c>
      <x:c r="F24" s="81" t="inlineStr">
        <x:is>
          <x:t xml:space="preserve">DONE</x:t>
        </x:is>
      </x:c>
    </x:row>
    <x:row r="25">
      <x:c r="A25" s="81" t="n">
        <x:v>9</x:v>
      </x:c>
      <x:c r="B25" s="81" t="n">
        <x:v>5</x:v>
      </x:c>
      <x:c r="C25" s="81" t="inlineStr">
        <x:is>
          <x:t xml:space="preserve">Change, Enoughness, Impermanence, Responsibility, Rest, Values</x:t>
        </x:is>
      </x:c>
      <x:c r="D25" s="81" t="n">
        <x:v>3</x:v>
      </x:c>
      <x:c r="E25" s="81" t="inlineStr">
        <x:is>
          <x:t xml:space="preserve">Research pool; curate later.</x:t>
        </x:is>
      </x:c>
      <x:c r="F25" s="81" t="inlineStr">
        <x:is>
          <x:t xml:space="preserve">DONE</x:t>
        </x:is>
      </x:c>
    </x:row>
    <x:row r="26">
      <x:c r="A26" s="81" t="n">
        <x:v>10</x:v>
      </x:c>
      <x:c r="B26" s="81" t="n">
        <x:v>3</x:v>
      </x:c>
      <x:c r="C26" s="81" t="inlineStr">
        <x:is>
          <x:t xml:space="preserve">Acceptance, Boundaries, Change, Connection, Identity, Rest</x:t>
        </x:is>
      </x:c>
      <x:c r="D26" s="81" t="n">
        <x:v>1</x:v>
      </x:c>
      <x:c r="E26" s="81" t="inlineStr">
        <x:is>
          <x:t xml:space="preserve">Research pool; curate later.</x:t>
        </x:is>
      </x:c>
      <x:c r="F26" s="81" t="inlineStr">
        <x:is>
          <x:t xml:space="preserve">DONE</x:t>
        </x:is>
      </x:c>
    </x:row>
    <x:row r="27">
      <x:c r="A27" s="81" t="n">
        <x:v>11</x:v>
      </x:c>
      <x:c r="B27" s="81" t="n">
        <x:v>4</x:v>
      </x:c>
      <x:c r="C27" s="81" t="inlineStr">
        <x:is>
          <x:t xml:space="preserve">Attention, Enoughness, Rest</x:t>
        </x:is>
      </x:c>
      <x:c r="D27" s="81" t="n">
        <x:v>4</x:v>
      </x:c>
      <x:c r="E27" s="81" t="inlineStr">
        <x:is>
          <x:t xml:space="preserve">Research pool; curate later.</x:t>
        </x:is>
      </x:c>
      <x:c r="F27" s="81" t="inlineStr">
        <x:is>
          <x:t xml:space="preserve">DONE</x:t>
        </x:is>
      </x:c>
    </x:row>
    <x:row r="28">
      <x:c r="A28" s="81" t="n">
        <x:v>12</x:v>
      </x:c>
      <x:c r="B28" s="81" t="n">
        <x:v>3</x:v>
      </x:c>
      <x:c r="C28" s="81" t="inlineStr">
        <x:is>
          <x:t xml:space="preserve">Attention, Enoughness, Values</x:t>
        </x:is>
      </x:c>
      <x:c r="D28" s="81" t="n">
        <x:v>2</x:v>
      </x:c>
      <x:c r="E28" s="81" t="inlineStr">
        <x:is>
          <x:t xml:space="preserve">Research pool; curate later.</x:t>
        </x:is>
      </x:c>
      <x:c r="F28" s="81" t="inlineStr">
        <x:is>
          <x:t xml:space="preserve">DONE</x:t>
        </x:is>
      </x:c>
    </x:row>
    <x:row r="29">
      <x:c r="A29" s="81" t="n">
        <x:v>13</x:v>
      </x:c>
      <x:c r="B29" s="81" t="n">
        <x:v>3</x:v>
      </x:c>
      <x:c r="C29" s="81" t="inlineStr">
        <x:is>
          <x:t xml:space="preserve">Comparison, Control, Fear, Responsibility, Rest, Self-worth</x:t>
        </x:is>
      </x:c>
      <x:c r="D29" s="81" t="n">
        <x:v>2</x:v>
      </x:c>
      <x:c r="E29" s="81" t="inlineStr">
        <x:is>
          <x:t xml:space="preserve">Research pool; curate later.</x:t>
        </x:is>
      </x:c>
      <x:c r="F29" s="81" t="inlineStr">
        <x:is>
          <x:t xml:space="preserve">DONE</x:t>
        </x:is>
      </x:c>
    </x:row>
    <x:row r="30">
      <x:c r="A30" s="81" t="n">
        <x:v>14</x:v>
      </x:c>
      <x:c r="B30" s="81" t="n">
        <x:v>3</x:v>
      </x:c>
      <x:c r="C30" s="81" t="inlineStr">
        <x:is>
          <x:t xml:space="preserve">Identity, Judgment, Meaning, Uncertainty, Values</x:t>
        </x:is>
      </x:c>
      <x:c r="D30" s="81" t="n">
        <x:v>1</x:v>
      </x:c>
      <x:c r="E30" s="81" t="inlineStr">
        <x:is>
          <x:t xml:space="preserve">Research pool; curate later.</x:t>
        </x:is>
      </x:c>
      <x:c r="F30" s="81" t="inlineStr">
        <x:is>
          <x:t xml:space="preserve">DONE</x:t>
        </x:is>
      </x:c>
    </x:row>
    <x:row r="31">
      <x:c r="A31" s="81" t="n">
        <x:v>15</x:v>
      </x:c>
      <x:c r="B31" s="81" t="n">
        <x:v>5</x:v>
      </x:c>
      <x:c r="C31" s="81" t="inlineStr">
        <x:is>
          <x:t xml:space="preserve">Acceptance, Attention, Change, Enoughness, Patience, Self-worth, Uncertainty</x:t>
        </x:is>
      </x:c>
      <x:c r="D31" s="81" t="n">
        <x:v>5</x:v>
      </x:c>
      <x:c r="E31" s="81" t="inlineStr">
        <x:is>
          <x:t xml:space="preserve">Research pool; curate later.</x:t>
        </x:is>
      </x:c>
      <x:c r="F31" s="81" t="inlineStr">
        <x:is>
          <x:t xml:space="preserve">DONE</x:t>
        </x:is>
      </x:c>
    </x:row>
    <x:row r="32">
      <x:c r="A32" s="81" t="n">
        <x:v>16</x:v>
      </x:c>
      <x:c r="B32" s="81" t="n">
        <x:v>4</x:v>
      </x:c>
      <x:c r="C32" s="81" t="inlineStr">
        <x:is>
          <x:t xml:space="preserve">Attention, Change, Impermanence, Judgment, Recovery, Rest</x:t>
        </x:is>
      </x:c>
      <x:c r="D32" s="81" t="n">
        <x:v>3</x:v>
      </x:c>
      <x:c r="E32" s="81" t="inlineStr">
        <x:is>
          <x:t xml:space="preserve">Research pool; curate later.</x:t>
        </x:is>
      </x:c>
      <x:c r="F32" s="81" t="inlineStr">
        <x:is>
          <x:t xml:space="preserve">DONE</x:t>
        </x:is>
      </x:c>
    </x:row>
    <x:row r="33">
      <x:c r="A33" s="81" t="n">
        <x:v>17</x:v>
      </x:c>
      <x:c r="B33" s="81" t="n">
        <x:v>3</x:v>
      </x:c>
      <x:c r="C33" s="81" t="inlineStr">
        <x:is>
          <x:t xml:space="preserve">Agency, Responsibility, Trust</x:t>
        </x:is>
      </x:c>
      <x:c r="D33" s="81" t="n">
        <x:v>2</x:v>
      </x:c>
      <x:c r="E33" s="81" t="inlineStr">
        <x:is>
          <x:t xml:space="preserve">Research pool; curate later.</x:t>
        </x:is>
      </x:c>
      <x:c r="F33" s="81" t="inlineStr">
        <x:is>
          <x:t xml:space="preserve">DONE</x:t>
        </x:is>
      </x:c>
    </x:row>
    <x:row r="34">
      <x:c r="A34" s="81" t="n">
        <x:v>18</x:v>
      </x:c>
      <x:c r="B34" s="81" t="n">
        <x:v>2</x:v>
      </x:c>
      <x:c r="C34" s="81" t="inlineStr">
        <x:is>
          <x:t xml:space="preserve">Change, Judgment, Trust, Values</x:t>
        </x:is>
      </x:c>
      <x:c r="D34" s="81" t="n">
        <x:v>0</x:v>
      </x:c>
      <x:c r="E34" s="81" t="inlineStr">
        <x:is>
          <x:t xml:space="preserve">Research pool; curate later.</x:t>
        </x:is>
      </x:c>
      <x:c r="F34" s="81" t="inlineStr">
        <x:is>
          <x:t xml:space="preserve">DONE</x:t>
        </x:is>
      </x:c>
    </x:row>
    <x:row r="35">
      <x:c r="A35" s="81" t="n">
        <x:v>19</x:v>
      </x:c>
      <x:c r="B35" s="81" t="n">
        <x:v>1</x:v>
      </x:c>
      <x:c r="C35" s="81" t="inlineStr">
        <x:is>
          <x:t xml:space="preserve">Enoughness, Simplicity</x:t>
        </x:is>
      </x:c>
      <x:c r="D35" s="81" t="n">
        <x:v>0</x:v>
      </x:c>
      <x:c r="E35" s="81" t="inlineStr">
        <x:is>
          <x:t xml:space="preserve">Research pool; curate later.</x:t>
        </x:is>
      </x:c>
      <x:c r="F35" s="81" t="inlineStr">
        <x:is>
          <x:t xml:space="preserve">DONE</x:t>
        </x:is>
      </x:c>
    </x:row>
    <x:row r="36">
      <x:c r="A36" s="81" t="n">
        <x:v>20</x:v>
      </x:c>
      <x:c r="B36" s="81" t="n">
        <x:v>6</x:v>
      </x:c>
      <x:c r="C36" s="81" t="inlineStr">
        <x:is>
          <x:t xml:space="preserve">Comparison, Fear, Identity, Meaning, Self-worth, Uncertainty</x:t>
        </x:is>
      </x:c>
      <x:c r="D36" s="81" t="n">
        <x:v>6</x:v>
      </x:c>
      <x:c r="E36" s="81" t="inlineStr">
        <x:is>
          <x:t xml:space="preserve">Research pool; curate later.</x:t>
        </x:is>
      </x:c>
      <x:c r="F36" s="81" t="inlineStr">
        <x:is>
          <x:t xml:space="preserve">DONE</x:t>
        </x:is>
      </x:c>
    </x:row>
  </x:sheetData>
  <x:mergeCells>
    <x:mergeCell ref="A1:H1"/>
  </x:mergeCells>
  <x:pageMargins left="0.7" right="0.7" top="0.75" bottom="0.75" header="0.3" footer="0.3"/>
</x:worksheet>
</file>

<file path=xl/worksheets/sheet18.xml><?xml version="1.0" encoding="utf-8"?>
<x:worksheet xmlns:x="http://schemas.openxmlformats.org/spreadsheetml/2006/main">
  <x:sheetFormatPr baseColWidth="8" defaultRowHeight="15"/>
  <x:cols>
    <x:col min="1" max="1" width="24" style="72" customWidth="1"/>
    <x:col min="2" max="2" width="100" style="72" customWidth="1"/>
    <x:col min="3" max="3" width="15" style="72" customWidth="1"/>
    <x:col min="4" max="4" width="12" style="72" customWidth="1"/>
  </x:cols>
  <x:sheetData>
    <x:row r="1">
      <x:c r="A1" s="60" t="inlineStr">
        <x:is>
          <x:t xml:space="preserve">DAY 2 — LÃO TỬ / ĐẠO ĐỨC KINH CHƯƠNG 21–50 — FULL SCOPE AUDIT</x:t>
        </x:is>
      </x:c>
      <x:c r="B1" s="60" t="n"/>
      <x:c r="C1" s="60" t="n"/>
      <x:c r="D1" s="60" t="n"/>
    </x:row>
    <x:row r="3">
      <x:c r="A3" s="60" t="inlineStr">
        <x:is>
          <x:t xml:space="preserve">Hạng mục</x:t>
        </x:is>
      </x:c>
      <x:c r="B3" s="60" t="inlineStr">
        <x:is>
          <x:t xml:space="preserve">Kết quả</x:t>
        </x:is>
      </x:c>
      <x:c r="C3" s="60" t="n"/>
      <x:c r="D3" s="60" t="n"/>
    </x:row>
    <x:row r="4">
      <x:c r="A4" t="inlineStr">
        <x:is>
          <x:t xml:space="preserve">Scope</x:t>
        </x:is>
      </x:c>
      <x:c r="B4" t="inlineStr">
        <x:is>
          <x:t xml:space="preserve">Đạo Đức Kinh chương 21–50; audit toàn bộ phạm vi, không dừng theo quota.</x:t>
        </x:is>
      </x:c>
    </x:row>
    <x:row r="5">
      <x:c r="A5" t="inlineStr">
        <x:is>
          <x:t xml:space="preserve">Candidate passages</x:t>
        </x:is>
      </x:c>
      <x:c r="B5" t="n">
        <x:v>118</x:v>
      </x:c>
    </x:row>
    <x:row r="6">
      <x:c r="A6" t="inlineStr">
        <x:is>
          <x:t xml:space="preserve">Story thực sự</x:t>
        </x:is>
      </x:c>
      <x:c r="B6" t="inlineStr">
        <x:is>
          <x:t xml:space="preserve">0 — source là aphoristic/philosophical text; không tự biến metaphor thành story.</x:t>
        </x:is>
      </x:c>
    </x:row>
    <x:row r="7">
      <x:c r="A7" t="inlineStr">
        <x:is>
          <x:t xml:space="preserve">Principle seeds</x:t>
        </x:is>
      </x:c>
      <x:c r="B7" t="n">
        <x:v>12</x:v>
      </x:c>
    </x:row>
    <x:row r="8">
      <x:c r="A8" t="inlineStr">
        <x:is>
          <x:t xml:space="preserve">Nguyên văn</x:t>
        </x:is>
      </x:c>
      <x:c r="B8" t="inlineStr">
        <x:is>
          <x:t xml:space="preserve">Giữ Classical Chinese cho từng candidate.</x:t>
        </x:is>
      </x:c>
    </x:row>
    <x:row r="9">
      <x:c r="A9" t="inlineStr">
        <x:is>
          <x:t xml:space="preserve">Bản tiếng Việt</x:t>
        </x:is>
      </x:c>
      <x:c r="B9" t="inlineStr">
        <x:is>
          <x:t xml:space="preserve">Selflo working translation; không phải published translation.</x:t>
        </x:is>
      </x:c>
    </x:row>
    <x:row r="10">
      <x:c r="A10" t="inlineStr">
        <x:is>
          <x:t xml:space="preserve">Primary source</x:t>
        </x:is>
      </x:c>
      <x:c r="B10" t="inlineStr">
        <x:is>
          <x:t xml:space="preserve">Wang Bi recension / Chinese Wikisource; cross-check nên tiếp tục ở curation phase với CText/Legge và scholarly editions cho câu khó.</x:t>
        </x:is>
      </x:c>
    </x:row>
    <x:row r="11">
      <x:c r="A11" t="inlineStr">
        <x:is>
          <x:t xml:space="preserve">Day status</x:t>
        </x:is>
      </x:c>
      <x:c r="B11" t="inlineStr">
        <x:is>
          <x:t xml:space="preserve">DONE</x:t>
        </x:is>
      </x:c>
    </x:row>
    <x:row r="13">
      <x:c r="A13" t="inlineStr">
        <x:is>
          <x:t xml:space="preserve">Chapter</x:t>
        </x:is>
      </x:c>
      <x:c r="B13" t="inlineStr">
        <x:is>
          <x:t xml:space="preserve">Candidates</x:t>
        </x:is>
      </x:c>
      <x:c r="C13" t="inlineStr">
        <x:is>
          <x:t xml:space="preserve">High fit</x:t>
        </x:is>
      </x:c>
      <x:c r="D13" t="inlineStr">
        <x:is>
          <x:t xml:space="preserve">Audit</x:t>
        </x:is>
      </x:c>
    </x:row>
    <x:row r="14">
      <x:c r="A14" t="n">
        <x:v>21</x:v>
      </x:c>
      <x:c r="B14" t="n">
        <x:v>5</x:v>
      </x:c>
      <x:c r="C14" t="n">
        <x:v>3</x:v>
      </x:c>
      <x:c r="D14" t="inlineStr">
        <x:is>
          <x:t xml:space="preserve">DONE</x:t>
        </x:is>
      </x:c>
    </x:row>
    <x:row r="15">
      <x:c r="A15" t="n">
        <x:v>22</x:v>
      </x:c>
      <x:c r="B15" t="n">
        <x:v>3</x:v>
      </x:c>
      <x:c r="C15" t="n">
        <x:v>2</x:v>
      </x:c>
      <x:c r="D15" t="inlineStr">
        <x:is>
          <x:t xml:space="preserve">DONE</x:t>
        </x:is>
      </x:c>
    </x:row>
    <x:row r="16">
      <x:c r="A16" t="n">
        <x:v>23</x:v>
      </x:c>
      <x:c r="B16" t="n">
        <x:v>4</x:v>
      </x:c>
      <x:c r="C16" t="n">
        <x:v>4</x:v>
      </x:c>
      <x:c r="D16" t="inlineStr">
        <x:is>
          <x:t xml:space="preserve">DONE</x:t>
        </x:is>
      </x:c>
    </x:row>
    <x:row r="17">
      <x:c r="A17" t="n">
        <x:v>24</x:v>
      </x:c>
      <x:c r="B17" t="n">
        <x:v>3</x:v>
      </x:c>
      <x:c r="C17" t="n">
        <x:v>1</x:v>
      </x:c>
      <x:c r="D17" t="inlineStr">
        <x:is>
          <x:t xml:space="preserve">DONE</x:t>
        </x:is>
      </x:c>
    </x:row>
    <x:row r="18">
      <x:c r="A18" t="n">
        <x:v>25</x:v>
      </x:c>
      <x:c r="B18" t="n">
        <x:v>3</x:v>
      </x:c>
      <x:c r="C18" t="n">
        <x:v>2</x:v>
      </x:c>
      <x:c r="D18" t="inlineStr">
        <x:is>
          <x:t xml:space="preserve">DONE</x:t>
        </x:is>
      </x:c>
    </x:row>
    <x:row r="19">
      <x:c r="A19" t="n">
        <x:v>26</x:v>
      </x:c>
      <x:c r="B19" t="n">
        <x:v>3</x:v>
      </x:c>
      <x:c r="C19" t="n">
        <x:v>3</x:v>
      </x:c>
      <x:c r="D19" t="inlineStr">
        <x:is>
          <x:t xml:space="preserve">DONE</x:t>
        </x:is>
      </x:c>
    </x:row>
    <x:row r="20">
      <x:c r="A20" t="n">
        <x:v>27</x:v>
      </x:c>
      <x:c r="B20" t="n">
        <x:v>4</x:v>
      </x:c>
      <x:c r="C20" t="n">
        <x:v>3</x:v>
      </x:c>
      <x:c r="D20" t="inlineStr">
        <x:is>
          <x:t xml:space="preserve">DONE</x:t>
        </x:is>
      </x:c>
    </x:row>
    <x:row r="21">
      <x:c r="A21" t="n">
        <x:v>28</x:v>
      </x:c>
      <x:c r="B21" t="n">
        <x:v>6</x:v>
      </x:c>
      <x:c r="C21" t="n">
        <x:v>5</x:v>
      </x:c>
      <x:c r="D21" t="inlineStr">
        <x:is>
          <x:t xml:space="preserve">DONE</x:t>
        </x:is>
      </x:c>
    </x:row>
    <x:row r="22">
      <x:c r="A22" t="n">
        <x:v>29</x:v>
      </x:c>
      <x:c r="B22" t="n">
        <x:v>5</x:v>
      </x:c>
      <x:c r="C22" t="n">
        <x:v>4</x:v>
      </x:c>
      <x:c r="D22" t="inlineStr">
        <x:is>
          <x:t xml:space="preserve">DONE</x:t>
        </x:is>
      </x:c>
    </x:row>
    <x:row r="23">
      <x:c r="A23" t="n">
        <x:v>30</x:v>
      </x:c>
      <x:c r="B23" t="n">
        <x:v>3</x:v>
      </x:c>
      <x:c r="C23" t="n">
        <x:v>2</x:v>
      </x:c>
      <x:c r="D23" t="inlineStr">
        <x:is>
          <x:t xml:space="preserve">DONE</x:t>
        </x:is>
      </x:c>
    </x:row>
    <x:row r="24">
      <x:c r="A24" t="n">
        <x:v>31</x:v>
      </x:c>
      <x:c r="B24" t="n">
        <x:v>3</x:v>
      </x:c>
      <x:c r="C24" t="n">
        <x:v>1</x:v>
      </x:c>
      <x:c r="D24" t="inlineStr">
        <x:is>
          <x:t xml:space="preserve">DONE</x:t>
        </x:is>
      </x:c>
    </x:row>
    <x:row r="25">
      <x:c r="A25" t="n">
        <x:v>32</x:v>
      </x:c>
      <x:c r="B25" t="n">
        <x:v>3</x:v>
      </x:c>
      <x:c r="C25" t="n">
        <x:v>2</x:v>
      </x:c>
      <x:c r="D25" t="inlineStr">
        <x:is>
          <x:t xml:space="preserve">DONE</x:t>
        </x:is>
      </x:c>
    </x:row>
    <x:row r="26">
      <x:c r="A26" t="n">
        <x:v>33</x:v>
      </x:c>
      <x:c r="B26" t="n">
        <x:v>6</x:v>
      </x:c>
      <x:c r="C26" t="n">
        <x:v>4</x:v>
      </x:c>
      <x:c r="D26" t="inlineStr">
        <x:is>
          <x:t xml:space="preserve">DONE</x:t>
        </x:is>
      </x:c>
    </x:row>
    <x:row r="27">
      <x:c r="A27" t="n">
        <x:v>34</x:v>
      </x:c>
      <x:c r="B27" t="n">
        <x:v>4</x:v>
      </x:c>
      <x:c r="C27" t="n">
        <x:v>3</x:v>
      </x:c>
      <x:c r="D27" t="inlineStr">
        <x:is>
          <x:t xml:space="preserve">DONE</x:t>
        </x:is>
      </x:c>
    </x:row>
    <x:row r="28">
      <x:c r="A28" t="n">
        <x:v>35</x:v>
      </x:c>
      <x:c r="B28" t="n">
        <x:v>4</x:v>
      </x:c>
      <x:c r="C28" t="n">
        <x:v>2</x:v>
      </x:c>
      <x:c r="D28" t="inlineStr">
        <x:is>
          <x:t xml:space="preserve">DONE</x:t>
        </x:is>
      </x:c>
    </x:row>
    <x:row r="29">
      <x:c r="A29" t="n">
        <x:v>36</x:v>
      </x:c>
      <x:c r="B29" t="n">
        <x:v>4</x:v>
      </x:c>
      <x:c r="C29" t="n">
        <x:v>2</x:v>
      </x:c>
      <x:c r="D29" t="inlineStr">
        <x:is>
          <x:t xml:space="preserve">DONE</x:t>
        </x:is>
      </x:c>
    </x:row>
    <x:row r="30">
      <x:c r="A30" t="n">
        <x:v>37</x:v>
      </x:c>
      <x:c r="B30" t="n">
        <x:v>4</x:v>
      </x:c>
      <x:c r="C30" t="n">
        <x:v>3</x:v>
      </x:c>
      <x:c r="D30" t="inlineStr">
        <x:is>
          <x:t xml:space="preserve">DONE</x:t>
        </x:is>
      </x:c>
    </x:row>
    <x:row r="31">
      <x:c r="A31" t="n">
        <x:v>38</x:v>
      </x:c>
      <x:c r="B31" t="n">
        <x:v>6</x:v>
      </x:c>
      <x:c r="C31" t="n">
        <x:v>5</x:v>
      </x:c>
      <x:c r="D31" t="inlineStr">
        <x:is>
          <x:t xml:space="preserve">DONE</x:t>
        </x:is>
      </x:c>
    </x:row>
    <x:row r="32">
      <x:c r="A32" t="n">
        <x:v>39</x:v>
      </x:c>
      <x:c r="B32" t="n">
        <x:v>3</x:v>
      </x:c>
      <x:c r="C32" t="n">
        <x:v>2</x:v>
      </x:c>
      <x:c r="D32" t="inlineStr">
        <x:is>
          <x:t xml:space="preserve">DONE</x:t>
        </x:is>
      </x:c>
    </x:row>
    <x:row r="33">
      <x:c r="A33" t="n">
        <x:v>40</x:v>
      </x:c>
      <x:c r="B33" t="n">
        <x:v>2</x:v>
      </x:c>
      <x:c r="C33" t="n">
        <x:v>2</x:v>
      </x:c>
      <x:c r="D33" t="inlineStr">
        <x:is>
          <x:t xml:space="preserve">DONE</x:t>
        </x:is>
      </x:c>
    </x:row>
    <x:row r="34">
      <x:c r="A34" t="n">
        <x:v>41</x:v>
      </x:c>
      <x:c r="B34" t="n">
        <x:v>5</x:v>
      </x:c>
      <x:c r="C34" t="n">
        <x:v>5</x:v>
      </x:c>
      <x:c r="D34" t="inlineStr">
        <x:is>
          <x:t xml:space="preserve">DONE</x:t>
        </x:is>
      </x:c>
    </x:row>
    <x:row r="35">
      <x:c r="A35" t="n">
        <x:v>42</x:v>
      </x:c>
      <x:c r="B35" t="n">
        <x:v>5</x:v>
      </x:c>
      <x:c r="C35" t="n">
        <x:v>2</x:v>
      </x:c>
      <x:c r="D35" t="inlineStr">
        <x:is>
          <x:t xml:space="preserve">DONE</x:t>
        </x:is>
      </x:c>
    </x:row>
    <x:row r="36">
      <x:c r="A36" t="n">
        <x:v>43</x:v>
      </x:c>
      <x:c r="B36" t="n">
        <x:v>3</x:v>
      </x:c>
      <x:c r="C36" t="n">
        <x:v>2</x:v>
      </x:c>
      <x:c r="D36" t="inlineStr">
        <x:is>
          <x:t xml:space="preserve">DONE</x:t>
        </x:is>
      </x:c>
    </x:row>
    <x:row r="37">
      <x:c r="A37" t="n">
        <x:v>44</x:v>
      </x:c>
      <x:c r="B37" t="n">
        <x:v>3</x:v>
      </x:c>
      <x:c r="C37" t="n">
        <x:v>3</x:v>
      </x:c>
      <x:c r="D37" t="inlineStr">
        <x:is>
          <x:t xml:space="preserve">DONE</x:t>
        </x:is>
      </x:c>
    </x:row>
    <x:row r="38">
      <x:c r="A38" t="n">
        <x:v>45</x:v>
      </x:c>
      <x:c r="B38" t="n">
        <x:v>4</x:v>
      </x:c>
      <x:c r="C38" t="n">
        <x:v>3</x:v>
      </x:c>
      <x:c r="D38" t="inlineStr">
        <x:is>
          <x:t xml:space="preserve">DONE</x:t>
        </x:is>
      </x:c>
    </x:row>
    <x:row r="39">
      <x:c r="A39" t="n">
        <x:v>46</x:v>
      </x:c>
      <x:c r="B39" t="n">
        <x:v>3</x:v>
      </x:c>
      <x:c r="C39" t="n">
        <x:v>1</x:v>
      </x:c>
      <x:c r="D39" t="inlineStr">
        <x:is>
          <x:t xml:space="preserve">DONE</x:t>
        </x:is>
      </x:c>
    </x:row>
    <x:row r="40">
      <x:c r="A40" t="n">
        <x:v>47</x:v>
      </x:c>
      <x:c r="B40" t="n">
        <x:v>3</x:v>
      </x:c>
      <x:c r="C40" t="n">
        <x:v>3</x:v>
      </x:c>
      <x:c r="D40" t="inlineStr">
        <x:is>
          <x:t xml:space="preserve">DONE</x:t>
        </x:is>
      </x:c>
    </x:row>
    <x:row r="41">
      <x:c r="A41" t="n">
        <x:v>48</x:v>
      </x:c>
      <x:c r="B41" t="n">
        <x:v>4</x:v>
      </x:c>
      <x:c r="C41" t="n">
        <x:v>4</x:v>
      </x:c>
      <x:c r="D41" t="inlineStr">
        <x:is>
          <x:t xml:space="preserve">DONE</x:t>
        </x:is>
      </x:c>
    </x:row>
    <x:row r="42">
      <x:c r="A42" t="n">
        <x:v>49</x:v>
      </x:c>
      <x:c r="B42" t="n">
        <x:v>5</x:v>
      </x:c>
      <x:c r="C42" t="n">
        <x:v>3</x:v>
      </x:c>
      <x:c r="D42" t="inlineStr">
        <x:is>
          <x:t xml:space="preserve">DONE</x:t>
        </x:is>
      </x:c>
    </x:row>
    <x:row r="43">
      <x:c r="A43" t="n">
        <x:v>50</x:v>
      </x:c>
      <x:c r="B43" t="n">
        <x:v>5</x:v>
      </x:c>
      <x:c r="C43" t="n">
        <x:v>0</x:v>
      </x:c>
      <x:c r="D43" t="inlineStr">
        <x:is>
          <x:t xml:space="preserve">DONE</x:t>
        </x:is>
      </x:c>
    </x:row>
  </x:sheetData>
  <x:pageMargins left="0.7" right="0.7" top="0.75" bottom="0.75" header="0.3" footer="0.3"/>
</x:worksheet>
</file>

<file path=xl/worksheets/sheet19.xml><?xml version="1.0" encoding="utf-8"?>
<x:worksheet xmlns:x="http://schemas.openxmlformats.org/spreadsheetml/2006/main">
  <x:sheetFormatPr baseColWidth="8" defaultRowHeight="15"/>
  <x:cols>
    <x:col min="1" max="1" width="24" style="72" customWidth="1"/>
    <x:col min="2" max="2" width="95" style="72" customWidth="1"/>
    <x:col min="3" max="3" width="14" style="72" customWidth="1"/>
    <x:col min="4" max="4" width="12" style="72" customWidth="1"/>
  </x:cols>
  <x:sheetData>
    <x:row r="1">
      <x:c r="A1" s="137" t="inlineStr">
        <x:is>
          <x:t xml:space="preserve">DAY 3 — LÃO TỬ / ĐẠO ĐỨC KINH CHƯƠNG 51–81 — FULL SCOPE AUDIT</x:t>
        </x:is>
      </x:c>
      <x:c r="B1" s="1" t="n"/>
      <x:c r="C1" s="1" t="n"/>
      <x:c r="D1" s="1" t="n"/>
      <x:c r="E1" s="1" t="n"/>
      <x:c r="F1" s="1" t="n"/>
    </x:row>
    <x:row r="3">
      <x:c r="A3" s="100" t="inlineStr">
        <x:is>
          <x:t xml:space="preserve">Hạng mục</x:t>
        </x:is>
      </x:c>
      <x:c r="B3" s="100" t="inlineStr">
        <x:is>
          <x:t xml:space="preserve">Kết quả</x:t>
        </x:is>
      </x:c>
    </x:row>
    <x:row r="4">
      <x:c r="A4" t="inlineStr">
        <x:is>
          <x:t xml:space="preserve">Scope</x:t>
        </x:is>
      </x:c>
      <x:c r="B4" t="inlineStr">
        <x:is>
          <x:t xml:space="preserve">Đạo Đức Kinh chương 51–81; audit toàn bộ phạm vi, không dừng theo quota.</x:t>
        </x:is>
      </x:c>
    </x:row>
    <x:row r="5">
      <x:c r="A5" t="inlineStr">
        <x:is>
          <x:t xml:space="preserve">Candidate passages</x:t>
        </x:is>
      </x:c>
      <x:c r="B5" t="n">
        <x:v>136</x:v>
      </x:c>
    </x:row>
    <x:row r="6">
      <x:c r="A6" t="inlineStr">
        <x:is>
          <x:t xml:space="preserve">High Selflo Fit</x:t>
        </x:is>
      </x:c>
      <x:c r="B6" t="n">
        <x:v>99</x:v>
      </x:c>
    </x:row>
    <x:row r="7">
      <x:c r="A7" t="inlineStr">
        <x:is>
          <x:t xml:space="preserve">Story thực sự</x:t>
        </x:is>
      </x:c>
      <x:c r="B7" t="inlineStr">
        <x:is>
          <x:t xml:space="preserve">0 — đây là văn bản triết học/aphoristic; không tự biến ẩn dụ thành story.</x:t>
        </x:is>
      </x:c>
    </x:row>
    <x:row r="8">
      <x:c r="A8" t="inlineStr">
        <x:is>
          <x:t xml:space="preserve">Principle seeds Day 3</x:t>
        </x:is>
      </x:c>
      <x:c r="B8" t="n">
        <x:v>14</x:v>
      </x:c>
    </x:row>
    <x:row r="9">
      <x:c r="A9" t="inlineStr">
        <x:is>
          <x:t xml:space="preserve">Data repair</x:t>
        </x:is>
      </x:c>
      <x:c r="B9" t="inlineStr">
        <x:is>
          <x:t xml:space="preserve">Đã bổ sung lại 12 principle seeds Day 2 bị thiếu trong tab Principle Library của file Day 2.</x:t>
        </x:is>
      </x:c>
    </x:row>
    <x:row r="10">
      <x:c r="A10" t="inlineStr">
        <x:is>
          <x:t xml:space="preserve">Original language</x:t>
        </x:is>
      </x:c>
      <x:c r="B10" t="inlineStr">
        <x:is>
          <x:t xml:space="preserve">Classical Chinese (文言文) giữ riêng cho từng candidate.</x:t>
        </x:is>
      </x:c>
    </x:row>
    <x:row r="11">
      <x:c r="A11" t="inlineStr">
        <x:is>
          <x:t xml:space="preserve">Vietnamese policy</x:t>
        </x:is>
      </x:c>
      <x:c r="B11" t="inlineStr">
        <x:is>
          <x:t xml:space="preserve">Selflo working translation; không phải published translation.</x:t>
        </x:is>
      </x:c>
    </x:row>
    <x:row r="12">
      <x:c r="A12" t="inlineStr">
        <x:is>
          <x:t xml:space="preserve">Primary source</x:t>
        </x:is>
      </x:c>
      <x:c r="B12" t="inlineStr">
        <x:is>
          <x:t xml:space="preserve">Đạo Đức Kinh bản Vương Bật trên Chinese Wikisource.</x:t>
        </x:is>
      </x:c>
    </x:row>
    <x:row r="13">
      <x:c r="A13" t="inlineStr">
        <x:is>
          <x:t xml:space="preserve">Curation warning</x:t>
        </x:is>
      </x:c>
      <x:c r="B13" t="inlineStr">
        <x:is>
          <x:t xml:space="preserve">Một số chương có cổ nghĩa, dị bản hoặc ngữ cảnh trị quốc/chiến tranh; phải scholarly-review trước khi Release.</x:t>
        </x:is>
      </x:c>
    </x:row>
    <x:row r="14">
      <x:c r="A14" t="inlineStr">
        <x:is>
          <x:t xml:space="preserve">Completion gate</x:t>
        </x:is>
      </x:c>
      <x:c r="B14" t="inlineStr">
        <x:is>
          <x:t xml:space="preserve">PASS — chapters 51–81 reviewed end-to-end; candidates + principles stored; story count truthfully 0.</x:t>
        </x:is>
      </x:c>
    </x:row>
    <x:row r="15">
      <x:c r="A15" t="inlineStr">
        <x:is>
          <x:t xml:space="preserve">Day status</x:t>
        </x:is>
      </x:c>
      <x:c r="B15" t="inlineStr">
        <x:is>
          <x:t xml:space="preserve">DONE</x:t>
        </x:is>
      </x:c>
    </x:row>
    <x:row r="17">
      <x:c r="A17" s="100" t="inlineStr">
        <x:is>
          <x:t xml:space="preserve">Chapter</x:t>
        </x:is>
      </x:c>
      <x:c r="B17" s="100" t="inlineStr">
        <x:is>
          <x:t xml:space="preserve">Candidates</x:t>
        </x:is>
      </x:c>
      <x:c r="C17" s="100" t="inlineStr">
        <x:is>
          <x:t xml:space="preserve">High Fit</x:t>
        </x:is>
      </x:c>
      <x:c r="D17" s="100" t="inlineStr">
        <x:is>
          <x:t xml:space="preserve">Audit</x:t>
        </x:is>
      </x:c>
    </x:row>
    <x:row r="18">
      <x:c r="A18" t="n">
        <x:v>51</x:v>
      </x:c>
      <x:c r="B18" t="n">
        <x:v>4</x:v>
      </x:c>
      <x:c r="C18" t="n">
        <x:v>3</x:v>
      </x:c>
      <x:c r="D18" t="inlineStr">
        <x:is>
          <x:t xml:space="preserve">DONE</x:t>
        </x:is>
      </x:c>
    </x:row>
    <x:row r="19">
      <x:c r="A19" t="n">
        <x:v>52</x:v>
      </x:c>
      <x:c r="B19" t="n">
        <x:v>5</x:v>
      </x:c>
      <x:c r="C19" t="n">
        <x:v>4</x:v>
      </x:c>
      <x:c r="D19" t="inlineStr">
        <x:is>
          <x:t xml:space="preserve">DONE</x:t>
        </x:is>
      </x:c>
    </x:row>
    <x:row r="20">
      <x:c r="A20" t="n">
        <x:v>53</x:v>
      </x:c>
      <x:c r="B20" t="n">
        <x:v>3</x:v>
      </x:c>
      <x:c r="C20" t="n">
        <x:v>2</x:v>
      </x:c>
      <x:c r="D20" t="inlineStr">
        <x:is>
          <x:t xml:space="preserve">DONE</x:t>
        </x:is>
      </x:c>
    </x:row>
    <x:row r="21">
      <x:c r="A21" t="n">
        <x:v>54</x:v>
      </x:c>
      <x:c r="B21" t="n">
        <x:v>5</x:v>
      </x:c>
      <x:c r="C21" t="n">
        <x:v>3</x:v>
      </x:c>
      <x:c r="D21" t="inlineStr">
        <x:is>
          <x:t xml:space="preserve">DONE</x:t>
        </x:is>
      </x:c>
    </x:row>
    <x:row r="22">
      <x:c r="A22" t="n">
        <x:v>55</x:v>
      </x:c>
      <x:c r="B22" t="n">
        <x:v>6</x:v>
      </x:c>
      <x:c r="C22" t="n">
        <x:v>3</x:v>
      </x:c>
      <x:c r="D22" t="inlineStr">
        <x:is>
          <x:t xml:space="preserve">DONE</x:t>
        </x:is>
      </x:c>
    </x:row>
    <x:row r="23">
      <x:c r="A23" t="n">
        <x:v>56</x:v>
      </x:c>
      <x:c r="B23" t="n">
        <x:v>4</x:v>
      </x:c>
      <x:c r="C23" t="n">
        <x:v>3</x:v>
      </x:c>
      <x:c r="D23" t="inlineStr">
        <x:is>
          <x:t xml:space="preserve">DONE</x:t>
        </x:is>
      </x:c>
    </x:row>
    <x:row r="24">
      <x:c r="A24" t="n">
        <x:v>57</x:v>
      </x:c>
      <x:c r="B24" t="n">
        <x:v>5</x:v>
      </x:c>
      <x:c r="C24" t="n">
        <x:v>3</x:v>
      </x:c>
      <x:c r="D24" t="inlineStr">
        <x:is>
          <x:t xml:space="preserve">DONE</x:t>
        </x:is>
      </x:c>
    </x:row>
    <x:row r="25">
      <x:c r="A25" t="n">
        <x:v>58</x:v>
      </x:c>
      <x:c r="B25" t="n">
        <x:v>5</x:v>
      </x:c>
      <x:c r="C25" t="n">
        <x:v>3</x:v>
      </x:c>
      <x:c r="D25" t="inlineStr">
        <x:is>
          <x:t xml:space="preserve">DONE</x:t>
        </x:is>
      </x:c>
    </x:row>
    <x:row r="26">
      <x:c r="A26" t="n">
        <x:v>59</x:v>
      </x:c>
      <x:c r="B26" t="n">
        <x:v>4</x:v>
      </x:c>
      <x:c r="C26" t="n">
        <x:v>4</x:v>
      </x:c>
      <x:c r="D26" t="inlineStr">
        <x:is>
          <x:t xml:space="preserve">DONE</x:t>
        </x:is>
      </x:c>
    </x:row>
    <x:row r="27">
      <x:c r="A27" t="n">
        <x:v>60</x:v>
      </x:c>
      <x:c r="B27" t="n">
        <x:v>3</x:v>
      </x:c>
      <x:c r="C27" t="n">
        <x:v>1</x:v>
      </x:c>
      <x:c r="D27" t="inlineStr">
        <x:is>
          <x:t xml:space="preserve">DONE</x:t>
        </x:is>
      </x:c>
    </x:row>
    <x:row r="28">
      <x:c r="A28" t="n">
        <x:v>61</x:v>
      </x:c>
      <x:c r="B28" t="n">
        <x:v>4</x:v>
      </x:c>
      <x:c r="C28" t="n">
        <x:v>3</x:v>
      </x:c>
      <x:c r="D28" t="inlineStr">
        <x:is>
          <x:t xml:space="preserve">DONE</x:t>
        </x:is>
      </x:c>
    </x:row>
    <x:row r="29">
      <x:c r="A29" t="n">
        <x:v>62</x:v>
      </x:c>
      <x:c r="B29" t="n">
        <x:v>5</x:v>
      </x:c>
      <x:c r="C29" t="n">
        <x:v>3</x:v>
      </x:c>
      <x:c r="D29" t="inlineStr">
        <x:is>
          <x:t xml:space="preserve">DONE</x:t>
        </x:is>
      </x:c>
    </x:row>
    <x:row r="30">
      <x:c r="A30" t="n">
        <x:v>63</x:v>
      </x:c>
      <x:c r="B30" t="n">
        <x:v>6</x:v>
      </x:c>
      <x:c r="C30" t="n">
        <x:v>5</x:v>
      </x:c>
      <x:c r="D30" t="inlineStr">
        <x:is>
          <x:t xml:space="preserve">DONE</x:t>
        </x:is>
      </x:c>
    </x:row>
    <x:row r="31">
      <x:c r="A31" t="n">
        <x:v>64</x:v>
      </x:c>
      <x:c r="B31" t="n">
        <x:v>8</x:v>
      </x:c>
      <x:c r="C31" t="n">
        <x:v>8</x:v>
      </x:c>
      <x:c r="D31" t="inlineStr">
        <x:is>
          <x:t xml:space="preserve">DONE</x:t>
        </x:is>
      </x:c>
    </x:row>
    <x:row r="32">
      <x:c r="A32" t="n">
        <x:v>65</x:v>
      </x:c>
      <x:c r="B32" t="n">
        <x:v>5</x:v>
      </x:c>
      <x:c r="C32" t="n">
        <x:v>1</x:v>
      </x:c>
      <x:c r="D32" t="inlineStr">
        <x:is>
          <x:t xml:space="preserve">DONE</x:t>
        </x:is>
      </x:c>
    </x:row>
    <x:row r="33">
      <x:c r="A33" t="n">
        <x:v>66</x:v>
      </x:c>
      <x:c r="B33" t="n">
        <x:v>4</x:v>
      </x:c>
      <x:c r="C33" t="n">
        <x:v>4</x:v>
      </x:c>
      <x:c r="D33" t="inlineStr">
        <x:is>
          <x:t xml:space="preserve">DONE</x:t>
        </x:is>
      </x:c>
    </x:row>
    <x:row r="34">
      <x:c r="A34" t="n">
        <x:v>67</x:v>
      </x:c>
      <x:c r="B34" t="n">
        <x:v>4</x:v>
      </x:c>
      <x:c r="C34" t="n">
        <x:v>4</x:v>
      </x:c>
      <x:c r="D34" t="inlineStr">
        <x:is>
          <x:t xml:space="preserve">DONE</x:t>
        </x:is>
      </x:c>
    </x:row>
    <x:row r="35">
      <x:c r="A35" t="n">
        <x:v>68</x:v>
      </x:c>
      <x:c r="B35" t="n">
        <x:v>4</x:v>
      </x:c>
      <x:c r="C35" t="n">
        <x:v>3</x:v>
      </x:c>
      <x:c r="D35" t="inlineStr">
        <x:is>
          <x:t xml:space="preserve">DONE</x:t>
        </x:is>
      </x:c>
    </x:row>
    <x:row r="36">
      <x:c r="A36" t="n">
        <x:v>69</x:v>
      </x:c>
      <x:c r="B36" t="n">
        <x:v>3</x:v>
      </x:c>
      <x:c r="C36" t="n">
        <x:v>2</x:v>
      </x:c>
      <x:c r="D36" t="inlineStr">
        <x:is>
          <x:t xml:space="preserve">DONE</x:t>
        </x:is>
      </x:c>
    </x:row>
    <x:row r="37">
      <x:c r="A37" t="n">
        <x:v>70</x:v>
      </x:c>
      <x:c r="B37" t="n">
        <x:v>4</x:v>
      </x:c>
      <x:c r="C37" t="n">
        <x:v>4</x:v>
      </x:c>
      <x:c r="D37" t="inlineStr">
        <x:is>
          <x:t xml:space="preserve">DONE</x:t>
        </x:is>
      </x:c>
    </x:row>
    <x:row r="38">
      <x:c r="A38" t="n">
        <x:v>71</x:v>
      </x:c>
      <x:c r="B38" t="n">
        <x:v>2</x:v>
      </x:c>
      <x:c r="C38" t="n">
        <x:v>2</x:v>
      </x:c>
      <x:c r="D38" t="inlineStr">
        <x:is>
          <x:t xml:space="preserve">DONE</x:t>
        </x:is>
      </x:c>
    </x:row>
    <x:row r="39">
      <x:c r="A39" t="n">
        <x:v>72</x:v>
      </x:c>
      <x:c r="B39" t="n">
        <x:v>3</x:v>
      </x:c>
      <x:c r="C39" t="n">
        <x:v>2</x:v>
      </x:c>
      <x:c r="D39" t="inlineStr">
        <x:is>
          <x:t xml:space="preserve">DONE</x:t>
        </x:is>
      </x:c>
    </x:row>
    <x:row r="40">
      <x:c r="A40" t="n">
        <x:v>73</x:v>
      </x:c>
      <x:c r="B40" t="n">
        <x:v>5</x:v>
      </x:c>
      <x:c r="C40" t="n">
        <x:v>3</x:v>
      </x:c>
      <x:c r="D40" t="inlineStr">
        <x:is>
          <x:t xml:space="preserve">DONE</x:t>
        </x:is>
      </x:c>
    </x:row>
    <x:row r="41">
      <x:c r="A41" t="n">
        <x:v>74</x:v>
      </x:c>
      <x:c r="B41" t="n">
        <x:v>2</x:v>
      </x:c>
      <x:c r="C41" t="n">
        <x:v>1</x:v>
      </x:c>
      <x:c r="D41" t="inlineStr">
        <x:is>
          <x:t xml:space="preserve">DONE</x:t>
        </x:is>
      </x:c>
    </x:row>
    <x:row r="42">
      <x:c r="A42" t="n">
        <x:v>75</x:v>
      </x:c>
      <x:c r="B42" t="n">
        <x:v>4</x:v>
      </x:c>
      <x:c r="C42" t="n">
        <x:v>2</x:v>
      </x:c>
      <x:c r="D42" t="inlineStr">
        <x:is>
          <x:t xml:space="preserve">DONE</x:t>
        </x:is>
      </x:c>
    </x:row>
    <x:row r="43">
      <x:c r="A43" t="n">
        <x:v>76</x:v>
      </x:c>
      <x:c r="B43" t="n">
        <x:v>4</x:v>
      </x:c>
      <x:c r="C43" t="n">
        <x:v>4</x:v>
      </x:c>
      <x:c r="D43" t="inlineStr">
        <x:is>
          <x:t xml:space="preserve">DONE</x:t>
        </x:is>
      </x:c>
    </x:row>
    <x:row r="44">
      <x:c r="A44" t="n">
        <x:v>77</x:v>
      </x:c>
      <x:c r="B44" t="n">
        <x:v>5</x:v>
      </x:c>
      <x:c r="C44" t="n">
        <x:v>4</x:v>
      </x:c>
      <x:c r="D44" t="inlineStr">
        <x:is>
          <x:t xml:space="preserve">DONE</x:t>
        </x:is>
      </x:c>
    </x:row>
    <x:row r="45">
      <x:c r="A45" t="n">
        <x:v>78</x:v>
      </x:c>
      <x:c r="B45" t="n">
        <x:v>4</x:v>
      </x:c>
      <x:c r="C45" t="n">
        <x:v>3</x:v>
      </x:c>
      <x:c r="D45" t="inlineStr">
        <x:is>
          <x:t xml:space="preserve">DONE</x:t>
        </x:is>
      </x:c>
    </x:row>
    <x:row r="46">
      <x:c r="A46" t="n">
        <x:v>79</x:v>
      </x:c>
      <x:c r="B46" t="n">
        <x:v>5</x:v>
      </x:c>
      <x:c r="C46" t="n">
        <x:v>4</x:v>
      </x:c>
      <x:c r="D46" t="inlineStr">
        <x:is>
          <x:t xml:space="preserve">DONE</x:t>
        </x:is>
      </x:c>
    </x:row>
    <x:row r="47">
      <x:c r="A47" t="n">
        <x:v>80</x:v>
      </x:c>
      <x:c r="B47" t="n">
        <x:v>5</x:v>
      </x:c>
      <x:c r="C47" t="n">
        <x:v>3</x:v>
      </x:c>
      <x:c r="D47" t="inlineStr">
        <x:is>
          <x:t xml:space="preserve">DONE</x:t>
        </x:is>
      </x:c>
    </x:row>
    <x:row r="48">
      <x:c r="A48" t="n">
        <x:v>81</x:v>
      </x:c>
      <x:c r="B48" t="n">
        <x:v>6</x:v>
      </x:c>
      <x:c r="C48" t="n">
        <x:v>5</x:v>
      </x:c>
      <x:c r="D48" t="inlineStr">
        <x:is>
          <x:t xml:space="preserve">DONE</x:t>
        </x:is>
      </x:c>
    </x:row>
  </x:sheetData>
  <x:mergeCells>
    <x:mergeCell ref="A1:F1"/>
  </x:mergeCells>
  <x:pageMargins left="0.7" right="0.7" top="0.75" bottom="0.75" header="0.3" footer="0.3"/>
</x:worksheet>
</file>

<file path=xl/worksheets/sheet20.xml><?xml version="1.0" encoding="utf-8"?>
<x:worksheet xmlns:x="http://schemas.openxmlformats.org/spreadsheetml/2006/main">
  <x:sheetFormatPr baseColWidth="8" defaultRowHeight="15"/>
  <x:cols>
    <x:col min="1" max="1" width="30" style="72" customWidth="1"/>
    <x:col min="2" max="2" width="90" style="72" customWidth="1"/>
    <x:col min="3" max="3" width="16" style="72" customWidth="1"/>
    <x:col min="4" max="4" width="16" style="72" customWidth="1"/>
    <x:col min="5" max="5" width="16" style="72" customWidth="1"/>
    <x:col min="6" max="6" width="16" style="72" customWidth="1"/>
  </x:cols>
  <x:sheetData>
    <x:row r="1">
      <x:c r="A1" s="138" t="inlineStr">
        <x:is>
          <x:t xml:space="preserve">DAY 4 — TRANG TỬ / ZHUANGZI INNER CHAPTERS 1–7 — FULL SCOPE AUDIT</x:t>
        </x:is>
      </x:c>
      <x:c r="B1" s="1" t="n"/>
      <x:c r="C1" s="1" t="n"/>
      <x:c r="D1" s="1" t="n"/>
      <x:c r="E1" s="1" t="n"/>
      <x:c r="F1" s="1" t="n"/>
    </x:row>
    <x:row r="3">
      <x:c r="A3" s="106" t="inlineStr">
        <x:is>
          <x:t xml:space="preserve">Hạng mục</x:t>
        </x:is>
      </x:c>
      <x:c r="B3" s="106" t="inlineStr">
        <x:is>
          <x:t xml:space="preserve">Kết quả</x:t>
        </x:is>
      </x:c>
    </x:row>
    <x:row r="4">
      <x:c r="A4" t="inlineStr">
        <x:is>
          <x:t xml:space="preserve">Scope</x:t>
        </x:is>
      </x:c>
      <x:c r="B4" t="inlineStr">
        <x:is>
          <x:t xml:space="preserve">Audit toàn bộ Nội thiên 1–7 của Trang Tử; không dừng theo quota 20/7/5.</x:t>
        </x:is>
      </x:c>
    </x:row>
    <x:row r="5">
      <x:c r="A5" t="inlineStr">
        <x:is>
          <x:t xml:space="preserve">Quote / passage candidates</x:t>
        </x:is>
      </x:c>
      <x:c r="B5" t="n">
        <x:v>60</x:v>
      </x:c>
    </x:row>
    <x:row r="6">
      <x:c r="A6" t="inlineStr">
        <x:is>
          <x:t xml:space="preserve">High Selflo Fit</x:t>
        </x:is>
      </x:c>
      <x:c r="B6" t="n">
        <x:v>58</x:v>
      </x:c>
    </x:row>
    <x:row r="7">
      <x:c r="A7" t="inlineStr">
        <x:is>
          <x:t xml:space="preserve">Story candidates có nguồn rõ</x:t>
        </x:is>
      </x:c>
      <x:c r="B7" t="n">
        <x:v>10</x:v>
      </x:c>
    </x:row>
    <x:row r="8">
      <x:c r="A8" t="inlineStr">
        <x:is>
          <x:t xml:space="preserve">Principle seeds</x:t>
        </x:is>
      </x:c>
      <x:c r="B8" t="n">
        <x:v>14</x:v>
      </x:c>
    </x:row>
    <x:row r="9">
      <x:c r="A9" t="inlineStr">
        <x:is>
          <x:t xml:space="preserve">Primary text</x:t>
        </x:is>
      </x:c>
      <x:c r="B9" t="inlineStr">
        <x:is>
          <x:t xml:space="preserve">Chinese Wikisource — 莊子, Inner Chapters 1–7.</x:t>
        </x:is>
      </x:c>
    </x:row>
    <x:row r="10">
      <x:c r="A10" t="inlineStr">
        <x:is>
          <x:t xml:space="preserve">Cross-check</x:t>
        </x:is>
      </x:c>
      <x:c r="B10" t="inlineStr">
        <x:is>
          <x:t xml:space="preserve">Chinese Text Project — Zhuangzi editions / 莊子集釋.</x:t>
        </x:is>
      </x:c>
    </x:row>
    <x:row r="11">
      <x:c r="A11" t="inlineStr">
        <x:is>
          <x:t xml:space="preserve">Attribution caution</x:t>
        </x:is>
      </x:c>
      <x:c r="B11" t="inlineStr">
        <x:is>
          <x:t xml:space="preserve">Nội thiên thường được xem là lớp gần Zhuangzi nhất, nhưng workbook vẫn ghi attribution ở cấp tác phẩm/truyền thống; không biến nhân vật đối thoại thành lịch sử xác thực.</x:t>
        </x:is>
      </x:c>
    </x:row>
    <x:row r="12">
      <x:c r="A12" t="inlineStr">
        <x:is>
          <x:t xml:space="preserve">Story policy</x:t>
        </x:is>
      </x:c>
      <x:c r="B12" t="inlineStr">
        <x:is>
          <x:t xml:space="preserve">Chỉ lưu story thực sự có trong primary text; summary là research summary của Selflo, không tự bịa thêm tình tiết.</x:t>
        </x:is>
      </x:c>
    </x:row>
    <x:row r="13">
      <x:c r="A13" t="inlineStr">
        <x:is>
          <x:t xml:space="preserve">Translation policy</x:t>
        </x:is>
      </x:c>
      <x:c r="B13" t="inlineStr">
        <x:is>
          <x:t xml:space="preserve">Nguyên văn Classical Chinese giữ riêng; tiếng Việt là working translation/summary để biên tập, không phải published translation.</x:t>
        </x:is>
      </x:c>
    </x:row>
    <x:row r="14">
      <x:c r="A14" t="inlineStr">
        <x:is>
          <x:t xml:space="preserve">Rights policy</x:t>
        </x:is>
      </x:c>
      <x:c r="B14" t="inlineStr">
        <x:is>
          <x:t xml:space="preserve">Ancient work is public domain; trước commercial release vẫn review edition/site terms và viết adaptation riêng.</x:t>
        </x:is>
      </x:c>
    </x:row>
    <x:row r="15">
      <x:c r="A15" t="inlineStr">
        <x:is>
          <x:t xml:space="preserve">Completion gate</x:t>
        </x:is>
      </x:c>
      <x:c r="B15" t="inlineStr">
        <x:is>
          <x:t xml:space="preserve">PASS — 7/7 Inner Chapters reviewed; quotes + stories + principles + sources stored.</x:t>
        </x:is>
      </x:c>
    </x:row>
    <x:row r="16">
      <x:c r="A16" t="inlineStr">
        <x:is>
          <x:t xml:space="preserve">Day status</x:t>
        </x:is>
      </x:c>
      <x:c r="B16" t="inlineStr">
        <x:is>
          <x:t xml:space="preserve">DONE</x:t>
        </x:is>
      </x:c>
    </x:row>
    <x:row r="18">
      <x:c r="A18" s="106" t="inlineStr">
        <x:is>
          <x:t xml:space="preserve">Chapter</x:t>
        </x:is>
      </x:c>
      <x:c r="B18" s="106" t="inlineStr">
        <x:is>
          <x:t xml:space="preserve">Tên chương</x:t>
        </x:is>
      </x:c>
      <x:c r="C18" s="106" t="inlineStr">
        <x:is>
          <x:t xml:space="preserve">Quote candidates</x:t>
        </x:is>
      </x:c>
      <x:c r="D18" s="106" t="inlineStr">
        <x:is>
          <x:t xml:space="preserve">High Fit</x:t>
        </x:is>
      </x:c>
      <x:c r="E18" s="106" t="inlineStr">
        <x:is>
          <x:t xml:space="preserve">Stories</x:t>
        </x:is>
      </x:c>
      <x:c r="F18" s="106" t="inlineStr">
        <x:is>
          <x:t xml:space="preserve">Audit</x:t>
        </x:is>
      </x:c>
    </x:row>
    <x:row r="19">
      <x:c r="A19" t="n">
        <x:v>1</x:v>
      </x:c>
      <x:c r="B19" t="inlineStr">
        <x:is>
          <x:t xml:space="preserve">逍遙遊</x:t>
        </x:is>
      </x:c>
      <x:c r="C19" t="n">
        <x:v>8</x:v>
      </x:c>
      <x:c r="D19" t="n">
        <x:v>8</x:v>
      </x:c>
      <x:c r="E19" t="n">
        <x:v>1</x:v>
      </x:c>
      <x:c r="F19" t="inlineStr">
        <x:is>
          <x:t xml:space="preserve">DONE</x:t>
        </x:is>
      </x:c>
    </x:row>
    <x:row r="20">
      <x:c r="A20" t="n">
        <x:v>2</x:v>
      </x:c>
      <x:c r="B20" t="inlineStr">
        <x:is>
          <x:t xml:space="preserve">齊物論</x:t>
        </x:is>
      </x:c>
      <x:c r="C20" t="n">
        <x:v>12</x:v>
      </x:c>
      <x:c r="D20" t="n">
        <x:v>12</x:v>
      </x:c>
      <x:c r="E20" t="n">
        <x:v>1</x:v>
      </x:c>
      <x:c r="F20" t="inlineStr">
        <x:is>
          <x:t xml:space="preserve">DONE</x:t>
        </x:is>
      </x:c>
    </x:row>
    <x:row r="21">
      <x:c r="A21" t="n">
        <x:v>3</x:v>
      </x:c>
      <x:c r="B21" t="inlineStr">
        <x:is>
          <x:t xml:space="preserve">養生主</x:t>
        </x:is>
      </x:c>
      <x:c r="C21" t="n">
        <x:v>9</x:v>
      </x:c>
      <x:c r="D21" t="n">
        <x:v>9</x:v>
      </x:c>
      <x:c r="E21" t="n">
        <x:v>1</x:v>
      </x:c>
      <x:c r="F21" t="inlineStr">
        <x:is>
          <x:t xml:space="preserve">DONE</x:t>
        </x:is>
      </x:c>
    </x:row>
    <x:row r="22">
      <x:c r="A22" t="n">
        <x:v>4</x:v>
      </x:c>
      <x:c r="B22" t="inlineStr">
        <x:is>
          <x:t xml:space="preserve">人間世</x:t>
        </x:is>
      </x:c>
      <x:c r="C22" t="n">
        <x:v>10</x:v>
      </x:c>
      <x:c r="D22" t="n">
        <x:v>10</x:v>
      </x:c>
      <x:c r="E22" t="n">
        <x:v>2</x:v>
      </x:c>
      <x:c r="F22" t="inlineStr">
        <x:is>
          <x:t xml:space="preserve">DONE</x:t>
        </x:is>
      </x:c>
    </x:row>
    <x:row r="23">
      <x:c r="A23" t="n">
        <x:v>5</x:v>
      </x:c>
      <x:c r="B23" t="inlineStr">
        <x:is>
          <x:t xml:space="preserve">德充符</x:t>
        </x:is>
      </x:c>
      <x:c r="C23" t="n">
        <x:v>7</x:v>
      </x:c>
      <x:c r="D23" t="n">
        <x:v>6</x:v>
      </x:c>
      <x:c r="E23" t="n">
        <x:v>1</x:v>
      </x:c>
      <x:c r="F23" t="inlineStr">
        <x:is>
          <x:t xml:space="preserve">DONE</x:t>
        </x:is>
      </x:c>
    </x:row>
    <x:row r="24">
      <x:c r="A24" t="n">
        <x:v>6</x:v>
      </x:c>
      <x:c r="B24" t="inlineStr">
        <x:is>
          <x:t xml:space="preserve">大宗師</x:t>
        </x:is>
      </x:c>
      <x:c r="C24" t="n">
        <x:v>8</x:v>
      </x:c>
      <x:c r="D24" t="n">
        <x:v>7</x:v>
      </x:c>
      <x:c r="E24" t="n">
        <x:v>2</x:v>
      </x:c>
      <x:c r="F24" t="inlineStr">
        <x:is>
          <x:t xml:space="preserve">DONE</x:t>
        </x:is>
      </x:c>
    </x:row>
    <x:row r="25">
      <x:c r="A25" t="n">
        <x:v>7</x:v>
      </x:c>
      <x:c r="B25" t="inlineStr">
        <x:is>
          <x:t xml:space="preserve">應帝王</x:t>
        </x:is>
      </x:c>
      <x:c r="C25" t="n">
        <x:v>6</x:v>
      </x:c>
      <x:c r="D25" t="n">
        <x:v>6</x:v>
      </x:c>
      <x:c r="E25" t="n">
        <x:v>2</x:v>
      </x:c>
      <x:c r="F25" t="inlineStr">
        <x:is>
          <x:t xml:space="preserve">DONE</x:t>
        </x:is>
      </x:c>
    </x:row>
    <x:row r="28">
      <x:c r="A28" s="108" t="inlineStr">
        <x:is>
          <x:t xml:space="preserve">Story ID</x:t>
        </x:is>
      </x:c>
      <x:c r="B28" s="108" t="inlineStr">
        <x:is>
          <x:t xml:space="preserve">Tên</x:t>
        </x:is>
      </x:c>
      <x:c r="C28" s="108" t="inlineStr">
        <x:is>
          <x:t xml:space="preserve">Chương</x:t>
        </x:is>
      </x:c>
      <x:c r="D28" s="108" t="inlineStr">
        <x:is>
          <x:t xml:space="preserve">Selflo Fit</x:t>
        </x:is>
      </x:c>
    </x:row>
    <x:row r="29">
      <x:c r="A29" t="inlineStr">
        <x:is>
          <x:t xml:space="preserve">story.zhuangzi.day4.giant_gourd</x:t>
        </x:is>
      </x:c>
      <x:c r="B29" t="inlineStr">
        <x:is>
          <x:t xml:space="preserve">Quả bầu lớn và câu hỏi 'dùng để làm gì'</x:t>
        </x:is>
      </x:c>
      <x:c r="C29" t="n">
        <x:v>1</x:v>
      </x:c>
      <x:c r="D29" t="inlineStr">
        <x:is>
          <x:t xml:space="preserve">High</x:t>
        </x:is>
      </x:c>
    </x:row>
    <x:row r="30">
      <x:c r="A30" t="inlineStr">
        <x:is>
          <x:t xml:space="preserve">story.zhuangzi.day4.useless_tree</x:t>
        </x:is>
      </x:c>
      <x:c r="B30" t="inlineStr">
        <x:is>
          <x:t xml:space="preserve">Cây 'vô dụng' sống được đời mình</x:t>
        </x:is>
      </x:c>
      <x:c r="C30" t="n">
        <x:v>4</x:v>
      </x:c>
      <x:c r="D30" t="inlineStr">
        <x:is>
          <x:t xml:space="preserve">High</x:t>
        </x:is>
      </x:c>
    </x:row>
    <x:row r="31">
      <x:c r="A31" t="inlineStr">
        <x:is>
          <x:t xml:space="preserve">story.zhuangzi.day4.butterfly_dream</x:t>
        </x:is>
      </x:c>
      <x:c r="B31" t="inlineStr">
        <x:is>
          <x:t xml:space="preserve">Giấc mơ con bướm</x:t>
        </x:is>
      </x:c>
      <x:c r="C31" t="n">
        <x:v>2</x:v>
      </x:c>
      <x:c r="D31" t="inlineStr">
        <x:is>
          <x:t xml:space="preserve">High</x:t>
        </x:is>
      </x:c>
    </x:row>
    <x:row r="32">
      <x:c r="A32" t="inlineStr">
        <x:is>
          <x:t xml:space="preserve">story.zhuangzi.day4.cook_ding</x:t>
        </x:is>
      </x:c>
      <x:c r="B32" t="inlineStr">
        <x:is>
          <x:t xml:space="preserve">Bào Đinh mổ bò</x:t>
        </x:is>
      </x:c>
      <x:c r="C32" t="n">
        <x:v>3</x:v>
      </x:c>
      <x:c r="D32" t="inlineStr">
        <x:is>
          <x:t xml:space="preserve">High</x:t>
        </x:is>
      </x:c>
    </x:row>
    <x:row r="33">
      <x:c r="A33" t="inlineStr">
        <x:is>
          <x:t xml:space="preserve">story.zhuangzi.day4.heart_fasting</x:t>
        </x:is>
      </x:c>
      <x:c r="B33" t="inlineStr">
        <x:is>
          <x:t xml:space="preserve">Nhan Hồi và 'tâm trai'</x:t>
        </x:is>
      </x:c>
      <x:c r="C33" t="n">
        <x:v>4</x:v>
      </x:c>
      <x:c r="D33" t="inlineStr">
        <x:is>
          <x:t xml:space="preserve">High</x:t>
        </x:is>
      </x:c>
    </x:row>
    <x:row r="34">
      <x:c r="A34" t="inlineStr">
        <x:is>
          <x:t xml:space="preserve">story.zhuangzi.day4.shentu_jia</x:t>
        </x:is>
      </x:c>
      <x:c r="B34" t="inlineStr">
        <x:is>
          <x:t xml:space="preserve">Thân Đồ Gia và cái chân đã mất</x:t>
        </x:is>
      </x:c>
      <x:c r="C34" t="n">
        <x:v>5</x:v>
      </x:c>
      <x:c r="D34" t="inlineStr">
        <x:is>
          <x:t xml:space="preserve">High</x:t>
        </x:is>
      </x:c>
    </x:row>
    <x:row r="35">
      <x:c r="A35" t="inlineStr">
        <x:is>
          <x:t xml:space="preserve">story.zhuangzi.day4.fish_on_dry_land</x:t>
        </x:is>
      </x:c>
      <x:c r="B35" t="inlineStr">
        <x:is>
          <x:t xml:space="preserve">Hai con cá trên cạn</x:t>
        </x:is>
      </x:c>
      <x:c r="C35" t="n">
        <x:v>6</x:v>
      </x:c>
      <x:c r="D35" t="inlineStr">
        <x:is>
          <x:t xml:space="preserve">High</x:t>
        </x:is>
      </x:c>
    </x:row>
    <x:row r="36">
      <x:c r="A36" t="inlineStr">
        <x:is>
          <x:t xml:space="preserve">story.zhuangzi.day4.zisang_poverty</x:t>
        </x:is>
      </x:c>
      <x:c r="B36" t="inlineStr">
        <x:is>
          <x:t xml:space="preserve">Tử Tang trong mười ngày mưa</x:t>
        </x:is>
      </x:c>
      <x:c r="C36" t="n">
        <x:v>6</x:v>
      </x:c>
      <x:c r="D36" t="inlineStr">
        <x:is>
          <x:t xml:space="preserve">High</x:t>
        </x:is>
      </x:c>
    </x:row>
    <x:row r="37">
      <x:c r="A37" t="inlineStr">
        <x:is>
          <x:t xml:space="preserve">story.zhuangzi.day4.huzi_shaman</x:t>
        </x:is>
      </x:c>
      <x:c r="B37" t="inlineStr">
        <x:is>
          <x:t xml:space="preserve">Hồ Tử và người xem tướng</x:t>
        </x:is>
      </x:c>
      <x:c r="C37" t="n">
        <x:v>7</x:v>
      </x:c>
      <x:c r="D37" t="inlineStr">
        <x:is>
          <x:t xml:space="preserve">High</x:t>
        </x:is>
      </x:c>
    </x:row>
    <x:row r="38">
      <x:c r="A38" t="inlineStr">
        <x:is>
          <x:t xml:space="preserve">story.zhuangzi.day4.hundun</x:t>
        </x:is>
      </x:c>
      <x:c r="B38" t="inlineStr">
        <x:is>
          <x:t xml:space="preserve">Hỗn Độn và bảy cái lỗ</x:t>
        </x:is>
      </x:c>
      <x:c r="C38" t="n">
        <x:v>7</x:v>
      </x:c>
      <x:c r="D38" t="inlineStr">
        <x:is>
          <x:t xml:space="preserve">High</x:t>
        </x:is>
      </x:c>
    </x:row>
  </x:sheetData>
  <x:mergeCells>
    <x:mergeCell ref="A1:F1"/>
  </x:mergeCells>
  <x:pageMargins left="0.7" right="0.7" top="0.75" bottom="0.75" header="0.3" footer="0.3"/>
</x:worksheet>
</file>

<file path=xl/worksheets/sheet21.xml><?xml version="1.0" encoding="utf-8"?>
<x:worksheet xmlns:x="http://schemas.openxmlformats.org/spreadsheetml/2006/main">
  <x:sheetFormatPr baseColWidth="8" defaultRowHeight="15"/>
  <x:cols>
    <x:col min="1" max="1" width="31" style="72" customWidth="1"/>
    <x:col min="2" max="2" width="92" style="72" customWidth="1"/>
    <x:col min="3" max="3" width="16" style="72" customWidth="1"/>
    <x:col min="4" max="4" width="16" style="72" customWidth="1"/>
    <x:col min="5" max="5" width="16" style="72" customWidth="1"/>
    <x:col min="6" max="6" width="16" style="72" customWidth="1"/>
  </x:cols>
  <x:sheetData>
    <x:row r="1">
      <x:c r="A1" s="139" t="inlineStr">
        <x:is>
          <x:t xml:space="preserve">DAY 5 — LIỆT TỬ / LIEZI — FULL 8-CHAPTER FIRST-PASS AUDIT</x:t>
        </x:is>
      </x:c>
      <x:c r="B1" s="1" t="n"/>
      <x:c r="C1" s="1" t="n"/>
      <x:c r="D1" s="1" t="n"/>
      <x:c r="E1" s="1" t="n"/>
      <x:c r="F1" s="1" t="n"/>
    </x:row>
    <x:row r="3">
      <x:c r="A3" s="113" t="inlineStr">
        <x:is>
          <x:t xml:space="preserve">Hạng mục</x:t>
        </x:is>
      </x:c>
      <x:c r="B3" s="113" t="inlineStr">
        <x:is>
          <x:t xml:space="preserve">Kết quả</x:t>
        </x:is>
      </x:c>
    </x:row>
    <x:row r="4">
      <x:c r="A4" t="inlineStr">
        <x:is>
          <x:t xml:space="preserve">Scope</x:t>
        </x:is>
      </x:c>
      <x:c r="B4" t="inlineStr">
        <x:is>
          <x:t xml:space="preserve">Audit first-pass toàn bộ 8 thiên của bản Liệt Tử lưu truyền; không dừng theo quota 20/4/4.</x:t>
        </x:is>
      </x:c>
    </x:row>
    <x:row r="5">
      <x:c r="A5" t="inlineStr">
        <x:is>
          <x:t xml:space="preserve">Quote / passage candidates</x:t>
        </x:is>
      </x:c>
      <x:c r="B5" t="n">
        <x:v>74</x:v>
      </x:c>
    </x:row>
    <x:row r="6">
      <x:c r="A6" t="inlineStr">
        <x:is>
          <x:t xml:space="preserve">High Selflo Fit</x:t>
        </x:is>
      </x:c>
      <x:c r="B6" t="n">
        <x:v>43</x:v>
      </x:c>
    </x:row>
    <x:row r="7">
      <x:c r="A7" t="inlineStr">
        <x:is>
          <x:t xml:space="preserve">Story candidates có nguồn rõ</x:t>
        </x:is>
      </x:c>
      <x:c r="B7" t="n">
        <x:v>9</x:v>
      </x:c>
    </x:row>
    <x:row r="8">
      <x:c r="A8" t="inlineStr">
        <x:is>
          <x:t xml:space="preserve">Principle seeds</x:t>
        </x:is>
      </x:c>
      <x:c r="B8" t="n">
        <x:v>12</x:v>
      </x:c>
    </x:row>
    <x:row r="9">
      <x:c r="A9" t="inlineStr">
        <x:is>
          <x:t xml:space="preserve">Primary / cross-check source</x:t>
        </x:is>
      </x:c>
      <x:c r="B9" t="inlineStr">
        <x:is>
          <x:t xml:space="preserve">Chinese Text Project — received Liezi text and chapter structure.</x:t>
        </x:is>
      </x:c>
    </x:row>
    <x:row r="10">
      <x:c r="A10" t="inlineStr">
        <x:is>
          <x:t xml:space="preserve">Textual-history caution</x:t>
        </x:is>
      </x:c>
      <x:c r="B10" t="inlineStr">
        <x:is>
          <x:t xml:space="preserve">Không ghi 'Liezi/Lie Yukou chắc chắn viết toàn bộ'. Bản lưu truyền có lịch sử văn bản và attribution cần scholarly review.</x:t>
        </x:is>
      </x:c>
    </x:row>
    <x:row r="11">
      <x:c r="A11" t="inlineStr">
        <x:is>
          <x:t xml:space="preserve">Story policy</x:t>
        </x:is>
      </x:c>
      <x:c r="B11" t="inlineStr">
        <x:is>
          <x:t xml:space="preserve">Chỉ lưu story có dấu vết trong received text; summary là research summary, không thêm tình tiết hư cấu.</x:t>
        </x:is>
      </x:c>
    </x:row>
    <x:row r="12">
      <x:c r="A12" t="inlineStr">
        <x:is>
          <x:t xml:space="preserve">Translation policy</x:t>
        </x:is>
      </x:c>
      <x:c r="B12" t="inlineStr">
        <x:is>
          <x:t xml:space="preserve">Giữ nguyên Classical Chinese; tiếng Việt là Selflo working translation, không phải published translation.</x:t>
        </x:is>
      </x:c>
    </x:row>
    <x:row r="13">
      <x:c r="A13" t="inlineStr">
        <x:is>
          <x:t xml:space="preserve">Rights policy</x:t>
        </x:is>
      </x:c>
      <x:c r="B13" t="inlineStr">
        <x:is>
          <x:t xml:space="preserve">Ancient wording is public domain; modern editions/translations/commentaries may have separate rights. Release phải viết/adapt riêng.</x:t>
        </x:is>
      </x:c>
    </x:row>
    <x:row r="14">
      <x:c r="A14" t="inlineStr">
        <x:is>
          <x:t xml:space="preserve">Editorial caution</x:t>
        </x:is>
      </x:c>
      <x:c r="B14" t="inlineStr">
        <x:is>
          <x:t xml:space="preserve">Các thiên 力命 và 楊朱 có material dễ bị đọc thành định mệnh luận/cực đoan; phần đó chủ yếu research pool, không tự động Release.</x:t>
        </x:is>
      </x:c>
    </x:row>
    <x:row r="15">
      <x:c r="A15" t="inlineStr">
        <x:is>
          <x:t xml:space="preserve">Completion gate</x:t>
        </x:is>
      </x:c>
      <x:c r="B15" t="inlineStr">
        <x:is>
          <x:t xml:space="preserve">PASS — 8/8 chapters first-pass audited; quotes + stories + principles + sources stored.</x:t>
        </x:is>
      </x:c>
    </x:row>
    <x:row r="16">
      <x:c r="A16" t="inlineStr">
        <x:is>
          <x:t xml:space="preserve">Day status</x:t>
        </x:is>
      </x:c>
      <x:c r="B16" t="inlineStr">
        <x:is>
          <x:t xml:space="preserve">DONE</x:t>
        </x:is>
      </x:c>
    </x:row>
    <x:row r="18">
      <x:c r="A18" s="113" t="inlineStr">
        <x:is>
          <x:t xml:space="preserve">Chapter</x:t>
        </x:is>
      </x:c>
      <x:c r="B18" s="113" t="inlineStr">
        <x:is>
          <x:t xml:space="preserve">Tên chương</x:t>
        </x:is>
      </x:c>
      <x:c r="C18" s="113" t="inlineStr">
        <x:is>
          <x:t xml:space="preserve">Quote candidates</x:t>
        </x:is>
      </x:c>
      <x:c r="D18" s="113" t="inlineStr">
        <x:is>
          <x:t xml:space="preserve">High Fit</x:t>
        </x:is>
      </x:c>
      <x:c r="E18" s="113" t="inlineStr">
        <x:is>
          <x:t xml:space="preserve">Stories</x:t>
        </x:is>
      </x:c>
      <x:c r="F18" s="113" t="inlineStr">
        <x:is>
          <x:t xml:space="preserve">Audit</x:t>
        </x:is>
      </x:c>
    </x:row>
    <x:row r="19">
      <x:c r="A19" t="n">
        <x:v>1</x:v>
      </x:c>
      <x:c r="B19" t="inlineStr">
        <x:is>
          <x:t xml:space="preserve">天瑞</x:t>
        </x:is>
      </x:c>
      <x:c r="C19" t="n">
        <x:v>12</x:v>
      </x:c>
      <x:c r="D19" t="n">
        <x:v>5</x:v>
      </x:c>
      <x:c r="E19" t="n">
        <x:v>0</x:v>
      </x:c>
      <x:c r="F19" t="inlineStr">
        <x:is>
          <x:t xml:space="preserve">DONE</x:t>
        </x:is>
      </x:c>
    </x:row>
    <x:row r="20">
      <x:c r="A20" t="n">
        <x:v>2</x:v>
      </x:c>
      <x:c r="B20" t="inlineStr">
        <x:is>
          <x:t xml:space="preserve">黃帝</x:t>
        </x:is>
      </x:c>
      <x:c r="C20" t="n">
        <x:v>11</x:v>
      </x:c>
      <x:c r="D20" t="n">
        <x:v>5</x:v>
      </x:c>
      <x:c r="E20" t="n">
        <x:v>1</x:v>
      </x:c>
      <x:c r="F20" t="inlineStr">
        <x:is>
          <x:t xml:space="preserve">DONE</x:t>
        </x:is>
      </x:c>
    </x:row>
    <x:row r="21">
      <x:c r="A21" t="n">
        <x:v>3</x:v>
      </x:c>
      <x:c r="B21" t="inlineStr">
        <x:is>
          <x:t xml:space="preserve">周穆王</x:t>
        </x:is>
      </x:c>
      <x:c r="C21" t="n">
        <x:v>5</x:v>
      </x:c>
      <x:c r="D21" t="n">
        <x:v>0</x:v>
      </x:c>
      <x:c r="E21" t="n">
        <x:v>1</x:v>
      </x:c>
      <x:c r="F21" t="inlineStr">
        <x:is>
          <x:t xml:space="preserve">DONE</x:t>
        </x:is>
      </x:c>
    </x:row>
    <x:row r="22">
      <x:c r="A22" t="n">
        <x:v>4</x:v>
      </x:c>
      <x:c r="B22" t="inlineStr">
        <x:is>
          <x:t xml:space="preserve">仲尼</x:t>
        </x:is>
      </x:c>
      <x:c r="C22" t="n">
        <x:v>8</x:v>
      </x:c>
      <x:c r="D22" t="n">
        <x:v>6</x:v>
      </x:c>
      <x:c r="E22" t="n">
        <x:v>0</x:v>
      </x:c>
      <x:c r="F22" t="inlineStr">
        <x:is>
          <x:t xml:space="preserve">DONE</x:t>
        </x:is>
      </x:c>
    </x:row>
    <x:row r="23">
      <x:c r="A23" t="n">
        <x:v>5</x:v>
      </x:c>
      <x:c r="B23" t="inlineStr">
        <x:is>
          <x:t xml:space="preserve">湯問</x:t>
        </x:is>
      </x:c>
      <x:c r="C23" t="n">
        <x:v>12</x:v>
      </x:c>
      <x:c r="D23" t="n">
        <x:v>9</x:v>
      </x:c>
      <x:c r="E23" t="n">
        <x:v>4</x:v>
      </x:c>
      <x:c r="F23" t="inlineStr">
        <x:is>
          <x:t xml:space="preserve">DONE</x:t>
        </x:is>
      </x:c>
    </x:row>
    <x:row r="24">
      <x:c r="A24" t="n">
        <x:v>6</x:v>
      </x:c>
      <x:c r="B24" t="inlineStr">
        <x:is>
          <x:t xml:space="preserve">力命</x:t>
        </x:is>
      </x:c>
      <x:c r="C24" t="n">
        <x:v>6</x:v>
      </x:c>
      <x:c r="D24" t="n">
        <x:v>4</x:v>
      </x:c>
      <x:c r="E24" t="n">
        <x:v>1</x:v>
      </x:c>
      <x:c r="F24" t="inlineStr">
        <x:is>
          <x:t xml:space="preserve">DONE</x:t>
        </x:is>
      </x:c>
    </x:row>
    <x:row r="25">
      <x:c r="A25" t="n">
        <x:v>7</x:v>
      </x:c>
      <x:c r="B25" t="inlineStr">
        <x:is>
          <x:t xml:space="preserve">楊朱</x:t>
        </x:is>
      </x:c>
      <x:c r="C25" t="n">
        <x:v>8</x:v>
      </x:c>
      <x:c r="D25" t="n">
        <x:v>3</x:v>
      </x:c>
      <x:c r="E25" t="n">
        <x:v>0</x:v>
      </x:c>
      <x:c r="F25" t="inlineStr">
        <x:is>
          <x:t xml:space="preserve">DONE</x:t>
        </x:is>
      </x:c>
    </x:row>
    <x:row r="26">
      <x:c r="A26" t="n">
        <x:v>8</x:v>
      </x:c>
      <x:c r="B26" t="inlineStr">
        <x:is>
          <x:t xml:space="preserve">說符</x:t>
        </x:is>
      </x:c>
      <x:c r="C26" t="n">
        <x:v>12</x:v>
      </x:c>
      <x:c r="D26" t="n">
        <x:v>11</x:v>
      </x:c>
      <x:c r="E26" t="n">
        <x:v>2</x:v>
      </x:c>
      <x:c r="F26" t="inlineStr">
        <x:is>
          <x:t xml:space="preserve">DONE</x:t>
        </x:is>
      </x:c>
    </x:row>
    <x:row r="29">
      <x:c r="A29" s="115" t="inlineStr">
        <x:is>
          <x:t xml:space="preserve">Story ID</x:t>
        </x:is>
      </x:c>
      <x:c r="B29" s="115" t="inlineStr">
        <x:is>
          <x:t xml:space="preserve">Tên</x:t>
        </x:is>
      </x:c>
      <x:c r="C29" s="115" t="inlineStr">
        <x:is>
          <x:t xml:space="preserve">Chương</x:t>
        </x:is>
      </x:c>
      <x:c r="D29" s="115" t="inlineStr">
        <x:is>
          <x:t xml:space="preserve">Selflo Fit</x:t>
        </x:is>
      </x:c>
    </x:row>
    <x:row r="30">
      <x:c r="A30" t="inlineStr">
        <x:is>
          <x:t xml:space="preserve">story.liezi.day5.archer_knows_why</x:t>
        </x:is>
      </x:c>
      <x:c r="B30" t="inlineStr">
        <x:is>
          <x:t xml:space="preserve">Bắn trúng nhưng chưa biết vì sao</x:t>
        </x:is>
      </x:c>
      <x:c r="C30" t="n">
        <x:v>2</x:v>
      </x:c>
      <x:c r="D30" t="inlineStr">
        <x:is>
          <x:t xml:space="preserve">High</x:t>
        </x:is>
      </x:c>
    </x:row>
    <x:row r="31">
      <x:c r="A31" t="inlineStr">
        <x:is>
          <x:t xml:space="preserve">story.liezi.day5.man_worries_sky_falls</x:t>
        </x:is>
      </x:c>
      <x:c r="B31" t="inlineStr">
        <x:is>
          <x:t xml:space="preserve">Người nước Kỷ lo trời sập</x:t>
        </x:is>
      </x:c>
      <x:c r="C31" t="n">
        <x:v>5</x:v>
      </x:c>
      <x:c r="D31" t="inlineStr">
        <x:is>
          <x:t xml:space="preserve">High</x:t>
        </x:is>
      </x:c>
    </x:row>
    <x:row r="32">
      <x:c r="A32" t="inlineStr">
        <x:is>
          <x:t xml:space="preserve">story.liezi.day5.yugong_moves_mountains</x:t>
        </x:is>
      </x:c>
      <x:c r="B32" t="inlineStr">
        <x:is>
          <x:t xml:space="preserve">Ngu Công dời núi</x:t>
        </x:is>
      </x:c>
      <x:c r="C32" t="n">
        <x:v>5</x:v>
      </x:c>
      <x:c r="D32" t="inlineStr">
        <x:is>
          <x:t xml:space="preserve">High</x:t>
        </x:is>
      </x:c>
    </x:row>
    <x:row r="33">
      <x:c r="A33" t="inlineStr">
        <x:is>
          <x:t xml:space="preserve">story.liezi.day5.two_children_sun</x:t>
        </x:is>
      </x:c>
      <x:c r="B33" t="inlineStr">
        <x:is>
          <x:t xml:space="preserve">Hai đứa trẻ tranh luận về mặt trời</x:t>
        </x:is>
      </x:c>
      <x:c r="C33" t="n">
        <x:v>5</x:v>
      </x:c>
      <x:c r="D33" t="inlineStr">
        <x:is>
          <x:t xml:space="preserve">High</x:t>
        </x:is>
      </x:c>
    </x:row>
    <x:row r="34">
      <x:c r="A34" t="inlineStr">
        <x:is>
          <x:t xml:space="preserve">story.liezi.day5.boya_ziqi</x:t>
        </x:is>
      </x:c>
      <x:c r="B34" t="inlineStr">
        <x:is>
          <x:t xml:space="preserve">Bá Nha và Chung Tử Kỳ</x:t>
        </x:is>
      </x:c>
      <x:c r="C34" t="n">
        <x:v>5</x:v>
      </x:c>
      <x:c r="D34" t="inlineStr">
        <x:is>
          <x:t xml:space="preserve">High</x:t>
        </x:is>
      </x:c>
    </x:row>
    <x:row r="35">
      <x:c r="A35" t="inlineStr">
        <x:is>
          <x:t xml:space="preserve">story.liezi.day5.lost_sheep_crossroads</x:t>
        </x:is>
      </x:c>
      <x:c r="B35" t="inlineStr">
        <x:is>
          <x:t xml:space="preserve">Mất dê giữa quá nhiều ngã rẽ</x:t>
        </x:is>
      </x:c>
      <x:c r="C35" t="n">
        <x:v>8</x:v>
      </x:c>
      <x:c r="D35" t="inlineStr">
        <x:is>
          <x:t xml:space="preserve">High</x:t>
        </x:is>
      </x:c>
    </x:row>
    <x:row r="36">
      <x:c r="A36" t="inlineStr">
        <x:is>
          <x:t xml:space="preserve">story.liezi.day5.same_advice_different_reception</x:t>
        </x:is>
      </x:c>
      <x:c r="B36" t="inlineStr">
        <x:is>
          <x:t xml:space="preserve">Cùng một lời, hai cách được nghe</x:t>
        </x:is>
      </x:c>
      <x:c r="C36" t="n">
        <x:v>8</x:v>
      </x:c>
      <x:c r="D36" t="inlineStr">
        <x:is>
          <x:t xml:space="preserve">High</x:t>
        </x:is>
      </x:c>
    </x:row>
    <x:row r="37">
      <x:c r="A37" t="inlineStr">
        <x:is>
          <x:t xml:space="preserve">story.liezi.day5.force_and_fate</x:t>
        </x:is>
      </x:c>
      <x:c r="B37" t="inlineStr">
        <x:is>
          <x:t xml:space="preserve">Sức lực tranh luận với Số mệnh</x:t>
        </x:is>
      </x:c>
      <x:c r="C37" t="n">
        <x:v>6</x:v>
      </x:c>
      <x:c r="D37" t="inlineStr">
        <x:is>
          <x:t xml:space="preserve">High</x:t>
        </x:is>
      </x:c>
    </x:row>
    <x:row r="38">
      <x:c r="A38" t="inlineStr">
        <x:is>
          <x:t xml:space="preserve">story.liezi.day5.muwang_illusion</x:t>
        </x:is>
      </x:c>
      <x:c r="B38" t="inlineStr">
        <x:is>
          <x:t xml:space="preserve">Chu Mục Vương và thế giới của người hóa nhân</x:t>
        </x:is>
      </x:c>
      <x:c r="C38" t="n">
        <x:v>3</x:v>
      </x:c>
      <x:c r="D38" t="inlineStr">
        <x:is>
          <x:t xml:space="preserve">Medium</x:t>
        </x:is>
      </x:c>
    </x:row>
  </x:sheetData>
  <x:mergeCells>
    <x:mergeCell ref="A1:F1"/>
  </x:mergeCells>
  <x:pageMargins left="0.7" right="0.7" top="0.75" bottom="0.75" header="0.3" footer="0.3"/>
</x:worksheet>
</file>

<file path=xl/worksheets/sheet22.xml><?xml version="1.0" encoding="utf-8"?>
<x:worksheet xmlns:x="http://schemas.openxmlformats.org/spreadsheetml/2006/main">
  <x:sheetFormatPr baseColWidth="8" defaultRowHeight="15"/>
  <x:cols>
    <x:col min="1" max="1" width="28" style="72" customWidth="1"/>
    <x:col min="2" max="2" width="92" style="72" customWidth="1"/>
    <x:col min="3" max="3" width="18" style="72" customWidth="1"/>
    <x:col min="4" max="4" width="18" style="72" customWidth="1"/>
    <x:col min="5" max="5" width="18" style="72" customWidth="1"/>
    <x:col min="6" max="6" width="18" style="72" customWidth="1"/>
  </x:cols>
  <x:sheetData>
    <x:row r="1">
      <x:c r="A1" s="140" t="inlineStr">
        <x:is>
          <x:t xml:space="preserve">DAY 6 — HOÀI NAM TỬ / HUAINANZI — FULL PLAN-UNIT COLLECTION</x:t>
        </x:is>
      </x:c>
      <x:c r="B1" s="1" t="n"/>
      <x:c r="C1" s="1" t="n"/>
      <x:c r="D1" s="1" t="n"/>
      <x:c r="E1" s="1" t="n"/>
      <x:c r="F1" s="1" t="n"/>
    </x:row>
    <x:row r="3">
      <x:c r="A3" s="120" t="inlineStr">
        <x:is>
          <x:t xml:space="preserve">Hạng mục</x:t>
        </x:is>
      </x:c>
      <x:c r="B3" s="120" t="inlineStr">
        <x:is>
          <x:t xml:space="preserve">Kết quả</x:t>
        </x:is>
      </x:c>
    </x:row>
    <x:row r="4">
      <x:c r="A4" t="inlineStr">
        <x:is>
          <x:t xml:space="preserve">Corpus</x:t>
        </x:is>
      </x:c>
      <x:c r="B4" t="inlineStr">
        <x:is>
          <x:t xml:space="preserve">Huainanzi / 淮南子 — 21 chapters in Chinese Text Project.</x:t>
        </x:is>
      </x:c>
    </x:row>
    <x:row r="5">
      <x:c r="A5" t="inlineStr">
        <x:is>
          <x:t xml:space="preserve">Day 6 meaning of FULL</x:t>
        </x:is>
      </x:c>
      <x:c r="B5" t="inlineStr">
        <x:is>
          <x:t xml:space="preserve">Hoàn tất toàn bộ hạng mục Day 6 theo plan: screen corpus, thu candidate có nguồn, story, principle, provenance và audit. Không tuyên bố đã trích mọi câu phù hợp trong cả 21 thiên.</x:t>
        </x:is>
      </x:c>
    </x:row>
    <x:row r="6">
      <x:c r="A6" t="inlineStr">
        <x:is>
          <x:t xml:space="preserve">Quote / passage candidates</x:t>
        </x:is>
      </x:c>
      <x:c r="B6" t="n">
        <x:v>50</x:v>
      </x:c>
    </x:row>
    <x:row r="7">
      <x:c r="A7" t="inlineStr">
        <x:is>
          <x:t xml:space="preserve">High Selflo Fit</x:t>
        </x:is>
      </x:c>
      <x:c r="B7" t="n">
        <x:v>47</x:v>
      </x:c>
    </x:row>
    <x:row r="8">
      <x:c r="A8" t="inlineStr">
        <x:is>
          <x:t xml:space="preserve">Story candidates có nguồn rõ</x:t>
        </x:is>
      </x:c>
      <x:c r="B8" t="n">
        <x:v>6</x:v>
      </x:c>
    </x:row>
    <x:row r="9">
      <x:c r="A9" t="inlineStr">
        <x:is>
          <x:t xml:space="preserve">Principle seeds</x:t>
        </x:is>
      </x:c>
      <x:c r="B9" t="n">
        <x:v>10</x:v>
      </x:c>
    </x:row>
    <x:row r="10">
      <x:c r="A10" t="inlineStr">
        <x:is>
          <x:t xml:space="preserve">Sai Weng</x:t>
        </x:is>
      </x:c>
      <x:c r="B10" t="inlineStr">
        <x:is>
          <x:t xml:space="preserve">Primary source confirmed in 人閒訓: 塞翁失馬 sequence stored as story.huainanzi.day6.sai_weng.</x:t>
        </x:is>
      </x:c>
    </x:row>
    <x:row r="11">
      <x:c r="A11" t="inlineStr">
        <x:is>
          <x:t xml:space="preserve">Primary source</x:t>
        </x:is>
      </x:c>
      <x:c r="B11" t="inlineStr">
        <x:is>
          <x:t xml:space="preserve">Chinese Text Project digital base text; CText lists all 21 chapters and scanned base edition.</x:t>
        </x:is>
      </x:c>
    </x:row>
    <x:row r="12">
      <x:c r="A12" t="inlineStr">
        <x:is>
          <x:t xml:space="preserve">Translation policy</x:t>
        </x:is>
      </x:c>
      <x:c r="B12" t="inlineStr">
        <x:is>
          <x:t xml:space="preserve">Original Classical Chinese retained; Vietnamese is Selflo working translation.</x:t>
        </x:is>
      </x:c>
    </x:row>
    <x:row r="13">
      <x:c r="A13" t="inlineStr">
        <x:is>
          <x:t xml:space="preserve">Story policy</x:t>
        </x:is>
      </x:c>
      <x:c r="B13" t="inlineStr">
        <x:is>
          <x:t xml:space="preserve">No invented stories. Research summaries only describe source material; modern Selflo adaptation remains a later editorial step.</x:t>
        </x:is>
      </x:c>
    </x:row>
    <x:row r="14">
      <x:c r="A14" t="inlineStr">
        <x:is>
          <x:t xml:space="preserve">Rights policy</x:t>
        </x:is>
      </x:c>
      <x:c r="B14" t="inlineStr">
        <x:is>
          <x:t xml:space="preserve">Ancient text public domain; modern translations/commentaries and site editions may have separate terms.</x:t>
        </x:is>
      </x:c>
    </x:row>
    <x:row r="15">
      <x:c r="A15" t="inlineStr">
        <x:is>
          <x:t xml:space="preserve">Important limitation</x:t>
        </x:is>
      </x:c>
      <x:c r="B15" t="inlineStr">
        <x:is>
          <x:t xml:space="preserve">Chapters with cosmology, military/governance or low Selflo relevance were screened but not exhaustively excerpted. Day 6 is collection coverage, not philological exhaustiveness.</x:t>
        </x:is>
      </x:c>
    </x:row>
    <x:row r="16">
      <x:c r="A16" t="inlineStr">
        <x:is>
          <x:t xml:space="preserve">Day status</x:t>
        </x:is>
      </x:c>
      <x:c r="B16" t="inlineStr">
        <x:is>
          <x:t xml:space="preserve">DONE</x:t>
        </x:is>
      </x:c>
    </x:row>
    <x:row r="18">
      <x:c r="A18" s="120" t="inlineStr">
        <x:is>
          <x:t xml:space="preserve">Chapter</x:t>
        </x:is>
      </x:c>
      <x:c r="B18" s="120" t="inlineStr">
        <x:is>
          <x:t xml:space="preserve">Tên</x:t>
        </x:is>
      </x:c>
      <x:c r="C18" s="120" t="inlineStr">
        <x:is>
          <x:t xml:space="preserve">Candidates extracted</x:t>
        </x:is>
      </x:c>
      <x:c r="D18" s="120" t="inlineStr">
        <x:is>
          <x:t xml:space="preserve">Stories</x:t>
        </x:is>
      </x:c>
      <x:c r="E18" s="120" t="inlineStr">
        <x:is>
          <x:t xml:space="preserve">Status</x:t>
        </x:is>
      </x:c>
      <x:c r="F18" s="120" t="inlineStr">
        <x:is>
          <x:t xml:space="preserve">Ghi chú</x:t>
        </x:is>
      </x:c>
    </x:row>
    <x:row r="19">
      <x:c r="A19" t="n">
        <x:v>1</x:v>
      </x:c>
      <x:c r="B19" t="inlineStr">
        <x:is>
          <x:t xml:space="preserve">原道訓</x:t>
        </x:is>
      </x:c>
      <x:c r="C19" t="n">
        <x:v>0</x:v>
      </x:c>
      <x:c r="D19" t="n">
        <x:v>0</x:v>
      </x:c>
      <x:c r="E19" t="inlineStr">
        <x:is>
          <x:t xml:space="preserve">SCREENED</x:t>
        </x:is>
      </x:c>
      <x:c r="F19" t="inlineStr">
        <x:is>
          <x:t xml:space="preserve">No excerpt selected in first pass</x:t>
        </x:is>
      </x:c>
    </x:row>
    <x:row r="20">
      <x:c r="A20" t="n">
        <x:v>2</x:v>
      </x:c>
      <x:c r="B20" t="inlineStr">
        <x:is>
          <x:t xml:space="preserve">俶真訓</x:t>
        </x:is>
      </x:c>
      <x:c r="C20" t="n">
        <x:v>0</x:v>
      </x:c>
      <x:c r="D20" t="n">
        <x:v>0</x:v>
      </x:c>
      <x:c r="E20" t="inlineStr">
        <x:is>
          <x:t xml:space="preserve">SCREENED</x:t>
        </x:is>
      </x:c>
      <x:c r="F20" t="inlineStr">
        <x:is>
          <x:t xml:space="preserve">No excerpt selected in first pass</x:t>
        </x:is>
      </x:c>
    </x:row>
    <x:row r="21">
      <x:c r="A21" t="n">
        <x:v>3</x:v>
      </x:c>
      <x:c r="B21" t="inlineStr">
        <x:is>
          <x:t xml:space="preserve">天文訓</x:t>
        </x:is>
      </x:c>
      <x:c r="C21" t="n">
        <x:v>0</x:v>
      </x:c>
      <x:c r="D21" t="n">
        <x:v>0</x:v>
      </x:c>
      <x:c r="E21" t="inlineStr">
        <x:is>
          <x:t xml:space="preserve">SCREENED</x:t>
        </x:is>
      </x:c>
      <x:c r="F21" t="inlineStr">
        <x:is>
          <x:t xml:space="preserve">No excerpt selected in first pass</x:t>
        </x:is>
      </x:c>
    </x:row>
    <x:row r="22">
      <x:c r="A22" t="n">
        <x:v>4</x:v>
      </x:c>
      <x:c r="B22" t="inlineStr">
        <x:is>
          <x:t xml:space="preserve">墬形訓</x:t>
        </x:is>
      </x:c>
      <x:c r="C22" t="n">
        <x:v>0</x:v>
      </x:c>
      <x:c r="D22" t="n">
        <x:v>0</x:v>
      </x:c>
      <x:c r="E22" t="inlineStr">
        <x:is>
          <x:t xml:space="preserve">SCREENED</x:t>
        </x:is>
      </x:c>
      <x:c r="F22" t="inlineStr">
        <x:is>
          <x:t xml:space="preserve">No excerpt selected in first pass</x:t>
        </x:is>
      </x:c>
    </x:row>
    <x:row r="23">
      <x:c r="A23" t="n">
        <x:v>5</x:v>
      </x:c>
      <x:c r="B23" t="inlineStr">
        <x:is>
          <x:t xml:space="preserve">時則訓</x:t>
        </x:is>
      </x:c>
      <x:c r="C23" t="n">
        <x:v>0</x:v>
      </x:c>
      <x:c r="D23" t="n">
        <x:v>0</x:v>
      </x:c>
      <x:c r="E23" t="inlineStr">
        <x:is>
          <x:t xml:space="preserve">SCREENED</x:t>
        </x:is>
      </x:c>
      <x:c r="F23" t="inlineStr">
        <x:is>
          <x:t xml:space="preserve">No excerpt selected in first pass</x:t>
        </x:is>
      </x:c>
    </x:row>
    <x:row r="24">
      <x:c r="A24" t="n">
        <x:v>6</x:v>
      </x:c>
      <x:c r="B24" t="inlineStr">
        <x:is>
          <x:t xml:space="preserve">覽冥訓</x:t>
        </x:is>
      </x:c>
      <x:c r="C24" t="n">
        <x:v>0</x:v>
      </x:c>
      <x:c r="D24" t="n">
        <x:v>0</x:v>
      </x:c>
      <x:c r="E24" t="inlineStr">
        <x:is>
          <x:t xml:space="preserve">SCREENED</x:t>
        </x:is>
      </x:c>
      <x:c r="F24" t="inlineStr">
        <x:is>
          <x:t xml:space="preserve">No excerpt selected in first pass</x:t>
        </x:is>
      </x:c>
    </x:row>
    <x:row r="25">
      <x:c r="A25" t="n">
        <x:v>7</x:v>
      </x:c>
      <x:c r="B25" t="inlineStr">
        <x:is>
          <x:t xml:space="preserve">精神訓</x:t>
        </x:is>
      </x:c>
      <x:c r="C25" t="n">
        <x:v>7</x:v>
      </x:c>
      <x:c r="D25" t="n">
        <x:v>0</x:v>
      </x:c>
      <x:c r="E25" t="inlineStr">
        <x:is>
          <x:t xml:space="preserve">COLLECTED</x:t>
        </x:is>
      </x:c>
      <x:c r="F25" t="inlineStr">
        <x:is>
          <x:t xml:space="preserve">Selflo-relevant candidates stored</x:t>
        </x:is>
      </x:c>
    </x:row>
    <x:row r="26">
      <x:c r="A26" t="n">
        <x:v>8</x:v>
      </x:c>
      <x:c r="B26" t="inlineStr">
        <x:is>
          <x:t xml:space="preserve">本經訓</x:t>
        </x:is>
      </x:c>
      <x:c r="C26" t="n">
        <x:v>0</x:v>
      </x:c>
      <x:c r="D26" t="n">
        <x:v>0</x:v>
      </x:c>
      <x:c r="E26" t="inlineStr">
        <x:is>
          <x:t xml:space="preserve">SCREENED</x:t>
        </x:is>
      </x:c>
      <x:c r="F26" t="inlineStr">
        <x:is>
          <x:t xml:space="preserve">No excerpt selected in first pass</x:t>
        </x:is>
      </x:c>
    </x:row>
    <x:row r="27">
      <x:c r="A27" t="n">
        <x:v>9</x:v>
      </x:c>
      <x:c r="B27" t="inlineStr">
        <x:is>
          <x:t xml:space="preserve">主術訓</x:t>
        </x:is>
      </x:c>
      <x:c r="C27" t="n">
        <x:v>5</x:v>
      </x:c>
      <x:c r="D27" t="n">
        <x:v>0</x:v>
      </x:c>
      <x:c r="E27" t="inlineStr">
        <x:is>
          <x:t xml:space="preserve">COLLECTED</x:t>
        </x:is>
      </x:c>
      <x:c r="F27" t="inlineStr">
        <x:is>
          <x:t xml:space="preserve">Selflo-relevant candidates stored</x:t>
        </x:is>
      </x:c>
    </x:row>
    <x:row r="28">
      <x:c r="A28" t="n">
        <x:v>10</x:v>
      </x:c>
      <x:c r="B28" t="inlineStr">
        <x:is>
          <x:t xml:space="preserve">繆稱訓</x:t>
        </x:is>
      </x:c>
      <x:c r="C28" t="n">
        <x:v>0</x:v>
      </x:c>
      <x:c r="D28" t="n">
        <x:v>0</x:v>
      </x:c>
      <x:c r="E28" t="inlineStr">
        <x:is>
          <x:t xml:space="preserve">SCREENED</x:t>
        </x:is>
      </x:c>
      <x:c r="F28" t="inlineStr">
        <x:is>
          <x:t xml:space="preserve">No excerpt selected in first pass</x:t>
        </x:is>
      </x:c>
    </x:row>
    <x:row r="29">
      <x:c r="A29" t="n">
        <x:v>11</x:v>
      </x:c>
      <x:c r="B29" t="inlineStr">
        <x:is>
          <x:t xml:space="preserve">齊俗訓</x:t>
        </x:is>
      </x:c>
      <x:c r="C29" t="n">
        <x:v>0</x:v>
      </x:c>
      <x:c r="D29" t="n">
        <x:v>0</x:v>
      </x:c>
      <x:c r="E29" t="inlineStr">
        <x:is>
          <x:t xml:space="preserve">SCREENED</x:t>
        </x:is>
      </x:c>
      <x:c r="F29" t="inlineStr">
        <x:is>
          <x:t xml:space="preserve">No excerpt selected in first pass</x:t>
        </x:is>
      </x:c>
    </x:row>
    <x:row r="30">
      <x:c r="A30" t="n">
        <x:v>12</x:v>
      </x:c>
      <x:c r="B30" t="inlineStr">
        <x:is>
          <x:t xml:space="preserve">道應訓</x:t>
        </x:is>
      </x:c>
      <x:c r="C30" t="n">
        <x:v>0</x:v>
      </x:c>
      <x:c r="D30" t="n">
        <x:v>0</x:v>
      </x:c>
      <x:c r="E30" t="inlineStr">
        <x:is>
          <x:t xml:space="preserve">SCREENED</x:t>
        </x:is>
      </x:c>
      <x:c r="F30" t="inlineStr">
        <x:is>
          <x:t xml:space="preserve">No excerpt selected in first pass</x:t>
        </x:is>
      </x:c>
    </x:row>
    <x:row r="31">
      <x:c r="A31" t="n">
        <x:v>13</x:v>
      </x:c>
      <x:c r="B31" t="inlineStr">
        <x:is>
          <x:t xml:space="preserve">氾論訓</x:t>
        </x:is>
      </x:c>
      <x:c r="C31" t="n">
        <x:v>5</x:v>
      </x:c>
      <x:c r="D31" t="n">
        <x:v>0</x:v>
      </x:c>
      <x:c r="E31" t="inlineStr">
        <x:is>
          <x:t xml:space="preserve">COLLECTED</x:t>
        </x:is>
      </x:c>
      <x:c r="F31" t="inlineStr">
        <x:is>
          <x:t xml:space="preserve">Selflo-relevant candidates stored</x:t>
        </x:is>
      </x:c>
    </x:row>
    <x:row r="32">
      <x:c r="A32" t="n">
        <x:v>14</x:v>
      </x:c>
      <x:c r="B32" t="inlineStr">
        <x:is>
          <x:t xml:space="preserve">詮言訓</x:t>
        </x:is>
      </x:c>
      <x:c r="C32" t="n">
        <x:v>6</x:v>
      </x:c>
      <x:c r="D32" t="n">
        <x:v>0</x:v>
      </x:c>
      <x:c r="E32" t="inlineStr">
        <x:is>
          <x:t xml:space="preserve">COLLECTED</x:t>
        </x:is>
      </x:c>
      <x:c r="F32" t="inlineStr">
        <x:is>
          <x:t xml:space="preserve">Selflo-relevant candidates stored</x:t>
        </x:is>
      </x:c>
    </x:row>
    <x:row r="33">
      <x:c r="A33" t="n">
        <x:v>15</x:v>
      </x:c>
      <x:c r="B33" t="inlineStr">
        <x:is>
          <x:t xml:space="preserve">兵略訓</x:t>
        </x:is>
      </x:c>
      <x:c r="C33" t="n">
        <x:v>0</x:v>
      </x:c>
      <x:c r="D33" t="n">
        <x:v>0</x:v>
      </x:c>
      <x:c r="E33" t="inlineStr">
        <x:is>
          <x:t xml:space="preserve">SCREENED</x:t>
        </x:is>
      </x:c>
      <x:c r="F33" t="inlineStr">
        <x:is>
          <x:t xml:space="preserve">No excerpt selected in first pass</x:t>
        </x:is>
      </x:c>
    </x:row>
    <x:row r="34">
      <x:c r="A34" t="n">
        <x:v>16</x:v>
      </x:c>
      <x:c r="B34" t="inlineStr">
        <x:is>
          <x:t xml:space="preserve">說山訓</x:t>
        </x:is>
      </x:c>
      <x:c r="C34" t="n">
        <x:v>4</x:v>
      </x:c>
      <x:c r="D34" t="n">
        <x:v>1</x:v>
      </x:c>
      <x:c r="E34" t="inlineStr">
        <x:is>
          <x:t xml:space="preserve">COLLECTED</x:t>
        </x:is>
      </x:c>
      <x:c r="F34" t="inlineStr">
        <x:is>
          <x:t xml:space="preserve">Selflo-relevant candidates stored</x:t>
        </x:is>
      </x:c>
    </x:row>
    <x:row r="35">
      <x:c r="A35" t="n">
        <x:v>17</x:v>
      </x:c>
      <x:c r="B35" t="inlineStr">
        <x:is>
          <x:t xml:space="preserve">說林訓</x:t>
        </x:is>
      </x:c>
      <x:c r="C35" t="n">
        <x:v>10</x:v>
      </x:c>
      <x:c r="D35" t="n">
        <x:v>2</x:v>
      </x:c>
      <x:c r="E35" t="inlineStr">
        <x:is>
          <x:t xml:space="preserve">COLLECTED</x:t>
        </x:is>
      </x:c>
      <x:c r="F35" t="inlineStr">
        <x:is>
          <x:t xml:space="preserve">Selflo-relevant candidates stored</x:t>
        </x:is>
      </x:c>
    </x:row>
    <x:row r="36">
      <x:c r="A36" t="n">
        <x:v>18</x:v>
      </x:c>
      <x:c r="B36" t="inlineStr">
        <x:is>
          <x:t xml:space="preserve">人閒訓</x:t>
        </x:is>
      </x:c>
      <x:c r="C36" t="n">
        <x:v>13</x:v>
      </x:c>
      <x:c r="D36" t="n">
        <x:v>3</x:v>
      </x:c>
      <x:c r="E36" t="inlineStr">
        <x:is>
          <x:t xml:space="preserve">COLLECTED</x:t>
        </x:is>
      </x:c>
      <x:c r="F36" t="inlineStr">
        <x:is>
          <x:t xml:space="preserve">Selflo-relevant candidates stored</x:t>
        </x:is>
      </x:c>
    </x:row>
    <x:row r="37">
      <x:c r="A37" t="n">
        <x:v>19</x:v>
      </x:c>
      <x:c r="B37" t="inlineStr">
        <x:is>
          <x:t xml:space="preserve">修務訓</x:t>
        </x:is>
      </x:c>
      <x:c r="C37" t="n">
        <x:v>0</x:v>
      </x:c>
      <x:c r="D37" t="n">
        <x:v>0</x:v>
      </x:c>
      <x:c r="E37" t="inlineStr">
        <x:is>
          <x:t xml:space="preserve">SCREENED</x:t>
        </x:is>
      </x:c>
      <x:c r="F37" t="inlineStr">
        <x:is>
          <x:t xml:space="preserve">No excerpt selected in first pass</x:t>
        </x:is>
      </x:c>
    </x:row>
    <x:row r="38">
      <x:c r="A38" t="n">
        <x:v>20</x:v>
      </x:c>
      <x:c r="B38" t="inlineStr">
        <x:is>
          <x:t xml:space="preserve">泰族訓</x:t>
        </x:is>
      </x:c>
      <x:c r="C38" t="n">
        <x:v>0</x:v>
      </x:c>
      <x:c r="D38" t="n">
        <x:v>0</x:v>
      </x:c>
      <x:c r="E38" t="inlineStr">
        <x:is>
          <x:t xml:space="preserve">SCREENED</x:t>
        </x:is>
      </x:c>
      <x:c r="F38" t="inlineStr">
        <x:is>
          <x:t xml:space="preserve">No excerpt selected in first pass</x:t>
        </x:is>
      </x:c>
    </x:row>
    <x:row r="39">
      <x:c r="A39" t="n">
        <x:v>21</x:v>
      </x:c>
      <x:c r="B39" t="inlineStr">
        <x:is>
          <x:t xml:space="preserve">要略</x:t>
        </x:is>
      </x:c>
      <x:c r="C39" t="n">
        <x:v>0</x:v>
      </x:c>
      <x:c r="D39" t="n">
        <x:v>0</x:v>
      </x:c>
      <x:c r="E39" t="inlineStr">
        <x:is>
          <x:t xml:space="preserve">SCREENED</x:t>
        </x:is>
      </x:c>
      <x:c r="F39" t="inlineStr">
        <x:is>
          <x:t xml:space="preserve">No excerpt selected in first pass</x:t>
        </x:is>
      </x:c>
    </x:row>
  </x:sheetData>
  <x:mergeCells>
    <x:mergeCell ref="A1:F1"/>
  </x:mergeCells>
  <x:pageMargins left="0.7" right="0.7" top="0.75" bottom="0.75" header="0.3" footer="0.3"/>
</x:worksheet>
</file>

<file path=xl/worksheets/sheet23.xml><?xml version="1.0" encoding="utf-8"?>
<x:worksheet xmlns:x="http://schemas.openxmlformats.org/spreadsheetml/2006/main">
  <x:sheetFormatPr baseColWidth="8" defaultRowHeight="15"/>
  <x:cols>
    <x:col min="1" max="1" width="32" style="72" customWidth="1"/>
    <x:col min="2" max="2" width="95" style="72" customWidth="1"/>
    <x:col min="3" max="3" width="18" style="72" customWidth="1"/>
    <x:col min="4" max="4" width="18" style="72" customWidth="1"/>
    <x:col min="5" max="5" width="18" style="72" customWidth="1"/>
    <x:col min="6" max="6" width="18" style="72" customWidth="1"/>
  </x:cols>
  <x:sheetData>
    <x:row r="1">
      <x:c r="A1" s="141" t="inlineStr">
        <x:is>
          <x:t xml:space="preserve">DAY 7 — EPICTETUS / ENCHIRIDION + DISCOURSES — FULL FIRST-PASS AUDIT</x:t>
        </x:is>
      </x:c>
      <x:c r="B1" s="1" t="n"/>
      <x:c r="C1" s="1" t="n"/>
      <x:c r="D1" s="1" t="n"/>
      <x:c r="E1" s="1" t="n"/>
      <x:c r="F1" s="1" t="n"/>
    </x:row>
    <x:row r="3">
      <x:c r="A3" s="125" t="inlineStr">
        <x:is>
          <x:t xml:space="preserve">Hạng mục</x:t>
        </x:is>
      </x:c>
      <x:c r="B3" s="125" t="inlineStr">
        <x:is>
          <x:t xml:space="preserve">Kết quả</x:t>
        </x:is>
      </x:c>
    </x:row>
    <x:row r="4">
      <x:c r="A4" t="inlineStr">
        <x:is>
          <x:t xml:space="preserve">Scope</x:t>
        </x:is>
      </x:c>
      <x:c r="B4" t="inlineStr">
        <x:is>
          <x:t xml:space="preserve">Screen toàn bộ 53 chương Enchiridion và toàn bộ 4 quyển Discourses còn tồn tại; không dừng theo quota 22/2/4.</x:t>
        </x:is>
      </x:c>
    </x:row>
    <x:row r="5">
      <x:c r="A5" t="inlineStr">
        <x:is>
          <x:t xml:space="preserve">Quote / passage candidates</x:t>
        </x:is>
      </x:c>
      <x:c r="B5" t="n">
        <x:v>46</x:v>
      </x:c>
    </x:row>
    <x:row r="6">
      <x:c r="A6" t="inlineStr">
        <x:is>
          <x:t xml:space="preserve">High Selflo Fit</x:t>
        </x:is>
      </x:c>
      <x:c r="B6" t="n">
        <x:v>37</x:v>
      </x:c>
    </x:row>
    <x:row r="7">
      <x:c r="A7" t="inlineStr">
        <x:is>
          <x:t xml:space="preserve">Traceable story / teaching examples</x:t>
        </x:is>
      </x:c>
      <x:c r="B7" t="n">
        <x:v>5</x:v>
      </x:c>
    </x:row>
    <x:row r="8">
      <x:c r="A8" t="inlineStr">
        <x:is>
          <x:t xml:space="preserve">Principle seeds</x:t>
        </x:is>
      </x:c>
      <x:c r="B8" t="n">
        <x:v>12</x:v>
      </x:c>
    </x:row>
    <x:row r="9">
      <x:c r="A9" t="inlineStr">
        <x:is>
          <x:t xml:space="preserve">Primary source</x:t>
        </x:is>
      </x:c>
      <x:c r="B9" t="inlineStr">
        <x:is>
          <x:t xml:space="preserve">Perseus / Scaife: Schenkl 1916 Ancient Greek edition; catalog records for Enchiridion and Discourses.</x:t>
        </x:is>
      </x:c>
    </x:row>
    <x:row r="10">
      <x:c r="A10" t="inlineStr">
        <x:is>
          <x:t xml:space="preserve">Original-language policy</x:t>
        </x:is>
      </x:c>
      <x:c r="B10" t="inlineStr">
        <x:is>
          <x:t xml:space="preserve">Ancient Greek source anchor retained; Vietnamese is Selflo working translation, not a published translation.</x:t>
        </x:is>
      </x:c>
    </x:row>
    <x:row r="11">
      <x:c r="A11" t="inlineStr">
        <x:is>
          <x:t xml:space="preserve">Rights policy</x:t>
        </x:is>
      </x:c>
      <x:c r="B11" t="inlineStr">
        <x:is>
          <x:t xml:space="preserve">Ancient work public domain; Perseus electronic text carries reuse terms. Release should use fresh Selflo translation/adaptation.</x:t>
        </x:is>
      </x:c>
    </x:row>
    <x:row r="12">
      <x:c r="A12" t="inlineStr">
        <x:is>
          <x:t xml:space="preserve">Safety/editorial caution</x:t>
        </x:is>
      </x:c>
      <x:c r="B12" t="inlineStr">
        <x:is>
          <x:t xml:space="preserve">Không giản lược Stoicism thành 'mọi thứ do suy nghĩ của bạn'. External harm, trauma, health, power and material constraints remain real.</x:t>
        </x:is>
      </x:c>
    </x:row>
    <x:row r="13">
      <x:c r="A13" t="inlineStr">
        <x:is>
          <x:t xml:space="preserve">Attribution caution</x:t>
        </x:is>
      </x:c>
      <x:c r="B13" t="inlineStr">
        <x:is>
          <x:t xml:space="preserve">Discourses are Arrian's reports/notes of Epictetus' teaching; Handbook belongs to that textual tradition. Avoid invented verbatim biography.</x:t>
        </x:is>
      </x:c>
    </x:row>
    <x:row r="14">
      <x:c r="A14" t="inlineStr">
        <x:is>
          <x:t xml:space="preserve">Coverage caveat</x:t>
        </x:is>
      </x:c>
      <x:c r="B14" t="inlineStr">
        <x:is>
          <x:t xml:space="preserve">DONE means full source-unit screening for Day 7, not exhaustive extraction of every sentence in the four Discourses books.</x:t>
        </x:is>
      </x:c>
    </x:row>
    <x:row r="15">
      <x:c r="A15" t="inlineStr">
        <x:is>
          <x:t xml:space="preserve">Completion gate</x:t>
        </x:is>
      </x:c>
      <x:c r="B15" t="inlineStr">
        <x:is>
          <x:t xml:space="preserve">PASS — scope screened; selected candidates + stories + principles + sources stored.</x:t>
        </x:is>
      </x:c>
    </x:row>
    <x:row r="16">
      <x:c r="A16" t="inlineStr">
        <x:is>
          <x:t xml:space="preserve">Day status</x:t>
        </x:is>
      </x:c>
      <x:c r="B16" t="inlineStr">
        <x:is>
          <x:t xml:space="preserve">DONE</x:t>
        </x:is>
      </x:c>
    </x:row>
    <x:row r="18">
      <x:c r="A18" s="125" t="inlineStr">
        <x:is>
          <x:t xml:space="preserve">Source unit</x:t>
        </x:is>
      </x:c>
      <x:c r="B18" s="125" t="inlineStr">
        <x:is>
          <x:t xml:space="preserve">Coverage</x:t>
        </x:is>
      </x:c>
      <x:c r="C18" s="125" t="inlineStr">
        <x:is>
          <x:t xml:space="preserve">Candidates</x:t>
        </x:is>
      </x:c>
      <x:c r="D18" s="125" t="inlineStr">
        <x:is>
          <x:t xml:space="preserve">Stories</x:t>
        </x:is>
      </x:c>
      <x:c r="E18" s="125" t="inlineStr">
        <x:is>
          <x:t xml:space="preserve">Principles linked</x:t>
        </x:is>
      </x:c>
      <x:c r="F18" s="125" t="inlineStr">
        <x:is>
          <x:t xml:space="preserve">Audit</x:t>
        </x:is>
      </x:c>
    </x:row>
    <x:row r="19">
      <x:c r="A19" t="inlineStr">
        <x:is>
          <x:t xml:space="preserve">Enchiridion 1–53</x:t>
        </x:is>
      </x:c>
      <x:c r="B19" t="inlineStr">
        <x:is>
          <x:t xml:space="preserve">53/53 chapters screened</x:t>
        </x:is>
      </x:c>
      <x:c r="C19" t="n">
        <x:v>32</x:v>
      </x:c>
      <x:c r="D19" t="n">
        <x:v>4</x:v>
      </x:c>
      <x:c r="E19" t="inlineStr">
        <x:is>
          <x:t xml:space="preserve">Multiple</x:t>
        </x:is>
      </x:c>
      <x:c r="F19" t="inlineStr">
        <x:is>
          <x:t xml:space="preserve">DONE</x:t>
        </x:is>
      </x:c>
    </x:row>
    <x:row r="20">
      <x:c r="A20" t="inlineStr">
        <x:is>
          <x:t xml:space="preserve">Discourses Book 1</x:t>
        </x:is>
      </x:c>
      <x:c r="B20" t="inlineStr">
        <x:is>
          <x:t xml:space="preserve">Full book screened first-pass</x:t>
        </x:is>
      </x:c>
      <x:c r="C20" t="n">
        <x:v>6</x:v>
      </x:c>
      <x:c r="D20" t="n">
        <x:v>1</x:v>
      </x:c>
      <x:c r="E20" t="inlineStr">
        <x:is>
          <x:t xml:space="preserve">Multiple</x:t>
        </x:is>
      </x:c>
      <x:c r="F20" t="inlineStr">
        <x:is>
          <x:t xml:space="preserve">DONE</x:t>
        </x:is>
      </x:c>
    </x:row>
    <x:row r="21">
      <x:c r="A21" t="inlineStr">
        <x:is>
          <x:t xml:space="preserve">Discourses Book 2</x:t>
        </x:is>
      </x:c>
      <x:c r="B21" t="inlineStr">
        <x:is>
          <x:t xml:space="preserve">Full book screened first-pass</x:t>
        </x:is>
      </x:c>
      <x:c r="C21" t="n">
        <x:v>3</x:v>
      </x:c>
      <x:c r="D21" t="n">
        <x:v>0</x:v>
      </x:c>
      <x:c r="E21" t="inlineStr">
        <x:is>
          <x:t xml:space="preserve">Multiple</x:t>
        </x:is>
      </x:c>
      <x:c r="F21" t="inlineStr">
        <x:is>
          <x:t xml:space="preserve">DONE</x:t>
        </x:is>
      </x:c>
    </x:row>
    <x:row r="22">
      <x:c r="A22" t="inlineStr">
        <x:is>
          <x:t xml:space="preserve">Discourses Book 3</x:t>
        </x:is>
      </x:c>
      <x:c r="B22" t="inlineStr">
        <x:is>
          <x:t xml:space="preserve">Full book screened first-pass</x:t>
        </x:is>
      </x:c>
      <x:c r="C22" t="n">
        <x:v>3</x:v>
      </x:c>
      <x:c r="D22" t="n">
        <x:v>0</x:v>
      </x:c>
      <x:c r="E22" t="inlineStr">
        <x:is>
          <x:t xml:space="preserve">Multiple</x:t>
        </x:is>
      </x:c>
      <x:c r="F22" t="inlineStr">
        <x:is>
          <x:t xml:space="preserve">DONE</x:t>
        </x:is>
      </x:c>
    </x:row>
    <x:row r="23">
      <x:c r="A23" t="inlineStr">
        <x:is>
          <x:t xml:space="preserve">Discourses Book 4</x:t>
        </x:is>
      </x:c>
      <x:c r="B23" t="inlineStr">
        <x:is>
          <x:t xml:space="preserve">Full book screened first-pass</x:t>
        </x:is>
      </x:c>
      <x:c r="C23" t="n">
        <x:v>2</x:v>
      </x:c>
      <x:c r="D23" t="n">
        <x:v>0</x:v>
      </x:c>
      <x:c r="E23" t="inlineStr">
        <x:is>
          <x:t xml:space="preserve">Multiple</x:t>
        </x:is>
      </x:c>
      <x:c r="F23" t="inlineStr">
        <x:is>
          <x:t xml:space="preserve">DONE</x:t>
        </x:is>
      </x:c>
    </x:row>
    <x:row r="26">
      <x:c r="A26" s="127" t="inlineStr">
        <x:is>
          <x:t xml:space="preserve">Story ID</x:t>
        </x:is>
      </x:c>
      <x:c r="B26" s="127" t="inlineStr">
        <x:is>
          <x:t xml:space="preserve">Tên</x:t>
        </x:is>
      </x:c>
      <x:c r="C26" s="127" t="inlineStr">
        <x:is>
          <x:t xml:space="preserve">Source</x:t>
        </x:is>
      </x:c>
      <x:c r="D26" s="127" t="inlineStr">
        <x:is>
          <x:t xml:space="preserve">Selflo Fit</x:t>
        </x:is>
      </x:c>
    </x:row>
    <x:row r="27">
      <x:c r="A27" t="inlineStr">
        <x:is>
          <x:t xml:space="preserve">story.epictetus.day7.bathhouse</x:t>
        </x:is>
      </x:c>
      <x:c r="B27" t="inlineStr">
        <x:is>
          <x:t xml:space="preserve">Đi tắm với hai mục tiêu</x:t>
        </x:is>
      </x:c>
      <x:c r="C27" t="inlineStr">
        <x:is>
          <x:t xml:space="preserve">Enchiridion 4</x:t>
        </x:is>
      </x:c>
      <x:c r="D27" t="inlineStr">
        <x:is>
          <x:t xml:space="preserve">High</x:t>
        </x:is>
      </x:c>
    </x:row>
    <x:row r="28">
      <x:c r="A28" t="inlineStr">
        <x:is>
          <x:t xml:space="preserve">story.epictetus.day7.ship_anchor</x:t>
        </x:is>
      </x:c>
      <x:c r="B28" t="inlineStr">
        <x:is>
          <x:t xml:space="preserve">Con tàu đang neo</x:t>
        </x:is>
      </x:c>
      <x:c r="C28" t="inlineStr">
        <x:is>
          <x:t xml:space="preserve">Enchiridion 7</x:t>
        </x:is>
      </x:c>
      <x:c r="D28" t="inlineStr">
        <x:is>
          <x:t xml:space="preserve">Medium</x:t>
        </x:is>
      </x:c>
    </x:row>
    <x:row r="29">
      <x:c r="A29" t="inlineStr">
        <x:is>
          <x:t xml:space="preserve">story.epictetus.day7.athlete_cost</x:t>
        </x:is>
      </x:c>
      <x:c r="B29" t="inlineStr">
        <x:is>
          <x:t xml:space="preserve">Muốn thành vận động viên Olympic</x:t>
        </x:is>
      </x:c>
      <x:c r="C29" t="inlineStr">
        <x:is>
          <x:t xml:space="preserve">Enchiridion 29</x:t>
        </x:is>
      </x:c>
      <x:c r="D29" t="inlineStr">
        <x:is>
          <x:t xml:space="preserve">High</x:t>
        </x:is>
      </x:c>
    </x:row>
    <x:row r="30">
      <x:c r="A30" t="inlineStr">
        <x:is>
          <x:t xml:space="preserve">story.epictetus.day7.two_handles</x:t>
        </x:is>
      </x:c>
      <x:c r="B30" t="inlineStr">
        <x:is>
          <x:t xml:space="preserve">Hai tay cầm của một việc</x:t>
        </x:is>
      </x:c>
      <x:c r="C30" t="inlineStr">
        <x:is>
          <x:t xml:space="preserve">Enchiridion 43</x:t>
        </x:is>
      </x:c>
      <x:c r="D30" t="inlineStr">
        <x:is>
          <x:t xml:space="preserve">High</x:t>
        </x:is>
      </x:c>
    </x:row>
    <x:row r="31">
      <x:c r="A31" t="inlineStr">
        <x:is>
          <x:t xml:space="preserve">story.epictetus.day7.lamp_thief</x:t>
        </x:is>
      </x:c>
      <x:c r="B31" t="inlineStr">
        <x:is>
          <x:t xml:space="preserve">Chiếc đèn bị lấy mất</x:t>
        </x:is>
      </x:c>
      <x:c r="C31" t="inlineStr">
        <x:is>
          <x:t xml:space="preserve">Discourses 1</x:t>
        </x:is>
      </x:c>
      <x:c r="D31" t="inlineStr">
        <x:is>
          <x:t xml:space="preserve">Medium</x:t>
        </x:is>
      </x:c>
    </x:row>
  </x:sheetData>
  <x:mergeCells>
    <x:mergeCell ref="A1:F1"/>
  </x:mergeCells>
  <x:pageMargins left="0.7" right="0.7" top="0.75" bottom="0.75" header="0.3" footer="0.3"/>
</x:worksheet>
</file>

<file path=xl/worksheets/sheet24.xml><?xml version="1.0" encoding="utf-8"?>
<x:worksheet xmlns:x="http://schemas.openxmlformats.org/spreadsheetml/2006/main">
  <x:sheetFormatPr baseColWidth="8" defaultRowHeight="15"/>
  <x:cols>
    <x:col min="1" max="1" width="34" style="72" customWidth="1"/>
    <x:col min="2" max="2" width="95" style="72" customWidth="1"/>
    <x:col min="3" max="3" width="18" style="72" customWidth="1"/>
    <x:col min="4" max="4" width="18" style="72" customWidth="1"/>
    <x:col min="5" max="5" width="18" style="72" customWidth="1"/>
    <x:col min="6" max="6" width="18" style="72" customWidth="1"/>
  </x:cols>
  <x:sheetData>
    <x:row r="1">
      <x:c r="A1" s="142" t="inlineStr">
        <x:is>
          <x:t xml:space="preserve">DAY 8 — MARCUS AURELIUS / MEDITATIONS — FULL 12-BOOK FIRST-PASS AUDIT</x:t>
        </x:is>
      </x:c>
      <x:c r="B1" s="1" t="n"/>
      <x:c r="C1" s="1" t="n"/>
      <x:c r="D1" s="1" t="n"/>
      <x:c r="E1" s="1" t="n"/>
      <x:c r="F1" s="1" t="n"/>
    </x:row>
    <x:row r="3">
      <x:c r="A3" s="132" t="inlineStr">
        <x:is>
          <x:t xml:space="preserve">Hạng mục</x:t>
        </x:is>
      </x:c>
      <x:c r="B3" s="132" t="inlineStr">
        <x:is>
          <x:t xml:space="preserve">Kết quả</x:t>
        </x:is>
      </x:c>
    </x:row>
    <x:row r="4">
      <x:c r="A4" t="inlineStr">
        <x:is>
          <x:t xml:space="preserve">Scope</x:t>
        </x:is>
      </x:c>
      <x:c r="B4" t="inlineStr">
        <x:is>
          <x:t xml:space="preserve">Screen toàn bộ 12 quyển Meditations; không dừng theo quota 22/1/4.</x:t>
        </x:is>
      </x:c>
    </x:row>
    <x:row r="5">
      <x:c r="A5" t="inlineStr">
        <x:is>
          <x:t xml:space="preserve">Quote / passage candidates</x:t>
        </x:is>
      </x:c>
      <x:c r="B5" t="n">
        <x:v>47</x:v>
      </x:c>
    </x:row>
    <x:row r="6">
      <x:c r="A6" t="inlineStr">
        <x:is>
          <x:t xml:space="preserve">High Selflo Fit</x:t>
        </x:is>
      </x:c>
      <x:c r="B6" t="n">
        <x:v>33</x:v>
      </x:c>
    </x:row>
    <x:row r="7">
      <x:c r="A7" t="inlineStr">
        <x:is>
          <x:t xml:space="preserve">Traceable scenes / teaching images</x:t>
        </x:is>
      </x:c>
      <x:c r="B7" t="n">
        <x:v>4</x:v>
      </x:c>
    </x:row>
    <x:row r="8">
      <x:c r="A8" t="inlineStr">
        <x:is>
          <x:t xml:space="preserve">Principle seeds</x:t>
        </x:is>
      </x:c>
      <x:c r="B8" t="n">
        <x:v>12</x:v>
      </x:c>
    </x:row>
    <x:row r="9">
      <x:c r="A9" t="inlineStr">
        <x:is>
          <x:t xml:space="preserve">Primary source</x:t>
        </x:is>
      </x:c>
      <x:c r="B9" t="inlineStr">
        <x:is>
          <x:t xml:space="preserve">Perseus: Leopold 1908 Ancient Greek edition; Greek Wikisource used as wording/book-structure cross-check.</x:t>
        </x:is>
      </x:c>
    </x:row>
    <x:row r="10">
      <x:c r="A10" t="inlineStr">
        <x:is>
          <x:t xml:space="preserve">Original-language policy</x:t>
        </x:is>
      </x:c>
      <x:c r="B10" t="inlineStr">
        <x:is>
          <x:t xml:space="preserve">Giữ Ancient Greek anchor; tiếng Việt là Selflo working translation, không phải published translation.</x:t>
        </x:is>
      </x:c>
    </x:row>
    <x:row r="11">
      <x:c r="A11" t="inlineStr">
        <x:is>
          <x:t xml:space="preserve">Genre caution</x:t>
        </x:is>
      </x:c>
      <x:c r="B11" t="inlineStr">
        <x:is>
          <x:t xml:space="preserve">Meditations là ghi chép tự nhắc mình, không phải tuyển tập story. Không biến self-address thành tiểu sử/hội thoại hư cấu.</x:t>
        </x:is>
      </x:c>
    </x:row>
    <x:row r="12">
      <x:c r="A12" t="inlineStr">
        <x:is>
          <x:t xml:space="preserve">Editorial caution</x:t>
        </x:is>
      </x:c>
      <x:c r="B12" t="inlineStr">
        <x:is>
          <x:t xml:space="preserve">Không giản lược Marcus thành 'hãy chịu đựng' hoặc 'mọi đau khổ do phán đoán'. External conditions, health, power and harm remain real.</x:t>
        </x:is>
      </x:c>
    </x:row>
    <x:row r="13">
      <x:c r="A13" t="inlineStr">
        <x:is>
          <x:t xml:space="preserve">Release caution</x:t>
        </x:is>
      </x:c>
      <x:c r="B13" t="inlineStr">
        <x:is>
          <x:t xml:space="preserve">Các đoạn mortality, duty, getting-out-of-bed có thể tạo áp lực cho user kiệt sức; giữ Research Pool cho đến khi có context phù hợp.</x:t>
        </x:is>
      </x:c>
    </x:row>
    <x:row r="14">
      <x:c r="A14" t="inlineStr">
        <x:is>
          <x:t xml:space="preserve">Coverage caveat</x:t>
        </x:is>
      </x:c>
      <x:c r="B14" t="inlineStr">
        <x:is>
          <x:t xml:space="preserve">DONE = 12/12 books screened first-pass; không có nghĩa đã extract mọi câu hay trong toàn văn.</x:t>
        </x:is>
      </x:c>
    </x:row>
    <x:row r="15">
      <x:c r="A15" t="inlineStr">
        <x:is>
          <x:t xml:space="preserve">Completion gate</x:t>
        </x:is>
      </x:c>
      <x:c r="B15" t="inlineStr">
        <x:is>
          <x:t xml:space="preserve">PASS — quotes + traceable scenes + principles + sources stored.</x:t>
        </x:is>
      </x:c>
    </x:row>
    <x:row r="16">
      <x:c r="A16" t="inlineStr">
        <x:is>
          <x:t xml:space="preserve">Day status</x:t>
        </x:is>
      </x:c>
      <x:c r="B16" t="inlineStr">
        <x:is>
          <x:t xml:space="preserve">DONE</x:t>
        </x:is>
      </x:c>
    </x:row>
    <x:row r="18">
      <x:c r="A18" s="132" t="inlineStr">
        <x:is>
          <x:t xml:space="preserve">Book</x:t>
        </x:is>
      </x:c>
      <x:c r="B18" s="132" t="inlineStr">
        <x:is>
          <x:t xml:space="preserve">Coverage</x:t>
        </x:is>
      </x:c>
      <x:c r="C18" s="132" t="inlineStr">
        <x:is>
          <x:t xml:space="preserve">Candidates</x:t>
        </x:is>
      </x:c>
      <x:c r="D18" s="132" t="inlineStr">
        <x:is>
          <x:t xml:space="preserve">High Fit</x:t>
        </x:is>
      </x:c>
      <x:c r="E18" s="132" t="inlineStr">
        <x:is>
          <x:t xml:space="preserve">Scenes</x:t>
        </x:is>
      </x:c>
      <x:c r="F18" s="132" t="inlineStr">
        <x:is>
          <x:t xml:space="preserve">Audit</x:t>
        </x:is>
      </x:c>
    </x:row>
    <x:row r="19">
      <x:c r="A19" t="n">
        <x:v>1</x:v>
      </x:c>
      <x:c r="B19" t="inlineStr">
        <x:is>
          <x:t xml:space="preserve">Full book screened first-pass</x:t>
        </x:is>
      </x:c>
      <x:c r="C19" t="n">
        <x:v>4</x:v>
      </x:c>
      <x:c r="D19" t="n">
        <x:v>3</x:v>
      </x:c>
      <x:c r="E19" t="n">
        <x:v>0</x:v>
      </x:c>
      <x:c r="F19" t="inlineStr">
        <x:is>
          <x:t xml:space="preserve">DONE</x:t>
        </x:is>
      </x:c>
    </x:row>
    <x:row r="20">
      <x:c r="A20" t="n">
        <x:v>2</x:v>
      </x:c>
      <x:c r="B20" t="inlineStr">
        <x:is>
          <x:t xml:space="preserve">Full book screened first-pass</x:t>
        </x:is>
      </x:c>
      <x:c r="C20" t="n">
        <x:v>4</x:v>
      </x:c>
      <x:c r="D20" t="n">
        <x:v>3</x:v>
      </x:c>
      <x:c r="E20" t="n">
        <x:v>1</x:v>
      </x:c>
      <x:c r="F20" t="inlineStr">
        <x:is>
          <x:t xml:space="preserve">DONE</x:t>
        </x:is>
      </x:c>
    </x:row>
    <x:row r="21">
      <x:c r="A21" t="n">
        <x:v>3</x:v>
      </x:c>
      <x:c r="B21" t="inlineStr">
        <x:is>
          <x:t xml:space="preserve">Full book screened first-pass</x:t>
        </x:is>
      </x:c>
      <x:c r="C21" t="n">
        <x:v>4</x:v>
      </x:c>
      <x:c r="D21" t="n">
        <x:v>2</x:v>
      </x:c>
      <x:c r="E21" t="n">
        <x:v>0</x:v>
      </x:c>
      <x:c r="F21" t="inlineStr">
        <x:is>
          <x:t xml:space="preserve">DONE</x:t>
        </x:is>
      </x:c>
    </x:row>
    <x:row r="22">
      <x:c r="A22" t="n">
        <x:v>4</x:v>
      </x:c>
      <x:c r="B22" t="inlineStr">
        <x:is>
          <x:t xml:space="preserve">Full book screened first-pass</x:t>
        </x:is>
      </x:c>
      <x:c r="C22" t="n">
        <x:v>4</x:v>
      </x:c>
      <x:c r="D22" t="n">
        <x:v>3</x:v>
      </x:c>
      <x:c r="E22" t="n">
        <x:v>1</x:v>
      </x:c>
      <x:c r="F22" t="inlineStr">
        <x:is>
          <x:t xml:space="preserve">DONE</x:t>
        </x:is>
      </x:c>
    </x:row>
    <x:row r="23">
      <x:c r="A23" t="n">
        <x:v>5</x:v>
      </x:c>
      <x:c r="B23" t="inlineStr">
        <x:is>
          <x:t xml:space="preserve">Full book screened first-pass</x:t>
        </x:is>
      </x:c>
      <x:c r="C23" t="n">
        <x:v>4</x:v>
      </x:c>
      <x:c r="D23" t="n">
        <x:v>2</x:v>
      </x:c>
      <x:c r="E23" t="n">
        <x:v>1</x:v>
      </x:c>
      <x:c r="F23" t="inlineStr">
        <x:is>
          <x:t xml:space="preserve">DONE</x:t>
        </x:is>
      </x:c>
    </x:row>
    <x:row r="24">
      <x:c r="A24" t="n">
        <x:v>6</x:v>
      </x:c>
      <x:c r="B24" t="inlineStr">
        <x:is>
          <x:t xml:space="preserve">Full book screened first-pass</x:t>
        </x:is>
      </x:c>
      <x:c r="C24" t="n">
        <x:v>4</x:v>
      </x:c>
      <x:c r="D24" t="n">
        <x:v>3</x:v>
      </x:c>
      <x:c r="E24" t="n">
        <x:v>1</x:v>
      </x:c>
      <x:c r="F24" t="inlineStr">
        <x:is>
          <x:t xml:space="preserve">DONE</x:t>
        </x:is>
      </x:c>
    </x:row>
    <x:row r="25">
      <x:c r="A25" t="n">
        <x:v>7</x:v>
      </x:c>
      <x:c r="B25" t="inlineStr">
        <x:is>
          <x:t xml:space="preserve">Full book screened first-pass</x:t>
        </x:is>
      </x:c>
      <x:c r="C25" t="n">
        <x:v>4</x:v>
      </x:c>
      <x:c r="D25" t="n">
        <x:v>2</x:v>
      </x:c>
      <x:c r="E25" t="n">
        <x:v>0</x:v>
      </x:c>
      <x:c r="F25" t="inlineStr">
        <x:is>
          <x:t xml:space="preserve">DONE</x:t>
        </x:is>
      </x:c>
    </x:row>
    <x:row r="26">
      <x:c r="A26" t="n">
        <x:v>8</x:v>
      </x:c>
      <x:c r="B26" t="inlineStr">
        <x:is>
          <x:t xml:space="preserve">Full book screened first-pass</x:t>
        </x:is>
      </x:c>
      <x:c r="C26" t="n">
        <x:v>4</x:v>
      </x:c>
      <x:c r="D26" t="n">
        <x:v>4</x:v>
      </x:c>
      <x:c r="E26" t="n">
        <x:v>0</x:v>
      </x:c>
      <x:c r="F26" t="inlineStr">
        <x:is>
          <x:t xml:space="preserve">DONE</x:t>
        </x:is>
      </x:c>
    </x:row>
    <x:row r="27">
      <x:c r="A27" t="n">
        <x:v>9</x:v>
      </x:c>
      <x:c r="B27" t="inlineStr">
        <x:is>
          <x:t xml:space="preserve">Full book screened first-pass</x:t>
        </x:is>
      </x:c>
      <x:c r="C27" t="n">
        <x:v>3</x:v>
      </x:c>
      <x:c r="D27" t="n">
        <x:v>2</x:v>
      </x:c>
      <x:c r="E27" t="n">
        <x:v>0</x:v>
      </x:c>
      <x:c r="F27" t="inlineStr">
        <x:is>
          <x:t xml:space="preserve">DONE</x:t>
        </x:is>
      </x:c>
    </x:row>
    <x:row r="28">
      <x:c r="A28" t="n">
        <x:v>10</x:v>
      </x:c>
      <x:c r="B28" t="inlineStr">
        <x:is>
          <x:t xml:space="preserve">Full book screened first-pass</x:t>
        </x:is>
      </x:c>
      <x:c r="C28" t="n">
        <x:v>4</x:v>
      </x:c>
      <x:c r="D28" t="n">
        <x:v>3</x:v>
      </x:c>
      <x:c r="E28" t="n">
        <x:v>0</x:v>
      </x:c>
      <x:c r="F28" t="inlineStr">
        <x:is>
          <x:t xml:space="preserve">DONE</x:t>
        </x:is>
      </x:c>
    </x:row>
    <x:row r="29">
      <x:c r="A29" t="n">
        <x:v>11</x:v>
      </x:c>
      <x:c r="B29" t="inlineStr">
        <x:is>
          <x:t xml:space="preserve">Full book screened first-pass</x:t>
        </x:is>
      </x:c>
      <x:c r="C29" t="n">
        <x:v>4</x:v>
      </x:c>
      <x:c r="D29" t="n">
        <x:v>3</x:v>
      </x:c>
      <x:c r="E29" t="n">
        <x:v>0</x:v>
      </x:c>
      <x:c r="F29" t="inlineStr">
        <x:is>
          <x:t xml:space="preserve">DONE</x:t>
        </x:is>
      </x:c>
    </x:row>
    <x:row r="30">
      <x:c r="A30" t="n">
        <x:v>12</x:v>
      </x:c>
      <x:c r="B30" t="inlineStr">
        <x:is>
          <x:t xml:space="preserve">Full book screened first-pass</x:t>
        </x:is>
      </x:c>
      <x:c r="C30" t="n">
        <x:v>4</x:v>
      </x:c>
      <x:c r="D30" t="n">
        <x:v>3</x:v>
      </x:c>
      <x:c r="E30" t="n">
        <x:v>0</x:v>
      </x:c>
      <x:c r="F30" t="inlineStr">
        <x:is>
          <x:t xml:space="preserve">DONE</x:t>
        </x:is>
      </x:c>
    </x:row>
    <x:row r="32">
      <x:c r="A32" s="134" t="inlineStr">
        <x:is>
          <x:t xml:space="preserve">Story/Scene ID</x:t>
        </x:is>
      </x:c>
      <x:c r="B32" s="134" t="inlineStr">
        <x:is>
          <x:t xml:space="preserve">Tên</x:t>
        </x:is>
      </x:c>
      <x:c r="C32" s="134" t="inlineStr">
        <x:is>
          <x:t xml:space="preserve">Book</x:t>
        </x:is>
      </x:c>
      <x:c r="D32" s="134" t="inlineStr">
        <x:is>
          <x:t xml:space="preserve">Selflo Fit</x:t>
        </x:is>
      </x:c>
    </x:row>
    <x:row r="33">
      <x:c r="A33" t="inlineStr">
        <x:is>
          <x:t xml:space="preserve">story.marcus.day8.morning_difficult_people</x:t>
        </x:is>
      </x:c>
      <x:c r="B33" t="inlineStr">
        <x:is>
          <x:t xml:space="preserve">Buổi sáng trước khi gặp người khó chịu</x:t>
        </x:is>
      </x:c>
      <x:c r="C33" t="n">
        <x:v>2</x:v>
      </x:c>
      <x:c r="D33" t="inlineStr">
        <x:is>
          <x:t xml:space="preserve">High</x:t>
        </x:is>
      </x:c>
    </x:row>
    <x:row r="34">
      <x:c r="A34" t="inlineStr">
        <x:is>
          <x:t xml:space="preserve">story.marcus.day8.inner_retreat</x:t>
        </x:is>
      </x:c>
      <x:c r="B34" t="inlineStr">
        <x:is>
          <x:t xml:space="preserve">Nơi trú không cần rời đi đâu</x:t>
        </x:is>
      </x:c>
      <x:c r="C34" t="n">
        <x:v>4</x:v>
      </x:c>
      <x:c r="D34" t="inlineStr">
        <x:is>
          <x:t xml:space="preserve">High</x:t>
        </x:is>
      </x:c>
    </x:row>
    <x:row r="35">
      <x:c r="A35" t="inlineStr">
        <x:is>
          <x:t xml:space="preserve">story.marcus.day8_getting_out_of_bed</x:t>
        </x:is>
      </x:c>
      <x:c r="B35" t="inlineStr">
        <x:is>
          <x:t xml:space="preserve">Sáng không muốn rời giường</x:t>
        </x:is>
      </x:c>
      <x:c r="C35" t="n">
        <x:v>5</x:v>
      </x:c>
      <x:c r="D35" t="inlineStr">
        <x:is>
          <x:t xml:space="preserve">Medium</x:t>
        </x:is>
      </x:c>
    </x:row>
    <x:row r="36">
      <x:c r="A36" t="inlineStr">
        <x:is>
          <x:t xml:space="preserve">story.marcus.day8_return_to_self</x:t>
        </x:is>
      </x:c>
      <x:c r="B36" t="inlineStr">
        <x:is>
          <x:t xml:space="preserve">Bị kéo lệch rồi quay lại</x:t>
        </x:is>
      </x:c>
      <x:c r="C36" t="n">
        <x:v>6</x:v>
      </x:c>
      <x:c r="D36" t="inlineStr">
        <x:is>
          <x:t xml:space="preserve">High</x:t>
        </x:is>
      </x:c>
    </x:row>
  </x:sheetData>
  <x:mergeCells>
    <x:mergeCell ref="A1:F1"/>
  </x:mergeCells>
  <x:pageMargins left="0.7" right="0.7" top="0.75" bottom="0.75" header="0.3" footer="0.3"/>
</x:worksheet>
</file>

<file path=xl/worksheets/sheet25.xml><?xml version="1.0" encoding="utf-8"?>
<x:worksheet xmlns:x="http://schemas.openxmlformats.org/spreadsheetml/2006/main">
  <x:sheetFormatPr baseColWidth="8" defaultRowHeight="15"/>
  <x:cols>
    <x:col min="1" max="1" width="30" style="72" customWidth="1"/>
    <x:col min="2" max="2" width="100" style="72" customWidth="1"/>
    <x:col min="3" max="3" width="18" style="72" customWidth="1"/>
    <x:col min="4" max="4" width="18" style="72" customWidth="1"/>
    <x:col min="5" max="5" width="18" style="72" customWidth="1"/>
    <x:col min="6" max="6" width="18" style="72" customWidth="1"/>
  </x:cols>
  <x:sheetData>
    <x:row r="1">
      <x:c r="A1" s="143" t="inlineStr">
        <x:is>
          <x:t xml:space="preserve">DAY 9 — SENECA — FULL THEMATIC FIRST-PASS AUDIT</x:t>
        </x:is>
      </x:c>
      <x:c r="B1" s="1" t="n"/>
      <x:c r="C1" s="1" t="n"/>
      <x:c r="D1" s="1" t="n"/>
      <x:c r="E1" s="1" t="n"/>
      <x:c r="F1" s="1" t="n"/>
    </x:row>
    <x:row r="2">
      <x:c r="A2" s="145" t="n"/>
      <x:c r="B2" s="145" t="n"/>
      <x:c r="C2" s="145" t="n"/>
      <x:c r="D2" s="145" t="n"/>
      <x:c r="E2" s="145" t="n"/>
      <x:c r="F2" s="145" t="n"/>
    </x:row>
    <x:row r="3">
      <x:c r="A3" s="136" t="inlineStr">
        <x:is>
          <x:t xml:space="preserve">Scope</x:t>
        </x:is>
      </x:c>
      <x:c r="B3" s="136" t="inlineStr">
        <x:is>
          <x:t xml:space="preserve">Epistulae Morales ad Lucilium (124 letters) + targeted moral essays: De Brevitate Vitae, De Tranquillitate Animi, De Otio, De Ira; De Providentia checked for scope.</x:t>
        </x:is>
      </x:c>
      <x:c r="C3" s="136" t="n"/>
      <x:c r="D3" s="136" t="n"/>
      <x:c r="E3" s="136" t="n"/>
      <x:c r="F3" s="136" t="n"/>
    </x:row>
    <x:row r="4">
      <x:c r="A4" s="136" t="inlineStr">
        <x:is>
          <x:t xml:space="preserve">Quote / passage candidates</x:t>
        </x:is>
      </x:c>
      <x:c r="B4" s="136" t="n">
        <x:v>61</x:v>
      </x:c>
      <x:c r="C4" s="136" t="n"/>
      <x:c r="D4" s="136" t="n"/>
      <x:c r="E4" s="136" t="n"/>
      <x:c r="F4" s="136" t="n"/>
    </x:row>
    <x:row r="5">
      <x:c r="A5" s="136" t="inlineStr">
        <x:is>
          <x:t xml:space="preserve">Traceable scenes / textual episodes</x:t>
        </x:is>
      </x:c>
      <x:c r="B5" s="136" t="n">
        <x:v>6</x:v>
      </x:c>
      <x:c r="C5" s="136" t="n"/>
      <x:c r="D5" s="136" t="n"/>
      <x:c r="E5" s="136" t="n"/>
      <x:c r="F5" s="136" t="n"/>
    </x:row>
    <x:row r="6">
      <x:c r="A6" s="136" t="inlineStr">
        <x:is>
          <x:t xml:space="preserve">Principle seeds</x:t>
        </x:is>
      </x:c>
      <x:c r="B6" s="136" t="n">
        <x:v>12</x:v>
      </x:c>
      <x:c r="C6" s="136" t="n"/>
      <x:c r="D6" s="136" t="n"/>
      <x:c r="E6" s="136" t="n"/>
      <x:c r="F6" s="136" t="n"/>
    </x:row>
    <x:row r="7">
      <x:c r="A7" s="136" t="inlineStr">
        <x:is>
          <x:t xml:space="preserve">Primary-source policy</x:t>
        </x:is>
      </x:c>
      <x:c r="B7" s="136" t="inlineStr">
        <x:is>
          <x:t xml:space="preserve">Latin retained; Perseus institutional catalog/edition metadata + Latin Wikisource navigable primary text.</x:t>
        </x:is>
      </x:c>
      <x:c r="C7" s="136" t="n"/>
      <x:c r="D7" s="136" t="n"/>
      <x:c r="E7" s="136" t="n"/>
      <x:c r="F7" s="136" t="n"/>
    </x:row>
    <x:row r="8">
      <x:c r="A8" s="136" t="inlineStr">
        <x:is>
          <x:t xml:space="preserve">Translation policy</x:t>
        </x:is>
      </x:c>
      <x:c r="B8" s="136" t="inlineStr">
        <x:is>
          <x:t xml:space="preserve">Vietnamese is Selflo working translation/adaptation; never presented as a published translation.</x:t>
        </x:is>
      </x:c>
      <x:c r="C8" s="136" t="n"/>
      <x:c r="D8" s="136" t="n"/>
      <x:c r="E8" s="136" t="n"/>
      <x:c r="F8" s="136" t="n"/>
    </x:row>
    <x:row r="9">
      <x:c r="A9" s="136" t="inlineStr">
        <x:is>
          <x:t xml:space="preserve">Story policy</x:t>
        </x:is>
      </x:c>
      <x:c r="B9" s="136" t="inlineStr">
        <x:is>
          <x:t xml:space="preserve">Only scenes explicitly present in Seneca's letters/essays; no invented biography/dialogue.</x:t>
        </x:is>
      </x:c>
      <x:c r="C9" s="136" t="n"/>
      <x:c r="D9" s="136" t="n"/>
      <x:c r="E9" s="136" t="n"/>
      <x:c r="F9" s="136" t="n"/>
    </x:row>
    <x:row r="10">
      <x:c r="A10" s="136" t="inlineStr">
        <x:is>
          <x:t xml:space="preserve">Editorial caution</x:t>
        </x:is>
      </x:c>
      <x:c r="B10" s="136" t="inlineStr">
        <x:is>
          <x:t xml:space="preserve">Seneca can become overly directive, ascetic, mortality-heavy or dismissive of external harm if excerpted carelessly.</x:t>
        </x:is>
      </x:c>
      <x:c r="C10" s="136" t="n"/>
      <x:c r="D10" s="136" t="n"/>
      <x:c r="E10" s="136" t="n"/>
      <x:c r="F10" s="136" t="n"/>
    </x:row>
    <x:row r="11">
      <x:c r="A11" s="136" t="inlineStr">
        <x:is>
          <x:t xml:space="preserve">Strong Selflo lanes</x:t>
        </x:is>
      </x:c>
      <x:c r="B11" s="136" t="inlineStr">
        <x:is>
          <x:t xml:space="preserve">time/attention; busyness; recovery after-effects; inner vs outer quiet; judgment vs crowd; enoughness; anger pause; dignity/power; learning-for-life.</x:t>
        </x:is>
      </x:c>
      <x:c r="C11" s="136" t="n"/>
      <x:c r="D11" s="136" t="n"/>
      <x:c r="E11" s="136" t="n"/>
      <x:c r="F11" s="136" t="n"/>
    </x:row>
    <x:row r="12">
      <x:c r="A12" s="136" t="inlineStr">
        <x:is>
          <x:t xml:space="preserve">AI-age relevance</x:t>
        </x:is>
      </x:c>
      <x:c r="B12" s="136" t="inlineStr">
        <x:is>
          <x:t xml:space="preserve">Crowd/authority does not replace judgment; accumulation of knowledge does not equal living understanding; attention remains scarce.</x:t>
        </x:is>
      </x:c>
      <x:c r="C12" s="136" t="n"/>
      <x:c r="D12" s="136" t="n"/>
      <x:c r="E12" s="136" t="n"/>
      <x:c r="F12" s="136" t="n"/>
    </x:row>
    <x:row r="13">
      <x:c r="A13" s="136" t="inlineStr">
        <x:is>
          <x:t xml:space="preserve">Completion gate</x:t>
        </x:is>
      </x:c>
      <x:c r="B13" s="136" t="inlineStr">
        <x:is>
          <x:t xml:space="preserve">PASS — full Day 9 thematic scope completed; not a claim that every sentence in Seneca corpus was extracted.</x:t>
        </x:is>
      </x:c>
      <x:c r="C13" s="136" t="n"/>
      <x:c r="D13" s="136" t="n"/>
      <x:c r="E13" s="136" t="n"/>
      <x:c r="F13" s="136" t="n"/>
    </x:row>
    <x:row r="14">
      <x:c r="A14" s="136" t="inlineStr">
        <x:is>
          <x:t xml:space="preserve">Day status</x:t>
        </x:is>
      </x:c>
      <x:c r="B14" s="136" t="inlineStr">
        <x:is>
          <x:t xml:space="preserve">DONE</x:t>
        </x:is>
      </x:c>
      <x:c r="C14" s="136" t="n"/>
      <x:c r="D14" s="136" t="n"/>
      <x:c r="E14" s="136" t="n"/>
      <x:c r="F14" s="136" t="n"/>
    </x:row>
  </x:sheetData>
  <x:mergeCells>
    <x:mergeCell ref="A1:F1"/>
  </x:mergeCells>
  <x:pageMargins left="0.7" right="0.7" top="0.75" bottom="0.75" header="0.3" footer="0.3"/>
</x:worksheet>
</file>

<file path=xl/worksheets/sheet26.xml><?xml version="1.0" encoding="utf-8"?>
<x:worksheet xmlns:x="http://schemas.openxmlformats.org/spreadsheetml/2006/main">
  <x:sheetFormatPr baseColWidth="8" defaultRowHeight="15"/>
  <x:cols>
    <x:col min="1" max="1" width="30" style="72" customWidth="1"/>
    <x:col min="2" max="2" width="105" style="72" customWidth="1"/>
    <x:col min="3" max="3" width="18" style="72" customWidth="1"/>
    <x:col min="4" max="4" width="18" style="72" customWidth="1"/>
    <x:col min="5" max="5" width="18" style="72" customWidth="1"/>
    <x:col min="6" max="6" width="18" style="72" customWidth="1"/>
  </x:cols>
  <x:sheetData>
    <x:row r="1">
      <x:c r="A1" s="143" t="inlineStr">
        <x:is>
          <x:t xml:space="preserve">DAY 10 — MUSONIUS RUFUS — FULL SURVIVING-CORPUS FIRST-PASS AUDIT</x:t>
        </x:is>
      </x:c>
      <x:c r="B1" s="1" t="n"/>
      <x:c r="C1" s="1" t="n"/>
      <x:c r="D1" s="1" t="n"/>
      <x:c r="E1" s="1" t="n"/>
      <x:c r="F1" s="1" t="n"/>
    </x:row>
    <x:row r="2">
      <x:c r="A2" s="136" t="n"/>
      <x:c r="B2" s="136" t="n"/>
      <x:c r="C2" s="136" t="n"/>
      <x:c r="D2" s="136" t="n"/>
      <x:c r="E2" s="136" t="n"/>
      <x:c r="F2" s="136" t="n"/>
    </x:row>
    <x:row r="3">
      <x:c r="A3" s="136" t="inlineStr">
        <x:is>
          <x:t xml:space="preserve">Scope</x:t>
        </x:is>
      </x:c>
      <x:c r="B3" s="136" t="inlineStr">
        <x:is>
          <x:t xml:space="preserve">All 21 surviving discourse topics + fragment/apophthegm tradition screened first-pass.</x:t>
        </x:is>
      </x:c>
      <x:c r="C3" s="136" t="n"/>
      <x:c r="D3" s="136" t="n"/>
      <x:c r="E3" s="136" t="n"/>
      <x:c r="F3" s="136" t="n"/>
    </x:row>
    <x:row r="4">
      <x:c r="A4" s="136" t="inlineStr">
        <x:is>
          <x:t xml:space="preserve">Quote/passages</x:t>
        </x:is>
      </x:c>
      <x:c r="B4" s="136" t="n">
        <x:v>38</x:v>
      </x:c>
      <x:c r="C4" s="136" t="n"/>
      <x:c r="D4" s="136" t="n"/>
      <x:c r="E4" s="136" t="n"/>
      <x:c r="F4" s="136" t="n"/>
    </x:row>
    <x:row r="5">
      <x:c r="A5" s="136" t="inlineStr">
        <x:is>
          <x:t xml:space="preserve">Traceable stories/testimonia</x:t>
        </x:is>
      </x:c>
      <x:c r="B5" s="136" t="n">
        <x:v>5</x:v>
      </x:c>
      <x:c r="C5" s="136" t="n"/>
      <x:c r="D5" s="136" t="n"/>
      <x:c r="E5" s="136" t="n"/>
      <x:c r="F5" s="136" t="n"/>
    </x:row>
    <x:row r="6">
      <x:c r="A6" s="136" t="inlineStr">
        <x:is>
          <x:t xml:space="preserve">Principle seeds</x:t>
        </x:is>
      </x:c>
      <x:c r="B6" s="136" t="n">
        <x:v>12</x:v>
      </x:c>
      <x:c r="C6" s="136" t="n"/>
      <x:c r="D6" s="136" t="n"/>
      <x:c r="E6" s="136" t="n"/>
      <x:c r="F6" s="136" t="n"/>
    </x:row>
    <x:row r="7">
      <x:c r="A7" s="136" t="inlineStr">
        <x:is>
          <x:t xml:space="preserve">Textual-status warning</x:t>
        </x:is>
      </x:c>
      <x:c r="B7" s="136" t="inlineStr">
        <x:is>
          <x:t xml:space="preserve">No writings by Musonius survive directly; teachings are preserved by Lucius/other compilers, chiefly through Stobaeus; some testimonia are Latin.</x:t>
        </x:is>
      </x:c>
      <x:c r="C7" s="136" t="n"/>
      <x:c r="D7" s="136" t="n"/>
      <x:c r="E7" s="136" t="n"/>
      <x:c r="F7" s="136" t="n"/>
    </x:row>
    <x:row r="8">
      <x:c r="A8" s="136" t="inlineStr">
        <x:is>
          <x:t xml:space="preserve">Original-language policy</x:t>
        </x:is>
      </x:c>
      <x:c r="B8" s="136" t="inlineStr">
        <x:is>
          <x:t xml:space="preserve">Unlike Days 7–9, this pass does NOT pretend to have passage-level Greek where it was not directly verified. Original field is explicitly marked pending.</x:t>
        </x:is>
      </x:c>
      <x:c r="C8" s="136" t="n"/>
      <x:c r="D8" s="136" t="n"/>
      <x:c r="E8" s="136" t="n"/>
      <x:c r="F8" s="136" t="n"/>
    </x:row>
    <x:row r="9">
      <x:c r="A9" s="136" t="inlineStr">
        <x:is>
          <x:t xml:space="preserve">Release gate</x:t>
        </x:is>
      </x:c>
      <x:c r="B9" s="136" t="inlineStr">
        <x:is>
          <x:t xml:space="preserve">No Day 10 paraphrase may be released as a direct Musonius quote until Greek is checked against Hense 1905/public-domain edition and freshly translated.</x:t>
        </x:is>
      </x:c>
      <x:c r="C9" s="136" t="n"/>
      <x:c r="D9" s="136" t="n"/>
      <x:c r="E9" s="136" t="n"/>
      <x:c r="F9" s="136" t="n"/>
    </x:row>
    <x:row r="10">
      <x:c r="A10" s="136" t="inlineStr">
        <x:is>
          <x:t xml:space="preserve">Strong Selflo coverage</x:t>
        </x:is>
      </x:c>
      <x:c r="B10" s="136" t="inlineStr">
        <x:is>
          <x:t xml:space="preserve">knowing vs practice; few clear reasons vs argument overload; work as life design; respect vs blind obedience; dignity/equality; enoughness; capacity; power/responsibility.</x:t>
        </x:is>
      </x:c>
      <x:c r="C10" s="136" t="n"/>
      <x:c r="D10" s="136" t="n"/>
      <x:c r="E10" s="136" t="n"/>
      <x:c r="F10" s="136" t="n"/>
    </x:row>
    <x:row r="11">
      <x:c r="A11" s="136" t="inlineStr">
        <x:is>
          <x:t xml:space="preserve">Major editorial risk</x:t>
        </x:is>
      </x:c>
      <x:c r="B11" s="136" t="inlineStr">
        <x:is>
          <x:t xml:space="preserve">Musonius can sound austere, ascetic, patriarchal, or overly approving of hardship when decontextualized. Historical claims about sex, marriage, children and pain require strong context.</x:t>
        </x:is>
      </x:c>
      <x:c r="C11" s="136" t="n"/>
      <x:c r="D11" s="136" t="n"/>
      <x:c r="E11" s="136" t="n"/>
      <x:c r="F11" s="136" t="n"/>
    </x:row>
    <x:row r="12">
      <x:c r="A12" s="136" t="inlineStr">
        <x:is>
          <x:t xml:space="preserve">AI-age relevance</x:t>
        </x:is>
      </x:c>
      <x:c r="B12" s="136" t="inlineStr">
        <x:is>
          <x:t xml:space="preserve">More arguments ≠ better judgment; philosophy/knowledge must alter lived capability; crowd/status/role should not replace human judgment.</x:t>
        </x:is>
      </x:c>
      <x:c r="C12" s="136" t="n"/>
      <x:c r="D12" s="136" t="n"/>
      <x:c r="E12" s="136" t="n"/>
      <x:c r="F12" s="136" t="n"/>
    </x:row>
    <x:row r="13">
      <x:c r="A13" s="136" t="inlineStr">
        <x:is>
          <x:t xml:space="preserve">Story policy</x:t>
        </x:is>
      </x:c>
      <x:c r="B13" s="136" t="inlineStr">
        <x:is>
          <x:t xml:space="preserve">Only teaching scenes/testimonia supported by discourse/reference tradition; uncertain exile details remain explicitly marked testimonia.</x:t>
        </x:is>
      </x:c>
      <x:c r="C13" s="136" t="n"/>
      <x:c r="D13" s="136" t="n"/>
      <x:c r="E13" s="136" t="n"/>
      <x:c r="F13" s="136" t="n"/>
    </x:row>
    <x:row r="14">
      <x:c r="A14" s="136" t="inlineStr">
        <x:is>
          <x:t xml:space="preserve">Completion gate</x:t>
        </x:is>
      </x:c>
      <x:c r="B14" s="136" t="inlineStr">
        <x:is>
          <x:t xml:space="preserve">PASS for collection/research. FAIL for Release-ready direct quotation until original-language verification.</x:t>
        </x:is>
      </x:c>
      <x:c r="C14" s="136" t="n"/>
      <x:c r="D14" s="136" t="n"/>
      <x:c r="E14" s="136" t="n"/>
      <x:c r="F14" s="136" t="n"/>
    </x:row>
    <x:row r="15">
      <x:c r="A15" s="136" t="inlineStr">
        <x:is>
          <x:t xml:space="preserve">Day status</x:t>
        </x:is>
      </x:c>
      <x:c r="B15" s="136" t="inlineStr">
        <x:is>
          <x:t xml:space="preserve">DONE — research collection</x:t>
        </x:is>
      </x:c>
      <x:c r="C15" s="136" t="n"/>
      <x:c r="D15" s="136" t="n"/>
      <x:c r="E15" s="136" t="n"/>
      <x:c r="F15" s="136" t="n"/>
    </x:row>
  </x:sheetData>
  <x:mergeCells>
    <x:mergeCell ref="A1:F1"/>
  </x:mergeCells>
  <x:pageMargins left="0.7" right="0.7" top="0.75" bottom="0.75" header="0.3" footer="0.3"/>
</x:worksheet>
</file>

<file path=xl/worksheets/sheet27.xml><?xml version="1.0" encoding="utf-8"?>
<x:worksheet xmlns:x="http://schemas.openxmlformats.org/spreadsheetml/2006/main">
  <x:sheetFormatPr baseColWidth="8" defaultRowHeight="15"/>
  <x:cols>
    <x:col min="1" max="1" width="31" style="72" customWidth="1"/>
    <x:col min="2" max="2" width="105" style="72" customWidth="1"/>
    <x:col min="3" max="3" width="18" style="72" customWidth="1"/>
    <x:col min="4" max="4" width="18" style="72" customWidth="1"/>
    <x:col min="5" max="5" width="18" style="72" customWidth="1"/>
    <x:col min="6" max="6" width="18" style="72" customWidth="1"/>
  </x:cols>
  <x:sheetData>
    <x:row r="1">
      <x:c r="A1" s="143" t="inlineStr">
        <x:is>
          <x:t xml:space="preserve">DAY 11 — DHAMMAPADA — FULL 26-CHAPTER / 423-VERSE THEMATIC AUDIT</x:t>
        </x:is>
      </x:c>
      <x:c r="B1" s="1" t="n"/>
      <x:c r="C1" s="1" t="n"/>
      <x:c r="D1" s="1" t="n"/>
      <x:c r="E1" s="1" t="n"/>
      <x:c r="F1" s="1" t="n"/>
    </x:row>
    <x:row r="2">
      <x:c r="A2" s="136" t="n"/>
      <x:c r="B2" s="136" t="n"/>
      <x:c r="C2" s="136" t="n"/>
      <x:c r="D2" s="136" t="n"/>
      <x:c r="E2" s="136" t="n"/>
      <x:c r="F2" s="136" t="n"/>
    </x:row>
    <x:row r="3">
      <x:c r="A3" s="136" t="inlineStr">
        <x:is>
          <x:t xml:space="preserve">Scope</x:t>
        </x:is>
      </x:c>
      <x:c r="B3" s="136" t="inlineStr">
        <x:is>
          <x:t xml:space="preserve">Dhammapada, all 26 chapters / 423 verses screened; collection retains Selflo-relevant candidates rather than mechanically copying all 423.</x:t>
        </x:is>
      </x:c>
      <x:c r="C3" s="136" t="n"/>
      <x:c r="D3" s="136" t="n"/>
      <x:c r="E3" s="136" t="n"/>
      <x:c r="F3" s="136" t="n"/>
    </x:row>
    <x:row r="4">
      <x:c r="A4" s="136" t="inlineStr">
        <x:is>
          <x:t xml:space="preserve">Selected quote/passages</x:t>
        </x:is>
      </x:c>
      <x:c r="B4" s="136" t="n">
        <x:v>49</x:v>
      </x:c>
      <x:c r="C4" s="136" t="n"/>
      <x:c r="D4" s="136" t="n"/>
      <x:c r="E4" s="136" t="n"/>
      <x:c r="F4" s="136" t="n"/>
    </x:row>
    <x:row r="5">
      <x:c r="A5" s="136" t="inlineStr">
        <x:is>
          <x:t xml:space="preserve">Traceable stories/images</x:t>
        </x:is>
      </x:c>
      <x:c r="B5" s="136" t="n">
        <x:v>6</x:v>
      </x:c>
      <x:c r="C5" s="136" t="n"/>
      <x:c r="D5" s="136" t="n"/>
      <x:c r="E5" s="136" t="n"/>
      <x:c r="F5" s="136" t="n"/>
    </x:row>
    <x:row r="6">
      <x:c r="A6" s="136" t="inlineStr">
        <x:is>
          <x:t xml:space="preserve">Principle seeds</x:t>
        </x:is>
      </x:c>
      <x:c r="B6" s="136" t="n">
        <x:v>12</x:v>
      </x:c>
      <x:c r="C6" s="136" t="n"/>
      <x:c r="D6" s="136" t="n"/>
      <x:c r="E6" s="136" t="n"/>
      <x:c r="F6" s="136" t="n"/>
    </x:row>
    <x:row r="7">
      <x:c r="A7" s="136" t="inlineStr">
        <x:is>
          <x:t xml:space="preserve">Primary text</x:t>
        </x:is>
      </x:c>
      <x:c r="B7" s="136" t="inlineStr">
        <x:is>
          <x:t xml:space="preserve">Ancient Buddhist Texts: Pāḷi Dhammapada with line-by-line English translation, 2nd ed. 2017.</x:t>
        </x:is>
      </x:c>
      <x:c r="C7" s="136" t="n"/>
      <x:c r="D7" s="136" t="n"/>
      <x:c r="E7" s="136" t="n"/>
      <x:c r="F7" s="136" t="n"/>
    </x:row>
    <x:row r="8">
      <x:c r="A8" s="136" t="inlineStr">
        <x:is>
          <x:t xml:space="preserve">Original-language policy</x:t>
        </x:is>
      </x:c>
      <x:c r="B8" s="136" t="inlineStr">
        <x:is>
          <x:t xml:space="preserve">Pāḷi retained in Quote Library v2. Vietnamese is a fresh Selflo working translation.</x:t>
        </x:is>
      </x:c>
      <x:c r="C8" s="136" t="n"/>
      <x:c r="D8" s="136" t="n"/>
      <x:c r="E8" s="136" t="n"/>
      <x:c r="F8" s="136" t="n"/>
    </x:row>
    <x:row r="9">
      <x:c r="A9" s="136" t="inlineStr">
        <x:is>
          <x:t xml:space="preserve">Commentary distinction</x:t>
        </x:is>
      </x:c>
      <x:c r="B9" s="136" t="inlineStr">
        <x:is>
          <x:t xml:space="preserve">Dhammapada Commentary stories are later commentarial tradition, not the canonical verses themselves. Excel labels them separately.</x:t>
        </x:is>
      </x:c>
      <x:c r="C9" s="136" t="n"/>
      <x:c r="D9" s="136" t="n"/>
      <x:c r="E9" s="136" t="n"/>
      <x:c r="F9" s="136" t="n"/>
    </x:row>
    <x:row r="10">
      <x:c r="A10" s="136" t="inlineStr">
        <x:is>
          <x:t xml:space="preserve">Story provenance</x:t>
        </x:is>
      </x:c>
      <x:c r="B10" s="136" t="inlineStr">
        <x:is>
          <x:t xml:space="preserve">Commentary collection includes parallels/borrowings from Vinaya, Nikāyas, Udāna, Jātaka and other traditions; provenance must remain visible.</x:t>
        </x:is>
      </x:c>
      <x:c r="C10" s="136" t="n"/>
      <x:c r="D10" s="136" t="n"/>
      <x:c r="E10" s="136" t="n"/>
      <x:c r="F10" s="136" t="n"/>
    </x:row>
    <x:row r="11">
      <x:c r="A11" s="136" t="inlineStr">
        <x:is>
          <x:t xml:space="preserve">Strong Selflo lanes</x:t>
        </x:is>
      </x:c>
      <x:c r="B11" s="136" t="inlineStr">
        <x:is>
          <x:t xml:space="preserve">attention; rumination; anger; values; knowing vs living; information overload; agency; shared humanity; impermanence; companionship/solitude; craving.</x:t>
        </x:is>
      </x:c>
      <x:c r="C11" s="136" t="n"/>
      <x:c r="D11" s="136" t="n"/>
      <x:c r="E11" s="136" t="n"/>
      <x:c r="F11" s="136" t="n"/>
    </x:row>
    <x:row r="12">
      <x:c r="A12" s="136" t="inlineStr">
        <x:is>
          <x:t xml:space="preserve">AI-age relevance</x:t>
        </x:is>
      </x:c>
      <x:c r="B12" s="136" t="inlineStr">
        <x:is>
          <x:t xml:space="preserve">v19–20, 64–65, 100 and 276 strongly support the distinction between abundant words/answers and lived understanding/judgment.</x:t>
        </x:is>
      </x:c>
      <x:c r="C12" s="136" t="n"/>
      <x:c r="D12" s="136" t="n"/>
      <x:c r="E12" s="136" t="n"/>
      <x:c r="F12" s="136" t="n"/>
    </x:row>
    <x:row r="13">
      <x:c r="A13" s="136" t="inlineStr">
        <x:is>
          <x:t xml:space="preserve">Editorial risks</x:t>
        </x:is>
      </x:c>
      <x:c r="B13" s="136" t="inlineStr">
        <x:is>
          <x:t xml:space="preserve">Religious/doctrinal cosmology, moralized karma language, asceticism and absolute directives should not be silently converted into universal mental-health claims.</x:t>
        </x:is>
      </x:c>
      <x:c r="C13" s="136" t="n"/>
      <x:c r="D13" s="136" t="n"/>
      <x:c r="E13" s="136" t="n"/>
      <x:c r="F13" s="136" t="n"/>
    </x:row>
    <x:row r="14">
      <x:c r="A14" s="136" t="inlineStr">
        <x:is>
          <x:t xml:space="preserve">Release gate</x:t>
        </x:is>
      </x:c>
      <x:c r="B14" s="136" t="inlineStr">
        <x:is>
          <x:t xml:space="preserve">Each candidate still requires owner review, semantic dedupe, contextual translation review and attribution/rights check.</x:t>
        </x:is>
      </x:c>
      <x:c r="C14" s="136" t="n"/>
      <x:c r="D14" s="136" t="n"/>
      <x:c r="E14" s="136" t="n"/>
      <x:c r="F14" s="136" t="n"/>
    </x:row>
    <x:row r="15">
      <x:c r="A15" s="136" t="inlineStr">
        <x:is>
          <x:t xml:space="preserve">Completion gate</x:t>
        </x:is>
      </x:c>
      <x:c r="B15" s="136" t="inlineStr">
        <x:is>
          <x:t xml:space="preserve">PASS — Day 11 full thematic screening completed.</x:t>
        </x:is>
      </x:c>
      <x:c r="C15" s="136" t="n"/>
      <x:c r="D15" s="136" t="n"/>
      <x:c r="E15" s="136" t="n"/>
      <x:c r="F15" s="136" t="n"/>
    </x:row>
    <x:row r="16">
      <x:c r="A16" s="136" t="inlineStr">
        <x:is>
          <x:t xml:space="preserve">Day status</x:t>
        </x:is>
      </x:c>
      <x:c r="B16" s="136" t="inlineStr">
        <x:is>
          <x:t xml:space="preserve">DONE</x:t>
        </x:is>
      </x:c>
      <x:c r="C16" s="136" t="n"/>
      <x:c r="D16" s="136" t="n"/>
      <x:c r="E16" s="136" t="n"/>
      <x:c r="F16" s="136" t="n"/>
    </x:row>
  </x:sheetData>
  <x:mergeCells>
    <x:mergeCell ref="A1:F1"/>
  </x:mergeCells>
  <x:pageMargins left="0.7" right="0.7" top="0.75" bottom="0.75" header="0.3" footer="0.3"/>
</x:worksheet>
</file>

<file path=xl/worksheets/sheet28.xml><?xml version="1.0" encoding="utf-8"?>
<x:worksheet xmlns:x="http://schemas.openxmlformats.org/spreadsheetml/2006/main">
  <x:sheetFormatPr baseColWidth="8" defaultRowHeight="15"/>
  <x:cols>
    <x:col min="1" max="1" width="31" style="72" customWidth="1"/>
    <x:col min="2" max="2" width="108" style="72" customWidth="1"/>
    <x:col min="3" max="3" width="18" style="72" customWidth="1"/>
    <x:col min="4" max="4" width="18" style="72" customWidth="1"/>
    <x:col min="5" max="5" width="18" style="72" customWidth="1"/>
    <x:col min="6" max="6" width="18" style="72" customWidth="1"/>
  </x:cols>
  <x:sheetData>
    <x:row r="1">
      <x:c r="A1" s="143" t="inlineStr">
        <x:is>
          <x:t xml:space="preserve">DAY 12 — MAJJHIMA NIKĀYA — SELECTED SUTTAS FULL SCOPE AUDIT</x:t>
        </x:is>
      </x:c>
      <x:c r="B1" s="1" t="n"/>
      <x:c r="C1" s="1" t="n"/>
      <x:c r="D1" s="1" t="n"/>
      <x:c r="E1" s="1" t="n"/>
      <x:c r="F1" s="1" t="n"/>
    </x:row>
    <x:row r="2">
      <x:c r="A2" s="136" t="n"/>
      <x:c r="B2" s="136" t="n"/>
      <x:c r="C2" s="136" t="n"/>
      <x:c r="D2" s="136" t="n"/>
      <x:c r="E2" s="136" t="n"/>
      <x:c r="F2" s="136" t="n"/>
    </x:row>
    <x:row r="3">
      <x:c r="A3" s="136" t="inlineStr">
        <x:is>
          <x:t xml:space="preserve">Plan scope</x:t>
        </x:is>
      </x:c>
      <x:c r="B3" s="136" t="inlineStr">
        <x:is>
          <x:t xml:space="preserve">Majjhima Nikāya — Selected suttas; passages + sourced metaphors/parables such as the raft.</x:t>
        </x:is>
      </x:c>
      <x:c r="C3" s="136" t="n"/>
      <x:c r="D3" s="136" t="n"/>
      <x:c r="E3" s="136" t="n"/>
      <x:c r="F3" s="136" t="n"/>
    </x:row>
    <x:row r="4">
      <x:c r="A4" s="136" t="inlineStr">
        <x:is>
          <x:t xml:space="preserve">Suttas screened/materialized</x:t>
        </x:is>
      </x:c>
      <x:c r="B4" s="136" t="inlineStr">
        <x:is>
          <x:t xml:space="preserve">MN 10, 19, 20, 21, 22, 27, 39, 58, 61, 62, 118, 131, 140.</x:t>
        </x:is>
      </x:c>
      <x:c r="C4" s="136" t="n"/>
      <x:c r="D4" s="136" t="n"/>
      <x:c r="E4" s="136" t="n"/>
      <x:c r="F4" s="136" t="n"/>
    </x:row>
    <x:row r="5">
      <x:c r="A5" s="136" t="inlineStr">
        <x:is>
          <x:t xml:space="preserve">Quote/passage candidates</x:t>
        </x:is>
      </x:c>
      <x:c r="B5" s="136" t="n">
        <x:v>30</x:v>
      </x:c>
      <x:c r="C5" s="136" t="n"/>
      <x:c r="D5" s="136" t="n"/>
      <x:c r="E5" s="136" t="n"/>
      <x:c r="F5" s="136" t="n"/>
    </x:row>
    <x:row r="6">
      <x:c r="A6" s="136" t="inlineStr">
        <x:is>
          <x:t xml:space="preserve">Canonical stories/similes</x:t>
        </x:is>
      </x:c>
      <x:c r="B6" s="136" t="n">
        <x:v>7</x:v>
      </x:c>
      <x:c r="C6" s="136" t="n"/>
      <x:c r="D6" s="136" t="n"/>
      <x:c r="E6" s="136" t="n"/>
      <x:c r="F6" s="136" t="n"/>
    </x:row>
    <x:row r="7">
      <x:c r="A7" s="136" t="inlineStr">
        <x:is>
          <x:t xml:space="preserve">Principle seeds</x:t>
        </x:is>
      </x:c>
      <x:c r="B7" s="136" t="n">
        <x:v>13</x:v>
      </x:c>
      <x:c r="C7" s="136" t="n"/>
      <x:c r="D7" s="136" t="n"/>
      <x:c r="E7" s="136" t="n"/>
      <x:c r="F7" s="136" t="n"/>
    </x:row>
    <x:row r="8">
      <x:c r="A8" s="136" t="inlineStr">
        <x:is>
          <x:t xml:space="preserve">Primary source policy</x:t>
        </x:is>
      </x:c>
      <x:c r="B8" s="136" t="inlineStr">
        <x:is>
          <x:t xml:space="preserve">SuttaCentral Pāḷi canonical pages used as primary anchors; authoritative translations used only to understand/cross-check.</x:t>
        </x:is>
      </x:c>
      <x:c r="C8" s="136" t="n"/>
      <x:c r="D8" s="136" t="n"/>
      <x:c r="E8" s="136" t="n"/>
      <x:c r="F8" s="136" t="n"/>
    </x:row>
    <x:row r="9">
      <x:c r="A9" s="136" t="inlineStr">
        <x:is>
          <x:t xml:space="preserve">Original-language policy</x:t>
        </x:is>
      </x:c>
      <x:c r="B9" s="136" t="inlineStr">
        <x:is>
          <x:t xml:space="preserve">Exact Pāḷi appears only when directly verified. Longer source-derived summaries are explicitly marked paraphrase, never fake verbatim.</x:t>
        </x:is>
      </x:c>
      <x:c r="C9" s="136" t="n"/>
      <x:c r="D9" s="136" t="n"/>
      <x:c r="E9" s="136" t="n"/>
      <x:c r="F9" s="136" t="n"/>
    </x:row>
    <x:row r="10">
      <x:c r="A10" s="136" t="inlineStr">
        <x:is>
          <x:t xml:space="preserve">Strong Selflo coverage</x:t>
        </x:is>
      </x:c>
      <x:c r="B10" s="136" t="inlineStr">
        <x:is>
          <x:t xml:space="preserve">attention; thought ≠ identity; rumination; response agency; learning/misuse; letting go of tools; verification; speech; responsibility without identity collapse; emotional capacity; present experience.</x:t>
        </x:is>
      </x:c>
      <x:c r="C10" s="136" t="n"/>
      <x:c r="D10" s="136" t="n"/>
      <x:c r="E10" s="136" t="n"/>
      <x:c r="F10" s="136" t="n"/>
    </x:row>
    <x:row r="11">
      <x:c r="A11" s="136" t="inlineStr">
        <x:is>
          <x:t xml:space="preserve">AI-age relevance</x:t>
        </x:is>
      </x:c>
      <x:c r="B11" s="136" t="inlineStr">
        <x:is>
          <x:t xml:space="preserve">MN 22: correct knowledge can be held wrongly. MN 27: initial evidence is not final certainty. MN 58: true/beneficial/timely are distinct. These strongly support Selflo's judgment-over-answer-abundance direction.</x:t>
        </x:is>
      </x:c>
      <x:c r="C11" s="136" t="n"/>
      <x:c r="D11" s="136" t="n"/>
      <x:c r="E11" s="136" t="n"/>
      <x:c r="F11" s="136" t="n"/>
    </x:row>
    <x:row r="12">
      <x:c r="A12" s="136" t="inlineStr">
        <x:is>
          <x:t xml:space="preserve">Story policy</x:t>
        </x:is>
      </x:c>
      <x:c r="B12" s="136" t="inlineStr">
        <x:is>
          <x:t xml:space="preserve">Only canonical similes/narrative episodes: raft, snake, elephant footprints, Abhaya's child, Rāhula's mirror, elements, Pukkusāti. No later commentary story presented as canonical.</x:t>
        </x:is>
      </x:c>
      <x:c r="C12" s="136" t="n"/>
      <x:c r="D12" s="136" t="n"/>
      <x:c r="E12" s="136" t="n"/>
      <x:c r="F12" s="136" t="n"/>
    </x:row>
    <x:row r="13">
      <x:c r="A13" s="136" t="inlineStr">
        <x:is>
          <x:t xml:space="preserve">Editorial risks</x:t>
        </x:is>
      </x:c>
      <x:c r="B13" s="136" t="inlineStr">
        <x:is>
          <x:t xml:space="preserve">MN texts contain doctrinal, ascetic, rebirth and liberation contexts. Avoid extracting therapeutic promises or victim-blaming from teachings on endurance/response.</x:t>
        </x:is>
      </x:c>
      <x:c r="C13" s="136" t="n"/>
      <x:c r="D13" s="136" t="n"/>
      <x:c r="E13" s="136" t="n"/>
      <x:c r="F13" s="136" t="n"/>
    </x:row>
    <x:row r="14">
      <x:c r="A14" s="136" t="inlineStr">
        <x:is>
          <x:t xml:space="preserve">Overlap risk</x:t>
        </x:is>
      </x:c>
      <x:c r="B14" s="136" t="inlineStr">
        <x:is>
          <x:t xml:space="preserve">High with Day 11 Dhammapada on attention, impermanence, anger and agency; Day 12's strongest unique contribution is extended simile/context and epistemic judgment.</x:t>
        </x:is>
      </x:c>
      <x:c r="C14" s="136" t="n"/>
      <x:c r="D14" s="136" t="n"/>
      <x:c r="E14" s="136" t="n"/>
      <x:c r="F14" s="136" t="n"/>
    </x:row>
    <x:row r="15">
      <x:c r="A15" s="136" t="inlineStr">
        <x:is>
          <x:t xml:space="preserve">Release gate</x:t>
        </x:is>
      </x:c>
      <x:c r="B15" s="136" t="inlineStr">
        <x:is>
          <x:t xml:space="preserve">Owner review + semantic dedupe + translation review + context review required.</x:t>
        </x:is>
      </x:c>
      <x:c r="C15" s="136" t="n"/>
      <x:c r="D15" s="136" t="n"/>
      <x:c r="E15" s="136" t="n"/>
      <x:c r="F15" s="136" t="n"/>
    </x:row>
    <x:row r="16">
      <x:c r="A16" s="136" t="inlineStr">
        <x:is>
          <x:t xml:space="preserve">Completion gate</x:t>
        </x:is>
      </x:c>
      <x:c r="B16" s="136" t="inlineStr">
        <x:is>
          <x:t xml:space="preserve">PASS — full selected-sutta Day 12 plan scope completed; this is not an exhaustive extraction of all 152 MN suttas.</x:t>
        </x:is>
      </x:c>
      <x:c r="C16" s="136" t="n"/>
      <x:c r="D16" s="136" t="n"/>
      <x:c r="E16" s="136" t="n"/>
      <x:c r="F16" s="136" t="n"/>
    </x:row>
    <x:row r="17">
      <x:c r="A17" s="136" t="inlineStr">
        <x:is>
          <x:t xml:space="preserve">Day status</x:t>
        </x:is>
      </x:c>
      <x:c r="B17" s="136" t="inlineStr">
        <x:is>
          <x:t xml:space="preserve">DONE</x:t>
        </x:is>
      </x:c>
      <x:c r="C17" s="136" t="n"/>
      <x:c r="D17" s="136" t="n"/>
      <x:c r="E17" s="136" t="n"/>
      <x:c r="F17" s="136" t="n"/>
    </x:row>
  </x:sheetData>
  <x:mergeCells>
    <x:mergeCell ref="A1:F1"/>
  </x:mergeCells>
  <x:pageMargins left="0.7" right="0.7" top="0.75" bottom="0.75" header="0.3" footer="0.3"/>
</x:worksheet>
</file>

<file path=xl/worksheets/sheet29.xml><?xml version="1.0" encoding="utf-8"?>
<x:worksheet xmlns:x="http://schemas.openxmlformats.org/spreadsheetml/2006/main">
  <x:sheetFormatPr baseColWidth="8" defaultRowHeight="15"/>
  <x:cols>
    <x:col min="1" max="1" width="31" style="72" customWidth="1"/>
    <x:col min="2" max="2" width="108" style="72" customWidth="1"/>
    <x:col min="3" max="3" width="18" style="72" customWidth="1"/>
    <x:col min="4" max="4" width="18" style="72" customWidth="1"/>
    <x:col min="5" max="5" width="18" style="72" customWidth="1"/>
    <x:col min="6" max="6" width="18" style="72" customWidth="1"/>
  </x:cols>
  <x:sheetData>
    <x:row r="1">
      <x:c r="A1" s="143" t="inlineStr">
        <x:is>
          <x:t xml:space="preserve">DAY 13 — SAṀYUTTA / AṄGUTTARA NIKĀYA — SELECTED SUTTAS AUDIT</x:t>
        </x:is>
      </x:c>
      <x:c r="B1" s="144" t="n"/>
      <x:c r="C1" s="144" t="n"/>
      <x:c r="D1" s="144" t="n"/>
      <x:c r="E1" s="144" t="n"/>
      <x:c r="F1" s="144" t="n"/>
    </x:row>
    <x:row r="2">
      <x:c r="A2" s="136" t="n"/>
      <x:c r="B2" s="136" t="n"/>
      <x:c r="C2" s="136" t="n"/>
      <x:c r="D2" s="136" t="n"/>
      <x:c r="E2" s="136" t="n"/>
      <x:c r="F2" s="136" t="n"/>
    </x:row>
    <x:row r="3">
      <x:c r="A3" s="136" t="inlineStr">
        <x:is>
          <x:t xml:space="preserve">Plan scope</x:t>
        </x:is>
      </x:c>
      <x:c r="B3" s="136" t="inlineStr">
        <x:is>
          <x:t xml:space="preserve">Selected Saṁyutta / Aṅguttara Nikāya: impermanence, attachment, perception, compassion, attention.</x:t>
        </x:is>
      </x:c>
      <x:c r="C3" s="136" t="n"/>
      <x:c r="D3" s="136" t="n"/>
      <x:c r="E3" s="136" t="n"/>
      <x:c r="F3" s="136" t="n"/>
    </x:row>
    <x:row r="4">
      <x:c r="A4" s="136" t="inlineStr">
        <x:is>
          <x:t xml:space="preserve">Quote/passages</x:t>
        </x:is>
      </x:c>
      <x:c r="B4" s="136" t="n">
        <x:v>34</x:v>
      </x:c>
      <x:c r="C4" s="136" t="n"/>
      <x:c r="D4" s="136" t="n"/>
      <x:c r="E4" s="136" t="n"/>
      <x:c r="F4" s="136" t="n"/>
    </x:row>
    <x:row r="5">
      <x:c r="A5" s="136" t="inlineStr">
        <x:is>
          <x:t xml:space="preserve">Canonical stories/similes</x:t>
        </x:is>
      </x:c>
      <x:c r="B5" s="136" t="n">
        <x:v>6</x:v>
      </x:c>
      <x:c r="C5" s="136" t="n"/>
      <x:c r="D5" s="136" t="n"/>
      <x:c r="E5" s="136" t="n"/>
      <x:c r="F5" s="136" t="n"/>
    </x:row>
    <x:row r="6">
      <x:c r="A6" s="136" t="inlineStr">
        <x:is>
          <x:t xml:space="preserve">Principle seeds</x:t>
        </x:is>
      </x:c>
      <x:c r="B6" s="136" t="n">
        <x:v>13</x:v>
      </x:c>
      <x:c r="C6" s="136" t="n"/>
      <x:c r="D6" s="136" t="n"/>
      <x:c r="E6" s="136" t="n"/>
      <x:c r="F6" s="136" t="n"/>
    </x:row>
    <x:row r="7">
      <x:c r="A7" s="136" t="inlineStr">
        <x:is>
          <x:t xml:space="preserve">Primary-source policy</x:t>
        </x:is>
      </x:c>
      <x:c r="B7" s="136" t="inlineStr">
        <x:is>
          <x:t xml:space="preserve">SuttaCentral canonical sutta pages used as source anchors; modern translations are references, not copied into Selflo wording.</x:t>
        </x:is>
      </x:c>
      <x:c r="C7" s="136" t="n"/>
      <x:c r="D7" s="136" t="n"/>
      <x:c r="E7" s="136" t="n"/>
      <x:c r="F7" s="136" t="n"/>
    </x:row>
    <x:row r="8">
      <x:c r="A8" s="136" t="inlineStr">
        <x:is>
          <x:t xml:space="preserve">Original-language policy</x:t>
        </x:is>
      </x:c>
      <x:c r="B8" s="136" t="inlineStr">
        <x:is>
          <x:t xml:space="preserve">No Pāḷi is invented. Day 13 rows are explicitly research paraphrases unless exact passage-level Pāḷi is later verified.</x:t>
        </x:is>
      </x:c>
      <x:c r="C8" s="136" t="n"/>
      <x:c r="D8" s="136" t="n"/>
      <x:c r="E8" s="136" t="n"/>
      <x:c r="F8" s="136" t="n"/>
    </x:row>
    <x:row r="9">
      <x:c r="A9" s="136" t="inlineStr">
        <x:is>
          <x:t xml:space="preserve">Strong unique material</x:t>
        </x:is>
      </x:c>
      <x:c r="B9" s="136" t="inlineStr">
        <x:is>
          <x:t xml:space="preserve">SN 36.6 two arrows; SN 35.246 lute; SN 56.31 handful of leaves; AN 3.65 conflicting authorities; SN 47.6 context/capacity; SN 22.95 foam/bubble/mirage.</x:t>
        </x:is>
      </x:c>
      <x:c r="C9" s="136" t="n"/>
      <x:c r="D9" s="136" t="n"/>
      <x:c r="E9" s="136" t="n"/>
      <x:c r="F9" s="136" t="n"/>
    </x:row>
    <x:row r="10">
      <x:c r="A10" s="136" t="inlineStr">
        <x:is>
          <x:t xml:space="preserve">AI-age relevance</x:t>
        </x:is>
      </x:c>
      <x:c r="B10" s="136" t="inlineStr">
        <x:is>
          <x:t xml:space="preserve">AN 3.65: authority does not replace judgment. SN 56.31: available knowledge ≠ useful knowledge. SN 22.95: convincing appearance needs epistemic humility.</x:t>
        </x:is>
      </x:c>
      <x:c r="C10" s="136" t="n"/>
      <x:c r="D10" s="136" t="n"/>
      <x:c r="E10" s="136" t="n"/>
      <x:c r="F10" s="136" t="n"/>
    </x:row>
    <x:row r="11">
      <x:c r="A11" s="136" t="inlineStr">
        <x:is>
          <x:t xml:space="preserve">Selflo caution</x:t>
        </x:is>
      </x:c>
      <x:c r="B11" s="136" t="inlineStr">
        <x:is>
          <x:t xml:space="preserve">Two-arrow teaching must never imply pain is the user's fault. Impermanence must not become 'your pain is trivial'. Context/conditions should not erase responsibility.</x:t>
        </x:is>
      </x:c>
      <x:c r="C11" s="136" t="n"/>
      <x:c r="D11" s="136" t="n"/>
      <x:c r="E11" s="136" t="n"/>
      <x:c r="F11" s="136" t="n"/>
    </x:row>
    <x:row r="12">
      <x:c r="A12" s="136" t="inlineStr">
        <x:is>
          <x:t xml:space="preserve">Overlap</x:t>
        </x:is>
      </x:c>
      <x:c r="B12" s="136" t="inlineStr">
        <x:is>
          <x:t xml:space="preserve">Days 11–12 already cover attention/impermanence; Day 13 should later win Release slots mainly through its distinctive metaphors and judgment/context principles.</x:t>
        </x:is>
      </x:c>
      <x:c r="C12" s="136" t="n"/>
      <x:c r="D12" s="136" t="n"/>
      <x:c r="E12" s="136" t="n"/>
      <x:c r="F12" s="136" t="n"/>
    </x:row>
    <x:row r="13">
      <x:c r="A13" s="136" t="inlineStr">
        <x:is>
          <x:t xml:space="preserve">Story provenance</x:t>
        </x:is>
      </x:c>
      <x:c r="B13" s="136" t="inlineStr">
        <x:is>
          <x:t xml:space="preserve">All six stories are canonical similes/narrative setups from named suttas; no later commentary story mixed in.</x:t>
        </x:is>
      </x:c>
      <x:c r="C13" s="136" t="n"/>
      <x:c r="D13" s="136" t="n"/>
      <x:c r="E13" s="136" t="n"/>
      <x:c r="F13" s="136" t="n"/>
    </x:row>
    <x:row r="14">
      <x:c r="A14" s="136" t="inlineStr">
        <x:is>
          <x:t xml:space="preserve">Release gate</x:t>
        </x:is>
      </x:c>
      <x:c r="B14" s="136" t="inlineStr">
        <x:is>
          <x:t xml:space="preserve">Direct quote requires exact Pāḷi retrieval + fresh translation + owner review + semantic dedupe.</x:t>
        </x:is>
      </x:c>
      <x:c r="C14" s="136" t="n"/>
      <x:c r="D14" s="136" t="n"/>
      <x:c r="E14" s="136" t="n"/>
      <x:c r="F14" s="136" t="n"/>
    </x:row>
    <x:row r="15">
      <x:c r="A15" s="136" t="inlineStr">
        <x:is>
          <x:t xml:space="preserve">Completion gate</x:t>
        </x:is>
      </x:c>
      <x:c r="B15" s="136" t="inlineStr">
        <x:is>
          <x:t xml:space="preserve">PASS for Day 13 plan-unit research coverage; not an exhaustive extraction of every SN/AN sutta.</x:t>
        </x:is>
      </x:c>
      <x:c r="C15" s="136" t="n"/>
      <x:c r="D15" s="136" t="n"/>
      <x:c r="E15" s="136" t="n"/>
      <x:c r="F15" s="136" t="n"/>
    </x:row>
    <x:row r="16">
      <x:c r="A16" s="136" t="inlineStr">
        <x:is>
          <x:t xml:space="preserve">Day status</x:t>
        </x:is>
      </x:c>
      <x:c r="B16" s="136" t="inlineStr">
        <x:is>
          <x:t xml:space="preserve">DONE</x:t>
        </x:is>
      </x:c>
      <x:c r="C16" s="136" t="n"/>
      <x:c r="D16" s="136" t="n"/>
      <x:c r="E16" s="136" t="n"/>
      <x:c r="F16" s="136" t="n"/>
    </x:row>
  </x:sheetData>
  <x:mergeCells>
    <x:mergeCell ref="A1:F1"/>
  </x:mergeCells>
  <x:pageMargins left="0.7" right="0.7" top="0.75" bottom="0.75" header="0.3" footer="0.3"/>
</x:worksheet>
</file>

<file path=xl/worksheets/sheet30.xml><?xml version="1.0" encoding="utf-8"?>
<x:worksheet xmlns:x="http://schemas.openxmlformats.org/spreadsheetml/2006/main">
  <x:sheetFormatPr defaultRowHeight="15"/>
  <x:cols>
    <x:col min="1" max="1" width="30" hidden="0" customWidth="1"/>
    <x:col min="2" max="2" width="90" hidden="0" customWidth="1"/>
  </x:cols>
  <x:sheetData>
    <x:row r="1">
      <x:c r="A1" s="178" t="str">
        <x:v>DAY 14 — EARLY BUDDHIST PARABLES — PROVENANCE-FIRST AUDIT</x:v>
      </x:c>
      <x:c r="B1" s="178"/>
      <x:c r="C1" s="178"/>
      <x:c r="D1" s="178"/>
      <x:c r="E1" s="178"/>
      <x:c r="F1" s="178"/>
    </x:row>
    <x:row r="3">
      <x:c r="A3" s="182" t="str">
        <x:v>Scope</x:v>
      </x:c>
      <x:c r="B3" s="173" t="str">
        <x:v>Early canonical / reputable collections; traceable parables and metaphors; provenance first.</x:v>
      </x:c>
    </x:row>
    <x:row r="4">
      <x:c r="A4" s="182" t="str">
        <x:v>Quote/passages</x:v>
      </x:c>
      <x:c r="B4" s="173" t="n">
        <x:v>24</x:v>
      </x:c>
    </x:row>
    <x:row r="5">
      <x:c r="A5" s="182" t="str">
        <x:v>Canonical stories/similes</x:v>
      </x:c>
      <x:c r="B5" s="173" t="n">
        <x:v>12</x:v>
      </x:c>
    </x:row>
    <x:row r="6">
      <x:c r="A6" s="182" t="str">
        <x:v>Principle seeds</x:v>
      </x:c>
      <x:c r="B6" s="173" t="n">
        <x:v>10</x:v>
      </x:c>
    </x:row>
    <x:row r="7">
      <x:c r="A7" s="182" t="str">
        <x:v>Primary rule</x:v>
      </x:c>
      <x:c r="B7" s="173" t="str">
        <x:v>A story is not labeled canonical merely because it is commonly called a Buddhist story. Named sutta provenance is required for canonical status.</x:v>
      </x:c>
    </x:row>
    <x:row r="8">
      <x:c r="A8" s="182" t="str">
        <x:v>Canonical material retained</x:v>
      </x:c>
      <x:c r="B8" s="173" t="str">
        <x:v>MN 63 poisoned arrow; Ud 6.4 blind men/elephant; SN 47.19 acrobats; SN 12.67 reeds; SN 12.65 ancient city; SN 3.25 mountains; SN 20.7 drum; MN 66 quail; MN 21 Vedehikā/saw; MN 105 wound; Sn 2.8 boat; Ud 6.9 moths.</x:v>
      </x:c>
    </x:row>
    <x:row r="9">
      <x:c r="A9" s="182" t="str">
        <x:v>Later-layer policy</x:v>
      </x:c>
      <x:c r="B9" s="173" t="str">
        <x:v>Jātaka, Dhammapada Commentary and later folktales are valuable future pools but must be labeled by their actual textual layer, not merged into early canonical material.</x:v>
      </x:c>
    </x:row>
    <x:row r="10">
      <x:c r="A10" s="182" t="str">
        <x:v>Kisā Gotamī warning</x:v>
      </x:c>
      <x:c r="B10" s="173" t="str">
        <x:v>The famous mustard-seed story is commentarial (also noted by Access to Insight's simile index), so it is NOT added as an early canonical Day 14 story.</x:v>
      </x:c>
    </x:row>
    <x:row r="11">
      <x:c r="A11" s="182" t="str">
        <x:v>Strong Selflo lanes</x:v>
      </x:c>
      <x:c r="B11" s="173" t="str">
        <x:v>partial perspective; question priority; self-care vs mutual care; context/capacity; recovery lag; conditionality; mortality/values; information drift; grounded guidance; attraction vs value.</x:v>
      </x:c>
    </x:row>
    <x:row r="12">
      <x:c r="A12" s="182" t="str">
        <x:v>AI-age relevance</x:v>
      </x:c>
      <x:c r="B12" s="173" t="str">
        <x:v>Poisoned arrow: answer abundance can delay action. Blind elephant: partial view ≠ whole. Drum pegs: attractive replacement can gradually erase source signal. These are strong foundations for Selflo's judgment-first philosophy.</x:v>
      </x:c>
    </x:row>
    <x:row r="13">
      <x:c r="A13" s="182" t="str">
        <x:v>Editorial risk</x:v>
      </x:c>
      <x:c r="B13" s="173" t="str">
        <x:v>Extreme canonical images (saw, mortality, renunciation) can become harsh or victim-blaming if decontextualized. Use distinctions, not directives.</x:v>
      </x:c>
    </x:row>
    <x:row r="14">
      <x:c r="A14" s="182" t="str">
        <x:v>Original-language policy</x:v>
      </x:c>
      <x:c r="B14" s="173" t="str">
        <x:v>Exact Pāḷi is not fabricated. Day 14 quote rows are research paraphrases until passage-level Pāḷi is retrieved and verified.</x:v>
      </x:c>
    </x:row>
    <x:row r="15">
      <x:c r="A15" s="182" t="str">
        <x:v>Release gate</x:v>
      </x:c>
      <x:c r="B15" s="173" t="str">
        <x:v>Owner review + semantic dedupe + exact-source verification + fresh translation/adaptation + rights review.</x:v>
      </x:c>
    </x:row>
    <x:row r="16">
      <x:c r="A16" s="182" t="str">
        <x:v>Completion gate</x:v>
      </x:c>
      <x:c r="B16" s="173" t="str">
        <x:v>PASS — full Day 14 plan-unit collection completed beyond target; not an exhaustive extraction of every Buddhist parable in all traditions.</x:v>
      </x:c>
    </x:row>
    <x:row r="17">
      <x:c r="A17" s="182" t="str">
        <x:v>Day status</x:v>
      </x:c>
      <x:c r="B17" s="173" t="str">
        <x:v>DONE</x:v>
      </x:c>
    </x:row>
  </x:sheetData>
  <x:mergeCells>
    <x:mergeCell ref="A1:F1"/>
  </x:mergeCells>
  <x:pageMargins left="0.7" right="0.7" top="0.75" bottom="0.75" header="0.3" footer="0.3"/>
</x:worksheet>
</file>